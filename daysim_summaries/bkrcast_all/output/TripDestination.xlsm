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58744229-ADDC-48E1-861A-DCD1847BC563}" xr6:coauthVersionLast="47" xr6:coauthVersionMax="47" xr10:uidLastSave="{00000000-0000-0000-0000-000000000000}"/>
  <bookViews>
    <workbookView xWindow="10545" yWindow="4890" windowWidth="7200" windowHeight="4050" xr2:uid="{00000000-000D-0000-FFFF-FFFF00000000}"/>
  </bookViews>
  <sheets>
    <sheet name="TLFD_Home" sheetId="3" r:id="rId1"/>
    <sheet name="TDFD_Home" sheetId="4" r:id="rId2"/>
    <sheet name="TLFD_Work" sheetId="8" r:id="rId3"/>
    <sheet name="TDFD_Work" sheetId="9" r:id="rId4"/>
    <sheet name="TLFD_School" sheetId="11" r:id="rId5"/>
    <sheet name="TDFD_School" sheetId="12" r:id="rId6"/>
    <sheet name="TLFD_Escort" sheetId="13" r:id="rId7"/>
    <sheet name="TDFD_Escort" sheetId="14" r:id="rId8"/>
    <sheet name="TLFD_PerBus" sheetId="15" r:id="rId9"/>
    <sheet name="TDFD_PerBus" sheetId="16" r:id="rId10"/>
    <sheet name="TLFD_Shop" sheetId="17" r:id="rId11"/>
    <sheet name="TDFD_Shop" sheetId="18" r:id="rId12"/>
    <sheet name="TLFD_Meal" sheetId="19" r:id="rId13"/>
    <sheet name="TDFD_Meal" sheetId="20" r:id="rId14"/>
    <sheet name="TLFD_SocRec" sheetId="21" r:id="rId15"/>
    <sheet name="TDFD_SocRec" sheetId="22" r:id="rId16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6" i="3" l="1"/>
  <c r="V16" i="3"/>
  <c r="Z17" i="3"/>
  <c r="V17" i="3"/>
  <c r="Z15" i="3"/>
  <c r="V15" i="3"/>
  <c r="Z14" i="3"/>
  <c r="V14" i="3"/>
  <c r="Z13" i="3"/>
  <c r="V13" i="3"/>
  <c r="Z12" i="3"/>
  <c r="V12" i="3"/>
  <c r="Z11" i="3"/>
  <c r="V11" i="3"/>
  <c r="Z10" i="3"/>
  <c r="V10" i="3"/>
  <c r="F102" i="22" l="1"/>
  <c r="G102" i="22" s="1"/>
  <c r="B102" i="22"/>
  <c r="C65" i="22" s="1"/>
  <c r="F102" i="21"/>
  <c r="B102" i="21"/>
  <c r="F102" i="20"/>
  <c r="G102" i="20" s="1"/>
  <c r="B102" i="20"/>
  <c r="C101" i="20" s="1"/>
  <c r="F102" i="19"/>
  <c r="B102" i="19"/>
  <c r="F102" i="18"/>
  <c r="G48" i="18" s="1"/>
  <c r="B102" i="18"/>
  <c r="C93" i="18" s="1"/>
  <c r="F102" i="17"/>
  <c r="B102" i="17"/>
  <c r="F102" i="16"/>
  <c r="G89" i="16" s="1"/>
  <c r="B102" i="16"/>
  <c r="C37" i="16" s="1"/>
  <c r="F102" i="15"/>
  <c r="B102" i="15"/>
  <c r="F102" i="14"/>
  <c r="G65" i="14" s="1"/>
  <c r="B102" i="14"/>
  <c r="C34" i="14" s="1"/>
  <c r="F102" i="13"/>
  <c r="B102" i="13"/>
  <c r="F102" i="12"/>
  <c r="G102" i="12" s="1"/>
  <c r="B102" i="12"/>
  <c r="C34" i="12" s="1"/>
  <c r="F102" i="11"/>
  <c r="B102" i="11"/>
  <c r="F102" i="9"/>
  <c r="G78" i="9" s="1"/>
  <c r="B102" i="9"/>
  <c r="C61" i="9" s="1"/>
  <c r="F102" i="8"/>
  <c r="B102" i="8"/>
  <c r="G12" i="22" l="1"/>
  <c r="G32" i="22"/>
  <c r="G34" i="22"/>
  <c r="G36" i="22"/>
  <c r="C30" i="15"/>
  <c r="U14" i="3"/>
  <c r="W14" i="3" s="1"/>
  <c r="G29" i="21"/>
  <c r="Y17" i="3"/>
  <c r="G27" i="15"/>
  <c r="Y14" i="3"/>
  <c r="AA14" i="3" s="1"/>
  <c r="G89" i="17"/>
  <c r="Y15" i="3"/>
  <c r="AA15" i="3" s="1"/>
  <c r="G81" i="19"/>
  <c r="Y16" i="3"/>
  <c r="AA16" i="3" s="1"/>
  <c r="C92" i="17"/>
  <c r="U15" i="3"/>
  <c r="W15" i="3" s="1"/>
  <c r="G38" i="22"/>
  <c r="C46" i="8"/>
  <c r="U11" i="3"/>
  <c r="W11" i="3" s="1"/>
  <c r="C40" i="22"/>
  <c r="C100" i="19"/>
  <c r="U16" i="3"/>
  <c r="W16" i="3" s="1"/>
  <c r="G51" i="8"/>
  <c r="Y11" i="3"/>
  <c r="AA11" i="3" s="1"/>
  <c r="C12" i="11"/>
  <c r="U12" i="3"/>
  <c r="W12" i="3" s="1"/>
  <c r="G57" i="13"/>
  <c r="Y13" i="3"/>
  <c r="AA13" i="3" s="1"/>
  <c r="C99" i="21"/>
  <c r="U17" i="3"/>
  <c r="G67" i="11"/>
  <c r="Y12" i="3"/>
  <c r="AA12" i="3" s="1"/>
  <c r="C38" i="13"/>
  <c r="U13" i="3"/>
  <c r="W13" i="3" s="1"/>
  <c r="C33" i="20"/>
  <c r="C32" i="20"/>
  <c r="C34" i="20"/>
  <c r="C30" i="20"/>
  <c r="G40" i="22"/>
  <c r="C42" i="22"/>
  <c r="C43" i="22"/>
  <c r="C37" i="20"/>
  <c r="C31" i="20"/>
  <c r="C38" i="20"/>
  <c r="G18" i="22"/>
  <c r="G22" i="22"/>
  <c r="C23" i="22"/>
  <c r="G29" i="20"/>
  <c r="G24" i="22"/>
  <c r="G69" i="20"/>
  <c r="G44" i="22"/>
  <c r="C73" i="20"/>
  <c r="C47" i="22"/>
  <c r="C74" i="20"/>
  <c r="G48" i="22"/>
  <c r="C39" i="20"/>
  <c r="C72" i="20"/>
  <c r="C45" i="22"/>
  <c r="C75" i="20"/>
  <c r="C50" i="22"/>
  <c r="C76" i="20"/>
  <c r="G50" i="22"/>
  <c r="C79" i="20"/>
  <c r="G54" i="22"/>
  <c r="G81" i="8"/>
  <c r="G12" i="12"/>
  <c r="C22" i="22"/>
  <c r="C13" i="12"/>
  <c r="C16" i="12"/>
  <c r="C18" i="12"/>
  <c r="C60" i="12"/>
  <c r="C64" i="12"/>
  <c r="C48" i="22"/>
  <c r="C53" i="22"/>
  <c r="C11" i="22"/>
  <c r="C15" i="22"/>
  <c r="C16" i="22"/>
  <c r="C18" i="22"/>
  <c r="C68" i="12"/>
  <c r="C62" i="12"/>
  <c r="C88" i="20"/>
  <c r="C66" i="12"/>
  <c r="C90" i="20"/>
  <c r="C91" i="20"/>
  <c r="G12" i="17"/>
  <c r="G33" i="17"/>
  <c r="C34" i="17"/>
  <c r="C92" i="20"/>
  <c r="C94" i="20"/>
  <c r="G58" i="22"/>
  <c r="C33" i="18"/>
  <c r="C59" i="22"/>
  <c r="C12" i="17"/>
  <c r="C35" i="17"/>
  <c r="G83" i="8"/>
  <c r="C36" i="17"/>
  <c r="G87" i="8"/>
  <c r="C37" i="17"/>
  <c r="C61" i="22"/>
  <c r="C40" i="17"/>
  <c r="C41" i="17"/>
  <c r="G94" i="16"/>
  <c r="G97" i="8"/>
  <c r="C82" i="17"/>
  <c r="G50" i="18"/>
  <c r="C84" i="17"/>
  <c r="G60" i="22"/>
  <c r="G89" i="8"/>
  <c r="G99" i="8"/>
  <c r="C13" i="22"/>
  <c r="C62" i="22"/>
  <c r="C14" i="22"/>
  <c r="G62" i="22"/>
  <c r="G21" i="20"/>
  <c r="G14" i="22"/>
  <c r="G64" i="22"/>
  <c r="C28" i="20"/>
  <c r="G99" i="13"/>
  <c r="G19" i="13"/>
  <c r="C29" i="20"/>
  <c r="C45" i="20"/>
  <c r="G42" i="15"/>
  <c r="C58" i="20"/>
  <c r="C47" i="20"/>
  <c r="G38" i="15"/>
  <c r="C94" i="18"/>
  <c r="C59" i="20"/>
  <c r="C95" i="20"/>
  <c r="C85" i="17"/>
  <c r="C102" i="20"/>
  <c r="C46" i="20"/>
  <c r="C57" i="20"/>
  <c r="C60" i="20"/>
  <c r="G74" i="9"/>
  <c r="C50" i="20"/>
  <c r="G40" i="15"/>
  <c r="C44" i="15"/>
  <c r="G72" i="9"/>
  <c r="G45" i="15"/>
  <c r="C61" i="20"/>
  <c r="G46" i="15"/>
  <c r="C11" i="20"/>
  <c r="G61" i="20"/>
  <c r="G76" i="9"/>
  <c r="G49" i="15"/>
  <c r="C12" i="20"/>
  <c r="C62" i="20"/>
  <c r="G16" i="22"/>
  <c r="G66" i="22"/>
  <c r="C70" i="12"/>
  <c r="C56" i="20"/>
  <c r="G50" i="15"/>
  <c r="C15" i="20"/>
  <c r="C65" i="20"/>
  <c r="G96" i="22"/>
  <c r="C100" i="12"/>
  <c r="C40" i="20"/>
  <c r="C44" i="20"/>
  <c r="G51" i="15"/>
  <c r="C16" i="20"/>
  <c r="C66" i="20"/>
  <c r="G98" i="22"/>
  <c r="G43" i="15"/>
  <c r="G56" i="15"/>
  <c r="C17" i="20"/>
  <c r="C67" i="20"/>
  <c r="C19" i="22"/>
  <c r="G100" i="22"/>
  <c r="C41" i="20"/>
  <c r="G85" i="15"/>
  <c r="C18" i="20"/>
  <c r="C68" i="20"/>
  <c r="C96" i="20"/>
  <c r="C12" i="12"/>
  <c r="C19" i="20"/>
  <c r="C69" i="20"/>
  <c r="C63" i="22"/>
  <c r="C64" i="22"/>
  <c r="C24" i="22"/>
  <c r="C27" i="22"/>
  <c r="C29" i="22"/>
  <c r="C66" i="22"/>
  <c r="C90" i="22"/>
  <c r="C98" i="22"/>
  <c r="C94" i="22"/>
  <c r="C37" i="22"/>
  <c r="C34" i="22"/>
  <c r="C35" i="22"/>
  <c r="C38" i="22"/>
  <c r="C39" i="22"/>
  <c r="C84" i="21"/>
  <c r="C32" i="21"/>
  <c r="C33" i="21"/>
  <c r="G37" i="20"/>
  <c r="G45" i="20"/>
  <c r="C98" i="20"/>
  <c r="G89" i="19"/>
  <c r="G14" i="19"/>
  <c r="G22" i="19"/>
  <c r="G46" i="19"/>
  <c r="G54" i="19"/>
  <c r="G57" i="19"/>
  <c r="G41" i="19"/>
  <c r="G62" i="19"/>
  <c r="G86" i="19"/>
  <c r="G65" i="19"/>
  <c r="G70" i="19"/>
  <c r="C42" i="19"/>
  <c r="C56" i="19"/>
  <c r="C92" i="19"/>
  <c r="C54" i="19"/>
  <c r="C62" i="19"/>
  <c r="C12" i="19"/>
  <c r="C52" i="19"/>
  <c r="C64" i="19"/>
  <c r="C22" i="19"/>
  <c r="C46" i="19"/>
  <c r="C66" i="19"/>
  <c r="C84" i="19"/>
  <c r="C14" i="19"/>
  <c r="C86" i="19"/>
  <c r="C44" i="19"/>
  <c r="C88" i="19"/>
  <c r="G70" i="18"/>
  <c r="G12" i="18"/>
  <c r="G14" i="18"/>
  <c r="G32" i="18"/>
  <c r="G22" i="18"/>
  <c r="G40" i="18"/>
  <c r="G52" i="18"/>
  <c r="G42" i="18"/>
  <c r="G20" i="18"/>
  <c r="G44" i="18"/>
  <c r="C44" i="18"/>
  <c r="C48" i="18"/>
  <c r="C95" i="18"/>
  <c r="C41" i="18"/>
  <c r="C43" i="18"/>
  <c r="C50" i="18"/>
  <c r="C71" i="18"/>
  <c r="C53" i="18"/>
  <c r="C11" i="18"/>
  <c r="C72" i="18"/>
  <c r="C97" i="18"/>
  <c r="C73" i="18"/>
  <c r="C76" i="18"/>
  <c r="C77" i="18"/>
  <c r="C36" i="18"/>
  <c r="C12" i="18"/>
  <c r="C19" i="18"/>
  <c r="C20" i="18"/>
  <c r="C80" i="18"/>
  <c r="C34" i="18"/>
  <c r="C45" i="18"/>
  <c r="C15" i="18"/>
  <c r="C83" i="18"/>
  <c r="C96" i="18"/>
  <c r="C42" i="18"/>
  <c r="C49" i="18"/>
  <c r="C78" i="18"/>
  <c r="C79" i="18"/>
  <c r="C21" i="18"/>
  <c r="C90" i="18"/>
  <c r="C22" i="18"/>
  <c r="C91" i="18"/>
  <c r="C92" i="18"/>
  <c r="C89" i="17"/>
  <c r="C86" i="17"/>
  <c r="G98" i="16"/>
  <c r="G36" i="16"/>
  <c r="G37" i="16"/>
  <c r="G39" i="16"/>
  <c r="C41" i="16"/>
  <c r="C89" i="16"/>
  <c r="C94" i="16"/>
  <c r="G93" i="15"/>
  <c r="G96" i="15"/>
  <c r="G97" i="15"/>
  <c r="G94" i="15"/>
  <c r="G98" i="15"/>
  <c r="G99" i="15"/>
  <c r="G101" i="15"/>
  <c r="C94" i="15"/>
  <c r="C86" i="15"/>
  <c r="G12" i="14"/>
  <c r="G45" i="14"/>
  <c r="G98" i="14"/>
  <c r="G19" i="14"/>
  <c r="G46" i="14"/>
  <c r="G48" i="14"/>
  <c r="G47" i="14"/>
  <c r="G49" i="14"/>
  <c r="G13" i="14"/>
  <c r="G21" i="14"/>
  <c r="G44" i="14"/>
  <c r="G50" i="14"/>
  <c r="G51" i="14"/>
  <c r="G18" i="14"/>
  <c r="G83" i="14"/>
  <c r="G87" i="14"/>
  <c r="G85" i="14"/>
  <c r="G90" i="14"/>
  <c r="G20" i="14"/>
  <c r="G52" i="14"/>
  <c r="G56" i="14"/>
  <c r="G92" i="14"/>
  <c r="G94" i="14"/>
  <c r="C46" i="14"/>
  <c r="C50" i="14"/>
  <c r="C82" i="14"/>
  <c r="C14" i="14"/>
  <c r="C84" i="14"/>
  <c r="C18" i="14"/>
  <c r="C93" i="14"/>
  <c r="G59" i="13"/>
  <c r="G21" i="13"/>
  <c r="G64" i="13"/>
  <c r="G49" i="13"/>
  <c r="G51" i="13"/>
  <c r="G65" i="13"/>
  <c r="G41" i="13"/>
  <c r="G43" i="13"/>
  <c r="G67" i="13"/>
  <c r="G22" i="13"/>
  <c r="G48" i="13"/>
  <c r="G70" i="13"/>
  <c r="G25" i="13"/>
  <c r="G32" i="13"/>
  <c r="G62" i="13"/>
  <c r="G72" i="13"/>
  <c r="G40" i="13"/>
  <c r="G38" i="13"/>
  <c r="G83" i="13"/>
  <c r="G80" i="13"/>
  <c r="G86" i="13"/>
  <c r="G75" i="13"/>
  <c r="G16" i="13"/>
  <c r="G88" i="13"/>
  <c r="G30" i="13"/>
  <c r="G17" i="13"/>
  <c r="G96" i="13"/>
  <c r="G24" i="13"/>
  <c r="G26" i="13"/>
  <c r="G27" i="13"/>
  <c r="G33" i="13"/>
  <c r="G81" i="13"/>
  <c r="G18" i="13"/>
  <c r="G97" i="13"/>
  <c r="C30" i="13"/>
  <c r="C76" i="12"/>
  <c r="C80" i="12"/>
  <c r="C84" i="12"/>
  <c r="C86" i="12"/>
  <c r="C82" i="12"/>
  <c r="C89" i="12"/>
  <c r="C92" i="12"/>
  <c r="C72" i="12"/>
  <c r="C74" i="12"/>
  <c r="C97" i="12"/>
  <c r="G22" i="11"/>
  <c r="G24" i="11"/>
  <c r="G25" i="11"/>
  <c r="G49" i="11"/>
  <c r="G51" i="11"/>
  <c r="G20" i="11"/>
  <c r="G52" i="11"/>
  <c r="G59" i="11"/>
  <c r="G19" i="11"/>
  <c r="G21" i="11"/>
  <c r="G60" i="11"/>
  <c r="G62" i="11"/>
  <c r="G92" i="11"/>
  <c r="G100" i="11"/>
  <c r="G94" i="11"/>
  <c r="G95" i="11"/>
  <c r="G63" i="11"/>
  <c r="G96" i="11"/>
  <c r="G97" i="11"/>
  <c r="G99" i="11"/>
  <c r="C54" i="11"/>
  <c r="C58" i="11"/>
  <c r="C62" i="11"/>
  <c r="C18" i="11"/>
  <c r="C22" i="11"/>
  <c r="C94" i="11"/>
  <c r="C20" i="11"/>
  <c r="C98" i="11"/>
  <c r="G24" i="9"/>
  <c r="G36" i="9"/>
  <c r="G14" i="9"/>
  <c r="G38" i="9"/>
  <c r="G40" i="9"/>
  <c r="G42" i="9"/>
  <c r="G44" i="9"/>
  <c r="G48" i="9"/>
  <c r="G50" i="9"/>
  <c r="G52" i="9"/>
  <c r="G54" i="9"/>
  <c r="G58" i="9"/>
  <c r="G60" i="9"/>
  <c r="G70" i="9"/>
  <c r="C17" i="9"/>
  <c r="C41" i="9"/>
  <c r="C33" i="9"/>
  <c r="C44" i="9"/>
  <c r="C28" i="9"/>
  <c r="C49" i="9"/>
  <c r="C25" i="9"/>
  <c r="C52" i="9"/>
  <c r="C12" i="9"/>
  <c r="G12" i="8"/>
  <c r="G15" i="8"/>
  <c r="G25" i="8"/>
  <c r="G29" i="8"/>
  <c r="G31" i="8"/>
  <c r="G33" i="8"/>
  <c r="G35" i="8"/>
  <c r="G13" i="8"/>
  <c r="G37" i="8"/>
  <c r="G14" i="8"/>
  <c r="G39" i="8"/>
  <c r="G69" i="8"/>
  <c r="G71" i="8"/>
  <c r="G73" i="8"/>
  <c r="G75" i="8"/>
  <c r="G77" i="8"/>
  <c r="G79" i="8"/>
  <c r="C25" i="8"/>
  <c r="C34" i="8"/>
  <c r="C86" i="8"/>
  <c r="C15" i="8"/>
  <c r="C33" i="8"/>
  <c r="C14" i="8"/>
  <c r="C94" i="8"/>
  <c r="C37" i="8"/>
  <c r="C39" i="8"/>
  <c r="C29" i="8"/>
  <c r="C31" i="8"/>
  <c r="C36" i="8"/>
  <c r="C70" i="8"/>
  <c r="C38" i="8"/>
  <c r="C30" i="8"/>
  <c r="C12" i="8"/>
  <c r="C81" i="8"/>
  <c r="C13" i="8"/>
  <c r="C54" i="13"/>
  <c r="C46" i="13"/>
  <c r="C30" i="21"/>
  <c r="C98" i="21"/>
  <c r="C31" i="21"/>
  <c r="C102" i="21"/>
  <c r="C66" i="21"/>
  <c r="C37" i="21"/>
  <c r="C65" i="21"/>
  <c r="C36" i="21"/>
  <c r="C64" i="21"/>
  <c r="C35" i="21"/>
  <c r="C96" i="21"/>
  <c r="C57" i="21"/>
  <c r="C28" i="21"/>
  <c r="C95" i="21"/>
  <c r="C56" i="21"/>
  <c r="C27" i="21"/>
  <c r="C91" i="21"/>
  <c r="C55" i="21"/>
  <c r="C26" i="21"/>
  <c r="C54" i="21"/>
  <c r="C92" i="21"/>
  <c r="C25" i="21"/>
  <c r="C88" i="21"/>
  <c r="C53" i="21"/>
  <c r="C24" i="21"/>
  <c r="C89" i="21"/>
  <c r="C85" i="21"/>
  <c r="C52" i="21"/>
  <c r="C23" i="21"/>
  <c r="C50" i="21"/>
  <c r="C21" i="21"/>
  <c r="C81" i="21"/>
  <c r="C20" i="21"/>
  <c r="C73" i="21"/>
  <c r="C44" i="21"/>
  <c r="C15" i="21"/>
  <c r="C72" i="21"/>
  <c r="C43" i="21"/>
  <c r="C14" i="21"/>
  <c r="C68" i="21"/>
  <c r="C39" i="21"/>
  <c r="G99" i="21"/>
  <c r="G55" i="21"/>
  <c r="G26" i="21"/>
  <c r="G81" i="21"/>
  <c r="G49" i="21"/>
  <c r="C31" i="16"/>
  <c r="C69" i="16"/>
  <c r="C29" i="16"/>
  <c r="C65" i="16"/>
  <c r="C38" i="17"/>
  <c r="C34" i="21"/>
  <c r="G102" i="16"/>
  <c r="G29" i="16"/>
  <c r="G28" i="16"/>
  <c r="G27" i="16"/>
  <c r="G67" i="16"/>
  <c r="G65" i="16"/>
  <c r="G63" i="16"/>
  <c r="G26" i="16"/>
  <c r="G59" i="16"/>
  <c r="G23" i="16"/>
  <c r="G57" i="16"/>
  <c r="G22" i="16"/>
  <c r="G92" i="16"/>
  <c r="G49" i="16"/>
  <c r="G17" i="16"/>
  <c r="G91" i="16"/>
  <c r="C39" i="17"/>
  <c r="C38" i="21"/>
  <c r="C102" i="17"/>
  <c r="C68" i="17"/>
  <c r="C33" i="17"/>
  <c r="C15" i="17"/>
  <c r="C65" i="17"/>
  <c r="C14" i="17"/>
  <c r="C66" i="17"/>
  <c r="C32" i="17"/>
  <c r="C31" i="17"/>
  <c r="C63" i="17"/>
  <c r="C30" i="17"/>
  <c r="C13" i="17"/>
  <c r="C60" i="17"/>
  <c r="C58" i="17"/>
  <c r="C27" i="17"/>
  <c r="C11" i="17"/>
  <c r="C97" i="17"/>
  <c r="C50" i="17"/>
  <c r="C24" i="17"/>
  <c r="C93" i="17"/>
  <c r="C49" i="17"/>
  <c r="C40" i="21"/>
  <c r="G63" i="17"/>
  <c r="G13" i="17"/>
  <c r="G14" i="17"/>
  <c r="G31" i="17"/>
  <c r="G27" i="17"/>
  <c r="G11" i="17"/>
  <c r="G23" i="17"/>
  <c r="C41" i="21"/>
  <c r="G15" i="17"/>
  <c r="C42" i="17"/>
  <c r="C42" i="21"/>
  <c r="C45" i="21"/>
  <c r="C46" i="21"/>
  <c r="C47" i="21"/>
  <c r="C48" i="21"/>
  <c r="C49" i="21"/>
  <c r="C51" i="21"/>
  <c r="C58" i="21"/>
  <c r="G11" i="15"/>
  <c r="C24" i="15"/>
  <c r="G16" i="16"/>
  <c r="G69" i="16"/>
  <c r="C20" i="17"/>
  <c r="C54" i="17"/>
  <c r="C101" i="18"/>
  <c r="C100" i="18"/>
  <c r="C69" i="18"/>
  <c r="C47" i="18"/>
  <c r="C99" i="18"/>
  <c r="C98" i="18"/>
  <c r="C68" i="18"/>
  <c r="C46" i="18"/>
  <c r="C89" i="18"/>
  <c r="C61" i="18"/>
  <c r="C40" i="18"/>
  <c r="C87" i="18"/>
  <c r="C38" i="18"/>
  <c r="C88" i="18"/>
  <c r="C39" i="18"/>
  <c r="C18" i="18"/>
  <c r="C60" i="18"/>
  <c r="C17" i="18"/>
  <c r="C86" i="18"/>
  <c r="C85" i="18"/>
  <c r="C37" i="18"/>
  <c r="C16" i="18"/>
  <c r="C59" i="18"/>
  <c r="C84" i="18"/>
  <c r="C58" i="18"/>
  <c r="C82" i="18"/>
  <c r="C35" i="18"/>
  <c r="C14" i="18"/>
  <c r="C81" i="18"/>
  <c r="C56" i="18"/>
  <c r="C13" i="18"/>
  <c r="C75" i="18"/>
  <c r="C52" i="18"/>
  <c r="C74" i="18"/>
  <c r="C51" i="18"/>
  <c r="C30" i="18"/>
  <c r="C60" i="21"/>
  <c r="G101" i="11"/>
  <c r="G89" i="11"/>
  <c r="G57" i="11"/>
  <c r="G28" i="11"/>
  <c r="G87" i="11"/>
  <c r="G27" i="11"/>
  <c r="G88" i="11"/>
  <c r="G56" i="11"/>
  <c r="G55" i="11"/>
  <c r="G86" i="11"/>
  <c r="G54" i="11"/>
  <c r="G26" i="11"/>
  <c r="G23" i="11"/>
  <c r="G75" i="11"/>
  <c r="G43" i="11"/>
  <c r="G18" i="11"/>
  <c r="C49" i="16"/>
  <c r="G102" i="11"/>
  <c r="C17" i="17"/>
  <c r="G23" i="14"/>
  <c r="G32" i="11"/>
  <c r="C47" i="17"/>
  <c r="G13" i="16"/>
  <c r="C34" i="11"/>
  <c r="G41" i="8"/>
  <c r="G15" i="16"/>
  <c r="G59" i="14"/>
  <c r="G17" i="8"/>
  <c r="G45" i="8"/>
  <c r="G36" i="11"/>
  <c r="G73" i="11"/>
  <c r="C24" i="12"/>
  <c r="G28" i="14"/>
  <c r="G60" i="14"/>
  <c r="G24" i="15"/>
  <c r="G66" i="15"/>
  <c r="G18" i="16"/>
  <c r="G71" i="16"/>
  <c r="G20" i="17"/>
  <c r="C55" i="17"/>
  <c r="C54" i="18"/>
  <c r="G102" i="18"/>
  <c r="G68" i="18"/>
  <c r="G46" i="18"/>
  <c r="G18" i="18"/>
  <c r="G38" i="18"/>
  <c r="G60" i="18"/>
  <c r="G16" i="18"/>
  <c r="G58" i="18"/>
  <c r="G36" i="18"/>
  <c r="G56" i="18"/>
  <c r="G34" i="18"/>
  <c r="G30" i="18"/>
  <c r="C61" i="21"/>
  <c r="G43" i="16"/>
  <c r="C26" i="11"/>
  <c r="G51" i="16"/>
  <c r="G30" i="11"/>
  <c r="C52" i="17"/>
  <c r="G16" i="8"/>
  <c r="G58" i="14"/>
  <c r="G65" i="15"/>
  <c r="C18" i="8"/>
  <c r="G16" i="9"/>
  <c r="G37" i="11"/>
  <c r="C74" i="11"/>
  <c r="C26" i="12"/>
  <c r="G29" i="14"/>
  <c r="G61" i="14"/>
  <c r="G25" i="15"/>
  <c r="G67" i="15"/>
  <c r="G19" i="16"/>
  <c r="C73" i="16"/>
  <c r="C21" i="17"/>
  <c r="C57" i="17"/>
  <c r="C23" i="18"/>
  <c r="G54" i="18"/>
  <c r="G61" i="21"/>
  <c r="G64" i="11"/>
  <c r="G53" i="14"/>
  <c r="C66" i="11"/>
  <c r="G58" i="15"/>
  <c r="G31" i="11"/>
  <c r="C62" i="13"/>
  <c r="C70" i="11"/>
  <c r="C102" i="8"/>
  <c r="C62" i="8"/>
  <c r="C28" i="8"/>
  <c r="C11" i="8"/>
  <c r="C26" i="8"/>
  <c r="C24" i="8"/>
  <c r="C44" i="8"/>
  <c r="G34" i="11"/>
  <c r="G64" i="15"/>
  <c r="G27" i="14"/>
  <c r="G18" i="8"/>
  <c r="G47" i="8"/>
  <c r="C100" i="9"/>
  <c r="C20" i="9"/>
  <c r="C38" i="11"/>
  <c r="G76" i="11"/>
  <c r="C30" i="12"/>
  <c r="C30" i="14"/>
  <c r="G63" i="14"/>
  <c r="G26" i="15"/>
  <c r="G69" i="15"/>
  <c r="G20" i="16"/>
  <c r="G73" i="16"/>
  <c r="G21" i="17"/>
  <c r="C61" i="17"/>
  <c r="C24" i="18"/>
  <c r="C55" i="18"/>
  <c r="C62" i="21"/>
  <c r="C16" i="17"/>
  <c r="C45" i="17"/>
  <c r="C20" i="12"/>
  <c r="G22" i="15"/>
  <c r="C70" i="13"/>
  <c r="C19" i="8"/>
  <c r="C49" i="8"/>
  <c r="G102" i="9"/>
  <c r="G68" i="9"/>
  <c r="G22" i="9"/>
  <c r="G20" i="9"/>
  <c r="G66" i="9"/>
  <c r="G64" i="9"/>
  <c r="G62" i="9"/>
  <c r="G18" i="9"/>
  <c r="G56" i="9"/>
  <c r="G12" i="9"/>
  <c r="G46" i="9"/>
  <c r="G38" i="11"/>
  <c r="C78" i="11"/>
  <c r="C32" i="12"/>
  <c r="C78" i="13"/>
  <c r="G30" i="14"/>
  <c r="G64" i="14"/>
  <c r="C70" i="15"/>
  <c r="C21" i="16"/>
  <c r="G75" i="16"/>
  <c r="C22" i="17"/>
  <c r="C62" i="17"/>
  <c r="G24" i="18"/>
  <c r="C57" i="18"/>
  <c r="C11" i="21"/>
  <c r="C63" i="21"/>
  <c r="G102" i="15"/>
  <c r="G91" i="15"/>
  <c r="G21" i="15"/>
  <c r="G89" i="15"/>
  <c r="G19" i="15"/>
  <c r="G90" i="15"/>
  <c r="G54" i="15"/>
  <c r="G53" i="15"/>
  <c r="G88" i="15"/>
  <c r="G18" i="15"/>
  <c r="G86" i="15"/>
  <c r="G83" i="15"/>
  <c r="G48" i="15"/>
  <c r="G14" i="15"/>
  <c r="G82" i="15"/>
  <c r="G13" i="15"/>
  <c r="G75" i="15"/>
  <c r="G41" i="15"/>
  <c r="C46" i="17"/>
  <c r="C13" i="16"/>
  <c r="G16" i="15"/>
  <c r="G26" i="14"/>
  <c r="G19" i="17"/>
  <c r="G72" i="11"/>
  <c r="G19" i="8"/>
  <c r="G49" i="8"/>
  <c r="G11" i="11"/>
  <c r="G39" i="11"/>
  <c r="G78" i="11"/>
  <c r="C20" i="13"/>
  <c r="G32" i="14"/>
  <c r="G29" i="15"/>
  <c r="G70" i="15"/>
  <c r="G21" i="16"/>
  <c r="C77" i="16"/>
  <c r="G22" i="17"/>
  <c r="C69" i="17"/>
  <c r="C25" i="18"/>
  <c r="C62" i="18"/>
  <c r="C18" i="19"/>
  <c r="C94" i="19"/>
  <c r="C12" i="21"/>
  <c r="C67" i="21"/>
  <c r="G41" i="16"/>
  <c r="G29" i="11"/>
  <c r="G69" i="14"/>
  <c r="G42" i="14"/>
  <c r="G17" i="14"/>
  <c r="G41" i="14"/>
  <c r="G15" i="14"/>
  <c r="G14" i="14"/>
  <c r="G16" i="14"/>
  <c r="G67" i="14"/>
  <c r="G40" i="14"/>
  <c r="G62" i="14"/>
  <c r="G37" i="14"/>
  <c r="G11" i="14"/>
  <c r="G36" i="14"/>
  <c r="G57" i="14"/>
  <c r="G31" i="14"/>
  <c r="G12" i="16"/>
  <c r="G24" i="14"/>
  <c r="C61" i="16"/>
  <c r="C42" i="12"/>
  <c r="C40" i="12"/>
  <c r="C38" i="12"/>
  <c r="C36" i="12"/>
  <c r="C94" i="12"/>
  <c r="C28" i="12"/>
  <c r="C78" i="12"/>
  <c r="G61" i="16"/>
  <c r="C20" i="8"/>
  <c r="G26" i="9"/>
  <c r="G40" i="11"/>
  <c r="G79" i="11"/>
  <c r="C44" i="12"/>
  <c r="G33" i="14"/>
  <c r="G71" i="14"/>
  <c r="G72" i="15"/>
  <c r="G24" i="16"/>
  <c r="G77" i="16"/>
  <c r="C23" i="17"/>
  <c r="C70" i="17"/>
  <c r="C26" i="18"/>
  <c r="G62" i="18"/>
  <c r="C20" i="19"/>
  <c r="C13" i="21"/>
  <c r="C69" i="21"/>
  <c r="C54" i="15"/>
  <c r="C56" i="15"/>
  <c r="C52" i="15"/>
  <c r="C20" i="15"/>
  <c r="C48" i="15"/>
  <c r="C54" i="14"/>
  <c r="G59" i="15"/>
  <c r="C58" i="14"/>
  <c r="C21" i="8"/>
  <c r="C54" i="8"/>
  <c r="G12" i="11"/>
  <c r="G41" i="11"/>
  <c r="G80" i="11"/>
  <c r="C46" i="12"/>
  <c r="C22" i="13"/>
  <c r="G73" i="14"/>
  <c r="G30" i="15"/>
  <c r="G73" i="15"/>
  <c r="G25" i="16"/>
  <c r="G79" i="16"/>
  <c r="G24" i="17"/>
  <c r="C71" i="17"/>
  <c r="G26" i="18"/>
  <c r="C63" i="18"/>
  <c r="C102" i="19"/>
  <c r="C50" i="19"/>
  <c r="C96" i="19"/>
  <c r="C48" i="19"/>
  <c r="C80" i="19"/>
  <c r="C36" i="19"/>
  <c r="C78" i="19"/>
  <c r="C32" i="19"/>
  <c r="C34" i="19"/>
  <c r="C76" i="19"/>
  <c r="C72" i="19"/>
  <c r="C30" i="19"/>
  <c r="C70" i="19"/>
  <c r="C26" i="19"/>
  <c r="C68" i="19"/>
  <c r="C60" i="19"/>
  <c r="C58" i="19"/>
  <c r="C16" i="19"/>
  <c r="C16" i="21"/>
  <c r="C70" i="21"/>
  <c r="C102" i="11"/>
  <c r="C28" i="11"/>
  <c r="C82" i="11"/>
  <c r="C50" i="11"/>
  <c r="C66" i="14"/>
  <c r="C68" i="14"/>
  <c r="C42" i="14"/>
  <c r="C62" i="14"/>
  <c r="C97" i="14"/>
  <c r="C30" i="11"/>
  <c r="G57" i="15"/>
  <c r="G22" i="14"/>
  <c r="G17" i="17"/>
  <c r="C16" i="15"/>
  <c r="G47" i="17"/>
  <c r="C16" i="8"/>
  <c r="G17" i="15"/>
  <c r="G101" i="8"/>
  <c r="G11" i="8"/>
  <c r="G27" i="8"/>
  <c r="G26" i="8"/>
  <c r="G61" i="8"/>
  <c r="G59" i="8"/>
  <c r="G57" i="8"/>
  <c r="G53" i="8"/>
  <c r="G91" i="8"/>
  <c r="G20" i="8"/>
  <c r="C53" i="17"/>
  <c r="C22" i="12"/>
  <c r="G21" i="8"/>
  <c r="G55" i="8"/>
  <c r="G28" i="9"/>
  <c r="G13" i="11"/>
  <c r="C42" i="11"/>
  <c r="G81" i="11"/>
  <c r="C48" i="12"/>
  <c r="C86" i="13"/>
  <c r="G34" i="14"/>
  <c r="C74" i="14"/>
  <c r="G32" i="15"/>
  <c r="G74" i="15"/>
  <c r="G30" i="16"/>
  <c r="C81" i="16"/>
  <c r="C25" i="17"/>
  <c r="G71" i="17"/>
  <c r="C27" i="18"/>
  <c r="C64" i="18"/>
  <c r="G101" i="19"/>
  <c r="G97" i="19"/>
  <c r="G49" i="19"/>
  <c r="G94" i="19"/>
  <c r="G78" i="19"/>
  <c r="G33" i="19"/>
  <c r="G73" i="19"/>
  <c r="G30" i="19"/>
  <c r="G25" i="19"/>
  <c r="G17" i="19"/>
  <c r="C17" i="21"/>
  <c r="C71" i="21"/>
  <c r="C43" i="17"/>
  <c r="G65" i="11"/>
  <c r="C53" i="16"/>
  <c r="G54" i="14"/>
  <c r="C18" i="17"/>
  <c r="G33" i="11"/>
  <c r="C57" i="16"/>
  <c r="G14" i="16"/>
  <c r="C22" i="8"/>
  <c r="C57" i="8"/>
  <c r="G30" i="9"/>
  <c r="C14" i="11"/>
  <c r="G44" i="11"/>
  <c r="G83" i="11"/>
  <c r="C50" i="12"/>
  <c r="C24" i="13"/>
  <c r="G35" i="14"/>
  <c r="G75" i="14"/>
  <c r="G33" i="15"/>
  <c r="G77" i="15"/>
  <c r="G31" i="16"/>
  <c r="G81" i="16"/>
  <c r="G25" i="17"/>
  <c r="C74" i="17"/>
  <c r="C28" i="18"/>
  <c r="C65" i="18"/>
  <c r="C24" i="19"/>
  <c r="C18" i="21"/>
  <c r="C74" i="21"/>
  <c r="G45" i="16"/>
  <c r="C44" i="17"/>
  <c r="G61" i="15"/>
  <c r="G25" i="14"/>
  <c r="G18" i="17"/>
  <c r="C26" i="14"/>
  <c r="C19" i="17"/>
  <c r="G71" i="11"/>
  <c r="G35" i="11"/>
  <c r="G22" i="8"/>
  <c r="G63" i="8"/>
  <c r="G32" i="9"/>
  <c r="G14" i="11"/>
  <c r="C46" i="11"/>
  <c r="G84" i="11"/>
  <c r="C52" i="12"/>
  <c r="C38" i="14"/>
  <c r="C76" i="14"/>
  <c r="G34" i="15"/>
  <c r="C78" i="15"/>
  <c r="G32" i="16"/>
  <c r="G83" i="16"/>
  <c r="C26" i="17"/>
  <c r="C77" i="17"/>
  <c r="G28" i="18"/>
  <c r="C66" i="18"/>
  <c r="C28" i="19"/>
  <c r="G18" i="21"/>
  <c r="C75" i="21"/>
  <c r="C22" i="14"/>
  <c r="G11" i="16"/>
  <c r="C12" i="15"/>
  <c r="G55" i="14"/>
  <c r="G55" i="16"/>
  <c r="C62" i="15"/>
  <c r="G62" i="15"/>
  <c r="G43" i="8"/>
  <c r="C23" i="8"/>
  <c r="C65" i="8"/>
  <c r="G15" i="11"/>
  <c r="G46" i="11"/>
  <c r="C86" i="11"/>
  <c r="C54" i="12"/>
  <c r="C94" i="13"/>
  <c r="G38" i="14"/>
  <c r="G77" i="14"/>
  <c r="G35" i="15"/>
  <c r="G78" i="15"/>
  <c r="G33" i="16"/>
  <c r="C85" i="16"/>
  <c r="G26" i="17"/>
  <c r="C78" i="17"/>
  <c r="C29" i="18"/>
  <c r="G66" i="18"/>
  <c r="C38" i="19"/>
  <c r="C19" i="21"/>
  <c r="C76" i="21"/>
  <c r="G47" i="16"/>
  <c r="G68" i="11"/>
  <c r="C59" i="21"/>
  <c r="G23" i="8"/>
  <c r="G65" i="8"/>
  <c r="G34" i="9"/>
  <c r="G16" i="11"/>
  <c r="G47" i="11"/>
  <c r="C90" i="11"/>
  <c r="C56" i="12"/>
  <c r="G39" i="14"/>
  <c r="G79" i="14"/>
  <c r="G37" i="15"/>
  <c r="G80" i="15"/>
  <c r="G34" i="16"/>
  <c r="G85" i="16"/>
  <c r="C28" i="17"/>
  <c r="C79" i="17"/>
  <c r="C31" i="18"/>
  <c r="C67" i="18"/>
  <c r="G38" i="19"/>
  <c r="C22" i="21"/>
  <c r="C78" i="21"/>
  <c r="C45" i="16"/>
  <c r="G16" i="17"/>
  <c r="G53" i="16"/>
  <c r="G70" i="11"/>
  <c r="C17" i="8"/>
  <c r="G24" i="8"/>
  <c r="G67" i="8"/>
  <c r="C36" i="9"/>
  <c r="G17" i="11"/>
  <c r="G48" i="11"/>
  <c r="G91" i="11"/>
  <c r="C58" i="12"/>
  <c r="G43" i="14"/>
  <c r="G81" i="14"/>
  <c r="C38" i="15"/>
  <c r="G81" i="15"/>
  <c r="G35" i="16"/>
  <c r="G87" i="16"/>
  <c r="C29" i="17"/>
  <c r="C81" i="17"/>
  <c r="C32" i="18"/>
  <c r="C70" i="18"/>
  <c r="C40" i="19"/>
  <c r="C29" i="21"/>
  <c r="C79" i="21"/>
  <c r="C68" i="22"/>
  <c r="G42" i="22"/>
  <c r="G68" i="22"/>
  <c r="C70" i="22"/>
  <c r="G70" i="22"/>
  <c r="C72" i="22"/>
  <c r="G72" i="22"/>
  <c r="C13" i="20"/>
  <c r="C42" i="20"/>
  <c r="C70" i="20"/>
  <c r="G20" i="22"/>
  <c r="C46" i="22"/>
  <c r="G14" i="12"/>
  <c r="G35" i="13"/>
  <c r="G91" i="13"/>
  <c r="C14" i="20"/>
  <c r="C43" i="20"/>
  <c r="C71" i="20"/>
  <c r="C21" i="22"/>
  <c r="G46" i="22"/>
  <c r="C74" i="22"/>
  <c r="G74" i="22"/>
  <c r="C76" i="22"/>
  <c r="G76" i="22"/>
  <c r="C78" i="22"/>
  <c r="G78" i="22"/>
  <c r="C80" i="22"/>
  <c r="C20" i="20"/>
  <c r="C48" i="20"/>
  <c r="C77" i="20"/>
  <c r="C26" i="22"/>
  <c r="C51" i="22"/>
  <c r="G46" i="13"/>
  <c r="C21" i="20"/>
  <c r="C49" i="20"/>
  <c r="G77" i="20"/>
  <c r="G26" i="22"/>
  <c r="G52" i="22"/>
  <c r="G80" i="22"/>
  <c r="C82" i="22"/>
  <c r="C22" i="20"/>
  <c r="C51" i="20"/>
  <c r="C80" i="20"/>
  <c r="G28" i="22"/>
  <c r="C54" i="22"/>
  <c r="G82" i="22"/>
  <c r="C84" i="22"/>
  <c r="C30" i="22"/>
  <c r="C55" i="22"/>
  <c r="G84" i="22"/>
  <c r="C86" i="22"/>
  <c r="C23" i="20"/>
  <c r="C52" i="20"/>
  <c r="C82" i="20"/>
  <c r="C53" i="20"/>
  <c r="G54" i="13"/>
  <c r="G53" i="20"/>
  <c r="G30" i="22"/>
  <c r="G13" i="13"/>
  <c r="G56" i="13"/>
  <c r="C26" i="20"/>
  <c r="C54" i="20"/>
  <c r="C86" i="20"/>
  <c r="C31" i="22"/>
  <c r="G56" i="22"/>
  <c r="G86" i="22"/>
  <c r="C24" i="20"/>
  <c r="C83" i="20"/>
  <c r="G11" i="13"/>
  <c r="C25" i="20"/>
  <c r="C84" i="20"/>
  <c r="C56" i="22"/>
  <c r="G14" i="13"/>
  <c r="C27" i="20"/>
  <c r="C55" i="20"/>
  <c r="C87" i="20"/>
  <c r="C32" i="22"/>
  <c r="C58" i="22"/>
  <c r="G88" i="22"/>
  <c r="G90" i="22"/>
  <c r="G92" i="22"/>
  <c r="G94" i="22"/>
  <c r="C35" i="20"/>
  <c r="C63" i="20"/>
  <c r="C99" i="20"/>
  <c r="C36" i="20"/>
  <c r="C64" i="20"/>
  <c r="C100" i="20"/>
  <c r="C68" i="9"/>
  <c r="C77" i="9"/>
  <c r="C81" i="9"/>
  <c r="C97" i="9"/>
  <c r="C41" i="8"/>
  <c r="C89" i="8"/>
  <c r="C97" i="8"/>
  <c r="C13" i="9"/>
  <c r="C16" i="9"/>
  <c r="C21" i="9"/>
  <c r="C24" i="9"/>
  <c r="C29" i="9"/>
  <c r="C32" i="9"/>
  <c r="C37" i="9"/>
  <c r="C40" i="9"/>
  <c r="C45" i="9"/>
  <c r="C48" i="9"/>
  <c r="C53" i="9"/>
  <c r="C60" i="9"/>
  <c r="C69" i="9"/>
  <c r="C76" i="9"/>
  <c r="C84" i="9"/>
  <c r="C89" i="9"/>
  <c r="C94" i="9"/>
  <c r="C102" i="9"/>
  <c r="C99" i="9"/>
  <c r="C95" i="9"/>
  <c r="C91" i="9"/>
  <c r="C87" i="9"/>
  <c r="C83" i="9"/>
  <c r="C79" i="9"/>
  <c r="C74" i="9"/>
  <c r="C71" i="9"/>
  <c r="C66" i="9"/>
  <c r="C63" i="9"/>
  <c r="C58" i="9"/>
  <c r="C55" i="9"/>
  <c r="C73" i="8"/>
  <c r="C78" i="8"/>
  <c r="C11" i="9"/>
  <c r="C14" i="9"/>
  <c r="C19" i="9"/>
  <c r="C22" i="9"/>
  <c r="C27" i="9"/>
  <c r="C30" i="9"/>
  <c r="C35" i="9"/>
  <c r="C38" i="9"/>
  <c r="C43" i="9"/>
  <c r="C46" i="9"/>
  <c r="C51" i="9"/>
  <c r="C54" i="9"/>
  <c r="C57" i="9"/>
  <c r="C64" i="9"/>
  <c r="C67" i="9"/>
  <c r="C70" i="9"/>
  <c r="C73" i="9"/>
  <c r="C80" i="9"/>
  <c r="C85" i="9"/>
  <c r="C90" i="9"/>
  <c r="C96" i="9"/>
  <c r="C101" i="9"/>
  <c r="C86" i="9"/>
  <c r="C92" i="9"/>
  <c r="C15" i="9"/>
  <c r="C18" i="9"/>
  <c r="C23" i="9"/>
  <c r="C26" i="9"/>
  <c r="C31" i="9"/>
  <c r="C34" i="9"/>
  <c r="C39" i="9"/>
  <c r="C42" i="9"/>
  <c r="C47" i="9"/>
  <c r="C50" i="9"/>
  <c r="C56" i="9"/>
  <c r="C59" i="9"/>
  <c r="C62" i="9"/>
  <c r="C65" i="9"/>
  <c r="C72" i="9"/>
  <c r="C75" i="9"/>
  <c r="C78" i="9"/>
  <c r="C82" i="9"/>
  <c r="C88" i="9"/>
  <c r="C93" i="9"/>
  <c r="C98" i="9"/>
  <c r="C102" i="12"/>
  <c r="C99" i="12"/>
  <c r="C95" i="12"/>
  <c r="C91" i="12"/>
  <c r="C87" i="12"/>
  <c r="C102" i="13"/>
  <c r="C98" i="13"/>
  <c r="C90" i="13"/>
  <c r="C82" i="13"/>
  <c r="C74" i="13"/>
  <c r="C66" i="13"/>
  <c r="C58" i="13"/>
  <c r="C50" i="13"/>
  <c r="C42" i="13"/>
  <c r="C34" i="13"/>
  <c r="C26" i="13"/>
  <c r="C18" i="13"/>
  <c r="C96" i="13"/>
  <c r="C88" i="13"/>
  <c r="C80" i="13"/>
  <c r="C72" i="13"/>
  <c r="C64" i="13"/>
  <c r="C56" i="13"/>
  <c r="C48" i="13"/>
  <c r="C40" i="13"/>
  <c r="C32" i="13"/>
  <c r="C102" i="14"/>
  <c r="C99" i="14"/>
  <c r="C94" i="14"/>
  <c r="C91" i="14"/>
  <c r="C95" i="14"/>
  <c r="C92" i="14"/>
  <c r="C88" i="14"/>
  <c r="C83" i="14"/>
  <c r="C80" i="14"/>
  <c r="C75" i="14"/>
  <c r="C72" i="14"/>
  <c r="C67" i="14"/>
  <c r="C100" i="14"/>
  <c r="C96" i="14"/>
  <c r="C89" i="14"/>
  <c r="C86" i="14"/>
  <c r="C81" i="14"/>
  <c r="C78" i="14"/>
  <c r="C73" i="14"/>
  <c r="C70" i="14"/>
  <c r="C65" i="14"/>
  <c r="C63" i="14"/>
  <c r="C61" i="14"/>
  <c r="C59" i="14"/>
  <c r="C57" i="14"/>
  <c r="C55" i="14"/>
  <c r="C53" i="14"/>
  <c r="C51" i="14"/>
  <c r="C49" i="14"/>
  <c r="C47" i="14"/>
  <c r="C45" i="14"/>
  <c r="C43" i="14"/>
  <c r="C41" i="14"/>
  <c r="C39" i="14"/>
  <c r="C37" i="14"/>
  <c r="C35" i="14"/>
  <c r="C33" i="14"/>
  <c r="C31" i="14"/>
  <c r="C29" i="14"/>
  <c r="C27" i="14"/>
  <c r="C25" i="14"/>
  <c r="C23" i="14"/>
  <c r="C21" i="14"/>
  <c r="C19" i="14"/>
  <c r="C17" i="14"/>
  <c r="C15" i="14"/>
  <c r="C13" i="14"/>
  <c r="C11" i="14"/>
  <c r="C36" i="11"/>
  <c r="C44" i="11"/>
  <c r="C52" i="11"/>
  <c r="C60" i="11"/>
  <c r="C68" i="11"/>
  <c r="C76" i="11"/>
  <c r="C84" i="11"/>
  <c r="C92" i="11"/>
  <c r="C100" i="11"/>
  <c r="C15" i="12"/>
  <c r="C19" i="12"/>
  <c r="C23" i="12"/>
  <c r="C27" i="12"/>
  <c r="C31" i="12"/>
  <c r="C35" i="12"/>
  <c r="C39" i="12"/>
  <c r="C43" i="12"/>
  <c r="C47" i="12"/>
  <c r="C51" i="12"/>
  <c r="C55" i="12"/>
  <c r="C59" i="12"/>
  <c r="C63" i="12"/>
  <c r="C67" i="12"/>
  <c r="C71" i="12"/>
  <c r="C75" i="12"/>
  <c r="C79" i="12"/>
  <c r="C83" i="12"/>
  <c r="C88" i="12"/>
  <c r="C93" i="12"/>
  <c r="C98" i="12"/>
  <c r="C14" i="13"/>
  <c r="C28" i="13"/>
  <c r="C44" i="13"/>
  <c r="C60" i="13"/>
  <c r="C76" i="13"/>
  <c r="C92" i="13"/>
  <c r="G102" i="13"/>
  <c r="G100" i="13"/>
  <c r="G95" i="13"/>
  <c r="G92" i="13"/>
  <c r="G87" i="13"/>
  <c r="G84" i="13"/>
  <c r="G79" i="13"/>
  <c r="G76" i="13"/>
  <c r="G71" i="13"/>
  <c r="G68" i="13"/>
  <c r="G63" i="13"/>
  <c r="G60" i="13"/>
  <c r="G55" i="13"/>
  <c r="G52" i="13"/>
  <c r="G47" i="13"/>
  <c r="G44" i="13"/>
  <c r="G39" i="13"/>
  <c r="G36" i="13"/>
  <c r="G31" i="13"/>
  <c r="G28" i="13"/>
  <c r="G23" i="13"/>
  <c r="G20" i="13"/>
  <c r="G15" i="13"/>
  <c r="G12" i="13"/>
  <c r="G101" i="13"/>
  <c r="G98" i="13"/>
  <c r="G93" i="13"/>
  <c r="G90" i="13"/>
  <c r="G85" i="13"/>
  <c r="G82" i="13"/>
  <c r="G77" i="13"/>
  <c r="G74" i="13"/>
  <c r="G69" i="13"/>
  <c r="G66" i="13"/>
  <c r="G61" i="13"/>
  <c r="G58" i="13"/>
  <c r="G53" i="13"/>
  <c r="G50" i="13"/>
  <c r="G45" i="13"/>
  <c r="G42" i="13"/>
  <c r="G37" i="13"/>
  <c r="G34" i="13"/>
  <c r="G29" i="13"/>
  <c r="C16" i="14"/>
  <c r="C24" i="14"/>
  <c r="C32" i="14"/>
  <c r="C40" i="14"/>
  <c r="C48" i="14"/>
  <c r="C56" i="14"/>
  <c r="C64" i="14"/>
  <c r="C71" i="14"/>
  <c r="C79" i="14"/>
  <c r="C87" i="14"/>
  <c r="C98" i="14"/>
  <c r="C16" i="11"/>
  <c r="C24" i="11"/>
  <c r="C32" i="11"/>
  <c r="C40" i="11"/>
  <c r="G42" i="11"/>
  <c r="G45" i="11"/>
  <c r="C48" i="11"/>
  <c r="G50" i="11"/>
  <c r="G53" i="11"/>
  <c r="C56" i="11"/>
  <c r="G58" i="11"/>
  <c r="G61" i="11"/>
  <c r="C64" i="11"/>
  <c r="G66" i="11"/>
  <c r="G69" i="11"/>
  <c r="C72" i="11"/>
  <c r="G74" i="11"/>
  <c r="G77" i="11"/>
  <c r="C80" i="11"/>
  <c r="G82" i="11"/>
  <c r="G85" i="11"/>
  <c r="C88" i="11"/>
  <c r="G90" i="11"/>
  <c r="G93" i="11"/>
  <c r="C96" i="11"/>
  <c r="G98" i="11"/>
  <c r="C11" i="12"/>
  <c r="C14" i="12"/>
  <c r="C17" i="12"/>
  <c r="C21" i="12"/>
  <c r="C25" i="12"/>
  <c r="C29" i="12"/>
  <c r="C33" i="12"/>
  <c r="C37" i="12"/>
  <c r="C41" i="12"/>
  <c r="C45" i="12"/>
  <c r="C49" i="12"/>
  <c r="C53" i="12"/>
  <c r="C57" i="12"/>
  <c r="C61" i="12"/>
  <c r="C65" i="12"/>
  <c r="C69" i="12"/>
  <c r="C73" i="12"/>
  <c r="C77" i="12"/>
  <c r="C81" i="12"/>
  <c r="C85" i="12"/>
  <c r="C90" i="12"/>
  <c r="C96" i="12"/>
  <c r="C101" i="12"/>
  <c r="C12" i="13"/>
  <c r="C16" i="13"/>
  <c r="C36" i="13"/>
  <c r="C52" i="13"/>
  <c r="C68" i="13"/>
  <c r="G73" i="13"/>
  <c r="G78" i="13"/>
  <c r="C84" i="13"/>
  <c r="G89" i="13"/>
  <c r="G94" i="13"/>
  <c r="C100" i="13"/>
  <c r="C12" i="14"/>
  <c r="C20" i="14"/>
  <c r="C28" i="14"/>
  <c r="C36" i="14"/>
  <c r="C44" i="14"/>
  <c r="C52" i="14"/>
  <c r="C60" i="14"/>
  <c r="C69" i="14"/>
  <c r="C77" i="14"/>
  <c r="C85" i="14"/>
  <c r="C90" i="14"/>
  <c r="C101" i="14"/>
  <c r="C22" i="15"/>
  <c r="C36" i="15"/>
  <c r="C40" i="15"/>
  <c r="C17" i="16"/>
  <c r="C25" i="16"/>
  <c r="C33" i="16"/>
  <c r="C39" i="16"/>
  <c r="C43" i="16"/>
  <c r="C47" i="16"/>
  <c r="C51" i="16"/>
  <c r="C55" i="16"/>
  <c r="C59" i="16"/>
  <c r="C63" i="16"/>
  <c r="C67" i="16"/>
  <c r="C71" i="16"/>
  <c r="C75" i="16"/>
  <c r="C79" i="16"/>
  <c r="C83" i="16"/>
  <c r="C87" i="16"/>
  <c r="C97" i="16"/>
  <c r="C102" i="15"/>
  <c r="C98" i="15"/>
  <c r="C90" i="15"/>
  <c r="C82" i="15"/>
  <c r="C74" i="15"/>
  <c r="C66" i="15"/>
  <c r="C58" i="15"/>
  <c r="C50" i="15"/>
  <c r="C42" i="15"/>
  <c r="C34" i="15"/>
  <c r="C26" i="15"/>
  <c r="C18" i="15"/>
  <c r="C100" i="15"/>
  <c r="C92" i="15"/>
  <c r="C84" i="15"/>
  <c r="C76" i="15"/>
  <c r="C68" i="15"/>
  <c r="C15" i="16"/>
  <c r="C23" i="16"/>
  <c r="C101" i="16"/>
  <c r="C98" i="16"/>
  <c r="C95" i="16"/>
  <c r="C93" i="16"/>
  <c r="C91" i="16"/>
  <c r="C102" i="16"/>
  <c r="C92" i="16"/>
  <c r="C100" i="16"/>
  <c r="C99" i="16"/>
  <c r="C96" i="16"/>
  <c r="C90" i="16"/>
  <c r="C88" i="16"/>
  <c r="C86" i="16"/>
  <c r="C84" i="16"/>
  <c r="C82" i="16"/>
  <c r="C80" i="16"/>
  <c r="C78" i="16"/>
  <c r="C76" i="16"/>
  <c r="C74" i="16"/>
  <c r="C72" i="16"/>
  <c r="C70" i="16"/>
  <c r="C68" i="16"/>
  <c r="C66" i="16"/>
  <c r="C64" i="16"/>
  <c r="C62" i="16"/>
  <c r="C60" i="16"/>
  <c r="C58" i="16"/>
  <c r="C56" i="16"/>
  <c r="C54" i="16"/>
  <c r="C52" i="16"/>
  <c r="C50" i="16"/>
  <c r="C48" i="16"/>
  <c r="C46" i="16"/>
  <c r="C44" i="16"/>
  <c r="C42" i="16"/>
  <c r="C40" i="16"/>
  <c r="C38" i="16"/>
  <c r="C36" i="16"/>
  <c r="C34" i="16"/>
  <c r="C32" i="16"/>
  <c r="C30" i="16"/>
  <c r="C28" i="16"/>
  <c r="C26" i="16"/>
  <c r="C24" i="16"/>
  <c r="C22" i="16"/>
  <c r="C20" i="16"/>
  <c r="C18" i="16"/>
  <c r="C16" i="16"/>
  <c r="C14" i="16"/>
  <c r="C12" i="16"/>
  <c r="G102" i="14"/>
  <c r="G96" i="14"/>
  <c r="G88" i="14"/>
  <c r="G86" i="14"/>
  <c r="G84" i="14"/>
  <c r="G82" i="14"/>
  <c r="G80" i="14"/>
  <c r="G78" i="14"/>
  <c r="G76" i="14"/>
  <c r="G74" i="14"/>
  <c r="G72" i="14"/>
  <c r="G70" i="14"/>
  <c r="G68" i="14"/>
  <c r="G66" i="14"/>
  <c r="C14" i="15"/>
  <c r="C28" i="15"/>
  <c r="C32" i="15"/>
  <c r="C46" i="15"/>
  <c r="C60" i="15"/>
  <c r="C64" i="15"/>
  <c r="C72" i="15"/>
  <c r="C80" i="15"/>
  <c r="C88" i="15"/>
  <c r="C96" i="15"/>
  <c r="C11" i="16"/>
  <c r="C19" i="16"/>
  <c r="C27" i="16"/>
  <c r="C35" i="16"/>
  <c r="G91" i="17"/>
  <c r="G87" i="17"/>
  <c r="G73" i="17"/>
  <c r="G67" i="17"/>
  <c r="G59" i="17"/>
  <c r="G51" i="17"/>
  <c r="G43" i="17"/>
  <c r="G35" i="17"/>
  <c r="G83" i="17"/>
  <c r="G79" i="17"/>
  <c r="G69" i="17"/>
  <c r="G61" i="17"/>
  <c r="G53" i="17"/>
  <c r="G45" i="17"/>
  <c r="G37" i="17"/>
  <c r="G29" i="17"/>
  <c r="G95" i="17"/>
  <c r="G81" i="17"/>
  <c r="G65" i="17"/>
  <c r="G57" i="17"/>
  <c r="G49" i="17"/>
  <c r="G41" i="17"/>
  <c r="G12" i="15"/>
  <c r="G15" i="15"/>
  <c r="G20" i="15"/>
  <c r="G23" i="15"/>
  <c r="G28" i="15"/>
  <c r="G31" i="15"/>
  <c r="G36" i="15"/>
  <c r="G39" i="15"/>
  <c r="G44" i="15"/>
  <c r="G47" i="15"/>
  <c r="G52" i="15"/>
  <c r="G55" i="15"/>
  <c r="G60" i="15"/>
  <c r="G63" i="15"/>
  <c r="G68" i="15"/>
  <c r="G71" i="15"/>
  <c r="G76" i="15"/>
  <c r="G79" i="15"/>
  <c r="G84" i="15"/>
  <c r="G87" i="15"/>
  <c r="G92" i="15"/>
  <c r="G95" i="15"/>
  <c r="G100" i="15"/>
  <c r="G38" i="16"/>
  <c r="G40" i="16"/>
  <c r="G42" i="16"/>
  <c r="G44" i="16"/>
  <c r="G46" i="16"/>
  <c r="G48" i="16"/>
  <c r="G50" i="16"/>
  <c r="G52" i="16"/>
  <c r="G54" i="16"/>
  <c r="G56" i="16"/>
  <c r="G58" i="16"/>
  <c r="G60" i="16"/>
  <c r="G62" i="16"/>
  <c r="G64" i="16"/>
  <c r="G66" i="16"/>
  <c r="G68" i="16"/>
  <c r="G70" i="16"/>
  <c r="G72" i="16"/>
  <c r="G74" i="16"/>
  <c r="G76" i="16"/>
  <c r="G78" i="16"/>
  <c r="G80" i="16"/>
  <c r="G82" i="16"/>
  <c r="G84" i="16"/>
  <c r="G86" i="16"/>
  <c r="G88" i="16"/>
  <c r="G90" i="16"/>
  <c r="G93" i="16"/>
  <c r="G96" i="16"/>
  <c r="G39" i="17"/>
  <c r="G55" i="17"/>
  <c r="G75" i="17"/>
  <c r="G11" i="19"/>
  <c r="G16" i="19"/>
  <c r="G19" i="19"/>
  <c r="G24" i="19"/>
  <c r="G27" i="19"/>
  <c r="G32" i="19"/>
  <c r="G35" i="19"/>
  <c r="G40" i="19"/>
  <c r="G43" i="19"/>
  <c r="G48" i="19"/>
  <c r="G51" i="19"/>
  <c r="G56" i="19"/>
  <c r="G59" i="19"/>
  <c r="G64" i="19"/>
  <c r="G67" i="19"/>
  <c r="G72" i="19"/>
  <c r="G75" i="19"/>
  <c r="G80" i="19"/>
  <c r="G83" i="19"/>
  <c r="G88" i="19"/>
  <c r="G91" i="19"/>
  <c r="G96" i="19"/>
  <c r="G99" i="19"/>
  <c r="G11" i="20"/>
  <c r="G13" i="20"/>
  <c r="G15" i="20"/>
  <c r="G23" i="20"/>
  <c r="G31" i="20"/>
  <c r="G39" i="20"/>
  <c r="G47" i="20"/>
  <c r="G55" i="20"/>
  <c r="G63" i="20"/>
  <c r="G71" i="20"/>
  <c r="G79" i="20"/>
  <c r="G12" i="21"/>
  <c r="G20" i="21"/>
  <c r="G31" i="21"/>
  <c r="G37" i="21"/>
  <c r="G57" i="21"/>
  <c r="G63" i="21"/>
  <c r="G69" i="21"/>
  <c r="C48" i="17"/>
  <c r="C51" i="17"/>
  <c r="C56" i="17"/>
  <c r="C59" i="17"/>
  <c r="C64" i="17"/>
  <c r="C67" i="17"/>
  <c r="C73" i="17"/>
  <c r="C76" i="17"/>
  <c r="C87" i="17"/>
  <c r="C90" i="17"/>
  <c r="C94" i="17"/>
  <c r="C98" i="17"/>
  <c r="G64" i="18"/>
  <c r="G12" i="19"/>
  <c r="G15" i="19"/>
  <c r="G20" i="19"/>
  <c r="G23" i="19"/>
  <c r="G28" i="19"/>
  <c r="G31" i="19"/>
  <c r="G36" i="19"/>
  <c r="G39" i="19"/>
  <c r="G44" i="19"/>
  <c r="G47" i="19"/>
  <c r="G52" i="19"/>
  <c r="G55" i="19"/>
  <c r="G60" i="19"/>
  <c r="G63" i="19"/>
  <c r="G68" i="19"/>
  <c r="G71" i="19"/>
  <c r="C74" i="19"/>
  <c r="G76" i="19"/>
  <c r="G79" i="19"/>
  <c r="C82" i="19"/>
  <c r="G84" i="19"/>
  <c r="G87" i="19"/>
  <c r="C90" i="19"/>
  <c r="G92" i="19"/>
  <c r="G95" i="19"/>
  <c r="C98" i="19"/>
  <c r="G100" i="19"/>
  <c r="G102" i="19"/>
  <c r="G12" i="20"/>
  <c r="G14" i="20"/>
  <c r="G19" i="20"/>
  <c r="G27" i="20"/>
  <c r="G35" i="20"/>
  <c r="G43" i="20"/>
  <c r="G51" i="20"/>
  <c r="G59" i="20"/>
  <c r="G67" i="20"/>
  <c r="G75" i="20"/>
  <c r="C78" i="20"/>
  <c r="C81" i="20"/>
  <c r="C85" i="20"/>
  <c r="C89" i="20"/>
  <c r="C93" i="20"/>
  <c r="C97" i="20"/>
  <c r="G16" i="21"/>
  <c r="G24" i="21"/>
  <c r="G41" i="21"/>
  <c r="G47" i="21"/>
  <c r="G53" i="21"/>
  <c r="G73" i="21"/>
  <c r="C77" i="21"/>
  <c r="G79" i="21"/>
  <c r="C82" i="21"/>
  <c r="C86" i="21"/>
  <c r="G89" i="21"/>
  <c r="C93" i="21"/>
  <c r="C97" i="21"/>
  <c r="C100" i="21"/>
  <c r="C95" i="17"/>
  <c r="C101" i="17"/>
  <c r="G13" i="19"/>
  <c r="G18" i="19"/>
  <c r="G21" i="19"/>
  <c r="G26" i="19"/>
  <c r="G29" i="19"/>
  <c r="G34" i="19"/>
  <c r="G37" i="19"/>
  <c r="G42" i="19"/>
  <c r="G45" i="19"/>
  <c r="G50" i="19"/>
  <c r="G53" i="19"/>
  <c r="G58" i="19"/>
  <c r="G61" i="19"/>
  <c r="G66" i="19"/>
  <c r="G69" i="19"/>
  <c r="G74" i="19"/>
  <c r="G77" i="19"/>
  <c r="G82" i="19"/>
  <c r="G85" i="19"/>
  <c r="G90" i="19"/>
  <c r="G93" i="19"/>
  <c r="G98" i="19"/>
  <c r="G17" i="20"/>
  <c r="G25" i="20"/>
  <c r="G33" i="20"/>
  <c r="G41" i="20"/>
  <c r="G49" i="20"/>
  <c r="G57" i="20"/>
  <c r="G65" i="20"/>
  <c r="G73" i="20"/>
  <c r="G14" i="21"/>
  <c r="G22" i="21"/>
  <c r="G33" i="21"/>
  <c r="G39" i="21"/>
  <c r="G45" i="21"/>
  <c r="G65" i="21"/>
  <c r="G71" i="21"/>
  <c r="G77" i="21"/>
  <c r="C80" i="21"/>
  <c r="C83" i="21"/>
  <c r="C87" i="21"/>
  <c r="C90" i="21"/>
  <c r="C94" i="21"/>
  <c r="G97" i="21"/>
  <c r="C101" i="21"/>
  <c r="G11" i="21"/>
  <c r="G13" i="21"/>
  <c r="G15" i="21"/>
  <c r="G17" i="21"/>
  <c r="G19" i="21"/>
  <c r="G21" i="21"/>
  <c r="G23" i="21"/>
  <c r="G25" i="21"/>
  <c r="G27" i="21"/>
  <c r="G35" i="21"/>
  <c r="G43" i="21"/>
  <c r="G51" i="21"/>
  <c r="G59" i="21"/>
  <c r="G67" i="21"/>
  <c r="G75" i="21"/>
  <c r="G83" i="21"/>
  <c r="G91" i="21"/>
  <c r="C12" i="22"/>
  <c r="C17" i="22"/>
  <c r="C20" i="22"/>
  <c r="C25" i="22"/>
  <c r="C28" i="22"/>
  <c r="C33" i="22"/>
  <c r="C36" i="22"/>
  <c r="C41" i="22"/>
  <c r="C44" i="22"/>
  <c r="C49" i="22"/>
  <c r="C52" i="22"/>
  <c r="C57" i="22"/>
  <c r="C60" i="22"/>
  <c r="G100" i="21"/>
  <c r="G98" i="21"/>
  <c r="G96" i="21"/>
  <c r="G94" i="21"/>
  <c r="G92" i="21"/>
  <c r="G90" i="21"/>
  <c r="G88" i="21"/>
  <c r="G86" i="21"/>
  <c r="G84" i="21"/>
  <c r="G82" i="21"/>
  <c r="G80" i="21"/>
  <c r="G78" i="21"/>
  <c r="G76" i="21"/>
  <c r="G74" i="21"/>
  <c r="G72" i="21"/>
  <c r="G70" i="21"/>
  <c r="G68" i="21"/>
  <c r="G66" i="21"/>
  <c r="G64" i="21"/>
  <c r="G62" i="21"/>
  <c r="G60" i="21"/>
  <c r="G58" i="21"/>
  <c r="G56" i="21"/>
  <c r="G54" i="21"/>
  <c r="G52" i="21"/>
  <c r="G50" i="21"/>
  <c r="G48" i="21"/>
  <c r="G46" i="21"/>
  <c r="G44" i="21"/>
  <c r="G42" i="21"/>
  <c r="G40" i="21"/>
  <c r="G38" i="21"/>
  <c r="G36" i="21"/>
  <c r="G34" i="21"/>
  <c r="G32" i="21"/>
  <c r="G30" i="21"/>
  <c r="G28" i="21"/>
  <c r="C101" i="22"/>
  <c r="C99" i="22"/>
  <c r="C97" i="22"/>
  <c r="C95" i="22"/>
  <c r="C93" i="22"/>
  <c r="C91" i="22"/>
  <c r="C89" i="22"/>
  <c r="C87" i="22"/>
  <c r="C85" i="22"/>
  <c r="C83" i="22"/>
  <c r="C81" i="22"/>
  <c r="C79" i="22"/>
  <c r="C77" i="22"/>
  <c r="C75" i="22"/>
  <c r="C73" i="22"/>
  <c r="C71" i="22"/>
  <c r="C69" i="22"/>
  <c r="C67" i="22"/>
  <c r="G87" i="21"/>
  <c r="G95" i="21"/>
  <c r="G102" i="21"/>
  <c r="C102" i="22"/>
  <c r="G85" i="21"/>
  <c r="G93" i="21"/>
  <c r="G101" i="21"/>
  <c r="C88" i="22"/>
  <c r="C92" i="22"/>
  <c r="C96" i="22"/>
  <c r="C100" i="22"/>
  <c r="G11" i="22"/>
  <c r="G13" i="22"/>
  <c r="G15" i="22"/>
  <c r="G17" i="22"/>
  <c r="G19" i="22"/>
  <c r="G21" i="22"/>
  <c r="G23" i="22"/>
  <c r="G25" i="22"/>
  <c r="G27" i="22"/>
  <c r="G29" i="22"/>
  <c r="G31" i="22"/>
  <c r="G33" i="22"/>
  <c r="G35" i="22"/>
  <c r="G37" i="22"/>
  <c r="G39" i="22"/>
  <c r="G41" i="22"/>
  <c r="G43" i="22"/>
  <c r="G45" i="22"/>
  <c r="G47" i="22"/>
  <c r="G49" i="22"/>
  <c r="G51" i="22"/>
  <c r="G53" i="22"/>
  <c r="G55" i="22"/>
  <c r="G57" i="22"/>
  <c r="G59" i="22"/>
  <c r="G61" i="22"/>
  <c r="G63" i="22"/>
  <c r="G65" i="22"/>
  <c r="G67" i="22"/>
  <c r="G69" i="22"/>
  <c r="G71" i="22"/>
  <c r="G73" i="22"/>
  <c r="G75" i="22"/>
  <c r="G77" i="22"/>
  <c r="G79" i="22"/>
  <c r="G81" i="22"/>
  <c r="G83" i="22"/>
  <c r="G85" i="22"/>
  <c r="G87" i="22"/>
  <c r="G89" i="22"/>
  <c r="G91" i="22"/>
  <c r="G93" i="22"/>
  <c r="G95" i="22"/>
  <c r="G97" i="22"/>
  <c r="G99" i="22"/>
  <c r="G101" i="22"/>
  <c r="C11" i="19"/>
  <c r="C13" i="19"/>
  <c r="C15" i="19"/>
  <c r="C17" i="19"/>
  <c r="C19" i="19"/>
  <c r="C21" i="19"/>
  <c r="C23" i="19"/>
  <c r="C25" i="19"/>
  <c r="C27" i="19"/>
  <c r="C29" i="19"/>
  <c r="C31" i="19"/>
  <c r="C33" i="19"/>
  <c r="C35" i="19"/>
  <c r="C37" i="19"/>
  <c r="C39" i="19"/>
  <c r="C41" i="19"/>
  <c r="C43" i="19"/>
  <c r="C45" i="19"/>
  <c r="C47" i="19"/>
  <c r="C49" i="19"/>
  <c r="C51" i="19"/>
  <c r="C53" i="19"/>
  <c r="C55" i="19"/>
  <c r="C57" i="19"/>
  <c r="C59" i="19"/>
  <c r="C61" i="19"/>
  <c r="C63" i="19"/>
  <c r="C65" i="19"/>
  <c r="C67" i="19"/>
  <c r="C69" i="19"/>
  <c r="C71" i="19"/>
  <c r="C73" i="19"/>
  <c r="C75" i="19"/>
  <c r="C77" i="19"/>
  <c r="C79" i="19"/>
  <c r="C81" i="19"/>
  <c r="C83" i="19"/>
  <c r="C85" i="19"/>
  <c r="C87" i="19"/>
  <c r="C89" i="19"/>
  <c r="C91" i="19"/>
  <c r="C93" i="19"/>
  <c r="C95" i="19"/>
  <c r="C97" i="19"/>
  <c r="C99" i="19"/>
  <c r="C101" i="19"/>
  <c r="G16" i="20"/>
  <c r="G18" i="20"/>
  <c r="G20" i="20"/>
  <c r="G22" i="20"/>
  <c r="G24" i="20"/>
  <c r="G26" i="20"/>
  <c r="G28" i="20"/>
  <c r="G30" i="20"/>
  <c r="G32" i="20"/>
  <c r="G34" i="20"/>
  <c r="G36" i="20"/>
  <c r="G38" i="20"/>
  <c r="G40" i="20"/>
  <c r="G42" i="20"/>
  <c r="G44" i="20"/>
  <c r="G46" i="20"/>
  <c r="G48" i="20"/>
  <c r="G50" i="20"/>
  <c r="G52" i="20"/>
  <c r="G54" i="20"/>
  <c r="G56" i="20"/>
  <c r="G58" i="20"/>
  <c r="G60" i="20"/>
  <c r="G62" i="20"/>
  <c r="G64" i="20"/>
  <c r="G66" i="20"/>
  <c r="G68" i="20"/>
  <c r="G70" i="20"/>
  <c r="G72" i="20"/>
  <c r="G74" i="20"/>
  <c r="G76" i="20"/>
  <c r="G78" i="20"/>
  <c r="G80" i="20"/>
  <c r="G82" i="20"/>
  <c r="G84" i="20"/>
  <c r="G86" i="20"/>
  <c r="G88" i="20"/>
  <c r="G90" i="20"/>
  <c r="G92" i="20"/>
  <c r="G94" i="20"/>
  <c r="G96" i="20"/>
  <c r="G98" i="20"/>
  <c r="G100" i="20"/>
  <c r="G81" i="20"/>
  <c r="G83" i="20"/>
  <c r="G85" i="20"/>
  <c r="G87" i="20"/>
  <c r="G89" i="20"/>
  <c r="G91" i="20"/>
  <c r="G93" i="20"/>
  <c r="G95" i="20"/>
  <c r="G97" i="20"/>
  <c r="G99" i="20"/>
  <c r="G101" i="20"/>
  <c r="C99" i="17"/>
  <c r="G100" i="17"/>
  <c r="G98" i="17"/>
  <c r="G96" i="17"/>
  <c r="G94" i="17"/>
  <c r="G92" i="17"/>
  <c r="G90" i="17"/>
  <c r="G88" i="17"/>
  <c r="G86" i="17"/>
  <c r="G84" i="17"/>
  <c r="G82" i="17"/>
  <c r="G80" i="17"/>
  <c r="G78" i="17"/>
  <c r="G76" i="17"/>
  <c r="G74" i="17"/>
  <c r="G72" i="17"/>
  <c r="G70" i="17"/>
  <c r="G68" i="17"/>
  <c r="G66" i="17"/>
  <c r="G64" i="17"/>
  <c r="G62" i="17"/>
  <c r="G60" i="17"/>
  <c r="G58" i="17"/>
  <c r="G56" i="17"/>
  <c r="G54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102" i="17"/>
  <c r="G101" i="17"/>
  <c r="G99" i="17"/>
  <c r="G97" i="17"/>
  <c r="C72" i="17"/>
  <c r="C75" i="17"/>
  <c r="G77" i="17"/>
  <c r="C80" i="17"/>
  <c r="C83" i="17"/>
  <c r="G85" i="17"/>
  <c r="C88" i="17"/>
  <c r="C91" i="17"/>
  <c r="G93" i="17"/>
  <c r="C96" i="17"/>
  <c r="C100" i="17"/>
  <c r="G72" i="18"/>
  <c r="G74" i="18"/>
  <c r="G76" i="18"/>
  <c r="G78" i="18"/>
  <c r="G80" i="18"/>
  <c r="G82" i="18"/>
  <c r="G84" i="18"/>
  <c r="G86" i="18"/>
  <c r="G88" i="18"/>
  <c r="G90" i="18"/>
  <c r="G92" i="18"/>
  <c r="G94" i="18"/>
  <c r="G96" i="18"/>
  <c r="G98" i="18"/>
  <c r="G100" i="18"/>
  <c r="C102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G43" i="18"/>
  <c r="G45" i="18"/>
  <c r="G47" i="18"/>
  <c r="G49" i="18"/>
  <c r="G51" i="18"/>
  <c r="G53" i="18"/>
  <c r="G55" i="18"/>
  <c r="G57" i="18"/>
  <c r="G59" i="18"/>
  <c r="G61" i="18"/>
  <c r="G63" i="18"/>
  <c r="G65" i="18"/>
  <c r="G67" i="18"/>
  <c r="G69" i="18"/>
  <c r="G71" i="18"/>
  <c r="G73" i="18"/>
  <c r="G75" i="18"/>
  <c r="G77" i="18"/>
  <c r="G79" i="18"/>
  <c r="G81" i="18"/>
  <c r="G83" i="18"/>
  <c r="G85" i="18"/>
  <c r="G87" i="18"/>
  <c r="G89" i="18"/>
  <c r="G91" i="18"/>
  <c r="G93" i="18"/>
  <c r="G95" i="18"/>
  <c r="G97" i="18"/>
  <c r="G99" i="18"/>
  <c r="G101" i="18"/>
  <c r="C11" i="15"/>
  <c r="C13" i="15"/>
  <c r="C15" i="15"/>
  <c r="C17" i="15"/>
  <c r="C19" i="15"/>
  <c r="C21" i="15"/>
  <c r="C23" i="15"/>
  <c r="C25" i="15"/>
  <c r="C27" i="15"/>
  <c r="C29" i="15"/>
  <c r="C31" i="15"/>
  <c r="C33" i="15"/>
  <c r="C35" i="15"/>
  <c r="C37" i="15"/>
  <c r="C39" i="15"/>
  <c r="C41" i="15"/>
  <c r="C43" i="15"/>
  <c r="C45" i="15"/>
  <c r="C47" i="15"/>
  <c r="C49" i="15"/>
  <c r="C51" i="15"/>
  <c r="C53" i="15"/>
  <c r="C55" i="15"/>
  <c r="C57" i="15"/>
  <c r="C59" i="15"/>
  <c r="C61" i="15"/>
  <c r="C63" i="15"/>
  <c r="C65" i="15"/>
  <c r="C67" i="15"/>
  <c r="C69" i="15"/>
  <c r="C71" i="15"/>
  <c r="C73" i="15"/>
  <c r="C75" i="15"/>
  <c r="C77" i="15"/>
  <c r="C79" i="15"/>
  <c r="C81" i="15"/>
  <c r="C83" i="15"/>
  <c r="C85" i="15"/>
  <c r="C87" i="15"/>
  <c r="C89" i="15"/>
  <c r="C91" i="15"/>
  <c r="C93" i="15"/>
  <c r="C95" i="15"/>
  <c r="C97" i="15"/>
  <c r="C99" i="15"/>
  <c r="C101" i="15"/>
  <c r="G100" i="16"/>
  <c r="G95" i="16"/>
  <c r="G97" i="16"/>
  <c r="G99" i="16"/>
  <c r="G101" i="16"/>
  <c r="C11" i="13"/>
  <c r="C1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57" i="13"/>
  <c r="C59" i="13"/>
  <c r="C61" i="13"/>
  <c r="C63" i="13"/>
  <c r="C65" i="13"/>
  <c r="C67" i="13"/>
  <c r="C69" i="13"/>
  <c r="C71" i="13"/>
  <c r="C73" i="13"/>
  <c r="C75" i="13"/>
  <c r="C77" i="13"/>
  <c r="C79" i="13"/>
  <c r="C81" i="13"/>
  <c r="C83" i="13"/>
  <c r="C85" i="13"/>
  <c r="C87" i="13"/>
  <c r="C89" i="13"/>
  <c r="C91" i="13"/>
  <c r="C93" i="13"/>
  <c r="C95" i="13"/>
  <c r="C97" i="13"/>
  <c r="C99" i="13"/>
  <c r="C101" i="13"/>
  <c r="G100" i="14"/>
  <c r="G89" i="14"/>
  <c r="G91" i="14"/>
  <c r="G93" i="14"/>
  <c r="G95" i="14"/>
  <c r="G97" i="14"/>
  <c r="G99" i="14"/>
  <c r="G101" i="14"/>
  <c r="G11" i="12"/>
  <c r="G15" i="12"/>
  <c r="G17" i="12"/>
  <c r="G21" i="12"/>
  <c r="G25" i="12"/>
  <c r="G29" i="12"/>
  <c r="G47" i="12"/>
  <c r="C11" i="11"/>
  <c r="C13" i="11"/>
  <c r="C15" i="11"/>
  <c r="C17" i="11"/>
  <c r="C19" i="11"/>
  <c r="C21" i="11"/>
  <c r="C23" i="11"/>
  <c r="C25" i="11"/>
  <c r="C27" i="11"/>
  <c r="C29" i="11"/>
  <c r="C31" i="11"/>
  <c r="C33" i="11"/>
  <c r="C35" i="11"/>
  <c r="C37" i="11"/>
  <c r="C39" i="11"/>
  <c r="C41" i="11"/>
  <c r="C43" i="11"/>
  <c r="C45" i="11"/>
  <c r="C47" i="11"/>
  <c r="C49" i="11"/>
  <c r="C51" i="11"/>
  <c r="C53" i="11"/>
  <c r="C55" i="11"/>
  <c r="C57" i="11"/>
  <c r="C59" i="11"/>
  <c r="C61" i="11"/>
  <c r="C63" i="11"/>
  <c r="C65" i="11"/>
  <c r="C67" i="11"/>
  <c r="C69" i="11"/>
  <c r="C71" i="11"/>
  <c r="C73" i="11"/>
  <c r="C75" i="11"/>
  <c r="C77" i="11"/>
  <c r="C79" i="11"/>
  <c r="C81" i="11"/>
  <c r="C83" i="11"/>
  <c r="C85" i="11"/>
  <c r="C87" i="11"/>
  <c r="C89" i="11"/>
  <c r="C91" i="11"/>
  <c r="C93" i="11"/>
  <c r="C95" i="11"/>
  <c r="C97" i="11"/>
  <c r="C99" i="11"/>
  <c r="C101" i="11"/>
  <c r="G16" i="12"/>
  <c r="G18" i="12"/>
  <c r="G20" i="12"/>
  <c r="G22" i="12"/>
  <c r="G24" i="12"/>
  <c r="G26" i="12"/>
  <c r="G28" i="12"/>
  <c r="G30" i="12"/>
  <c r="G32" i="12"/>
  <c r="G34" i="12"/>
  <c r="G36" i="12"/>
  <c r="G38" i="12"/>
  <c r="G40" i="12"/>
  <c r="G42" i="12"/>
  <c r="G44" i="12"/>
  <c r="G46" i="12"/>
  <c r="G48" i="12"/>
  <c r="G50" i="12"/>
  <c r="G52" i="12"/>
  <c r="G54" i="12"/>
  <c r="G56" i="12"/>
  <c r="G58" i="12"/>
  <c r="G60" i="12"/>
  <c r="G62" i="12"/>
  <c r="G64" i="12"/>
  <c r="G66" i="12"/>
  <c r="G68" i="12"/>
  <c r="G70" i="12"/>
  <c r="G72" i="12"/>
  <c r="G74" i="12"/>
  <c r="G76" i="12"/>
  <c r="G78" i="12"/>
  <c r="G80" i="12"/>
  <c r="G82" i="12"/>
  <c r="G84" i="12"/>
  <c r="G86" i="12"/>
  <c r="G88" i="12"/>
  <c r="G90" i="12"/>
  <c r="G92" i="12"/>
  <c r="G94" i="12"/>
  <c r="G96" i="12"/>
  <c r="G98" i="12"/>
  <c r="G100" i="12"/>
  <c r="G13" i="12"/>
  <c r="G19" i="12"/>
  <c r="G23" i="12"/>
  <c r="G27" i="12"/>
  <c r="G31" i="12"/>
  <c r="G33" i="12"/>
  <c r="G35" i="12"/>
  <c r="G37" i="12"/>
  <c r="G39" i="12"/>
  <c r="G41" i="12"/>
  <c r="G43" i="12"/>
  <c r="G45" i="12"/>
  <c r="G49" i="12"/>
  <c r="G51" i="12"/>
  <c r="G53" i="12"/>
  <c r="G55" i="12"/>
  <c r="G57" i="12"/>
  <c r="G59" i="12"/>
  <c r="G61" i="12"/>
  <c r="G63" i="12"/>
  <c r="G65" i="12"/>
  <c r="G67" i="12"/>
  <c r="G69" i="12"/>
  <c r="G71" i="12"/>
  <c r="G73" i="12"/>
  <c r="G75" i="12"/>
  <c r="G77" i="12"/>
  <c r="G79" i="12"/>
  <c r="G81" i="12"/>
  <c r="G83" i="12"/>
  <c r="G85" i="12"/>
  <c r="G87" i="12"/>
  <c r="G89" i="12"/>
  <c r="G91" i="12"/>
  <c r="G93" i="12"/>
  <c r="G95" i="12"/>
  <c r="G97" i="12"/>
  <c r="G99" i="12"/>
  <c r="G101" i="12"/>
  <c r="C42" i="8"/>
  <c r="C45" i="8"/>
  <c r="C50" i="8"/>
  <c r="C53" i="8"/>
  <c r="C58" i="8"/>
  <c r="C61" i="8"/>
  <c r="C66" i="8"/>
  <c r="C69" i="8"/>
  <c r="C74" i="8"/>
  <c r="C77" i="8"/>
  <c r="C82" i="8"/>
  <c r="C85" i="8"/>
  <c r="C90" i="8"/>
  <c r="C93" i="8"/>
  <c r="G95" i="8"/>
  <c r="C98" i="8"/>
  <c r="C101" i="8"/>
  <c r="G102" i="8"/>
  <c r="C27" i="8"/>
  <c r="C32" i="8"/>
  <c r="C35" i="8"/>
  <c r="C40" i="8"/>
  <c r="C43" i="8"/>
  <c r="C48" i="8"/>
  <c r="C51" i="8"/>
  <c r="C56" i="8"/>
  <c r="C59" i="8"/>
  <c r="C64" i="8"/>
  <c r="C67" i="8"/>
  <c r="C72" i="8"/>
  <c r="C75" i="8"/>
  <c r="C80" i="8"/>
  <c r="C83" i="8"/>
  <c r="G85" i="8"/>
  <c r="C88" i="8"/>
  <c r="C91" i="8"/>
  <c r="G93" i="8"/>
  <c r="C96" i="8"/>
  <c r="C99" i="8"/>
  <c r="C47" i="8"/>
  <c r="C52" i="8"/>
  <c r="C55" i="8"/>
  <c r="C60" i="8"/>
  <c r="C63" i="8"/>
  <c r="C68" i="8"/>
  <c r="C71" i="8"/>
  <c r="C76" i="8"/>
  <c r="C79" i="8"/>
  <c r="C84" i="8"/>
  <c r="C87" i="8"/>
  <c r="C92" i="8"/>
  <c r="C95" i="8"/>
  <c r="C100" i="8"/>
  <c r="G100" i="8"/>
  <c r="G98" i="8"/>
  <c r="G96" i="8"/>
  <c r="G94" i="8"/>
  <c r="G92" i="8"/>
  <c r="G90" i="8"/>
  <c r="G88" i="8"/>
  <c r="G86" i="8"/>
  <c r="G84" i="8"/>
  <c r="G82" i="8"/>
  <c r="G80" i="8"/>
  <c r="G78" i="8"/>
  <c r="G76" i="8"/>
  <c r="G74" i="8"/>
  <c r="G72" i="8"/>
  <c r="G70" i="8"/>
  <c r="G68" i="8"/>
  <c r="G66" i="8"/>
  <c r="G64" i="8"/>
  <c r="G62" i="8"/>
  <c r="G60" i="8"/>
  <c r="G58" i="8"/>
  <c r="G56" i="8"/>
  <c r="G54" i="8"/>
  <c r="G52" i="8"/>
  <c r="G50" i="8"/>
  <c r="G48" i="8"/>
  <c r="G46" i="8"/>
  <c r="G44" i="8"/>
  <c r="G42" i="8"/>
  <c r="G40" i="8"/>
  <c r="G38" i="8"/>
  <c r="G36" i="8"/>
  <c r="G34" i="8"/>
  <c r="G32" i="8"/>
  <c r="G30" i="8"/>
  <c r="G28" i="8"/>
  <c r="G80" i="9"/>
  <c r="G82" i="9"/>
  <c r="G84" i="9"/>
  <c r="G86" i="9"/>
  <c r="G88" i="9"/>
  <c r="G90" i="9"/>
  <c r="G92" i="9"/>
  <c r="G94" i="9"/>
  <c r="G96" i="9"/>
  <c r="G98" i="9"/>
  <c r="G100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F102" i="4"/>
  <c r="G101" i="4" s="1"/>
  <c r="B102" i="4"/>
  <c r="C100" i="4" s="1"/>
  <c r="F102" i="3"/>
  <c r="B102" i="3"/>
  <c r="C13" i="3" l="1"/>
  <c r="U10" i="3"/>
  <c r="W10" i="3" s="1"/>
  <c r="G102" i="3"/>
  <c r="Y10" i="3"/>
  <c r="AA10" i="3" s="1"/>
  <c r="AA17" i="3"/>
  <c r="W17" i="3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U18" i="3" l="1"/>
  <c r="U19" i="3" s="1"/>
  <c r="W18" i="3"/>
  <c r="AA18" i="3"/>
  <c r="AA19" i="3" s="1"/>
  <c r="Y18" i="3"/>
  <c r="Y19" i="3" s="1"/>
  <c r="V18" i="3" l="1"/>
  <c r="W19" i="3"/>
  <c r="V19" i="3" s="1"/>
  <c r="Z18" i="3"/>
  <c r="Z19" i="3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<sst xmlns="http://schemas.openxmlformats.org/spreadsheetml/2006/main" count="303" uniqueCount="49">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</sst>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  <xf numFmtId="43" fontId="3" fillId="0" borderId="0" applyFont="0" applyFill="0" applyBorder="0" applyAlignment="0" applyProtection="0"/>
  </cellStyleXfs>
  <cellXfs count="380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165" fontId="0" fillId="0" borderId="0" xfId="8" applyNumberFormat="1" applyFont="1"/>
    <xf numFmtId="0" fontId="0" fillId="0" borderId="3" xfId="0" applyBorder="1"/>
    <xf numFmtId="0" fontId="1" fillId="0" borderId="3" xfId="0" applyFont="1" applyBorder="1"/>
    <xf numFmtId="165" fontId="1" fillId="0" borderId="3" xfId="8" applyNumberFormat="1" applyFont="1" applyBorder="1"/>
    <xf numFmtId="2" fontId="1" fillId="0" borderId="3" xfId="0" applyNumberFormat="1" applyFont="1" applyBorder="1"/>
    <xf numFmtId="43" fontId="1" fillId="0" borderId="3" xfId="0" applyNumberFormat="1" applyFont="1" applyBorder="1"/>
    <xf numFmtId="165" fontId="1" fillId="0" borderId="3" xfId="0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theme/theme1.xml" Type="http://schemas.openxmlformats.org/officeDocument/2006/relationships/theme"/><Relationship Id="rId18" Target="styles.xml" Type="http://schemas.openxmlformats.org/officeDocument/2006/relationships/styles"/><Relationship Id="rId19" Target="sharedStrings.xml" Type="http://schemas.openxmlformats.org/officeDocument/2006/relationships/sharedStrings"/><Relationship Id="rId2" Target="worksheets/sheet2.xml" Type="http://schemas.openxmlformats.org/officeDocument/2006/relationships/worksheet"/><Relationship Id="rId20" Target="calcChain.xml" Type="http://schemas.openxmlformats.org/officeDocument/2006/relationships/calcChain"/><Relationship Id="rId21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3.8236086732527902E-2</c:v>
                </c:pt>
                <c:pt idx="1">
                  <c:v>5.8195697299397414E-2</c:v>
                </c:pt>
                <c:pt idx="2">
                  <c:v>7.0891230043307024E-2</c:v>
                </c:pt>
                <c:pt idx="3">
                  <c:v>9.7272902644978093E-2</c:v>
                </c:pt>
                <c:pt idx="4">
                  <c:v>0.16885762538443519</c:v>
                </c:pt>
                <c:pt idx="5">
                  <c:v>0.1011755251985029</c:v>
                </c:pt>
                <c:pt idx="6">
                  <c:v>0.11301178667116919</c:v>
                </c:pt>
                <c:pt idx="7">
                  <c:v>4.8770989350988926E-2</c:v>
                </c:pt>
                <c:pt idx="8">
                  <c:v>5.3059886439917908E-2</c:v>
                </c:pt>
                <c:pt idx="9">
                  <c:v>2.7506633266139165E-2</c:v>
                </c:pt>
                <c:pt idx="10">
                  <c:v>5.1573572684993227E-2</c:v>
                </c:pt>
                <c:pt idx="11">
                  <c:v>1.8234000612110796E-2</c:v>
                </c:pt>
                <c:pt idx="12">
                  <c:v>1.1717969916541686E-2</c:v>
                </c:pt>
                <c:pt idx="13">
                  <c:v>1.1546937642355417E-2</c:v>
                </c:pt>
                <c:pt idx="14">
                  <c:v>1.3472505390533523E-2</c:v>
                </c:pt>
                <c:pt idx="15">
                  <c:v>1.1608526064597842E-2</c:v>
                </c:pt>
                <c:pt idx="16">
                  <c:v>1.7816252301041755E-2</c:v>
                </c:pt>
                <c:pt idx="17">
                  <c:v>1.2077662128500907E-2</c:v>
                </c:pt>
                <c:pt idx="18">
                  <c:v>1.0588301312970071E-2</c:v>
                </c:pt>
                <c:pt idx="19">
                  <c:v>5.3465788209901242E-3</c:v>
                </c:pt>
                <c:pt idx="20">
                  <c:v>5.3118155838205007E-3</c:v>
                </c:pt>
                <c:pt idx="21">
                  <c:v>5.1441850698081097E-3</c:v>
                </c:pt>
                <c:pt idx="22">
                  <c:v>4.7413815013258448E-3</c:v>
                </c:pt>
                <c:pt idx="23">
                  <c:v>7.0152115500568624E-3</c:v>
                </c:pt>
                <c:pt idx="24">
                  <c:v>6.1231532210864218E-3</c:v>
                </c:pt>
                <c:pt idx="25">
                  <c:v>2.5491533907980109E-3</c:v>
                </c:pt>
                <c:pt idx="26">
                  <c:v>4.0435432553542145E-3</c:v>
                </c:pt>
                <c:pt idx="27">
                  <c:v>1.728311034681229E-3</c:v>
                </c:pt>
                <c:pt idx="28">
                  <c:v>2.1653624803671472E-3</c:v>
                </c:pt>
                <c:pt idx="29">
                  <c:v>9.878336596957785E-4</c:v>
                </c:pt>
                <c:pt idx="30">
                  <c:v>1.6315377580754481E-3</c:v>
                </c:pt>
                <c:pt idx="31">
                  <c:v>6.0972242211191708E-4</c:v>
                </c:pt>
                <c:pt idx="32">
                  <c:v>8.8042627325432467E-4</c:v>
                </c:pt>
                <c:pt idx="33">
                  <c:v>1.2399149412124586E-3</c:v>
                </c:pt>
                <c:pt idx="34">
                  <c:v>1.3432440665445749E-3</c:v>
                </c:pt>
                <c:pt idx="35">
                  <c:v>4.8629597530361216E-4</c:v>
                </c:pt>
                <c:pt idx="36">
                  <c:v>7.887169084308199E-4</c:v>
                </c:pt>
                <c:pt idx="37">
                  <c:v>6.904831558018973E-4</c:v>
                </c:pt>
                <c:pt idx="38">
                  <c:v>1.0744979037459444E-3</c:v>
                </c:pt>
                <c:pt idx="39">
                  <c:v>7.997051524749817E-4</c:v>
                </c:pt>
                <c:pt idx="40">
                  <c:v>4.3133738943703791E-4</c:v>
                </c:pt>
                <c:pt idx="41">
                  <c:v>6.7822176129992242E-4</c:v>
                </c:pt>
                <c:pt idx="42">
                  <c:v>2.8144295873249131E-4</c:v>
                </c:pt>
                <c:pt idx="43">
                  <c:v>6.7544529909828888E-4</c:v>
                </c:pt>
                <c:pt idx="44">
                  <c:v>4.3882579231041378E-4</c:v>
                </c:pt>
                <c:pt idx="45">
                  <c:v>7.5672656755772328E-5</c:v>
                </c:pt>
                <c:pt idx="46">
                  <c:v>1.0329816418748322E-3</c:v>
                </c:pt>
                <c:pt idx="47">
                  <c:v>8.6720278890497549E-4</c:v>
                </c:pt>
                <c:pt idx="48">
                  <c:v>1.0650311363165733E-4</c:v>
                </c:pt>
                <c:pt idx="49">
                  <c:v>9.1525435552847342E-4</c:v>
                </c:pt>
                <c:pt idx="50">
                  <c:v>1.0788051647521869E-4</c:v>
                </c:pt>
                <c:pt idx="51">
                  <c:v>1.6511953634138643E-4</c:v>
                </c:pt>
                <c:pt idx="52">
                  <c:v>1.8356357959930196E-4</c:v>
                </c:pt>
                <c:pt idx="53">
                  <c:v>8.7685821460497236E-4</c:v>
                </c:pt>
                <c:pt idx="54">
                  <c:v>2.2957963554981416E-4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1.2097287413979261E-4</c:v>
                </c:pt>
                <c:pt idx="59">
                  <c:v>8.6301580407603556E-5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0.12504136640262714</c:v>
                </c:pt>
                <c:pt idx="1">
                  <c:v>0.10869546473732668</c:v>
                </c:pt>
                <c:pt idx="2">
                  <c:v>6.9172306684669574E-2</c:v>
                </c:pt>
                <c:pt idx="3">
                  <c:v>4.4401219068473288E-2</c:v>
                </c:pt>
                <c:pt idx="4">
                  <c:v>0.14882075771178696</c:v>
                </c:pt>
                <c:pt idx="5">
                  <c:v>8.4337766808398038E-2</c:v>
                </c:pt>
                <c:pt idx="6">
                  <c:v>7.869296746856741E-2</c:v>
                </c:pt>
                <c:pt idx="7">
                  <c:v>5.0815735270072639E-2</c:v>
                </c:pt>
                <c:pt idx="8">
                  <c:v>5.3442648804218992E-2</c:v>
                </c:pt>
                <c:pt idx="9">
                  <c:v>2.7381540810121511E-2</c:v>
                </c:pt>
                <c:pt idx="10">
                  <c:v>2.4575758245572284E-2</c:v>
                </c:pt>
                <c:pt idx="11">
                  <c:v>2.3847897677508702E-2</c:v>
                </c:pt>
                <c:pt idx="12">
                  <c:v>2.2399701268339758E-2</c:v>
                </c:pt>
                <c:pt idx="13">
                  <c:v>1.8541867815943299E-2</c:v>
                </c:pt>
                <c:pt idx="14">
                  <c:v>1.4995997002023368E-2</c:v>
                </c:pt>
                <c:pt idx="15">
                  <c:v>1.5165146593438532E-2</c:v>
                </c:pt>
                <c:pt idx="16">
                  <c:v>1.3146952117183827E-2</c:v>
                </c:pt>
                <c:pt idx="17">
                  <c:v>9.0920648775687733E-3</c:v>
                </c:pt>
                <c:pt idx="18">
                  <c:v>8.304320024129291E-3</c:v>
                </c:pt>
                <c:pt idx="19">
                  <c:v>7.1201161190781771E-3</c:v>
                </c:pt>
                <c:pt idx="20">
                  <c:v>7.2709241885326606E-3</c:v>
                </c:pt>
                <c:pt idx="21">
                  <c:v>5.3619950183172232E-3</c:v>
                </c:pt>
                <c:pt idx="22">
                  <c:v>4.0351348313497053E-3</c:v>
                </c:pt>
                <c:pt idx="23">
                  <c:v>3.9631796298116514E-3</c:v>
                </c:pt>
                <c:pt idx="24">
                  <c:v>3.9152094954529489E-3</c:v>
                </c:pt>
                <c:pt idx="25">
                  <c:v>4.0774614204897378E-3</c:v>
                </c:pt>
                <c:pt idx="26">
                  <c:v>3.3343946333647336E-3</c:v>
                </c:pt>
                <c:pt idx="27">
                  <c:v>2.4499256854830301E-3</c:v>
                </c:pt>
                <c:pt idx="28">
                  <c:v>2.0677322620630389E-3</c:v>
                </c:pt>
                <c:pt idx="29">
                  <c:v>1.6160918794244023E-3</c:v>
                </c:pt>
                <c:pt idx="30">
                  <c:v>1.4713976506234784E-3</c:v>
                </c:pt>
                <c:pt idx="31">
                  <c:v>1.4853497485251927E-3</c:v>
                </c:pt>
                <c:pt idx="32">
                  <c:v>1.3158866268201022E-3</c:v>
                </c:pt>
                <c:pt idx="33">
                  <c:v>1.0819930305351853E-3</c:v>
                </c:pt>
                <c:pt idx="34">
                  <c:v>1.0101945941420941E-3</c:v>
                </c:pt>
                <c:pt idx="35">
                  <c:v>7.3444470415203464E-4</c:v>
                </c:pt>
                <c:pt idx="36">
                  <c:v>8.8540953875148167E-4</c:v>
                </c:pt>
                <c:pt idx="37">
                  <c:v>6.5465124536582631E-4</c:v>
                </c:pt>
                <c:pt idx="38">
                  <c:v>7.1923848509061576E-4</c:v>
                </c:pt>
                <c:pt idx="39">
                  <c:v>6.1279495166068369E-4</c:v>
                </c:pt>
                <c:pt idx="40">
                  <c:v>4.2310912625535569E-4</c:v>
                </c:pt>
                <c:pt idx="41">
                  <c:v>3.5914894711041863E-4</c:v>
                </c:pt>
                <c:pt idx="42">
                  <c:v>3.4159125087455353E-4</c:v>
                </c:pt>
                <c:pt idx="43">
                  <c:v>2.6493309498760694E-4</c:v>
                </c:pt>
                <c:pt idx="44">
                  <c:v>2.5819219375419446E-4</c:v>
                </c:pt>
                <c:pt idx="45">
                  <c:v>2.9565906340037082E-4</c:v>
                </c:pt>
                <c:pt idx="46">
                  <c:v>2.4909981534633577E-4</c:v>
                </c:pt>
                <c:pt idx="47">
                  <c:v>2.3906684606869857E-4</c:v>
                </c:pt>
                <c:pt idx="48">
                  <c:v>1.5221895575915167E-4</c:v>
                </c:pt>
                <c:pt idx="49">
                  <c:v>1.7056047771983216E-4</c:v>
                </c:pt>
                <c:pt idx="50">
                  <c:v>1.7871226525791238E-4</c:v>
                </c:pt>
                <c:pt idx="51">
                  <c:v>1.3779656242254821E-4</c:v>
                </c:pt>
                <c:pt idx="52">
                  <c:v>7.9009633061392833E-5</c:v>
                </c:pt>
                <c:pt idx="53">
                  <c:v>9.1864374948365474E-5</c:v>
                </c:pt>
                <c:pt idx="54">
                  <c:v>1.2666623713016947E-4</c:v>
                </c:pt>
                <c:pt idx="55">
                  <c:v>6.9133428928718732E-5</c:v>
                </c:pt>
                <c:pt idx="56">
                  <c:v>5.3770444722336792E-5</c:v>
                </c:pt>
                <c:pt idx="57">
                  <c:v>5.9100459651081547E-5</c:v>
                </c:pt>
                <c:pt idx="58">
                  <c:v>4.4364536024551931E-5</c:v>
                </c:pt>
                <c:pt idx="59">
                  <c:v>4.3894240589662684E-5</c:v>
                </c:pt>
                <c:pt idx="60">
                  <c:v>2.4298597469277557E-5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5824"/>
        <c:axId val="337358176"/>
      </c:lineChart>
      <c:catAx>
        <c:axId val="337355824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8176"/>
        <c:crosses val="autoZero"/>
        <c:auto val="1"/>
        <c:lblAlgn val="ctr"/>
        <c:lblOffset val="100"/>
        <c:tickLblSkip val="10"/>
        <c:noMultiLvlLbl val="0"/>
      </c:catAx>
      <c:valAx>
        <c:axId val="337358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582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1.1520591836113835E-3</c:v>
                </c:pt>
                <c:pt idx="1">
                  <c:v>3.2823665731806458E-3</c:v>
                </c:pt>
                <c:pt idx="2">
                  <c:v>4.8030301928631012E-3</c:v>
                </c:pt>
                <c:pt idx="3">
                  <c:v>7.178388057394851E-3</c:v>
                </c:pt>
                <c:pt idx="4">
                  <c:v>5.8610394295050133E-3</c:v>
                </c:pt>
                <c:pt idx="5">
                  <c:v>1.3217378667197181E-2</c:v>
                </c:pt>
                <c:pt idx="6">
                  <c:v>1.199838168494834E-2</c:v>
                </c:pt>
                <c:pt idx="7">
                  <c:v>1.4335265229524862E-2</c:v>
                </c:pt>
                <c:pt idx="8">
                  <c:v>1.1013317726597917E-2</c:v>
                </c:pt>
                <c:pt idx="9">
                  <c:v>1.6656328049919178E-2</c:v>
                </c:pt>
                <c:pt idx="10">
                  <c:v>9.2323699373679062E-3</c:v>
                </c:pt>
                <c:pt idx="11">
                  <c:v>1.4054491354216034E-2</c:v>
                </c:pt>
                <c:pt idx="12">
                  <c:v>1.9981645959129483E-2</c:v>
                </c:pt>
                <c:pt idx="13">
                  <c:v>1.9022497515499313E-2</c:v>
                </c:pt>
                <c:pt idx="14">
                  <c:v>1.339284182292734E-2</c:v>
                </c:pt>
                <c:pt idx="15">
                  <c:v>8.3944410053314947E-3</c:v>
                </c:pt>
                <c:pt idx="16">
                  <c:v>3.4106856851808941E-2</c:v>
                </c:pt>
                <c:pt idx="17">
                  <c:v>2.0967294660688186E-2</c:v>
                </c:pt>
                <c:pt idx="18">
                  <c:v>6.4640991931875849E-2</c:v>
                </c:pt>
                <c:pt idx="19">
                  <c:v>3.8923564678889383E-2</c:v>
                </c:pt>
                <c:pt idx="20">
                  <c:v>5.771479789334328E-2</c:v>
                </c:pt>
                <c:pt idx="21">
                  <c:v>4.9665678307372015E-2</c:v>
                </c:pt>
                <c:pt idx="22">
                  <c:v>4.325311964068803E-2</c:v>
                </c:pt>
                <c:pt idx="23">
                  <c:v>2.7228175262631146E-2</c:v>
                </c:pt>
                <c:pt idx="24">
                  <c:v>3.2389638302866092E-2</c:v>
                </c:pt>
                <c:pt idx="25">
                  <c:v>2.2212784079585542E-2</c:v>
                </c:pt>
                <c:pt idx="26">
                  <c:v>5.6118249793503897E-2</c:v>
                </c:pt>
                <c:pt idx="27">
                  <c:v>1.4418973404381807E-2</c:v>
                </c:pt>
                <c:pt idx="28">
                  <c:v>2.2565264963531978E-2</c:v>
                </c:pt>
                <c:pt idx="29">
                  <c:v>2.0003660979708328E-2</c:v>
                </c:pt>
                <c:pt idx="30">
                  <c:v>1.4777811140685954E-2</c:v>
                </c:pt>
                <c:pt idx="31">
                  <c:v>1.1178617809549781E-2</c:v>
                </c:pt>
                <c:pt idx="32">
                  <c:v>1.1729314475392553E-2</c:v>
                </c:pt>
                <c:pt idx="33">
                  <c:v>1.0436507520170961E-2</c:v>
                </c:pt>
                <c:pt idx="34">
                  <c:v>1.8208570237731338E-2</c:v>
                </c:pt>
                <c:pt idx="35">
                  <c:v>7.9243915344174923E-3</c:v>
                </c:pt>
                <c:pt idx="36">
                  <c:v>1.1244758776609949E-2</c:v>
                </c:pt>
                <c:pt idx="37">
                  <c:v>1.3781191827820819E-2</c:v>
                </c:pt>
                <c:pt idx="38">
                  <c:v>1.5972981835236624E-2</c:v>
                </c:pt>
                <c:pt idx="39">
                  <c:v>5.1170557392510793E-3</c:v>
                </c:pt>
                <c:pt idx="40">
                  <c:v>8.4653023475767808E-3</c:v>
                </c:pt>
                <c:pt idx="41">
                  <c:v>5.3633806649946289E-3</c:v>
                </c:pt>
                <c:pt idx="42">
                  <c:v>4.3505559257213085E-3</c:v>
                </c:pt>
                <c:pt idx="43">
                  <c:v>3.4858359360051432E-3</c:v>
                </c:pt>
                <c:pt idx="44">
                  <c:v>2.9620570223669231E-3</c:v>
                </c:pt>
                <c:pt idx="45">
                  <c:v>3.9808514865644448E-2</c:v>
                </c:pt>
                <c:pt idx="46">
                  <c:v>4.038163030117151E-3</c:v>
                </c:pt>
                <c:pt idx="47">
                  <c:v>4.1814912436694196E-3</c:v>
                </c:pt>
                <c:pt idx="48">
                  <c:v>5.3572064376473374E-3</c:v>
                </c:pt>
                <c:pt idx="49">
                  <c:v>3.1212066718373198E-3</c:v>
                </c:pt>
                <c:pt idx="50">
                  <c:v>1.6714412326665502E-3</c:v>
                </c:pt>
                <c:pt idx="51">
                  <c:v>3.8730333811435899E-3</c:v>
                </c:pt>
                <c:pt idx="52">
                  <c:v>3.4752412903841139E-3</c:v>
                </c:pt>
                <c:pt idx="53">
                  <c:v>3.9996395963273784E-4</c:v>
                </c:pt>
                <c:pt idx="54">
                  <c:v>6.5969000011507377E-3</c:v>
                </c:pt>
                <c:pt idx="55">
                  <c:v>5.7911991902158725E-4</c:v>
                </c:pt>
                <c:pt idx="56">
                  <c:v>1.4118405888683674E-3</c:v>
                </c:pt>
                <c:pt idx="57">
                  <c:v>7.7787905282415421E-4</c:v>
                </c:pt>
                <c:pt idx="58">
                  <c:v>2.6375836739332462E-3</c:v>
                </c:pt>
                <c:pt idx="59">
                  <c:v>3.1759069083167925E-3</c:v>
                </c:pt>
                <c:pt idx="60">
                  <c:v>4.3954320650886137E-3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3.4115230846865695E-3</c:v>
                </c:pt>
                <c:pt idx="1">
                  <c:v>1.5072184862475425E-2</c:v>
                </c:pt>
                <c:pt idx="2">
                  <c:v>2.0782198502610687E-2</c:v>
                </c:pt>
                <c:pt idx="3">
                  <c:v>2.4683612665306887E-2</c:v>
                </c:pt>
                <c:pt idx="4">
                  <c:v>2.5679541631257338E-2</c:v>
                </c:pt>
                <c:pt idx="5">
                  <c:v>2.5799466967154096E-2</c:v>
                </c:pt>
                <c:pt idx="6">
                  <c:v>2.539407230227957E-2</c:v>
                </c:pt>
                <c:pt idx="7">
                  <c:v>2.4656021999793384E-2</c:v>
                </c:pt>
                <c:pt idx="8">
                  <c:v>2.326629898969567E-2</c:v>
                </c:pt>
                <c:pt idx="9">
                  <c:v>2.1735173818841259E-2</c:v>
                </c:pt>
                <c:pt idx="10">
                  <c:v>2.0256251441259553E-2</c:v>
                </c:pt>
                <c:pt idx="11">
                  <c:v>1.8522899233402765E-2</c:v>
                </c:pt>
                <c:pt idx="12">
                  <c:v>1.7230684143472088E-2</c:v>
                </c:pt>
                <c:pt idx="13">
                  <c:v>1.5121409117993832E-2</c:v>
                </c:pt>
                <c:pt idx="14">
                  <c:v>1.4305760068750922E-2</c:v>
                </c:pt>
                <c:pt idx="15">
                  <c:v>1.3603608984461281E-2</c:v>
                </c:pt>
                <c:pt idx="16">
                  <c:v>1.292575649764092E-2</c:v>
                </c:pt>
                <c:pt idx="17">
                  <c:v>1.2198679755302149E-2</c:v>
                </c:pt>
                <c:pt idx="18">
                  <c:v>0.10045635901350203</c:v>
                </c:pt>
                <c:pt idx="19">
                  <c:v>3.7856901326844508E-2</c:v>
                </c:pt>
                <c:pt idx="20">
                  <c:v>3.9152878780254301E-2</c:v>
                </c:pt>
                <c:pt idx="21">
                  <c:v>4.4678066314478092E-2</c:v>
                </c:pt>
                <c:pt idx="22">
                  <c:v>3.9979031094209735E-2</c:v>
                </c:pt>
                <c:pt idx="23">
                  <c:v>3.7094395661744085E-2</c:v>
                </c:pt>
                <c:pt idx="24">
                  <c:v>2.7055626073743264E-2</c:v>
                </c:pt>
                <c:pt idx="25">
                  <c:v>2.6277600659291495E-2</c:v>
                </c:pt>
                <c:pt idx="26">
                  <c:v>2.7078043489472986E-2</c:v>
                </c:pt>
                <c:pt idx="27">
                  <c:v>2.4625923091960471E-2</c:v>
                </c:pt>
                <c:pt idx="28">
                  <c:v>2.1831427617848589E-2</c:v>
                </c:pt>
                <c:pt idx="29">
                  <c:v>1.6364399952406104E-2</c:v>
                </c:pt>
                <c:pt idx="30">
                  <c:v>1.8626364229078398E-2</c:v>
                </c:pt>
                <c:pt idx="31">
                  <c:v>1.6437138979668971E-2</c:v>
                </c:pt>
                <c:pt idx="32">
                  <c:v>1.118409573710109E-2</c:v>
                </c:pt>
                <c:pt idx="33">
                  <c:v>1.9046965113014343E-2</c:v>
                </c:pt>
                <c:pt idx="34">
                  <c:v>1.6380703527482263E-2</c:v>
                </c:pt>
                <c:pt idx="35">
                  <c:v>9.8102060066446468E-3</c:v>
                </c:pt>
                <c:pt idx="36">
                  <c:v>9.7479702440943037E-3</c:v>
                </c:pt>
                <c:pt idx="37">
                  <c:v>7.9125639268665515E-3</c:v>
                </c:pt>
                <c:pt idx="38">
                  <c:v>6.6932446293437075E-3</c:v>
                </c:pt>
                <c:pt idx="39">
                  <c:v>7.7727294175594834E-3</c:v>
                </c:pt>
                <c:pt idx="40">
                  <c:v>5.8183383553047519E-3</c:v>
                </c:pt>
                <c:pt idx="41">
                  <c:v>7.0036396163706081E-3</c:v>
                </c:pt>
                <c:pt idx="42">
                  <c:v>5.7228683820222358E-3</c:v>
                </c:pt>
                <c:pt idx="43">
                  <c:v>5.4317555078257944E-3</c:v>
                </c:pt>
                <c:pt idx="44">
                  <c:v>4.5778557632118917E-3</c:v>
                </c:pt>
                <c:pt idx="45">
                  <c:v>3.9366863203128908E-3</c:v>
                </c:pt>
                <c:pt idx="46">
                  <c:v>4.665957774681144E-3</c:v>
                </c:pt>
                <c:pt idx="47">
                  <c:v>3.6375784237233323E-3</c:v>
                </c:pt>
                <c:pt idx="48">
                  <c:v>3.1547417772370425E-3</c:v>
                </c:pt>
                <c:pt idx="49">
                  <c:v>3.0874895300478807E-3</c:v>
                </c:pt>
                <c:pt idx="50">
                  <c:v>3.3756238664900237E-3</c:v>
                </c:pt>
                <c:pt idx="51">
                  <c:v>2.6399250411782843E-3</c:v>
                </c:pt>
                <c:pt idx="52">
                  <c:v>2.4819057750554989E-3</c:v>
                </c:pt>
                <c:pt idx="53">
                  <c:v>2.1177403433062614E-3</c:v>
                </c:pt>
                <c:pt idx="54">
                  <c:v>2.2072532410801807E-3</c:v>
                </c:pt>
                <c:pt idx="55">
                  <c:v>1.9656781526920732E-3</c:v>
                </c:pt>
                <c:pt idx="56">
                  <c:v>1.9293086390606382E-3</c:v>
                </c:pt>
                <c:pt idx="57">
                  <c:v>1.5621646695571025E-3</c:v>
                </c:pt>
                <c:pt idx="58">
                  <c:v>1.8007612201909116E-3</c:v>
                </c:pt>
                <c:pt idx="59">
                  <c:v>1.538179602377751E-3</c:v>
                </c:pt>
                <c:pt idx="60">
                  <c:v>1.3575861553802816E-3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60920"/>
        <c:axId val="337356216"/>
      </c:lineChart>
      <c:catAx>
        <c:axId val="337360920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6216"/>
        <c:crosses val="autoZero"/>
        <c:auto val="1"/>
        <c:lblAlgn val="ctr"/>
        <c:lblOffset val="100"/>
        <c:tickLblSkip val="10"/>
        <c:noMultiLvlLbl val="0"/>
      </c:catAx>
      <c:valAx>
        <c:axId val="3373562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6092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4.3350897587176453E-2</c:v>
                </c:pt>
                <c:pt idx="1">
                  <c:v>4.0964048004621383E-2</c:v>
                </c:pt>
                <c:pt idx="2">
                  <c:v>3.4030946650605388E-2</c:v>
                </c:pt>
                <c:pt idx="3">
                  <c:v>6.1107633294971188E-2</c:v>
                </c:pt>
                <c:pt idx="4">
                  <c:v>0.11461934173110985</c:v>
                </c:pt>
                <c:pt idx="5">
                  <c:v>8.2689148775625249E-2</c:v>
                </c:pt>
                <c:pt idx="6">
                  <c:v>7.5025355273952654E-2</c:v>
                </c:pt>
                <c:pt idx="7">
                  <c:v>5.1015080509191402E-2</c:v>
                </c:pt>
                <c:pt idx="8">
                  <c:v>6.0636123713288845E-2</c:v>
                </c:pt>
                <c:pt idx="9">
                  <c:v>3.8362186505982186E-2</c:v>
                </c:pt>
                <c:pt idx="10">
                  <c:v>5.6039289838937911E-2</c:v>
                </c:pt>
                <c:pt idx="11">
                  <c:v>3.1412041498785341E-2</c:v>
                </c:pt>
                <c:pt idx="12">
                  <c:v>2.8320493772279569E-2</c:v>
                </c:pt>
                <c:pt idx="13">
                  <c:v>2.3968400746099006E-2</c:v>
                </c:pt>
                <c:pt idx="14">
                  <c:v>1.5251687906304068E-2</c:v>
                </c:pt>
                <c:pt idx="15">
                  <c:v>2.373658686325935E-2</c:v>
                </c:pt>
                <c:pt idx="16">
                  <c:v>2.6153401933238316E-2</c:v>
                </c:pt>
                <c:pt idx="17">
                  <c:v>2.1122050459274257E-2</c:v>
                </c:pt>
                <c:pt idx="18">
                  <c:v>2.5421502754384394E-2</c:v>
                </c:pt>
                <c:pt idx="19">
                  <c:v>1.4576217497007098E-2</c:v>
                </c:pt>
                <c:pt idx="20">
                  <c:v>1.3506529406207057E-2</c:v>
                </c:pt>
                <c:pt idx="21">
                  <c:v>1.2501670281594596E-2</c:v>
                </c:pt>
                <c:pt idx="22">
                  <c:v>1.0883645839426468E-2</c:v>
                </c:pt>
                <c:pt idx="23">
                  <c:v>1.0444219728167904E-2</c:v>
                </c:pt>
                <c:pt idx="24">
                  <c:v>8.4782146108721649E-3</c:v>
                </c:pt>
                <c:pt idx="25">
                  <c:v>6.5622073241969449E-3</c:v>
                </c:pt>
                <c:pt idx="26">
                  <c:v>7.0758819566800867E-3</c:v>
                </c:pt>
                <c:pt idx="27">
                  <c:v>5.7851088707189099E-3</c:v>
                </c:pt>
                <c:pt idx="28">
                  <c:v>4.7068909969254988E-3</c:v>
                </c:pt>
                <c:pt idx="29">
                  <c:v>3.0273845658872422E-3</c:v>
                </c:pt>
                <c:pt idx="30">
                  <c:v>4.2494242526683965E-3</c:v>
                </c:pt>
                <c:pt idx="31">
                  <c:v>3.6920161319539974E-3</c:v>
                </c:pt>
                <c:pt idx="32">
                  <c:v>1.6421349270643944E-3</c:v>
                </c:pt>
                <c:pt idx="33">
                  <c:v>2.4140565087486243E-3</c:v>
                </c:pt>
                <c:pt idx="34">
                  <c:v>6.1180271648847741E-3</c:v>
                </c:pt>
                <c:pt idx="35">
                  <c:v>2.0283118602045201E-3</c:v>
                </c:pt>
                <c:pt idx="36">
                  <c:v>3.1322379069327437E-3</c:v>
                </c:pt>
                <c:pt idx="37">
                  <c:v>2.3311251628552044E-3</c:v>
                </c:pt>
                <c:pt idx="38">
                  <c:v>3.2625609578060119E-3</c:v>
                </c:pt>
                <c:pt idx="39">
                  <c:v>1.5197843997540959E-3</c:v>
                </c:pt>
                <c:pt idx="40">
                  <c:v>1.6903617759272879E-3</c:v>
                </c:pt>
                <c:pt idx="41">
                  <c:v>1.8514477944162799E-3</c:v>
                </c:pt>
                <c:pt idx="42">
                  <c:v>2.6635161883616494E-4</c:v>
                </c:pt>
                <c:pt idx="43">
                  <c:v>7.8365272688785028E-4</c:v>
                </c:pt>
                <c:pt idx="44">
                  <c:v>2.0845265271744341E-3</c:v>
                </c:pt>
                <c:pt idx="45">
                  <c:v>1.0027415200176382E-3</c:v>
                </c:pt>
                <c:pt idx="46">
                  <c:v>3.0386586780140236E-4</c:v>
                </c:pt>
                <c:pt idx="47">
                  <c:v>2.7686927500679666E-3</c:v>
                </c:pt>
                <c:pt idx="48">
                  <c:v>1.5524519986301871E-3</c:v>
                </c:pt>
                <c:pt idx="49">
                  <c:v>2.1713246608085946E-4</c:v>
                </c:pt>
                <c:pt idx="50">
                  <c:v>5.1701177826402359E-4</c:v>
                </c:pt>
                <c:pt idx="51">
                  <c:v>2.494372632501389E-4</c:v>
                </c:pt>
                <c:pt idx="52">
                  <c:v>9.6723968161660794E-4</c:v>
                </c:pt>
                <c:pt idx="53">
                  <c:v>2.0361044925377203E-4</c:v>
                </c:pt>
                <c:pt idx="54">
                  <c:v>4.3687590986753557E-4</c:v>
                </c:pt>
                <c:pt idx="55">
                  <c:v>7.0949967296781271E-4</c:v>
                </c:pt>
                <c:pt idx="56">
                  <c:v>1.303699415208944E-3</c:v>
                </c:pt>
                <c:pt idx="57">
                  <c:v>5.5919775896026464E-4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9.7955997697139668E-2</c:v>
                </c:pt>
                <c:pt idx="1">
                  <c:v>6.3918980927300292E-2</c:v>
                </c:pt>
                <c:pt idx="2">
                  <c:v>4.5228191228610187E-2</c:v>
                </c:pt>
                <c:pt idx="3">
                  <c:v>3.1388228621589888E-2</c:v>
                </c:pt>
                <c:pt idx="4">
                  <c:v>0.10111922432367729</c:v>
                </c:pt>
                <c:pt idx="5">
                  <c:v>8.3700992966015714E-2</c:v>
                </c:pt>
                <c:pt idx="6">
                  <c:v>7.3923455544535263E-2</c:v>
                </c:pt>
                <c:pt idx="7">
                  <c:v>5.2992863413021424E-2</c:v>
                </c:pt>
                <c:pt idx="8">
                  <c:v>5.2476643638063314E-2</c:v>
                </c:pt>
                <c:pt idx="9">
                  <c:v>3.7744607658720661E-2</c:v>
                </c:pt>
                <c:pt idx="10">
                  <c:v>3.5168496414606065E-2</c:v>
                </c:pt>
                <c:pt idx="11">
                  <c:v>3.03739582977074E-2</c:v>
                </c:pt>
                <c:pt idx="12">
                  <c:v>2.6677411448179943E-2</c:v>
                </c:pt>
                <c:pt idx="13">
                  <c:v>3.1582389958616917E-2</c:v>
                </c:pt>
                <c:pt idx="14">
                  <c:v>2.3574036389753413E-2</c:v>
                </c:pt>
                <c:pt idx="15">
                  <c:v>2.2393036697561475E-2</c:v>
                </c:pt>
                <c:pt idx="16">
                  <c:v>2.5084575965890307E-2</c:v>
                </c:pt>
                <c:pt idx="17">
                  <c:v>1.4305593556551182E-2</c:v>
                </c:pt>
                <c:pt idx="18">
                  <c:v>1.6556440028728754E-2</c:v>
                </c:pt>
                <c:pt idx="19">
                  <c:v>1.5226167675593101E-2</c:v>
                </c:pt>
                <c:pt idx="20">
                  <c:v>1.2955370680711835E-2</c:v>
                </c:pt>
                <c:pt idx="21">
                  <c:v>1.0725543509239942E-2</c:v>
                </c:pt>
                <c:pt idx="22">
                  <c:v>9.7639995667886496E-3</c:v>
                </c:pt>
                <c:pt idx="23">
                  <c:v>8.9894917746844959E-3</c:v>
                </c:pt>
                <c:pt idx="24">
                  <c:v>8.3115302620928675E-3</c:v>
                </c:pt>
                <c:pt idx="25">
                  <c:v>8.0724802489825238E-3</c:v>
                </c:pt>
                <c:pt idx="26">
                  <c:v>7.7828414104449536E-3</c:v>
                </c:pt>
                <c:pt idx="27">
                  <c:v>6.0895407959688543E-3</c:v>
                </c:pt>
                <c:pt idx="28">
                  <c:v>4.0802381522395889E-3</c:v>
                </c:pt>
                <c:pt idx="29">
                  <c:v>4.5034742410251152E-3</c:v>
                </c:pt>
                <c:pt idx="30">
                  <c:v>3.3976452683060297E-3</c:v>
                </c:pt>
                <c:pt idx="31">
                  <c:v>3.8066309837317736E-3</c:v>
                </c:pt>
                <c:pt idx="32">
                  <c:v>3.2152404893008198E-3</c:v>
                </c:pt>
                <c:pt idx="33">
                  <c:v>2.5639984267587811E-3</c:v>
                </c:pt>
                <c:pt idx="34">
                  <c:v>2.6548445569273913E-3</c:v>
                </c:pt>
                <c:pt idx="35">
                  <c:v>2.0520537638086117E-3</c:v>
                </c:pt>
                <c:pt idx="36">
                  <c:v>2.3488177890260723E-3</c:v>
                </c:pt>
                <c:pt idx="37">
                  <c:v>2.1200992966015708E-3</c:v>
                </c:pt>
                <c:pt idx="38">
                  <c:v>2.1956262754084157E-3</c:v>
                </c:pt>
                <c:pt idx="39">
                  <c:v>1.9070562148728297E-3</c:v>
                </c:pt>
                <c:pt idx="40">
                  <c:v>1.1802871735239464E-3</c:v>
                </c:pt>
                <c:pt idx="41">
                  <c:v>1.136111016108622E-3</c:v>
                </c:pt>
                <c:pt idx="42">
                  <c:v>1.0010887285246874E-3</c:v>
                </c:pt>
                <c:pt idx="43">
                  <c:v>8.1547761551352643E-4</c:v>
                </c:pt>
                <c:pt idx="44">
                  <c:v>8.0657113216366268E-4</c:v>
                </c:pt>
                <c:pt idx="45">
                  <c:v>7.9873342681578263E-4</c:v>
                </c:pt>
                <c:pt idx="46">
                  <c:v>8.2545287686537389E-4</c:v>
                </c:pt>
                <c:pt idx="47">
                  <c:v>5.4828311501761348E-4</c:v>
                </c:pt>
                <c:pt idx="48">
                  <c:v>3.9722915740392396E-4</c:v>
                </c:pt>
                <c:pt idx="49">
                  <c:v>3.8440382138012018E-4</c:v>
                </c:pt>
                <c:pt idx="50">
                  <c:v>4.2181105144954798E-4</c:v>
                </c:pt>
                <c:pt idx="51">
                  <c:v>3.5982192733449616E-4</c:v>
                </c:pt>
                <c:pt idx="52">
                  <c:v>2.2052452774262685E-4</c:v>
                </c:pt>
                <c:pt idx="53">
                  <c:v>2.2836223309050696E-4</c:v>
                </c:pt>
                <c:pt idx="54">
                  <c:v>2.8928257920357516E-4</c:v>
                </c:pt>
                <c:pt idx="55">
                  <c:v>2.5686297981007103E-4</c:v>
                </c:pt>
                <c:pt idx="56">
                  <c:v>1.7812966699727532E-4</c:v>
                </c:pt>
                <c:pt idx="57">
                  <c:v>9.8683835516490538E-5</c:v>
                </c:pt>
                <c:pt idx="58">
                  <c:v>1.4677884560575487E-4</c:v>
                </c:pt>
                <c:pt idx="59">
                  <c:v>9.2983686172577715E-5</c:v>
                </c:pt>
                <c:pt idx="60">
                  <c:v>1.1257794954227801E-4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8960"/>
        <c:axId val="337358568"/>
      </c:lineChart>
      <c:catAx>
        <c:axId val="337358960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8568"/>
        <c:crosses val="autoZero"/>
        <c:auto val="1"/>
        <c:lblAlgn val="ctr"/>
        <c:lblOffset val="100"/>
        <c:tickLblSkip val="10"/>
        <c:noMultiLvlLbl val="0"/>
      </c:catAx>
      <c:valAx>
        <c:axId val="33735856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89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5.0976018773326421E-4</c:v>
                </c:pt>
                <c:pt idx="1">
                  <c:v>7.5889516367453301E-4</c:v>
                </c:pt>
                <c:pt idx="2">
                  <c:v>3.0040143019223662E-3</c:v>
                </c:pt>
                <c:pt idx="3">
                  <c:v>1.8749009186536383E-3</c:v>
                </c:pt>
                <c:pt idx="4">
                  <c:v>5.0594805929866215E-3</c:v>
                </c:pt>
                <c:pt idx="5">
                  <c:v>1.37955379963598E-2</c:v>
                </c:pt>
                <c:pt idx="6">
                  <c:v>1.1987847147793168E-2</c:v>
                </c:pt>
                <c:pt idx="7">
                  <c:v>1.2030039698227295E-2</c:v>
                </c:pt>
                <c:pt idx="8">
                  <c:v>7.3839074963944181E-3</c:v>
                </c:pt>
                <c:pt idx="9">
                  <c:v>1.7836473748381459E-2</c:v>
                </c:pt>
                <c:pt idx="10">
                  <c:v>6.3823251749068133E-3</c:v>
                </c:pt>
                <c:pt idx="11">
                  <c:v>1.4396909731323395E-2</c:v>
                </c:pt>
                <c:pt idx="12">
                  <c:v>1.0107945006456724E-2</c:v>
                </c:pt>
                <c:pt idx="13">
                  <c:v>1.0648566430076807E-2</c:v>
                </c:pt>
                <c:pt idx="14">
                  <c:v>1.1880051167044397E-2</c:v>
                </c:pt>
                <c:pt idx="15">
                  <c:v>9.8264895193360107E-3</c:v>
                </c:pt>
                <c:pt idx="16">
                  <c:v>1.6807097102083172E-2</c:v>
                </c:pt>
                <c:pt idx="17">
                  <c:v>9.7511778498767226E-3</c:v>
                </c:pt>
                <c:pt idx="18">
                  <c:v>4.6676447814153865E-2</c:v>
                </c:pt>
                <c:pt idx="19">
                  <c:v>3.0123237581621949E-2</c:v>
                </c:pt>
                <c:pt idx="20">
                  <c:v>3.4860110233020256E-2</c:v>
                </c:pt>
                <c:pt idx="21">
                  <c:v>4.7453956169726717E-2</c:v>
                </c:pt>
                <c:pt idx="22">
                  <c:v>3.2159982143700756E-2</c:v>
                </c:pt>
                <c:pt idx="23">
                  <c:v>2.7900418019341035E-2</c:v>
                </c:pt>
                <c:pt idx="24">
                  <c:v>3.7013573910480324E-2</c:v>
                </c:pt>
                <c:pt idx="25">
                  <c:v>2.264879460486225E-2</c:v>
                </c:pt>
                <c:pt idx="26">
                  <c:v>3.6226244682296307E-2</c:v>
                </c:pt>
                <c:pt idx="27">
                  <c:v>2.4501799204792073E-2</c:v>
                </c:pt>
                <c:pt idx="28">
                  <c:v>2.7500900780965253E-2</c:v>
                </c:pt>
                <c:pt idx="29">
                  <c:v>2.2728060092624874E-2</c:v>
                </c:pt>
                <c:pt idx="30">
                  <c:v>2.5690704568350375E-2</c:v>
                </c:pt>
                <c:pt idx="31">
                  <c:v>1.7361334712889712E-2</c:v>
                </c:pt>
                <c:pt idx="32">
                  <c:v>1.8531651256158656E-2</c:v>
                </c:pt>
                <c:pt idx="33">
                  <c:v>2.081973526267035E-2</c:v>
                </c:pt>
                <c:pt idx="34">
                  <c:v>2.9063009398100276E-2</c:v>
                </c:pt>
                <c:pt idx="35">
                  <c:v>1.8701601225951461E-2</c:v>
                </c:pt>
                <c:pt idx="36">
                  <c:v>1.3113100072795297E-2</c:v>
                </c:pt>
                <c:pt idx="37">
                  <c:v>1.7402603886907196E-2</c:v>
                </c:pt>
                <c:pt idx="38">
                  <c:v>2.2029233859835066E-2</c:v>
                </c:pt>
                <c:pt idx="39">
                  <c:v>1.1831276989094457E-2</c:v>
                </c:pt>
                <c:pt idx="40">
                  <c:v>1.005818599877456E-2</c:v>
                </c:pt>
                <c:pt idx="41">
                  <c:v>1.5073451608597523E-2</c:v>
                </c:pt>
                <c:pt idx="42">
                  <c:v>7.3862875346109467E-3</c:v>
                </c:pt>
                <c:pt idx="43">
                  <c:v>1.0306626804415055E-2</c:v>
                </c:pt>
                <c:pt idx="44">
                  <c:v>7.24124309328944E-3</c:v>
                </c:pt>
                <c:pt idx="45">
                  <c:v>3.4533736844136916E-2</c:v>
                </c:pt>
                <c:pt idx="46">
                  <c:v>9.9791041510519998E-3</c:v>
                </c:pt>
                <c:pt idx="47">
                  <c:v>8.5790993785921244E-3</c:v>
                </c:pt>
                <c:pt idx="48">
                  <c:v>7.4169928306962599E-3</c:v>
                </c:pt>
                <c:pt idx="49">
                  <c:v>4.7913337177387981E-3</c:v>
                </c:pt>
                <c:pt idx="50">
                  <c:v>5.9404559129806753E-3</c:v>
                </c:pt>
                <c:pt idx="51">
                  <c:v>4.5939179600581323E-3</c:v>
                </c:pt>
                <c:pt idx="52">
                  <c:v>6.5667686848019814E-3</c:v>
                </c:pt>
                <c:pt idx="53">
                  <c:v>5.1386451510872927E-3</c:v>
                </c:pt>
                <c:pt idx="54">
                  <c:v>4.3482007760616403E-3</c:v>
                </c:pt>
                <c:pt idx="55">
                  <c:v>6.1376500951985024E-3</c:v>
                </c:pt>
                <c:pt idx="56">
                  <c:v>3.2246420618066512E-3</c:v>
                </c:pt>
                <c:pt idx="57">
                  <c:v>1.9611028103021112E-3</c:v>
                </c:pt>
                <c:pt idx="58">
                  <c:v>2.276982589139893E-3</c:v>
                </c:pt>
                <c:pt idx="59">
                  <c:v>2.9270799524444566E-3</c:v>
                </c:pt>
                <c:pt idx="60">
                  <c:v>2.8233676696514734E-3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7.8127671945004958E-4</c:v>
                </c:pt>
                <c:pt idx="1">
                  <c:v>9.837745248925521E-3</c:v>
                </c:pt>
                <c:pt idx="2">
                  <c:v>1.3681070944058734E-2</c:v>
                </c:pt>
                <c:pt idx="3">
                  <c:v>1.7096172919730496E-2</c:v>
                </c:pt>
                <c:pt idx="4">
                  <c:v>1.7840754927779107E-2</c:v>
                </c:pt>
                <c:pt idx="5">
                  <c:v>1.7794084955025821E-2</c:v>
                </c:pt>
                <c:pt idx="6">
                  <c:v>1.7620942918704471E-2</c:v>
                </c:pt>
                <c:pt idx="7">
                  <c:v>1.770074500951925E-2</c:v>
                </c:pt>
                <c:pt idx="8">
                  <c:v>1.7173481195207313E-2</c:v>
                </c:pt>
                <c:pt idx="9">
                  <c:v>1.6982526192186237E-2</c:v>
                </c:pt>
                <c:pt idx="10">
                  <c:v>1.5945455270928097E-2</c:v>
                </c:pt>
                <c:pt idx="11">
                  <c:v>1.4734886054014615E-2</c:v>
                </c:pt>
                <c:pt idx="12">
                  <c:v>1.3821437121652588E-2</c:v>
                </c:pt>
                <c:pt idx="13">
                  <c:v>1.2838517619161622E-2</c:v>
                </c:pt>
                <c:pt idx="14">
                  <c:v>1.2025890078320053E-2</c:v>
                </c:pt>
                <c:pt idx="15">
                  <c:v>1.1050452021842972E-2</c:v>
                </c:pt>
                <c:pt idx="16">
                  <c:v>1.0378903177263244E-2</c:v>
                </c:pt>
                <c:pt idx="17">
                  <c:v>9.8965280390346227E-3</c:v>
                </c:pt>
                <c:pt idx="18">
                  <c:v>6.1779643626663015E-2</c:v>
                </c:pt>
                <c:pt idx="19">
                  <c:v>3.0839945506572271E-2</c:v>
                </c:pt>
                <c:pt idx="20">
                  <c:v>3.4169901501419339E-2</c:v>
                </c:pt>
                <c:pt idx="21">
                  <c:v>3.7838660122895218E-2</c:v>
                </c:pt>
                <c:pt idx="22">
                  <c:v>4.0254454666712271E-2</c:v>
                </c:pt>
                <c:pt idx="23">
                  <c:v>3.7096215670850578E-2</c:v>
                </c:pt>
                <c:pt idx="24">
                  <c:v>2.6586565318011332E-2</c:v>
                </c:pt>
                <c:pt idx="25">
                  <c:v>3.012422050457722E-2</c:v>
                </c:pt>
                <c:pt idx="26">
                  <c:v>2.6974175473397404E-2</c:v>
                </c:pt>
                <c:pt idx="27">
                  <c:v>2.4375619891241151E-2</c:v>
                </c:pt>
                <c:pt idx="28">
                  <c:v>2.6949949838685774E-2</c:v>
                </c:pt>
                <c:pt idx="29">
                  <c:v>2.2967326743960691E-2</c:v>
                </c:pt>
                <c:pt idx="30">
                  <c:v>2.2099479006349967E-2</c:v>
                </c:pt>
                <c:pt idx="31">
                  <c:v>1.9327781387872361E-2</c:v>
                </c:pt>
                <c:pt idx="32">
                  <c:v>1.9927722106319185E-2</c:v>
                </c:pt>
                <c:pt idx="33">
                  <c:v>2.3738984461392887E-2</c:v>
                </c:pt>
                <c:pt idx="34">
                  <c:v>2.0008949234469942E-2</c:v>
                </c:pt>
                <c:pt idx="35">
                  <c:v>1.682719712256461E-2</c:v>
                </c:pt>
                <c:pt idx="36">
                  <c:v>1.377227333356134E-2</c:v>
                </c:pt>
                <c:pt idx="37">
                  <c:v>1.5127840099410605E-2</c:v>
                </c:pt>
                <c:pt idx="38">
                  <c:v>1.2547810002622069E-2</c:v>
                </c:pt>
                <c:pt idx="39">
                  <c:v>1.2920101006646374E-2</c:v>
                </c:pt>
                <c:pt idx="40">
                  <c:v>9.9752613518474184E-3</c:v>
                </c:pt>
                <c:pt idx="41">
                  <c:v>1.1930768836143506E-2</c:v>
                </c:pt>
                <c:pt idx="42">
                  <c:v>9.15800243966392E-3</c:v>
                </c:pt>
                <c:pt idx="43">
                  <c:v>1.0867334724169774E-2</c:v>
                </c:pt>
                <c:pt idx="44">
                  <c:v>9.8028318341940555E-3</c:v>
                </c:pt>
                <c:pt idx="45">
                  <c:v>9.1013572055587862E-3</c:v>
                </c:pt>
                <c:pt idx="46">
                  <c:v>7.3485612823055964E-3</c:v>
                </c:pt>
                <c:pt idx="47">
                  <c:v>7.3225543509239941E-3</c:v>
                </c:pt>
                <c:pt idx="48">
                  <c:v>6.1686303681156443E-3</c:v>
                </c:pt>
                <c:pt idx="49">
                  <c:v>6.1885808908193393E-3</c:v>
                </c:pt>
                <c:pt idx="50">
                  <c:v>5.7560820593499547E-3</c:v>
                </c:pt>
                <c:pt idx="51">
                  <c:v>4.913884993786837E-3</c:v>
                </c:pt>
                <c:pt idx="52">
                  <c:v>5.3627717546199712E-3</c:v>
                </c:pt>
                <c:pt idx="53">
                  <c:v>4.1778532097540956E-3</c:v>
                </c:pt>
                <c:pt idx="54">
                  <c:v>4.3185756466819431E-3</c:v>
                </c:pt>
                <c:pt idx="55">
                  <c:v>6.7051569251114383E-3</c:v>
                </c:pt>
                <c:pt idx="56">
                  <c:v>3.2825735034257898E-3</c:v>
                </c:pt>
                <c:pt idx="57">
                  <c:v>3.2259282693206564E-3</c:v>
                </c:pt>
                <c:pt idx="58">
                  <c:v>3.3249683641711414E-3</c:v>
                </c:pt>
                <c:pt idx="59">
                  <c:v>3.6876403661775937E-3</c:v>
                </c:pt>
                <c:pt idx="60">
                  <c:v>3.0705991996990323E-3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9352"/>
        <c:axId val="337360136"/>
      </c:lineChart>
      <c:catAx>
        <c:axId val="337359352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60136"/>
        <c:crosses val="autoZero"/>
        <c:auto val="1"/>
        <c:lblAlgn val="ctr"/>
        <c:lblOffset val="100"/>
        <c:tickLblSkip val="10"/>
        <c:noMultiLvlLbl val="0"/>
      </c:catAx>
      <c:valAx>
        <c:axId val="337360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93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6.7908804863944364E-2</c:v>
                </c:pt>
                <c:pt idx="1">
                  <c:v>5.0332260930260102E-2</c:v>
                </c:pt>
                <c:pt idx="2">
                  <c:v>6.4507688338137734E-2</c:v>
                </c:pt>
                <c:pt idx="3">
                  <c:v>9.5332250844830213E-2</c:v>
                </c:pt>
                <c:pt idx="4">
                  <c:v>0.20234716945580231</c:v>
                </c:pt>
                <c:pt idx="5">
                  <c:v>8.5410977927769027E-2</c:v>
                </c:pt>
                <c:pt idx="6">
                  <c:v>0.14274259339946485</c:v>
                </c:pt>
                <c:pt idx="7">
                  <c:v>5.3596581290139451E-2</c:v>
                </c:pt>
                <c:pt idx="8">
                  <c:v>4.5283578361986404E-2</c:v>
                </c:pt>
                <c:pt idx="9">
                  <c:v>3.4154977371809031E-2</c:v>
                </c:pt>
                <c:pt idx="10">
                  <c:v>6.0641853624114943E-2</c:v>
                </c:pt>
                <c:pt idx="11">
                  <c:v>1.1745761089692474E-2</c:v>
                </c:pt>
                <c:pt idx="12">
                  <c:v>8.9814146376595589E-3</c:v>
                </c:pt>
                <c:pt idx="13">
                  <c:v>6.3888568889515704E-3</c:v>
                </c:pt>
                <c:pt idx="14">
                  <c:v>6.2271882821414793E-3</c:v>
                </c:pt>
                <c:pt idx="15">
                  <c:v>3.1458703056568694E-3</c:v>
                </c:pt>
                <c:pt idx="16">
                  <c:v>1.1986737757805612E-2</c:v>
                </c:pt>
                <c:pt idx="17">
                  <c:v>7.2217516854610276E-3</c:v>
                </c:pt>
                <c:pt idx="18">
                  <c:v>7.044405115650753E-3</c:v>
                </c:pt>
                <c:pt idx="19">
                  <c:v>2.0770411798038684E-3</c:v>
                </c:pt>
                <c:pt idx="20">
                  <c:v>1.9366959719289319E-3</c:v>
                </c:pt>
                <c:pt idx="21">
                  <c:v>9.1799754716662789E-3</c:v>
                </c:pt>
                <c:pt idx="22">
                  <c:v>2.5268726331390923E-3</c:v>
                </c:pt>
                <c:pt idx="23">
                  <c:v>1.100414413466964E-2</c:v>
                </c:pt>
                <c:pt idx="24">
                  <c:v>2.05682651540962E-4</c:v>
                </c:pt>
                <c:pt idx="25">
                  <c:v>1.2489394586892781E-3</c:v>
                </c:pt>
                <c:pt idx="26">
                  <c:v>1.2131687341140614E-3</c:v>
                </c:pt>
                <c:pt idx="27">
                  <c:v>2.0912689731751384E-5</c:v>
                </c:pt>
                <c:pt idx="28">
                  <c:v>1.9737428357836087E-3</c:v>
                </c:pt>
                <c:pt idx="29">
                  <c:v>3.5421573165624737E-4</c:v>
                </c:pt>
                <c:pt idx="30">
                  <c:v>0</c:v>
                </c:pt>
                <c:pt idx="31">
                  <c:v>0</c:v>
                </c:pt>
                <c:pt idx="32">
                  <c:v>1.8267056671200007E-5</c:v>
                </c:pt>
                <c:pt idx="33">
                  <c:v>0</c:v>
                </c:pt>
                <c:pt idx="34">
                  <c:v>6.8482439812463146E-4</c:v>
                </c:pt>
                <c:pt idx="35">
                  <c:v>1.169240757492463E-5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5.9193351078352793E-6</c:v>
                </c:pt>
                <c:pt idx="40">
                  <c:v>6.3208403961574398E-6</c:v>
                </c:pt>
                <c:pt idx="41">
                  <c:v>0</c:v>
                </c:pt>
                <c:pt idx="42">
                  <c:v>3.8969658760836819E-4</c:v>
                </c:pt>
                <c:pt idx="43">
                  <c:v>4.0313855447715661E-4</c:v>
                </c:pt>
                <c:pt idx="44">
                  <c:v>0</c:v>
                </c:pt>
                <c:pt idx="45">
                  <c:v>0</c:v>
                </c:pt>
                <c:pt idx="46">
                  <c:v>1.6378296472056497E-3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0.15304654175649174</c:v>
                </c:pt>
                <c:pt idx="1">
                  <c:v>0.14844050039173115</c:v>
                </c:pt>
                <c:pt idx="2">
                  <c:v>8.8824396913260995E-2</c:v>
                </c:pt>
                <c:pt idx="3">
                  <c:v>5.5396672589573294E-2</c:v>
                </c:pt>
                <c:pt idx="4">
                  <c:v>0.1794666311633647</c:v>
                </c:pt>
                <c:pt idx="5">
                  <c:v>7.9234664877846459E-2</c:v>
                </c:pt>
                <c:pt idx="6">
                  <c:v>7.9311474906163748E-2</c:v>
                </c:pt>
                <c:pt idx="7">
                  <c:v>4.7640139896664907E-2</c:v>
                </c:pt>
                <c:pt idx="8">
                  <c:v>3.9269126977218148E-2</c:v>
                </c:pt>
                <c:pt idx="9">
                  <c:v>2.6137172469237583E-2</c:v>
                </c:pt>
                <c:pt idx="10">
                  <c:v>1.984515098291233E-2</c:v>
                </c:pt>
                <c:pt idx="11">
                  <c:v>1.2531556119967023E-2</c:v>
                </c:pt>
                <c:pt idx="12">
                  <c:v>1.2712059686512671E-2</c:v>
                </c:pt>
                <c:pt idx="13">
                  <c:v>9.2389662394322201E-3</c:v>
                </c:pt>
                <c:pt idx="14">
                  <c:v>8.362051749476412E-3</c:v>
                </c:pt>
                <c:pt idx="15">
                  <c:v>5.9386953560656881E-3</c:v>
                </c:pt>
                <c:pt idx="16">
                  <c:v>4.9606476621587717E-3</c:v>
                </c:pt>
                <c:pt idx="17">
                  <c:v>2.8867768975917494E-3</c:v>
                </c:pt>
                <c:pt idx="18">
                  <c:v>2.8854967304531281E-3</c:v>
                </c:pt>
                <c:pt idx="19">
                  <c:v>3.4129255915652345E-3</c:v>
                </c:pt>
                <c:pt idx="20">
                  <c:v>3.8520229201124499E-3</c:v>
                </c:pt>
                <c:pt idx="21">
                  <c:v>2.2684561696375079E-3</c:v>
                </c:pt>
                <c:pt idx="22">
                  <c:v>1.7999149969019955E-3</c:v>
                </c:pt>
                <c:pt idx="23">
                  <c:v>1.4811533793852125E-3</c:v>
                </c:pt>
                <c:pt idx="24">
                  <c:v>1.3659383369092669E-3</c:v>
                </c:pt>
                <c:pt idx="25">
                  <c:v>8.8971616134202484E-4</c:v>
                </c:pt>
                <c:pt idx="26">
                  <c:v>7.9498379308402508E-4</c:v>
                </c:pt>
                <c:pt idx="27">
                  <c:v>1.1815942689477538E-3</c:v>
                </c:pt>
                <c:pt idx="28">
                  <c:v>5.2358835969624194E-4</c:v>
                </c:pt>
                <c:pt idx="29">
                  <c:v>6.0295872229078232E-4</c:v>
                </c:pt>
                <c:pt idx="30">
                  <c:v>6.9769109054878208E-4</c:v>
                </c:pt>
                <c:pt idx="31">
                  <c:v>3.5076579598232346E-4</c:v>
                </c:pt>
                <c:pt idx="32">
                  <c:v>4.1989482146789086E-4</c:v>
                </c:pt>
                <c:pt idx="33">
                  <c:v>5.8247604807283636E-4</c:v>
                </c:pt>
                <c:pt idx="34">
                  <c:v>1.2161587816905376E-3</c:v>
                </c:pt>
                <c:pt idx="35">
                  <c:v>3.7892947303199906E-4</c:v>
                </c:pt>
                <c:pt idx="36">
                  <c:v>1.7410273085254012E-4</c:v>
                </c:pt>
                <c:pt idx="37">
                  <c:v>2.9571860902159383E-4</c:v>
                </c:pt>
                <c:pt idx="38">
                  <c:v>2.3043008495189131E-4</c:v>
                </c:pt>
                <c:pt idx="39">
                  <c:v>2.0994741073394543E-4</c:v>
                </c:pt>
                <c:pt idx="40">
                  <c:v>1.2673654672354023E-4</c:v>
                </c:pt>
                <c:pt idx="41">
                  <c:v>1.5618039091183744E-4</c:v>
                </c:pt>
                <c:pt idx="42">
                  <c:v>3.45645127427837E-5</c:v>
                </c:pt>
                <c:pt idx="43">
                  <c:v>1.1905554389181051E-4</c:v>
                </c:pt>
                <c:pt idx="44">
                  <c:v>7.5529861178675491E-5</c:v>
                </c:pt>
                <c:pt idx="45">
                  <c:v>8.3210864010405198E-5</c:v>
                </c:pt>
                <c:pt idx="46">
                  <c:v>1.1521504247594565E-4</c:v>
                </c:pt>
                <c:pt idx="47">
                  <c:v>4.6086016990378267E-5</c:v>
                </c:pt>
                <c:pt idx="48">
                  <c:v>3.9685181297270169E-5</c:v>
                </c:pt>
                <c:pt idx="49">
                  <c:v>4.2245515574513407E-5</c:v>
                </c:pt>
                <c:pt idx="50">
                  <c:v>6.91290254855674E-5</c:v>
                </c:pt>
                <c:pt idx="51">
                  <c:v>6.528852406970254E-5</c:v>
                </c:pt>
                <c:pt idx="52">
                  <c:v>2.560334277243237E-6</c:v>
                </c:pt>
                <c:pt idx="53">
                  <c:v>2.8163677049675606E-5</c:v>
                </c:pt>
                <c:pt idx="54">
                  <c:v>7.68100283172971E-6</c:v>
                </c:pt>
                <c:pt idx="55">
                  <c:v>1.6642172802081039E-5</c:v>
                </c:pt>
                <c:pt idx="56">
                  <c:v>1.2801671386216184E-5</c:v>
                </c:pt>
                <c:pt idx="57">
                  <c:v>3.840501415864855E-6</c:v>
                </c:pt>
                <c:pt idx="58">
                  <c:v>3.840501415864855E-6</c:v>
                </c:pt>
                <c:pt idx="59">
                  <c:v>0</c:v>
                </c:pt>
                <c:pt idx="60">
                  <c:v>1.4081838524837803E-5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0584"/>
        <c:axId val="128020192"/>
      </c:lineChart>
      <c:catAx>
        <c:axId val="128020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0192"/>
        <c:crosses val="autoZero"/>
        <c:auto val="1"/>
        <c:lblAlgn val="ctr"/>
        <c:lblOffset val="100"/>
        <c:tickLblSkip val="10"/>
        <c:noMultiLvlLbl val="0"/>
      </c:catAx>
      <c:valAx>
        <c:axId val="12802019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0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8.156350282673492E-3</c:v>
                </c:pt>
                <c:pt idx="2">
                  <c:v>6.8145609813907559E-3</c:v>
                </c:pt>
                <c:pt idx="3">
                  <c:v>1.4230797282412447E-2</c:v>
                </c:pt>
                <c:pt idx="4">
                  <c:v>1.0782005828019798E-2</c:v>
                </c:pt>
                <c:pt idx="5">
                  <c:v>8.9122035466190682E-3</c:v>
                </c:pt>
                <c:pt idx="6">
                  <c:v>8.7185302939005154E-3</c:v>
                </c:pt>
                <c:pt idx="7">
                  <c:v>1.628655697829668E-2</c:v>
                </c:pt>
                <c:pt idx="8">
                  <c:v>3.9059268496487954E-3</c:v>
                </c:pt>
                <c:pt idx="9">
                  <c:v>1.404400204859528E-2</c:v>
                </c:pt>
                <c:pt idx="10">
                  <c:v>8.3782112783444881E-3</c:v>
                </c:pt>
                <c:pt idx="11">
                  <c:v>1.6176340952326389E-2</c:v>
                </c:pt>
                <c:pt idx="12">
                  <c:v>3.5714752295633805E-2</c:v>
                </c:pt>
                <c:pt idx="13">
                  <c:v>1.1082988615131477E-2</c:v>
                </c:pt>
                <c:pt idx="14">
                  <c:v>1.6656497446691503E-2</c:v>
                </c:pt>
                <c:pt idx="15">
                  <c:v>3.8640665940122111E-3</c:v>
                </c:pt>
                <c:pt idx="16">
                  <c:v>3.9470246796736198E-2</c:v>
                </c:pt>
                <c:pt idx="17">
                  <c:v>1.8142270877281777E-2</c:v>
                </c:pt>
                <c:pt idx="18">
                  <c:v>0.10352030239184527</c:v>
                </c:pt>
                <c:pt idx="19">
                  <c:v>3.7705673872785943E-2</c:v>
                </c:pt>
                <c:pt idx="20">
                  <c:v>6.2675113675186189E-2</c:v>
                </c:pt>
                <c:pt idx="21">
                  <c:v>4.3768441486318484E-2</c:v>
                </c:pt>
                <c:pt idx="22">
                  <c:v>3.7184477296968381E-2</c:v>
                </c:pt>
                <c:pt idx="23">
                  <c:v>1.7217310633650763E-2</c:v>
                </c:pt>
                <c:pt idx="24">
                  <c:v>3.5708769349073792E-2</c:v>
                </c:pt>
                <c:pt idx="25">
                  <c:v>3.4050097702522569E-2</c:v>
                </c:pt>
                <c:pt idx="26">
                  <c:v>7.5578255777844591E-2</c:v>
                </c:pt>
                <c:pt idx="27">
                  <c:v>1.1669069471582237E-2</c:v>
                </c:pt>
                <c:pt idx="28">
                  <c:v>2.1393386884766937E-2</c:v>
                </c:pt>
                <c:pt idx="29">
                  <c:v>1.7511851826455715E-2</c:v>
                </c:pt>
                <c:pt idx="30">
                  <c:v>1.8164293684885039E-2</c:v>
                </c:pt>
                <c:pt idx="31">
                  <c:v>1.5304623438427537E-2</c:v>
                </c:pt>
                <c:pt idx="32">
                  <c:v>6.6257879451451489E-3</c:v>
                </c:pt>
                <c:pt idx="33">
                  <c:v>1.0525344903903817E-2</c:v>
                </c:pt>
                <c:pt idx="34">
                  <c:v>2.2701703283748365E-2</c:v>
                </c:pt>
                <c:pt idx="35">
                  <c:v>5.5420482161368766E-3</c:v>
                </c:pt>
                <c:pt idx="36">
                  <c:v>5.8738532199427533E-3</c:v>
                </c:pt>
                <c:pt idx="37">
                  <c:v>1.1863802433481388E-2</c:v>
                </c:pt>
                <c:pt idx="38">
                  <c:v>1.6185728421689305E-2</c:v>
                </c:pt>
                <c:pt idx="39">
                  <c:v>3.2737425601384474E-3</c:v>
                </c:pt>
                <c:pt idx="40">
                  <c:v>1.1297737866831949E-3</c:v>
                </c:pt>
                <c:pt idx="41">
                  <c:v>8.2949344961728774E-3</c:v>
                </c:pt>
                <c:pt idx="42">
                  <c:v>1.8001743364519905E-3</c:v>
                </c:pt>
                <c:pt idx="43">
                  <c:v>1.3456408174427419E-3</c:v>
                </c:pt>
                <c:pt idx="44">
                  <c:v>1.3729207237601828E-3</c:v>
                </c:pt>
                <c:pt idx="45">
                  <c:v>4.2931962230227549E-2</c:v>
                </c:pt>
                <c:pt idx="46">
                  <c:v>6.3664649595323404E-3</c:v>
                </c:pt>
                <c:pt idx="47">
                  <c:v>4.868653097138154E-3</c:v>
                </c:pt>
                <c:pt idx="48">
                  <c:v>2.8766108689490533E-3</c:v>
                </c:pt>
                <c:pt idx="49">
                  <c:v>1.2439107382505048E-3</c:v>
                </c:pt>
                <c:pt idx="50">
                  <c:v>4.0656239082332386E-4</c:v>
                </c:pt>
                <c:pt idx="51">
                  <c:v>1.6353673182068545E-3</c:v>
                </c:pt>
                <c:pt idx="52">
                  <c:v>1.2570749147342937E-3</c:v>
                </c:pt>
                <c:pt idx="53">
                  <c:v>0</c:v>
                </c:pt>
                <c:pt idx="54">
                  <c:v>2.4149174871741846E-3</c:v>
                </c:pt>
                <c:pt idx="55">
                  <c:v>3.749735808769989E-3</c:v>
                </c:pt>
                <c:pt idx="56">
                  <c:v>0</c:v>
                </c:pt>
                <c:pt idx="57">
                  <c:v>0</c:v>
                </c:pt>
                <c:pt idx="58">
                  <c:v>1.8267056671200007E-5</c:v>
                </c:pt>
                <c:pt idx="59">
                  <c:v>7.4713735066074527E-4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8.5771198287648434E-4</c:v>
                </c:pt>
                <c:pt idx="1">
                  <c:v>2.1866534894795866E-2</c:v>
                </c:pt>
                <c:pt idx="2">
                  <c:v>3.0912195896296221E-2</c:v>
                </c:pt>
                <c:pt idx="3">
                  <c:v>3.7278467076661527E-2</c:v>
                </c:pt>
                <c:pt idx="4">
                  <c:v>3.8312842124667797E-2</c:v>
                </c:pt>
                <c:pt idx="5">
                  <c:v>3.7671478388218368E-2</c:v>
                </c:pt>
                <c:pt idx="6">
                  <c:v>3.7311751422265692E-2</c:v>
                </c:pt>
                <c:pt idx="7">
                  <c:v>3.4759098147854182E-2</c:v>
                </c:pt>
                <c:pt idx="8">
                  <c:v>3.1318008879239273E-2</c:v>
                </c:pt>
                <c:pt idx="9">
                  <c:v>2.8492680004301361E-2</c:v>
                </c:pt>
                <c:pt idx="10">
                  <c:v>2.5754402494789719E-2</c:v>
                </c:pt>
                <c:pt idx="11">
                  <c:v>2.2464372948532159E-2</c:v>
                </c:pt>
                <c:pt idx="12">
                  <c:v>2.0692621628679842E-2</c:v>
                </c:pt>
                <c:pt idx="13">
                  <c:v>1.7054386620717201E-2</c:v>
                </c:pt>
                <c:pt idx="14">
                  <c:v>1.6803473861547364E-2</c:v>
                </c:pt>
                <c:pt idx="15">
                  <c:v>1.6002089232770231E-2</c:v>
                </c:pt>
                <c:pt idx="16">
                  <c:v>1.4948511677684639E-2</c:v>
                </c:pt>
                <c:pt idx="17">
                  <c:v>1.3702909051805804E-2</c:v>
                </c:pt>
                <c:pt idx="18">
                  <c:v>0.12920214863252547</c:v>
                </c:pt>
                <c:pt idx="19">
                  <c:v>3.3905226666393562E-2</c:v>
                </c:pt>
                <c:pt idx="20">
                  <c:v>3.514954912513378E-2</c:v>
                </c:pt>
                <c:pt idx="21">
                  <c:v>3.7153010697076612E-2</c:v>
                </c:pt>
                <c:pt idx="22">
                  <c:v>3.7581866688514855E-2</c:v>
                </c:pt>
                <c:pt idx="23">
                  <c:v>3.6751038215549425E-2</c:v>
                </c:pt>
                <c:pt idx="24">
                  <c:v>2.1769242192260622E-2</c:v>
                </c:pt>
                <c:pt idx="25">
                  <c:v>2.5631506449482044E-2</c:v>
                </c:pt>
                <c:pt idx="26">
                  <c:v>2.1936944087420054E-2</c:v>
                </c:pt>
                <c:pt idx="27">
                  <c:v>1.6053295918315096E-2</c:v>
                </c:pt>
                <c:pt idx="28">
                  <c:v>1.9367648640206465E-2</c:v>
                </c:pt>
                <c:pt idx="29">
                  <c:v>1.1285953494088188E-2</c:v>
                </c:pt>
                <c:pt idx="30">
                  <c:v>1.120018229580054E-2</c:v>
                </c:pt>
                <c:pt idx="31">
                  <c:v>8.604003338675897E-3</c:v>
                </c:pt>
                <c:pt idx="32">
                  <c:v>8.4849477947840871E-3</c:v>
                </c:pt>
                <c:pt idx="33">
                  <c:v>1.2904084757305914E-2</c:v>
                </c:pt>
                <c:pt idx="34">
                  <c:v>9.342659777660571E-3</c:v>
                </c:pt>
                <c:pt idx="35">
                  <c:v>6.4571630472074438E-3</c:v>
                </c:pt>
                <c:pt idx="36">
                  <c:v>4.8966393052276907E-3</c:v>
                </c:pt>
                <c:pt idx="37">
                  <c:v>4.8211094440490151E-3</c:v>
                </c:pt>
                <c:pt idx="38">
                  <c:v>3.7585707189930718E-3</c:v>
                </c:pt>
                <c:pt idx="39">
                  <c:v>3.3668395745748564E-3</c:v>
                </c:pt>
                <c:pt idx="40">
                  <c:v>4.5561148463543399E-3</c:v>
                </c:pt>
                <c:pt idx="41">
                  <c:v>3.6190325008833152E-3</c:v>
                </c:pt>
                <c:pt idx="42">
                  <c:v>2.6038599599563718E-3</c:v>
                </c:pt>
                <c:pt idx="43">
                  <c:v>2.8598933876806958E-3</c:v>
                </c:pt>
                <c:pt idx="44">
                  <c:v>2.6755493197191827E-3</c:v>
                </c:pt>
                <c:pt idx="45">
                  <c:v>1.9637763906455627E-3</c:v>
                </c:pt>
                <c:pt idx="46">
                  <c:v>1.7704711527136983E-3</c:v>
                </c:pt>
                <c:pt idx="47">
                  <c:v>1.5938080875839149E-3</c:v>
                </c:pt>
                <c:pt idx="48">
                  <c:v>1.7000619600895093E-3</c:v>
                </c:pt>
                <c:pt idx="49">
                  <c:v>1.5643642433956176E-3</c:v>
                </c:pt>
                <c:pt idx="50">
                  <c:v>1.3736193397409966E-3</c:v>
                </c:pt>
                <c:pt idx="51">
                  <c:v>1.3748995068796181E-3</c:v>
                </c:pt>
                <c:pt idx="52">
                  <c:v>1.3838606768499695E-3</c:v>
                </c:pt>
                <c:pt idx="53">
                  <c:v>1.2302406202153752E-3</c:v>
                </c:pt>
                <c:pt idx="54">
                  <c:v>1.2059174445815646E-3</c:v>
                </c:pt>
                <c:pt idx="55">
                  <c:v>1.2609646315422942E-3</c:v>
                </c:pt>
                <c:pt idx="56">
                  <c:v>1.3339341584437264E-3</c:v>
                </c:pt>
                <c:pt idx="57">
                  <c:v>7.9882429449988992E-4</c:v>
                </c:pt>
                <c:pt idx="58">
                  <c:v>9.1531950411445715E-4</c:v>
                </c:pt>
                <c:pt idx="59">
                  <c:v>1.0522973879469703E-3</c:v>
                </c:pt>
                <c:pt idx="60">
                  <c:v>6.8232908488532259E-4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1760"/>
        <c:axId val="128024504"/>
      </c:lineChart>
      <c:catAx>
        <c:axId val="128021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4504"/>
        <c:crosses val="autoZero"/>
        <c:auto val="1"/>
        <c:lblAlgn val="ctr"/>
        <c:lblOffset val="100"/>
        <c:tickLblSkip val="10"/>
        <c:noMultiLvlLbl val="0"/>
      </c:catAx>
      <c:valAx>
        <c:axId val="1280245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17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3.3002917508857768E-2</c:v>
                </c:pt>
                <c:pt idx="1">
                  <c:v>5.6307505392293629E-2</c:v>
                </c:pt>
                <c:pt idx="2">
                  <c:v>5.8695532575694383E-2</c:v>
                </c:pt>
                <c:pt idx="3">
                  <c:v>9.7013422472779096E-2</c:v>
                </c:pt>
                <c:pt idx="4">
                  <c:v>0.18803542031521206</c:v>
                </c:pt>
                <c:pt idx="5">
                  <c:v>8.9868904327683727E-2</c:v>
                </c:pt>
                <c:pt idx="6">
                  <c:v>0.10698932365645929</c:v>
                </c:pt>
                <c:pt idx="7">
                  <c:v>8.6745635356909379E-2</c:v>
                </c:pt>
                <c:pt idx="8">
                  <c:v>4.0614525094790611E-2</c:v>
                </c:pt>
                <c:pt idx="9">
                  <c:v>2.558747267793016E-2</c:v>
                </c:pt>
                <c:pt idx="10">
                  <c:v>6.9293528856708211E-2</c:v>
                </c:pt>
                <c:pt idx="11">
                  <c:v>1.887642628104674E-2</c:v>
                </c:pt>
                <c:pt idx="12">
                  <c:v>1.358509470802244E-2</c:v>
                </c:pt>
                <c:pt idx="13">
                  <c:v>1.2821977035172835E-2</c:v>
                </c:pt>
                <c:pt idx="14">
                  <c:v>6.2991970692787029E-3</c:v>
                </c:pt>
                <c:pt idx="15">
                  <c:v>9.9269798065905208E-3</c:v>
                </c:pt>
                <c:pt idx="16">
                  <c:v>8.6996728631704226E-3</c:v>
                </c:pt>
                <c:pt idx="17">
                  <c:v>1.4009534165986584E-2</c:v>
                </c:pt>
                <c:pt idx="18">
                  <c:v>1.5253503865507643E-2</c:v>
                </c:pt>
                <c:pt idx="19">
                  <c:v>4.5944733573741207E-3</c:v>
                </c:pt>
                <c:pt idx="20">
                  <c:v>6.3578166303427741E-3</c:v>
                </c:pt>
                <c:pt idx="21">
                  <c:v>4.7172411067765638E-3</c:v>
                </c:pt>
                <c:pt idx="22">
                  <c:v>4.4260177767830701E-3</c:v>
                </c:pt>
                <c:pt idx="23">
                  <c:v>5.7961590886962486E-3</c:v>
                </c:pt>
                <c:pt idx="24">
                  <c:v>1.5115561072714481E-3</c:v>
                </c:pt>
                <c:pt idx="25">
                  <c:v>1.2645963083644E-3</c:v>
                </c:pt>
                <c:pt idx="26">
                  <c:v>4.0365064043205301E-4</c:v>
                </c:pt>
                <c:pt idx="27">
                  <c:v>2.8578463701409659E-3</c:v>
                </c:pt>
                <c:pt idx="28">
                  <c:v>1.8317804399917315E-3</c:v>
                </c:pt>
                <c:pt idx="29">
                  <c:v>8.9284526438880216E-4</c:v>
                </c:pt>
                <c:pt idx="30">
                  <c:v>0</c:v>
                </c:pt>
                <c:pt idx="31">
                  <c:v>4.9578957916005504E-4</c:v>
                </c:pt>
                <c:pt idx="32">
                  <c:v>1.2819194689799393E-4</c:v>
                </c:pt>
                <c:pt idx="33">
                  <c:v>9.6718777203385145E-4</c:v>
                </c:pt>
                <c:pt idx="34">
                  <c:v>6.7610980625911164E-3</c:v>
                </c:pt>
                <c:pt idx="35">
                  <c:v>6.1173313172016867E-4</c:v>
                </c:pt>
                <c:pt idx="36">
                  <c:v>0</c:v>
                </c:pt>
                <c:pt idx="37">
                  <c:v>1.648766731029229E-4</c:v>
                </c:pt>
                <c:pt idx="38">
                  <c:v>9.6416415419641171E-4</c:v>
                </c:pt>
                <c:pt idx="39">
                  <c:v>1.4299693205245885E-3</c:v>
                </c:pt>
                <c:pt idx="40">
                  <c:v>0</c:v>
                </c:pt>
                <c:pt idx="41">
                  <c:v>0</c:v>
                </c:pt>
                <c:pt idx="42">
                  <c:v>2.5499406287262619E-4</c:v>
                </c:pt>
                <c:pt idx="43">
                  <c:v>6.3858571714947836E-4</c:v>
                </c:pt>
                <c:pt idx="44">
                  <c:v>3.117797563518088E-4</c:v>
                </c:pt>
                <c:pt idx="45">
                  <c:v>2.766257567489554E-4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4.4607575561073375E-4</c:v>
                </c:pt>
                <c:pt idx="53">
                  <c:v>3.6944361598241738E-6</c:v>
                </c:pt>
                <c:pt idx="54">
                  <c:v>0</c:v>
                </c:pt>
                <c:pt idx="55">
                  <c:v>0</c:v>
                </c:pt>
                <c:pt idx="56">
                  <c:v>1.9945983993852241E-4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0.15580222096314125</c:v>
                </c:pt>
                <c:pt idx="1">
                  <c:v>0.14036517679028088</c:v>
                </c:pt>
                <c:pt idx="2">
                  <c:v>8.69181178193522E-2</c:v>
                </c:pt>
                <c:pt idx="3">
                  <c:v>5.329114329346811E-2</c:v>
                </c:pt>
                <c:pt idx="4">
                  <c:v>0.16362932718208864</c:v>
                </c:pt>
                <c:pt idx="5">
                  <c:v>7.8340667402625783E-2</c:v>
                </c:pt>
                <c:pt idx="6">
                  <c:v>7.1209613315198858E-2</c:v>
                </c:pt>
                <c:pt idx="7">
                  <c:v>4.1339232143130594E-2</c:v>
                </c:pt>
                <c:pt idx="8">
                  <c:v>3.5947612332373244E-2</c:v>
                </c:pt>
                <c:pt idx="9">
                  <c:v>2.1201747926112673E-2</c:v>
                </c:pt>
                <c:pt idx="10">
                  <c:v>1.8494105134498152E-2</c:v>
                </c:pt>
                <c:pt idx="11">
                  <c:v>1.7218241577421182E-2</c:v>
                </c:pt>
                <c:pt idx="12">
                  <c:v>1.383125190544271E-2</c:v>
                </c:pt>
                <c:pt idx="13">
                  <c:v>1.1970008505757046E-2</c:v>
                </c:pt>
                <c:pt idx="14">
                  <c:v>1.195956772378424E-2</c:v>
                </c:pt>
                <c:pt idx="15">
                  <c:v>1.14848601700873E-2</c:v>
                </c:pt>
                <c:pt idx="16">
                  <c:v>1.0349599143577458E-2</c:v>
                </c:pt>
                <c:pt idx="17">
                  <c:v>5.835005018535868E-3</c:v>
                </c:pt>
                <c:pt idx="18">
                  <c:v>6.1607574160874356E-3</c:v>
                </c:pt>
                <c:pt idx="19">
                  <c:v>5.9763036012345184E-3</c:v>
                </c:pt>
                <c:pt idx="20">
                  <c:v>4.9781648446342039E-3</c:v>
                </c:pt>
                <c:pt idx="21">
                  <c:v>3.8317669840200351E-3</c:v>
                </c:pt>
                <c:pt idx="22">
                  <c:v>2.9122821182815308E-3</c:v>
                </c:pt>
                <c:pt idx="23">
                  <c:v>3.1405872174202357E-3</c:v>
                </c:pt>
                <c:pt idx="24">
                  <c:v>2.9429084120684303E-3</c:v>
                </c:pt>
                <c:pt idx="25">
                  <c:v>3.27283712240912E-3</c:v>
                </c:pt>
                <c:pt idx="26">
                  <c:v>2.229454977259977E-3</c:v>
                </c:pt>
                <c:pt idx="27">
                  <c:v>2.04569721453858E-3</c:v>
                </c:pt>
                <c:pt idx="28">
                  <c:v>1.6371146133360803E-3</c:v>
                </c:pt>
                <c:pt idx="29">
                  <c:v>1.4686699975081333E-3</c:v>
                </c:pt>
                <c:pt idx="30">
                  <c:v>1.244541211158551E-3</c:v>
                </c:pt>
                <c:pt idx="31">
                  <c:v>1.2118267609770902E-3</c:v>
                </c:pt>
                <c:pt idx="32">
                  <c:v>9.3410196050043364E-4</c:v>
                </c:pt>
                <c:pt idx="33">
                  <c:v>8.2203756732564237E-4</c:v>
                </c:pt>
                <c:pt idx="34">
                  <c:v>8.4013492274517397E-4</c:v>
                </c:pt>
                <c:pt idx="35">
                  <c:v>5.5614565308483347E-4</c:v>
                </c:pt>
                <c:pt idx="36">
                  <c:v>6.9117976659979926E-4</c:v>
                </c:pt>
                <c:pt idx="37">
                  <c:v>5.8537984260869204E-4</c:v>
                </c:pt>
                <c:pt idx="38">
                  <c:v>5.4361671471746546E-4</c:v>
                </c:pt>
                <c:pt idx="39">
                  <c:v>4.1623917464922455E-4</c:v>
                </c:pt>
                <c:pt idx="40">
                  <c:v>3.3549712739285324E-4</c:v>
                </c:pt>
                <c:pt idx="41">
                  <c:v>2.8120506113425871E-4</c:v>
                </c:pt>
                <c:pt idx="42">
                  <c:v>2.1577616077133712E-4</c:v>
                </c:pt>
                <c:pt idx="43">
                  <c:v>2.0463932666701004E-4</c:v>
                </c:pt>
                <c:pt idx="44">
                  <c:v>1.5521962532905864E-4</c:v>
                </c:pt>
                <c:pt idx="45">
                  <c:v>1.5939593811818131E-4</c:v>
                </c:pt>
                <c:pt idx="46">
                  <c:v>1.5243541680297687E-4</c:v>
                </c:pt>
                <c:pt idx="47">
                  <c:v>1.4408279122473156E-4</c:v>
                </c:pt>
                <c:pt idx="48">
                  <c:v>7.3781525941166883E-5</c:v>
                </c:pt>
                <c:pt idx="49">
                  <c:v>1.0301571546502547E-4</c:v>
                </c:pt>
                <c:pt idx="50">
                  <c:v>6.8909161020523792E-5</c:v>
                </c:pt>
                <c:pt idx="51">
                  <c:v>6.8213108889003356E-5</c:v>
                </c:pt>
                <c:pt idx="52">
                  <c:v>5.4988118390114948E-5</c:v>
                </c:pt>
                <c:pt idx="53">
                  <c:v>3.8978919365144769E-5</c:v>
                </c:pt>
                <c:pt idx="54">
                  <c:v>5.0811805600992293E-5</c:v>
                </c:pt>
                <c:pt idx="55">
                  <c:v>2.644998099777681E-5</c:v>
                </c:pt>
                <c:pt idx="56">
                  <c:v>3.7586815102103884E-5</c:v>
                </c:pt>
                <c:pt idx="57">
                  <c:v>2.7842085260817695E-5</c:v>
                </c:pt>
                <c:pt idx="58">
                  <c:v>2.8538137392338138E-5</c:v>
                </c:pt>
                <c:pt idx="59">
                  <c:v>1.6705251156490618E-5</c:v>
                </c:pt>
                <c:pt idx="60">
                  <c:v>1.8097355419531503E-5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2544"/>
        <c:axId val="128027640"/>
      </c:lineChart>
      <c:catAx>
        <c:axId val="12802254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7640"/>
        <c:crosses val="autoZero"/>
        <c:auto val="1"/>
        <c:lblAlgn val="ctr"/>
        <c:lblOffset val="100"/>
        <c:tickLblSkip val="10"/>
        <c:noMultiLvlLbl val="0"/>
      </c:catAx>
      <c:valAx>
        <c:axId val="1280276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254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5.1645030969883401E-3</c:v>
                </c:pt>
                <c:pt idx="1">
                  <c:v>6.1512934716305197E-3</c:v>
                </c:pt>
                <c:pt idx="2">
                  <c:v>6.1599232138814693E-3</c:v>
                </c:pt>
                <c:pt idx="3">
                  <c:v>8.9576542149645434E-3</c:v>
                </c:pt>
                <c:pt idx="4">
                  <c:v>1.2637098679265307E-2</c:v>
                </c:pt>
                <c:pt idx="5">
                  <c:v>1.4072213702253828E-2</c:v>
                </c:pt>
                <c:pt idx="6">
                  <c:v>1.4396306717130568E-2</c:v>
                </c:pt>
                <c:pt idx="7">
                  <c:v>1.908532223430388E-2</c:v>
                </c:pt>
                <c:pt idx="8">
                  <c:v>1.0623944813816446E-2</c:v>
                </c:pt>
                <c:pt idx="9">
                  <c:v>2.0791191375690424E-2</c:v>
                </c:pt>
                <c:pt idx="10">
                  <c:v>1.0471630261524591E-2</c:v>
                </c:pt>
                <c:pt idx="11">
                  <c:v>1.4943443346575925E-2</c:v>
                </c:pt>
                <c:pt idx="12">
                  <c:v>2.1489871541964266E-2</c:v>
                </c:pt>
                <c:pt idx="13">
                  <c:v>1.2274959959544607E-2</c:v>
                </c:pt>
                <c:pt idx="14">
                  <c:v>1.5914639550305025E-2</c:v>
                </c:pt>
                <c:pt idx="15">
                  <c:v>9.1979157512538951E-3</c:v>
                </c:pt>
                <c:pt idx="16">
                  <c:v>4.309808516079916E-2</c:v>
                </c:pt>
                <c:pt idx="17">
                  <c:v>1.6604835931584339E-2</c:v>
                </c:pt>
                <c:pt idx="18">
                  <c:v>8.3280003089701821E-2</c:v>
                </c:pt>
                <c:pt idx="19">
                  <c:v>3.3432086276516983E-2</c:v>
                </c:pt>
                <c:pt idx="20">
                  <c:v>5.6313133079049997E-2</c:v>
                </c:pt>
                <c:pt idx="21">
                  <c:v>5.7880051313527657E-2</c:v>
                </c:pt>
                <c:pt idx="22">
                  <c:v>4.2702172456846703E-2</c:v>
                </c:pt>
                <c:pt idx="23">
                  <c:v>2.4401217588933103E-2</c:v>
                </c:pt>
                <c:pt idx="24">
                  <c:v>3.9747039382930782E-2</c:v>
                </c:pt>
                <c:pt idx="25">
                  <c:v>4.0006255230759923E-2</c:v>
                </c:pt>
                <c:pt idx="26">
                  <c:v>5.4729637009397973E-2</c:v>
                </c:pt>
                <c:pt idx="27">
                  <c:v>1.2321045521130376E-2</c:v>
                </c:pt>
                <c:pt idx="28">
                  <c:v>2.9414536389487336E-2</c:v>
                </c:pt>
                <c:pt idx="29">
                  <c:v>2.8277627720174611E-2</c:v>
                </c:pt>
                <c:pt idx="30">
                  <c:v>1.0756295208275443E-2</c:v>
                </c:pt>
                <c:pt idx="31">
                  <c:v>1.2670117208746509E-2</c:v>
                </c:pt>
                <c:pt idx="32">
                  <c:v>9.3843474123203631E-3</c:v>
                </c:pt>
                <c:pt idx="33">
                  <c:v>9.5293851576014436E-3</c:v>
                </c:pt>
                <c:pt idx="34">
                  <c:v>1.8923966884096578E-2</c:v>
                </c:pt>
                <c:pt idx="35">
                  <c:v>4.5801693702826511E-3</c:v>
                </c:pt>
                <c:pt idx="36">
                  <c:v>7.1096586836436439E-3</c:v>
                </c:pt>
                <c:pt idx="37">
                  <c:v>1.0790483960131091E-2</c:v>
                </c:pt>
                <c:pt idx="38">
                  <c:v>8.4641644005295329E-3</c:v>
                </c:pt>
                <c:pt idx="39">
                  <c:v>6.4487685130528768E-3</c:v>
                </c:pt>
                <c:pt idx="40">
                  <c:v>3.1879036347039745E-3</c:v>
                </c:pt>
                <c:pt idx="41">
                  <c:v>4.1418197264450731E-3</c:v>
                </c:pt>
                <c:pt idx="42">
                  <c:v>3.3451985397053761E-3</c:v>
                </c:pt>
                <c:pt idx="43">
                  <c:v>1.587674726566817E-3</c:v>
                </c:pt>
                <c:pt idx="44">
                  <c:v>4.556915391801938E-3</c:v>
                </c:pt>
                <c:pt idx="45">
                  <c:v>4.8901550131140357E-2</c:v>
                </c:pt>
                <c:pt idx="46">
                  <c:v>4.2009790072001282E-3</c:v>
                </c:pt>
                <c:pt idx="47">
                  <c:v>8.6818041271543981E-4</c:v>
                </c:pt>
                <c:pt idx="48">
                  <c:v>6.2866263164710065E-3</c:v>
                </c:pt>
                <c:pt idx="49">
                  <c:v>2.3801045978379199E-3</c:v>
                </c:pt>
                <c:pt idx="50">
                  <c:v>2.6119479031090485E-4</c:v>
                </c:pt>
                <c:pt idx="51">
                  <c:v>2.4518255475528073E-3</c:v>
                </c:pt>
                <c:pt idx="52">
                  <c:v>7.3852144461299173E-4</c:v>
                </c:pt>
                <c:pt idx="53">
                  <c:v>1.0671982268045308E-3</c:v>
                </c:pt>
                <c:pt idx="54">
                  <c:v>9.7973341398017153E-4</c:v>
                </c:pt>
                <c:pt idx="55">
                  <c:v>1.8123722670677458E-3</c:v>
                </c:pt>
                <c:pt idx="56">
                  <c:v>5.5390061442666733E-5</c:v>
                </c:pt>
                <c:pt idx="57">
                  <c:v>4.6899183107104257E-3</c:v>
                </c:pt>
                <c:pt idx="58">
                  <c:v>1.3518909812850251E-3</c:v>
                </c:pt>
                <c:pt idx="59">
                  <c:v>8.4832267277625841E-4</c:v>
                </c:pt>
                <c:pt idx="60">
                  <c:v>1.4147514805686529E-3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4.9607635413461927E-3</c:v>
                </c:pt>
                <c:pt idx="1">
                  <c:v>2.2993386112646293E-2</c:v>
                </c:pt>
                <c:pt idx="2">
                  <c:v>3.117060655374845E-2</c:v>
                </c:pt>
                <c:pt idx="3">
                  <c:v>3.65385605920341E-2</c:v>
                </c:pt>
                <c:pt idx="4">
                  <c:v>3.753252303584529E-2</c:v>
                </c:pt>
                <c:pt idx="5">
                  <c:v>3.6998651050969111E-2</c:v>
                </c:pt>
                <c:pt idx="6">
                  <c:v>3.5571744181352206E-2</c:v>
                </c:pt>
                <c:pt idx="7">
                  <c:v>3.3694491582641574E-2</c:v>
                </c:pt>
                <c:pt idx="8">
                  <c:v>3.0886617284088109E-2</c:v>
                </c:pt>
                <c:pt idx="9">
                  <c:v>2.7939532559230557E-2</c:v>
                </c:pt>
                <c:pt idx="10">
                  <c:v>2.4643725716481261E-2</c:v>
                </c:pt>
                <c:pt idx="11">
                  <c:v>2.1805225124140896E-2</c:v>
                </c:pt>
                <c:pt idx="12">
                  <c:v>1.9934236994613948E-2</c:v>
                </c:pt>
                <c:pt idx="13">
                  <c:v>1.7061629847829083E-2</c:v>
                </c:pt>
                <c:pt idx="14">
                  <c:v>1.6296668555288118E-2</c:v>
                </c:pt>
                <c:pt idx="15">
                  <c:v>1.4779274908573552E-2</c:v>
                </c:pt>
                <c:pt idx="16">
                  <c:v>1.3363504873060972E-2</c:v>
                </c:pt>
                <c:pt idx="17">
                  <c:v>1.2254693827548908E-2</c:v>
                </c:pt>
                <c:pt idx="18">
                  <c:v>0.11165233031293112</c:v>
                </c:pt>
                <c:pt idx="19">
                  <c:v>3.6511414558904803E-2</c:v>
                </c:pt>
                <c:pt idx="20">
                  <c:v>3.6147379294119611E-2</c:v>
                </c:pt>
                <c:pt idx="21">
                  <c:v>4.0130885642811101E-2</c:v>
                </c:pt>
                <c:pt idx="22">
                  <c:v>3.8282867233624326E-2</c:v>
                </c:pt>
                <c:pt idx="23">
                  <c:v>3.2923265820916925E-2</c:v>
                </c:pt>
                <c:pt idx="24">
                  <c:v>2.1358359655704772E-2</c:v>
                </c:pt>
                <c:pt idx="25">
                  <c:v>2.1084115115885718E-2</c:v>
                </c:pt>
                <c:pt idx="26">
                  <c:v>2.0449315571939075E-2</c:v>
                </c:pt>
                <c:pt idx="27">
                  <c:v>1.5210827230116226E-2</c:v>
                </c:pt>
                <c:pt idx="28">
                  <c:v>1.8382040741323363E-2</c:v>
                </c:pt>
                <c:pt idx="29">
                  <c:v>1.2476038405372409E-2</c:v>
                </c:pt>
                <c:pt idx="30">
                  <c:v>1.3708746730295112E-2</c:v>
                </c:pt>
                <c:pt idx="31">
                  <c:v>1.0124774305096354E-2</c:v>
                </c:pt>
                <c:pt idx="32">
                  <c:v>8.999954060559319E-3</c:v>
                </c:pt>
                <c:pt idx="33">
                  <c:v>1.4476492231362161E-2</c:v>
                </c:pt>
                <c:pt idx="34">
                  <c:v>1.2845642087209763E-2</c:v>
                </c:pt>
                <c:pt idx="35">
                  <c:v>8.617821440354596E-3</c:v>
                </c:pt>
                <c:pt idx="36">
                  <c:v>5.6066999193971631E-3</c:v>
                </c:pt>
                <c:pt idx="37">
                  <c:v>6.8874358413947767E-3</c:v>
                </c:pt>
                <c:pt idx="38">
                  <c:v>4.9510188115049064E-3</c:v>
                </c:pt>
                <c:pt idx="39">
                  <c:v>6.1879034492167322E-3</c:v>
                </c:pt>
                <c:pt idx="40">
                  <c:v>4.2424377416170958E-3</c:v>
                </c:pt>
                <c:pt idx="41">
                  <c:v>5.1953331096685814E-3</c:v>
                </c:pt>
                <c:pt idx="42">
                  <c:v>4.0203971116620748E-3</c:v>
                </c:pt>
                <c:pt idx="43">
                  <c:v>3.6716749937703336E-3</c:v>
                </c:pt>
                <c:pt idx="44">
                  <c:v>3.6313039701421478E-3</c:v>
                </c:pt>
                <c:pt idx="45">
                  <c:v>3.693252609847467E-3</c:v>
                </c:pt>
                <c:pt idx="46">
                  <c:v>2.970750497329248E-3</c:v>
                </c:pt>
                <c:pt idx="47">
                  <c:v>2.5816573558093206E-3</c:v>
                </c:pt>
                <c:pt idx="48">
                  <c:v>2.516228455446399E-3</c:v>
                </c:pt>
                <c:pt idx="49">
                  <c:v>3.2672687053569563E-3</c:v>
                </c:pt>
                <c:pt idx="50">
                  <c:v>2.2656496880990398E-3</c:v>
                </c:pt>
                <c:pt idx="51">
                  <c:v>1.9559064895724432E-3</c:v>
                </c:pt>
                <c:pt idx="52">
                  <c:v>1.8313131580302837E-3</c:v>
                </c:pt>
                <c:pt idx="53">
                  <c:v>1.3266753626779632E-3</c:v>
                </c:pt>
                <c:pt idx="54">
                  <c:v>1.5354910021340958E-3</c:v>
                </c:pt>
                <c:pt idx="55">
                  <c:v>1.5598528267373112E-3</c:v>
                </c:pt>
                <c:pt idx="56">
                  <c:v>1.3538213958072603E-3</c:v>
                </c:pt>
                <c:pt idx="57">
                  <c:v>1.0141479556252846E-3</c:v>
                </c:pt>
                <c:pt idx="58">
                  <c:v>1.2027780832673243E-3</c:v>
                </c:pt>
                <c:pt idx="59">
                  <c:v>1.0301571546502547E-3</c:v>
                </c:pt>
                <c:pt idx="60">
                  <c:v>9.0277961458201368E-4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6072"/>
        <c:axId val="128023328"/>
      </c:lineChart>
      <c:catAx>
        <c:axId val="128026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3328"/>
        <c:crosses val="autoZero"/>
        <c:auto val="1"/>
        <c:lblAlgn val="ctr"/>
        <c:lblOffset val="100"/>
        <c:tickLblSkip val="10"/>
        <c:noMultiLvlLbl val="0"/>
      </c:catAx>
      <c:valAx>
        <c:axId val="12802332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6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4.6236776287227423E-2</c:v>
                </c:pt>
                <c:pt idx="1">
                  <c:v>5.5250373803324829E-2</c:v>
                </c:pt>
                <c:pt idx="2">
                  <c:v>5.4676008544177361E-2</c:v>
                </c:pt>
                <c:pt idx="3">
                  <c:v>0.10375520218227008</c:v>
                </c:pt>
                <c:pt idx="4">
                  <c:v>0.16719262715896963</c:v>
                </c:pt>
                <c:pt idx="5">
                  <c:v>0.11247916584262117</c:v>
                </c:pt>
                <c:pt idx="6">
                  <c:v>0.10637190774336562</c:v>
                </c:pt>
                <c:pt idx="7">
                  <c:v>5.2288370337056474E-2</c:v>
                </c:pt>
                <c:pt idx="8">
                  <c:v>4.4333120987080712E-2</c:v>
                </c:pt>
                <c:pt idx="9">
                  <c:v>3.4065074345841204E-2</c:v>
                </c:pt>
                <c:pt idx="10">
                  <c:v>6.4809027817503001E-2</c:v>
                </c:pt>
                <c:pt idx="11">
                  <c:v>1.9865062069024664E-2</c:v>
                </c:pt>
                <c:pt idx="12">
                  <c:v>1.7768425516007387E-2</c:v>
                </c:pt>
                <c:pt idx="13">
                  <c:v>9.7992022281244012E-3</c:v>
                </c:pt>
                <c:pt idx="14">
                  <c:v>1.0027525123324804E-2</c:v>
                </c:pt>
                <c:pt idx="15">
                  <c:v>9.5597876220541011E-3</c:v>
                </c:pt>
                <c:pt idx="16">
                  <c:v>1.676873476910256E-2</c:v>
                </c:pt>
                <c:pt idx="17">
                  <c:v>7.719047744009974E-3</c:v>
                </c:pt>
                <c:pt idx="18">
                  <c:v>7.9193555086085887E-3</c:v>
                </c:pt>
                <c:pt idx="19">
                  <c:v>1.0177924592792873E-2</c:v>
                </c:pt>
                <c:pt idx="20">
                  <c:v>4.810063850485451E-3</c:v>
                </c:pt>
                <c:pt idx="21">
                  <c:v>5.0168059821366524E-3</c:v>
                </c:pt>
                <c:pt idx="22">
                  <c:v>6.9866698410087948E-3</c:v>
                </c:pt>
                <c:pt idx="23">
                  <c:v>7.8409471073127499E-3</c:v>
                </c:pt>
                <c:pt idx="24">
                  <c:v>5.843594384326616E-4</c:v>
                </c:pt>
                <c:pt idx="25">
                  <c:v>9.4437427219455487E-4</c:v>
                </c:pt>
                <c:pt idx="26">
                  <c:v>7.5274374559130793E-4</c:v>
                </c:pt>
                <c:pt idx="27">
                  <c:v>1.3154828742594183E-3</c:v>
                </c:pt>
                <c:pt idx="28">
                  <c:v>1.8273382394998537E-3</c:v>
                </c:pt>
                <c:pt idx="29">
                  <c:v>5.7160245319095053E-4</c:v>
                </c:pt>
                <c:pt idx="30">
                  <c:v>8.638885626260852E-4</c:v>
                </c:pt>
                <c:pt idx="31">
                  <c:v>1.4660043288270705E-3</c:v>
                </c:pt>
                <c:pt idx="32">
                  <c:v>5.5446143996892719E-4</c:v>
                </c:pt>
                <c:pt idx="33">
                  <c:v>1.0555975859775479E-3</c:v>
                </c:pt>
                <c:pt idx="34">
                  <c:v>7.8911416509754712E-4</c:v>
                </c:pt>
                <c:pt idx="35">
                  <c:v>8.1596731247037218E-4</c:v>
                </c:pt>
                <c:pt idx="36">
                  <c:v>5.9099308238915252E-4</c:v>
                </c:pt>
                <c:pt idx="37">
                  <c:v>3.1086440969103018E-4</c:v>
                </c:pt>
                <c:pt idx="38">
                  <c:v>2.5015606542897654E-6</c:v>
                </c:pt>
                <c:pt idx="39">
                  <c:v>2.1566497253746605E-4</c:v>
                </c:pt>
                <c:pt idx="40">
                  <c:v>1.1050656854427181E-3</c:v>
                </c:pt>
                <c:pt idx="41">
                  <c:v>1.3455651905487605E-3</c:v>
                </c:pt>
                <c:pt idx="42">
                  <c:v>0</c:v>
                </c:pt>
                <c:pt idx="43">
                  <c:v>7.8192604757303344E-5</c:v>
                </c:pt>
                <c:pt idx="44">
                  <c:v>6.1284429473405712E-4</c:v>
                </c:pt>
                <c:pt idx="45">
                  <c:v>0</c:v>
                </c:pt>
                <c:pt idx="46">
                  <c:v>8.3422744392536228E-4</c:v>
                </c:pt>
                <c:pt idx="47">
                  <c:v>2.8040254591594309E-3</c:v>
                </c:pt>
                <c:pt idx="48">
                  <c:v>1.1647348669123168E-4</c:v>
                </c:pt>
                <c:pt idx="49">
                  <c:v>2.2153250016249796E-4</c:v>
                </c:pt>
                <c:pt idx="50">
                  <c:v>2.4742904908839076E-4</c:v>
                </c:pt>
                <c:pt idx="51">
                  <c:v>5.1582922070878976E-5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4.1805770107798695E-4</c:v>
                </c:pt>
                <c:pt idx="57">
                  <c:v>3.5663458588991079E-4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0.18759436259896073</c:v>
                </c:pt>
                <c:pt idx="1">
                  <c:v>0.13500900423835865</c:v>
                </c:pt>
                <c:pt idx="2">
                  <c:v>8.2389286270102891E-2</c:v>
                </c:pt>
                <c:pt idx="3">
                  <c:v>4.8900795728090189E-2</c:v>
                </c:pt>
                <c:pt idx="4">
                  <c:v>0.15088819585784824</c:v>
                </c:pt>
                <c:pt idx="5">
                  <c:v>7.7681514733197649E-2</c:v>
                </c:pt>
                <c:pt idx="6">
                  <c:v>6.9112329642033524E-2</c:v>
                </c:pt>
                <c:pt idx="7">
                  <c:v>4.3461366663500194E-2</c:v>
                </c:pt>
                <c:pt idx="8">
                  <c:v>3.8139669783958913E-2</c:v>
                </c:pt>
                <c:pt idx="9">
                  <c:v>2.3341795228865304E-2</c:v>
                </c:pt>
                <c:pt idx="10">
                  <c:v>1.9143859634939274E-2</c:v>
                </c:pt>
                <c:pt idx="11">
                  <c:v>1.7671954677656351E-2</c:v>
                </c:pt>
                <c:pt idx="12">
                  <c:v>1.3828226215572179E-2</c:v>
                </c:pt>
                <c:pt idx="13">
                  <c:v>1.2559952462472235E-2</c:v>
                </c:pt>
                <c:pt idx="14">
                  <c:v>1.163375892086578E-2</c:v>
                </c:pt>
                <c:pt idx="15">
                  <c:v>1.0797506705176376E-2</c:v>
                </c:pt>
                <c:pt idx="16">
                  <c:v>9.5782459218177445E-3</c:v>
                </c:pt>
                <c:pt idx="17">
                  <c:v>5.6738828579917418E-3</c:v>
                </c:pt>
                <c:pt idx="18">
                  <c:v>5.9098525164370296E-3</c:v>
                </c:pt>
                <c:pt idx="19">
                  <c:v>5.6723669929481958E-3</c:v>
                </c:pt>
                <c:pt idx="20">
                  <c:v>4.1367957038363516E-3</c:v>
                </c:pt>
                <c:pt idx="21">
                  <c:v>3.4930583486772562E-3</c:v>
                </c:pt>
                <c:pt idx="22">
                  <c:v>2.8109190790816686E-3</c:v>
                </c:pt>
                <c:pt idx="23">
                  <c:v>2.7462421705570501E-3</c:v>
                </c:pt>
                <c:pt idx="24">
                  <c:v>2.423868204629654E-3</c:v>
                </c:pt>
                <c:pt idx="25">
                  <c:v>2.549685003243951E-3</c:v>
                </c:pt>
                <c:pt idx="26">
                  <c:v>2.0812827047883144E-3</c:v>
                </c:pt>
                <c:pt idx="27">
                  <c:v>1.5588145531128794E-3</c:v>
                </c:pt>
                <c:pt idx="28">
                  <c:v>1.2147131882279942E-3</c:v>
                </c:pt>
                <c:pt idx="29">
                  <c:v>1.0818223527438169E-3</c:v>
                </c:pt>
                <c:pt idx="30">
                  <c:v>9.7621708804346286E-4</c:v>
                </c:pt>
                <c:pt idx="31">
                  <c:v>8.5393730786410577E-4</c:v>
                </c:pt>
                <c:pt idx="32">
                  <c:v>6.9426618994395338E-4</c:v>
                </c:pt>
                <c:pt idx="33">
                  <c:v>5.4722728072001566E-4</c:v>
                </c:pt>
                <c:pt idx="34">
                  <c:v>5.2600517011037518E-4</c:v>
                </c:pt>
                <c:pt idx="35">
                  <c:v>3.9109318123480344E-4</c:v>
                </c:pt>
                <c:pt idx="36">
                  <c:v>5.0832007793567477E-4</c:v>
                </c:pt>
                <c:pt idx="37">
                  <c:v>4.1383115688798972E-4</c:v>
                </c:pt>
                <c:pt idx="38">
                  <c:v>3.5521770853755405E-4</c:v>
                </c:pt>
                <c:pt idx="39">
                  <c:v>2.8700378157799528E-4</c:v>
                </c:pt>
                <c:pt idx="40">
                  <c:v>2.1272639444425357E-4</c:v>
                </c:pt>
                <c:pt idx="41">
                  <c:v>1.7078746157282116E-4</c:v>
                </c:pt>
                <c:pt idx="42">
                  <c:v>1.5310236939812072E-4</c:v>
                </c:pt>
                <c:pt idx="43">
                  <c:v>1.1116343652668832E-4</c:v>
                </c:pt>
                <c:pt idx="44">
                  <c:v>1.0611055304820249E-4</c:v>
                </c:pt>
                <c:pt idx="45">
                  <c:v>1.0307882296111099E-4</c:v>
                </c:pt>
                <c:pt idx="46">
                  <c:v>8.6404307482107736E-5</c:v>
                </c:pt>
                <c:pt idx="47">
                  <c:v>7.8319693916530404E-5</c:v>
                </c:pt>
                <c:pt idx="48">
                  <c:v>5.1539411480555496E-5</c:v>
                </c:pt>
                <c:pt idx="49">
                  <c:v>3.8907202784340913E-5</c:v>
                </c:pt>
                <c:pt idx="50">
                  <c:v>3.4359607653703662E-5</c:v>
                </c:pt>
                <c:pt idx="51">
                  <c:v>3.6380761045097995E-5</c:v>
                </c:pt>
                <c:pt idx="52">
                  <c:v>2.9306724175217829E-5</c:v>
                </c:pt>
                <c:pt idx="53">
                  <c:v>1.8190380522548997E-5</c:v>
                </c:pt>
                <c:pt idx="54">
                  <c:v>2.5769705740277748E-5</c:v>
                </c:pt>
                <c:pt idx="55">
                  <c:v>1.9706245566094749E-5</c:v>
                </c:pt>
                <c:pt idx="56">
                  <c:v>1.4653362087608915E-5</c:v>
                </c:pt>
                <c:pt idx="57">
                  <c:v>1.0105766956971665E-5</c:v>
                </c:pt>
                <c:pt idx="58">
                  <c:v>7.5793252177287489E-6</c:v>
                </c:pt>
                <c:pt idx="59">
                  <c:v>9.600478609123082E-6</c:v>
                </c:pt>
                <c:pt idx="60">
                  <c:v>7.0740368698801657E-6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4896"/>
        <c:axId val="128026464"/>
      </c:lineChart>
      <c:catAx>
        <c:axId val="12802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6464"/>
        <c:crosses val="autoZero"/>
        <c:auto val="1"/>
        <c:lblAlgn val="ctr"/>
        <c:lblOffset val="100"/>
        <c:tickLblSkip val="10"/>
        <c:noMultiLvlLbl val="0"/>
      </c:catAx>
      <c:valAx>
        <c:axId val="1280264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2.8933720157589254E-3</c:v>
                </c:pt>
                <c:pt idx="2">
                  <c:v>3.4795066537710953E-3</c:v>
                </c:pt>
                <c:pt idx="3">
                  <c:v>7.6095222191293133E-3</c:v>
                </c:pt>
                <c:pt idx="4">
                  <c:v>7.5149476247249334E-3</c:v>
                </c:pt>
                <c:pt idx="5">
                  <c:v>1.8764804394540573E-2</c:v>
                </c:pt>
                <c:pt idx="6">
                  <c:v>1.5462678678827998E-2</c:v>
                </c:pt>
                <c:pt idx="7">
                  <c:v>1.4350377164324468E-2</c:v>
                </c:pt>
                <c:pt idx="8">
                  <c:v>8.9998730959956977E-3</c:v>
                </c:pt>
                <c:pt idx="9">
                  <c:v>1.4539372732777448E-2</c:v>
                </c:pt>
                <c:pt idx="10">
                  <c:v>7.072178165728818E-3</c:v>
                </c:pt>
                <c:pt idx="11">
                  <c:v>1.6701373641807567E-2</c:v>
                </c:pt>
                <c:pt idx="12">
                  <c:v>1.1070971096952426E-2</c:v>
                </c:pt>
                <c:pt idx="13">
                  <c:v>2.2485768677039667E-2</c:v>
                </c:pt>
                <c:pt idx="14">
                  <c:v>1.6325877670931199E-2</c:v>
                </c:pt>
                <c:pt idx="15">
                  <c:v>9.7475462501301052E-3</c:v>
                </c:pt>
                <c:pt idx="16">
                  <c:v>3.9666973529359328E-2</c:v>
                </c:pt>
                <c:pt idx="17">
                  <c:v>2.5362533890850938E-2</c:v>
                </c:pt>
                <c:pt idx="18">
                  <c:v>6.1678818505154685E-2</c:v>
                </c:pt>
                <c:pt idx="19">
                  <c:v>4.5446814365543424E-2</c:v>
                </c:pt>
                <c:pt idx="20">
                  <c:v>6.1393222011641824E-2</c:v>
                </c:pt>
                <c:pt idx="21">
                  <c:v>6.3266255877520952E-2</c:v>
                </c:pt>
                <c:pt idx="22">
                  <c:v>3.6770334226551751E-2</c:v>
                </c:pt>
                <c:pt idx="23">
                  <c:v>2.754551980728601E-2</c:v>
                </c:pt>
                <c:pt idx="24">
                  <c:v>4.381531254847975E-2</c:v>
                </c:pt>
                <c:pt idx="25">
                  <c:v>1.9479266874167345E-2</c:v>
                </c:pt>
                <c:pt idx="26">
                  <c:v>6.1202465064054655E-2</c:v>
                </c:pt>
                <c:pt idx="27">
                  <c:v>1.3086557031743617E-2</c:v>
                </c:pt>
                <c:pt idx="28">
                  <c:v>1.8462286928969847E-2</c:v>
                </c:pt>
                <c:pt idx="29">
                  <c:v>1.8183095976323154E-2</c:v>
                </c:pt>
                <c:pt idx="30">
                  <c:v>6.8204279497087253E-3</c:v>
                </c:pt>
                <c:pt idx="31">
                  <c:v>1.366257793300696E-2</c:v>
                </c:pt>
                <c:pt idx="32">
                  <c:v>8.0993101653116101E-3</c:v>
                </c:pt>
                <c:pt idx="33">
                  <c:v>1.5001690132754824E-2</c:v>
                </c:pt>
                <c:pt idx="34">
                  <c:v>2.0537579518927478E-2</c:v>
                </c:pt>
                <c:pt idx="35">
                  <c:v>1.3589959456011389E-2</c:v>
                </c:pt>
                <c:pt idx="36">
                  <c:v>6.356419636551299E-3</c:v>
                </c:pt>
                <c:pt idx="37">
                  <c:v>1.3471190402816528E-2</c:v>
                </c:pt>
                <c:pt idx="38">
                  <c:v>1.2081172076688984E-2</c:v>
                </c:pt>
                <c:pt idx="39">
                  <c:v>5.6186942476181686E-3</c:v>
                </c:pt>
                <c:pt idx="40">
                  <c:v>9.6391589117468448E-3</c:v>
                </c:pt>
                <c:pt idx="41">
                  <c:v>9.6491634720670127E-3</c:v>
                </c:pt>
                <c:pt idx="42">
                  <c:v>2.7075393227497897E-3</c:v>
                </c:pt>
                <c:pt idx="43">
                  <c:v>2.4621368015688896E-3</c:v>
                </c:pt>
                <c:pt idx="44">
                  <c:v>3.0364921776072666E-3</c:v>
                </c:pt>
                <c:pt idx="45">
                  <c:v>5.3198214529758488E-2</c:v>
                </c:pt>
                <c:pt idx="46">
                  <c:v>3.5657827547294946E-3</c:v>
                </c:pt>
                <c:pt idx="47">
                  <c:v>2.7591273444230124E-3</c:v>
                </c:pt>
                <c:pt idx="48">
                  <c:v>6.0076489034505771E-4</c:v>
                </c:pt>
                <c:pt idx="49">
                  <c:v>1.7309595829634609E-3</c:v>
                </c:pt>
                <c:pt idx="50">
                  <c:v>1.523978981023303E-3</c:v>
                </c:pt>
                <c:pt idx="51">
                  <c:v>7.6373747073917649E-4</c:v>
                </c:pt>
                <c:pt idx="52">
                  <c:v>9.260706199473881E-4</c:v>
                </c:pt>
                <c:pt idx="53">
                  <c:v>1.9454162142719632E-3</c:v>
                </c:pt>
                <c:pt idx="54">
                  <c:v>3.657664843737096E-3</c:v>
                </c:pt>
                <c:pt idx="55">
                  <c:v>0</c:v>
                </c:pt>
                <c:pt idx="56">
                  <c:v>1.0391057027146218E-3</c:v>
                </c:pt>
                <c:pt idx="57">
                  <c:v>8.4804016581307388E-4</c:v>
                </c:pt>
                <c:pt idx="58">
                  <c:v>3.2429833554041641E-3</c:v>
                </c:pt>
                <c:pt idx="59">
                  <c:v>2.8526089276259864E-3</c:v>
                </c:pt>
                <c:pt idx="60">
                  <c:v>2.7126113779701744E-3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6.8744479724799756E-3</c:v>
                </c:pt>
                <c:pt idx="1">
                  <c:v>2.8221364804039074E-2</c:v>
                </c:pt>
                <c:pt idx="2">
                  <c:v>3.5574320841931656E-2</c:v>
                </c:pt>
                <c:pt idx="3">
                  <c:v>4.0288661127358939E-2</c:v>
                </c:pt>
                <c:pt idx="4">
                  <c:v>3.9364488739143881E-2</c:v>
                </c:pt>
                <c:pt idx="5">
                  <c:v>3.8058318359955295E-2</c:v>
                </c:pt>
                <c:pt idx="6">
                  <c:v>3.5386858864879835E-2</c:v>
                </c:pt>
                <c:pt idx="7">
                  <c:v>3.332174538722267E-2</c:v>
                </c:pt>
                <c:pt idx="8">
                  <c:v>3.0196536955779184E-2</c:v>
                </c:pt>
                <c:pt idx="9">
                  <c:v>2.7417451042611975E-2</c:v>
                </c:pt>
                <c:pt idx="10">
                  <c:v>2.4946591021632405E-2</c:v>
                </c:pt>
                <c:pt idx="11">
                  <c:v>2.16672696440951E-2</c:v>
                </c:pt>
                <c:pt idx="12">
                  <c:v>1.9755763824183908E-2</c:v>
                </c:pt>
                <c:pt idx="13">
                  <c:v>1.6910990425796385E-2</c:v>
                </c:pt>
                <c:pt idx="14">
                  <c:v>1.587565460105464E-2</c:v>
                </c:pt>
                <c:pt idx="15">
                  <c:v>1.3694324803392303E-2</c:v>
                </c:pt>
                <c:pt idx="16">
                  <c:v>1.3444712359555104E-2</c:v>
                </c:pt>
                <c:pt idx="17">
                  <c:v>1.1768670909741354E-2</c:v>
                </c:pt>
                <c:pt idx="18">
                  <c:v>0.10139166516764457</c:v>
                </c:pt>
                <c:pt idx="19">
                  <c:v>3.5991689017254587E-2</c:v>
                </c:pt>
                <c:pt idx="20">
                  <c:v>3.526407379635263E-2</c:v>
                </c:pt>
                <c:pt idx="21">
                  <c:v>3.8552490364151204E-2</c:v>
                </c:pt>
                <c:pt idx="22">
                  <c:v>3.8732878304333147E-2</c:v>
                </c:pt>
                <c:pt idx="23">
                  <c:v>3.3071627655037621E-2</c:v>
                </c:pt>
                <c:pt idx="24">
                  <c:v>2.1762769141838483E-2</c:v>
                </c:pt>
                <c:pt idx="25">
                  <c:v>2.2003791683762257E-2</c:v>
                </c:pt>
                <c:pt idx="26">
                  <c:v>2.050055884891272E-2</c:v>
                </c:pt>
                <c:pt idx="27">
                  <c:v>1.5581576782606762E-2</c:v>
                </c:pt>
                <c:pt idx="28">
                  <c:v>1.9655716731309888E-2</c:v>
                </c:pt>
                <c:pt idx="29">
                  <c:v>1.3268366726155948E-2</c:v>
                </c:pt>
                <c:pt idx="30">
                  <c:v>1.2930328821445247E-2</c:v>
                </c:pt>
                <c:pt idx="31">
                  <c:v>1.06282351086471E-2</c:v>
                </c:pt>
                <c:pt idx="32">
                  <c:v>9.2407133054548916E-3</c:v>
                </c:pt>
                <c:pt idx="33">
                  <c:v>1.5032328348495352E-2</c:v>
                </c:pt>
                <c:pt idx="34">
                  <c:v>1.2351773663158618E-2</c:v>
                </c:pt>
                <c:pt idx="35">
                  <c:v>8.5792908581210948E-3</c:v>
                </c:pt>
                <c:pt idx="36">
                  <c:v>5.6491237289471611E-3</c:v>
                </c:pt>
                <c:pt idx="37">
                  <c:v>6.5606639084660051E-3</c:v>
                </c:pt>
                <c:pt idx="38">
                  <c:v>5.0559152085729239E-3</c:v>
                </c:pt>
                <c:pt idx="39">
                  <c:v>5.8103107119108592E-3</c:v>
                </c:pt>
                <c:pt idx="40">
                  <c:v>4.011989481917751E-3</c:v>
                </c:pt>
                <c:pt idx="41">
                  <c:v>4.8244931452582733E-3</c:v>
                </c:pt>
                <c:pt idx="42">
                  <c:v>3.4278761518047891E-3</c:v>
                </c:pt>
                <c:pt idx="43">
                  <c:v>3.3308607890178608E-3</c:v>
                </c:pt>
                <c:pt idx="44">
                  <c:v>3.2262661010132041E-3</c:v>
                </c:pt>
                <c:pt idx="45">
                  <c:v>3.311154543451766E-3</c:v>
                </c:pt>
                <c:pt idx="46">
                  <c:v>2.6724700717711569E-3</c:v>
                </c:pt>
                <c:pt idx="47">
                  <c:v>2.3500961058437607E-3</c:v>
                </c:pt>
                <c:pt idx="48">
                  <c:v>2.2631865100138046E-3</c:v>
                </c:pt>
                <c:pt idx="49">
                  <c:v>2.6290152738561788E-3</c:v>
                </c:pt>
                <c:pt idx="50">
                  <c:v>1.9534447527826231E-3</c:v>
                </c:pt>
                <c:pt idx="51">
                  <c:v>1.684126063379328E-3</c:v>
                </c:pt>
                <c:pt idx="52">
                  <c:v>1.4264290059765505E-3</c:v>
                </c:pt>
                <c:pt idx="53">
                  <c:v>1.1924805009226565E-3</c:v>
                </c:pt>
                <c:pt idx="54">
                  <c:v>1.3117285510149221E-3</c:v>
                </c:pt>
                <c:pt idx="55">
                  <c:v>1.2677684647520954E-3</c:v>
                </c:pt>
                <c:pt idx="56">
                  <c:v>1.1080973468319431E-3</c:v>
                </c:pt>
                <c:pt idx="57">
                  <c:v>8.3625221568940536E-4</c:v>
                </c:pt>
                <c:pt idx="58">
                  <c:v>9.4387863378115353E-4</c:v>
                </c:pt>
                <c:pt idx="59">
                  <c:v>7.938079944701243E-4</c:v>
                </c:pt>
                <c:pt idx="60">
                  <c:v>7.0639311029231937E-4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5680"/>
        <c:axId val="128020976"/>
      </c:lineChart>
      <c:catAx>
        <c:axId val="128025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0976"/>
        <c:crosses val="autoZero"/>
        <c:auto val="1"/>
        <c:lblAlgn val="ctr"/>
        <c:lblOffset val="100"/>
        <c:tickLblSkip val="10"/>
        <c:noMultiLvlLbl val="0"/>
      </c:catAx>
      <c:valAx>
        <c:axId val="1280209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568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5.5843831184551433E-2</c:v>
                </c:pt>
                <c:pt idx="1">
                  <c:v>6.2462572276479902E-2</c:v>
                </c:pt>
                <c:pt idx="2">
                  <c:v>6.9899523237605454E-2</c:v>
                </c:pt>
                <c:pt idx="3">
                  <c:v>0.11114010146962439</c:v>
                </c:pt>
                <c:pt idx="4">
                  <c:v>0.20382237910013989</c:v>
                </c:pt>
                <c:pt idx="5">
                  <c:v>0.11340717592690662</c:v>
                </c:pt>
                <c:pt idx="6">
                  <c:v>0.11607164937768556</c:v>
                </c:pt>
                <c:pt idx="7">
                  <c:v>5.2801367708764986E-2</c:v>
                </c:pt>
                <c:pt idx="8">
                  <c:v>4.051973667103146E-2</c:v>
                </c:pt>
                <c:pt idx="9">
                  <c:v>2.2950711339252135E-2</c:v>
                </c:pt>
                <c:pt idx="10">
                  <c:v>5.6812597017551425E-2</c:v>
                </c:pt>
                <c:pt idx="11">
                  <c:v>7.5573865957259088E-3</c:v>
                </c:pt>
                <c:pt idx="12">
                  <c:v>1.102687590890921E-2</c:v>
                </c:pt>
                <c:pt idx="13">
                  <c:v>6.9940630980751886E-3</c:v>
                </c:pt>
                <c:pt idx="14">
                  <c:v>9.5890045541807481E-3</c:v>
                </c:pt>
                <c:pt idx="15">
                  <c:v>9.008858124204806E-3</c:v>
                </c:pt>
                <c:pt idx="16">
                  <c:v>1.232955382937851E-2</c:v>
                </c:pt>
                <c:pt idx="17">
                  <c:v>4.3465495237543202E-3</c:v>
                </c:pt>
                <c:pt idx="18">
                  <c:v>4.9252410689496059E-3</c:v>
                </c:pt>
                <c:pt idx="19">
                  <c:v>2.8459160297066954E-3</c:v>
                </c:pt>
                <c:pt idx="20">
                  <c:v>3.9615823579337841E-3</c:v>
                </c:pt>
                <c:pt idx="21">
                  <c:v>1.6383971625726849E-3</c:v>
                </c:pt>
                <c:pt idx="22">
                  <c:v>2.6966692081005594E-3</c:v>
                </c:pt>
                <c:pt idx="23">
                  <c:v>1.3602373180612709E-3</c:v>
                </c:pt>
                <c:pt idx="24">
                  <c:v>1.2281179872400667E-3</c:v>
                </c:pt>
                <c:pt idx="25">
                  <c:v>2.1405507397082805E-3</c:v>
                </c:pt>
                <c:pt idx="26">
                  <c:v>1.3601822349799603E-3</c:v>
                </c:pt>
                <c:pt idx="27">
                  <c:v>8.0181218823552184E-4</c:v>
                </c:pt>
                <c:pt idx="28">
                  <c:v>3.5433606580560539E-4</c:v>
                </c:pt>
                <c:pt idx="29">
                  <c:v>2.134711774934021E-4</c:v>
                </c:pt>
                <c:pt idx="30">
                  <c:v>2.6219467130926311E-4</c:v>
                </c:pt>
                <c:pt idx="31">
                  <c:v>1.1100622944222771E-3</c:v>
                </c:pt>
                <c:pt idx="32">
                  <c:v>1.27997476059289E-3</c:v>
                </c:pt>
                <c:pt idx="33">
                  <c:v>1.3903445790619358E-4</c:v>
                </c:pt>
                <c:pt idx="34">
                  <c:v>1.2365773466281113E-4</c:v>
                </c:pt>
                <c:pt idx="35">
                  <c:v>4.9345150652888687E-4</c:v>
                </c:pt>
                <c:pt idx="36">
                  <c:v>3.136826037058863E-4</c:v>
                </c:pt>
                <c:pt idx="37">
                  <c:v>0</c:v>
                </c:pt>
                <c:pt idx="38">
                  <c:v>3.2032352671131607E-4</c:v>
                </c:pt>
                <c:pt idx="39">
                  <c:v>3.2710400076910195E-4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2.2629981209936507E-6</c:v>
                </c:pt>
                <c:pt idx="44">
                  <c:v>2.5047666381381711E-3</c:v>
                </c:pt>
                <c:pt idx="45">
                  <c:v>1.2335490858160023E-4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5.7750724904701034E-4</c:v>
                </c:pt>
                <c:pt idx="51">
                  <c:v>0</c:v>
                </c:pt>
                <c:pt idx="52">
                  <c:v>0</c:v>
                </c:pt>
                <c:pt idx="53">
                  <c:v>2.5779088628579013E-4</c:v>
                </c:pt>
                <c:pt idx="54">
                  <c:v>9.194749395880714E-4</c:v>
                </c:pt>
                <c:pt idx="55">
                  <c:v>0</c:v>
                </c:pt>
                <c:pt idx="56">
                  <c:v>3.2942431541475945E-4</c:v>
                </c:pt>
                <c:pt idx="57">
                  <c:v>2.8055078443233204E-4</c:v>
                </c:pt>
                <c:pt idx="58">
                  <c:v>0</c:v>
                </c:pt>
                <c:pt idx="59">
                  <c:v>1.1068447151613751E-4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0.21538224982525045</c:v>
                </c:pt>
                <c:pt idx="1">
                  <c:v>0.13392842477191305</c:v>
                </c:pt>
                <c:pt idx="2">
                  <c:v>8.2889235244841014E-2</c:v>
                </c:pt>
                <c:pt idx="3">
                  <c:v>4.9856550233881518E-2</c:v>
                </c:pt>
                <c:pt idx="4">
                  <c:v>0.13938763740425275</c:v>
                </c:pt>
                <c:pt idx="5">
                  <c:v>7.5369985417765503E-2</c:v>
                </c:pt>
                <c:pt idx="6">
                  <c:v>6.6351448276868993E-2</c:v>
                </c:pt>
                <c:pt idx="7">
                  <c:v>4.156256216612797E-2</c:v>
                </c:pt>
                <c:pt idx="8">
                  <c:v>4.2470529833353712E-2</c:v>
                </c:pt>
                <c:pt idx="9">
                  <c:v>2.5865671886948445E-2</c:v>
                </c:pt>
                <c:pt idx="10">
                  <c:v>2.053968868115643E-2</c:v>
                </c:pt>
                <c:pt idx="11">
                  <c:v>1.8595999102070167E-2</c:v>
                </c:pt>
                <c:pt idx="12">
                  <c:v>1.4725501754795802E-2</c:v>
                </c:pt>
                <c:pt idx="13">
                  <c:v>1.2118402633927512E-2</c:v>
                </c:pt>
                <c:pt idx="14">
                  <c:v>1.050139890897875E-2</c:v>
                </c:pt>
                <c:pt idx="15">
                  <c:v>1.0186119683826496E-2</c:v>
                </c:pt>
                <c:pt idx="16">
                  <c:v>8.2570305898413479E-3</c:v>
                </c:pt>
                <c:pt idx="17">
                  <c:v>4.4157342127692191E-3</c:v>
                </c:pt>
                <c:pt idx="18">
                  <c:v>3.9886700235615326E-3</c:v>
                </c:pt>
                <c:pt idx="19">
                  <c:v>3.94897495469287E-3</c:v>
                </c:pt>
                <c:pt idx="20">
                  <c:v>3.0601704241623429E-3</c:v>
                </c:pt>
                <c:pt idx="21">
                  <c:v>2.3556970180334241E-3</c:v>
                </c:pt>
                <c:pt idx="22">
                  <c:v>1.828254493755555E-3</c:v>
                </c:pt>
                <c:pt idx="23">
                  <c:v>1.700956514280187E-3</c:v>
                </c:pt>
                <c:pt idx="24">
                  <c:v>1.7219447116130434E-3</c:v>
                </c:pt>
                <c:pt idx="25">
                  <c:v>1.4532045327205997E-3</c:v>
                </c:pt>
                <c:pt idx="26">
                  <c:v>1.1552633836259209E-3</c:v>
                </c:pt>
                <c:pt idx="27">
                  <c:v>8.3359644624192636E-4</c:v>
                </c:pt>
                <c:pt idx="28">
                  <c:v>7.0675473192596827E-4</c:v>
                </c:pt>
                <c:pt idx="29">
                  <c:v>6.6249701146320588E-4</c:v>
                </c:pt>
                <c:pt idx="30">
                  <c:v>5.2652999395904926E-4</c:v>
                </c:pt>
                <c:pt idx="31">
                  <c:v>5.0280420566973334E-4</c:v>
                </c:pt>
                <c:pt idx="32">
                  <c:v>4.2067647697594754E-4</c:v>
                </c:pt>
                <c:pt idx="33">
                  <c:v>3.5679935465855853E-4</c:v>
                </c:pt>
                <c:pt idx="34">
                  <c:v>3.1847308126812515E-4</c:v>
                </c:pt>
                <c:pt idx="35">
                  <c:v>2.1581342040089281E-4</c:v>
                </c:pt>
                <c:pt idx="36">
                  <c:v>3.1117283871756639E-4</c:v>
                </c:pt>
                <c:pt idx="37">
                  <c:v>2.2265739779204165E-4</c:v>
                </c:pt>
                <c:pt idx="38">
                  <c:v>2.2950137518319046E-4</c:v>
                </c:pt>
                <c:pt idx="39">
                  <c:v>2.0212546561859519E-4</c:v>
                </c:pt>
                <c:pt idx="40">
                  <c:v>1.3870460846061611E-4</c:v>
                </c:pt>
                <c:pt idx="41">
                  <c:v>1.1224122921484067E-4</c:v>
                </c:pt>
                <c:pt idx="42">
                  <c:v>9.1253031881984278E-5</c:v>
                </c:pt>
                <c:pt idx="43">
                  <c:v>6.7070978433258439E-5</c:v>
                </c:pt>
                <c:pt idx="44">
                  <c:v>5.7489410085650094E-5</c:v>
                </c:pt>
                <c:pt idx="45">
                  <c:v>5.5664349448010412E-5</c:v>
                </c:pt>
                <c:pt idx="46">
                  <c:v>5.5664349448010412E-5</c:v>
                </c:pt>
                <c:pt idx="47">
                  <c:v>4.9276637216271509E-5</c:v>
                </c:pt>
                <c:pt idx="48">
                  <c:v>2.5094583767545677E-5</c:v>
                </c:pt>
                <c:pt idx="49">
                  <c:v>3.0569765680464736E-5</c:v>
                </c:pt>
                <c:pt idx="50">
                  <c:v>2.6919644405185362E-5</c:v>
                </c:pt>
                <c:pt idx="51">
                  <c:v>2.2813257970496069E-5</c:v>
                </c:pt>
                <c:pt idx="52">
                  <c:v>1.642554573875717E-5</c:v>
                </c:pt>
                <c:pt idx="53">
                  <c:v>1.1862894144657957E-5</c:v>
                </c:pt>
                <c:pt idx="54">
                  <c:v>1.7338076057577014E-5</c:v>
                </c:pt>
                <c:pt idx="55">
                  <c:v>1.0950363825838114E-5</c:v>
                </c:pt>
                <c:pt idx="56">
                  <c:v>8.2127728693785849E-6</c:v>
                </c:pt>
                <c:pt idx="57">
                  <c:v>6.843977391148821E-6</c:v>
                </c:pt>
                <c:pt idx="58">
                  <c:v>1.0950363825838114E-5</c:v>
                </c:pt>
                <c:pt idx="59">
                  <c:v>5.018916753509135E-6</c:v>
                </c:pt>
                <c:pt idx="60">
                  <c:v>5.4751819129190571E-6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2152"/>
        <c:axId val="128933512"/>
      </c:lineChart>
      <c:catAx>
        <c:axId val="128022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3512"/>
        <c:crosses val="autoZero"/>
        <c:auto val="1"/>
        <c:lblAlgn val="ctr"/>
        <c:lblOffset val="100"/>
        <c:tickLblSkip val="10"/>
        <c:noMultiLvlLbl val="0"/>
      </c:catAx>
      <c:valAx>
        <c:axId val="12893351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2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9.4990692580052547E-4</c:v>
                </c:pt>
                <c:pt idx="1">
                  <c:v>9.0592393102139354E-4</c:v>
                </c:pt>
                <c:pt idx="2">
                  <c:v>3.7555370150790246E-3</c:v>
                </c:pt>
                <c:pt idx="3">
                  <c:v>9.2962583154463617E-3</c:v>
                </c:pt>
                <c:pt idx="4">
                  <c:v>1.2330218942352561E-2</c:v>
                </c:pt>
                <c:pt idx="5">
                  <c:v>2.6595062208307031E-2</c:v>
                </c:pt>
                <c:pt idx="6">
                  <c:v>1.1864694141534061E-2</c:v>
                </c:pt>
                <c:pt idx="7">
                  <c:v>1.9685706655212486E-2</c:v>
                </c:pt>
                <c:pt idx="8">
                  <c:v>8.1640696444560054E-3</c:v>
                </c:pt>
                <c:pt idx="9">
                  <c:v>2.0641499816105299E-2</c:v>
                </c:pt>
                <c:pt idx="10">
                  <c:v>7.0399576025592424E-3</c:v>
                </c:pt>
                <c:pt idx="11">
                  <c:v>9.5120949407863521E-3</c:v>
                </c:pt>
                <c:pt idx="12">
                  <c:v>2.1429520218760351E-2</c:v>
                </c:pt>
                <c:pt idx="13">
                  <c:v>2.58173402585994E-2</c:v>
                </c:pt>
                <c:pt idx="14">
                  <c:v>1.3724267989209392E-2</c:v>
                </c:pt>
                <c:pt idx="15">
                  <c:v>1.2639615540393192E-2</c:v>
                </c:pt>
                <c:pt idx="16">
                  <c:v>4.0796368096260069E-2</c:v>
                </c:pt>
                <c:pt idx="17">
                  <c:v>2.9102649840886993E-2</c:v>
                </c:pt>
                <c:pt idx="18">
                  <c:v>8.9242469226963037E-2</c:v>
                </c:pt>
                <c:pt idx="19">
                  <c:v>4.4579412272870385E-2</c:v>
                </c:pt>
                <c:pt idx="20">
                  <c:v>7.2085903372928223E-2</c:v>
                </c:pt>
                <c:pt idx="21">
                  <c:v>6.5547818675991285E-2</c:v>
                </c:pt>
                <c:pt idx="22">
                  <c:v>4.1096056494361946E-2</c:v>
                </c:pt>
                <c:pt idx="23">
                  <c:v>3.1916072637966336E-2</c:v>
                </c:pt>
                <c:pt idx="24">
                  <c:v>3.8844868219717436E-2</c:v>
                </c:pt>
                <c:pt idx="25">
                  <c:v>1.5450675528489447E-2</c:v>
                </c:pt>
                <c:pt idx="26">
                  <c:v>5.9790824529366772E-2</c:v>
                </c:pt>
                <c:pt idx="27">
                  <c:v>8.6045985266105639E-3</c:v>
                </c:pt>
                <c:pt idx="28">
                  <c:v>1.7686097225813019E-2</c:v>
                </c:pt>
                <c:pt idx="29">
                  <c:v>9.3578355915040819E-3</c:v>
                </c:pt>
                <c:pt idx="30">
                  <c:v>9.6040592423160282E-3</c:v>
                </c:pt>
                <c:pt idx="31">
                  <c:v>5.5177195494510783E-3</c:v>
                </c:pt>
                <c:pt idx="32">
                  <c:v>1.2989816029893159E-2</c:v>
                </c:pt>
                <c:pt idx="33">
                  <c:v>5.6005963004291167E-3</c:v>
                </c:pt>
                <c:pt idx="34">
                  <c:v>1.1647286306960105E-2</c:v>
                </c:pt>
                <c:pt idx="35">
                  <c:v>8.7487515238437799E-3</c:v>
                </c:pt>
                <c:pt idx="36">
                  <c:v>4.3319464199289993E-3</c:v>
                </c:pt>
                <c:pt idx="37">
                  <c:v>1.2987423456141196E-2</c:v>
                </c:pt>
                <c:pt idx="38">
                  <c:v>8.6691901106968113E-3</c:v>
                </c:pt>
                <c:pt idx="39">
                  <c:v>1.904760059749912E-3</c:v>
                </c:pt>
                <c:pt idx="40">
                  <c:v>2.9584281789222133E-3</c:v>
                </c:pt>
                <c:pt idx="41">
                  <c:v>3.4237307940261441E-3</c:v>
                </c:pt>
                <c:pt idx="42">
                  <c:v>1.3905428964656797E-3</c:v>
                </c:pt>
                <c:pt idx="43">
                  <c:v>1.3268743886028166E-3</c:v>
                </c:pt>
                <c:pt idx="44">
                  <c:v>1.6432720008175111E-3</c:v>
                </c:pt>
                <c:pt idx="45">
                  <c:v>4.9569683486680456E-2</c:v>
                </c:pt>
                <c:pt idx="46">
                  <c:v>4.6453454986251641E-3</c:v>
                </c:pt>
                <c:pt idx="47">
                  <c:v>1.4252711263155163E-3</c:v>
                </c:pt>
                <c:pt idx="48">
                  <c:v>9.1450246881070475E-4</c:v>
                </c:pt>
                <c:pt idx="49">
                  <c:v>1.9581662115165238E-3</c:v>
                </c:pt>
                <c:pt idx="50">
                  <c:v>5.2143196242836057E-4</c:v>
                </c:pt>
                <c:pt idx="51">
                  <c:v>4.010301906371896E-4</c:v>
                </c:pt>
                <c:pt idx="52">
                  <c:v>6.3170344773330767E-3</c:v>
                </c:pt>
                <c:pt idx="53">
                  <c:v>7.2680702200471001E-4</c:v>
                </c:pt>
                <c:pt idx="54">
                  <c:v>2.8651111012567695E-3</c:v>
                </c:pt>
                <c:pt idx="55">
                  <c:v>3.2658952105125787E-4</c:v>
                </c:pt>
                <c:pt idx="56">
                  <c:v>5.240235581600786E-5</c:v>
                </c:pt>
                <c:pt idx="57">
                  <c:v>7.768342583079086E-4</c:v>
                </c:pt>
                <c:pt idx="58">
                  <c:v>2.4068932868501623E-3</c:v>
                </c:pt>
                <c:pt idx="59">
                  <c:v>7.4110882243809731E-4</c:v>
                </c:pt>
                <c:pt idx="60">
                  <c:v>2.981915721074666E-3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1.0222620896579288E-2</c:v>
                </c:pt>
                <c:pt idx="1">
                  <c:v>3.3450167631819565E-2</c:v>
                </c:pt>
                <c:pt idx="2">
                  <c:v>3.9740695384604154E-2</c:v>
                </c:pt>
                <c:pt idx="3">
                  <c:v>4.3424124016520446E-2</c:v>
                </c:pt>
                <c:pt idx="4">
                  <c:v>4.1330779465147731E-2</c:v>
                </c:pt>
                <c:pt idx="5">
                  <c:v>3.8458590286662271E-2</c:v>
                </c:pt>
                <c:pt idx="6">
                  <c:v>3.5885711052749729E-2</c:v>
                </c:pt>
                <c:pt idx="7">
                  <c:v>3.3450167631819565E-2</c:v>
                </c:pt>
                <c:pt idx="8">
                  <c:v>3.0154108120242294E-2</c:v>
                </c:pt>
                <c:pt idx="9">
                  <c:v>2.7312032442277895E-2</c:v>
                </c:pt>
                <c:pt idx="10">
                  <c:v>2.5606969541563017E-2</c:v>
                </c:pt>
                <c:pt idx="11">
                  <c:v>2.2042169851093304E-2</c:v>
                </c:pt>
                <c:pt idx="12">
                  <c:v>2.0351707435479545E-2</c:v>
                </c:pt>
                <c:pt idx="13">
                  <c:v>1.8037986812111832E-2</c:v>
                </c:pt>
                <c:pt idx="14">
                  <c:v>1.6442883814814749E-2</c:v>
                </c:pt>
                <c:pt idx="15">
                  <c:v>1.4200340556314984E-2</c:v>
                </c:pt>
                <c:pt idx="16">
                  <c:v>1.3843997466815834E-2</c:v>
                </c:pt>
                <c:pt idx="17">
                  <c:v>1.2047225269059565E-2</c:v>
                </c:pt>
                <c:pt idx="18">
                  <c:v>9.1274476344476552E-2</c:v>
                </c:pt>
                <c:pt idx="19">
                  <c:v>3.5355074672355991E-2</c:v>
                </c:pt>
                <c:pt idx="20">
                  <c:v>3.393974014786641E-2</c:v>
                </c:pt>
                <c:pt idx="21">
                  <c:v>3.7060593838230273E-2</c:v>
                </c:pt>
                <c:pt idx="22">
                  <c:v>3.5958257213095902E-2</c:v>
                </c:pt>
                <c:pt idx="23">
                  <c:v>3.2088216130980951E-2</c:v>
                </c:pt>
                <c:pt idx="24">
                  <c:v>2.077329644277431E-2</c:v>
                </c:pt>
                <c:pt idx="25">
                  <c:v>2.0027759172298501E-2</c:v>
                </c:pt>
                <c:pt idx="26">
                  <c:v>2.3738107448619979E-2</c:v>
                </c:pt>
                <c:pt idx="27">
                  <c:v>1.508777629136728E-2</c:v>
                </c:pt>
                <c:pt idx="28">
                  <c:v>1.9185037422868374E-2</c:v>
                </c:pt>
                <c:pt idx="29">
                  <c:v>1.2626225756350754E-2</c:v>
                </c:pt>
                <c:pt idx="30">
                  <c:v>1.4047947993072071E-2</c:v>
                </c:pt>
                <c:pt idx="31">
                  <c:v>9.6335825757810807E-3</c:v>
                </c:pt>
                <c:pt idx="32">
                  <c:v>9.3429416692369597E-3</c:v>
                </c:pt>
                <c:pt idx="33">
                  <c:v>1.8538509691984516E-2</c:v>
                </c:pt>
                <c:pt idx="34">
                  <c:v>1.4256004905762993E-2</c:v>
                </c:pt>
                <c:pt idx="35">
                  <c:v>7.1971266245321004E-3</c:v>
                </c:pt>
                <c:pt idx="36">
                  <c:v>4.6552734214594278E-3</c:v>
                </c:pt>
                <c:pt idx="37">
                  <c:v>5.406285873848159E-3</c:v>
                </c:pt>
                <c:pt idx="38">
                  <c:v>3.8298897480868802E-3</c:v>
                </c:pt>
                <c:pt idx="39">
                  <c:v>4.6808242703863835E-3</c:v>
                </c:pt>
                <c:pt idx="40">
                  <c:v>3.2737025187661861E-3</c:v>
                </c:pt>
                <c:pt idx="41">
                  <c:v>4.3062305745108385E-3</c:v>
                </c:pt>
                <c:pt idx="42">
                  <c:v>2.7759172298499617E-3</c:v>
                </c:pt>
                <c:pt idx="43">
                  <c:v>2.8717329133260451E-3</c:v>
                </c:pt>
                <c:pt idx="44">
                  <c:v>2.6691511825480403E-3</c:v>
                </c:pt>
                <c:pt idx="45">
                  <c:v>3.1318040541897007E-3</c:v>
                </c:pt>
                <c:pt idx="46">
                  <c:v>2.5327278998844736E-3</c:v>
                </c:pt>
                <c:pt idx="47">
                  <c:v>1.8277982285961451E-3</c:v>
                </c:pt>
                <c:pt idx="48">
                  <c:v>1.7488643560182287E-3</c:v>
                </c:pt>
                <c:pt idx="49">
                  <c:v>3.9996203873873711E-3</c:v>
                </c:pt>
                <c:pt idx="50">
                  <c:v>1.8542616078419205E-3</c:v>
                </c:pt>
                <c:pt idx="51">
                  <c:v>1.4490981462859103E-3</c:v>
                </c:pt>
                <c:pt idx="52">
                  <c:v>1.1338189211336546E-3</c:v>
                </c:pt>
                <c:pt idx="53">
                  <c:v>9.4994406189145635E-4</c:v>
                </c:pt>
                <c:pt idx="54">
                  <c:v>1.0024145552235972E-3</c:v>
                </c:pt>
                <c:pt idx="55">
                  <c:v>1.2173154453056702E-3</c:v>
                </c:pt>
                <c:pt idx="56">
                  <c:v>1.0311592602664224E-3</c:v>
                </c:pt>
                <c:pt idx="57">
                  <c:v>6.7435990560786379E-4</c:v>
                </c:pt>
                <c:pt idx="58">
                  <c:v>8.0941439279320058E-4</c:v>
                </c:pt>
                <c:pt idx="59">
                  <c:v>6.7709749656432339E-4</c:v>
                </c:pt>
                <c:pt idx="60">
                  <c:v>6.1595796520339387E-4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5864"/>
        <c:axId val="128935472"/>
      </c:lineChart>
      <c:catAx>
        <c:axId val="128935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5472"/>
        <c:crosses val="autoZero"/>
        <c:auto val="1"/>
        <c:lblAlgn val="ctr"/>
        <c:lblOffset val="100"/>
        <c:tickLblSkip val="10"/>
        <c:noMultiLvlLbl val="0"/>
      </c:catAx>
      <c:valAx>
        <c:axId val="1289354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58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0.12049175269376761</c:v>
                </c:pt>
                <c:pt idx="1">
                  <c:v>8.0779756980852269E-2</c:v>
                </c:pt>
                <c:pt idx="2">
                  <c:v>6.8001725294796408E-2</c:v>
                </c:pt>
                <c:pt idx="3">
                  <c:v>0.13389993618831017</c:v>
                </c:pt>
                <c:pt idx="4">
                  <c:v>0.19089327819405463</c:v>
                </c:pt>
                <c:pt idx="5">
                  <c:v>0.11738273653336104</c:v>
                </c:pt>
                <c:pt idx="6">
                  <c:v>7.6687444013630229E-2</c:v>
                </c:pt>
                <c:pt idx="7">
                  <c:v>2.4897112455285968E-2</c:v>
                </c:pt>
                <c:pt idx="8">
                  <c:v>3.4600668926060792E-2</c:v>
                </c:pt>
                <c:pt idx="9">
                  <c:v>1.554355798375473E-2</c:v>
                </c:pt>
                <c:pt idx="10">
                  <c:v>4.618190974796834E-2</c:v>
                </c:pt>
                <c:pt idx="11">
                  <c:v>9.4554118375037178E-3</c:v>
                </c:pt>
                <c:pt idx="12">
                  <c:v>8.0812910784510642E-3</c:v>
                </c:pt>
                <c:pt idx="13">
                  <c:v>1.6750178389906396E-2</c:v>
                </c:pt>
                <c:pt idx="14">
                  <c:v>4.7320592727653678E-3</c:v>
                </c:pt>
                <c:pt idx="15">
                  <c:v>1.2470014223277126E-2</c:v>
                </c:pt>
                <c:pt idx="16">
                  <c:v>9.558645987785443E-3</c:v>
                </c:pt>
                <c:pt idx="17">
                  <c:v>3.1309704574170815E-3</c:v>
                </c:pt>
                <c:pt idx="18">
                  <c:v>5.5579624117697759E-3</c:v>
                </c:pt>
                <c:pt idx="19">
                  <c:v>4.8571098507676342E-4</c:v>
                </c:pt>
                <c:pt idx="20">
                  <c:v>1.3122835039455498E-3</c:v>
                </c:pt>
                <c:pt idx="21">
                  <c:v>3.0291780640073211E-3</c:v>
                </c:pt>
                <c:pt idx="22">
                  <c:v>2.8654632216249679E-3</c:v>
                </c:pt>
                <c:pt idx="23">
                  <c:v>2.1386815399655349E-3</c:v>
                </c:pt>
                <c:pt idx="24">
                  <c:v>8.8985922522342585E-4</c:v>
                </c:pt>
                <c:pt idx="25">
                  <c:v>1.4019512646280261E-3</c:v>
                </c:pt>
                <c:pt idx="26">
                  <c:v>1.3584717793717776E-3</c:v>
                </c:pt>
                <c:pt idx="27">
                  <c:v>3.6997578844681227E-4</c:v>
                </c:pt>
                <c:pt idx="28">
                  <c:v>1.145974308257985E-3</c:v>
                </c:pt>
                <c:pt idx="29">
                  <c:v>0</c:v>
                </c:pt>
                <c:pt idx="30">
                  <c:v>0</c:v>
                </c:pt>
                <c:pt idx="31">
                  <c:v>7.4499480921572537E-5</c:v>
                </c:pt>
                <c:pt idx="32">
                  <c:v>3.5141123722922703E-4</c:v>
                </c:pt>
                <c:pt idx="33">
                  <c:v>1.6913195980317847E-4</c:v>
                </c:pt>
                <c:pt idx="34">
                  <c:v>1.6232586634583174E-3</c:v>
                </c:pt>
                <c:pt idx="35">
                  <c:v>4.1375971255318386E-4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4.3239695717107085E-4</c:v>
                </c:pt>
                <c:pt idx="40">
                  <c:v>5.0495652789884441E-4</c:v>
                </c:pt>
                <c:pt idx="41">
                  <c:v>1.7319306104241537E-3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4.6138256188913877E-4</c:v>
                </c:pt>
                <c:pt idx="48">
                  <c:v>0</c:v>
                </c:pt>
                <c:pt idx="49">
                  <c:v>0</c:v>
                </c:pt>
                <c:pt idx="50">
                  <c:v>1.7017930936340188E-5</c:v>
                </c:pt>
                <c:pt idx="51">
                  <c:v>5.0452355333682363E-5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5.5498177470095129E-6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0.2555812239311282</c:v>
                </c:pt>
                <c:pt idx="1">
                  <c:v>0.1330991322917319</c:v>
                </c:pt>
                <c:pt idx="2">
                  <c:v>7.7686199165356698E-2</c:v>
                </c:pt>
                <c:pt idx="3">
                  <c:v>4.3978605537118999E-2</c:v>
                </c:pt>
                <c:pt idx="4">
                  <c:v>0.13385819851943637</c:v>
                </c:pt>
                <c:pt idx="5">
                  <c:v>7.2936268096479406E-2</c:v>
                </c:pt>
                <c:pt idx="6">
                  <c:v>6.2058882008592497E-2</c:v>
                </c:pt>
                <c:pt idx="7">
                  <c:v>3.9101248010334724E-2</c:v>
                </c:pt>
                <c:pt idx="8">
                  <c:v>3.2996861574222068E-2</c:v>
                </c:pt>
                <c:pt idx="9">
                  <c:v>2.2407283520573331E-2</c:v>
                </c:pt>
                <c:pt idx="10">
                  <c:v>1.8204407417538055E-2</c:v>
                </c:pt>
                <c:pt idx="11">
                  <c:v>1.4920979118538463E-2</c:v>
                </c:pt>
                <c:pt idx="12">
                  <c:v>1.2071459878791074E-2</c:v>
                </c:pt>
                <c:pt idx="13">
                  <c:v>1.1024585616848414E-2</c:v>
                </c:pt>
                <c:pt idx="14">
                  <c:v>1.0091955765443044E-2</c:v>
                </c:pt>
                <c:pt idx="15">
                  <c:v>8.6386350429350275E-3</c:v>
                </c:pt>
                <c:pt idx="16">
                  <c:v>8.4496923639695107E-3</c:v>
                </c:pt>
                <c:pt idx="17">
                  <c:v>4.8586829596772158E-3</c:v>
                </c:pt>
                <c:pt idx="18">
                  <c:v>5.6254387150140228E-3</c:v>
                </c:pt>
                <c:pt idx="19">
                  <c:v>5.2025146952365577E-3</c:v>
                </c:pt>
                <c:pt idx="20">
                  <c:v>3.6657076727205219E-3</c:v>
                </c:pt>
                <c:pt idx="21">
                  <c:v>3.0516439660825921E-3</c:v>
                </c:pt>
                <c:pt idx="22">
                  <c:v>2.7111077423656723E-3</c:v>
                </c:pt>
                <c:pt idx="23">
                  <c:v>2.528756087084999E-3</c:v>
                </c:pt>
                <c:pt idx="24">
                  <c:v>2.2376525410044059E-3</c:v>
                </c:pt>
                <c:pt idx="25">
                  <c:v>2.2804941949558896E-3</c:v>
                </c:pt>
                <c:pt idx="26">
                  <c:v>1.746621276483557E-3</c:v>
                </c:pt>
                <c:pt idx="27">
                  <c:v>1.2819541067020824E-3</c:v>
                </c:pt>
                <c:pt idx="28">
                  <c:v>8.7880315797914815E-4</c:v>
                </c:pt>
                <c:pt idx="29">
                  <c:v>8.6122709481956528E-4</c:v>
                </c:pt>
                <c:pt idx="30">
                  <c:v>7.2171709349037546E-4</c:v>
                </c:pt>
                <c:pt idx="31">
                  <c:v>7.5906622770448924E-4</c:v>
                </c:pt>
                <c:pt idx="32">
                  <c:v>5.8550260400360744E-4</c:v>
                </c:pt>
                <c:pt idx="33">
                  <c:v>4.5587913820168313E-4</c:v>
                </c:pt>
                <c:pt idx="34">
                  <c:v>4.8114472899358362E-4</c:v>
                </c:pt>
                <c:pt idx="35">
                  <c:v>3.6580181450882043E-4</c:v>
                </c:pt>
                <c:pt idx="36">
                  <c:v>4.3500756319967836E-4</c:v>
                </c:pt>
                <c:pt idx="37">
                  <c:v>3.5042275924418534E-4</c:v>
                </c:pt>
                <c:pt idx="38">
                  <c:v>3.1636913687249337E-4</c:v>
                </c:pt>
                <c:pt idx="39">
                  <c:v>2.9879307371291039E-4</c:v>
                </c:pt>
                <c:pt idx="40">
                  <c:v>1.9223819080793866E-4</c:v>
                </c:pt>
                <c:pt idx="41">
                  <c:v>1.8454866317562112E-4</c:v>
                </c:pt>
                <c:pt idx="42">
                  <c:v>1.0216086711507597E-4</c:v>
                </c:pt>
                <c:pt idx="43">
                  <c:v>1.2413094606455468E-4</c:v>
                </c:pt>
                <c:pt idx="44">
                  <c:v>8.2387796060545142E-5</c:v>
                </c:pt>
                <c:pt idx="45">
                  <c:v>9.0077323692862687E-5</c:v>
                </c:pt>
                <c:pt idx="46">
                  <c:v>7.1402756585805797E-5</c:v>
                </c:pt>
                <c:pt idx="47">
                  <c:v>6.371322895348824E-5</c:v>
                </c:pt>
                <c:pt idx="48">
                  <c:v>3.5152126319165927E-5</c:v>
                </c:pt>
                <c:pt idx="49">
                  <c:v>5.382669342622283E-5</c:v>
                </c:pt>
                <c:pt idx="50">
                  <c:v>3.185661447674412E-5</c:v>
                </c:pt>
                <c:pt idx="51">
                  <c:v>3.185661447674412E-5</c:v>
                </c:pt>
                <c:pt idx="52">
                  <c:v>1.2083543422213288E-5</c:v>
                </c:pt>
                <c:pt idx="53">
                  <c:v>9.8865355272654177E-6</c:v>
                </c:pt>
                <c:pt idx="54">
                  <c:v>2.4167086844426575E-5</c:v>
                </c:pt>
                <c:pt idx="55">
                  <c:v>1.3182047369687224E-5</c:v>
                </c:pt>
                <c:pt idx="56">
                  <c:v>1.2083543422213288E-5</c:v>
                </c:pt>
                <c:pt idx="57">
                  <c:v>7.689527632317546E-6</c:v>
                </c:pt>
                <c:pt idx="58">
                  <c:v>3.2955118424218059E-6</c:v>
                </c:pt>
                <c:pt idx="59">
                  <c:v>6.5910236848436118E-6</c:v>
                </c:pt>
                <c:pt idx="60">
                  <c:v>7.689527632317546E-6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0768"/>
        <c:axId val="128934296"/>
      </c:lineChart>
      <c:catAx>
        <c:axId val="128930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4296"/>
        <c:crosses val="autoZero"/>
        <c:auto val="1"/>
        <c:lblAlgn val="ctr"/>
        <c:lblOffset val="100"/>
        <c:tickLblSkip val="10"/>
        <c:noMultiLvlLbl val="0"/>
      </c:catAx>
      <c:valAx>
        <c:axId val="12893429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076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2.3437457431708345E-4</c:v>
                </c:pt>
                <c:pt idx="2">
                  <c:v>1.5238115561758364E-3</c:v>
                </c:pt>
                <c:pt idx="3">
                  <c:v>1.2202951508955511E-2</c:v>
                </c:pt>
                <c:pt idx="4">
                  <c:v>1.0621013724945052E-2</c:v>
                </c:pt>
                <c:pt idx="5">
                  <c:v>2.5440347920877824E-2</c:v>
                </c:pt>
                <c:pt idx="6">
                  <c:v>2.0470459801236126E-2</c:v>
                </c:pt>
                <c:pt idx="7">
                  <c:v>2.3423668634067588E-2</c:v>
                </c:pt>
                <c:pt idx="8">
                  <c:v>1.3939643752029817E-2</c:v>
                </c:pt>
                <c:pt idx="9">
                  <c:v>3.2880143089351443E-2</c:v>
                </c:pt>
                <c:pt idx="10">
                  <c:v>1.0384669616977807E-2</c:v>
                </c:pt>
                <c:pt idx="11">
                  <c:v>1.5197866890334944E-2</c:v>
                </c:pt>
                <c:pt idx="12">
                  <c:v>1.5061535912517967E-2</c:v>
                </c:pt>
                <c:pt idx="13">
                  <c:v>2.8722774419301426E-2</c:v>
                </c:pt>
                <c:pt idx="14">
                  <c:v>2.9932576669336325E-2</c:v>
                </c:pt>
                <c:pt idx="15">
                  <c:v>2.4039964738992222E-2</c:v>
                </c:pt>
                <c:pt idx="16">
                  <c:v>3.6114929204905652E-2</c:v>
                </c:pt>
                <c:pt idx="17">
                  <c:v>2.2118265815047077E-2</c:v>
                </c:pt>
                <c:pt idx="18">
                  <c:v>7.7454753541735477E-2</c:v>
                </c:pt>
                <c:pt idx="19">
                  <c:v>4.2204630958494846E-2</c:v>
                </c:pt>
                <c:pt idx="20">
                  <c:v>8.122465540068538E-2</c:v>
                </c:pt>
                <c:pt idx="21">
                  <c:v>4.8324642088993827E-2</c:v>
                </c:pt>
                <c:pt idx="22">
                  <c:v>3.7900420865020927E-2</c:v>
                </c:pt>
                <c:pt idx="23">
                  <c:v>1.7498416310622822E-2</c:v>
                </c:pt>
                <c:pt idx="24">
                  <c:v>2.6145051354282522E-2</c:v>
                </c:pt>
                <c:pt idx="25">
                  <c:v>2.2126876978634025E-2</c:v>
                </c:pt>
                <c:pt idx="26">
                  <c:v>3.292587593525715E-2</c:v>
                </c:pt>
                <c:pt idx="27">
                  <c:v>1.6833741558432636E-2</c:v>
                </c:pt>
                <c:pt idx="28">
                  <c:v>1.6761075487677374E-2</c:v>
                </c:pt>
                <c:pt idx="29">
                  <c:v>1.2293513793541747E-2</c:v>
                </c:pt>
                <c:pt idx="30">
                  <c:v>1.123239238291792E-2</c:v>
                </c:pt>
                <c:pt idx="31">
                  <c:v>6.4757781595168769E-3</c:v>
                </c:pt>
                <c:pt idx="32">
                  <c:v>3.5203353167542438E-3</c:v>
                </c:pt>
                <c:pt idx="33">
                  <c:v>1.0019561802714416E-2</c:v>
                </c:pt>
                <c:pt idx="34">
                  <c:v>1.3340663437289168E-2</c:v>
                </c:pt>
                <c:pt idx="35">
                  <c:v>3.4922333253570555E-3</c:v>
                </c:pt>
                <c:pt idx="36">
                  <c:v>4.3440946508051482E-3</c:v>
                </c:pt>
                <c:pt idx="37">
                  <c:v>5.313078018730222E-3</c:v>
                </c:pt>
                <c:pt idx="38">
                  <c:v>8.9423018411654859E-3</c:v>
                </c:pt>
                <c:pt idx="39">
                  <c:v>8.7677744788658158E-3</c:v>
                </c:pt>
                <c:pt idx="40">
                  <c:v>2.6335204025266915E-3</c:v>
                </c:pt>
                <c:pt idx="41">
                  <c:v>1.6446118527026247E-3</c:v>
                </c:pt>
                <c:pt idx="42">
                  <c:v>1.8972724014916001E-3</c:v>
                </c:pt>
                <c:pt idx="43">
                  <c:v>2.0153542881545285E-4</c:v>
                </c:pt>
                <c:pt idx="44">
                  <c:v>2.0270857605111572E-3</c:v>
                </c:pt>
                <c:pt idx="45">
                  <c:v>4.2262496814412062E-2</c:v>
                </c:pt>
                <c:pt idx="46">
                  <c:v>3.2095736245178349E-3</c:v>
                </c:pt>
                <c:pt idx="47">
                  <c:v>1.109767740090035E-3</c:v>
                </c:pt>
                <c:pt idx="48">
                  <c:v>1.8403876278514574E-3</c:v>
                </c:pt>
                <c:pt idx="49">
                  <c:v>1.5911796434228027E-3</c:v>
                </c:pt>
                <c:pt idx="50">
                  <c:v>6.9635680670331285E-4</c:v>
                </c:pt>
                <c:pt idx="51">
                  <c:v>2.1991877959133882E-3</c:v>
                </c:pt>
                <c:pt idx="52">
                  <c:v>2.8599592723330346E-3</c:v>
                </c:pt>
                <c:pt idx="53">
                  <c:v>1.9746699006875442E-3</c:v>
                </c:pt>
                <c:pt idx="54">
                  <c:v>6.007937558721115E-4</c:v>
                </c:pt>
                <c:pt idx="55">
                  <c:v>0</c:v>
                </c:pt>
                <c:pt idx="56">
                  <c:v>1.7056558421970119E-3</c:v>
                </c:pt>
                <c:pt idx="57">
                  <c:v>4.9256110305866097E-4</c:v>
                </c:pt>
                <c:pt idx="58">
                  <c:v>4.8474318764347437E-4</c:v>
                </c:pt>
                <c:pt idx="59">
                  <c:v>6.0570573874355353E-3</c:v>
                </c:pt>
                <c:pt idx="60">
                  <c:v>5.747862282570626E-3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8.1728693692060782E-3</c:v>
                </c:pt>
                <c:pt idx="1">
                  <c:v>3.443040922567555E-2</c:v>
                </c:pt>
                <c:pt idx="2">
                  <c:v>4.1545419293464232E-2</c:v>
                </c:pt>
                <c:pt idx="3">
                  <c:v>4.5729620829392449E-2</c:v>
                </c:pt>
                <c:pt idx="4">
                  <c:v>4.3554583013394058E-2</c:v>
                </c:pt>
                <c:pt idx="5">
                  <c:v>4.1399318268450197E-2</c:v>
                </c:pt>
                <c:pt idx="6">
                  <c:v>3.8493775327381637E-2</c:v>
                </c:pt>
                <c:pt idx="7">
                  <c:v>3.5960625224506743E-2</c:v>
                </c:pt>
                <c:pt idx="8">
                  <c:v>3.2310296607050856E-2</c:v>
                </c:pt>
                <c:pt idx="9">
                  <c:v>2.8915919409356398E-2</c:v>
                </c:pt>
                <c:pt idx="10">
                  <c:v>2.6123522374877653E-2</c:v>
                </c:pt>
                <c:pt idx="11">
                  <c:v>2.2857670139037646E-2</c:v>
                </c:pt>
                <c:pt idx="12">
                  <c:v>2.0428877911172774E-2</c:v>
                </c:pt>
                <c:pt idx="13">
                  <c:v>1.770348961748994E-2</c:v>
                </c:pt>
                <c:pt idx="14">
                  <c:v>1.6139219996287056E-2</c:v>
                </c:pt>
                <c:pt idx="15">
                  <c:v>1.4210247064522827E-2</c:v>
                </c:pt>
                <c:pt idx="16">
                  <c:v>1.3457771860503181E-2</c:v>
                </c:pt>
                <c:pt idx="17">
                  <c:v>1.2029716728787065E-2</c:v>
                </c:pt>
                <c:pt idx="18">
                  <c:v>9.0034482038911207E-2</c:v>
                </c:pt>
                <c:pt idx="19">
                  <c:v>3.4953297104673146E-2</c:v>
                </c:pt>
                <c:pt idx="20">
                  <c:v>3.4790718520447003E-2</c:v>
                </c:pt>
                <c:pt idx="21">
                  <c:v>3.8165322647086934E-2</c:v>
                </c:pt>
                <c:pt idx="22">
                  <c:v>3.618472002979143E-2</c:v>
                </c:pt>
                <c:pt idx="23">
                  <c:v>3.1128306359568904E-2</c:v>
                </c:pt>
                <c:pt idx="24">
                  <c:v>2.1705339498137487E-2</c:v>
                </c:pt>
                <c:pt idx="25">
                  <c:v>2.146916114943059E-2</c:v>
                </c:pt>
                <c:pt idx="26">
                  <c:v>1.9043664433408141E-2</c:v>
                </c:pt>
                <c:pt idx="27">
                  <c:v>1.5199999121196841E-2</c:v>
                </c:pt>
                <c:pt idx="28">
                  <c:v>1.54757236120128E-2</c:v>
                </c:pt>
                <c:pt idx="29">
                  <c:v>1.2540521064362445E-2</c:v>
                </c:pt>
                <c:pt idx="30">
                  <c:v>1.1540882472161163E-2</c:v>
                </c:pt>
                <c:pt idx="31">
                  <c:v>1.0077675214125881E-2</c:v>
                </c:pt>
                <c:pt idx="32">
                  <c:v>8.4343133087048747E-3</c:v>
                </c:pt>
                <c:pt idx="33">
                  <c:v>1.1764977277445847E-2</c:v>
                </c:pt>
                <c:pt idx="34">
                  <c:v>9.4020952864294124E-3</c:v>
                </c:pt>
                <c:pt idx="35">
                  <c:v>7.7016111757397601E-3</c:v>
                </c:pt>
                <c:pt idx="36">
                  <c:v>5.4419885557858748E-3</c:v>
                </c:pt>
                <c:pt idx="37">
                  <c:v>5.6199461952766532E-3</c:v>
                </c:pt>
                <c:pt idx="38">
                  <c:v>4.6884148478187554E-3</c:v>
                </c:pt>
                <c:pt idx="39">
                  <c:v>4.7740981557217229E-3</c:v>
                </c:pt>
                <c:pt idx="40">
                  <c:v>3.8799159424779393E-3</c:v>
                </c:pt>
                <c:pt idx="41">
                  <c:v>4.1336703543444183E-3</c:v>
                </c:pt>
                <c:pt idx="42">
                  <c:v>3.3262699529510759E-3</c:v>
                </c:pt>
                <c:pt idx="43">
                  <c:v>3.0483484542401704E-3</c:v>
                </c:pt>
                <c:pt idx="44">
                  <c:v>2.9582711305473075E-3</c:v>
                </c:pt>
                <c:pt idx="45">
                  <c:v>2.7660329397393691E-3</c:v>
                </c:pt>
                <c:pt idx="46">
                  <c:v>2.5814842765637478E-3</c:v>
                </c:pt>
                <c:pt idx="47">
                  <c:v>2.1420826975741738E-3</c:v>
                </c:pt>
                <c:pt idx="48">
                  <c:v>1.8356000962289458E-3</c:v>
                </c:pt>
                <c:pt idx="49">
                  <c:v>2.4178071883901313E-3</c:v>
                </c:pt>
                <c:pt idx="50">
                  <c:v>1.6730215120028034E-3</c:v>
                </c:pt>
                <c:pt idx="51">
                  <c:v>1.5851411962048885E-3</c:v>
                </c:pt>
                <c:pt idx="52">
                  <c:v>1.3522583593404143E-3</c:v>
                </c:pt>
                <c:pt idx="53">
                  <c:v>1.1138830027385704E-3</c:v>
                </c:pt>
                <c:pt idx="54">
                  <c:v>1.1171785145809921E-3</c:v>
                </c:pt>
                <c:pt idx="55">
                  <c:v>1.1028979632638309E-3</c:v>
                </c:pt>
                <c:pt idx="56">
                  <c:v>1.0875189079991958E-3</c:v>
                </c:pt>
                <c:pt idx="57">
                  <c:v>7.9971087376102482E-4</c:v>
                </c:pt>
                <c:pt idx="58">
                  <c:v>8.7550764613672635E-4</c:v>
                </c:pt>
                <c:pt idx="59">
                  <c:v>8.5683307902966951E-4</c:v>
                </c:pt>
                <c:pt idx="60">
                  <c:v>6.5690536058941331E-4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4688"/>
        <c:axId val="128931160"/>
      </c:lineChart>
      <c:catAx>
        <c:axId val="12893468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1160"/>
        <c:crosses val="autoZero"/>
        <c:auto val="1"/>
        <c:lblAlgn val="ctr"/>
        <c:lblOffset val="100"/>
        <c:tickLblSkip val="10"/>
        <c:noMultiLvlLbl val="0"/>
      </c:catAx>
      <c:valAx>
        <c:axId val="1289311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468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5.2146290719061919E-2</c:v>
                </c:pt>
                <c:pt idx="1">
                  <c:v>8.4588131389252585E-2</c:v>
                </c:pt>
                <c:pt idx="2">
                  <c:v>9.3158896183770726E-2</c:v>
                </c:pt>
                <c:pt idx="3">
                  <c:v>9.9096146066588939E-2</c:v>
                </c:pt>
                <c:pt idx="4">
                  <c:v>0.15760963891123325</c:v>
                </c:pt>
                <c:pt idx="5">
                  <c:v>0.10595355900341841</c:v>
                </c:pt>
                <c:pt idx="6">
                  <c:v>9.9579252827036918E-2</c:v>
                </c:pt>
                <c:pt idx="7">
                  <c:v>4.6547439814434169E-2</c:v>
                </c:pt>
                <c:pt idx="8">
                  <c:v>3.8496560844793561E-2</c:v>
                </c:pt>
                <c:pt idx="9">
                  <c:v>3.0977557636269203E-2</c:v>
                </c:pt>
                <c:pt idx="10">
                  <c:v>4.0953301079401275E-2</c:v>
                </c:pt>
                <c:pt idx="11">
                  <c:v>1.1936720534662859E-2</c:v>
                </c:pt>
                <c:pt idx="12">
                  <c:v>2.3958525492174084E-2</c:v>
                </c:pt>
                <c:pt idx="13">
                  <c:v>1.1024714891821885E-2</c:v>
                </c:pt>
                <c:pt idx="14">
                  <c:v>9.4941118926001617E-3</c:v>
                </c:pt>
                <c:pt idx="15">
                  <c:v>1.4205112228725919E-2</c:v>
                </c:pt>
                <c:pt idx="16">
                  <c:v>1.3046370957517563E-2</c:v>
                </c:pt>
                <c:pt idx="17">
                  <c:v>7.6247861193617693E-3</c:v>
                </c:pt>
                <c:pt idx="18">
                  <c:v>6.3883197503428945E-3</c:v>
                </c:pt>
                <c:pt idx="19">
                  <c:v>3.3392104215356887E-3</c:v>
                </c:pt>
                <c:pt idx="20">
                  <c:v>3.6904285062535611E-3</c:v>
                </c:pt>
                <c:pt idx="21">
                  <c:v>2.3599814924849119E-3</c:v>
                </c:pt>
                <c:pt idx="22">
                  <c:v>2.8495040175413851E-3</c:v>
                </c:pt>
                <c:pt idx="23">
                  <c:v>6.0841443173274079E-3</c:v>
                </c:pt>
                <c:pt idx="24">
                  <c:v>5.8286627692899608E-3</c:v>
                </c:pt>
                <c:pt idx="25">
                  <c:v>2.0661629672828661E-3</c:v>
                </c:pt>
                <c:pt idx="26">
                  <c:v>5.5488427161080947E-3</c:v>
                </c:pt>
                <c:pt idx="27">
                  <c:v>1.2193362286474592E-3</c:v>
                </c:pt>
                <c:pt idx="28">
                  <c:v>3.741663609677057E-4</c:v>
                </c:pt>
                <c:pt idx="29">
                  <c:v>6.8134397583786163E-4</c:v>
                </c:pt>
                <c:pt idx="30">
                  <c:v>2.1509212019839728E-4</c:v>
                </c:pt>
                <c:pt idx="31">
                  <c:v>9.8212965757951774E-4</c:v>
                </c:pt>
                <c:pt idx="32">
                  <c:v>8.132027872145511E-4</c:v>
                </c:pt>
                <c:pt idx="33">
                  <c:v>8.068190787764841E-4</c:v>
                </c:pt>
                <c:pt idx="34">
                  <c:v>1.2819671686343003E-3</c:v>
                </c:pt>
                <c:pt idx="35">
                  <c:v>7.3507511268701973E-4</c:v>
                </c:pt>
                <c:pt idx="36">
                  <c:v>1.2529182646009321E-3</c:v>
                </c:pt>
                <c:pt idx="37">
                  <c:v>2.5527080806393265E-4</c:v>
                </c:pt>
                <c:pt idx="38">
                  <c:v>4.0857021423047334E-4</c:v>
                </c:pt>
                <c:pt idx="39">
                  <c:v>7.4819762554532803E-4</c:v>
                </c:pt>
                <c:pt idx="40">
                  <c:v>1.9694839415620424E-4</c:v>
                </c:pt>
                <c:pt idx="41">
                  <c:v>8.5575360772893489E-4</c:v>
                </c:pt>
                <c:pt idx="42">
                  <c:v>2.5537204452163765E-4</c:v>
                </c:pt>
                <c:pt idx="43">
                  <c:v>1.0032606717464531E-3</c:v>
                </c:pt>
                <c:pt idx="44">
                  <c:v>2.4042755236549406E-3</c:v>
                </c:pt>
                <c:pt idx="45">
                  <c:v>0</c:v>
                </c:pt>
                <c:pt idx="46">
                  <c:v>0</c:v>
                </c:pt>
                <c:pt idx="47">
                  <c:v>4.7084229670210171E-4</c:v>
                </c:pt>
                <c:pt idx="48">
                  <c:v>0</c:v>
                </c:pt>
                <c:pt idx="49">
                  <c:v>3.9143545114959612E-4</c:v>
                </c:pt>
                <c:pt idx="50">
                  <c:v>0</c:v>
                </c:pt>
                <c:pt idx="51">
                  <c:v>2.2717147448967487E-4</c:v>
                </c:pt>
                <c:pt idx="52">
                  <c:v>1.0608198941065893E-4</c:v>
                </c:pt>
                <c:pt idx="53">
                  <c:v>4.1418355949091794E-4</c:v>
                </c:pt>
                <c:pt idx="54">
                  <c:v>6.8906259835305292E-4</c:v>
                </c:pt>
                <c:pt idx="55">
                  <c:v>0</c:v>
                </c:pt>
                <c:pt idx="56">
                  <c:v>1.072047547565926E-3</c:v>
                </c:pt>
                <c:pt idx="57">
                  <c:v>3.1768607684895973E-4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0.11501385137643819</c:v>
                </c:pt>
                <c:pt idx="1">
                  <c:v>0.11389674369343659</c:v>
                </c:pt>
                <c:pt idx="2">
                  <c:v>7.4451080602490158E-2</c:v>
                </c:pt>
                <c:pt idx="3">
                  <c:v>4.9655734621611616E-2</c:v>
                </c:pt>
                <c:pt idx="4">
                  <c:v>0.16661219343903849</c:v>
                </c:pt>
                <c:pt idx="5">
                  <c:v>9.7946115408443515E-2</c:v>
                </c:pt>
                <c:pt idx="6">
                  <c:v>8.9251537852388929E-2</c:v>
                </c:pt>
                <c:pt idx="7">
                  <c:v>5.7468442114471829E-2</c:v>
                </c:pt>
                <c:pt idx="8">
                  <c:v>7.1480257113634399E-2</c:v>
                </c:pt>
                <c:pt idx="9">
                  <c:v>3.0604739550219168E-2</c:v>
                </c:pt>
                <c:pt idx="10">
                  <c:v>2.0919345475713884E-2</c:v>
                </c:pt>
                <c:pt idx="11">
                  <c:v>2.2638639784535348E-2</c:v>
                </c:pt>
                <c:pt idx="12">
                  <c:v>1.5992906013898533E-2</c:v>
                </c:pt>
                <c:pt idx="13">
                  <c:v>1.3280627097964544E-2</c:v>
                </c:pt>
                <c:pt idx="14">
                  <c:v>1.0999797825732285E-2</c:v>
                </c:pt>
                <c:pt idx="15">
                  <c:v>1.0306009453950609E-2</c:v>
                </c:pt>
                <c:pt idx="16">
                  <c:v>9.4246814129216993E-3</c:v>
                </c:pt>
                <c:pt idx="17">
                  <c:v>6.2050697501223615E-3</c:v>
                </c:pt>
                <c:pt idx="18">
                  <c:v>4.880367577751725E-3</c:v>
                </c:pt>
                <c:pt idx="19">
                  <c:v>3.4564753491029263E-3</c:v>
                </c:pt>
                <c:pt idx="20">
                  <c:v>2.5279913796794808E-3</c:v>
                </c:pt>
                <c:pt idx="21">
                  <c:v>2.176218994299553E-3</c:v>
                </c:pt>
                <c:pt idx="22">
                  <c:v>1.517120041106961E-3</c:v>
                </c:pt>
                <c:pt idx="23">
                  <c:v>1.6179361638814858E-3</c:v>
                </c:pt>
                <c:pt idx="24">
                  <c:v>1.2401467145597453E-3</c:v>
                </c:pt>
                <c:pt idx="25">
                  <c:v>1.5176620632724154E-3</c:v>
                </c:pt>
                <c:pt idx="26">
                  <c:v>7.5232676565075449E-4</c:v>
                </c:pt>
                <c:pt idx="27">
                  <c:v>5.9405629333805971E-4</c:v>
                </c:pt>
                <c:pt idx="28">
                  <c:v>4.9757634788717047E-4</c:v>
                </c:pt>
                <c:pt idx="29">
                  <c:v>3.9838629160900905E-4</c:v>
                </c:pt>
                <c:pt idx="30">
                  <c:v>3.5448249620719988E-4</c:v>
                </c:pt>
                <c:pt idx="31">
                  <c:v>3.5177238537992771E-4</c:v>
                </c:pt>
                <c:pt idx="32">
                  <c:v>2.4390997445449534E-4</c:v>
                </c:pt>
                <c:pt idx="33">
                  <c:v>2.4174188579267761E-4</c:v>
                </c:pt>
                <c:pt idx="34">
                  <c:v>2.0596842287268495E-4</c:v>
                </c:pt>
                <c:pt idx="35">
                  <c:v>1.6585878262905684E-4</c:v>
                </c:pt>
                <c:pt idx="36">
                  <c:v>1.7290507077996449E-4</c:v>
                </c:pt>
                <c:pt idx="37">
                  <c:v>1.3008531970906418E-4</c:v>
                </c:pt>
                <c:pt idx="38">
                  <c:v>1.2737520888179201E-4</c:v>
                </c:pt>
                <c:pt idx="39">
                  <c:v>1.5068216199633268E-4</c:v>
                </c:pt>
                <c:pt idx="40">
                  <c:v>7.7509169659984079E-5</c:v>
                </c:pt>
                <c:pt idx="41">
                  <c:v>5.7454349538170017E-5</c:v>
                </c:pt>
                <c:pt idx="42">
                  <c:v>4.2819751070900295E-5</c:v>
                </c:pt>
                <c:pt idx="43">
                  <c:v>4.8239972725444636E-5</c:v>
                </c:pt>
                <c:pt idx="44">
                  <c:v>3.9567618078173687E-5</c:v>
                </c:pt>
                <c:pt idx="45">
                  <c:v>4.4445817567263596E-5</c:v>
                </c:pt>
                <c:pt idx="46">
                  <c:v>3.5231440754538215E-5</c:v>
                </c:pt>
                <c:pt idx="47">
                  <c:v>3.1437285596357176E-5</c:v>
                </c:pt>
                <c:pt idx="48">
                  <c:v>1.3008531970906419E-5</c:v>
                </c:pt>
                <c:pt idx="49">
                  <c:v>1.463459846726972E-5</c:v>
                </c:pt>
                <c:pt idx="50">
                  <c:v>1.9512797956359628E-5</c:v>
                </c:pt>
                <c:pt idx="51">
                  <c:v>1.9512797956359628E-5</c:v>
                </c:pt>
                <c:pt idx="52">
                  <c:v>1.5718642798178588E-5</c:v>
                </c:pt>
                <c:pt idx="53">
                  <c:v>8.672354647270946E-6</c:v>
                </c:pt>
                <c:pt idx="54">
                  <c:v>9.2143768127253791E-6</c:v>
                </c:pt>
                <c:pt idx="55">
                  <c:v>7.5883103163620773E-6</c:v>
                </c:pt>
                <c:pt idx="56">
                  <c:v>7.0462881509076434E-6</c:v>
                </c:pt>
                <c:pt idx="57">
                  <c:v>3.7941551581810387E-6</c:v>
                </c:pt>
                <c:pt idx="58">
                  <c:v>7.0462881509076434E-6</c:v>
                </c:pt>
                <c:pt idx="59">
                  <c:v>6.5042659854532095E-6</c:v>
                </c:pt>
                <c:pt idx="60">
                  <c:v>1.6260664963633024E-6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6256"/>
        <c:axId val="128929984"/>
      </c:lineChart>
      <c:catAx>
        <c:axId val="1289362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29984"/>
        <c:crosses val="autoZero"/>
        <c:auto val="1"/>
        <c:lblAlgn val="ctr"/>
        <c:lblOffset val="100"/>
        <c:tickLblSkip val="10"/>
        <c:noMultiLvlLbl val="0"/>
      </c:catAx>
      <c:valAx>
        <c:axId val="12892998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625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2.1581793258237288E-4</c:v>
                </c:pt>
                <c:pt idx="1">
                  <c:v>1.4132563567125416E-3</c:v>
                </c:pt>
                <c:pt idx="2">
                  <c:v>2.3665349844541146E-3</c:v>
                </c:pt>
                <c:pt idx="3">
                  <c:v>3.8505155145574905E-3</c:v>
                </c:pt>
                <c:pt idx="4">
                  <c:v>9.7282952441512076E-3</c:v>
                </c:pt>
                <c:pt idx="5">
                  <c:v>9.5390850415084764E-3</c:v>
                </c:pt>
                <c:pt idx="6">
                  <c:v>1.2144303975221702E-2</c:v>
                </c:pt>
                <c:pt idx="7">
                  <c:v>1.5088570600175169E-2</c:v>
                </c:pt>
                <c:pt idx="8">
                  <c:v>1.011255491500208E-2</c:v>
                </c:pt>
                <c:pt idx="9">
                  <c:v>2.2877773883781021E-2</c:v>
                </c:pt>
                <c:pt idx="10">
                  <c:v>9.7757986346551241E-3</c:v>
                </c:pt>
                <c:pt idx="11">
                  <c:v>8.3908461239534295E-3</c:v>
                </c:pt>
                <c:pt idx="12">
                  <c:v>2.1122636468141692E-2</c:v>
                </c:pt>
                <c:pt idx="13">
                  <c:v>1.8169286116262166E-2</c:v>
                </c:pt>
                <c:pt idx="14">
                  <c:v>1.0874125460800061E-2</c:v>
                </c:pt>
                <c:pt idx="15">
                  <c:v>7.1022752107275915E-3</c:v>
                </c:pt>
                <c:pt idx="16">
                  <c:v>2.6153394623269103E-2</c:v>
                </c:pt>
                <c:pt idx="17">
                  <c:v>1.4776755773111308E-2</c:v>
                </c:pt>
                <c:pt idx="18">
                  <c:v>4.9758939256356334E-2</c:v>
                </c:pt>
                <c:pt idx="19">
                  <c:v>4.6541534233061031E-2</c:v>
                </c:pt>
                <c:pt idx="20">
                  <c:v>4.8080084961462641E-2</c:v>
                </c:pt>
                <c:pt idx="21">
                  <c:v>4.0009520955167341E-2</c:v>
                </c:pt>
                <c:pt idx="22">
                  <c:v>4.0380317701470728E-2</c:v>
                </c:pt>
                <c:pt idx="23">
                  <c:v>2.978997176834227E-2</c:v>
                </c:pt>
                <c:pt idx="24">
                  <c:v>2.4570242990063117E-2</c:v>
                </c:pt>
                <c:pt idx="25">
                  <c:v>1.8332198973965274E-2</c:v>
                </c:pt>
                <c:pt idx="26">
                  <c:v>4.9616693491331208E-2</c:v>
                </c:pt>
                <c:pt idx="27">
                  <c:v>1.6898734307042976E-2</c:v>
                </c:pt>
                <c:pt idx="28">
                  <c:v>1.3024504653098215E-2</c:v>
                </c:pt>
                <c:pt idx="29">
                  <c:v>2.5409380969636922E-2</c:v>
                </c:pt>
                <c:pt idx="30">
                  <c:v>1.493630255188514E-2</c:v>
                </c:pt>
                <c:pt idx="31">
                  <c:v>1.3923888527900061E-2</c:v>
                </c:pt>
                <c:pt idx="32">
                  <c:v>1.1388583209380881E-2</c:v>
                </c:pt>
                <c:pt idx="33">
                  <c:v>8.13347083249049E-3</c:v>
                </c:pt>
                <c:pt idx="34">
                  <c:v>1.3653760390715405E-2</c:v>
                </c:pt>
                <c:pt idx="35">
                  <c:v>1.1464995484158842E-2</c:v>
                </c:pt>
                <c:pt idx="36">
                  <c:v>1.1400338523483999E-2</c:v>
                </c:pt>
                <c:pt idx="37">
                  <c:v>1.0219081184731646E-2</c:v>
                </c:pt>
                <c:pt idx="38">
                  <c:v>1.0744129637350145E-2</c:v>
                </c:pt>
                <c:pt idx="39">
                  <c:v>2.4418235295627774E-3</c:v>
                </c:pt>
                <c:pt idx="40">
                  <c:v>4.2652655717450071E-3</c:v>
                </c:pt>
                <c:pt idx="41">
                  <c:v>3.134897854676241E-3</c:v>
                </c:pt>
                <c:pt idx="42">
                  <c:v>4.7180767943195701E-3</c:v>
                </c:pt>
                <c:pt idx="43">
                  <c:v>1.9841604293581111E-3</c:v>
                </c:pt>
                <c:pt idx="44">
                  <c:v>1.463641335148848E-3</c:v>
                </c:pt>
                <c:pt idx="45">
                  <c:v>3.1612972011236251E-2</c:v>
                </c:pt>
                <c:pt idx="46">
                  <c:v>4.0569862092052402E-3</c:v>
                </c:pt>
                <c:pt idx="47">
                  <c:v>2.3027316924652207E-3</c:v>
                </c:pt>
                <c:pt idx="48">
                  <c:v>1.0258868647506563E-2</c:v>
                </c:pt>
                <c:pt idx="49">
                  <c:v>4.2547438951988431E-3</c:v>
                </c:pt>
                <c:pt idx="50">
                  <c:v>4.3685189168085967E-4</c:v>
                </c:pt>
                <c:pt idx="51">
                  <c:v>6.4247974550560799E-3</c:v>
                </c:pt>
                <c:pt idx="52">
                  <c:v>2.9171589079648864E-3</c:v>
                </c:pt>
                <c:pt idx="53">
                  <c:v>8.6760200957840912E-4</c:v>
                </c:pt>
                <c:pt idx="54">
                  <c:v>1.3334457617232429E-2</c:v>
                </c:pt>
                <c:pt idx="55">
                  <c:v>1.9601505193139911E-4</c:v>
                </c:pt>
                <c:pt idx="56">
                  <c:v>4.8032291529719511E-3</c:v>
                </c:pt>
                <c:pt idx="57">
                  <c:v>1.1937832617094659E-3</c:v>
                </c:pt>
                <c:pt idx="58">
                  <c:v>2.0820343751435208E-3</c:v>
                </c:pt>
                <c:pt idx="59">
                  <c:v>1.1683095105346925E-2</c:v>
                </c:pt>
                <c:pt idx="60">
                  <c:v>8.8397946532188954E-3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2.6391059235976394E-3</c:v>
                </c:pt>
                <c:pt idx="1">
                  <c:v>1.0473494303076029E-2</c:v>
                </c:pt>
                <c:pt idx="2">
                  <c:v>1.1907142930703008E-2</c:v>
                </c:pt>
                <c:pt idx="3">
                  <c:v>1.3735383694780815E-2</c:v>
                </c:pt>
                <c:pt idx="4">
                  <c:v>1.5331096949878668E-2</c:v>
                </c:pt>
                <c:pt idx="5">
                  <c:v>1.7010281618456507E-2</c:v>
                </c:pt>
                <c:pt idx="6">
                  <c:v>1.8365879054258044E-2</c:v>
                </c:pt>
                <c:pt idx="7">
                  <c:v>1.9375666348499656E-2</c:v>
                </c:pt>
                <c:pt idx="8">
                  <c:v>1.9989235439794074E-2</c:v>
                </c:pt>
                <c:pt idx="9">
                  <c:v>1.9362115794363293E-2</c:v>
                </c:pt>
                <c:pt idx="10">
                  <c:v>1.8974027923897921E-2</c:v>
                </c:pt>
                <c:pt idx="11">
                  <c:v>1.7867760684205421E-2</c:v>
                </c:pt>
                <c:pt idx="12">
                  <c:v>1.6906213362689253E-2</c:v>
                </c:pt>
                <c:pt idx="13">
                  <c:v>1.5031900714547821E-2</c:v>
                </c:pt>
                <c:pt idx="14">
                  <c:v>1.4149488629188002E-2</c:v>
                </c:pt>
                <c:pt idx="15">
                  <c:v>1.4655737331722443E-2</c:v>
                </c:pt>
                <c:pt idx="16">
                  <c:v>1.5184208943040517E-2</c:v>
                </c:pt>
                <c:pt idx="17">
                  <c:v>1.3575487155971757E-2</c:v>
                </c:pt>
                <c:pt idx="18">
                  <c:v>0.10835131491867228</c:v>
                </c:pt>
                <c:pt idx="19">
                  <c:v>4.7529381666533872E-2</c:v>
                </c:pt>
                <c:pt idx="20">
                  <c:v>4.6630166894044964E-2</c:v>
                </c:pt>
                <c:pt idx="21">
                  <c:v>5.036415759186056E-2</c:v>
                </c:pt>
                <c:pt idx="22">
                  <c:v>4.7363522883904816E-2</c:v>
                </c:pt>
                <c:pt idx="23">
                  <c:v>4.1359001335000596E-2</c:v>
                </c:pt>
                <c:pt idx="24">
                  <c:v>3.1972261473660703E-2</c:v>
                </c:pt>
                <c:pt idx="25">
                  <c:v>3.1474143103608077E-2</c:v>
                </c:pt>
                <c:pt idx="26">
                  <c:v>3.3131104863402282E-2</c:v>
                </c:pt>
                <c:pt idx="27">
                  <c:v>2.1472208084477407E-2</c:v>
                </c:pt>
                <c:pt idx="28">
                  <c:v>2.4203999798367754E-2</c:v>
                </c:pt>
                <c:pt idx="29">
                  <c:v>1.6817321727554728E-2</c:v>
                </c:pt>
                <c:pt idx="30">
                  <c:v>1.6113776956794872E-2</c:v>
                </c:pt>
                <c:pt idx="31">
                  <c:v>1.6875860121423805E-2</c:v>
                </c:pt>
                <c:pt idx="32">
                  <c:v>1.1643178136126699E-2</c:v>
                </c:pt>
                <c:pt idx="33">
                  <c:v>1.7969660851310854E-2</c:v>
                </c:pt>
                <c:pt idx="34">
                  <c:v>1.4785280629266054E-2</c:v>
                </c:pt>
                <c:pt idx="35">
                  <c:v>1.153206359220854E-2</c:v>
                </c:pt>
                <c:pt idx="36">
                  <c:v>7.8300522021547553E-3</c:v>
                </c:pt>
                <c:pt idx="37">
                  <c:v>6.3552098899532401E-3</c:v>
                </c:pt>
                <c:pt idx="38">
                  <c:v>6.3020917177387054E-3</c:v>
                </c:pt>
                <c:pt idx="39">
                  <c:v>6.3676763997586915E-3</c:v>
                </c:pt>
                <c:pt idx="40">
                  <c:v>6.240843213042354E-3</c:v>
                </c:pt>
                <c:pt idx="41">
                  <c:v>5.5129074448370492E-3</c:v>
                </c:pt>
                <c:pt idx="42">
                  <c:v>4.2364452451918565E-3</c:v>
                </c:pt>
                <c:pt idx="43">
                  <c:v>4.155683942539146E-3</c:v>
                </c:pt>
                <c:pt idx="44">
                  <c:v>3.7464572076210483E-3</c:v>
                </c:pt>
                <c:pt idx="45">
                  <c:v>3.8505254633883E-3</c:v>
                </c:pt>
                <c:pt idx="46">
                  <c:v>3.8163780669646704E-3</c:v>
                </c:pt>
                <c:pt idx="47">
                  <c:v>2.8168891938666939E-3</c:v>
                </c:pt>
                <c:pt idx="48">
                  <c:v>2.6363958127703676E-3</c:v>
                </c:pt>
                <c:pt idx="49">
                  <c:v>3.1832961777138913E-3</c:v>
                </c:pt>
                <c:pt idx="50">
                  <c:v>2.72474542573944E-3</c:v>
                </c:pt>
                <c:pt idx="51">
                  <c:v>2.0667305168777573E-3</c:v>
                </c:pt>
                <c:pt idx="52">
                  <c:v>2.1176806004304738E-3</c:v>
                </c:pt>
                <c:pt idx="53">
                  <c:v>1.760487993396002E-3</c:v>
                </c:pt>
                <c:pt idx="54">
                  <c:v>1.7030336438578319E-3</c:v>
                </c:pt>
                <c:pt idx="55">
                  <c:v>1.7875891016687236E-3</c:v>
                </c:pt>
                <c:pt idx="56">
                  <c:v>1.7339289072887346E-3</c:v>
                </c:pt>
                <c:pt idx="57">
                  <c:v>1.3561394579669941E-3</c:v>
                </c:pt>
                <c:pt idx="58">
                  <c:v>1.524708351423323E-3</c:v>
                </c:pt>
                <c:pt idx="59">
                  <c:v>1.5767424793069488E-3</c:v>
                </c:pt>
                <c:pt idx="60">
                  <c:v>1.3122356625651849E-3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28808"/>
        <c:axId val="128929200"/>
      </c:lineChart>
      <c:catAx>
        <c:axId val="128928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29200"/>
        <c:crosses val="autoZero"/>
        <c:auto val="1"/>
        <c:lblAlgn val="ctr"/>
        <c:lblOffset val="100"/>
        <c:tickLblSkip val="10"/>
        <c:noMultiLvlLbl val="0"/>
      </c:catAx>
      <c:valAx>
        <c:axId val="1289292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288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0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11.xml" Type="http://schemas.openxmlformats.org/officeDocument/2006/relationships/chart"/></Relationships>
</file>

<file path=xl/drawings/_rels/drawing12.xml.rels><?xml version="1.0" encoding="UTF-8" standalone="no"?><Relationships xmlns="http://schemas.openxmlformats.org/package/2006/relationships"><Relationship Id="rId1" Target="../charts/chart12.xml" Type="http://schemas.openxmlformats.org/officeDocument/2006/relationships/chart"/></Relationships>
</file>

<file path=xl/drawings/_rels/drawing13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14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15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16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11.xml" Type="http://schemas.openxmlformats.org/officeDocument/2006/relationships/drawing"/></Relationships>
</file>

<file path=xl/worksheets/_rels/sheet12.xml.rels><?xml version="1.0" encoding="UTF-8" standalone="no"?><Relationships xmlns="http://schemas.openxmlformats.org/package/2006/relationships"><Relationship Id="rId1" Target="../drawings/drawing12.xml" Type="http://schemas.openxmlformats.org/officeDocument/2006/relationships/drawing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13.xml" Type="http://schemas.openxmlformats.org/officeDocument/2006/relationships/drawing"/></Relationships>
</file>

<file path=xl/worksheets/_rels/sheet14.xml.rels><?xml version="1.0" encoding="UTF-8" standalone="no"?><Relationships xmlns="http://schemas.openxmlformats.org/package/2006/relationships"><Relationship Id="rId1" Target="../drawings/drawing14.xml" Type="http://schemas.openxmlformats.org/officeDocument/2006/relationships/drawing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15.xml" Type="http://schemas.openxmlformats.org/officeDocument/2006/relationships/drawing"/></Relationships>
</file>

<file path=xl/worksheets/_rels/sheet16.xml.rels><?xml version="1.0" encoding="UTF-8" standalone="no"?><Relationships xmlns="http://schemas.openxmlformats.org/package/2006/relationships"><Relationship Id="rId1" Target="../drawings/drawing16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2"/>
  <sheetViews>
    <sheetView tabSelected="1" workbookViewId="0">
      <selection activeCell="Y24" sqref="Y24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20" max="20" bestFit="true" customWidth="true" width="15.265625" collapsed="true"/>
    <col min="21" max="21" bestFit="true" customWidth="true" width="14.265625" collapsed="true"/>
    <col min="23" max="23" bestFit="true" customWidth="true" width="12.265625" collapsed="true"/>
    <col min="25" max="25" bestFit="true" customWidth="true" width="14.265625" collapsed="true"/>
    <col min="27" max="27" bestFit="true" customWidth="true" width="12.265625" collapsed="true"/>
  </cols>
  <sheetData>
    <row r="1" spans="1:27" x14ac:dyDescent="0.45">
      <c r="A1" t="s">
        <v>1</v>
      </c>
    </row>
    <row r="2" spans="1:27" x14ac:dyDescent="0.45">
      <c r="A2" t="s">
        <v>19</v>
      </c>
    </row>
    <row r="3" spans="1:27" x14ac:dyDescent="0.45">
      <c r="A3" t="s">
        <v>20</v>
      </c>
    </row>
    <row r="4" spans="1:27" x14ac:dyDescent="0.45">
      <c r="A4" t="s">
        <v>4</v>
      </c>
    </row>
    <row r="5" spans="1:27" x14ac:dyDescent="0.45">
      <c r="A5" t="s">
        <v>6</v>
      </c>
    </row>
    <row r="7" spans="1:27" x14ac:dyDescent="0.45">
      <c r="A7" t="s">
        <v>9</v>
      </c>
      <c r="T7" t="s">
        <v>23</v>
      </c>
    </row>
    <row r="8" spans="1:27" x14ac:dyDescent="0.45">
      <c r="U8" t="s">
        <v>17</v>
      </c>
      <c r="Y8" t="s">
        <v>13</v>
      </c>
    </row>
    <row r="9" spans="1:27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5883365.0002111141</v>
      </c>
      <c r="V10" s="6">
        <f>K11</f>
        <v>7.371756103631701</v>
      </c>
      <c r="W10" s="373">
        <f>U10*V10</f>
        <v>43370731.850199401</v>
      </c>
      <c r="Y10" s="373">
        <f>F102</f>
        <v>6378969</v>
      </c>
      <c r="Z10" s="6">
        <f>L11</f>
        <v>6.8737989859605477</v>
      </c>
      <c r="AA10" s="373">
        <f>Y10*Z10</f>
        <v>43847750.64367377</v>
      </c>
    </row>
    <row r="11" spans="1:27" x14ac:dyDescent="0.45">
      <c r="A11">
        <v>0</v>
      </c>
      <c r="B11" s="6" t="n">
        <v>224956.8544271912</v>
      </c>
      <c r="C11" s="9">
        <f>B11/B$102</f>
        <v>3.8236086732527902E-2</v>
      </c>
      <c r="E11" s="10">
        <v>0</v>
      </c>
      <c r="F11" s="100" t="n">
        <v>799226.0</v>
      </c>
      <c r="G11" s="9">
        <f>F11/F$102</f>
        <v>0.12504136640262714</v>
      </c>
      <c r="K11" s="6" t="n">
        <v>7.371756103631701</v>
      </c>
      <c r="L11" s="6" t="n">
        <v>6.819372676327168</v>
      </c>
      <c r="S11" t="s">
        <v>42</v>
      </c>
      <c r="T11" t="s">
        <v>27</v>
      </c>
      <c r="U11" s="373">
        <f>TLFD_Work!B102</f>
        <v>2267462.7752703466</v>
      </c>
      <c r="V11" s="6">
        <f>TLFD_Work!K11</f>
        <v>10.388893204831918</v>
      </c>
      <c r="W11" s="373">
        <f t="shared" ref="W11:W16" si="0">U11*V11</f>
        <v>23556428.618215427</v>
      </c>
      <c r="Y11" s="373">
        <f>TLFD_Work!F102</f>
        <v>2806944</v>
      </c>
      <c r="Z11" s="6">
        <f>TLFD_Work!L11</f>
        <v>9.7588791188430317</v>
      </c>
      <c r="AA11" s="373">
        <f t="shared" ref="AA11:AA16" si="1">Y11*Z11</f>
        <v>27392627.189361736</v>
      </c>
    </row>
    <row r="12" spans="1:27" x14ac:dyDescent="0.45">
      <c r="A12">
        <v>1</v>
      </c>
      <c r="B12" s="6" t="n">
        <v>342386.5286541552</v>
      </c>
      <c r="C12" s="9">
        <f>B12/B$102</f>
        <v>5.8195697299397414E-2</v>
      </c>
      <c r="E12" s="11">
        <v>1</v>
      </c>
      <c r="F12" s="101" t="n">
        <v>695912.0</v>
      </c>
      <c r="G12" s="9">
        <f>F12/F$102</f>
        <v>0.10869546473732668</v>
      </c>
      <c r="K12" s="6"/>
      <c r="L12" s="370"/>
      <c r="S12" t="s">
        <v>43</v>
      </c>
      <c r="T12" t="s">
        <v>28</v>
      </c>
      <c r="U12" s="373">
        <f>TLFD_School!B102</f>
        <v>871719.52693974599</v>
      </c>
      <c r="V12" s="6">
        <f>TLFD_School!K11</f>
        <v>6.0348967635956425</v>
      </c>
      <c r="W12" s="373">
        <f t="shared" si="0"/>
        <v>5260737.351891798</v>
      </c>
      <c r="Y12" s="373">
        <f>TLFD_School!F102</f>
        <v>781148</v>
      </c>
      <c r="Z12" s="6">
        <f>TLFD_School!L11</f>
        <v>5.0127768561714046</v>
      </c>
      <c r="AA12" s="373">
        <f t="shared" si="1"/>
        <v>3915720.6156445802</v>
      </c>
    </row>
    <row r="13" spans="1:27" x14ac:dyDescent="0.45">
      <c r="A13">
        <v>2</v>
      </c>
      <c r="B13" s="6" t="n">
        <v>417078.9816587072</v>
      </c>
      <c r="C13" s="9">
        <f t="shared" ref="C13:C76" si="2">B13/B$102</f>
        <v>7.0891230043307024E-2</v>
      </c>
      <c r="E13" s="12">
        <v>2</v>
      </c>
      <c r="F13" s="102" t="n">
        <v>444942.0</v>
      </c>
      <c r="G13" s="9">
        <f t="shared" ref="G13:G76" si="3">F13/F$102</f>
        <v>6.9172306684669574E-2</v>
      </c>
      <c r="S13" t="s">
        <v>44</v>
      </c>
      <c r="T13" t="s">
        <v>29</v>
      </c>
      <c r="U13" s="373">
        <f>TLFD_Escort!B102</f>
        <v>1243423.8409518562</v>
      </c>
      <c r="V13" s="6">
        <f>TLFD_Escort!K11</f>
        <v>6.8939569474179567</v>
      </c>
      <c r="W13" s="373">
        <f t="shared" si="0"/>
        <v>8572110.4269151688</v>
      </c>
      <c r="Y13" s="373">
        <f>TLFD_Escort!F102</f>
        <v>1436674</v>
      </c>
      <c r="Z13" s="6">
        <f>TLFD_Escort!L11</f>
        <v>5.7311719482558017</v>
      </c>
      <c r="AA13" s="373">
        <f t="shared" si="1"/>
        <v>8233825.7275884552</v>
      </c>
    </row>
    <row r="14" spans="1:27" x14ac:dyDescent="0.45">
      <c r="A14">
        <v>3</v>
      </c>
      <c r="B14" s="6" t="n">
        <v>572291.9908904072</v>
      </c>
      <c r="C14" s="9">
        <f t="shared" si="2"/>
        <v>9.7272902644978093E-2</v>
      </c>
      <c r="E14" s="13">
        <v>3</v>
      </c>
      <c r="F14" s="103" t="n">
        <v>284525.0</v>
      </c>
      <c r="G14" s="9">
        <f t="shared" si="3"/>
        <v>4.4401219068473288E-2</v>
      </c>
      <c r="S14" t="s">
        <v>45</v>
      </c>
      <c r="T14" t="s">
        <v>30</v>
      </c>
      <c r="U14" s="373">
        <f>TLFD_PerBus!B102</f>
        <v>1836353.6347289735</v>
      </c>
      <c r="V14" s="6">
        <f>TLFD_PerBus!K11</f>
        <v>7.1866380900758235</v>
      </c>
      <c r="W14" s="373">
        <f t="shared" si="0"/>
        <v>13197208.978192426</v>
      </c>
      <c r="Y14" s="373">
        <f>TLFD_PerBus!F102</f>
        <v>1979068</v>
      </c>
      <c r="Z14" s="6">
        <f>TLFD_PerBus!L11</f>
        <v>5.4337960136150887</v>
      </c>
      <c r="AA14" s="373">
        <f t="shared" si="1"/>
        <v>10753851.809073186</v>
      </c>
    </row>
    <row r="15" spans="1:27" x14ac:dyDescent="0.45">
      <c r="A15">
        <v>4</v>
      </c>
      <c r="B15" s="6" t="n">
        <v>993451.0432055457</v>
      </c>
      <c r="C15" s="9">
        <f t="shared" si="2"/>
        <v>0.16885762538443519</v>
      </c>
      <c r="E15" s="14">
        <v>4</v>
      </c>
      <c r="F15" s="104" t="n">
        <v>952685.0</v>
      </c>
      <c r="G15" s="9">
        <f t="shared" si="3"/>
        <v>0.14882075771178696</v>
      </c>
      <c r="S15" t="s">
        <v>46</v>
      </c>
      <c r="T15" t="s">
        <v>31</v>
      </c>
      <c r="U15" s="373">
        <f>TLFD_Shop!B102</f>
        <v>2029939.8207113619</v>
      </c>
      <c r="V15" s="6">
        <f>TLFD_Shop!K11</f>
        <v>5.9155464547576937</v>
      </c>
      <c r="W15" s="373">
        <f t="shared" si="0"/>
        <v>12008203.309780566</v>
      </c>
      <c r="Y15" s="373">
        <f>TLFD_Shop!F102</f>
        <v>2191708</v>
      </c>
      <c r="Z15" s="6">
        <f>TLFD_Shop!L11</f>
        <v>5.0014429218276328</v>
      </c>
      <c r="AA15" s="373">
        <f t="shared" si="1"/>
        <v>10961702.463312998</v>
      </c>
    </row>
    <row r="16" spans="1:27" x14ac:dyDescent="0.45">
      <c r="A16">
        <v>5</v>
      </c>
      <c r="B16" s="6" t="n">
        <v>595252.5438308496</v>
      </c>
      <c r="C16" s="9">
        <f t="shared" si="2"/>
        <v>0.1011755251985029</v>
      </c>
      <c r="E16" s="15">
        <v>5</v>
      </c>
      <c r="F16" s="105" t="n">
        <v>536715.0</v>
      </c>
      <c r="G16" s="9">
        <f t="shared" si="3"/>
        <v>8.4337766808398038E-2</v>
      </c>
      <c r="S16" t="s">
        <v>34</v>
      </c>
      <c r="T16" t="s">
        <v>48</v>
      </c>
      <c r="U16" s="6">
        <f>TLFD_Meal!B102</f>
        <v>827729.88400841015</v>
      </c>
      <c r="V16" s="6">
        <f>TLFD_Meal!K11</f>
        <v>5.1336132323735608</v>
      </c>
      <c r="W16" s="373">
        <f t="shared" si="0"/>
        <v>4249245.0853766073</v>
      </c>
      <c r="Y16" s="6">
        <f>TLFD_Meal!F102</f>
        <v>910329</v>
      </c>
      <c r="Z16" s="6">
        <f>TLFD_Meal!L11</f>
        <v>4.9041993588168706</v>
      </c>
      <c r="AA16" s="373">
        <f t="shared" si="1"/>
        <v>4464434.8981124032</v>
      </c>
    </row>
    <row r="17" spans="1:28" x14ac:dyDescent="0.45">
      <c r="A17">
        <v>6</v>
      </c>
      <c r="B17" s="6" t="n">
        <v>664889.5903124817</v>
      </c>
      <c r="C17" s="9">
        <f t="shared" si="2"/>
        <v>0.11301178667116919</v>
      </c>
      <c r="E17" s="16">
        <v>6</v>
      </c>
      <c r="F17" s="106" t="n">
        <v>518993.0</v>
      </c>
      <c r="G17" s="9">
        <f t="shared" si="3"/>
        <v>7.869296746856741E-2</v>
      </c>
      <c r="S17" t="s">
        <v>47</v>
      </c>
      <c r="T17" t="s">
        <v>32</v>
      </c>
      <c r="U17" s="373">
        <f>TLFD_SocRec!B102</f>
        <v>1706527.5604909635</v>
      </c>
      <c r="V17" s="6">
        <f>TLFD_SocRec!K11</f>
        <v>6.8425498388975505</v>
      </c>
      <c r="W17" s="373">
        <f>U17*V17</f>
        <v>11676999.884111673</v>
      </c>
      <c r="Y17" s="373">
        <f>TLFD_SocRec!F102</f>
        <v>1844943</v>
      </c>
      <c r="Z17" s="6">
        <f>TLFD_SocRec!L11</f>
        <v>5.7370941881547912</v>
      </c>
      <c r="AA17" s="373">
        <f>Y17*Z17</f>
        <v>10584611.762776865</v>
      </c>
    </row>
    <row r="18" spans="1:28" x14ac:dyDescent="0.45">
      <c r="A18">
        <v>7</v>
      </c>
      <c r="B18" s="6" t="n">
        <v>286937.5317732772</v>
      </c>
      <c r="C18" s="9">
        <f t="shared" si="2"/>
        <v>4.8770989350988926E-2</v>
      </c>
      <c r="E18" s="17">
        <v>7</v>
      </c>
      <c r="F18" s="107" t="n">
        <v>302857.0</v>
      </c>
      <c r="G18" s="9">
        <f t="shared" si="3"/>
        <v>5.0815735270072639E-2</v>
      </c>
      <c r="T18" s="375" t="s">
        <v>35</v>
      </c>
      <c r="U18" s="376">
        <f>SUM(U10:U15)+U17</f>
        <v>15838792.159304362</v>
      </c>
      <c r="V18" s="377">
        <f>W18/U18</f>
        <v>7.4274868459712966</v>
      </c>
      <c r="W18" s="376">
        <f>SUM(W10:W15)+W17</f>
        <v>117642420.41930646</v>
      </c>
      <c r="X18" s="375"/>
      <c r="Y18" s="376">
        <f>SUM(Y10:Y15)+Y17</f>
        <v>17419454</v>
      </c>
      <c r="Z18" s="377">
        <f>AA18/Y18</f>
        <v>6.6414303348102406</v>
      </c>
      <c r="AA18" s="376">
        <f>SUM(AA10:AA15)+AA17</f>
        <v>115690090.21143158</v>
      </c>
      <c r="AB18" t="s">
        <v>38</v>
      </c>
    </row>
    <row r="19" spans="1:28" x14ac:dyDescent="0.45">
      <c r="A19">
        <v>8</v>
      </c>
      <c r="B19" s="6" t="n">
        <v>312170.6787957893</v>
      </c>
      <c r="C19" s="9">
        <f t="shared" si="2"/>
        <v>5.3059886439917908E-2</v>
      </c>
      <c r="E19" s="18">
        <v>8</v>
      </c>
      <c r="F19" s="108" t="n">
        <v>337653.0</v>
      </c>
      <c r="G19" s="9">
        <f t="shared" si="3"/>
        <v>5.3442648804218992E-2</v>
      </c>
      <c r="S19" s="375" t="s">
        <v>36</v>
      </c>
      <c r="U19" s="378">
        <f>U18+U16</f>
        <v>16666522.043312771</v>
      </c>
      <c r="V19" s="377">
        <f>W19/U19</f>
        <v>7.3135633930049933</v>
      </c>
      <c r="W19" s="379">
        <f>W18+W16</f>
        <v>121891665.50468306</v>
      </c>
      <c r="X19" s="375"/>
      <c r="Y19" s="378">
        <f>Y18+Y16</f>
        <v>18329783</v>
      </c>
      <c r="Z19" s="377">
        <f>AA19/Y19</f>
        <v>6.5551526228948802</v>
      </c>
      <c r="AA19" s="379">
        <f>AA18+AA16</f>
        <v>120154525.10954398</v>
      </c>
      <c r="AB19" t="s">
        <v>37</v>
      </c>
    </row>
    <row r="20" spans="1:28" x14ac:dyDescent="0.45">
      <c r="A20">
        <v>9</v>
      </c>
      <c r="B20" s="6" t="n">
        <v>161831.5634316459</v>
      </c>
      <c r="C20" s="9">
        <f t="shared" si="2"/>
        <v>2.7506633266139165E-2</v>
      </c>
      <c r="E20" s="19">
        <v>9</v>
      </c>
      <c r="F20" s="109" t="n">
        <v>169619.0</v>
      </c>
      <c r="G20" s="9">
        <f t="shared" si="3"/>
        <v>2.7381540810121511E-2</v>
      </c>
    </row>
    <row r="21" spans="1:28" x14ac:dyDescent="0.45">
      <c r="A21">
        <v>10</v>
      </c>
      <c r="B21" s="6" t="n">
        <v>303426.1524707331</v>
      </c>
      <c r="C21" s="9">
        <f t="shared" si="2"/>
        <v>5.1573572684993227E-2</v>
      </c>
      <c r="E21" s="20">
        <v>10</v>
      </c>
      <c r="F21" s="110" t="n">
        <v>159343.0</v>
      </c>
      <c r="G21" s="9">
        <f t="shared" si="3"/>
        <v>2.4575758245572284E-2</v>
      </c>
    </row>
    <row r="22" spans="1:28" x14ac:dyDescent="0.45">
      <c r="A22">
        <v>11</v>
      </c>
      <c r="B22" s="6" t="n">
        <v>107277.2810151207</v>
      </c>
      <c r="C22" s="9">
        <f t="shared" si="2"/>
        <v>1.8234000612110796E-2</v>
      </c>
      <c r="E22" s="21">
        <v>11</v>
      </c>
      <c r="F22" s="111" t="n">
        <v>185358.0</v>
      </c>
      <c r="G22" s="9">
        <f t="shared" si="3"/>
        <v>2.3847897677508702E-2</v>
      </c>
    </row>
    <row r="23" spans="1:28" x14ac:dyDescent="0.45">
      <c r="A23">
        <v>12</v>
      </c>
      <c r="B23" s="6" t="n">
        <v>68941.0940805081</v>
      </c>
      <c r="C23" s="9">
        <f t="shared" si="2"/>
        <v>1.1717969916541686E-2</v>
      </c>
      <c r="E23" s="22">
        <v>12</v>
      </c>
      <c r="F23" s="112" t="n">
        <v>124123.0</v>
      </c>
      <c r="G23" s="9">
        <f t="shared" si="3"/>
        <v>2.2399701268339758E-2</v>
      </c>
    </row>
    <row r="24" spans="1:28" x14ac:dyDescent="0.45">
      <c r="A24">
        <v>13</v>
      </c>
      <c r="B24" s="6" t="n">
        <v>67934.8487846541</v>
      </c>
      <c r="C24" s="9">
        <f t="shared" si="2"/>
        <v>1.1546937642355417E-2</v>
      </c>
      <c r="E24" s="23">
        <v>13</v>
      </c>
      <c r="F24" s="113" t="n">
        <v>104034.0</v>
      </c>
      <c r="G24" s="9">
        <f t="shared" si="3"/>
        <v>1.8541867815943299E-2</v>
      </c>
    </row>
    <row r="25" spans="1:28" x14ac:dyDescent="0.45">
      <c r="A25">
        <v>14</v>
      </c>
      <c r="B25" s="6" t="n">
        <v>79263.6666798205</v>
      </c>
      <c r="C25" s="9">
        <f t="shared" si="2"/>
        <v>1.3472505390533523E-2</v>
      </c>
      <c r="E25" s="24">
        <v>14</v>
      </c>
      <c r="F25" s="114" t="n">
        <v>90426.0</v>
      </c>
      <c r="G25" s="9">
        <f t="shared" si="3"/>
        <v>1.4995997002023368E-2</v>
      </c>
    </row>
    <row r="26" spans="1:28" x14ac:dyDescent="0.45">
      <c r="A26">
        <v>15</v>
      </c>
      <c r="B26" s="6" t="n">
        <v>68297.1959524934</v>
      </c>
      <c r="C26" s="9">
        <f t="shared" si="2"/>
        <v>1.1608526064597842E-2</v>
      </c>
      <c r="E26" s="25">
        <v>15</v>
      </c>
      <c r="F26" s="115" t="n">
        <v>95471.0</v>
      </c>
      <c r="G26" s="9">
        <f t="shared" si="3"/>
        <v>1.5165146593438532E-2</v>
      </c>
    </row>
    <row r="27" spans="1:28" x14ac:dyDescent="0.45">
      <c r="A27">
        <v>16</v>
      </c>
      <c r="B27" s="6" t="n">
        <v>104819.5152228798</v>
      </c>
      <c r="C27" s="9">
        <f t="shared" si="2"/>
        <v>1.7816252301041755E-2</v>
      </c>
      <c r="E27" s="26">
        <v>16</v>
      </c>
      <c r="F27" s="116" t="n">
        <v>89727.0</v>
      </c>
      <c r="G27" s="9">
        <f t="shared" si="3"/>
        <v>1.3146952117183827E-2</v>
      </c>
    </row>
    <row r="28" spans="1:28" x14ac:dyDescent="0.45">
      <c r="A28">
        <v>17</v>
      </c>
      <c r="B28" s="6" t="n">
        <v>71057.2946511975</v>
      </c>
      <c r="C28" s="9">
        <f t="shared" si="2"/>
        <v>1.2077662128500907E-2</v>
      </c>
      <c r="E28" s="27">
        <v>17</v>
      </c>
      <c r="F28" s="117" t="n">
        <v>69929.0</v>
      </c>
      <c r="G28" s="9">
        <f t="shared" si="3"/>
        <v>9.0920648775687733E-3</v>
      </c>
    </row>
    <row r="29" spans="1:28" x14ac:dyDescent="0.45">
      <c r="A29">
        <v>18</v>
      </c>
      <c r="B29" s="6" t="n">
        <v>62294.8413564175</v>
      </c>
      <c r="C29" s="9">
        <f t="shared" si="2"/>
        <v>1.0588301312970071E-2</v>
      </c>
      <c r="E29" s="28">
        <v>18</v>
      </c>
      <c r="F29" s="118" t="n">
        <v>51673.0</v>
      </c>
      <c r="G29" s="9">
        <f t="shared" si="3"/>
        <v>8.304320024129291E-3</v>
      </c>
    </row>
    <row r="30" spans="1:28" x14ac:dyDescent="0.45">
      <c r="A30">
        <v>19</v>
      </c>
      <c r="B30" s="6" t="n">
        <v>31455.8747062833</v>
      </c>
      <c r="C30" s="9">
        <f t="shared" si="2"/>
        <v>5.3465788209901242E-3</v>
      </c>
      <c r="E30" s="29">
        <v>19</v>
      </c>
      <c r="F30" s="119" t="n">
        <v>43645.0</v>
      </c>
      <c r="G30" s="9">
        <f t="shared" si="3"/>
        <v>7.1201161190781771E-3</v>
      </c>
    </row>
    <row r="31" spans="1:28" x14ac:dyDescent="0.45">
      <c r="A31">
        <v>20</v>
      </c>
      <c r="B31" s="6" t="n">
        <v>31251.3498934255</v>
      </c>
      <c r="C31" s="9">
        <f t="shared" si="2"/>
        <v>5.3118155838205007E-3</v>
      </c>
      <c r="E31" s="30">
        <v>20</v>
      </c>
      <c r="F31" s="120" t="n">
        <v>39273.0</v>
      </c>
      <c r="G31" s="9">
        <f t="shared" si="3"/>
        <v>7.2709241885326606E-3</v>
      </c>
    </row>
    <row r="32" spans="1:28" x14ac:dyDescent="0.45">
      <c r="A32">
        <v>21</v>
      </c>
      <c r="B32" s="6" t="n">
        <v>30265.1183943176</v>
      </c>
      <c r="C32" s="9">
        <f t="shared" si="2"/>
        <v>5.1441850698081097E-3</v>
      </c>
      <c r="E32" s="31">
        <v>21</v>
      </c>
      <c r="F32" s="121" t="n">
        <v>34257.0</v>
      </c>
      <c r="G32" s="9">
        <f t="shared" si="3"/>
        <v>5.3619950183172232E-3</v>
      </c>
    </row>
    <row r="33" spans="1:7" x14ac:dyDescent="0.45">
      <c r="A33">
        <v>22</v>
      </c>
      <c r="B33" s="6" t="n">
        <v>27895.2779775489</v>
      </c>
      <c r="C33" s="9">
        <f t="shared" si="2"/>
        <v>4.7413815013258448E-3</v>
      </c>
      <c r="E33" s="32">
        <v>22</v>
      </c>
      <c r="F33" s="122" t="n">
        <v>28263.0</v>
      </c>
      <c r="G33" s="9">
        <f t="shared" si="3"/>
        <v>4.0351348313497053E-3</v>
      </c>
    </row>
    <row r="34" spans="1:7" x14ac:dyDescent="0.45">
      <c r="A34">
        <v>23</v>
      </c>
      <c r="B34" s="6" t="n">
        <v>41273.0501026813</v>
      </c>
      <c r="C34" s="9">
        <f t="shared" si="2"/>
        <v>7.0152115500568624E-3</v>
      </c>
      <c r="E34" s="33">
        <v>23</v>
      </c>
      <c r="F34" s="123" t="n">
        <v>25887.0</v>
      </c>
      <c r="G34" s="9">
        <f t="shared" si="3"/>
        <v>3.9631796298116514E-3</v>
      </c>
    </row>
    <row r="35" spans="1:7" x14ac:dyDescent="0.45">
      <c r="A35">
        <v>24</v>
      </c>
      <c r="B35" s="6" t="n">
        <v>36024.7453518698</v>
      </c>
      <c r="C35" s="9">
        <f t="shared" si="2"/>
        <v>6.1231532210864218E-3</v>
      </c>
      <c r="E35" s="34">
        <v>24</v>
      </c>
      <c r="F35" s="124" t="n">
        <v>24196.0</v>
      </c>
      <c r="G35" s="9">
        <f t="shared" si="3"/>
        <v>3.9152094954529489E-3</v>
      </c>
    </row>
    <row r="36" spans="1:7" x14ac:dyDescent="0.45">
      <c r="A36">
        <v>25</v>
      </c>
      <c r="B36" s="6" t="n">
        <v>14997.5998395905</v>
      </c>
      <c r="C36" s="9">
        <f t="shared" si="2"/>
        <v>2.5491533907980109E-3</v>
      </c>
      <c r="E36" s="35">
        <v>25</v>
      </c>
      <c r="F36" s="125" t="n">
        <v>27700.0</v>
      </c>
      <c r="G36" s="9">
        <f t="shared" si="3"/>
        <v>4.0774614204897378E-3</v>
      </c>
    </row>
    <row r="37" spans="1:7" x14ac:dyDescent="0.45">
      <c r="A37">
        <v>26</v>
      </c>
      <c r="B37" s="6" t="n">
        <v>23789.6408653907</v>
      </c>
      <c r="C37" s="9">
        <f t="shared" si="2"/>
        <v>4.0435432553542145E-3</v>
      </c>
      <c r="E37" s="36">
        <v>26</v>
      </c>
      <c r="F37" s="126" t="n">
        <v>18935.0</v>
      </c>
      <c r="G37" s="9">
        <f t="shared" si="3"/>
        <v>3.3343946333647336E-3</v>
      </c>
    </row>
    <row r="38" spans="1:7" x14ac:dyDescent="0.45">
      <c r="A38">
        <v>27</v>
      </c>
      <c r="B38" s="6" t="n">
        <v>10168.2846509222</v>
      </c>
      <c r="C38" s="9">
        <f t="shared" si="2"/>
        <v>1.728311034681229E-3</v>
      </c>
      <c r="E38" s="37">
        <v>27</v>
      </c>
      <c r="F38" s="127" t="n">
        <v>15109.0</v>
      </c>
      <c r="G38" s="9">
        <f t="shared" si="3"/>
        <v>2.4499256854830301E-3</v>
      </c>
    </row>
    <row r="39" spans="1:7" x14ac:dyDescent="0.45">
      <c r="A39">
        <v>28</v>
      </c>
      <c r="B39" s="6" t="n">
        <v>12739.6178297624</v>
      </c>
      <c r="C39" s="9">
        <f t="shared" si="2"/>
        <v>2.1653624803671472E-3</v>
      </c>
      <c r="E39" s="38">
        <v>28</v>
      </c>
      <c r="F39" s="128" t="n">
        <v>13189.0</v>
      </c>
      <c r="G39" s="9">
        <f t="shared" si="3"/>
        <v>2.0677322620630389E-3</v>
      </c>
    </row>
    <row r="40" spans="1:7" x14ac:dyDescent="0.45">
      <c r="A40">
        <v>29</v>
      </c>
      <c r="B40" s="6" t="n">
        <v>5811.7859794846</v>
      </c>
      <c r="C40" s="9">
        <f t="shared" si="2"/>
        <v>9.878336596957785E-4</v>
      </c>
      <c r="E40" s="39">
        <v>29</v>
      </c>
      <c r="F40" s="129" t="n">
        <v>10581.0</v>
      </c>
      <c r="G40" s="9">
        <f t="shared" si="3"/>
        <v>1.6160918794244023E-3</v>
      </c>
    </row>
    <row r="41" spans="1:7" x14ac:dyDescent="0.45">
      <c r="A41">
        <v>30</v>
      </c>
      <c r="B41" s="6" t="n">
        <v>9598.932142384</v>
      </c>
      <c r="C41" s="9">
        <f t="shared" si="2"/>
        <v>1.6315377580754481E-3</v>
      </c>
      <c r="E41" s="40">
        <v>30</v>
      </c>
      <c r="F41" s="130" t="n">
        <v>9145.0</v>
      </c>
      <c r="G41" s="9">
        <f t="shared" si="3"/>
        <v>1.4713976506234784E-3</v>
      </c>
    </row>
    <row r="42" spans="1:7" x14ac:dyDescent="0.45">
      <c r="A42">
        <v>31</v>
      </c>
      <c r="B42" s="6" t="n">
        <v>3587.2195580972</v>
      </c>
      <c r="C42" s="9">
        <f t="shared" si="2"/>
        <v>6.0972242211191708E-4</v>
      </c>
      <c r="E42" s="41">
        <v>31</v>
      </c>
      <c r="F42" s="131" t="n">
        <v>8488.0</v>
      </c>
      <c r="G42" s="9">
        <f t="shared" si="3"/>
        <v>1.4853497485251927E-3</v>
      </c>
    </row>
    <row r="43" spans="1:7" x14ac:dyDescent="0.45">
      <c r="A43">
        <v>32</v>
      </c>
      <c r="B43" s="6" t="n">
        <v>5179.8691213308</v>
      </c>
      <c r="C43" s="9">
        <f t="shared" si="2"/>
        <v>8.8042627325432467E-4</v>
      </c>
      <c r="E43" s="42">
        <v>32</v>
      </c>
      <c r="F43" s="132" t="n">
        <v>7839.0</v>
      </c>
      <c r="G43" s="9">
        <f t="shared" si="3"/>
        <v>1.3158866268201022E-3</v>
      </c>
    </row>
    <row r="44" spans="1:7" x14ac:dyDescent="0.45">
      <c r="A44">
        <v>33</v>
      </c>
      <c r="B44" s="6" t="n">
        <v>7294.8721683682</v>
      </c>
      <c r="C44" s="9">
        <f t="shared" si="2"/>
        <v>1.2399149412124586E-3</v>
      </c>
      <c r="E44" s="43">
        <v>33</v>
      </c>
      <c r="F44" s="133" t="n">
        <v>5847.0</v>
      </c>
      <c r="G44" s="9">
        <f t="shared" si="3"/>
        <v>1.0819930305351853E-3</v>
      </c>
    </row>
    <row r="45" spans="1:7" x14ac:dyDescent="0.45">
      <c r="A45">
        <v>34</v>
      </c>
      <c r="B45" s="6" t="n">
        <v>7902.7951278496</v>
      </c>
      <c r="C45" s="9">
        <f t="shared" si="2"/>
        <v>1.3432440665445749E-3</v>
      </c>
      <c r="E45" s="44">
        <v>34</v>
      </c>
      <c r="F45" s="134" t="n">
        <v>5628.0</v>
      </c>
      <c r="G45" s="9">
        <f t="shared" si="3"/>
        <v>1.0101945941420941E-3</v>
      </c>
    </row>
    <row r="46" spans="1:7" x14ac:dyDescent="0.45">
      <c r="A46">
        <v>35</v>
      </c>
      <c r="B46" s="6" t="n">
        <v>2861.0567208448</v>
      </c>
      <c r="C46" s="9">
        <f t="shared" si="2"/>
        <v>4.8629597530361216E-4</v>
      </c>
      <c r="E46" s="45">
        <v>35</v>
      </c>
      <c r="F46" s="135" t="n">
        <v>4699.0</v>
      </c>
      <c r="G46" s="9">
        <f t="shared" si="3"/>
        <v>7.3444470415203464E-4</v>
      </c>
    </row>
    <row r="47" spans="1:7" x14ac:dyDescent="0.45">
      <c r="A47">
        <v>36</v>
      </c>
      <c r="B47" s="6" t="n">
        <v>4640.3094541366</v>
      </c>
      <c r="C47" s="9">
        <f t="shared" si="2"/>
        <v>7.887169084308199E-4</v>
      </c>
      <c r="E47" s="46">
        <v>36</v>
      </c>
      <c r="F47" s="136" t="n">
        <v>5353.0</v>
      </c>
      <c r="G47" s="9">
        <f t="shared" si="3"/>
        <v>8.8540953875148167E-4</v>
      </c>
    </row>
    <row r="48" spans="1:7" x14ac:dyDescent="0.45">
      <c r="A48">
        <v>37</v>
      </c>
      <c r="B48" s="6" t="n">
        <v>4062.3644320802</v>
      </c>
      <c r="C48" s="9">
        <f t="shared" si="2"/>
        <v>6.904831558018973E-4</v>
      </c>
      <c r="E48" s="47">
        <v>37</v>
      </c>
      <c r="F48" s="137" t="n">
        <v>4474.0</v>
      </c>
      <c r="G48" s="9">
        <f t="shared" si="3"/>
        <v>6.5465124536582631E-4</v>
      </c>
    </row>
    <row r="49" spans="1:7" x14ac:dyDescent="0.45">
      <c r="A49">
        <v>38</v>
      </c>
      <c r="B49" s="6" t="n">
        <v>6321.6633596991</v>
      </c>
      <c r="C49" s="9">
        <f t="shared" si="2"/>
        <v>1.0744979037459444E-3</v>
      </c>
      <c r="E49" s="48">
        <v>38</v>
      </c>
      <c r="F49" s="138" t="n">
        <v>4821.0</v>
      </c>
      <c r="G49" s="9">
        <f t="shared" si="3"/>
        <v>7.1923848509061576E-4</v>
      </c>
    </row>
    <row r="50" spans="1:7" x14ac:dyDescent="0.45">
      <c r="A50">
        <v>39</v>
      </c>
      <c r="B50" s="6" t="n">
        <v>4704.9573045598</v>
      </c>
      <c r="C50" s="9">
        <f t="shared" si="2"/>
        <v>7.997051524749817E-4</v>
      </c>
      <c r="E50" s="49">
        <v>39</v>
      </c>
      <c r="F50" s="139" t="n">
        <v>3472.0</v>
      </c>
      <c r="G50" s="9">
        <f t="shared" si="3"/>
        <v>6.1279495166068369E-4</v>
      </c>
    </row>
    <row r="51" spans="1:7" x14ac:dyDescent="0.45">
      <c r="A51">
        <v>40</v>
      </c>
      <c r="B51" s="6" t="n">
        <v>2537.7153002963</v>
      </c>
      <c r="C51" s="9">
        <f t="shared" si="2"/>
        <v>4.3133738943703791E-4</v>
      </c>
      <c r="E51" s="50">
        <v>40</v>
      </c>
      <c r="F51" s="140" t="n">
        <v>2870.0</v>
      </c>
      <c r="G51" s="9">
        <f t="shared" si="3"/>
        <v>4.2310912625535569E-4</v>
      </c>
    </row>
    <row r="52" spans="1:7" x14ac:dyDescent="0.45">
      <c r="A52">
        <v>41</v>
      </c>
      <c r="B52" s="6" t="n">
        <v>3990.2261728135</v>
      </c>
      <c r="C52" s="9">
        <f t="shared" si="2"/>
        <v>6.7822176129992242E-4</v>
      </c>
      <c r="E52" s="51">
        <v>41</v>
      </c>
      <c r="F52" s="141" t="n">
        <v>2516.0</v>
      </c>
      <c r="G52" s="9">
        <f t="shared" si="3"/>
        <v>3.5914894711041863E-4</v>
      </c>
    </row>
    <row r="53" spans="1:7" x14ac:dyDescent="0.45">
      <c r="A53">
        <v>42</v>
      </c>
      <c r="B53" s="6" t="n">
        <v>1655.8316529626002</v>
      </c>
      <c r="C53" s="9">
        <f t="shared" si="2"/>
        <v>2.8144295873249131E-4</v>
      </c>
      <c r="E53" s="52">
        <v>42</v>
      </c>
      <c r="F53" s="142" t="n">
        <v>1986.0</v>
      </c>
      <c r="G53" s="9">
        <f t="shared" si="3"/>
        <v>3.4159125087455353E-4</v>
      </c>
    </row>
    <row r="54" spans="1:7" x14ac:dyDescent="0.45">
      <c r="A54">
        <v>43</v>
      </c>
      <c r="B54" s="6" t="n">
        <v>3973.8912322720003</v>
      </c>
      <c r="C54" s="9">
        <f t="shared" si="2"/>
        <v>6.7544529909828888E-4</v>
      </c>
      <c r="E54" s="53">
        <v>43</v>
      </c>
      <c r="F54" s="143" t="n">
        <v>1471.0</v>
      </c>
      <c r="G54" s="9">
        <f t="shared" si="3"/>
        <v>2.6493309498760694E-4</v>
      </c>
    </row>
    <row r="55" spans="1:7" x14ac:dyDescent="0.45">
      <c r="A55">
        <v>44</v>
      </c>
      <c r="B55" s="6" t="n">
        <v>2581.772307669</v>
      </c>
      <c r="C55" s="9">
        <f t="shared" si="2"/>
        <v>4.3882579231041378E-4</v>
      </c>
      <c r="E55" s="54">
        <v>44</v>
      </c>
      <c r="F55" s="144" t="n">
        <v>1747.0</v>
      </c>
      <c r="G55" s="9">
        <f t="shared" si="3"/>
        <v>2.5819219375419446E-4</v>
      </c>
    </row>
    <row r="56" spans="1:7" x14ac:dyDescent="0.45">
      <c r="A56">
        <v>45</v>
      </c>
      <c r="B56" s="6" t="n">
        <v>445.2098602299</v>
      </c>
      <c r="C56" s="9">
        <f t="shared" si="2"/>
        <v>7.5672656755772328E-5</v>
      </c>
      <c r="E56" s="55">
        <v>45</v>
      </c>
      <c r="F56" s="145" t="n">
        <v>1830.0</v>
      </c>
      <c r="G56" s="9">
        <f t="shared" si="3"/>
        <v>2.9565906340037082E-4</v>
      </c>
    </row>
    <row r="57" spans="1:7" x14ac:dyDescent="0.45">
      <c r="A57">
        <v>46</v>
      </c>
      <c r="B57" s="6" t="n">
        <v>6077.408037667</v>
      </c>
      <c r="C57" s="9">
        <f t="shared" si="2"/>
        <v>1.0329816418748322E-3</v>
      </c>
      <c r="E57" s="56">
        <v>46</v>
      </c>
      <c r="F57" s="146" t="n">
        <v>1292.0</v>
      </c>
      <c r="G57" s="9">
        <f t="shared" si="3"/>
        <v>2.4909981534633577E-4</v>
      </c>
    </row>
    <row r="58" spans="1:7" x14ac:dyDescent="0.45">
      <c r="A58">
        <v>47</v>
      </c>
      <c r="B58" s="6" t="n">
        <v>5102.070536329</v>
      </c>
      <c r="C58" s="9">
        <f t="shared" si="2"/>
        <v>8.6720278890497549E-4</v>
      </c>
      <c r="E58" s="57">
        <v>47</v>
      </c>
      <c r="F58" s="147" t="n">
        <v>1298.0</v>
      </c>
      <c r="G58" s="9">
        <f t="shared" si="3"/>
        <v>2.3906684606869857E-4</v>
      </c>
    </row>
    <row r="59" spans="1:7" x14ac:dyDescent="0.45">
      <c r="A59">
        <v>48</v>
      </c>
      <c r="B59" s="6" t="n">
        <v>626.5966911539999</v>
      </c>
      <c r="C59" s="9">
        <f t="shared" si="2"/>
        <v>1.0650311363165733E-4</v>
      </c>
      <c r="E59" s="58">
        <v>48</v>
      </c>
      <c r="F59" s="148" t="n">
        <v>937.0</v>
      </c>
      <c r="G59" s="9">
        <f t="shared" si="3"/>
        <v>1.5221895575915167E-4</v>
      </c>
    </row>
    <row r="60" spans="1:7" x14ac:dyDescent="0.45">
      <c r="A60">
        <v>49</v>
      </c>
      <c r="B60" s="6" t="n">
        <v>5384.775441607</v>
      </c>
      <c r="C60" s="9">
        <f t="shared" si="2"/>
        <v>9.1525435552847342E-4</v>
      </c>
      <c r="E60" s="59">
        <v>49</v>
      </c>
      <c r="F60" s="149" t="n">
        <v>871.0</v>
      </c>
      <c r="G60" s="9">
        <f t="shared" si="3"/>
        <v>1.7056047771983216E-4</v>
      </c>
    </row>
    <row r="61" spans="1:7" x14ac:dyDescent="0.45">
      <c r="A61">
        <v>50</v>
      </c>
      <c r="B61" s="6" t="n">
        <v>634.7004548350001</v>
      </c>
      <c r="C61" s="9">
        <f t="shared" si="2"/>
        <v>1.0788051647521869E-4</v>
      </c>
      <c r="E61" s="60">
        <v>50</v>
      </c>
      <c r="F61" s="150" t="n">
        <v>734.0</v>
      </c>
      <c r="G61" s="9">
        <f t="shared" si="3"/>
        <v>1.7871226525791238E-4</v>
      </c>
    </row>
    <row r="62" spans="1:7" x14ac:dyDescent="0.45">
      <c r="A62">
        <v>51</v>
      </c>
      <c r="B62" s="6" t="n">
        <v>971.458500962</v>
      </c>
      <c r="C62" s="9">
        <f t="shared" si="2"/>
        <v>1.6511953634138643E-4</v>
      </c>
      <c r="E62" s="61">
        <v>51</v>
      </c>
      <c r="F62" s="151" t="n">
        <v>775.0</v>
      </c>
      <c r="G62" s="9">
        <f t="shared" si="3"/>
        <v>1.3779656242254821E-4</v>
      </c>
    </row>
    <row r="63" spans="1:7" x14ac:dyDescent="0.45">
      <c r="A63">
        <v>52</v>
      </c>
      <c r="B63" s="6" t="n">
        <v>1079.971539528</v>
      </c>
      <c r="C63" s="9">
        <f t="shared" si="2"/>
        <v>1.8356357959930196E-4</v>
      </c>
      <c r="E63" s="62">
        <v>52</v>
      </c>
      <c r="F63" s="152" t="n">
        <v>585.0</v>
      </c>
      <c r="G63" s="9">
        <f t="shared" si="3"/>
        <v>7.9009633061392833E-5</v>
      </c>
    </row>
    <row r="64" spans="1:7" x14ac:dyDescent="0.45">
      <c r="A64">
        <v>53</v>
      </c>
      <c r="B64" s="6" t="n">
        <v>5158.8769299545</v>
      </c>
      <c r="C64" s="9">
        <f t="shared" si="2"/>
        <v>8.7685821460497236E-4</v>
      </c>
      <c r="E64" s="63">
        <v>53</v>
      </c>
      <c r="F64" s="153" t="n">
        <v>400.0</v>
      </c>
      <c r="G64" s="9">
        <f t="shared" si="3"/>
        <v>9.1864374948365474E-5</v>
      </c>
    </row>
    <row r="65" spans="1:7" x14ac:dyDescent="0.45">
      <c r="A65">
        <v>54</v>
      </c>
      <c r="B65" s="6" t="n">
        <v>1350.700792555</v>
      </c>
      <c r="C65" s="9">
        <f t="shared" si="2"/>
        <v>2.2957963554981416E-4</v>
      </c>
      <c r="E65" s="64">
        <v>54</v>
      </c>
      <c r="F65" s="154" t="n">
        <v>510.0</v>
      </c>
      <c r="G65" s="9">
        <f t="shared" si="3"/>
        <v>1.2666623713016947E-4</v>
      </c>
    </row>
    <row r="66" spans="1:7" x14ac:dyDescent="0.45">
      <c r="A66">
        <v>55</v>
      </c>
      <c r="B66" s="6" t="n">
        <v>0.0</v>
      </c>
      <c r="C66" s="9">
        <f t="shared" si="2"/>
        <v>0</v>
      </c>
      <c r="E66" s="65">
        <v>55</v>
      </c>
      <c r="F66" s="155" t="n">
        <v>280.0</v>
      </c>
      <c r="G66" s="9">
        <f t="shared" si="3"/>
        <v>6.9133428928718732E-5</v>
      </c>
    </row>
    <row r="67" spans="1:7" x14ac:dyDescent="0.45">
      <c r="A67">
        <v>56</v>
      </c>
      <c r="B67" s="6" t="n">
        <v>0.0</v>
      </c>
      <c r="C67" s="9">
        <f t="shared" si="2"/>
        <v>0</v>
      </c>
      <c r="E67" s="66">
        <v>56</v>
      </c>
      <c r="F67" s="156" t="n">
        <v>237.0</v>
      </c>
      <c r="G67" s="9">
        <f t="shared" si="3"/>
        <v>5.3770444722336792E-5</v>
      </c>
    </row>
    <row r="68" spans="1:7" x14ac:dyDescent="0.45">
      <c r="A68">
        <v>57</v>
      </c>
      <c r="B68" s="6" t="n">
        <v>0.0</v>
      </c>
      <c r="C68" s="9">
        <f t="shared" si="2"/>
        <v>0</v>
      </c>
      <c r="E68" s="67">
        <v>57</v>
      </c>
      <c r="F68" s="157" t="n">
        <v>281.0</v>
      </c>
      <c r="G68" s="9">
        <f t="shared" si="3"/>
        <v>5.9100459651081547E-5</v>
      </c>
    </row>
    <row r="69" spans="1:7" x14ac:dyDescent="0.45">
      <c r="A69">
        <v>58</v>
      </c>
      <c r="B69" s="6" t="n">
        <v>711.727573689</v>
      </c>
      <c r="C69" s="9">
        <f t="shared" si="2"/>
        <v>1.2097287413979261E-4</v>
      </c>
      <c r="E69" s="68">
        <v>58</v>
      </c>
      <c r="F69" s="158" t="n">
        <v>249.0</v>
      </c>
      <c r="G69" s="9">
        <f t="shared" si="3"/>
        <v>4.4364536024551931E-5</v>
      </c>
    </row>
    <row r="70" spans="1:7" x14ac:dyDescent="0.45">
      <c r="A70">
        <v>59</v>
      </c>
      <c r="B70" s="6" t="n">
        <v>507.743697633</v>
      </c>
      <c r="C70" s="9">
        <f t="shared" si="2"/>
        <v>8.6301580407603556E-5</v>
      </c>
      <c r="E70" s="69">
        <v>59</v>
      </c>
      <c r="F70" s="159" t="n">
        <v>270.0</v>
      </c>
      <c r="G70" s="9">
        <f t="shared" si="3"/>
        <v>4.3894240589662684E-5</v>
      </c>
    </row>
    <row r="71" spans="1:7" x14ac:dyDescent="0.45">
      <c r="A71">
        <v>60</v>
      </c>
      <c r="B71" s="6" t="n">
        <v>0.0</v>
      </c>
      <c r="C71" s="9">
        <f t="shared" si="2"/>
        <v>0</v>
      </c>
      <c r="E71" s="70">
        <v>60</v>
      </c>
      <c r="F71" s="160" t="n">
        <v>185.0</v>
      </c>
      <c r="G71" s="9">
        <f t="shared" si="3"/>
        <v>2.4298597469277557E-5</v>
      </c>
    </row>
    <row r="72" spans="1:7" x14ac:dyDescent="0.45">
      <c r="A72">
        <v>61</v>
      </c>
      <c r="B72" s="6" t="n">
        <v>1707.027510072</v>
      </c>
      <c r="C72" s="9">
        <f t="shared" si="2"/>
        <v>2.9014475729633403E-4</v>
      </c>
      <c r="E72" s="71">
        <v>61</v>
      </c>
      <c r="F72" s="161" t="n">
        <v>134.0</v>
      </c>
      <c r="G72" s="9">
        <f t="shared" si="3"/>
        <v>2.5709483773945288E-5</v>
      </c>
    </row>
    <row r="73" spans="1:7" x14ac:dyDescent="0.45">
      <c r="A73">
        <v>62</v>
      </c>
      <c r="B73" s="6" t="n">
        <v>413.740782213</v>
      </c>
      <c r="C73" s="9">
        <f t="shared" si="2"/>
        <v>7.032383375808804E-5</v>
      </c>
      <c r="E73" s="72">
        <v>62</v>
      </c>
      <c r="F73" s="162" t="n">
        <v>170.0</v>
      </c>
      <c r="G73" s="9">
        <f t="shared" si="3"/>
        <v>2.9158316963133072E-5</v>
      </c>
    </row>
    <row r="74" spans="1:7" x14ac:dyDescent="0.45">
      <c r="A74">
        <v>63</v>
      </c>
      <c r="B74" s="6" t="n">
        <v>0.0</v>
      </c>
      <c r="C74" s="9">
        <f t="shared" si="2"/>
        <v>0</v>
      </c>
      <c r="E74" s="73">
        <v>63</v>
      </c>
      <c r="F74" s="163" t="n">
        <v>118.0</v>
      </c>
      <c r="G74" s="9">
        <f t="shared" si="3"/>
        <v>2.8688021528243828E-5</v>
      </c>
    </row>
    <row r="75" spans="1:7" x14ac:dyDescent="0.45">
      <c r="A75">
        <v>64</v>
      </c>
      <c r="B75" s="6" t="n">
        <v>0.0</v>
      </c>
      <c r="C75" s="9">
        <f t="shared" si="2"/>
        <v>0</v>
      </c>
      <c r="E75" s="74">
        <v>64</v>
      </c>
      <c r="F75" s="164" t="n">
        <v>85.0</v>
      </c>
      <c r="G75" s="9">
        <f t="shared" si="3"/>
        <v>9.4059086977848621E-6</v>
      </c>
    </row>
    <row r="76" spans="1:7" x14ac:dyDescent="0.45">
      <c r="A76">
        <v>65</v>
      </c>
      <c r="B76" s="6" t="n">
        <v>0.0</v>
      </c>
      <c r="C76" s="9">
        <f t="shared" si="2"/>
        <v>0</v>
      </c>
      <c r="E76" s="75">
        <v>65</v>
      </c>
      <c r="F76" s="165" t="n">
        <v>96.0</v>
      </c>
      <c r="G76" s="9">
        <f t="shared" si="3"/>
        <v>2.0692999135126696E-5</v>
      </c>
    </row>
    <row r="77" spans="1:7" x14ac:dyDescent="0.45">
      <c r="A77">
        <v>66</v>
      </c>
      <c r="B77" s="6" t="n">
        <v>0.0</v>
      </c>
      <c r="C77" s="9">
        <f t="shared" ref="C77:C102" si="4">B77/B$102</f>
        <v>0</v>
      </c>
      <c r="E77" s="76">
        <v>66</v>
      </c>
      <c r="F77" s="166" t="n">
        <v>70.0</v>
      </c>
      <c r="G77" s="9">
        <f t="shared" ref="G77:G102" si="5">F77/F$102</f>
        <v>2.0222703700237452E-5</v>
      </c>
    </row>
    <row r="78" spans="1:7" x14ac:dyDescent="0.45">
      <c r="A78">
        <v>67</v>
      </c>
      <c r="B78" s="6" t="n">
        <v>0.0</v>
      </c>
      <c r="C78" s="9">
        <f t="shared" si="4"/>
        <v>0</v>
      </c>
      <c r="E78" s="77">
        <v>67</v>
      </c>
      <c r="F78" s="167" t="n">
        <v>68.0</v>
      </c>
      <c r="G78" s="9">
        <f t="shared" si="5"/>
        <v>7.3679618132648078E-6</v>
      </c>
    </row>
    <row r="79" spans="1:7" x14ac:dyDescent="0.45">
      <c r="A79">
        <v>68</v>
      </c>
      <c r="B79" s="6" t="n">
        <v>629.76290591</v>
      </c>
      <c r="C79" s="9">
        <f t="shared" si="4"/>
        <v>1.0704127754905604E-4</v>
      </c>
      <c r="E79" s="78">
        <v>68</v>
      </c>
      <c r="F79" s="168" t="n">
        <v>69.0</v>
      </c>
      <c r="G79" s="9">
        <f t="shared" si="5"/>
        <v>1.5676514496308103E-5</v>
      </c>
    </row>
    <row r="80" spans="1:7" x14ac:dyDescent="0.45">
      <c r="A80">
        <v>69</v>
      </c>
      <c r="B80" s="6" t="n">
        <v>1092.741662888</v>
      </c>
      <c r="C80" s="9">
        <f t="shared" si="4"/>
        <v>1.857341271277218E-4</v>
      </c>
      <c r="E80" s="79">
        <v>69</v>
      </c>
      <c r="F80" s="169" t="n">
        <v>68.0</v>
      </c>
      <c r="G80" s="9">
        <f t="shared" si="5"/>
        <v>1.0346499567563348E-5</v>
      </c>
    </row>
    <row r="81" spans="1:7" x14ac:dyDescent="0.45">
      <c r="A81">
        <v>70</v>
      </c>
      <c r="B81" s="6" t="n">
        <v>0.0</v>
      </c>
      <c r="C81" s="9">
        <f t="shared" si="4"/>
        <v>0</v>
      </c>
      <c r="E81" s="80">
        <v>70</v>
      </c>
      <c r="F81" s="170" t="n">
        <v>31.0</v>
      </c>
      <c r="G81" s="9">
        <f t="shared" si="5"/>
        <v>1.6460340221123509E-5</v>
      </c>
    </row>
    <row r="82" spans="1:7" x14ac:dyDescent="0.45">
      <c r="A82">
        <v>71</v>
      </c>
      <c r="B82" s="6" t="n">
        <v>2000.113239284</v>
      </c>
      <c r="C82" s="9">
        <f t="shared" si="4"/>
        <v>3.3996076041724923E-4</v>
      </c>
      <c r="E82" s="81">
        <v>71</v>
      </c>
      <c r="F82" s="171" t="n">
        <v>39.0</v>
      </c>
      <c r="G82" s="9">
        <f t="shared" si="5"/>
        <v>2.2103885439794423E-5</v>
      </c>
    </row>
    <row r="83" spans="1:7" x14ac:dyDescent="0.45">
      <c r="A83">
        <v>72</v>
      </c>
      <c r="B83" s="6" t="n">
        <v>432.731781518</v>
      </c>
      <c r="C83" s="9">
        <f t="shared" si="4"/>
        <v>7.3551748277129198E-5</v>
      </c>
      <c r="E83" s="82">
        <v>72</v>
      </c>
      <c r="F83" s="172" t="n">
        <v>27.0</v>
      </c>
      <c r="G83" s="9">
        <f t="shared" si="5"/>
        <v>1.0816795002452592E-5</v>
      </c>
    </row>
    <row r="84" spans="1:7" x14ac:dyDescent="0.45">
      <c r="A84">
        <v>73</v>
      </c>
      <c r="B84" s="6" t="n">
        <v>0.0</v>
      </c>
      <c r="C84" s="9">
        <f t="shared" si="4"/>
        <v>0</v>
      </c>
      <c r="E84" s="83">
        <v>73</v>
      </c>
      <c r="F84" s="173" t="n">
        <v>29.0</v>
      </c>
      <c r="G84" s="9">
        <f t="shared" si="5"/>
        <v>1.0032969277637185E-5</v>
      </c>
    </row>
    <row r="85" spans="1:7" x14ac:dyDescent="0.45">
      <c r="A85">
        <v>74</v>
      </c>
      <c r="B85" s="6" t="n">
        <v>0.0</v>
      </c>
      <c r="C85" s="9">
        <f t="shared" si="4"/>
        <v>0</v>
      </c>
      <c r="E85" s="84">
        <v>74</v>
      </c>
      <c r="F85" s="174" t="n">
        <v>13.0</v>
      </c>
      <c r="G85" s="9">
        <f t="shared" si="5"/>
        <v>1.0346499567563348E-5</v>
      </c>
    </row>
    <row r="86" spans="1:7" x14ac:dyDescent="0.45">
      <c r="A86">
        <v>75</v>
      </c>
      <c r="B86" s="6" t="n">
        <v>531.697250215</v>
      </c>
      <c r="C86" s="9">
        <f t="shared" si="4"/>
        <v>9.0372983861433223E-5</v>
      </c>
      <c r="E86" s="85">
        <v>75</v>
      </c>
      <c r="F86" s="175" t="n">
        <v>22.0</v>
      </c>
      <c r="G86" s="9">
        <f t="shared" si="5"/>
        <v>5.6435452186709168E-6</v>
      </c>
    </row>
    <row r="87" spans="1:7" x14ac:dyDescent="0.45">
      <c r="A87">
        <v>76</v>
      </c>
      <c r="B87" s="6" t="n">
        <v>0.0</v>
      </c>
      <c r="C87" s="9">
        <f t="shared" si="4"/>
        <v>0</v>
      </c>
      <c r="E87" s="86">
        <v>76</v>
      </c>
      <c r="F87" s="176" t="n">
        <v>14.0</v>
      </c>
      <c r="G87" s="9">
        <f t="shared" si="5"/>
        <v>7.524726958227889E-6</v>
      </c>
    </row>
    <row r="88" spans="1:7" x14ac:dyDescent="0.45">
      <c r="A88">
        <v>77</v>
      </c>
      <c r="B88" s="6" t="n">
        <v>0.0</v>
      </c>
      <c r="C88" s="9">
        <f t="shared" si="4"/>
        <v>0</v>
      </c>
      <c r="E88" s="87">
        <v>77</v>
      </c>
      <c r="F88" s="177" t="n">
        <v>17.0</v>
      </c>
      <c r="G88" s="9">
        <f t="shared" si="5"/>
        <v>2.1947120294831343E-6</v>
      </c>
    </row>
    <row r="89" spans="1:7" x14ac:dyDescent="0.45">
      <c r="A89">
        <v>78</v>
      </c>
      <c r="B89" s="6" t="n">
        <v>1107.419474436</v>
      </c>
      <c r="C89" s="9">
        <f t="shared" si="4"/>
        <v>1.8822892586067025E-4</v>
      </c>
      <c r="E89" s="88">
        <v>78</v>
      </c>
      <c r="F89" s="178" t="n">
        <v>17.0</v>
      </c>
      <c r="G89" s="9">
        <f t="shared" si="5"/>
        <v>4.3894240589662686E-6</v>
      </c>
    </row>
    <row r="90" spans="1:7" x14ac:dyDescent="0.45">
      <c r="A90">
        <v>79</v>
      </c>
      <c r="B90" s="6" t="n">
        <v>0.0</v>
      </c>
      <c r="C90" s="9">
        <f t="shared" si="4"/>
        <v>0</v>
      </c>
      <c r="E90" s="89">
        <v>79</v>
      </c>
      <c r="F90" s="179" t="n">
        <v>6.0</v>
      </c>
      <c r="G90" s="9">
        <f t="shared" si="5"/>
        <v>2.0379468845200535E-6</v>
      </c>
    </row>
    <row r="91" spans="1:7" x14ac:dyDescent="0.45">
      <c r="A91">
        <v>80</v>
      </c>
      <c r="B91" s="6" t="n">
        <v>0.0</v>
      </c>
      <c r="C91" s="9">
        <f t="shared" si="4"/>
        <v>0</v>
      </c>
      <c r="E91" s="90">
        <v>80</v>
      </c>
      <c r="F91" s="180" t="n">
        <v>8.0</v>
      </c>
      <c r="G91" s="9">
        <f t="shared" si="5"/>
        <v>9.4059086977848613E-7</v>
      </c>
    </row>
    <row r="92" spans="1:7" x14ac:dyDescent="0.45">
      <c r="A92">
        <v>81</v>
      </c>
      <c r="B92" s="6" t="n">
        <v>779.472231969</v>
      </c>
      <c r="C92" s="9">
        <f t="shared" si="4"/>
        <v>1.3248748495818804E-4</v>
      </c>
      <c r="E92" s="91">
        <v>81</v>
      </c>
      <c r="F92" s="181" t="n">
        <v>8.0</v>
      </c>
      <c r="G92" s="9">
        <f t="shared" si="5"/>
        <v>3.7623634791139445E-6</v>
      </c>
    </row>
    <row r="93" spans="1:7" x14ac:dyDescent="0.45">
      <c r="A93">
        <v>82</v>
      </c>
      <c r="B93" s="6" t="n">
        <v>0.0</v>
      </c>
      <c r="C93" s="9">
        <f t="shared" si="4"/>
        <v>0</v>
      </c>
      <c r="E93" s="92">
        <v>82</v>
      </c>
      <c r="F93" s="182" t="n">
        <v>9.0</v>
      </c>
      <c r="G93" s="9">
        <f t="shared" si="5"/>
        <v>2.0379468845200535E-6</v>
      </c>
    </row>
    <row r="94" spans="1:7" x14ac:dyDescent="0.45">
      <c r="A94">
        <v>83</v>
      </c>
      <c r="B94" s="6" t="n">
        <v>351.630709955</v>
      </c>
      <c r="C94" s="9">
        <f t="shared" si="4"/>
        <v>5.9766937788558475E-5</v>
      </c>
      <c r="E94" s="93">
        <v>83</v>
      </c>
      <c r="F94" s="183" t="n">
        <v>9.0</v>
      </c>
      <c r="G94" s="9">
        <f t="shared" si="5"/>
        <v>2.8217726093354584E-6</v>
      </c>
    </row>
    <row r="95" spans="1:7" x14ac:dyDescent="0.45">
      <c r="A95">
        <v>84</v>
      </c>
      <c r="B95" s="6" t="n">
        <v>667.452792716</v>
      </c>
      <c r="C95" s="9">
        <f t="shared" si="4"/>
        <v>1.1344745612282251E-4</v>
      </c>
      <c r="E95" s="94">
        <v>84</v>
      </c>
      <c r="F95" s="184" t="n">
        <v>7.0</v>
      </c>
      <c r="G95" s="9">
        <f t="shared" si="5"/>
        <v>2.5082423194092963E-6</v>
      </c>
    </row>
    <row r="96" spans="1:7" x14ac:dyDescent="0.45">
      <c r="A96">
        <v>85</v>
      </c>
      <c r="B96" s="6" t="n">
        <v>0.0</v>
      </c>
      <c r="C96" s="9">
        <f t="shared" si="4"/>
        <v>0</v>
      </c>
      <c r="E96" s="95">
        <v>85</v>
      </c>
      <c r="F96" s="185" t="n">
        <v>5.0</v>
      </c>
      <c r="G96" s="9">
        <f t="shared" si="5"/>
        <v>1.5676514496308102E-6</v>
      </c>
    </row>
    <row r="97" spans="1:7" x14ac:dyDescent="0.45">
      <c r="A97">
        <v>86</v>
      </c>
      <c r="B97" s="6" t="n">
        <v>143.175005361</v>
      </c>
      <c r="C97" s="9">
        <f t="shared" si="4"/>
        <v>2.4335563976714417E-5</v>
      </c>
      <c r="E97" s="96">
        <v>86</v>
      </c>
      <c r="F97" s="186" t="n">
        <v>4.0</v>
      </c>
      <c r="G97" s="9">
        <f t="shared" si="5"/>
        <v>1.4108863046677292E-6</v>
      </c>
    </row>
    <row r="98" spans="1:7" x14ac:dyDescent="0.45">
      <c r="A98">
        <v>87</v>
      </c>
      <c r="B98" s="6" t="n">
        <v>82.8897619551</v>
      </c>
      <c r="C98" s="9">
        <f t="shared" si="4"/>
        <v>1.4088835547705377E-5</v>
      </c>
      <c r="E98" s="97">
        <v>87</v>
      </c>
      <c r="F98" s="187" t="n">
        <v>6.0</v>
      </c>
      <c r="G98" s="9">
        <f t="shared" si="5"/>
        <v>7.8382572481540511E-7</v>
      </c>
    </row>
    <row r="99" spans="1:7" x14ac:dyDescent="0.45">
      <c r="A99">
        <v>88</v>
      </c>
      <c r="B99" s="6" t="n">
        <v>0.0</v>
      </c>
      <c r="C99" s="9">
        <f t="shared" si="4"/>
        <v>0</v>
      </c>
      <c r="E99" s="98">
        <v>88</v>
      </c>
      <c r="F99" s="188" t="n">
        <v>0.0</v>
      </c>
      <c r="G99" s="9">
        <f t="shared" si="5"/>
        <v>6.2706057985232408E-7</v>
      </c>
    </row>
    <row r="100" spans="1:7" x14ac:dyDescent="0.45">
      <c r="A100">
        <v>89</v>
      </c>
      <c r="B100" s="6" t="n">
        <v>292.16039971099997</v>
      </c>
      <c r="C100" s="9">
        <f t="shared" si="4"/>
        <v>4.9658724165595082E-5</v>
      </c>
      <c r="E100" s="99">
        <v>89</v>
      </c>
      <c r="F100" s="189" t="n">
        <v>3.0</v>
      </c>
      <c r="G100" s="9">
        <f t="shared" si="5"/>
        <v>1.7244165945938912E-6</v>
      </c>
    </row>
    <row r="101" spans="1:7" ht="14.65" thickBot="1" x14ac:dyDescent="0.5">
      <c r="A101" s="1">
        <v>90</v>
      </c>
      <c r="B101" s="7" t="n">
        <v>3956.7258062524</v>
      </c>
      <c r="C101" s="9">
        <f t="shared" si="4"/>
        <v>6.7252767865165941E-4</v>
      </c>
      <c r="E101" s="372">
        <v>90</v>
      </c>
      <c r="F101" s="372" t="n">
        <v>21.0</v>
      </c>
      <c r="G101" s="9">
        <f t="shared" si="5"/>
        <v>5.800310363633998E-6</v>
      </c>
    </row>
    <row r="102" spans="1:7" x14ac:dyDescent="0.45">
      <c r="B102" s="6">
        <f>SUM(B11:B101)</f>
        <v>5883365.0002111141</v>
      </c>
      <c r="C102" s="9">
        <f t="shared" si="4"/>
        <v>1</v>
      </c>
      <c r="F102" s="6">
        <f>SUM(F11:F101)</f>
        <v>6378969</v>
      </c>
      <c r="G102" s="9">
        <f t="shared" si="5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A3" sqref="A3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6777.984679031</v>
      </c>
      <c r="C11" s="9">
        <f>B11/B$102</f>
        <v>1.1520591836113835E-3</v>
      </c>
      <c r="E11" s="190">
        <v>0</v>
      </c>
      <c r="F11" s="280" t="n">
        <v>21890.0</v>
      </c>
      <c r="G11" s="9">
        <f>F11/F$102</f>
        <v>3.4115230846865695E-3</v>
      </c>
      <c r="K11" s="6" t="n">
        <v>30.8830153996717</v>
      </c>
      <c r="L11" s="6" t="n">
        <v>23.18874139809411</v>
      </c>
    </row>
    <row r="12" spans="1:12" x14ac:dyDescent="0.45">
      <c r="A12">
        <v>1</v>
      </c>
      <c r="B12" s="6" t="n">
        <v>19311.3606145139</v>
      </c>
      <c r="C12" s="9">
        <f>B12/B$102</f>
        <v>3.2823665731806458E-3</v>
      </c>
      <c r="E12" s="191">
        <v>1</v>
      </c>
      <c r="F12" s="281" t="n">
        <v>96667.0</v>
      </c>
      <c r="G12" s="9">
        <f>F12/F$102</f>
        <v>1.5072184862475425E-2</v>
      </c>
      <c r="K12" s="6"/>
      <c r="L12" s="371"/>
    </row>
    <row r="13" spans="1:12" x14ac:dyDescent="0.45">
      <c r="A13">
        <v>2</v>
      </c>
      <c r="B13" s="6" t="n">
        <v>28257.979731648</v>
      </c>
      <c r="C13" s="9">
        <f t="shared" ref="C13:C76" si="0">B13/B$102</f>
        <v>4.8030301928631012E-3</v>
      </c>
      <c r="E13" s="192">
        <v>2</v>
      </c>
      <c r="F13" s="282" t="n">
        <v>133380.0</v>
      </c>
      <c r="G13" s="9">
        <f t="shared" ref="G13:G76" si="1">F13/F$102</f>
        <v>2.0782198502610687E-2</v>
      </c>
    </row>
    <row r="14" spans="1:12" x14ac:dyDescent="0.45">
      <c r="A14">
        <v>3</v>
      </c>
      <c r="B14" s="6" t="n">
        <v>42233.0770548103</v>
      </c>
      <c r="C14" s="9">
        <f t="shared" si="0"/>
        <v>7.178388057394851E-3</v>
      </c>
      <c r="E14" s="193">
        <v>3</v>
      </c>
      <c r="F14" s="283" t="n">
        <v>157489.0</v>
      </c>
      <c r="G14" s="9">
        <f t="shared" si="1"/>
        <v>2.4683612665306887E-2</v>
      </c>
    </row>
    <row r="15" spans="1:12" x14ac:dyDescent="0.45">
      <c r="A15">
        <v>4</v>
      </c>
      <c r="B15" s="6" t="n">
        <v>34482.6342444071</v>
      </c>
      <c r="C15" s="9">
        <f t="shared" si="0"/>
        <v>5.8610394295050133E-3</v>
      </c>
      <c r="E15" s="194">
        <v>4</v>
      </c>
      <c r="F15" s="284" t="n">
        <v>164150.0</v>
      </c>
      <c r="G15" s="9">
        <f t="shared" si="1"/>
        <v>2.5679541631257338E-2</v>
      </c>
    </row>
    <row r="16" spans="1:12" x14ac:dyDescent="0.45">
      <c r="A16">
        <v>5</v>
      </c>
      <c r="B16" s="6" t="n">
        <v>77762.6630451249</v>
      </c>
      <c r="C16" s="9">
        <f t="shared" si="0"/>
        <v>1.3217378667197181E-2</v>
      </c>
      <c r="E16" s="195">
        <v>5</v>
      </c>
      <c r="F16" s="285" t="n">
        <v>165761.0</v>
      </c>
      <c r="G16" s="9">
        <f t="shared" si="1"/>
        <v>2.5799466967154096E-2</v>
      </c>
    </row>
    <row r="17" spans="1:7" x14ac:dyDescent="0.45">
      <c r="A17">
        <v>6</v>
      </c>
      <c r="B17" s="6" t="n">
        <v>70590.8588643991</v>
      </c>
      <c r="C17" s="9">
        <f t="shared" si="0"/>
        <v>1.199838168494834E-2</v>
      </c>
      <c r="E17" s="196">
        <v>6</v>
      </c>
      <c r="F17" s="286" t="n">
        <v>162830.0</v>
      </c>
      <c r="G17" s="9">
        <f t="shared" si="1"/>
        <v>2.539407230227957E-2</v>
      </c>
    </row>
    <row r="18" spans="1:7" x14ac:dyDescent="0.45">
      <c r="A18">
        <v>7</v>
      </c>
      <c r="B18" s="6" t="n">
        <v>84339.5977201299</v>
      </c>
      <c r="C18" s="9">
        <f t="shared" si="0"/>
        <v>1.4335265229524862E-2</v>
      </c>
      <c r="E18" s="197">
        <v>7</v>
      </c>
      <c r="F18" s="287" t="n">
        <v>158357.0</v>
      </c>
      <c r="G18" s="9">
        <f t="shared" si="1"/>
        <v>2.4656021999793384E-2</v>
      </c>
    </row>
    <row r="19" spans="1:7" x14ac:dyDescent="0.45">
      <c r="A19">
        <v>8</v>
      </c>
      <c r="B19" s="6" t="n">
        <v>64795.3680488708</v>
      </c>
      <c r="C19" s="9">
        <f t="shared" si="0"/>
        <v>1.1013317726597917E-2</v>
      </c>
      <c r="E19" s="198">
        <v>8</v>
      </c>
      <c r="F19" s="288" t="n">
        <v>147983.0</v>
      </c>
      <c r="G19" s="9">
        <f t="shared" si="1"/>
        <v>2.326629898969567E-2</v>
      </c>
    </row>
    <row r="20" spans="1:7" x14ac:dyDescent="0.45">
      <c r="A20">
        <v>9</v>
      </c>
      <c r="B20" s="6" t="n">
        <v>97995.2574809291</v>
      </c>
      <c r="C20" s="9">
        <f t="shared" si="0"/>
        <v>1.6656328049919178E-2</v>
      </c>
      <c r="E20" s="199">
        <v>9</v>
      </c>
      <c r="F20" s="289" t="n">
        <v>139907.0</v>
      </c>
      <c r="G20" s="9">
        <f t="shared" si="1"/>
        <v>2.1735173818841259E-2</v>
      </c>
    </row>
    <row r="21" spans="1:7" x14ac:dyDescent="0.45">
      <c r="A21">
        <v>10</v>
      </c>
      <c r="B21" s="6" t="n">
        <v>54317.4021585116</v>
      </c>
      <c r="C21" s="9">
        <f t="shared" si="0"/>
        <v>9.2323699373679062E-3</v>
      </c>
      <c r="E21" s="200">
        <v>10</v>
      </c>
      <c r="F21" s="290" t="n">
        <v>130295.0</v>
      </c>
      <c r="G21" s="9">
        <f t="shared" si="1"/>
        <v>2.0256251441259553E-2</v>
      </c>
    </row>
    <row r="22" spans="1:7" x14ac:dyDescent="0.45">
      <c r="A22">
        <v>11</v>
      </c>
      <c r="B22" s="6" t="n">
        <v>82687.7025291643</v>
      </c>
      <c r="C22" s="9">
        <f t="shared" si="0"/>
        <v>1.4054491354216034E-2</v>
      </c>
      <c r="E22" s="201">
        <v>11</v>
      </c>
      <c r="F22" s="291" t="n">
        <v>118057.0</v>
      </c>
      <c r="G22" s="9">
        <f t="shared" si="1"/>
        <v>1.8522899233402765E-2</v>
      </c>
    </row>
    <row r="23" spans="1:7" x14ac:dyDescent="0.45">
      <c r="A23">
        <v>12</v>
      </c>
      <c r="B23" s="6" t="n">
        <v>117559.3164825522</v>
      </c>
      <c r="C23" s="9">
        <f t="shared" si="0"/>
        <v>1.9981645959129483E-2</v>
      </c>
      <c r="E23" s="202">
        <v>12</v>
      </c>
      <c r="F23" s="292" t="n">
        <v>110588.0</v>
      </c>
      <c r="G23" s="9">
        <f t="shared" si="1"/>
        <v>1.7230684143472088E-2</v>
      </c>
    </row>
    <row r="24" spans="1:7" x14ac:dyDescent="0.45">
      <c r="A24">
        <v>13</v>
      </c>
      <c r="B24" s="6" t="n">
        <v>111916.2960992915</v>
      </c>
      <c r="C24" s="9">
        <f t="shared" si="0"/>
        <v>1.9022497515499313E-2</v>
      </c>
      <c r="E24" s="203">
        <v>13</v>
      </c>
      <c r="F24" s="293" t="n">
        <v>96735.0</v>
      </c>
      <c r="G24" s="9">
        <f t="shared" si="1"/>
        <v>1.5121409117993832E-2</v>
      </c>
    </row>
    <row r="25" spans="1:7" x14ac:dyDescent="0.45">
      <c r="A25">
        <v>14</v>
      </c>
      <c r="B25" s="6" t="n">
        <v>78794.9768343743</v>
      </c>
      <c r="C25" s="9">
        <f t="shared" si="0"/>
        <v>1.339284182292734E-2</v>
      </c>
      <c r="E25" s="204">
        <v>14</v>
      </c>
      <c r="F25" s="294" t="n">
        <v>92528.0</v>
      </c>
      <c r="G25" s="9">
        <f t="shared" si="1"/>
        <v>1.4305760068750922E-2</v>
      </c>
    </row>
    <row r="26" spans="1:7" x14ac:dyDescent="0.45">
      <c r="A26">
        <v>15</v>
      </c>
      <c r="B26" s="6" t="n">
        <v>49387.5604071043</v>
      </c>
      <c r="C26" s="9">
        <f t="shared" si="0"/>
        <v>8.3944410053314947E-3</v>
      </c>
      <c r="E26" s="205">
        <v>15</v>
      </c>
      <c r="F26" s="295" t="n">
        <v>86173.0</v>
      </c>
      <c r="G26" s="9">
        <f t="shared" si="1"/>
        <v>1.3603608984461281E-2</v>
      </c>
    </row>
    <row r="27" spans="1:7" x14ac:dyDescent="0.45">
      <c r="A27">
        <v>16</v>
      </c>
      <c r="B27" s="6" t="n">
        <v>200663.0878691433</v>
      </c>
      <c r="C27" s="9">
        <f t="shared" si="0"/>
        <v>3.4106856851808941E-2</v>
      </c>
      <c r="E27" s="206">
        <v>16</v>
      </c>
      <c r="F27" s="296" t="n">
        <v>84222.0</v>
      </c>
      <c r="G27" s="9">
        <f t="shared" si="1"/>
        <v>1.292575649764092E-2</v>
      </c>
    </row>
    <row r="28" spans="1:7" x14ac:dyDescent="0.45">
      <c r="A28">
        <v>17</v>
      </c>
      <c r="B28" s="6" t="n">
        <v>123358.2475558062</v>
      </c>
      <c r="C28" s="9">
        <f t="shared" si="0"/>
        <v>2.0967294660688186E-2</v>
      </c>
      <c r="E28" s="207">
        <v>17</v>
      </c>
      <c r="F28" s="297" t="n">
        <v>76819.0</v>
      </c>
      <c r="G28" s="9">
        <f t="shared" si="1"/>
        <v>1.2198679755302149E-2</v>
      </c>
    </row>
    <row r="29" spans="1:7" x14ac:dyDescent="0.45">
      <c r="A29">
        <v>18</v>
      </c>
      <c r="B29" s="6" t="n">
        <v>380306.5495109273</v>
      </c>
      <c r="C29" s="9">
        <f t="shared" si="0"/>
        <v>6.4640991931875849E-2</v>
      </c>
      <c r="E29" s="208">
        <v>18</v>
      </c>
      <c r="F29" s="298" t="n">
        <v>641614.0</v>
      </c>
      <c r="G29" s="9">
        <f t="shared" si="1"/>
        <v>0.10045635901350203</v>
      </c>
    </row>
    <row r="30" spans="1:7" x14ac:dyDescent="0.45">
      <c r="A30">
        <v>19</v>
      </c>
      <c r="B30" s="6" t="n">
        <v>229001.5381152313</v>
      </c>
      <c r="C30" s="9">
        <f t="shared" si="0"/>
        <v>3.8923564678889383E-2</v>
      </c>
      <c r="E30" s="209">
        <v>19</v>
      </c>
      <c r="F30" s="299" t="n">
        <v>242122.0</v>
      </c>
      <c r="G30" s="9">
        <f t="shared" si="1"/>
        <v>3.7856901326844508E-2</v>
      </c>
    </row>
    <row r="31" spans="1:7" x14ac:dyDescent="0.45">
      <c r="A31">
        <v>20</v>
      </c>
      <c r="B31" s="6" t="n">
        <v>339557.2219199539</v>
      </c>
      <c r="C31" s="9">
        <f t="shared" si="0"/>
        <v>5.771479789334328E-2</v>
      </c>
      <c r="E31" s="210">
        <v>20</v>
      </c>
      <c r="F31" s="300" t="n">
        <v>253695.0</v>
      </c>
      <c r="G31" s="9">
        <f t="shared" si="1"/>
        <v>3.9152878780254301E-2</v>
      </c>
    </row>
    <row r="32" spans="1:7" x14ac:dyDescent="0.45">
      <c r="A32">
        <v>21</v>
      </c>
      <c r="B32" s="6" t="n">
        <v>292201.3134653368</v>
      </c>
      <c r="C32" s="9">
        <f t="shared" si="0"/>
        <v>4.9665678307372015E-2</v>
      </c>
      <c r="E32" s="211">
        <v>21</v>
      </c>
      <c r="F32" s="301" t="n">
        <v>280524.0</v>
      </c>
      <c r="G32" s="9">
        <f t="shared" si="1"/>
        <v>4.4678066314478092E-2</v>
      </c>
    </row>
    <row r="33" spans="1:7" x14ac:dyDescent="0.45">
      <c r="A33">
        <v>22</v>
      </c>
      <c r="B33" s="6" t="n">
        <v>254473.8902439678</v>
      </c>
      <c r="C33" s="9">
        <f t="shared" si="0"/>
        <v>4.325311964068803E-2</v>
      </c>
      <c r="E33" s="212">
        <v>22</v>
      </c>
      <c r="F33" s="302" t="n">
        <v>259467.0</v>
      </c>
      <c r="G33" s="9">
        <f t="shared" si="1"/>
        <v>3.9979031094209735E-2</v>
      </c>
    </row>
    <row r="34" spans="1:7" x14ac:dyDescent="0.45">
      <c r="A34">
        <v>23</v>
      </c>
      <c r="B34" s="6" t="n">
        <v>160193.2933597781</v>
      </c>
      <c r="C34" s="9">
        <f t="shared" si="0"/>
        <v>2.7228175262631146E-2</v>
      </c>
      <c r="E34" s="213">
        <v>23</v>
      </c>
      <c r="F34" s="303" t="n">
        <v>241216.0</v>
      </c>
      <c r="G34" s="9">
        <f t="shared" si="1"/>
        <v>3.7094395661744085E-2</v>
      </c>
    </row>
    <row r="35" spans="1:7" x14ac:dyDescent="0.45">
      <c r="A35">
        <v>24</v>
      </c>
      <c r="B35" s="6" t="n">
        <v>190560.0643605796</v>
      </c>
      <c r="C35" s="9">
        <f t="shared" si="0"/>
        <v>3.2389638302866092E-2</v>
      </c>
      <c r="E35" s="214">
        <v>24</v>
      </c>
      <c r="F35" s="304" t="n">
        <v>173787.0</v>
      </c>
      <c r="G35" s="9">
        <f t="shared" si="1"/>
        <v>2.7055626073743264E-2</v>
      </c>
    </row>
    <row r="36" spans="1:7" x14ac:dyDescent="0.45">
      <c r="A36">
        <v>25</v>
      </c>
      <c r="B36" s="6" t="n">
        <v>130685.9164110802</v>
      </c>
      <c r="C36" s="9">
        <f t="shared" si="0"/>
        <v>2.2212784079585542E-2</v>
      </c>
      <c r="E36" s="215">
        <v>25</v>
      </c>
      <c r="F36" s="305" t="n">
        <v>167850.0</v>
      </c>
      <c r="G36" s="9">
        <f t="shared" si="1"/>
        <v>2.6277600659291495E-2</v>
      </c>
    </row>
    <row r="37" spans="1:7" x14ac:dyDescent="0.45">
      <c r="A37">
        <v>26</v>
      </c>
      <c r="B37" s="6" t="n">
        <v>330164.1467082053</v>
      </c>
      <c r="C37" s="9">
        <f t="shared" si="0"/>
        <v>5.6118249793503897E-2</v>
      </c>
      <c r="E37" s="216">
        <v>26</v>
      </c>
      <c r="F37" s="306" t="n">
        <v>175597.0</v>
      </c>
      <c r="G37" s="9">
        <f t="shared" si="1"/>
        <v>2.7078043489472986E-2</v>
      </c>
    </row>
    <row r="38" spans="1:7" x14ac:dyDescent="0.45">
      <c r="A38">
        <v>27</v>
      </c>
      <c r="B38" s="6" t="n">
        <v>84832.0834663148</v>
      </c>
      <c r="C38" s="9">
        <f t="shared" si="0"/>
        <v>1.4418973404381807E-2</v>
      </c>
      <c r="E38" s="217">
        <v>27</v>
      </c>
      <c r="F38" s="307" t="n">
        <v>159149.0</v>
      </c>
      <c r="G38" s="9">
        <f t="shared" si="1"/>
        <v>2.4625923091960471E-2</v>
      </c>
    </row>
    <row r="39" spans="1:7" x14ac:dyDescent="0.45">
      <c r="A39">
        <v>28</v>
      </c>
      <c r="B39" s="6" t="n">
        <v>132759.6901069341</v>
      </c>
      <c r="C39" s="9">
        <f t="shared" si="0"/>
        <v>2.2565264963531978E-2</v>
      </c>
      <c r="E39" s="218">
        <v>28</v>
      </c>
      <c r="F39" s="308" t="n">
        <v>121883.0</v>
      </c>
      <c r="G39" s="9">
        <f t="shared" si="1"/>
        <v>2.1831427617848589E-2</v>
      </c>
    </row>
    <row r="40" spans="1:7" x14ac:dyDescent="0.45">
      <c r="A40">
        <v>29</v>
      </c>
      <c r="B40" s="6" t="n">
        <v>117688.8388841047</v>
      </c>
      <c r="C40" s="9">
        <f t="shared" si="0"/>
        <v>2.0003660979708328E-2</v>
      </c>
      <c r="E40" s="219">
        <v>29</v>
      </c>
      <c r="F40" s="309" t="n">
        <v>121683.0</v>
      </c>
      <c r="G40" s="9">
        <f t="shared" si="1"/>
        <v>1.6364399952406104E-2</v>
      </c>
    </row>
    <row r="41" spans="1:7" x14ac:dyDescent="0.45">
      <c r="A41">
        <v>30</v>
      </c>
      <c r="B41" s="6" t="n">
        <v>86943.2568448416</v>
      </c>
      <c r="C41" s="9">
        <f t="shared" si="0"/>
        <v>1.4777811140685954E-2</v>
      </c>
      <c r="E41" s="220">
        <v>30</v>
      </c>
      <c r="F41" s="310" t="n">
        <v>115299.0</v>
      </c>
      <c r="G41" s="9">
        <f t="shared" si="1"/>
        <v>1.8626364229078398E-2</v>
      </c>
    </row>
    <row r="42" spans="1:7" x14ac:dyDescent="0.45">
      <c r="A42">
        <v>31</v>
      </c>
      <c r="B42" s="6" t="n">
        <v>65767.8887714418</v>
      </c>
      <c r="C42" s="9">
        <f t="shared" si="0"/>
        <v>1.1178617809549781E-2</v>
      </c>
      <c r="E42" s="221">
        <v>31</v>
      </c>
      <c r="F42" s="311" t="n">
        <v>103923.0</v>
      </c>
      <c r="G42" s="9">
        <f t="shared" si="1"/>
        <v>1.6437138979668971E-2</v>
      </c>
    </row>
    <row r="43" spans="1:7" x14ac:dyDescent="0.45">
      <c r="A43">
        <v>32</v>
      </c>
      <c r="B43" s="6" t="n">
        <v>69007.8382609941</v>
      </c>
      <c r="C43" s="9">
        <f t="shared" si="0"/>
        <v>1.1729314475392553E-2</v>
      </c>
      <c r="E43" s="222">
        <v>32</v>
      </c>
      <c r="F43" s="312" t="n">
        <v>73906.0</v>
      </c>
      <c r="G43" s="9">
        <f t="shared" si="1"/>
        <v>1.118409573710109E-2</v>
      </c>
    </row>
    <row r="44" spans="1:7" x14ac:dyDescent="0.45">
      <c r="A44">
        <v>33</v>
      </c>
      <c r="B44" s="6" t="n">
        <v>61401.7830686139</v>
      </c>
      <c r="C44" s="9">
        <f t="shared" si="0"/>
        <v>1.0436507520170961E-2</v>
      </c>
      <c r="E44" s="223">
        <v>33</v>
      </c>
      <c r="F44" s="313" t="n">
        <v>110854.0</v>
      </c>
      <c r="G44" s="9">
        <f t="shared" si="1"/>
        <v>1.9046965113014343E-2</v>
      </c>
    </row>
    <row r="45" spans="1:7" x14ac:dyDescent="0.45">
      <c r="A45">
        <v>34</v>
      </c>
      <c r="B45" s="6" t="n">
        <v>107127.6648405543</v>
      </c>
      <c r="C45" s="9">
        <f t="shared" si="0"/>
        <v>1.8208570237731338E-2</v>
      </c>
      <c r="E45" s="224">
        <v>34</v>
      </c>
      <c r="F45" s="314" t="n">
        <v>94281.0</v>
      </c>
      <c r="G45" s="9">
        <f t="shared" si="1"/>
        <v>1.6380703527482263E-2</v>
      </c>
    </row>
    <row r="46" spans="1:7" x14ac:dyDescent="0.45">
      <c r="A46">
        <v>35</v>
      </c>
      <c r="B46" s="6" t="n">
        <v>46622.0878015611</v>
      </c>
      <c r="C46" s="9">
        <f t="shared" si="0"/>
        <v>7.9243915344174923E-3</v>
      </c>
      <c r="E46" s="225">
        <v>35</v>
      </c>
      <c r="F46" s="315" t="n">
        <v>78834.0</v>
      </c>
      <c r="G46" s="9">
        <f t="shared" si="1"/>
        <v>9.8102060066446468E-3</v>
      </c>
    </row>
    <row r="47" spans="1:7" x14ac:dyDescent="0.45">
      <c r="A47">
        <v>36</v>
      </c>
      <c r="B47" s="6" t="n">
        <v>66157.0202221237</v>
      </c>
      <c r="C47" s="9">
        <f t="shared" si="0"/>
        <v>1.1244758776609949E-2</v>
      </c>
      <c r="E47" s="226">
        <v>36</v>
      </c>
      <c r="F47" s="316" t="n">
        <v>49198.0</v>
      </c>
      <c r="G47" s="9">
        <f t="shared" si="1"/>
        <v>9.7479702440943037E-3</v>
      </c>
    </row>
    <row r="48" spans="1:7" x14ac:dyDescent="0.45">
      <c r="A48">
        <v>37</v>
      </c>
      <c r="B48" s="6" t="n">
        <v>81079.7816609964</v>
      </c>
      <c r="C48" s="9">
        <f t="shared" si="0"/>
        <v>1.3781191827820819E-2</v>
      </c>
      <c r="E48" s="227">
        <v>37</v>
      </c>
      <c r="F48" s="317" t="n">
        <v>44800.0</v>
      </c>
      <c r="G48" s="9">
        <f t="shared" si="1"/>
        <v>7.9125639268665515E-3</v>
      </c>
    </row>
    <row r="49" spans="1:7" x14ac:dyDescent="0.45">
      <c r="A49">
        <v>38</v>
      </c>
      <c r="B49" s="6" t="n">
        <v>93974.882278439</v>
      </c>
      <c r="C49" s="9">
        <f t="shared" si="0"/>
        <v>1.5972981835236624E-2</v>
      </c>
      <c r="E49" s="228">
        <v>38</v>
      </c>
      <c r="F49" s="318" t="n">
        <v>47725.0</v>
      </c>
      <c r="G49" s="9">
        <f t="shared" si="1"/>
        <v>6.6932446293437075E-3</v>
      </c>
    </row>
    <row r="50" spans="1:7" x14ac:dyDescent="0.45">
      <c r="A50">
        <v>39</v>
      </c>
      <c r="B50" s="6" t="n">
        <v>30105.5066404392</v>
      </c>
      <c r="C50" s="9">
        <f t="shared" si="0"/>
        <v>5.1170557392510793E-3</v>
      </c>
      <c r="E50" s="229">
        <v>39</v>
      </c>
      <c r="F50" s="319" t="n">
        <v>47491.0</v>
      </c>
      <c r="G50" s="9">
        <f t="shared" si="1"/>
        <v>7.7727294175594834E-3</v>
      </c>
    </row>
    <row r="51" spans="1:7" x14ac:dyDescent="0.45">
      <c r="A51">
        <v>40</v>
      </c>
      <c r="B51" s="6" t="n">
        <v>49804.4635479382</v>
      </c>
      <c r="C51" s="9">
        <f t="shared" si="0"/>
        <v>8.4653023475767808E-3</v>
      </c>
      <c r="E51" s="230">
        <v>40</v>
      </c>
      <c r="F51" s="320" t="n">
        <v>39475.0</v>
      </c>
      <c r="G51" s="9">
        <f t="shared" si="1"/>
        <v>5.8183383553047519E-3</v>
      </c>
    </row>
    <row r="52" spans="1:7" x14ac:dyDescent="0.45">
      <c r="A52">
        <v>41</v>
      </c>
      <c r="B52" s="6" t="n">
        <v>31554.7260872384</v>
      </c>
      <c r="C52" s="9">
        <f t="shared" si="0"/>
        <v>5.3633806649946289E-3</v>
      </c>
      <c r="E52" s="231">
        <v>41</v>
      </c>
      <c r="F52" s="321" t="n">
        <v>51592.0</v>
      </c>
      <c r="G52" s="9">
        <f t="shared" si="1"/>
        <v>7.0036396163706081E-3</v>
      </c>
    </row>
    <row r="53" spans="1:7" x14ac:dyDescent="0.45">
      <c r="A53">
        <v>42</v>
      </c>
      <c r="B53" s="6" t="n">
        <v>25595.9084648498</v>
      </c>
      <c r="C53" s="9">
        <f t="shared" si="0"/>
        <v>4.3505559257213085E-3</v>
      </c>
      <c r="E53" s="232">
        <v>42</v>
      </c>
      <c r="F53" s="322" t="n">
        <v>33450.0</v>
      </c>
      <c r="G53" s="9">
        <f t="shared" si="1"/>
        <v>5.7228683820222358E-3</v>
      </c>
    </row>
    <row r="54" spans="1:7" x14ac:dyDescent="0.45">
      <c r="A54">
        <v>43</v>
      </c>
      <c r="B54" s="6" t="n">
        <v>20508.4451423708</v>
      </c>
      <c r="C54" s="9">
        <f t="shared" si="0"/>
        <v>3.4858359360051432E-3</v>
      </c>
      <c r="E54" s="233">
        <v>43</v>
      </c>
      <c r="F54" s="323" t="n">
        <v>31388.0</v>
      </c>
      <c r="G54" s="9">
        <f t="shared" si="1"/>
        <v>5.4317555078257944E-3</v>
      </c>
    </row>
    <row r="55" spans="1:7" x14ac:dyDescent="0.45">
      <c r="A55">
        <v>44</v>
      </c>
      <c r="B55" s="6" t="n">
        <v>17426.8626140231</v>
      </c>
      <c r="C55" s="9">
        <f t="shared" si="0"/>
        <v>2.9620570223669231E-3</v>
      </c>
      <c r="E55" s="234">
        <v>44</v>
      </c>
      <c r="F55" s="324" t="n">
        <v>25445.0</v>
      </c>
      <c r="G55" s="9">
        <f t="shared" si="1"/>
        <v>4.5778557632118917E-3</v>
      </c>
    </row>
    <row r="56" spans="1:7" x14ac:dyDescent="0.45">
      <c r="A56">
        <v>45</v>
      </c>
      <c r="B56" s="6" t="n">
        <v>234208.0230709163</v>
      </c>
      <c r="C56" s="9">
        <f t="shared" si="0"/>
        <v>3.9808514865644448E-2</v>
      </c>
      <c r="E56" s="235">
        <v>45</v>
      </c>
      <c r="F56" s="325" t="n">
        <v>29557.0</v>
      </c>
      <c r="G56" s="9">
        <f t="shared" si="1"/>
        <v>3.9366863203128908E-3</v>
      </c>
    </row>
    <row r="57" spans="1:7" x14ac:dyDescent="0.45">
      <c r="A57">
        <v>46</v>
      </c>
      <c r="B57" s="6" t="n">
        <v>23757.9870365377</v>
      </c>
      <c r="C57" s="9">
        <f t="shared" si="0"/>
        <v>4.038163030117151E-3</v>
      </c>
      <c r="E57" s="236">
        <v>46</v>
      </c>
      <c r="F57" s="326" t="n">
        <v>23224.0</v>
      </c>
      <c r="G57" s="9">
        <f t="shared" si="1"/>
        <v>4.665957774681144E-3</v>
      </c>
    </row>
    <row r="58" spans="1:7" x14ac:dyDescent="0.45">
      <c r="A58">
        <v>47</v>
      </c>
      <c r="B58" s="6" t="n">
        <v>24601.2392316939</v>
      </c>
      <c r="C58" s="9">
        <f t="shared" si="0"/>
        <v>4.1814912436694196E-3</v>
      </c>
      <c r="E58" s="237">
        <v>47</v>
      </c>
      <c r="F58" s="327" t="n">
        <v>19585.0</v>
      </c>
      <c r="G58" s="9">
        <f t="shared" si="1"/>
        <v>3.6375784237233323E-3</v>
      </c>
    </row>
    <row r="59" spans="1:7" x14ac:dyDescent="0.45">
      <c r="A59">
        <v>48</v>
      </c>
      <c r="B59" s="6" t="n">
        <v>31518.40085416</v>
      </c>
      <c r="C59" s="9">
        <f t="shared" si="0"/>
        <v>5.3572064376473374E-3</v>
      </c>
      <c r="E59" s="238">
        <v>48</v>
      </c>
      <c r="F59" s="328" t="n">
        <v>22330.0</v>
      </c>
      <c r="G59" s="9">
        <f t="shared" si="1"/>
        <v>3.1547417772370425E-3</v>
      </c>
    </row>
    <row r="60" spans="1:7" x14ac:dyDescent="0.45">
      <c r="A60">
        <v>49</v>
      </c>
      <c r="B60" s="6" t="n">
        <v>18363.1980915131</v>
      </c>
      <c r="C60" s="9">
        <f t="shared" si="0"/>
        <v>3.1212066718373198E-3</v>
      </c>
      <c r="E60" s="239">
        <v>49</v>
      </c>
      <c r="F60" s="329" t="n">
        <v>20519.0</v>
      </c>
      <c r="G60" s="9">
        <f t="shared" si="1"/>
        <v>3.0874895300478807E-3</v>
      </c>
    </row>
    <row r="61" spans="1:7" x14ac:dyDescent="0.45">
      <c r="A61">
        <v>50</v>
      </c>
      <c r="B61" s="6" t="n">
        <v>9833.6988481801</v>
      </c>
      <c r="C61" s="9">
        <f t="shared" si="0"/>
        <v>1.6714412326665502E-3</v>
      </c>
      <c r="E61" s="240">
        <v>50</v>
      </c>
      <c r="F61" s="330" t="n">
        <v>22912.0</v>
      </c>
      <c r="G61" s="9">
        <f t="shared" si="1"/>
        <v>3.3756238664900237E-3</v>
      </c>
    </row>
    <row r="62" spans="1:7" x14ac:dyDescent="0.45">
      <c r="A62">
        <v>51</v>
      </c>
      <c r="B62" s="6" t="n">
        <v>22786.4690392695</v>
      </c>
      <c r="C62" s="9">
        <f t="shared" si="0"/>
        <v>3.8730333811435899E-3</v>
      </c>
      <c r="E62" s="241">
        <v>51</v>
      </c>
      <c r="F62" s="331" t="n">
        <v>15985.0</v>
      </c>
      <c r="G62" s="9">
        <f t="shared" si="1"/>
        <v>2.6399250411782843E-3</v>
      </c>
    </row>
    <row r="63" spans="1:7" x14ac:dyDescent="0.45">
      <c r="A63">
        <v>52</v>
      </c>
      <c r="B63" s="6" t="n">
        <v>20446.112975134398</v>
      </c>
      <c r="C63" s="9">
        <f t="shared" si="0"/>
        <v>3.4752412903841139E-3</v>
      </c>
      <c r="E63" s="242">
        <v>52</v>
      </c>
      <c r="F63" s="332" t="n">
        <v>16169.0</v>
      </c>
      <c r="G63" s="9">
        <f t="shared" si="1"/>
        <v>2.4819057750554989E-3</v>
      </c>
    </row>
    <row r="64" spans="1:7" x14ac:dyDescent="0.45">
      <c r="A64">
        <v>53</v>
      </c>
      <c r="B64" s="6" t="n">
        <v>2353.1339614491</v>
      </c>
      <c r="C64" s="9">
        <f t="shared" si="0"/>
        <v>3.9996395963273784E-4</v>
      </c>
      <c r="E64" s="243">
        <v>53</v>
      </c>
      <c r="F64" s="333" t="n">
        <v>14316.0</v>
      </c>
      <c r="G64" s="9">
        <f t="shared" si="1"/>
        <v>2.1177403433062614E-3</v>
      </c>
    </row>
    <row r="65" spans="1:7" x14ac:dyDescent="0.45">
      <c r="A65">
        <v>54</v>
      </c>
      <c r="B65" s="6" t="n">
        <v>38811.9705766629</v>
      </c>
      <c r="C65" s="9">
        <f t="shared" si="0"/>
        <v>6.5969000011507377E-3</v>
      </c>
      <c r="E65" s="244">
        <v>54</v>
      </c>
      <c r="F65" s="334" t="n">
        <v>12640.0</v>
      </c>
      <c r="G65" s="9">
        <f t="shared" si="1"/>
        <v>2.2072532410801807E-3</v>
      </c>
    </row>
    <row r="66" spans="1:7" x14ac:dyDescent="0.45">
      <c r="A66">
        <v>55</v>
      </c>
      <c r="B66" s="6" t="n">
        <v>3407.1738624967</v>
      </c>
      <c r="C66" s="9">
        <f t="shared" si="0"/>
        <v>5.7911991902158725E-4</v>
      </c>
      <c r="E66" s="245">
        <v>55</v>
      </c>
      <c r="F66" s="335" t="n">
        <v>13224.0</v>
      </c>
      <c r="G66" s="9">
        <f t="shared" si="1"/>
        <v>1.9656781526920732E-3</v>
      </c>
    </row>
    <row r="67" spans="1:7" x14ac:dyDescent="0.45">
      <c r="A67">
        <v>56</v>
      </c>
      <c r="B67" s="6" t="n">
        <v>8306.3735064256</v>
      </c>
      <c r="C67" s="9">
        <f t="shared" si="0"/>
        <v>1.4118405888683674E-3</v>
      </c>
      <c r="E67" s="246">
        <v>56</v>
      </c>
      <c r="F67" s="336" t="n">
        <v>11330.0</v>
      </c>
      <c r="G67" s="9">
        <f t="shared" si="1"/>
        <v>1.9293086390606382E-3</v>
      </c>
    </row>
    <row r="68" spans="1:7" x14ac:dyDescent="0.45">
      <c r="A68">
        <v>57</v>
      </c>
      <c r="B68" s="6" t="n">
        <v>4576.546393783</v>
      </c>
      <c r="C68" s="9">
        <f t="shared" si="0"/>
        <v>7.7787905282415421E-4</v>
      </c>
      <c r="E68" s="247">
        <v>57</v>
      </c>
      <c r="F68" s="337" t="n">
        <v>10492.0</v>
      </c>
      <c r="G68" s="9">
        <f t="shared" si="1"/>
        <v>1.5621646695571025E-3</v>
      </c>
    </row>
    <row r="69" spans="1:7" x14ac:dyDescent="0.45">
      <c r="A69">
        <v>58</v>
      </c>
      <c r="B69" s="6" t="n">
        <v>15517.8674723471</v>
      </c>
      <c r="C69" s="9">
        <f t="shared" si="0"/>
        <v>2.6375836739332462E-3</v>
      </c>
      <c r="E69" s="248">
        <v>58</v>
      </c>
      <c r="F69" s="338" t="n">
        <v>10017.0</v>
      </c>
      <c r="G69" s="9">
        <f t="shared" si="1"/>
        <v>1.8007612201909116E-3</v>
      </c>
    </row>
    <row r="70" spans="1:7" x14ac:dyDescent="0.45">
      <c r="A70">
        <v>59</v>
      </c>
      <c r="B70" s="6" t="n">
        <v>18685.0195483197</v>
      </c>
      <c r="C70" s="9">
        <f t="shared" si="0"/>
        <v>3.1759069083167925E-3</v>
      </c>
      <c r="E70" s="249">
        <v>59</v>
      </c>
      <c r="F70" s="339" t="n">
        <v>8526.0</v>
      </c>
      <c r="G70" s="9">
        <f t="shared" si="1"/>
        <v>1.538179602377751E-3</v>
      </c>
    </row>
    <row r="71" spans="1:7" x14ac:dyDescent="0.45">
      <c r="A71">
        <v>60</v>
      </c>
      <c r="B71" s="6" t="n">
        <v>25859.931172548</v>
      </c>
      <c r="C71" s="9">
        <f t="shared" si="0"/>
        <v>4.3954320650886137E-3</v>
      </c>
      <c r="E71" s="250">
        <v>60</v>
      </c>
      <c r="F71" s="340" t="n">
        <v>14390.0</v>
      </c>
      <c r="G71" s="9">
        <f t="shared" si="1"/>
        <v>1.3575861553802816E-3</v>
      </c>
    </row>
    <row r="72" spans="1:7" x14ac:dyDescent="0.45">
      <c r="A72">
        <v>61</v>
      </c>
      <c r="B72" s="6" t="n">
        <v>27551.548556353</v>
      </c>
      <c r="C72" s="9">
        <f t="shared" si="0"/>
        <v>4.682957551565196E-3</v>
      </c>
      <c r="E72" s="251">
        <v>61</v>
      </c>
      <c r="F72" s="341" t="n">
        <v>7146.0</v>
      </c>
      <c r="G72" s="9">
        <f t="shared" si="1"/>
        <v>1.2581970534736883E-3</v>
      </c>
    </row>
    <row r="73" spans="1:7" x14ac:dyDescent="0.45">
      <c r="A73">
        <v>62</v>
      </c>
      <c r="B73" s="6" t="n">
        <v>5269.881621041</v>
      </c>
      <c r="C73" s="9">
        <f t="shared" si="0"/>
        <v>8.9572576592679551E-4</v>
      </c>
      <c r="E73" s="252">
        <v>62</v>
      </c>
      <c r="F73" s="342" t="n">
        <v>6128.0</v>
      </c>
      <c r="G73" s="9">
        <f t="shared" si="1"/>
        <v>1.1357634752575221E-3</v>
      </c>
    </row>
    <row r="74" spans="1:7" x14ac:dyDescent="0.45">
      <c r="A74">
        <v>63</v>
      </c>
      <c r="B74" s="6" t="n">
        <v>2698.5191981036</v>
      </c>
      <c r="C74" s="9">
        <f t="shared" si="0"/>
        <v>4.586693495995522E-4</v>
      </c>
      <c r="E74" s="253">
        <v>63</v>
      </c>
      <c r="F74" s="343" t="n">
        <v>5960.0</v>
      </c>
      <c r="G74" s="9">
        <f t="shared" si="1"/>
        <v>1.0087837078374263E-3</v>
      </c>
    </row>
    <row r="75" spans="1:7" x14ac:dyDescent="0.45">
      <c r="A75">
        <v>64</v>
      </c>
      <c r="B75" s="6" t="n">
        <v>5911.163037777</v>
      </c>
      <c r="C75" s="9">
        <f t="shared" si="0"/>
        <v>1.004724853474991E-3</v>
      </c>
      <c r="E75" s="254">
        <v>64</v>
      </c>
      <c r="F75" s="344" t="n">
        <v>5982.0</v>
      </c>
      <c r="G75" s="9">
        <f t="shared" si="1"/>
        <v>9.8840423899222577E-4</v>
      </c>
    </row>
    <row r="76" spans="1:7" x14ac:dyDescent="0.45">
      <c r="A76">
        <v>65</v>
      </c>
      <c r="B76" s="6" t="n">
        <v>6358.2571598738</v>
      </c>
      <c r="C76" s="9">
        <f t="shared" si="0"/>
        <v>1.0807177796457721E-3</v>
      </c>
      <c r="E76" s="255">
        <v>65</v>
      </c>
      <c r="F76" s="345" t="n">
        <v>5357.0</v>
      </c>
      <c r="G76" s="9">
        <f t="shared" si="1"/>
        <v>8.780415769382168E-4</v>
      </c>
    </row>
    <row r="77" spans="1:7" x14ac:dyDescent="0.45">
      <c r="A77">
        <v>66</v>
      </c>
      <c r="B77" s="6" t="n">
        <v>7571.365467162</v>
      </c>
      <c r="C77" s="9">
        <f t="shared" ref="C77:C102" si="2">B77/B$102</f>
        <v>1.2869107163826002E-3</v>
      </c>
      <c r="E77" s="256">
        <v>66</v>
      </c>
      <c r="F77" s="346" t="n">
        <v>5672.0</v>
      </c>
      <c r="G77" s="9">
        <f t="shared" ref="G77:G102" si="3">F77/F$102</f>
        <v>1.0796415533607391E-3</v>
      </c>
    </row>
    <row r="78" spans="1:7" x14ac:dyDescent="0.45">
      <c r="A78">
        <v>67</v>
      </c>
      <c r="B78" s="6" t="n">
        <v>13229.806233146</v>
      </c>
      <c r="C78" s="9">
        <f t="shared" si="2"/>
        <v>2.2486801741301581E-3</v>
      </c>
      <c r="E78" s="257">
        <v>67</v>
      </c>
      <c r="F78" s="347" t="n">
        <v>6166.0</v>
      </c>
      <c r="G78" s="9">
        <f t="shared" si="3"/>
        <v>9.0265370469742054E-4</v>
      </c>
    </row>
    <row r="79" spans="1:7" x14ac:dyDescent="0.45">
      <c r="A79">
        <v>68</v>
      </c>
      <c r="B79" s="6" t="n">
        <v>1444.023518146</v>
      </c>
      <c r="C79" s="9">
        <f t="shared" si="2"/>
        <v>2.4544176981951385E-4</v>
      </c>
      <c r="E79" s="258">
        <v>68</v>
      </c>
      <c r="F79" s="348" t="n">
        <v>5307.0</v>
      </c>
      <c r="G79" s="9">
        <f t="shared" si="3"/>
        <v>8.4292618446648671E-4</v>
      </c>
    </row>
    <row r="80" spans="1:7" x14ac:dyDescent="0.45">
      <c r="A80">
        <v>69</v>
      </c>
      <c r="B80" s="6" t="n">
        <v>9242.7549155323</v>
      </c>
      <c r="C80" s="9">
        <f t="shared" si="2"/>
        <v>1.5709980453704033E-3</v>
      </c>
      <c r="E80" s="259">
        <v>69</v>
      </c>
      <c r="F80" s="349" t="n">
        <v>6950.0</v>
      </c>
      <c r="G80" s="9">
        <f t="shared" si="3"/>
        <v>7.0497285689897539E-4</v>
      </c>
    </row>
    <row r="81" spans="1:7" x14ac:dyDescent="0.45">
      <c r="A81">
        <v>70</v>
      </c>
      <c r="B81" s="6" t="n">
        <v>8123.2133185824</v>
      </c>
      <c r="C81" s="9">
        <f t="shared" si="2"/>
        <v>1.3807087131753536E-3</v>
      </c>
      <c r="E81" s="260">
        <v>70</v>
      </c>
      <c r="F81" s="350" t="n">
        <v>4211.0</v>
      </c>
      <c r="G81" s="9">
        <f t="shared" si="3"/>
        <v>7.3961795393581622E-4</v>
      </c>
    </row>
    <row r="82" spans="1:7" x14ac:dyDescent="0.45">
      <c r="A82">
        <v>71</v>
      </c>
      <c r="B82" s="6" t="n">
        <v>6545.5658596602</v>
      </c>
      <c r="C82" s="9">
        <f t="shared" si="2"/>
        <v>1.1125547810522253E-3</v>
      </c>
      <c r="E82" s="261">
        <v>71</v>
      </c>
      <c r="F82" s="351" t="n">
        <v>4558.0</v>
      </c>
      <c r="G82" s="9">
        <f t="shared" si="3"/>
        <v>7.2974174980314221E-4</v>
      </c>
    </row>
    <row r="83" spans="1:7" x14ac:dyDescent="0.45">
      <c r="A83">
        <v>72</v>
      </c>
      <c r="B83" s="6" t="n">
        <v>44741.4452130761</v>
      </c>
      <c r="C83" s="9">
        <f t="shared" si="2"/>
        <v>7.6047372908991107E-3</v>
      </c>
      <c r="E83" s="262">
        <v>72</v>
      </c>
      <c r="F83" s="352" t="n">
        <v>4912.0</v>
      </c>
      <c r="G83" s="9">
        <f t="shared" si="3"/>
        <v>7.6752214973924474E-4</v>
      </c>
    </row>
    <row r="84" spans="1:7" x14ac:dyDescent="0.45">
      <c r="A84">
        <v>73</v>
      </c>
      <c r="B84" s="6" t="n">
        <v>3851.127302794</v>
      </c>
      <c r="C84" s="9">
        <f t="shared" si="2"/>
        <v>6.5457902113090223E-4</v>
      </c>
      <c r="E84" s="263">
        <v>73</v>
      </c>
      <c r="F84" s="353" t="n">
        <v>3273.0</v>
      </c>
      <c r="G84" s="9">
        <f t="shared" si="3"/>
        <v>5.6153274925775621E-4</v>
      </c>
    </row>
    <row r="85" spans="1:7" x14ac:dyDescent="0.45">
      <c r="A85">
        <v>74</v>
      </c>
      <c r="B85" s="6" t="n">
        <v>11507.2270041624</v>
      </c>
      <c r="C85" s="9">
        <f t="shared" si="2"/>
        <v>1.9558920794051512E-3</v>
      </c>
      <c r="E85" s="264">
        <v>74</v>
      </c>
      <c r="F85" s="354" t="n">
        <v>2986.0</v>
      </c>
      <c r="G85" s="9">
        <f t="shared" si="3"/>
        <v>4.9851316098259771E-4</v>
      </c>
    </row>
    <row r="86" spans="1:7" x14ac:dyDescent="0.45">
      <c r="A86">
        <v>75</v>
      </c>
      <c r="B86" s="6" t="n">
        <v>9615.6426573921</v>
      </c>
      <c r="C86" s="9">
        <f t="shared" si="2"/>
        <v>1.6343780569533018E-3</v>
      </c>
      <c r="E86" s="265">
        <v>75</v>
      </c>
      <c r="F86" s="355" t="n">
        <v>2896.0</v>
      </c>
      <c r="G86" s="9">
        <f t="shared" si="3"/>
        <v>4.6543571539538756E-4</v>
      </c>
    </row>
    <row r="87" spans="1:7" x14ac:dyDescent="0.45">
      <c r="A87">
        <v>76</v>
      </c>
      <c r="B87" s="6" t="n">
        <v>17322.019147213</v>
      </c>
      <c r="C87" s="9">
        <f t="shared" si="2"/>
        <v>2.9442366989964816E-3</v>
      </c>
      <c r="E87" s="266">
        <v>76</v>
      </c>
      <c r="F87" s="356" t="n">
        <v>2774.0</v>
      </c>
      <c r="G87" s="9">
        <f t="shared" si="3"/>
        <v>4.2734178516935887E-4</v>
      </c>
    </row>
    <row r="88" spans="1:7" x14ac:dyDescent="0.45">
      <c r="A88">
        <v>77</v>
      </c>
      <c r="B88" s="6" t="n">
        <v>3761.1715561875</v>
      </c>
      <c r="C88" s="9">
        <f t="shared" si="2"/>
        <v>6.3928917482640262E-4</v>
      </c>
      <c r="E88" s="267">
        <v>77</v>
      </c>
      <c r="F88" s="357" t="n">
        <v>2517.0</v>
      </c>
      <c r="G88" s="9">
        <f t="shared" si="3"/>
        <v>3.9065874124799793E-4</v>
      </c>
    </row>
    <row r="89" spans="1:7" x14ac:dyDescent="0.45">
      <c r="A89">
        <v>78</v>
      </c>
      <c r="B89" s="6" t="n">
        <v>1208.3615056104</v>
      </c>
      <c r="C89" s="9">
        <f t="shared" si="2"/>
        <v>2.0538611926457741E-4</v>
      </c>
      <c r="E89" s="268">
        <v>78</v>
      </c>
      <c r="F89" s="358" t="n">
        <v>3045.0</v>
      </c>
      <c r="G89" s="9">
        <f t="shared" si="3"/>
        <v>4.690413137295384E-4</v>
      </c>
    </row>
    <row r="90" spans="1:7" x14ac:dyDescent="0.45">
      <c r="A90">
        <v>79</v>
      </c>
      <c r="B90" s="6" t="n">
        <v>2981.6171355287</v>
      </c>
      <c r="C90" s="9">
        <f t="shared" si="2"/>
        <v>5.0678772019443141E-4</v>
      </c>
      <c r="E90" s="269">
        <v>79</v>
      </c>
      <c r="F90" s="359" t="n">
        <v>2121.0</v>
      </c>
      <c r="G90" s="9">
        <f t="shared" si="3"/>
        <v>4.0523789972956442E-4</v>
      </c>
    </row>
    <row r="91" spans="1:7" x14ac:dyDescent="0.45">
      <c r="A91">
        <v>80</v>
      </c>
      <c r="B91" s="6" t="n">
        <v>35198.386924146704</v>
      </c>
      <c r="C91" s="9">
        <f t="shared" si="2"/>
        <v>5.9826964539653211E-3</v>
      </c>
      <c r="E91" s="270">
        <v>80</v>
      </c>
      <c r="F91" s="360" t="n">
        <v>2013.0</v>
      </c>
      <c r="G91" s="9">
        <f t="shared" si="3"/>
        <v>3.4127772058462741E-4</v>
      </c>
    </row>
    <row r="92" spans="1:7" x14ac:dyDescent="0.45">
      <c r="A92">
        <v>81</v>
      </c>
      <c r="B92" s="6" t="n">
        <v>2632.678679736</v>
      </c>
      <c r="C92" s="9">
        <f t="shared" si="2"/>
        <v>4.4747838688259726E-4</v>
      </c>
      <c r="E92" s="271">
        <v>81</v>
      </c>
      <c r="F92" s="361" t="n">
        <v>1945.0</v>
      </c>
      <c r="G92" s="9">
        <f t="shared" si="3"/>
        <v>3.3516387993106722E-4</v>
      </c>
    </row>
    <row r="93" spans="1:7" x14ac:dyDescent="0.45">
      <c r="A93">
        <v>82</v>
      </c>
      <c r="B93" s="6" t="n">
        <v>9855.246057459</v>
      </c>
      <c r="C93" s="9">
        <f t="shared" si="2"/>
        <v>1.6751036281286926E-3</v>
      </c>
      <c r="E93" s="272">
        <v>82</v>
      </c>
      <c r="F93" s="362" t="n">
        <v>2971.0</v>
      </c>
      <c r="G93" s="9">
        <f t="shared" si="3"/>
        <v>3.2763915297283932E-4</v>
      </c>
    </row>
    <row r="94" spans="1:7" x14ac:dyDescent="0.45">
      <c r="A94">
        <v>83</v>
      </c>
      <c r="B94" s="6" t="n">
        <v>5837.9404788961</v>
      </c>
      <c r="C94" s="9">
        <f t="shared" si="2"/>
        <v>9.9227915974729047E-4</v>
      </c>
      <c r="E94" s="273">
        <v>83</v>
      </c>
      <c r="F94" s="363" t="n">
        <v>1859.0</v>
      </c>
      <c r="G94" s="9">
        <f t="shared" si="3"/>
        <v>3.1274646420134666E-4</v>
      </c>
    </row>
    <row r="95" spans="1:7" x14ac:dyDescent="0.45">
      <c r="A95">
        <v>84</v>
      </c>
      <c r="B95" s="6" t="n">
        <v>8223.5712677336</v>
      </c>
      <c r="C95" s="9">
        <f t="shared" si="2"/>
        <v>1.3977666297159048E-3</v>
      </c>
      <c r="E95" s="274">
        <v>84</v>
      </c>
      <c r="F95" s="364" t="n">
        <v>1850.0</v>
      </c>
      <c r="G95" s="9">
        <f t="shared" si="3"/>
        <v>3.1353028992616203E-4</v>
      </c>
    </row>
    <row r="96" spans="1:7" x14ac:dyDescent="0.45">
      <c r="A96">
        <v>85</v>
      </c>
      <c r="B96" s="6" t="n">
        <v>5006.9698036617</v>
      </c>
      <c r="C96" s="9">
        <f t="shared" si="2"/>
        <v>8.5103844542741027E-4</v>
      </c>
      <c r="E96" s="275">
        <v>85</v>
      </c>
      <c r="F96" s="365" t="n">
        <v>1738.0</v>
      </c>
      <c r="G96" s="9">
        <f t="shared" si="3"/>
        <v>2.9393464680577694E-4</v>
      </c>
    </row>
    <row r="97" spans="1:7" x14ac:dyDescent="0.45">
      <c r="A97">
        <v>86</v>
      </c>
      <c r="B97" s="6" t="n">
        <v>2867.0805968983</v>
      </c>
      <c r="C97" s="9">
        <f t="shared" si="2"/>
        <v>4.8731985807363998E-4</v>
      </c>
      <c r="E97" s="276">
        <v>86</v>
      </c>
      <c r="F97" s="366" t="n">
        <v>1482.0</v>
      </c>
      <c r="G97" s="9">
        <f t="shared" si="3"/>
        <v>2.6070043607360376E-4</v>
      </c>
    </row>
    <row r="98" spans="1:7" x14ac:dyDescent="0.45">
      <c r="A98">
        <v>87</v>
      </c>
      <c r="B98" s="6" t="n">
        <v>7103.3543771546</v>
      </c>
      <c r="C98" s="9">
        <f t="shared" si="2"/>
        <v>1.2073625173518404E-3</v>
      </c>
      <c r="E98" s="277">
        <v>87</v>
      </c>
      <c r="F98" s="367" t="n">
        <v>1381.0</v>
      </c>
      <c r="G98" s="9">
        <f t="shared" si="3"/>
        <v>2.4894305020137269E-4</v>
      </c>
    </row>
    <row r="99" spans="1:7" x14ac:dyDescent="0.45">
      <c r="A99">
        <v>88</v>
      </c>
      <c r="B99" s="6" t="n">
        <v>6611.2846627433</v>
      </c>
      <c r="C99" s="9">
        <f t="shared" si="2"/>
        <v>1.1237250557301931E-3</v>
      </c>
      <c r="E99" s="278">
        <v>88</v>
      </c>
      <c r="F99" s="368" t="n">
        <v>1658.0</v>
      </c>
      <c r="G99" s="9">
        <f t="shared" si="3"/>
        <v>2.5004040621611422E-4</v>
      </c>
    </row>
    <row r="100" spans="1:7" x14ac:dyDescent="0.45">
      <c r="A100">
        <v>89</v>
      </c>
      <c r="B100" s="6" t="n">
        <v>12051.0114977885</v>
      </c>
      <c r="C100" s="9">
        <f t="shared" si="2"/>
        <v>2.0483195411734739E-3</v>
      </c>
      <c r="E100" s="279">
        <v>89</v>
      </c>
      <c r="F100" s="369" t="n">
        <v>1277.0</v>
      </c>
      <c r="G100" s="9">
        <f t="shared" si="3"/>
        <v>2.1100588512030705E-4</v>
      </c>
    </row>
    <row r="101" spans="1:7" ht="14.65" thickBot="1" x14ac:dyDescent="0.5">
      <c r="A101" s="1">
        <v>90</v>
      </c>
      <c r="B101" s="7" t="n">
        <v>255275.5855974669</v>
      </c>
      <c r="C101" s="9">
        <f t="shared" si="2"/>
        <v>4.3389384406425043E-2</v>
      </c>
      <c r="E101" s="372">
        <v>90</v>
      </c>
      <c r="F101" s="372" t="n">
        <v>75079.0</v>
      </c>
      <c r="G101" s="9">
        <f t="shared" si="3"/>
        <v>1.2130173386953283E-2</v>
      </c>
    </row>
    <row r="102" spans="1:7" x14ac:dyDescent="0.45">
      <c r="B102" s="6">
        <f>SUM(B11:B101)</f>
        <v>5883365.0002111122</v>
      </c>
      <c r="C102" s="9">
        <f t="shared" si="2"/>
        <v>1</v>
      </c>
      <c r="F102" s="6">
        <f>SUM(F11:F101)</f>
        <v>6378969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98296.5465534797</v>
      </c>
      <c r="C11" s="9">
        <f>B11/B$102</f>
        <v>4.3350897587176453E-2</v>
      </c>
      <c r="E11" s="371">
        <v>0</v>
      </c>
      <c r="F11" s="371" t="n">
        <v>275963.0</v>
      </c>
      <c r="G11" s="9">
        <f>F11/F$102</f>
        <v>9.7955997697139668E-2</v>
      </c>
      <c r="K11" s="6" t="n">
        <v>10.388893204831918</v>
      </c>
      <c r="L11" s="6" t="n">
        <v>9.712360400152804</v>
      </c>
    </row>
    <row r="12" spans="1:12" x14ac:dyDescent="0.45">
      <c r="A12">
        <v>1</v>
      </c>
      <c r="B12" s="6" t="n">
        <v>92884.4539748665</v>
      </c>
      <c r="C12" s="9">
        <f>B12/B$102</f>
        <v>4.0964048004621383E-2</v>
      </c>
      <c r="E12" s="371">
        <v>1</v>
      </c>
      <c r="F12" s="371" t="n">
        <v>180489.0</v>
      </c>
      <c r="G12" s="9">
        <f>F12/F$102</f>
        <v>6.3918980927300292E-2</v>
      </c>
      <c r="K12" s="6"/>
      <c r="L12" s="371"/>
    </row>
    <row r="13" spans="1:12" x14ac:dyDescent="0.45">
      <c r="A13">
        <v>2</v>
      </c>
      <c r="B13" s="6" t="n">
        <v>77163.9047374588</v>
      </c>
      <c r="C13" s="9">
        <f t="shared" ref="C13:C76" si="0">B13/B$102</f>
        <v>3.4030946650605388E-2</v>
      </c>
      <c r="E13" s="371">
        <v>2</v>
      </c>
      <c r="F13" s="371" t="n">
        <v>129145.0</v>
      </c>
      <c r="G13" s="9">
        <f t="shared" ref="G13:G76" si="1">F13/F$102</f>
        <v>4.5228191228610187E-2</v>
      </c>
    </row>
    <row r="14" spans="1:12" x14ac:dyDescent="0.45">
      <c r="A14">
        <v>3</v>
      </c>
      <c r="B14" s="6" t="n">
        <v>138559.283781218</v>
      </c>
      <c r="C14" s="9">
        <f t="shared" si="0"/>
        <v>6.1107633294971188E-2</v>
      </c>
      <c r="E14" s="371">
        <v>3</v>
      </c>
      <c r="F14" s="371" t="n">
        <v>90007.0</v>
      </c>
      <c r="G14" s="9">
        <f t="shared" si="1"/>
        <v>3.1388228621589888E-2</v>
      </c>
    </row>
    <row r="15" spans="1:12" x14ac:dyDescent="0.45">
      <c r="A15">
        <v>4</v>
      </c>
      <c r="B15" s="6" t="n">
        <v>259895.0907012826</v>
      </c>
      <c r="C15" s="9">
        <f t="shared" si="0"/>
        <v>0.11461934173110985</v>
      </c>
      <c r="E15" s="371">
        <v>4</v>
      </c>
      <c r="F15" s="371" t="n">
        <v>284413.0</v>
      </c>
      <c r="G15" s="9">
        <f t="shared" si="1"/>
        <v>0.10111922432367729</v>
      </c>
    </row>
    <row r="16" spans="1:12" x14ac:dyDescent="0.45">
      <c r="A16">
        <v>5</v>
      </c>
      <c r="B16" s="6" t="n">
        <v>187494.5667675218</v>
      </c>
      <c r="C16" s="9">
        <f t="shared" si="0"/>
        <v>8.2689148775625249E-2</v>
      </c>
      <c r="E16" s="371">
        <v>5</v>
      </c>
      <c r="F16" s="371" t="n">
        <v>232348.0</v>
      </c>
      <c r="G16" s="9">
        <f t="shared" si="1"/>
        <v>8.3700992966015714E-2</v>
      </c>
    </row>
    <row r="17" spans="1:7" x14ac:dyDescent="0.45">
      <c r="A17">
        <v>6</v>
      </c>
      <c r="B17" s="6" t="n">
        <v>170117.2002851204</v>
      </c>
      <c r="C17" s="9">
        <f t="shared" si="0"/>
        <v>7.5025355273952654E-2</v>
      </c>
      <c r="E17" s="371">
        <v>6</v>
      </c>
      <c r="F17" s="371" t="n">
        <v>209817.0</v>
      </c>
      <c r="G17" s="9">
        <f t="shared" si="1"/>
        <v>7.3923455544535263E-2</v>
      </c>
    </row>
    <row r="18" spans="1:7" x14ac:dyDescent="0.45">
      <c r="A18">
        <v>7</v>
      </c>
      <c r="B18" s="6" t="n">
        <v>115674.7960320113</v>
      </c>
      <c r="C18" s="9">
        <f t="shared" si="0"/>
        <v>5.1015080509191402E-2</v>
      </c>
      <c r="E18" s="371">
        <v>7</v>
      </c>
      <c r="F18" s="371" t="n">
        <v>145142.0</v>
      </c>
      <c r="G18" s="9">
        <f t="shared" si="1"/>
        <v>5.2992863413021424E-2</v>
      </c>
    </row>
    <row r="19" spans="1:7" x14ac:dyDescent="0.45">
      <c r="A19">
        <v>8</v>
      </c>
      <c r="B19" s="6" t="n">
        <v>137490.15335657</v>
      </c>
      <c r="C19" s="9">
        <f t="shared" si="0"/>
        <v>6.0636123713288845E-2</v>
      </c>
      <c r="E19" s="371">
        <v>8</v>
      </c>
      <c r="F19" s="371" t="n">
        <v>154686.0</v>
      </c>
      <c r="G19" s="9">
        <f t="shared" si="1"/>
        <v>5.2476643638063314E-2</v>
      </c>
    </row>
    <row r="20" spans="1:7" x14ac:dyDescent="0.45">
      <c r="A20">
        <v>9</v>
      </c>
      <c r="B20" s="6" t="n">
        <v>86984.82988029301</v>
      </c>
      <c r="C20" s="9">
        <f t="shared" si="0"/>
        <v>3.8362186505982186E-2</v>
      </c>
      <c r="E20" s="371">
        <v>9</v>
      </c>
      <c r="F20" s="371" t="n">
        <v>99421.0</v>
      </c>
      <c r="G20" s="9">
        <f t="shared" si="1"/>
        <v>3.7744607658720661E-2</v>
      </c>
    </row>
    <row r="21" spans="1:7" x14ac:dyDescent="0.45">
      <c r="A21">
        <v>10</v>
      </c>
      <c r="B21" s="6" t="n">
        <v>127067.0036623775</v>
      </c>
      <c r="C21" s="9">
        <f t="shared" si="0"/>
        <v>5.6039289838937911E-2</v>
      </c>
      <c r="E21" s="371">
        <v>10</v>
      </c>
      <c r="F21" s="371" t="n">
        <v>98848.0</v>
      </c>
      <c r="G21" s="9">
        <f t="shared" si="1"/>
        <v>3.5168496414606065E-2</v>
      </c>
    </row>
    <row r="22" spans="1:7" x14ac:dyDescent="0.45">
      <c r="A22">
        <v>11</v>
      </c>
      <c r="B22" s="6" t="n">
        <v>71225.6347937431</v>
      </c>
      <c r="C22" s="9">
        <f t="shared" si="0"/>
        <v>3.1412041498785341E-2</v>
      </c>
      <c r="E22" s="371">
        <v>11</v>
      </c>
      <c r="F22" s="371" t="n">
        <v>83717.0</v>
      </c>
      <c r="G22" s="9">
        <f t="shared" si="1"/>
        <v>3.03739582977074E-2</v>
      </c>
    </row>
    <row r="23" spans="1:7" x14ac:dyDescent="0.45">
      <c r="A23">
        <v>12</v>
      </c>
      <c r="B23" s="6" t="n">
        <v>64215.6654059196</v>
      </c>
      <c r="C23" s="9">
        <f t="shared" si="0"/>
        <v>2.8320493772279569E-2</v>
      </c>
      <c r="E23" s="371">
        <v>12</v>
      </c>
      <c r="F23" s="371" t="n">
        <v>77469.0</v>
      </c>
      <c r="G23" s="9">
        <f t="shared" si="1"/>
        <v>2.6677411448179943E-2</v>
      </c>
    </row>
    <row r="24" spans="1:7" x14ac:dyDescent="0.45">
      <c r="A24">
        <v>13</v>
      </c>
      <c r="B24" s="6" t="n">
        <v>54347.4564745415</v>
      </c>
      <c r="C24" s="9">
        <f t="shared" si="0"/>
        <v>2.3968400746099006E-2</v>
      </c>
      <c r="E24" s="371">
        <v>13</v>
      </c>
      <c r="F24" s="371" t="n">
        <v>80986.0</v>
      </c>
      <c r="G24" s="9">
        <f t="shared" si="1"/>
        <v>3.1582389958616917E-2</v>
      </c>
    </row>
    <row r="25" spans="1:7" x14ac:dyDescent="0.45">
      <c r="A25">
        <v>14</v>
      </c>
      <c r="B25" s="6" t="n">
        <v>34582.6345875854</v>
      </c>
      <c r="C25" s="9">
        <f t="shared" si="0"/>
        <v>1.5251687906304068E-2</v>
      </c>
      <c r="E25" s="371">
        <v>14</v>
      </c>
      <c r="F25" s="371" t="n">
        <v>71901.0</v>
      </c>
      <c r="G25" s="9">
        <f t="shared" si="1"/>
        <v>2.3574036389753413E-2</v>
      </c>
    </row>
    <row r="26" spans="1:7" x14ac:dyDescent="0.45">
      <c r="A26">
        <v>15</v>
      </c>
      <c r="B26" s="6" t="n">
        <v>53821.8271244117</v>
      </c>
      <c r="C26" s="9">
        <f t="shared" si="0"/>
        <v>2.373658686325935E-2</v>
      </c>
      <c r="E26" s="371">
        <v>15</v>
      </c>
      <c r="F26" s="371" t="n">
        <v>63241.0</v>
      </c>
      <c r="G26" s="9">
        <f t="shared" si="1"/>
        <v>2.2393036697561475E-2</v>
      </c>
    </row>
    <row r="27" spans="1:7" x14ac:dyDescent="0.45">
      <c r="A27">
        <v>16</v>
      </c>
      <c r="B27" s="6" t="n">
        <v>59301.8653303014</v>
      </c>
      <c r="C27" s="9">
        <f t="shared" si="0"/>
        <v>2.6153401933238316E-2</v>
      </c>
      <c r="E27" s="371">
        <v>16</v>
      </c>
      <c r="F27" s="371" t="n">
        <v>74342.0</v>
      </c>
      <c r="G27" s="9">
        <f t="shared" si="1"/>
        <v>2.5084575965890307E-2</v>
      </c>
    </row>
    <row r="28" spans="1:7" x14ac:dyDescent="0.45">
      <c r="A28">
        <v>17</v>
      </c>
      <c r="B28" s="6" t="n">
        <v>47893.4631537863</v>
      </c>
      <c r="C28" s="9">
        <f t="shared" si="0"/>
        <v>2.1122050459274257E-2</v>
      </c>
      <c r="E28" s="371">
        <v>17</v>
      </c>
      <c r="F28" s="371" t="n">
        <v>43289.0</v>
      </c>
      <c r="G28" s="9">
        <f t="shared" si="1"/>
        <v>1.4305593556551182E-2</v>
      </c>
    </row>
    <row r="29" spans="1:7" x14ac:dyDescent="0.45">
      <c r="A29">
        <v>18</v>
      </c>
      <c r="B29" s="6" t="n">
        <v>57642.3111869992</v>
      </c>
      <c r="C29" s="9">
        <f t="shared" si="0"/>
        <v>2.5421502754384394E-2</v>
      </c>
      <c r="E29" s="371">
        <v>18</v>
      </c>
      <c r="F29" s="371" t="n">
        <v>44935.0</v>
      </c>
      <c r="G29" s="9">
        <f t="shared" si="1"/>
        <v>1.6556440028728754E-2</v>
      </c>
    </row>
    <row r="30" spans="1:7" x14ac:dyDescent="0.45">
      <c r="A30">
        <v>19</v>
      </c>
      <c r="B30" s="6" t="n">
        <v>33051.0305787079</v>
      </c>
      <c r="C30" s="9">
        <f t="shared" si="0"/>
        <v>1.4576217497007098E-2</v>
      </c>
      <c r="E30" s="371">
        <v>19</v>
      </c>
      <c r="F30" s="371" t="n">
        <v>43216.0</v>
      </c>
      <c r="G30" s="9">
        <f t="shared" si="1"/>
        <v>1.5226167675593101E-2</v>
      </c>
    </row>
    <row r="31" spans="1:7" x14ac:dyDescent="0.45">
      <c r="A31">
        <v>20</v>
      </c>
      <c r="B31" s="6" t="n">
        <v>30625.5526516688</v>
      </c>
      <c r="C31" s="9">
        <f t="shared" si="0"/>
        <v>1.3506529406207057E-2</v>
      </c>
      <c r="E31" s="371">
        <v>20</v>
      </c>
      <c r="F31" s="371" t="n">
        <v>34432.0</v>
      </c>
      <c r="G31" s="9">
        <f t="shared" si="1"/>
        <v>1.2955370680711835E-2</v>
      </c>
    </row>
    <row r="32" spans="1:7" x14ac:dyDescent="0.45">
      <c r="A32">
        <v>21</v>
      </c>
      <c r="B32" s="6" t="n">
        <v>28347.0719922193</v>
      </c>
      <c r="C32" s="9">
        <f t="shared" si="0"/>
        <v>1.2501670281594596E-2</v>
      </c>
      <c r="E32" s="371">
        <v>21</v>
      </c>
      <c r="F32" s="371" t="n">
        <v>29222.0</v>
      </c>
      <c r="G32" s="9">
        <f t="shared" si="1"/>
        <v>1.0725543509239942E-2</v>
      </c>
    </row>
    <row r="33" spans="1:7" x14ac:dyDescent="0.45">
      <c r="A33">
        <v>22</v>
      </c>
      <c r="B33" s="6" t="n">
        <v>24678.2618001255</v>
      </c>
      <c r="C33" s="9">
        <f t="shared" si="0"/>
        <v>1.0883645839426468E-2</v>
      </c>
      <c r="E33" s="371">
        <v>22</v>
      </c>
      <c r="F33" s="371" t="n">
        <v>27757.0</v>
      </c>
      <c r="G33" s="9">
        <f t="shared" si="1"/>
        <v>9.7639995667886496E-3</v>
      </c>
    </row>
    <row r="34" spans="1:7" x14ac:dyDescent="0.45">
      <c r="A34">
        <v>23</v>
      </c>
      <c r="B34" s="6" t="n">
        <v>23681.8794503649</v>
      </c>
      <c r="C34" s="9">
        <f t="shared" si="0"/>
        <v>1.0444219728167904E-2</v>
      </c>
      <c r="E34" s="371">
        <v>23</v>
      </c>
      <c r="F34" s="371" t="n">
        <v>26453.0</v>
      </c>
      <c r="G34" s="9">
        <f t="shared" si="1"/>
        <v>8.9894917746844959E-3</v>
      </c>
    </row>
    <row r="35" spans="1:7" x14ac:dyDescent="0.45">
      <c r="A35">
        <v>24</v>
      </c>
      <c r="B35" s="6" t="n">
        <v>19224.0360309058</v>
      </c>
      <c r="C35" s="9">
        <f t="shared" si="0"/>
        <v>8.4782146108721649E-3</v>
      </c>
      <c r="E35" s="371">
        <v>24</v>
      </c>
      <c r="F35" s="371" t="n">
        <v>26633.0</v>
      </c>
      <c r="G35" s="9">
        <f t="shared" si="1"/>
        <v>8.3115302620928675E-3</v>
      </c>
    </row>
    <row r="36" spans="1:7" x14ac:dyDescent="0.45">
      <c r="A36">
        <v>25</v>
      </c>
      <c r="B36" s="6" t="n">
        <v>14879.560831223</v>
      </c>
      <c r="C36" s="9">
        <f t="shared" si="0"/>
        <v>6.5622073241969449E-3</v>
      </c>
      <c r="E36" s="371">
        <v>25</v>
      </c>
      <c r="F36" s="371" t="n">
        <v>24051.0</v>
      </c>
      <c r="G36" s="9">
        <f t="shared" si="1"/>
        <v>8.0724802489825238E-3</v>
      </c>
    </row>
    <row r="37" spans="1:7" x14ac:dyDescent="0.45">
      <c r="A37">
        <v>26</v>
      </c>
      <c r="B37" s="6" t="n">
        <v>16044.2989389792</v>
      </c>
      <c r="C37" s="9">
        <f t="shared" si="0"/>
        <v>7.0758819566800867E-3</v>
      </c>
      <c r="E37" s="371">
        <v>26</v>
      </c>
      <c r="F37" s="371" t="n">
        <v>18175.0</v>
      </c>
      <c r="G37" s="9">
        <f t="shared" si="1"/>
        <v>7.7828414104449536E-3</v>
      </c>
    </row>
    <row r="38" spans="1:7" x14ac:dyDescent="0.45">
      <c r="A38">
        <v>27</v>
      </c>
      <c r="B38" s="6" t="n">
        <v>13117.5190152414</v>
      </c>
      <c r="C38" s="9">
        <f t="shared" si="0"/>
        <v>5.7851088707189099E-3</v>
      </c>
      <c r="E38" s="371">
        <v>27</v>
      </c>
      <c r="F38" s="371" t="n">
        <v>16272.0</v>
      </c>
      <c r="G38" s="9">
        <f t="shared" si="1"/>
        <v>6.0895407959688543E-3</v>
      </c>
    </row>
    <row r="39" spans="1:7" x14ac:dyDescent="0.45">
      <c r="A39">
        <v>28</v>
      </c>
      <c r="B39" s="6" t="n">
        <v>10672.700122783699</v>
      </c>
      <c r="C39" s="9">
        <f t="shared" si="0"/>
        <v>4.7068909969254988E-3</v>
      </c>
      <c r="E39" s="371">
        <v>28</v>
      </c>
      <c r="F39" s="371" t="n">
        <v>12338.0</v>
      </c>
      <c r="G39" s="9">
        <f t="shared" si="1"/>
        <v>4.0802381522395889E-3</v>
      </c>
    </row>
    <row r="40" spans="1:7" x14ac:dyDescent="0.45">
      <c r="A40">
        <v>29</v>
      </c>
      <c r="B40" s="6" t="n">
        <v>6864.4818095773</v>
      </c>
      <c r="C40" s="9">
        <f t="shared" si="0"/>
        <v>3.0273845658872422E-3</v>
      </c>
      <c r="E40" s="371">
        <v>29</v>
      </c>
      <c r="F40" s="371" t="n">
        <v>12566.0</v>
      </c>
      <c r="G40" s="9">
        <f t="shared" si="1"/>
        <v>4.5034742410251152E-3</v>
      </c>
    </row>
    <row r="41" spans="1:7" x14ac:dyDescent="0.45">
      <c r="A41">
        <v>30</v>
      </c>
      <c r="B41" s="6" t="n">
        <v>9635.4113092566</v>
      </c>
      <c r="C41" s="9">
        <f t="shared" si="0"/>
        <v>4.2494242526683965E-3</v>
      </c>
      <c r="E41" s="371">
        <v>30</v>
      </c>
      <c r="F41" s="371" t="n">
        <v>11478.0</v>
      </c>
      <c r="G41" s="9">
        <f t="shared" si="1"/>
        <v>3.3976452683060297E-3</v>
      </c>
    </row>
    <row r="42" spans="1:7" x14ac:dyDescent="0.45">
      <c r="A42">
        <v>31</v>
      </c>
      <c r="B42" s="6" t="n">
        <v>8371.5091449033</v>
      </c>
      <c r="C42" s="9">
        <f t="shared" si="0"/>
        <v>3.6920161319539974E-3</v>
      </c>
      <c r="E42" s="371">
        <v>31</v>
      </c>
      <c r="F42" s="371" t="n">
        <v>9244.0</v>
      </c>
      <c r="G42" s="9">
        <f t="shared" si="1"/>
        <v>3.8066309837317736E-3</v>
      </c>
    </row>
    <row r="43" spans="1:7" x14ac:dyDescent="0.45">
      <c r="A43">
        <v>32</v>
      </c>
      <c r="B43" s="6" t="n">
        <v>3723.4798190898</v>
      </c>
      <c r="C43" s="9">
        <f t="shared" si="0"/>
        <v>1.6421349270643944E-3</v>
      </c>
      <c r="E43" s="371">
        <v>32</v>
      </c>
      <c r="F43" s="371" t="n">
        <v>8454.0</v>
      </c>
      <c r="G43" s="9">
        <f t="shared" si="1"/>
        <v>3.2152404893008198E-3</v>
      </c>
    </row>
    <row r="44" spans="1:7" x14ac:dyDescent="0.45">
      <c r="A44">
        <v>33</v>
      </c>
      <c r="B44" s="6" t="n">
        <v>5473.7832709866</v>
      </c>
      <c r="C44" s="9">
        <f t="shared" si="0"/>
        <v>2.4140565087486243E-3</v>
      </c>
      <c r="E44" s="371">
        <v>33</v>
      </c>
      <c r="F44" s="371" t="n">
        <v>6668.0</v>
      </c>
      <c r="G44" s="9">
        <f t="shared" si="1"/>
        <v>2.5639984267587811E-3</v>
      </c>
    </row>
    <row r="45" spans="1:7" x14ac:dyDescent="0.45">
      <c r="A45">
        <v>34</v>
      </c>
      <c r="B45" s="6" t="n">
        <v>13872.398854469</v>
      </c>
      <c r="C45" s="9">
        <f t="shared" si="0"/>
        <v>6.1180271648847741E-3</v>
      </c>
      <c r="E45" s="371">
        <v>34</v>
      </c>
      <c r="F45" s="371" t="n">
        <v>6768.0</v>
      </c>
      <c r="G45" s="9">
        <f t="shared" si="1"/>
        <v>2.6548445569273913E-3</v>
      </c>
    </row>
    <row r="46" spans="1:7" x14ac:dyDescent="0.45">
      <c r="A46">
        <v>35</v>
      </c>
      <c r="B46" s="6" t="n">
        <v>4599.1216396531</v>
      </c>
      <c r="C46" s="9">
        <f t="shared" si="0"/>
        <v>2.0283118602045201E-3</v>
      </c>
      <c r="E46" s="371">
        <v>35</v>
      </c>
      <c r="F46" s="371" t="n">
        <v>6132.0</v>
      </c>
      <c r="G46" s="9">
        <f t="shared" si="1"/>
        <v>2.0520537638086117E-3</v>
      </c>
    </row>
    <row r="47" spans="1:7" x14ac:dyDescent="0.45">
      <c r="A47">
        <v>36</v>
      </c>
      <c r="B47" s="6" t="n">
        <v>7102.2328572607</v>
      </c>
      <c r="C47" s="9">
        <f t="shared" si="0"/>
        <v>3.1322379069327437E-3</v>
      </c>
      <c r="E47" s="371">
        <v>36</v>
      </c>
      <c r="F47" s="371" t="n">
        <v>6494.0</v>
      </c>
      <c r="G47" s="9">
        <f t="shared" si="1"/>
        <v>2.3488177890260723E-3</v>
      </c>
    </row>
    <row r="48" spans="1:7" x14ac:dyDescent="0.45">
      <c r="A48">
        <v>37</v>
      </c>
      <c r="B48" s="6" t="n">
        <v>5285.7395312702</v>
      </c>
      <c r="C48" s="9">
        <f t="shared" si="0"/>
        <v>2.3311251628552044E-3</v>
      </c>
      <c r="E48" s="371">
        <v>37</v>
      </c>
      <c r="F48" s="371" t="n">
        <v>5689.0</v>
      </c>
      <c r="G48" s="9">
        <f t="shared" si="1"/>
        <v>2.1200992966015708E-3</v>
      </c>
    </row>
    <row r="49" spans="1:7" x14ac:dyDescent="0.45">
      <c r="A49">
        <v>38</v>
      </c>
      <c r="B49" s="6" t="n">
        <v>7397.7355238755</v>
      </c>
      <c r="C49" s="9">
        <f t="shared" si="0"/>
        <v>3.2625609578060119E-3</v>
      </c>
      <c r="E49" s="371">
        <v>38</v>
      </c>
      <c r="F49" s="371" t="n">
        <v>6481.0</v>
      </c>
      <c r="G49" s="9">
        <f t="shared" si="1"/>
        <v>2.1956262754084157E-3</v>
      </c>
    </row>
    <row r="50" spans="1:7" x14ac:dyDescent="0.45">
      <c r="A50">
        <v>39</v>
      </c>
      <c r="B50" s="6" t="n">
        <v>3446.054552879</v>
      </c>
      <c r="C50" s="9">
        <f t="shared" si="0"/>
        <v>1.5197843997540959E-3</v>
      </c>
      <c r="E50" s="371">
        <v>39</v>
      </c>
      <c r="F50" s="371" t="n">
        <v>4554.0</v>
      </c>
      <c r="G50" s="9">
        <f t="shared" si="1"/>
        <v>1.9070562148728297E-3</v>
      </c>
    </row>
    <row r="51" spans="1:7" x14ac:dyDescent="0.45">
      <c r="A51">
        <v>40</v>
      </c>
      <c r="B51" s="6" t="n">
        <v>3832.832403655</v>
      </c>
      <c r="C51" s="9">
        <f t="shared" si="0"/>
        <v>1.6903617759272879E-3</v>
      </c>
      <c r="E51" s="371">
        <v>40</v>
      </c>
      <c r="F51" s="371" t="n">
        <v>3806.0</v>
      </c>
      <c r="G51" s="9">
        <f t="shared" si="1"/>
        <v>1.1802871735239464E-3</v>
      </c>
    </row>
    <row r="52" spans="1:7" x14ac:dyDescent="0.45">
      <c r="A52">
        <v>41</v>
      </c>
      <c r="B52" s="6" t="n">
        <v>4198.0889541953</v>
      </c>
      <c r="C52" s="9">
        <f t="shared" si="0"/>
        <v>1.8514477944162799E-3</v>
      </c>
      <c r="E52" s="371">
        <v>41</v>
      </c>
      <c r="F52" s="371" t="n">
        <v>3020.0</v>
      </c>
      <c r="G52" s="9">
        <f t="shared" si="1"/>
        <v>1.136111016108622E-3</v>
      </c>
    </row>
    <row r="53" spans="1:7" x14ac:dyDescent="0.45">
      <c r="A53">
        <v>42</v>
      </c>
      <c r="B53" s="6" t="n">
        <v>603.942380844</v>
      </c>
      <c r="C53" s="9">
        <f t="shared" si="0"/>
        <v>2.6635161883616494E-4</v>
      </c>
      <c r="E53" s="371">
        <v>42</v>
      </c>
      <c r="F53" s="371" t="n">
        <v>2859.0</v>
      </c>
      <c r="G53" s="9">
        <f t="shared" si="1"/>
        <v>1.0010887285246874E-3</v>
      </c>
    </row>
    <row r="54" spans="1:7" x14ac:dyDescent="0.45">
      <c r="A54">
        <v>43</v>
      </c>
      <c r="B54" s="6" t="n">
        <v>1776.9033869573</v>
      </c>
      <c r="C54" s="9">
        <f t="shared" si="0"/>
        <v>7.8365272688785028E-4</v>
      </c>
      <c r="E54" s="371">
        <v>43</v>
      </c>
      <c r="F54" s="371" t="n">
        <v>1722.0</v>
      </c>
      <c r="G54" s="9">
        <f t="shared" si="1"/>
        <v>8.1547761551352643E-4</v>
      </c>
    </row>
    <row r="55" spans="1:7" x14ac:dyDescent="0.45">
      <c r="A55">
        <v>44</v>
      </c>
      <c r="B55" s="6" t="n">
        <v>4726.5863044316</v>
      </c>
      <c r="C55" s="9">
        <f t="shared" si="0"/>
        <v>2.0845265271744341E-3</v>
      </c>
      <c r="E55" s="371">
        <v>44</v>
      </c>
      <c r="F55" s="371" t="n">
        <v>1986.0</v>
      </c>
      <c r="G55" s="9">
        <f t="shared" si="1"/>
        <v>8.0657113216366268E-4</v>
      </c>
    </row>
    <row r="56" spans="1:7" x14ac:dyDescent="0.45">
      <c r="A56">
        <v>45</v>
      </c>
      <c r="B56" s="6" t="n">
        <v>2273.679069858</v>
      </c>
      <c r="C56" s="9">
        <f t="shared" si="0"/>
        <v>1.0027415200176382E-3</v>
      </c>
      <c r="E56" s="371">
        <v>45</v>
      </c>
      <c r="F56" s="371" t="n">
        <v>2333.0</v>
      </c>
      <c r="G56" s="9">
        <f t="shared" si="1"/>
        <v>7.9873342681578263E-4</v>
      </c>
    </row>
    <row r="57" spans="1:7" x14ac:dyDescent="0.45">
      <c r="A57">
        <v>46</v>
      </c>
      <c r="B57" s="6" t="n">
        <v>689.0045439149001</v>
      </c>
      <c r="C57" s="9">
        <f t="shared" si="0"/>
        <v>3.0386586780140236E-4</v>
      </c>
      <c r="E57" s="371">
        <v>46</v>
      </c>
      <c r="F57" s="371" t="n">
        <v>1871.0</v>
      </c>
      <c r="G57" s="9">
        <f t="shared" si="1"/>
        <v>8.2545287686537389E-4</v>
      </c>
    </row>
    <row r="58" spans="1:7" x14ac:dyDescent="0.45">
      <c r="A58">
        <v>47</v>
      </c>
      <c r="B58" s="6" t="n">
        <v>6277.90774694</v>
      </c>
      <c r="C58" s="9">
        <f t="shared" si="0"/>
        <v>2.7686927500679666E-3</v>
      </c>
      <c r="E58" s="371">
        <v>47</v>
      </c>
      <c r="F58" s="371" t="n">
        <v>1590.0</v>
      </c>
      <c r="G58" s="9">
        <f t="shared" si="1"/>
        <v>5.4828311501761348E-4</v>
      </c>
    </row>
    <row r="59" spans="1:7" x14ac:dyDescent="0.45">
      <c r="A59">
        <v>48</v>
      </c>
      <c r="B59" s="6" t="n">
        <v>3520.127117288</v>
      </c>
      <c r="C59" s="9">
        <f t="shared" si="0"/>
        <v>1.5524519986301871E-3</v>
      </c>
      <c r="E59" s="371">
        <v>48</v>
      </c>
      <c r="F59" s="371" t="n">
        <v>1113.0</v>
      </c>
      <c r="G59" s="9">
        <f t="shared" si="1"/>
        <v>3.9722915740392396E-4</v>
      </c>
    </row>
    <row r="60" spans="1:7" x14ac:dyDescent="0.45">
      <c r="A60">
        <v>49</v>
      </c>
      <c r="B60" s="6" t="n">
        <v>492.339784141</v>
      </c>
      <c r="C60" s="9">
        <f t="shared" si="0"/>
        <v>2.1713246608085946E-4</v>
      </c>
      <c r="E60" s="371">
        <v>49</v>
      </c>
      <c r="F60" s="371" t="n">
        <v>987.0</v>
      </c>
      <c r="G60" s="9">
        <f t="shared" si="1"/>
        <v>3.8440382138012018E-4</v>
      </c>
    </row>
    <row r="61" spans="1:7" x14ac:dyDescent="0.45">
      <c r="A61">
        <v>50</v>
      </c>
      <c r="B61" s="6" t="n">
        <v>1172.30496159</v>
      </c>
      <c r="C61" s="9">
        <f t="shared" si="0"/>
        <v>5.1701177826402359E-4</v>
      </c>
      <c r="E61" s="371">
        <v>50</v>
      </c>
      <c r="F61" s="371" t="n">
        <v>834.0</v>
      </c>
      <c r="G61" s="9">
        <f t="shared" si="1"/>
        <v>4.2181105144954798E-4</v>
      </c>
    </row>
    <row r="62" spans="1:7" x14ac:dyDescent="0.45">
      <c r="A62">
        <v>51</v>
      </c>
      <c r="B62" s="6" t="n">
        <v>565.589709185</v>
      </c>
      <c r="C62" s="9">
        <f t="shared" si="0"/>
        <v>2.494372632501389E-4</v>
      </c>
      <c r="E62" s="371">
        <v>51</v>
      </c>
      <c r="F62" s="371" t="n">
        <v>869.0</v>
      </c>
      <c r="G62" s="9">
        <f t="shared" si="1"/>
        <v>3.5982192733449616E-4</v>
      </c>
    </row>
    <row r="63" spans="1:7" x14ac:dyDescent="0.45">
      <c r="A63">
        <v>52</v>
      </c>
      <c r="B63" s="6" t="n">
        <v>2193.17997283</v>
      </c>
      <c r="C63" s="9">
        <f t="shared" si="0"/>
        <v>9.6723968161660794E-4</v>
      </c>
      <c r="E63" s="371">
        <v>52</v>
      </c>
      <c r="F63" s="371" t="n">
        <v>730.0</v>
      </c>
      <c r="G63" s="9">
        <f t="shared" si="1"/>
        <v>2.2052452774262685E-4</v>
      </c>
    </row>
    <row r="64" spans="1:7" x14ac:dyDescent="0.45">
      <c r="A64">
        <v>53</v>
      </c>
      <c r="B64" s="6" t="n">
        <v>461.67911433899997</v>
      </c>
      <c r="C64" s="9">
        <f t="shared" si="0"/>
        <v>2.0361044925377203E-4</v>
      </c>
      <c r="E64" s="371">
        <v>53</v>
      </c>
      <c r="F64" s="371" t="n">
        <v>664.0</v>
      </c>
      <c r="G64" s="9">
        <f t="shared" si="1"/>
        <v>2.2836223309050696E-4</v>
      </c>
    </row>
    <row r="65" spans="1:7" x14ac:dyDescent="0.45">
      <c r="A65">
        <v>54</v>
      </c>
      <c r="B65" s="6" t="n">
        <v>990.599863037</v>
      </c>
      <c r="C65" s="9">
        <f t="shared" si="0"/>
        <v>4.3687590986753557E-4</v>
      </c>
      <c r="E65" s="371">
        <v>54</v>
      </c>
      <c r="F65" s="371" t="n">
        <v>666.0</v>
      </c>
      <c r="G65" s="9">
        <f t="shared" si="1"/>
        <v>2.8928257920357516E-4</v>
      </c>
    </row>
    <row r="66" spans="1:7" x14ac:dyDescent="0.45">
      <c r="A66">
        <v>55</v>
      </c>
      <c r="B66" s="6" t="n">
        <v>1608.764097521</v>
      </c>
      <c r="C66" s="9">
        <f t="shared" si="0"/>
        <v>7.0949967296781271E-4</v>
      </c>
      <c r="E66" s="371">
        <v>55</v>
      </c>
      <c r="F66" s="371" t="n">
        <v>496.0</v>
      </c>
      <c r="G66" s="9">
        <f t="shared" si="1"/>
        <v>2.5686297981007103E-4</v>
      </c>
    </row>
    <row r="67" spans="1:7" x14ac:dyDescent="0.45">
      <c r="A67">
        <v>56</v>
      </c>
      <c r="B67" s="6" t="n">
        <v>2956.089894128</v>
      </c>
      <c r="C67" s="9">
        <f t="shared" si="0"/>
        <v>1.303699415208944E-3</v>
      </c>
      <c r="E67" s="371">
        <v>56</v>
      </c>
      <c r="F67" s="371" t="n">
        <v>353.0</v>
      </c>
      <c r="G67" s="9">
        <f t="shared" si="1"/>
        <v>1.7812966699727532E-4</v>
      </c>
    </row>
    <row r="68" spans="1:7" x14ac:dyDescent="0.45">
      <c r="A68">
        <v>57</v>
      </c>
      <c r="B68" s="6" t="n">
        <v>1267.960102457</v>
      </c>
      <c r="C68" s="9">
        <f t="shared" si="0"/>
        <v>5.5919775896026464E-4</v>
      </c>
      <c r="E68" s="371">
        <v>57</v>
      </c>
      <c r="F68" s="371" t="n">
        <v>357.0</v>
      </c>
      <c r="G68" s="9">
        <f t="shared" si="1"/>
        <v>9.8683835516490538E-5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292.0</v>
      </c>
      <c r="G69" s="9">
        <f t="shared" si="1"/>
        <v>1.4677884560575487E-4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351.0</v>
      </c>
      <c r="G70" s="9">
        <f t="shared" si="1"/>
        <v>9.2983686172577715E-5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349.0</v>
      </c>
      <c r="G71" s="9">
        <f t="shared" si="1"/>
        <v>1.1257794954227801E-4</v>
      </c>
    </row>
    <row r="72" spans="1:7" x14ac:dyDescent="0.45">
      <c r="A72">
        <v>61</v>
      </c>
      <c r="B72" s="6" t="n">
        <v>117.951606001</v>
      </c>
      <c r="C72" s="9">
        <f t="shared" si="0"/>
        <v>5.2019202823268751E-5</v>
      </c>
      <c r="E72" s="371">
        <v>61</v>
      </c>
      <c r="F72" s="371" t="n">
        <v>238.0</v>
      </c>
      <c r="G72" s="9">
        <f t="shared" si="1"/>
        <v>1.2397824823010364E-4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230.0</v>
      </c>
      <c r="G73" s="9">
        <f t="shared" si="1"/>
        <v>9.9040094850485078E-5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213.0</v>
      </c>
      <c r="G74" s="9">
        <f t="shared" si="1"/>
        <v>5.3438900099182599E-5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145.0</v>
      </c>
      <c r="G75" s="9">
        <f t="shared" si="1"/>
        <v>5.7357752773122658E-5</v>
      </c>
    </row>
    <row r="76" spans="1:7" x14ac:dyDescent="0.45">
      <c r="A76">
        <v>65</v>
      </c>
      <c r="B76" s="6" t="n">
        <v>295.789176212</v>
      </c>
      <c r="C76" s="9">
        <f t="shared" si="0"/>
        <v>1.3044940778652185E-4</v>
      </c>
      <c r="E76" s="371">
        <v>65</v>
      </c>
      <c r="F76" s="371" t="n">
        <v>119.0</v>
      </c>
      <c r="G76" s="9">
        <f t="shared" si="1"/>
        <v>4.9163788091247992E-5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77.0</v>
      </c>
      <c r="G77" s="9">
        <f t="shared" ref="G77:G102" si="3">F77/F$102</f>
        <v>4.9876306759237093E-5</v>
      </c>
    </row>
    <row r="78" spans="1:7" x14ac:dyDescent="0.45">
      <c r="A78">
        <v>67</v>
      </c>
      <c r="B78" s="6" t="n">
        <v>103.594494646</v>
      </c>
      <c r="C78" s="9">
        <f t="shared" si="2"/>
        <v>4.5687406988918957E-5</v>
      </c>
      <c r="E78" s="371">
        <v>67</v>
      </c>
      <c r="F78" s="371" t="n">
        <v>86.0</v>
      </c>
      <c r="G78" s="9">
        <f t="shared" si="3"/>
        <v>3.1707080725515011E-5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95.0</v>
      </c>
      <c r="G79" s="9">
        <f t="shared" si="3"/>
        <v>4.5244935417307932E-5</v>
      </c>
    </row>
    <row r="80" spans="1:7" x14ac:dyDescent="0.45">
      <c r="A80">
        <v>69</v>
      </c>
      <c r="B80" s="6" t="n">
        <v>607.47943235</v>
      </c>
      <c r="C80" s="9">
        <f t="shared" si="2"/>
        <v>2.679115348553279E-4</v>
      </c>
      <c r="E80" s="371">
        <v>69</v>
      </c>
      <c r="F80" s="371" t="n">
        <v>56.0</v>
      </c>
      <c r="G80" s="9">
        <f t="shared" si="3"/>
        <v>2.1731819373667591E-5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54.0</v>
      </c>
      <c r="G81" s="9">
        <f t="shared" si="3"/>
        <v>3.4913414731465962E-5</v>
      </c>
    </row>
    <row r="82" spans="1:7" x14ac:dyDescent="0.45">
      <c r="A82">
        <v>71</v>
      </c>
      <c r="B82" s="6" t="n">
        <v>213.4047725981</v>
      </c>
      <c r="C82" s="9">
        <f t="shared" si="2"/>
        <v>9.4116108509281277E-5</v>
      </c>
      <c r="E82" s="371">
        <v>71</v>
      </c>
      <c r="F82" s="371" t="n">
        <v>75.0</v>
      </c>
      <c r="G82" s="9">
        <f t="shared" si="3"/>
        <v>4.0257304741384224E-5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60.0</v>
      </c>
      <c r="G83" s="9">
        <f t="shared" si="3"/>
        <v>2.2800597375651243E-5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55.0</v>
      </c>
      <c r="G84" s="9">
        <f t="shared" si="3"/>
        <v>1.9594263369700285E-5</v>
      </c>
    </row>
    <row r="85" spans="1:7" x14ac:dyDescent="0.45">
      <c r="A85">
        <v>74</v>
      </c>
      <c r="B85" s="6" t="n">
        <v>474.816708997</v>
      </c>
      <c r="C85" s="9">
        <f t="shared" si="2"/>
        <v>2.0940441191604048E-4</v>
      </c>
      <c r="E85" s="371">
        <v>74</v>
      </c>
      <c r="F85" s="371" t="n">
        <v>41.0</v>
      </c>
      <c r="G85" s="9">
        <f t="shared" si="3"/>
        <v>2.066304137168394E-5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41.0</v>
      </c>
      <c r="G86" s="9">
        <f t="shared" si="3"/>
        <v>2.2444338041656693E-5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32.0</v>
      </c>
      <c r="G87" s="9">
        <f t="shared" si="3"/>
        <v>1.9594263369700285E-5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22.0</v>
      </c>
      <c r="G88" s="9">
        <f t="shared" si="3"/>
        <v>7.1251866798910131E-6</v>
      </c>
    </row>
    <row r="89" spans="1:7" x14ac:dyDescent="0.45">
      <c r="A89">
        <v>78</v>
      </c>
      <c r="B89" s="6" t="n">
        <v>1289.6121573</v>
      </c>
      <c r="C89" s="9">
        <f t="shared" si="2"/>
        <v>5.6874678224706082E-4</v>
      </c>
      <c r="E89" s="371">
        <v>78</v>
      </c>
      <c r="F89" s="371" t="n">
        <v>14.0</v>
      </c>
      <c r="G89" s="9">
        <f t="shared" si="3"/>
        <v>7.8377053478801142E-6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9.0</v>
      </c>
      <c r="G90" s="9">
        <f t="shared" si="3"/>
        <v>1.7812966699727533E-6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19.0</v>
      </c>
      <c r="G91" s="9">
        <f t="shared" si="3"/>
        <v>2.4938153379618544E-6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8.0</v>
      </c>
      <c r="G92" s="9">
        <f t="shared" si="3"/>
        <v>4.9876306759237088E-6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7.0</v>
      </c>
      <c r="G93" s="9">
        <f t="shared" si="3"/>
        <v>6.0564086779073614E-6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6.0</v>
      </c>
      <c r="G94" s="9">
        <f t="shared" si="3"/>
        <v>6.4126680119019119E-6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12.0</v>
      </c>
      <c r="G95" s="9">
        <f t="shared" si="3"/>
        <v>5.7001493439128108E-6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10.0</v>
      </c>
      <c r="G96" s="9">
        <f t="shared" si="3"/>
        <v>4.6313713419291582E-6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7.0</v>
      </c>
      <c r="G97" s="9">
        <f t="shared" si="3"/>
        <v>2.4938153379618544E-6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5.7001493439128108E-6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5.0</v>
      </c>
      <c r="G99" s="9">
        <f t="shared" si="3"/>
        <v>3.5625933399455067E-7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1.0</v>
      </c>
      <c r="G100" s="9">
        <f t="shared" si="3"/>
        <v>3.5625933399455067E-7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24.0</v>
      </c>
      <c r="G101" s="9">
        <f t="shared" si="3"/>
        <v>4.9876306759237088E-6</v>
      </c>
    </row>
    <row r="102" spans="1:7" x14ac:dyDescent="0.45">
      <c r="B102" s="6">
        <f>SUM(B11:B101)</f>
        <v>2267462.7752703466</v>
      </c>
      <c r="C102" s="9">
        <f t="shared" si="2"/>
        <v>1</v>
      </c>
      <c r="F102" s="6">
        <f>SUM(F11:F101)</f>
        <v>2806944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22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1155.86225</v>
      </c>
      <c r="C11" s="9">
        <f>B11/B$102</f>
        <v>5.0976018773326421E-4</v>
      </c>
      <c r="E11" s="371">
        <v>0</v>
      </c>
      <c r="F11" s="371" t="n">
        <v>2138.0</v>
      </c>
      <c r="G11" s="9">
        <f>F11/F$102</f>
        <v>7.8127671945004958E-4</v>
      </c>
      <c r="K11" s="6" t="n">
        <v>32.52853992810291</v>
      </c>
      <c r="L11" s="6" t="n">
        <v>27.148825756475752</v>
      </c>
    </row>
    <row r="12" spans="1:12" x14ac:dyDescent="0.45">
      <c r="A12">
        <v>1</v>
      </c>
      <c r="B12" s="6" t="n">
        <v>1720.7665339647</v>
      </c>
      <c r="C12" s="9">
        <f>B12/B$102</f>
        <v>7.5889516367453301E-4</v>
      </c>
      <c r="E12" s="371">
        <v>1</v>
      </c>
      <c r="F12" s="371" t="n">
        <v>28017.0</v>
      </c>
      <c r="G12" s="9">
        <f>F12/F$102</f>
        <v>9.837745248925521E-3</v>
      </c>
      <c r="K12" s="6"/>
      <c r="L12" s="371"/>
    </row>
    <row r="13" spans="1:12" x14ac:dyDescent="0.45">
      <c r="A13">
        <v>2</v>
      </c>
      <c r="B13" s="6" t="n">
        <v>6811.4906059887</v>
      </c>
      <c r="C13" s="9">
        <f t="shared" ref="C13:C76" si="0">B13/B$102</f>
        <v>3.0040143019223662E-3</v>
      </c>
      <c r="E13" s="371">
        <v>2</v>
      </c>
      <c r="F13" s="371" t="n">
        <v>38669.0</v>
      </c>
      <c r="G13" s="9">
        <f t="shared" ref="G13:G76" si="1">F13/F$102</f>
        <v>1.3681070944058734E-2</v>
      </c>
    </row>
    <row r="14" spans="1:12" x14ac:dyDescent="0.45">
      <c r="A14">
        <v>3</v>
      </c>
      <c r="B14" s="6" t="n">
        <v>4251.2680403673</v>
      </c>
      <c r="C14" s="9">
        <f t="shared" si="0"/>
        <v>1.8749009186536383E-3</v>
      </c>
      <c r="E14" s="371">
        <v>3</v>
      </c>
      <c r="F14" s="371" t="n">
        <v>48391.0</v>
      </c>
      <c r="G14" s="9">
        <f t="shared" si="1"/>
        <v>1.7096172919730496E-2</v>
      </c>
    </row>
    <row r="15" spans="1:12" x14ac:dyDescent="0.45">
      <c r="A15">
        <v>4</v>
      </c>
      <c r="B15" s="6" t="n">
        <v>11472.1839067999</v>
      </c>
      <c r="C15" s="9">
        <f t="shared" si="0"/>
        <v>5.0594805929866215E-3</v>
      </c>
      <c r="E15" s="371">
        <v>4</v>
      </c>
      <c r="F15" s="371" t="n">
        <v>50308.0</v>
      </c>
      <c r="G15" s="9">
        <f t="shared" si="1"/>
        <v>1.7840754927779107E-2</v>
      </c>
    </row>
    <row r="16" spans="1:12" x14ac:dyDescent="0.45">
      <c r="A16">
        <v>5</v>
      </c>
      <c r="B16" s="6" t="n">
        <v>31280.8688715735</v>
      </c>
      <c r="C16" s="9">
        <f t="shared" si="0"/>
        <v>1.37955379963598E-2</v>
      </c>
      <c r="E16" s="371">
        <v>5</v>
      </c>
      <c r="F16" s="371" t="n">
        <v>49764.0</v>
      </c>
      <c r="G16" s="9">
        <f t="shared" si="1"/>
        <v>1.7794084955025821E-2</v>
      </c>
    </row>
    <row r="17" spans="1:7" x14ac:dyDescent="0.45">
      <c r="A17">
        <v>6</v>
      </c>
      <c r="B17" s="6" t="n">
        <v>27181.9971632518</v>
      </c>
      <c r="C17" s="9">
        <f t="shared" si="0"/>
        <v>1.1987847147793168E-2</v>
      </c>
      <c r="E17" s="371">
        <v>6</v>
      </c>
      <c r="F17" s="371" t="n">
        <v>50335.0</v>
      </c>
      <c r="G17" s="9">
        <f t="shared" si="1"/>
        <v>1.7620942918704471E-2</v>
      </c>
    </row>
    <row r="18" spans="1:7" x14ac:dyDescent="0.45">
      <c r="A18">
        <v>7</v>
      </c>
      <c r="B18" s="6" t="n">
        <v>27277.6672007549</v>
      </c>
      <c r="C18" s="9">
        <f t="shared" si="0"/>
        <v>1.2030039698227295E-2</v>
      </c>
      <c r="E18" s="371">
        <v>7</v>
      </c>
      <c r="F18" s="371" t="n">
        <v>50123.0</v>
      </c>
      <c r="G18" s="9">
        <f t="shared" si="1"/>
        <v>1.770074500951925E-2</v>
      </c>
    </row>
    <row r="19" spans="1:7" x14ac:dyDescent="0.45">
      <c r="A19">
        <v>8</v>
      </c>
      <c r="B19" s="6" t="n">
        <v>16742.735384114</v>
      </c>
      <c r="C19" s="9">
        <f t="shared" si="0"/>
        <v>7.3839074963944181E-3</v>
      </c>
      <c r="E19" s="371">
        <v>8</v>
      </c>
      <c r="F19" s="371" t="n">
        <v>48586.0</v>
      </c>
      <c r="G19" s="9">
        <f t="shared" si="1"/>
        <v>1.7173481195207313E-2</v>
      </c>
    </row>
    <row r="20" spans="1:7" x14ac:dyDescent="0.45">
      <c r="A20">
        <v>9</v>
      </c>
      <c r="B20" s="6" t="n">
        <v>40443.5402665417</v>
      </c>
      <c r="C20" s="9">
        <f t="shared" si="0"/>
        <v>1.7836473748381459E-2</v>
      </c>
      <c r="E20" s="371">
        <v>9</v>
      </c>
      <c r="F20" s="371" t="n">
        <v>48181.0</v>
      </c>
      <c r="G20" s="9">
        <f t="shared" si="1"/>
        <v>1.6982526192186237E-2</v>
      </c>
    </row>
    <row r="21" spans="1:7" x14ac:dyDescent="0.45">
      <c r="A21">
        <v>10</v>
      </c>
      <c r="B21" s="6" t="n">
        <v>14471.684753772</v>
      </c>
      <c r="C21" s="9">
        <f t="shared" si="0"/>
        <v>6.3823251749068133E-3</v>
      </c>
      <c r="E21" s="371">
        <v>10</v>
      </c>
      <c r="F21" s="371" t="n">
        <v>44933.0</v>
      </c>
      <c r="G21" s="9">
        <f t="shared" si="1"/>
        <v>1.5945455270928097E-2</v>
      </c>
    </row>
    <row r="22" spans="1:7" x14ac:dyDescent="0.45">
      <c r="A22">
        <v>11</v>
      </c>
      <c r="B22" s="6" t="n">
        <v>32644.4568947032</v>
      </c>
      <c r="C22" s="9">
        <f t="shared" si="0"/>
        <v>1.4396909731323395E-2</v>
      </c>
      <c r="E22" s="371">
        <v>11</v>
      </c>
      <c r="F22" s="371" t="n">
        <v>41689.0</v>
      </c>
      <c r="G22" s="9">
        <f t="shared" si="1"/>
        <v>1.4734886054014615E-2</v>
      </c>
    </row>
    <row r="23" spans="1:7" x14ac:dyDescent="0.45">
      <c r="A23">
        <v>12</v>
      </c>
      <c r="B23" s="6" t="n">
        <v>22919.3890366204</v>
      </c>
      <c r="C23" s="9">
        <f t="shared" si="0"/>
        <v>1.0107945006456724E-2</v>
      </c>
      <c r="E23" s="371">
        <v>12</v>
      </c>
      <c r="F23" s="371" t="n">
        <v>40069.0</v>
      </c>
      <c r="G23" s="9">
        <f t="shared" si="1"/>
        <v>1.3821437121652588E-2</v>
      </c>
    </row>
    <row r="24" spans="1:7" x14ac:dyDescent="0.45">
      <c r="A24">
        <v>13</v>
      </c>
      <c r="B24" s="6" t="n">
        <v>24145.2279901926</v>
      </c>
      <c r="C24" s="9">
        <f t="shared" si="0"/>
        <v>1.0648566430076807E-2</v>
      </c>
      <c r="E24" s="371">
        <v>13</v>
      </c>
      <c r="F24" s="371" t="n">
        <v>36807.0</v>
      </c>
      <c r="G24" s="9">
        <f t="shared" si="1"/>
        <v>1.2838517619161622E-2</v>
      </c>
    </row>
    <row r="25" spans="1:7" x14ac:dyDescent="0.45">
      <c r="A25">
        <v>14</v>
      </c>
      <c r="B25" s="6" t="n">
        <v>26937.5737895802</v>
      </c>
      <c r="C25" s="9">
        <f t="shared" si="0"/>
        <v>1.1880051167044397E-2</v>
      </c>
      <c r="E25" s="371">
        <v>14</v>
      </c>
      <c r="F25" s="371" t="n">
        <v>33760.0</v>
      </c>
      <c r="G25" s="9">
        <f t="shared" si="1"/>
        <v>1.2025890078320053E-2</v>
      </c>
    </row>
    <row r="26" spans="1:7" x14ac:dyDescent="0.45">
      <c r="A26">
        <v>15</v>
      </c>
      <c r="B26" s="6" t="n">
        <v>22281.1991966786</v>
      </c>
      <c r="C26" s="9">
        <f t="shared" si="0"/>
        <v>9.8264895193360107E-3</v>
      </c>
      <c r="E26" s="371">
        <v>15</v>
      </c>
      <c r="F26" s="371" t="n">
        <v>31417.0</v>
      </c>
      <c r="G26" s="9">
        <f t="shared" si="1"/>
        <v>1.1050452021842972E-2</v>
      </c>
    </row>
    <row r="27" spans="1:7" x14ac:dyDescent="0.45">
      <c r="A27">
        <v>16</v>
      </c>
      <c r="B27" s="6" t="n">
        <v>38109.4670393277</v>
      </c>
      <c r="C27" s="9">
        <f t="shared" si="0"/>
        <v>1.6807097102083172E-2</v>
      </c>
      <c r="E27" s="371">
        <v>16</v>
      </c>
      <c r="F27" s="371" t="n">
        <v>29753.0</v>
      </c>
      <c r="G27" s="9">
        <f t="shared" si="1"/>
        <v>1.0378903177263244E-2</v>
      </c>
    </row>
    <row r="28" spans="1:7" x14ac:dyDescent="0.45">
      <c r="A28">
        <v>17</v>
      </c>
      <c r="B28" s="6" t="n">
        <v>22110.4327896362</v>
      </c>
      <c r="C28" s="9">
        <f t="shared" si="0"/>
        <v>9.7511778498767226E-3</v>
      </c>
      <c r="E28" s="371">
        <v>17</v>
      </c>
      <c r="F28" s="371" t="n">
        <v>28277.0</v>
      </c>
      <c r="G28" s="9">
        <f t="shared" si="1"/>
        <v>9.8965280390346227E-3</v>
      </c>
    </row>
    <row r="29" spans="1:7" x14ac:dyDescent="0.45">
      <c r="A29">
        <v>18</v>
      </c>
      <c r="B29" s="6" t="n">
        <v>105837.1079004428</v>
      </c>
      <c r="C29" s="9">
        <f t="shared" si="0"/>
        <v>4.6676447814153865E-2</v>
      </c>
      <c r="E29" s="371">
        <v>18</v>
      </c>
      <c r="F29" s="371" t="n">
        <v>170869.0</v>
      </c>
      <c r="G29" s="9">
        <f t="shared" si="1"/>
        <v>6.1779643626663015E-2</v>
      </c>
    </row>
    <row r="30" spans="1:7" x14ac:dyDescent="0.45">
      <c r="A30">
        <v>19</v>
      </c>
      <c r="B30" s="6" t="n">
        <v>68303.3198869525</v>
      </c>
      <c r="C30" s="9">
        <f t="shared" si="0"/>
        <v>3.0123237581621949E-2</v>
      </c>
      <c r="E30" s="371">
        <v>19</v>
      </c>
      <c r="F30" s="371" t="n">
        <v>89580.0</v>
      </c>
      <c r="G30" s="9">
        <f t="shared" si="1"/>
        <v>3.0839945506572271E-2</v>
      </c>
    </row>
    <row r="31" spans="1:7" x14ac:dyDescent="0.45">
      <c r="A31">
        <v>20</v>
      </c>
      <c r="B31" s="6" t="n">
        <v>79044.0022951943</v>
      </c>
      <c r="C31" s="9">
        <f t="shared" si="0"/>
        <v>3.4860110233020256E-2</v>
      </c>
      <c r="E31" s="371">
        <v>20</v>
      </c>
      <c r="F31" s="371" t="n">
        <v>95154.0</v>
      </c>
      <c r="G31" s="9">
        <f t="shared" si="1"/>
        <v>3.4169901501419339E-2</v>
      </c>
    </row>
    <row r="32" spans="1:7" x14ac:dyDescent="0.45">
      <c r="A32">
        <v>21</v>
      </c>
      <c r="B32" s="6" t="n">
        <v>107600.0791541659</v>
      </c>
      <c r="C32" s="9">
        <f t="shared" si="0"/>
        <v>4.7453956169726717E-2</v>
      </c>
      <c r="E32" s="371">
        <v>21</v>
      </c>
      <c r="F32" s="371" t="n">
        <v>107278.0</v>
      </c>
      <c r="G32" s="9">
        <f t="shared" si="1"/>
        <v>3.7838660122895218E-2</v>
      </c>
    </row>
    <row r="33" spans="1:7" x14ac:dyDescent="0.45">
      <c r="A33">
        <v>22</v>
      </c>
      <c r="B33" s="6" t="n">
        <v>72921.5623642005</v>
      </c>
      <c r="C33" s="9">
        <f t="shared" si="0"/>
        <v>3.2159982143700756E-2</v>
      </c>
      <c r="E33" s="371">
        <v>22</v>
      </c>
      <c r="F33" s="371" t="n">
        <v>114461.0</v>
      </c>
      <c r="G33" s="9">
        <f t="shared" si="1"/>
        <v>4.0254454666712271E-2</v>
      </c>
    </row>
    <row r="34" spans="1:7" x14ac:dyDescent="0.45">
      <c r="A34">
        <v>23</v>
      </c>
      <c r="B34" s="6" t="n">
        <v>63263.1592733378</v>
      </c>
      <c r="C34" s="9">
        <f t="shared" si="0"/>
        <v>2.7900418019341035E-2</v>
      </c>
      <c r="E34" s="371">
        <v>23</v>
      </c>
      <c r="F34" s="371" t="n">
        <v>103671.0</v>
      </c>
      <c r="G34" s="9">
        <f t="shared" si="1"/>
        <v>3.7096215670850578E-2</v>
      </c>
    </row>
    <row r="35" spans="1:7" x14ac:dyDescent="0.45">
      <c r="A35">
        <v>24</v>
      </c>
      <c r="B35" s="6" t="n">
        <v>83926.9010217318</v>
      </c>
      <c r="C35" s="9">
        <f t="shared" si="0"/>
        <v>3.7013573910480324E-2</v>
      </c>
      <c r="E35" s="371">
        <v>24</v>
      </c>
      <c r="F35" s="371" t="n">
        <v>72916.0</v>
      </c>
      <c r="G35" s="9">
        <f t="shared" si="1"/>
        <v>2.6586565318011332E-2</v>
      </c>
    </row>
    <row r="36" spans="1:7" x14ac:dyDescent="0.45">
      <c r="A36">
        <v>25</v>
      </c>
      <c r="B36" s="6" t="n">
        <v>51355.298671268996</v>
      </c>
      <c r="C36" s="9">
        <f t="shared" si="0"/>
        <v>2.264879460486225E-2</v>
      </c>
      <c r="E36" s="371">
        <v>25</v>
      </c>
      <c r="F36" s="371" t="n">
        <v>84480.0</v>
      </c>
      <c r="G36" s="9">
        <f t="shared" si="1"/>
        <v>3.012422050457722E-2</v>
      </c>
    </row>
    <row r="37" spans="1:7" x14ac:dyDescent="0.45">
      <c r="A37">
        <v>26</v>
      </c>
      <c r="B37" s="6" t="n">
        <v>82141.6613049422</v>
      </c>
      <c r="C37" s="9">
        <f t="shared" si="0"/>
        <v>3.6226244682296307E-2</v>
      </c>
      <c r="E37" s="371">
        <v>26</v>
      </c>
      <c r="F37" s="371" t="n">
        <v>82156.0</v>
      </c>
      <c r="G37" s="9">
        <f t="shared" si="1"/>
        <v>2.6974175473397404E-2</v>
      </c>
    </row>
    <row r="38" spans="1:7" x14ac:dyDescent="0.45">
      <c r="A38">
        <v>27</v>
      </c>
      <c r="B38" s="6" t="n">
        <v>55556.9176240146</v>
      </c>
      <c r="C38" s="9">
        <f t="shared" si="0"/>
        <v>2.4501799204792073E-2</v>
      </c>
      <c r="E38" s="371">
        <v>27</v>
      </c>
      <c r="F38" s="371" t="n">
        <v>66047.0</v>
      </c>
      <c r="G38" s="9">
        <f t="shared" si="1"/>
        <v>2.4375619891241151E-2</v>
      </c>
    </row>
    <row r="39" spans="1:7" x14ac:dyDescent="0.45">
      <c r="A39">
        <v>28</v>
      </c>
      <c r="B39" s="6" t="n">
        <v>62357.2688072419</v>
      </c>
      <c r="C39" s="9">
        <f t="shared" si="0"/>
        <v>2.7500900780965253E-2</v>
      </c>
      <c r="E39" s="371">
        <v>28</v>
      </c>
      <c r="F39" s="371" t="n">
        <v>69115.0</v>
      </c>
      <c r="G39" s="9">
        <f t="shared" si="1"/>
        <v>2.6949949838685774E-2</v>
      </c>
    </row>
    <row r="40" spans="1:7" x14ac:dyDescent="0.45">
      <c r="A40">
        <v>29</v>
      </c>
      <c r="B40" s="6" t="n">
        <v>51535.0302141344</v>
      </c>
      <c r="C40" s="9">
        <f t="shared" si="0"/>
        <v>2.2728060092624874E-2</v>
      </c>
      <c r="E40" s="371">
        <v>29</v>
      </c>
      <c r="F40" s="371" t="n">
        <v>72934.0</v>
      </c>
      <c r="G40" s="9">
        <f t="shared" si="1"/>
        <v>2.2967326743960691E-2</v>
      </c>
    </row>
    <row r="41" spans="1:7" x14ac:dyDescent="0.45">
      <c r="A41">
        <v>30</v>
      </c>
      <c r="B41" s="6" t="n">
        <v>58252.7162792023</v>
      </c>
      <c r="C41" s="9">
        <f t="shared" si="0"/>
        <v>2.5690704568350375E-2</v>
      </c>
      <c r="E41" s="371">
        <v>30</v>
      </c>
      <c r="F41" s="371" t="n">
        <v>58419.0</v>
      </c>
      <c r="G41" s="9">
        <f t="shared" si="1"/>
        <v>2.2099479006349967E-2</v>
      </c>
    </row>
    <row r="42" spans="1:7" x14ac:dyDescent="0.45">
      <c r="A42">
        <v>31</v>
      </c>
      <c r="B42" s="6" t="n">
        <v>39366.1801904863</v>
      </c>
      <c r="C42" s="9">
        <f t="shared" si="0"/>
        <v>1.7361334712889712E-2</v>
      </c>
      <c r="E42" s="371">
        <v>31</v>
      </c>
      <c r="F42" s="371" t="n">
        <v>61787.0</v>
      </c>
      <c r="G42" s="9">
        <f t="shared" si="1"/>
        <v>1.9327781387872361E-2</v>
      </c>
    </row>
    <row r="43" spans="1:7" x14ac:dyDescent="0.45">
      <c r="A43">
        <v>32</v>
      </c>
      <c r="B43" s="6" t="n">
        <v>42019.829387631704</v>
      </c>
      <c r="C43" s="9">
        <f t="shared" si="0"/>
        <v>1.8531651256158656E-2</v>
      </c>
      <c r="E43" s="371">
        <v>32</v>
      </c>
      <c r="F43" s="371" t="n">
        <v>56162.0</v>
      </c>
      <c r="G43" s="9">
        <f t="shared" si="1"/>
        <v>1.9927722106319185E-2</v>
      </c>
    </row>
    <row r="44" spans="1:7" x14ac:dyDescent="0.45">
      <c r="A44">
        <v>33</v>
      </c>
      <c r="B44" s="6" t="n">
        <v>47207.9746990884</v>
      </c>
      <c r="C44" s="9">
        <f t="shared" si="0"/>
        <v>2.081973526267035E-2</v>
      </c>
      <c r="E44" s="371">
        <v>33</v>
      </c>
      <c r="F44" s="371" t="n">
        <v>69022.0</v>
      </c>
      <c r="G44" s="9">
        <f t="shared" si="1"/>
        <v>2.3738984461392887E-2</v>
      </c>
    </row>
    <row r="45" spans="1:7" x14ac:dyDescent="0.45">
      <c r="A45">
        <v>34</v>
      </c>
      <c r="B45" s="6" t="n">
        <v>65899.2919475246</v>
      </c>
      <c r="C45" s="9">
        <f t="shared" si="0"/>
        <v>2.9063009398100276E-2</v>
      </c>
      <c r="E45" s="371">
        <v>34</v>
      </c>
      <c r="F45" s="371" t="n">
        <v>55525.0</v>
      </c>
      <c r="G45" s="9">
        <f t="shared" si="1"/>
        <v>2.0008949234469942E-2</v>
      </c>
    </row>
    <row r="46" spans="1:7" x14ac:dyDescent="0.45">
      <c r="A46">
        <v>35</v>
      </c>
      <c r="B46" s="6" t="n">
        <v>42405.1846177952</v>
      </c>
      <c r="C46" s="9">
        <f t="shared" si="0"/>
        <v>1.8701601225951461E-2</v>
      </c>
      <c r="E46" s="371">
        <v>35</v>
      </c>
      <c r="F46" s="371" t="n">
        <v>44178.0</v>
      </c>
      <c r="G46" s="9">
        <f t="shared" si="1"/>
        <v>1.682719712256461E-2</v>
      </c>
    </row>
    <row r="47" spans="1:7" x14ac:dyDescent="0.45">
      <c r="A47">
        <v>36</v>
      </c>
      <c r="B47" s="6" t="n">
        <v>29733.4662834582</v>
      </c>
      <c r="C47" s="9">
        <f t="shared" si="0"/>
        <v>1.3113100072795297E-2</v>
      </c>
      <c r="E47" s="371">
        <v>36</v>
      </c>
      <c r="F47" s="371" t="n">
        <v>36546.0</v>
      </c>
      <c r="G47" s="9">
        <f t="shared" si="1"/>
        <v>1.377227333356134E-2</v>
      </c>
    </row>
    <row r="48" spans="1:7" x14ac:dyDescent="0.45">
      <c r="A48">
        <v>37</v>
      </c>
      <c r="B48" s="6" t="n">
        <v>39459.7565063371</v>
      </c>
      <c r="C48" s="9">
        <f t="shared" si="0"/>
        <v>1.7402603886907196E-2</v>
      </c>
      <c r="E48" s="371">
        <v>37</v>
      </c>
      <c r="F48" s="371" t="n">
        <v>37970.0</v>
      </c>
      <c r="G48" s="9">
        <f t="shared" si="1"/>
        <v>1.5127840099410605E-2</v>
      </c>
    </row>
    <row r="49" spans="1:7" x14ac:dyDescent="0.45">
      <c r="A49">
        <v>38</v>
      </c>
      <c r="B49" s="6" t="n">
        <v>49950.4677449011</v>
      </c>
      <c r="C49" s="9">
        <f t="shared" si="0"/>
        <v>2.2029233859835066E-2</v>
      </c>
      <c r="E49" s="371">
        <v>38</v>
      </c>
      <c r="F49" s="371" t="n">
        <v>42020.0</v>
      </c>
      <c r="G49" s="9">
        <f t="shared" si="1"/>
        <v>1.2547810002622069E-2</v>
      </c>
    </row>
    <row r="50" spans="1:7" x14ac:dyDescent="0.45">
      <c r="A50">
        <v>39</v>
      </c>
      <c r="B50" s="6" t="n">
        <v>26826.9801566843</v>
      </c>
      <c r="C50" s="9">
        <f t="shared" si="0"/>
        <v>1.1831276989094457E-2</v>
      </c>
      <c r="E50" s="371">
        <v>39</v>
      </c>
      <c r="F50" s="371" t="n">
        <v>36236.0</v>
      </c>
      <c r="G50" s="9">
        <f t="shared" si="1"/>
        <v>1.2920101006646374E-2</v>
      </c>
    </row>
    <row r="51" spans="1:7" x14ac:dyDescent="0.45">
      <c r="A51">
        <v>40</v>
      </c>
      <c r="B51" s="6" t="n">
        <v>22806.5623389667</v>
      </c>
      <c r="C51" s="9">
        <f t="shared" si="0"/>
        <v>1.005818599877456E-2</v>
      </c>
      <c r="E51" s="371">
        <v>40</v>
      </c>
      <c r="F51" s="371" t="n">
        <v>27988.0</v>
      </c>
      <c r="G51" s="9">
        <f t="shared" si="1"/>
        <v>9.9752613518474184E-3</v>
      </c>
    </row>
    <row r="52" spans="1:7" x14ac:dyDescent="0.45">
      <c r="A52">
        <v>41</v>
      </c>
      <c r="B52" s="6" t="n">
        <v>34178.4904173338</v>
      </c>
      <c r="C52" s="9">
        <f t="shared" si="0"/>
        <v>1.5073451608597523E-2</v>
      </c>
      <c r="E52" s="371">
        <v>41</v>
      </c>
      <c r="F52" s="371" t="n">
        <v>35548.0</v>
      </c>
      <c r="G52" s="9">
        <f t="shared" si="1"/>
        <v>1.1930768836143506E-2</v>
      </c>
    </row>
    <row r="53" spans="1:7" x14ac:dyDescent="0.45">
      <c r="A53">
        <v>42</v>
      </c>
      <c r="B53" s="6" t="n">
        <v>16748.1320321737</v>
      </c>
      <c r="C53" s="9">
        <f t="shared" si="0"/>
        <v>7.3862875346109467E-3</v>
      </c>
      <c r="E53" s="371">
        <v>42</v>
      </c>
      <c r="F53" s="371" t="n">
        <v>28701.0</v>
      </c>
      <c r="G53" s="9">
        <f t="shared" si="1"/>
        <v>9.15800243966392E-3</v>
      </c>
    </row>
    <row r="54" spans="1:7" x14ac:dyDescent="0.45">
      <c r="A54">
        <v>43</v>
      </c>
      <c r="B54" s="6" t="n">
        <v>23369.8926176147</v>
      </c>
      <c r="C54" s="9">
        <f t="shared" si="0"/>
        <v>1.0306626804415055E-2</v>
      </c>
      <c r="E54" s="371">
        <v>43</v>
      </c>
      <c r="F54" s="371" t="n">
        <v>25940.0</v>
      </c>
      <c r="G54" s="9">
        <f t="shared" si="1"/>
        <v>1.0867334724169774E-2</v>
      </c>
    </row>
    <row r="55" spans="1:7" x14ac:dyDescent="0.45">
      <c r="A55">
        <v>44</v>
      </c>
      <c r="B55" s="6" t="n">
        <v>16419.2491607173</v>
      </c>
      <c r="C55" s="9">
        <f t="shared" si="0"/>
        <v>7.24124309328944E-3</v>
      </c>
      <c r="E55" s="371">
        <v>44</v>
      </c>
      <c r="F55" s="371" t="n">
        <v>26802.0</v>
      </c>
      <c r="G55" s="9">
        <f t="shared" si="1"/>
        <v>9.8028318341940555E-3</v>
      </c>
    </row>
    <row r="56" spans="1:7" x14ac:dyDescent="0.45">
      <c r="A56">
        <v>45</v>
      </c>
      <c r="B56" s="6" t="n">
        <v>78303.9627850625</v>
      </c>
      <c r="C56" s="9">
        <f t="shared" si="0"/>
        <v>3.4533736844136916E-2</v>
      </c>
      <c r="E56" s="371">
        <v>45</v>
      </c>
      <c r="F56" s="371" t="n">
        <v>20274.0</v>
      </c>
      <c r="G56" s="9">
        <f t="shared" si="1"/>
        <v>9.1013572055587862E-3</v>
      </c>
    </row>
    <row r="57" spans="1:7" x14ac:dyDescent="0.45">
      <c r="A57">
        <v>46</v>
      </c>
      <c r="B57" s="6" t="n">
        <v>22627.2471930562</v>
      </c>
      <c r="C57" s="9">
        <f t="shared" si="0"/>
        <v>9.9791041510519998E-3</v>
      </c>
      <c r="E57" s="371">
        <v>46</v>
      </c>
      <c r="F57" s="371" t="n">
        <v>18585.0</v>
      </c>
      <c r="G57" s="9">
        <f t="shared" si="1"/>
        <v>7.3485612823055964E-3</v>
      </c>
    </row>
    <row r="58" spans="1:7" x14ac:dyDescent="0.45">
      <c r="A58">
        <v>47</v>
      </c>
      <c r="B58" s="6" t="n">
        <v>19452.7884863026</v>
      </c>
      <c r="C58" s="9">
        <f t="shared" si="0"/>
        <v>8.5790993785921244E-3</v>
      </c>
      <c r="E58" s="371">
        <v>47</v>
      </c>
      <c r="F58" s="371" t="n">
        <v>17438.0</v>
      </c>
      <c r="G58" s="9">
        <f t="shared" si="1"/>
        <v>7.3225543509239941E-3</v>
      </c>
    </row>
    <row r="59" spans="1:7" x14ac:dyDescent="0.45">
      <c r="A59">
        <v>48</v>
      </c>
      <c r="B59" s="6" t="n">
        <v>16817.7551480508</v>
      </c>
      <c r="C59" s="9">
        <f t="shared" si="0"/>
        <v>7.4169928306962599E-3</v>
      </c>
      <c r="E59" s="371">
        <v>48</v>
      </c>
      <c r="F59" s="371" t="n">
        <v>21784.0</v>
      </c>
      <c r="G59" s="9">
        <f t="shared" si="1"/>
        <v>6.1686303681156443E-3</v>
      </c>
    </row>
    <row r="60" spans="1:7" x14ac:dyDescent="0.45">
      <c r="A60">
        <v>49</v>
      </c>
      <c r="B60" s="6" t="n">
        <v>10864.1708488704</v>
      </c>
      <c r="C60" s="9">
        <f t="shared" si="0"/>
        <v>4.7913337177387981E-3</v>
      </c>
      <c r="E60" s="371">
        <v>49</v>
      </c>
      <c r="F60" s="371" t="n">
        <v>19863.0</v>
      </c>
      <c r="G60" s="9">
        <f t="shared" si="1"/>
        <v>6.1885808908193393E-3</v>
      </c>
    </row>
    <row r="61" spans="1:7" x14ac:dyDescent="0.45">
      <c r="A61">
        <v>50</v>
      </c>
      <c r="B61" s="6" t="n">
        <v>13469.7626508183</v>
      </c>
      <c r="C61" s="9">
        <f t="shared" si="0"/>
        <v>5.9404559129806753E-3</v>
      </c>
      <c r="E61" s="371">
        <v>50</v>
      </c>
      <c r="F61" s="371" t="n">
        <v>13548.0</v>
      </c>
      <c r="G61" s="9">
        <f t="shared" si="1"/>
        <v>5.7560820593499547E-3</v>
      </c>
    </row>
    <row r="62" spans="1:7" x14ac:dyDescent="0.45">
      <c r="A62">
        <v>51</v>
      </c>
      <c r="B62" s="6" t="n">
        <v>10416.5379670777</v>
      </c>
      <c r="C62" s="9">
        <f t="shared" si="0"/>
        <v>4.5939179600581323E-3</v>
      </c>
      <c r="E62" s="371">
        <v>51</v>
      </c>
      <c r="F62" s="371" t="n">
        <v>14648.0</v>
      </c>
      <c r="G62" s="9">
        <f t="shared" si="1"/>
        <v>4.913884993786837E-3</v>
      </c>
    </row>
    <row r="63" spans="1:7" x14ac:dyDescent="0.45">
      <c r="A63">
        <v>52</v>
      </c>
      <c r="B63" s="6" t="n">
        <v>14889.9035465995</v>
      </c>
      <c r="C63" s="9">
        <f t="shared" si="0"/>
        <v>6.5667686848019814E-3</v>
      </c>
      <c r="E63" s="371">
        <v>52</v>
      </c>
      <c r="F63" s="371" t="n">
        <v>16654.0</v>
      </c>
      <c r="G63" s="9">
        <f t="shared" si="1"/>
        <v>5.3627717546199712E-3</v>
      </c>
    </row>
    <row r="64" spans="1:7" x14ac:dyDescent="0.45">
      <c r="A64">
        <v>53</v>
      </c>
      <c r="B64" s="6" t="n">
        <v>11651.6865954139</v>
      </c>
      <c r="C64" s="9">
        <f t="shared" si="0"/>
        <v>5.1386451510872927E-3</v>
      </c>
      <c r="E64" s="371">
        <v>53</v>
      </c>
      <c r="F64" s="371" t="n">
        <v>12017.0</v>
      </c>
      <c r="G64" s="9">
        <f t="shared" si="1"/>
        <v>4.1778532097540956E-3</v>
      </c>
    </row>
    <row r="65" spans="1:7" x14ac:dyDescent="0.45">
      <c r="A65">
        <v>54</v>
      </c>
      <c r="B65" s="6" t="n">
        <v>9859.3833991214</v>
      </c>
      <c r="C65" s="9">
        <f t="shared" si="0"/>
        <v>4.3482007760616403E-3</v>
      </c>
      <c r="E65" s="371">
        <v>54</v>
      </c>
      <c r="F65" s="371" t="n">
        <v>13339.0</v>
      </c>
      <c r="G65" s="9">
        <f t="shared" si="1"/>
        <v>4.3185756466819431E-3</v>
      </c>
    </row>
    <row r="66" spans="1:7" x14ac:dyDescent="0.45">
      <c r="A66">
        <v>55</v>
      </c>
      <c r="B66" s="6" t="n">
        <v>13916.8931184971</v>
      </c>
      <c r="C66" s="9">
        <f t="shared" si="0"/>
        <v>6.1376500951985024E-3</v>
      </c>
      <c r="E66" s="371">
        <v>55</v>
      </c>
      <c r="F66" s="371" t="n">
        <v>9117.0</v>
      </c>
      <c r="G66" s="9">
        <f t="shared" si="1"/>
        <v>6.7051569251114383E-3</v>
      </c>
    </row>
    <row r="67" spans="1:7" x14ac:dyDescent="0.45">
      <c r="A67">
        <v>56</v>
      </c>
      <c r="B67" s="6" t="n">
        <v>7311.7558387176</v>
      </c>
      <c r="C67" s="9">
        <f t="shared" si="0"/>
        <v>3.2246420618066512E-3</v>
      </c>
      <c r="E67" s="371">
        <v>56</v>
      </c>
      <c r="F67" s="371" t="n">
        <v>17939.0</v>
      </c>
      <c r="G67" s="9">
        <f t="shared" si="1"/>
        <v>3.2825735034257898E-3</v>
      </c>
    </row>
    <row r="68" spans="1:7" x14ac:dyDescent="0.45">
      <c r="A68">
        <v>57</v>
      </c>
      <c r="B68" s="6" t="n">
        <v>4446.7276208381</v>
      </c>
      <c r="C68" s="9">
        <f t="shared" si="0"/>
        <v>1.9611028103021112E-3</v>
      </c>
      <c r="E68" s="371">
        <v>57</v>
      </c>
      <c r="F68" s="371" t="n">
        <v>7800.0</v>
      </c>
      <c r="G68" s="9">
        <f t="shared" si="1"/>
        <v>3.2259282693206564E-3</v>
      </c>
    </row>
    <row r="69" spans="1:7" x14ac:dyDescent="0.45">
      <c r="A69">
        <v>58</v>
      </c>
      <c r="B69" s="6" t="n">
        <v>5162.9732608134</v>
      </c>
      <c r="C69" s="9">
        <f t="shared" si="0"/>
        <v>2.276982589139893E-3</v>
      </c>
      <c r="E69" s="371">
        <v>58</v>
      </c>
      <c r="F69" s="371" t="n">
        <v>8518.0</v>
      </c>
      <c r="G69" s="9">
        <f t="shared" si="1"/>
        <v>3.3249683641711414E-3</v>
      </c>
    </row>
    <row r="70" spans="1:7" x14ac:dyDescent="0.45">
      <c r="A70">
        <v>59</v>
      </c>
      <c r="B70" s="6" t="n">
        <v>6637.0448324079</v>
      </c>
      <c r="C70" s="9">
        <f t="shared" si="0"/>
        <v>2.9270799524444566E-3</v>
      </c>
      <c r="E70" s="371">
        <v>59</v>
      </c>
      <c r="F70" s="371" t="n">
        <v>8805.0</v>
      </c>
      <c r="G70" s="9">
        <f t="shared" si="1"/>
        <v>3.6876403661775937E-3</v>
      </c>
    </row>
    <row r="71" spans="1:7" x14ac:dyDescent="0.45">
      <c r="A71">
        <v>60</v>
      </c>
      <c r="B71" s="6" t="n">
        <v>6401.8810918365</v>
      </c>
      <c r="C71" s="9">
        <f t="shared" si="0"/>
        <v>2.8233676696514734E-3</v>
      </c>
      <c r="E71" s="371">
        <v>60</v>
      </c>
      <c r="F71" s="371" t="n">
        <v>7155.0</v>
      </c>
      <c r="G71" s="9">
        <f t="shared" si="1"/>
        <v>3.0705991996990323E-3</v>
      </c>
    </row>
    <row r="72" spans="1:7" x14ac:dyDescent="0.45">
      <c r="A72">
        <v>61</v>
      </c>
      <c r="B72" s="6" t="n">
        <v>11655.4694613099</v>
      </c>
      <c r="C72" s="9">
        <f t="shared" si="0"/>
        <v>5.1403134765554137E-3</v>
      </c>
      <c r="E72" s="371">
        <v>61</v>
      </c>
      <c r="F72" s="371" t="n">
        <v>7512.0</v>
      </c>
      <c r="G72" s="9">
        <f t="shared" si="1"/>
        <v>2.4453640685385956E-3</v>
      </c>
    </row>
    <row r="73" spans="1:7" x14ac:dyDescent="0.45">
      <c r="A73">
        <v>62</v>
      </c>
      <c r="B73" s="6" t="n">
        <v>4935.535422183</v>
      </c>
      <c r="C73" s="9">
        <f t="shared" si="0"/>
        <v>2.1766775957742213E-3</v>
      </c>
      <c r="E73" s="371">
        <v>62</v>
      </c>
      <c r="F73" s="371" t="n">
        <v>6593.0</v>
      </c>
      <c r="G73" s="9">
        <f t="shared" si="1"/>
        <v>2.4674521472462579E-3</v>
      </c>
    </row>
    <row r="74" spans="1:7" x14ac:dyDescent="0.45">
      <c r="A74">
        <v>63</v>
      </c>
      <c r="B74" s="6" t="n">
        <v>3688.8441649693</v>
      </c>
      <c r="C74" s="9">
        <f t="shared" si="0"/>
        <v>1.6268598564002819E-3</v>
      </c>
      <c r="E74" s="371">
        <v>63</v>
      </c>
      <c r="F74" s="371" t="n">
        <v>7611.0</v>
      </c>
      <c r="G74" s="9">
        <f t="shared" si="1"/>
        <v>2.4450078092046012E-3</v>
      </c>
    </row>
    <row r="75" spans="1:7" x14ac:dyDescent="0.45">
      <c r="A75">
        <v>64</v>
      </c>
      <c r="B75" s="6" t="n">
        <v>2942.699904596</v>
      </c>
      <c r="C75" s="9">
        <f t="shared" si="0"/>
        <v>1.2977941409623127E-3</v>
      </c>
      <c r="E75" s="371">
        <v>64</v>
      </c>
      <c r="F75" s="371" t="n">
        <v>6548.0</v>
      </c>
      <c r="G75" s="9">
        <f t="shared" si="1"/>
        <v>2.1660567506868681E-3</v>
      </c>
    </row>
    <row r="76" spans="1:7" x14ac:dyDescent="0.45">
      <c r="A76">
        <v>65</v>
      </c>
      <c r="B76" s="6" t="n">
        <v>5892.5558191137</v>
      </c>
      <c r="C76" s="9">
        <f t="shared" si="0"/>
        <v>2.5987442366771111E-3</v>
      </c>
      <c r="E76" s="371">
        <v>65</v>
      </c>
      <c r="F76" s="371" t="n">
        <v>4338.0</v>
      </c>
      <c r="G76" s="9">
        <f t="shared" si="1"/>
        <v>2.066304137168394E-3</v>
      </c>
    </row>
    <row r="77" spans="1:7" x14ac:dyDescent="0.45">
      <c r="A77">
        <v>66</v>
      </c>
      <c r="B77" s="6" t="n">
        <v>4155.034293272</v>
      </c>
      <c r="C77" s="9">
        <f t="shared" ref="C77:C102" si="2">B77/B$102</f>
        <v>1.832459760128411E-3</v>
      </c>
      <c r="E77" s="371">
        <v>66</v>
      </c>
      <c r="F77" s="371" t="n">
        <v>5494.0</v>
      </c>
      <c r="G77" s="9">
        <f t="shared" ref="G77:G102" si="3">F77/F$102</f>
        <v>1.7638399626070203E-3</v>
      </c>
    </row>
    <row r="78" spans="1:7" x14ac:dyDescent="0.45">
      <c r="A78">
        <v>67</v>
      </c>
      <c r="B78" s="6" t="n">
        <v>6053.7855554197</v>
      </c>
      <c r="C78" s="9">
        <f t="shared" si="2"/>
        <v>2.669850028606497E-3</v>
      </c>
      <c r="E78" s="371">
        <v>67</v>
      </c>
      <c r="F78" s="371" t="n">
        <v>7815.0</v>
      </c>
      <c r="G78" s="9">
        <f t="shared" si="3"/>
        <v>1.7848592633126989E-3</v>
      </c>
    </row>
    <row r="79" spans="1:7" x14ac:dyDescent="0.45">
      <c r="A79">
        <v>68</v>
      </c>
      <c r="B79" s="6" t="n">
        <v>1592.181722849</v>
      </c>
      <c r="C79" s="9">
        <f t="shared" si="2"/>
        <v>7.0218648800493165E-4</v>
      </c>
      <c r="E79" s="371">
        <v>68</v>
      </c>
      <c r="F79" s="371" t="n">
        <v>3900.0</v>
      </c>
      <c r="G79" s="9">
        <f t="shared" si="3"/>
        <v>1.332766168473614E-3</v>
      </c>
    </row>
    <row r="80" spans="1:7" x14ac:dyDescent="0.45">
      <c r="A80">
        <v>69</v>
      </c>
      <c r="B80" s="6" t="n">
        <v>4028.6973121152</v>
      </c>
      <c r="C80" s="9">
        <f t="shared" si="2"/>
        <v>1.7767424259632508E-3</v>
      </c>
      <c r="E80" s="371">
        <v>69</v>
      </c>
      <c r="F80" s="371" t="n">
        <v>3634.0</v>
      </c>
      <c r="G80" s="9">
        <f t="shared" si="3"/>
        <v>1.2533203369928293E-3</v>
      </c>
    </row>
    <row r="81" spans="1:7" x14ac:dyDescent="0.45">
      <c r="A81">
        <v>70</v>
      </c>
      <c r="B81" s="6" t="n">
        <v>7374.5215670546</v>
      </c>
      <c r="C81" s="9">
        <f t="shared" si="2"/>
        <v>3.2523231020519607E-3</v>
      </c>
      <c r="E81" s="371">
        <v>70</v>
      </c>
      <c r="F81" s="371" t="n">
        <v>3494.0</v>
      </c>
      <c r="G81" s="9">
        <f t="shared" si="3"/>
        <v>1.4460566366838812E-3</v>
      </c>
    </row>
    <row r="82" spans="1:7" x14ac:dyDescent="0.45">
      <c r="A82">
        <v>71</v>
      </c>
      <c r="B82" s="6" t="n">
        <v>1567.8307832096</v>
      </c>
      <c r="C82" s="9">
        <f t="shared" si="2"/>
        <v>6.9144719829972515E-4</v>
      </c>
      <c r="E82" s="371">
        <v>71</v>
      </c>
      <c r="F82" s="371" t="n">
        <v>4604.0</v>
      </c>
      <c r="G82" s="9">
        <f t="shared" si="3"/>
        <v>1.213775550919434E-3</v>
      </c>
    </row>
    <row r="83" spans="1:7" x14ac:dyDescent="0.45">
      <c r="A83">
        <v>72</v>
      </c>
      <c r="B83" s="6" t="n">
        <v>11656.6625317656</v>
      </c>
      <c r="C83" s="9">
        <f t="shared" si="2"/>
        <v>5.140839646364556E-3</v>
      </c>
      <c r="E83" s="371">
        <v>72</v>
      </c>
      <c r="F83" s="371" t="n">
        <v>2934.0</v>
      </c>
      <c r="G83" s="9">
        <f t="shared" si="3"/>
        <v>1.5589908455601537E-3</v>
      </c>
    </row>
    <row r="84" spans="1:7" x14ac:dyDescent="0.45">
      <c r="A84">
        <v>73</v>
      </c>
      <c r="B84" s="6" t="n">
        <v>3696.5753452032</v>
      </c>
      <c r="C84" s="9">
        <f t="shared" si="2"/>
        <v>1.6302694736686307E-3</v>
      </c>
      <c r="E84" s="371">
        <v>73</v>
      </c>
      <c r="F84" s="371" t="n">
        <v>2878.0</v>
      </c>
      <c r="G84" s="9">
        <f t="shared" si="3"/>
        <v>1.1261357547567746E-3</v>
      </c>
    </row>
    <row r="85" spans="1:7" x14ac:dyDescent="0.45">
      <c r="A85">
        <v>74</v>
      </c>
      <c r="B85" s="6" t="n">
        <v>7720.0441044545</v>
      </c>
      <c r="C85" s="9">
        <f t="shared" si="2"/>
        <v>3.4047059950230276E-3</v>
      </c>
      <c r="E85" s="371">
        <v>74</v>
      </c>
      <c r="F85" s="371" t="n">
        <v>3383.0</v>
      </c>
      <c r="G85" s="9">
        <f t="shared" si="3"/>
        <v>1.0356458839221587E-3</v>
      </c>
    </row>
    <row r="86" spans="1:7" x14ac:dyDescent="0.45">
      <c r="A86">
        <v>75</v>
      </c>
      <c r="B86" s="6" t="n">
        <v>5444.093177335</v>
      </c>
      <c r="C86" s="9">
        <f t="shared" si="2"/>
        <v>2.4009625369421595E-3</v>
      </c>
      <c r="E86" s="371">
        <v>75</v>
      </c>
      <c r="F86" s="371" t="n">
        <v>2189.0</v>
      </c>
      <c r="G86" s="9">
        <f t="shared" si="3"/>
        <v>1.0541713692898754E-3</v>
      </c>
    </row>
    <row r="87" spans="1:7" x14ac:dyDescent="0.45">
      <c r="A87">
        <v>76</v>
      </c>
      <c r="B87" s="6" t="n">
        <v>5967.730672062</v>
      </c>
      <c r="C87" s="9">
        <f t="shared" si="2"/>
        <v>2.6318979685787682E-3</v>
      </c>
      <c r="E87" s="371">
        <v>76</v>
      </c>
      <c r="F87" s="371" t="n">
        <v>2761.0</v>
      </c>
      <c r="G87" s="9">
        <f t="shared" si="3"/>
        <v>7.5740734407241475E-4</v>
      </c>
    </row>
    <row r="88" spans="1:7" x14ac:dyDescent="0.45">
      <c r="A88">
        <v>77</v>
      </c>
      <c r="B88" s="6" t="n">
        <v>8134.7387629777</v>
      </c>
      <c r="C88" s="9">
        <f t="shared" si="2"/>
        <v>3.5875952856636458E-3</v>
      </c>
      <c r="E88" s="371">
        <v>77</v>
      </c>
      <c r="F88" s="371" t="n">
        <v>2041.0</v>
      </c>
      <c r="G88" s="9">
        <f t="shared" si="3"/>
        <v>7.4992589805852915E-4</v>
      </c>
    </row>
    <row r="89" spans="1:7" x14ac:dyDescent="0.45">
      <c r="A89">
        <v>78</v>
      </c>
      <c r="B89" s="6" t="n">
        <v>2079.23907002</v>
      </c>
      <c r="C89" s="9">
        <f t="shared" si="2"/>
        <v>9.1698928542370247E-4</v>
      </c>
      <c r="E89" s="371">
        <v>78</v>
      </c>
      <c r="F89" s="371" t="n">
        <v>1954.0</v>
      </c>
      <c r="G89" s="9">
        <f t="shared" si="3"/>
        <v>9.0026733700422949E-4</v>
      </c>
    </row>
    <row r="90" spans="1:7" x14ac:dyDescent="0.45">
      <c r="A90">
        <v>79</v>
      </c>
      <c r="B90" s="6" t="n">
        <v>4368.2174773080005</v>
      </c>
      <c r="C90" s="9">
        <f t="shared" si="2"/>
        <v>1.9264781433014637E-3</v>
      </c>
      <c r="E90" s="371">
        <v>79</v>
      </c>
      <c r="F90" s="371" t="n">
        <v>1556.0</v>
      </c>
      <c r="G90" s="9">
        <f t="shared" si="3"/>
        <v>7.7023268009621853E-4</v>
      </c>
    </row>
    <row r="91" spans="1:7" x14ac:dyDescent="0.45">
      <c r="A91">
        <v>80</v>
      </c>
      <c r="B91" s="6" t="n">
        <v>5711.655378544599</v>
      </c>
      <c r="C91" s="9">
        <f t="shared" si="2"/>
        <v>2.5189632398104561E-3</v>
      </c>
      <c r="E91" s="371">
        <v>80</v>
      </c>
      <c r="F91" s="371" t="n">
        <v>1484.0</v>
      </c>
      <c r="G91" s="9">
        <f t="shared" si="3"/>
        <v>7.6488879008630023E-4</v>
      </c>
    </row>
    <row r="92" spans="1:7" x14ac:dyDescent="0.45">
      <c r="A92">
        <v>81</v>
      </c>
      <c r="B92" s="6" t="n">
        <v>2193.4293356089997</v>
      </c>
      <c r="C92" s="9">
        <f t="shared" si="2"/>
        <v>9.6734965598166455E-4</v>
      </c>
      <c r="E92" s="371">
        <v>81</v>
      </c>
      <c r="F92" s="371" t="n">
        <v>1547.0</v>
      </c>
      <c r="G92" s="9">
        <f t="shared" si="3"/>
        <v>5.8533408575304677E-4</v>
      </c>
    </row>
    <row r="93" spans="1:7" x14ac:dyDescent="0.45">
      <c r="A93">
        <v>82</v>
      </c>
      <c r="B93" s="6" t="n">
        <v>9498.3727614091</v>
      </c>
      <c r="C93" s="9">
        <f t="shared" si="2"/>
        <v>4.1889872967271202E-3</v>
      </c>
      <c r="E93" s="371">
        <v>82</v>
      </c>
      <c r="F93" s="371" t="n">
        <v>1610.0</v>
      </c>
      <c r="G93" s="9">
        <f t="shared" si="3"/>
        <v>5.6502730371535729E-4</v>
      </c>
    </row>
    <row r="94" spans="1:7" x14ac:dyDescent="0.45">
      <c r="A94">
        <v>83</v>
      </c>
      <c r="B94" s="6" t="n">
        <v>5403.1790240475</v>
      </c>
      <c r="C94" s="9">
        <f t="shared" si="2"/>
        <v>2.3829185126989735E-3</v>
      </c>
      <c r="E94" s="371">
        <v>83</v>
      </c>
      <c r="F94" s="371" t="n">
        <v>1360.0</v>
      </c>
      <c r="G94" s="9">
        <f t="shared" si="3"/>
        <v>4.5138057617109568E-4</v>
      </c>
    </row>
    <row r="95" spans="1:7" x14ac:dyDescent="0.45">
      <c r="A95">
        <v>84</v>
      </c>
      <c r="B95" s="6" t="n">
        <v>3207.608601018</v>
      </c>
      <c r="C95" s="9">
        <f t="shared" si="2"/>
        <v>1.4146245909750655E-3</v>
      </c>
      <c r="E95" s="371">
        <v>84</v>
      </c>
      <c r="F95" s="371" t="n">
        <v>1240.0</v>
      </c>
      <c r="G95" s="9">
        <f t="shared" si="3"/>
        <v>4.4710546416316108E-4</v>
      </c>
    </row>
    <row r="96" spans="1:7" x14ac:dyDescent="0.45">
      <c r="A96">
        <v>85</v>
      </c>
      <c r="B96" s="6" t="n">
        <v>3556.3916417300998</v>
      </c>
      <c r="C96" s="9">
        <f t="shared" si="2"/>
        <v>1.5684454362458395E-3</v>
      </c>
      <c r="E96" s="371">
        <v>85</v>
      </c>
      <c r="F96" s="371" t="n">
        <v>1158.0</v>
      </c>
      <c r="G96" s="9">
        <f t="shared" si="3"/>
        <v>4.5244935417307932E-4</v>
      </c>
    </row>
    <row r="97" spans="1:7" x14ac:dyDescent="0.45">
      <c r="A97">
        <v>86</v>
      </c>
      <c r="B97" s="6" t="n">
        <v>8154.8321200373</v>
      </c>
      <c r="C97" s="9">
        <f t="shared" si="2"/>
        <v>3.5964568896020848E-3</v>
      </c>
      <c r="E97" s="371">
        <v>86</v>
      </c>
      <c r="F97" s="371" t="n">
        <v>901.0</v>
      </c>
      <c r="G97" s="9">
        <f t="shared" si="3"/>
        <v>4.0364182541582591E-4</v>
      </c>
    </row>
    <row r="98" spans="1:7" x14ac:dyDescent="0.45">
      <c r="A98">
        <v>87</v>
      </c>
      <c r="B98" s="6" t="n">
        <v>1438.7523178411</v>
      </c>
      <c r="C98" s="9">
        <f t="shared" si="2"/>
        <v>6.3452081045500721E-4</v>
      </c>
      <c r="E98" s="371">
        <v>87</v>
      </c>
      <c r="F98" s="371" t="n">
        <v>890.0</v>
      </c>
      <c r="G98" s="9">
        <f t="shared" si="3"/>
        <v>3.320336992829212E-4</v>
      </c>
    </row>
    <row r="99" spans="1:7" x14ac:dyDescent="0.45">
      <c r="A99">
        <v>88</v>
      </c>
      <c r="B99" s="6" t="n">
        <v>2191.2054852572</v>
      </c>
      <c r="C99" s="9">
        <f t="shared" si="2"/>
        <v>9.6636889000126854E-4</v>
      </c>
      <c r="E99" s="371">
        <v>88</v>
      </c>
      <c r="F99" s="371" t="n">
        <v>1033.0</v>
      </c>
      <c r="G99" s="9">
        <f t="shared" si="3"/>
        <v>3.5697185266253978E-4</v>
      </c>
    </row>
    <row r="100" spans="1:7" x14ac:dyDescent="0.45">
      <c r="A100">
        <v>89</v>
      </c>
      <c r="B100" s="6" t="n">
        <v>6096.0213704741</v>
      </c>
      <c r="C100" s="9">
        <f t="shared" si="2"/>
        <v>2.6884769342011717E-3</v>
      </c>
      <c r="E100" s="371">
        <v>89</v>
      </c>
      <c r="F100" s="371" t="n">
        <v>1027.0</v>
      </c>
      <c r="G100" s="9">
        <f t="shared" si="3"/>
        <v>3.0567050856732445E-4</v>
      </c>
    </row>
    <row r="101" spans="1:7" ht="14.65" thickBot="1" x14ac:dyDescent="0.5">
      <c r="A101" s="1">
        <v>90</v>
      </c>
      <c r="B101" s="7" t="n">
        <v>54382.1010922642</v>
      </c>
      <c r="C101" s="9">
        <f t="shared" si="2"/>
        <v>2.3983679769905068E-2</v>
      </c>
      <c r="E101" s="372">
        <v>90</v>
      </c>
      <c r="F101" s="372" t="n">
        <v>18550.0</v>
      </c>
      <c r="G101" s="9">
        <f t="shared" si="3"/>
        <v>7.8523119805738919E-3</v>
      </c>
    </row>
    <row r="102" spans="1:7" x14ac:dyDescent="0.45">
      <c r="B102" s="6">
        <f>SUM(B11:B101)</f>
        <v>2267462.7752703461</v>
      </c>
      <c r="C102" s="9">
        <f t="shared" si="2"/>
        <v>1</v>
      </c>
      <c r="F102" s="6">
        <f>SUM(F11:F101)</f>
        <v>2806944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59197.431251041104</v>
      </c>
      <c r="C11" s="9">
        <f>B11/B$102</f>
        <v>6.7908804863944364E-2</v>
      </c>
      <c r="E11" s="371">
        <v>0</v>
      </c>
      <c r="F11" s="371" t="n">
        <v>119754.0</v>
      </c>
      <c r="G11" s="9">
        <f>F11/F$102</f>
        <v>0.15304654175649174</v>
      </c>
      <c r="K11" s="6" t="n">
        <v>6.0348967635956425</v>
      </c>
      <c r="L11" s="6" t="n">
        <v>4.7991813737906615</v>
      </c>
    </row>
    <row r="12" spans="1:12" x14ac:dyDescent="0.45">
      <c r="A12">
        <v>1</v>
      </c>
      <c r="B12" s="6" t="n">
        <v>43875.6146879342</v>
      </c>
      <c r="C12" s="9">
        <f>B12/B$102</f>
        <v>5.0332260930260102E-2</v>
      </c>
      <c r="E12" s="371">
        <v>1</v>
      </c>
      <c r="F12" s="371" t="n">
        <v>115788.0</v>
      </c>
      <c r="G12" s="9">
        <f>F12/F$102</f>
        <v>0.14844050039173115</v>
      </c>
      <c r="K12" s="6"/>
      <c r="L12" s="371"/>
    </row>
    <row r="13" spans="1:12" x14ac:dyDescent="0.45">
      <c r="A13">
        <v>2</v>
      </c>
      <c r="B13" s="6" t="n">
        <v>56232.611562098</v>
      </c>
      <c r="C13" s="9">
        <f t="shared" ref="C13:C76" si="0">B13/B$102</f>
        <v>6.4507688338137734E-2</v>
      </c>
      <c r="E13" s="371">
        <v>2</v>
      </c>
      <c r="F13" s="371" t="n">
        <v>69710.0</v>
      </c>
      <c r="G13" s="9">
        <f t="shared" ref="G13:G76" si="1">F13/F$102</f>
        <v>8.8824396913260995E-2</v>
      </c>
    </row>
    <row r="14" spans="1:12" x14ac:dyDescent="0.45">
      <c r="A14">
        <v>3</v>
      </c>
      <c r="B14" s="6" t="n">
        <v>83102.9846085566</v>
      </c>
      <c r="C14" s="9">
        <f t="shared" si="0"/>
        <v>9.5332250844830213E-2</v>
      </c>
      <c r="E14" s="371">
        <v>3</v>
      </c>
      <c r="F14" s="371" t="n">
        <v>43677.0</v>
      </c>
      <c r="G14" s="9">
        <f t="shared" si="1"/>
        <v>5.5396672589573294E-2</v>
      </c>
    </row>
    <row r="15" spans="1:12" x14ac:dyDescent="0.45">
      <c r="A15">
        <v>4</v>
      </c>
      <c r="B15" s="6" t="n">
        <v>176389.9788356086</v>
      </c>
      <c r="C15" s="9">
        <f t="shared" si="0"/>
        <v>0.20234716945580231</v>
      </c>
      <c r="E15" s="371">
        <v>4</v>
      </c>
      <c r="F15" s="371" t="n">
        <v>141298.0</v>
      </c>
      <c r="G15" s="9">
        <f t="shared" si="1"/>
        <v>0.1794666311633647</v>
      </c>
    </row>
    <row r="16" spans="1:12" x14ac:dyDescent="0.45">
      <c r="A16">
        <v>5</v>
      </c>
      <c r="B16" s="6" t="n">
        <v>74454.4172746559</v>
      </c>
      <c r="C16" s="9">
        <f t="shared" si="0"/>
        <v>8.5410977927769027E-2</v>
      </c>
      <c r="E16" s="371">
        <v>5</v>
      </c>
      <c r="F16" s="371" t="n">
        <v>64968.0</v>
      </c>
      <c r="G16" s="9">
        <f t="shared" si="1"/>
        <v>7.9234664877846459E-2</v>
      </c>
    </row>
    <row r="17" spans="1:7" x14ac:dyDescent="0.45">
      <c r="A17">
        <v>6</v>
      </c>
      <c r="B17" s="6" t="n">
        <v>124431.505992334</v>
      </c>
      <c r="C17" s="9">
        <f t="shared" si="0"/>
        <v>0.14274259339946485</v>
      </c>
      <c r="E17" s="371">
        <v>6</v>
      </c>
      <c r="F17" s="371" t="n">
        <v>63573.0</v>
      </c>
      <c r="G17" s="9">
        <f t="shared" si="1"/>
        <v>7.9311474906163748E-2</v>
      </c>
    </row>
    <row r="18" spans="1:7" x14ac:dyDescent="0.45">
      <c r="A18">
        <v>7</v>
      </c>
      <c r="B18" s="6" t="n">
        <v>46721.186487828</v>
      </c>
      <c r="C18" s="9">
        <f t="shared" si="0"/>
        <v>5.3596581290139451E-2</v>
      </c>
      <c r="E18" s="371">
        <v>7</v>
      </c>
      <c r="F18" s="371" t="n">
        <v>32083.0</v>
      </c>
      <c r="G18" s="9">
        <f t="shared" si="1"/>
        <v>4.7640139896664907E-2</v>
      </c>
    </row>
    <row r="19" spans="1:7" x14ac:dyDescent="0.45">
      <c r="A19">
        <v>8</v>
      </c>
      <c r="B19" s="6" t="n">
        <v>39474.5795078497</v>
      </c>
      <c r="C19" s="9">
        <f t="shared" si="0"/>
        <v>4.5283578361986404E-2</v>
      </c>
      <c r="E19" s="371">
        <v>8</v>
      </c>
      <c r="F19" s="371" t="n">
        <v>35450.0</v>
      </c>
      <c r="G19" s="9">
        <f t="shared" si="1"/>
        <v>3.9269126977218148E-2</v>
      </c>
    </row>
    <row r="20" spans="1:7" x14ac:dyDescent="0.45">
      <c r="A20">
        <v>9</v>
      </c>
      <c r="B20" s="6" t="n">
        <v>29773.5607171911</v>
      </c>
      <c r="C20" s="9">
        <f t="shared" si="0"/>
        <v>3.4154977371809031E-2</v>
      </c>
      <c r="E20" s="371">
        <v>9</v>
      </c>
      <c r="F20" s="371" t="n">
        <v>21182.0</v>
      </c>
      <c r="G20" s="9">
        <f t="shared" si="1"/>
        <v>2.6137172469237583E-2</v>
      </c>
    </row>
    <row r="21" spans="1:7" x14ac:dyDescent="0.45">
      <c r="A21">
        <v>10</v>
      </c>
      <c r="B21" s="6" t="n">
        <v>52862.6879539628</v>
      </c>
      <c r="C21" s="9">
        <f t="shared" si="0"/>
        <v>6.0641853624114943E-2</v>
      </c>
      <c r="E21" s="371">
        <v>10</v>
      </c>
      <c r="F21" s="371" t="n">
        <v>16050.0</v>
      </c>
      <c r="G21" s="9">
        <f t="shared" si="1"/>
        <v>1.984515098291233E-2</v>
      </c>
    </row>
    <row r="22" spans="1:7" x14ac:dyDescent="0.45">
      <c r="A22">
        <v>11</v>
      </c>
      <c r="B22" s="6" t="n">
        <v>10239.009300654</v>
      </c>
      <c r="C22" s="9">
        <f t="shared" si="0"/>
        <v>1.1745761089692474E-2</v>
      </c>
      <c r="E22" s="371">
        <v>11</v>
      </c>
      <c r="F22" s="371" t="n">
        <v>10486.0</v>
      </c>
      <c r="G22" s="9">
        <f t="shared" si="1"/>
        <v>1.2531556119967023E-2</v>
      </c>
    </row>
    <row r="23" spans="1:7" x14ac:dyDescent="0.45">
      <c r="A23">
        <v>12</v>
      </c>
      <c r="B23" s="6" t="n">
        <v>7829.2745191903</v>
      </c>
      <c r="C23" s="9">
        <f t="shared" si="0"/>
        <v>8.9814146376595589E-3</v>
      </c>
      <c r="E23" s="371">
        <v>12</v>
      </c>
      <c r="F23" s="371" t="n">
        <v>8676.0</v>
      </c>
      <c r="G23" s="9">
        <f t="shared" si="1"/>
        <v>1.2712059686512671E-2</v>
      </c>
    </row>
    <row r="24" spans="1:7" x14ac:dyDescent="0.45">
      <c r="A24">
        <v>13</v>
      </c>
      <c r="B24" s="6" t="n">
        <v>5569.2913049226</v>
      </c>
      <c r="C24" s="9">
        <f t="shared" si="0"/>
        <v>6.3888568889515704E-3</v>
      </c>
      <c r="E24" s="371">
        <v>13</v>
      </c>
      <c r="F24" s="371" t="n">
        <v>6568.0</v>
      </c>
      <c r="G24" s="9">
        <f t="shared" si="1"/>
        <v>9.2389662394322201E-3</v>
      </c>
    </row>
    <row r="25" spans="1:7" x14ac:dyDescent="0.45">
      <c r="A25">
        <v>14</v>
      </c>
      <c r="B25" s="6" t="n">
        <v>5428.3616234731</v>
      </c>
      <c r="C25" s="9">
        <f t="shared" si="0"/>
        <v>6.2271882821414793E-3</v>
      </c>
      <c r="E25" s="371">
        <v>14</v>
      </c>
      <c r="F25" s="371" t="n">
        <v>6335.0</v>
      </c>
      <c r="G25" s="9">
        <f t="shared" si="1"/>
        <v>8.362051749476412E-3</v>
      </c>
    </row>
    <row r="26" spans="1:7" x14ac:dyDescent="0.45">
      <c r="A26">
        <v>15</v>
      </c>
      <c r="B26" s="6" t="n">
        <v>2742.3165746610002</v>
      </c>
      <c r="C26" s="9">
        <f t="shared" si="0"/>
        <v>3.1458703056568694E-3</v>
      </c>
      <c r="E26" s="371">
        <v>15</v>
      </c>
      <c r="F26" s="371" t="n">
        <v>3628.0</v>
      </c>
      <c r="G26" s="9">
        <f t="shared" si="1"/>
        <v>5.9386953560656881E-3</v>
      </c>
    </row>
    <row r="27" spans="1:7" x14ac:dyDescent="0.45">
      <c r="A27">
        <v>16</v>
      </c>
      <c r="B27" s="6" t="n">
        <v>10449.0733677851</v>
      </c>
      <c r="C27" s="9">
        <f t="shared" si="0"/>
        <v>1.1986737757805612E-2</v>
      </c>
      <c r="E27" s="371">
        <v>16</v>
      </c>
      <c r="F27" s="371" t="n">
        <v>4274.0</v>
      </c>
      <c r="G27" s="9">
        <f t="shared" si="1"/>
        <v>4.9606476621587717E-3</v>
      </c>
    </row>
    <row r="28" spans="1:7" x14ac:dyDescent="0.45">
      <c r="A28">
        <v>17</v>
      </c>
      <c r="B28" s="6" t="n">
        <v>6295.3419629264</v>
      </c>
      <c r="C28" s="9">
        <f t="shared" si="0"/>
        <v>7.2217516854610276E-3</v>
      </c>
      <c r="E28" s="371">
        <v>17</v>
      </c>
      <c r="F28" s="371" t="n">
        <v>2689.0</v>
      </c>
      <c r="G28" s="9">
        <f t="shared" si="1"/>
        <v>2.8867768975917494E-3</v>
      </c>
    </row>
    <row r="29" spans="1:7" x14ac:dyDescent="0.45">
      <c r="A29">
        <v>18</v>
      </c>
      <c r="B29" s="6" t="n">
        <v>6140.745494987001</v>
      </c>
      <c r="C29" s="9">
        <f t="shared" si="0"/>
        <v>7.044405115650753E-3</v>
      </c>
      <c r="E29" s="371">
        <v>18</v>
      </c>
      <c r="F29" s="371" t="n">
        <v>1905.0</v>
      </c>
      <c r="G29" s="9">
        <f t="shared" si="1"/>
        <v>2.8854967304531281E-3</v>
      </c>
    </row>
    <row r="30" spans="1:7" x14ac:dyDescent="0.45">
      <c r="A30">
        <v>19</v>
      </c>
      <c r="B30" s="6" t="n">
        <v>1810.597354693</v>
      </c>
      <c r="C30" s="9">
        <f t="shared" si="0"/>
        <v>2.0770411798038684E-3</v>
      </c>
      <c r="E30" s="371">
        <v>19</v>
      </c>
      <c r="F30" s="371" t="n">
        <v>2150.0</v>
      </c>
      <c r="G30" s="9">
        <f t="shared" si="1"/>
        <v>3.4129255915652345E-3</v>
      </c>
    </row>
    <row r="31" spans="1:7" x14ac:dyDescent="0.45">
      <c r="A31">
        <v>20</v>
      </c>
      <c r="B31" s="6" t="n">
        <v>1688.2556964760001</v>
      </c>
      <c r="C31" s="9">
        <f t="shared" si="0"/>
        <v>1.9366959719289319E-3</v>
      </c>
      <c r="E31" s="371">
        <v>20</v>
      </c>
      <c r="F31" s="371" t="n">
        <v>1705.0</v>
      </c>
      <c r="G31" s="9">
        <f t="shared" si="1"/>
        <v>3.8520229201124499E-3</v>
      </c>
    </row>
    <row r="32" spans="1:7" x14ac:dyDescent="0.45">
      <c r="A32">
        <v>21</v>
      </c>
      <c r="B32" s="6" t="n">
        <v>8002.3638754794</v>
      </c>
      <c r="C32" s="9">
        <f t="shared" si="0"/>
        <v>9.1799754716662789E-3</v>
      </c>
      <c r="E32" s="371">
        <v>21</v>
      </c>
      <c r="F32" s="371" t="n">
        <v>1463.0</v>
      </c>
      <c r="G32" s="9">
        <f t="shared" si="1"/>
        <v>2.2684561696375079E-3</v>
      </c>
    </row>
    <row r="33" spans="1:7" x14ac:dyDescent="0.45">
      <c r="A33">
        <v>22</v>
      </c>
      <c r="B33" s="6" t="n">
        <v>2202.724216397</v>
      </c>
      <c r="C33" s="9">
        <f t="shared" si="0"/>
        <v>2.5268726331390923E-3</v>
      </c>
      <c r="E33" s="371">
        <v>22</v>
      </c>
      <c r="F33" s="371" t="n">
        <v>1355.0</v>
      </c>
      <c r="G33" s="9">
        <f t="shared" si="1"/>
        <v>1.7999149969019955E-3</v>
      </c>
    </row>
    <row r="34" spans="1:7" x14ac:dyDescent="0.45">
      <c r="A34">
        <v>23</v>
      </c>
      <c r="B34" s="6" t="n">
        <v>9592.527319451</v>
      </c>
      <c r="C34" s="9">
        <f t="shared" si="0"/>
        <v>1.100414413466964E-2</v>
      </c>
      <c r="E34" s="371">
        <v>23</v>
      </c>
      <c r="F34" s="371" t="n">
        <v>796.0</v>
      </c>
      <c r="G34" s="9">
        <f t="shared" si="1"/>
        <v>1.4811533793852125E-3</v>
      </c>
    </row>
    <row r="35" spans="1:7" x14ac:dyDescent="0.45">
      <c r="A35">
        <v>24</v>
      </c>
      <c r="B35" s="6" t="n">
        <v>179.297583701</v>
      </c>
      <c r="C35" s="9">
        <f t="shared" si="0"/>
        <v>2.05682651540962E-4</v>
      </c>
      <c r="E35" s="371">
        <v>24</v>
      </c>
      <c r="F35" s="371" t="n">
        <v>759.0</v>
      </c>
      <c r="G35" s="9">
        <f t="shared" si="1"/>
        <v>1.3659383369092669E-3</v>
      </c>
    </row>
    <row r="36" spans="1:7" x14ac:dyDescent="0.45">
      <c r="A36">
        <v>25</v>
      </c>
      <c r="B36" s="6" t="n">
        <v>1088.724914105</v>
      </c>
      <c r="C36" s="9">
        <f t="shared" si="0"/>
        <v>1.2489394586892781E-3</v>
      </c>
      <c r="E36" s="371">
        <v>25</v>
      </c>
      <c r="F36" s="371" t="n">
        <v>519.0</v>
      </c>
      <c r="G36" s="9">
        <f t="shared" si="1"/>
        <v>8.8971616134202484E-4</v>
      </c>
    </row>
    <row r="37" spans="1:7" x14ac:dyDescent="0.45">
      <c r="A37">
        <v>26</v>
      </c>
      <c r="B37" s="6" t="n">
        <v>1057.542875</v>
      </c>
      <c r="C37" s="9">
        <f t="shared" si="0"/>
        <v>1.2131687341140614E-3</v>
      </c>
      <c r="E37" s="371">
        <v>26</v>
      </c>
      <c r="F37" s="371" t="n">
        <v>694.0</v>
      </c>
      <c r="G37" s="9">
        <f t="shared" si="1"/>
        <v>7.9498379308402508E-4</v>
      </c>
    </row>
    <row r="38" spans="1:7" x14ac:dyDescent="0.45">
      <c r="A38">
        <v>27</v>
      </c>
      <c r="B38" s="6" t="n">
        <v>18.23</v>
      </c>
      <c r="C38" s="9">
        <f t="shared" si="0"/>
        <v>2.0912689731751384E-5</v>
      </c>
      <c r="E38" s="371">
        <v>27</v>
      </c>
      <c r="F38" s="371" t="n">
        <v>439.0</v>
      </c>
      <c r="G38" s="9">
        <f t="shared" si="1"/>
        <v>1.1815942689477538E-3</v>
      </c>
    </row>
    <row r="39" spans="1:7" x14ac:dyDescent="0.45">
      <c r="A39">
        <v>28</v>
      </c>
      <c r="B39" s="6" t="n">
        <v>1720.55017111</v>
      </c>
      <c r="C39" s="9">
        <f t="shared" si="0"/>
        <v>1.9737428357836087E-3</v>
      </c>
      <c r="E39" s="371">
        <v>28</v>
      </c>
      <c r="F39" s="371" t="n">
        <v>242.0</v>
      </c>
      <c r="G39" s="9">
        <f t="shared" si="1"/>
        <v>5.2358835969624194E-4</v>
      </c>
    </row>
    <row r="40" spans="1:7" x14ac:dyDescent="0.45">
      <c r="A40">
        <v>29</v>
      </c>
      <c r="B40" s="6" t="n">
        <v>308.776770034</v>
      </c>
      <c r="C40" s="9">
        <f t="shared" si="0"/>
        <v>3.5421573165624737E-4</v>
      </c>
      <c r="E40" s="371">
        <v>29</v>
      </c>
      <c r="F40" s="371" t="n">
        <v>194.0</v>
      </c>
      <c r="G40" s="9">
        <f t="shared" si="1"/>
        <v>6.0295872229078232E-4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242.0</v>
      </c>
      <c r="G41" s="9">
        <f t="shared" si="1"/>
        <v>6.9769109054878208E-4</v>
      </c>
    </row>
    <row r="42" spans="1:7" x14ac:dyDescent="0.45">
      <c r="A42">
        <v>31</v>
      </c>
      <c r="B42" s="6" t="n">
        <v>0.0</v>
      </c>
      <c r="C42" s="9">
        <f t="shared" si="0"/>
        <v>0</v>
      </c>
      <c r="E42" s="371">
        <v>31</v>
      </c>
      <c r="F42" s="371" t="n">
        <v>194.0</v>
      </c>
      <c r="G42" s="9">
        <f t="shared" si="1"/>
        <v>3.5076579598232346E-4</v>
      </c>
    </row>
    <row r="43" spans="1:7" x14ac:dyDescent="0.45">
      <c r="A43">
        <v>32</v>
      </c>
      <c r="B43" s="6" t="n">
        <v>15.92375</v>
      </c>
      <c r="C43" s="9">
        <f t="shared" si="0"/>
        <v>1.8267056671200007E-5</v>
      </c>
      <c r="E43" s="371">
        <v>32</v>
      </c>
      <c r="F43" s="371" t="n">
        <v>229.0</v>
      </c>
      <c r="G43" s="9">
        <f t="shared" si="1"/>
        <v>4.1989482146789086E-4</v>
      </c>
    </row>
    <row r="44" spans="1:7" x14ac:dyDescent="0.45">
      <c r="A44">
        <v>33</v>
      </c>
      <c r="B44" s="6" t="n">
        <v>0.0</v>
      </c>
      <c r="C44" s="9">
        <f t="shared" si="0"/>
        <v>0</v>
      </c>
      <c r="E44" s="371">
        <v>33</v>
      </c>
      <c r="F44" s="371" t="n">
        <v>83.0</v>
      </c>
      <c r="G44" s="9">
        <f t="shared" si="1"/>
        <v>5.8247604807283636E-4</v>
      </c>
    </row>
    <row r="45" spans="1:7" x14ac:dyDescent="0.45">
      <c r="A45">
        <v>34</v>
      </c>
      <c r="B45" s="6" t="n">
        <v>596.97480037</v>
      </c>
      <c r="C45" s="9">
        <f t="shared" si="0"/>
        <v>6.8482439812463146E-4</v>
      </c>
      <c r="E45" s="371">
        <v>34</v>
      </c>
      <c r="F45" s="371" t="n">
        <v>170.0</v>
      </c>
      <c r="G45" s="9">
        <f t="shared" si="1"/>
        <v>1.2161587816905376E-3</v>
      </c>
    </row>
    <row r="46" spans="1:7" x14ac:dyDescent="0.45">
      <c r="A46">
        <v>35</v>
      </c>
      <c r="B46" s="6" t="n">
        <v>10.1925</v>
      </c>
      <c r="C46" s="9">
        <f t="shared" si="0"/>
        <v>1.169240757492463E-5</v>
      </c>
      <c r="E46" s="371">
        <v>35</v>
      </c>
      <c r="F46" s="371" t="n">
        <v>87.0</v>
      </c>
      <c r="G46" s="9">
        <f t="shared" si="1"/>
        <v>3.7892947303199906E-4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137.0</v>
      </c>
      <c r="G47" s="9">
        <f t="shared" si="1"/>
        <v>1.7410273085254012E-4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59.0</v>
      </c>
      <c r="G48" s="9">
        <f t="shared" si="1"/>
        <v>2.9571860902159383E-4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103.0</v>
      </c>
      <c r="G49" s="9">
        <f t="shared" si="1"/>
        <v>2.3043008495189131E-4</v>
      </c>
    </row>
    <row r="50" spans="1:7" x14ac:dyDescent="0.45">
      <c r="A50">
        <v>39</v>
      </c>
      <c r="B50" s="6" t="n">
        <v>5.16</v>
      </c>
      <c r="C50" s="9">
        <f t="shared" si="0"/>
        <v>5.9193351078352793E-6</v>
      </c>
      <c r="E50" s="371">
        <v>39</v>
      </c>
      <c r="F50" s="371" t="n">
        <v>57.0</v>
      </c>
      <c r="G50" s="9">
        <f t="shared" si="1"/>
        <v>2.0994741073394543E-4</v>
      </c>
    </row>
    <row r="51" spans="1:7" x14ac:dyDescent="0.45">
      <c r="A51">
        <v>40</v>
      </c>
      <c r="B51" s="6" t="n">
        <v>5.51</v>
      </c>
      <c r="C51" s="9">
        <f t="shared" si="0"/>
        <v>6.3208403961574398E-6</v>
      </c>
      <c r="E51" s="371">
        <v>40</v>
      </c>
      <c r="F51" s="371" t="n">
        <v>48.0</v>
      </c>
      <c r="G51" s="9">
        <f t="shared" si="1"/>
        <v>1.2673654672354023E-4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27.0</v>
      </c>
      <c r="G52" s="9">
        <f t="shared" si="1"/>
        <v>1.5618039091183744E-4</v>
      </c>
    </row>
    <row r="53" spans="1:7" x14ac:dyDescent="0.45">
      <c r="A53">
        <v>42</v>
      </c>
      <c r="B53" s="6" t="n">
        <v>339.706125</v>
      </c>
      <c r="C53" s="9">
        <f t="shared" si="0"/>
        <v>3.8969658760836819E-4</v>
      </c>
      <c r="E53" s="371">
        <v>42</v>
      </c>
      <c r="F53" s="371" t="n">
        <v>18.0</v>
      </c>
      <c r="G53" s="9">
        <f t="shared" si="1"/>
        <v>3.45645127427837E-5</v>
      </c>
    </row>
    <row r="54" spans="1:7" x14ac:dyDescent="0.45">
      <c r="A54">
        <v>43</v>
      </c>
      <c r="B54" s="6" t="n">
        <v>351.42375</v>
      </c>
      <c r="C54" s="9">
        <f t="shared" si="0"/>
        <v>4.0313855447715661E-4</v>
      </c>
      <c r="E54" s="371">
        <v>43</v>
      </c>
      <c r="F54" s="371" t="n">
        <v>20.0</v>
      </c>
      <c r="G54" s="9">
        <f t="shared" si="1"/>
        <v>1.1905554389181051E-4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19.0</v>
      </c>
      <c r="G55" s="9">
        <f t="shared" si="1"/>
        <v>7.5529861178675491E-5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11.0</v>
      </c>
      <c r="G56" s="9">
        <f t="shared" si="1"/>
        <v>8.3210864010405198E-5</v>
      </c>
    </row>
    <row r="57" spans="1:7" x14ac:dyDescent="0.45">
      <c r="A57">
        <v>46</v>
      </c>
      <c r="B57" s="6" t="n">
        <v>1427.72808527</v>
      </c>
      <c r="C57" s="9">
        <f t="shared" si="0"/>
        <v>1.6378296472056497E-3</v>
      </c>
      <c r="E57" s="371">
        <v>46</v>
      </c>
      <c r="F57" s="371" t="n">
        <v>40.0</v>
      </c>
      <c r="G57" s="9">
        <f t="shared" si="1"/>
        <v>1.1521504247594565E-4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17.0</v>
      </c>
      <c r="G58" s="9">
        <f t="shared" si="1"/>
        <v>4.6086016990378267E-5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28.0</v>
      </c>
      <c r="G59" s="9">
        <f t="shared" si="1"/>
        <v>3.9685181297270169E-5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3.0</v>
      </c>
      <c r="G60" s="9">
        <f t="shared" si="1"/>
        <v>4.2245515574513407E-5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18.0</v>
      </c>
      <c r="G61" s="9">
        <f t="shared" si="1"/>
        <v>6.91290254855674E-5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9.0</v>
      </c>
      <c r="G62" s="9">
        <f t="shared" si="1"/>
        <v>6.528852406970254E-5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3.0</v>
      </c>
      <c r="G63" s="9">
        <f t="shared" si="1"/>
        <v>2.560334277243237E-6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5.0</v>
      </c>
      <c r="G64" s="9">
        <f t="shared" si="1"/>
        <v>2.8163677049675606E-5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1.0</v>
      </c>
      <c r="G65" s="9">
        <f t="shared" si="1"/>
        <v>7.68100283172971E-6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1.0</v>
      </c>
      <c r="G66" s="9">
        <f t="shared" si="1"/>
        <v>1.6642172802081039E-5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2.0</v>
      </c>
      <c r="G67" s="9">
        <f t="shared" si="1"/>
        <v>1.2801671386216184E-5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0.0</v>
      </c>
      <c r="G68" s="9">
        <f t="shared" si="1"/>
        <v>3.840501415864855E-6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3.840501415864855E-6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1.0</v>
      </c>
      <c r="G70" s="9">
        <f t="shared" si="1"/>
        <v>0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1.4081838524837803E-5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1.0</v>
      </c>
      <c r="G72" s="9">
        <f t="shared" si="1"/>
        <v>1.2801671386216185E-6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2.560334277243237E-6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0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2.560334277243237E-6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1.0</v>
      </c>
      <c r="G77" s="9">
        <f t="shared" ref="G77:G102" si="3">F77/F$102</f>
        <v>2.8163677049675606E-5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1.2801671386216185E-6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1.0</v>
      </c>
      <c r="G79" s="9">
        <f t="shared" si="3"/>
        <v>0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1.1521504247594567E-5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1.0</v>
      </c>
      <c r="G82" s="9">
        <f t="shared" si="3"/>
        <v>5.1206685544864739E-6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1.2801671386216185E-6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1.2801671386216185E-6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1.536200566345942E-5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7.68100283172971E-6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1.2801671386216185E-6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87.344125</v>
      </c>
      <c r="C101" s="9">
        <f t="shared" si="2"/>
        <v>1.0019750883249092E-4</v>
      </c>
      <c r="E101" s="372">
        <v>90</v>
      </c>
      <c r="F101" s="372" t="n">
        <v>0.0</v>
      </c>
      <c r="G101" s="9">
        <f t="shared" si="3"/>
        <v>0</v>
      </c>
    </row>
    <row r="102" spans="1:7" x14ac:dyDescent="0.45">
      <c r="B102" s="6">
        <f>SUM(B11:B101)</f>
        <v>871719.52693974599</v>
      </c>
      <c r="C102" s="9">
        <f t="shared" si="2"/>
        <v>1</v>
      </c>
      <c r="F102" s="6">
        <f>SUM(F11:F101)</f>
        <v>781148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645.0</v>
      </c>
      <c r="G11" s="9">
        <f>F11/F$102</f>
        <v>8.5771198287648434E-4</v>
      </c>
      <c r="K11" s="6" t="n">
        <v>27.229507297567846</v>
      </c>
      <c r="L11" s="6" t="n">
        <v>18.480688274668942</v>
      </c>
    </row>
    <row r="12" spans="1:12" x14ac:dyDescent="0.45">
      <c r="A12">
        <v>1</v>
      </c>
      <c r="B12" s="6" t="n">
        <v>7110.049809966999</v>
      </c>
      <c r="C12" s="9">
        <f>B12/B$102</f>
        <v>8.156350282673492E-3</v>
      </c>
      <c r="E12" s="371">
        <v>1</v>
      </c>
      <c r="F12" s="371" t="n">
        <v>16554.0</v>
      </c>
      <c r="G12" s="9">
        <f>F12/F$102</f>
        <v>2.1866534894795866E-2</v>
      </c>
      <c r="K12" s="6"/>
      <c r="L12" s="371"/>
    </row>
    <row r="13" spans="1:12" x14ac:dyDescent="0.45">
      <c r="A13">
        <v>2</v>
      </c>
      <c r="B13" s="6" t="n">
        <v>5940.385875</v>
      </c>
      <c r="C13" s="9">
        <f t="shared" ref="C13:C76" si="0">B13/B$102</f>
        <v>6.8145609813907559E-3</v>
      </c>
      <c r="E13" s="371">
        <v>2</v>
      </c>
      <c r="F13" s="371" t="n">
        <v>24244.0</v>
      </c>
      <c r="G13" s="9">
        <f t="shared" ref="G13:G76" si="1">F13/F$102</f>
        <v>3.0912195896296221E-2</v>
      </c>
    </row>
    <row r="14" spans="1:12" x14ac:dyDescent="0.45">
      <c r="A14">
        <v>3</v>
      </c>
      <c r="B14" s="6" t="n">
        <v>12405.263875</v>
      </c>
      <c r="C14" s="9">
        <f t="shared" si="0"/>
        <v>1.4230797282412447E-2</v>
      </c>
      <c r="E14" s="371">
        <v>3</v>
      </c>
      <c r="F14" s="371" t="n">
        <v>29173.0</v>
      </c>
      <c r="G14" s="9">
        <f t="shared" si="1"/>
        <v>3.7278467076661527E-2</v>
      </c>
    </row>
    <row r="15" spans="1:12" x14ac:dyDescent="0.45">
      <c r="A15">
        <v>4</v>
      </c>
      <c r="B15" s="6" t="n">
        <v>9398.885019863</v>
      </c>
      <c r="C15" s="9">
        <f t="shared" si="0"/>
        <v>1.0782005828019798E-2</v>
      </c>
      <c r="E15" s="371">
        <v>4</v>
      </c>
      <c r="F15" s="371" t="n">
        <v>30171.0</v>
      </c>
      <c r="G15" s="9">
        <f t="shared" si="1"/>
        <v>3.8312842124667797E-2</v>
      </c>
    </row>
    <row r="16" spans="1:12" x14ac:dyDescent="0.45">
      <c r="A16">
        <v>5</v>
      </c>
      <c r="B16" s="6" t="n">
        <v>7768.9418596495</v>
      </c>
      <c r="C16" s="9">
        <f t="shared" si="0"/>
        <v>8.9122035466190682E-3</v>
      </c>
      <c r="E16" s="371">
        <v>5</v>
      </c>
      <c r="F16" s="371" t="n">
        <v>29575.0</v>
      </c>
      <c r="G16" s="9">
        <f t="shared" si="1"/>
        <v>3.7671478388218368E-2</v>
      </c>
    </row>
    <row r="17" spans="1:7" x14ac:dyDescent="0.45">
      <c r="A17">
        <v>6</v>
      </c>
      <c r="B17" s="6" t="n">
        <v>7600.1131034088</v>
      </c>
      <c r="C17" s="9">
        <f t="shared" si="0"/>
        <v>8.7185302939005154E-3</v>
      </c>
      <c r="E17" s="371">
        <v>6</v>
      </c>
      <c r="F17" s="371" t="n">
        <v>29088.0</v>
      </c>
      <c r="G17" s="9">
        <f t="shared" si="1"/>
        <v>3.7311751422265692E-2</v>
      </c>
    </row>
    <row r="18" spans="1:7" x14ac:dyDescent="0.45">
      <c r="A18">
        <v>7</v>
      </c>
      <c r="B18" s="6" t="n">
        <v>14197.309744598</v>
      </c>
      <c r="C18" s="9">
        <f t="shared" si="0"/>
        <v>1.628655697829668E-2</v>
      </c>
      <c r="E18" s="371">
        <v>7</v>
      </c>
      <c r="F18" s="371" t="n">
        <v>27108.0</v>
      </c>
      <c r="G18" s="9">
        <f t="shared" si="1"/>
        <v>3.4759098147854182E-2</v>
      </c>
    </row>
    <row r="19" spans="1:7" x14ac:dyDescent="0.45">
      <c r="A19">
        <v>8</v>
      </c>
      <c r="B19" s="6" t="n">
        <v>3404.8727056371</v>
      </c>
      <c r="C19" s="9">
        <f t="shared" si="0"/>
        <v>3.9059268496487954E-3</v>
      </c>
      <c r="E19" s="371">
        <v>8</v>
      </c>
      <c r="F19" s="371" t="n">
        <v>24628.0</v>
      </c>
      <c r="G19" s="9">
        <f t="shared" si="1"/>
        <v>3.1318008879239273E-2</v>
      </c>
    </row>
    <row r="20" spans="1:7" x14ac:dyDescent="0.45">
      <c r="A20">
        <v>9</v>
      </c>
      <c r="B20" s="6" t="n">
        <v>12242.4308221423</v>
      </c>
      <c r="C20" s="9">
        <f t="shared" si="0"/>
        <v>1.404400204859528E-2</v>
      </c>
      <c r="E20" s="371">
        <v>9</v>
      </c>
      <c r="F20" s="371" t="n">
        <v>22868.0</v>
      </c>
      <c r="G20" s="9">
        <f t="shared" si="1"/>
        <v>2.8492680004301361E-2</v>
      </c>
    </row>
    <row r="21" spans="1:7" x14ac:dyDescent="0.45">
      <c r="A21">
        <v>10</v>
      </c>
      <c r="B21" s="6" t="n">
        <v>7303.4503721597</v>
      </c>
      <c r="C21" s="9">
        <f t="shared" si="0"/>
        <v>8.3782112783444881E-3</v>
      </c>
      <c r="E21" s="371">
        <v>10</v>
      </c>
      <c r="F21" s="371" t="n">
        <v>20438.0</v>
      </c>
      <c r="G21" s="9">
        <f t="shared" si="1"/>
        <v>2.5754402494789719E-2</v>
      </c>
    </row>
    <row r="22" spans="1:7" x14ac:dyDescent="0.45">
      <c r="A22">
        <v>11</v>
      </c>
      <c r="B22" s="6" t="n">
        <v>14101.232282578</v>
      </c>
      <c r="C22" s="9">
        <f t="shared" si="0"/>
        <v>1.6176340952326389E-2</v>
      </c>
      <c r="E22" s="371">
        <v>11</v>
      </c>
      <c r="F22" s="371" t="n">
        <v>17296.0</v>
      </c>
      <c r="G22" s="9">
        <f t="shared" si="1"/>
        <v>2.2464372948532159E-2</v>
      </c>
    </row>
    <row r="23" spans="1:7" x14ac:dyDescent="0.45">
      <c r="A23">
        <v>12</v>
      </c>
      <c r="B23" s="6" t="n">
        <v>31133.2469759201</v>
      </c>
      <c r="C23" s="9">
        <f t="shared" si="0"/>
        <v>3.5714752295633805E-2</v>
      </c>
      <c r="E23" s="371">
        <v>12</v>
      </c>
      <c r="F23" s="371" t="n">
        <v>16458.0</v>
      </c>
      <c r="G23" s="9">
        <f t="shared" si="1"/>
        <v>2.0692621628679842E-2</v>
      </c>
    </row>
    <row r="24" spans="1:7" x14ac:dyDescent="0.45">
      <c r="A24">
        <v>13</v>
      </c>
      <c r="B24" s="6" t="n">
        <v>9661.257592661</v>
      </c>
      <c r="C24" s="9">
        <f t="shared" si="0"/>
        <v>1.1082988615131477E-2</v>
      </c>
      <c r="E24" s="371">
        <v>13</v>
      </c>
      <c r="F24" s="371" t="n">
        <v>13525.0</v>
      </c>
      <c r="G24" s="9">
        <f t="shared" si="1"/>
        <v>1.7054386620717201E-2</v>
      </c>
    </row>
    <row r="25" spans="1:7" x14ac:dyDescent="0.45">
      <c r="A25">
        <v>14</v>
      </c>
      <c r="B25" s="6" t="n">
        <v>14519.794074703</v>
      </c>
      <c r="C25" s="9">
        <f t="shared" si="0"/>
        <v>1.6656497446691503E-2</v>
      </c>
      <c r="E25" s="371">
        <v>14</v>
      </c>
      <c r="F25" s="371" t="n">
        <v>12990.0</v>
      </c>
      <c r="G25" s="9">
        <f t="shared" si="1"/>
        <v>1.6803473861547364E-2</v>
      </c>
    </row>
    <row r="26" spans="1:7" x14ac:dyDescent="0.45">
      <c r="A26">
        <v>15</v>
      </c>
      <c r="B26" s="6" t="n">
        <v>3368.3823033959998</v>
      </c>
      <c r="C26" s="9">
        <f t="shared" si="0"/>
        <v>3.8640665940122111E-3</v>
      </c>
      <c r="E26" s="371">
        <v>15</v>
      </c>
      <c r="F26" s="371" t="n">
        <v>12583.0</v>
      </c>
      <c r="G26" s="9">
        <f t="shared" si="1"/>
        <v>1.6002089232770231E-2</v>
      </c>
    </row>
    <row r="27" spans="1:7" x14ac:dyDescent="0.45">
      <c r="A27">
        <v>16</v>
      </c>
      <c r="B27" s="6" t="n">
        <v>34406.9848658459</v>
      </c>
      <c r="C27" s="9">
        <f t="shared" si="0"/>
        <v>3.9470246796736198E-2</v>
      </c>
      <c r="E27" s="371">
        <v>16</v>
      </c>
      <c r="F27" s="371" t="n">
        <v>11635.0</v>
      </c>
      <c r="G27" s="9">
        <f t="shared" si="1"/>
        <v>1.4948511677684639E-2</v>
      </c>
    </row>
    <row r="28" spans="1:7" x14ac:dyDescent="0.45">
      <c r="A28">
        <v>17</v>
      </c>
      <c r="B28" s="6" t="n">
        <v>15814.9717867568</v>
      </c>
      <c r="C28" s="9">
        <f t="shared" si="0"/>
        <v>1.8142270877281777E-2</v>
      </c>
      <c r="E28" s="371">
        <v>17</v>
      </c>
      <c r="F28" s="371" t="n">
        <v>10663.0</v>
      </c>
      <c r="G28" s="9">
        <f t="shared" si="1"/>
        <v>1.3702909051805804E-2</v>
      </c>
    </row>
    <row r="29" spans="1:7" x14ac:dyDescent="0.45">
      <c r="A29">
        <v>18</v>
      </c>
      <c r="B29" s="6" t="n">
        <v>90240.6690296788</v>
      </c>
      <c r="C29" s="9">
        <f t="shared" si="0"/>
        <v>0.10352030239184527</v>
      </c>
      <c r="E29" s="371">
        <v>18</v>
      </c>
      <c r="F29" s="371" t="n">
        <v>102207.0</v>
      </c>
      <c r="G29" s="9">
        <f t="shared" si="1"/>
        <v>0.12920214863252547</v>
      </c>
    </row>
    <row r="30" spans="1:7" x14ac:dyDescent="0.45">
      <c r="A30">
        <v>19</v>
      </c>
      <c r="B30" s="6" t="n">
        <v>32868.7721913293</v>
      </c>
      <c r="C30" s="9">
        <f t="shared" si="0"/>
        <v>3.7705673872785943E-2</v>
      </c>
      <c r="E30" s="371">
        <v>19</v>
      </c>
      <c r="F30" s="371" t="n">
        <v>27013.0</v>
      </c>
      <c r="G30" s="9">
        <f t="shared" si="1"/>
        <v>3.3905226666393562E-2</v>
      </c>
    </row>
    <row r="31" spans="1:7" x14ac:dyDescent="0.45">
      <c r="A31">
        <v>20</v>
      </c>
      <c r="B31" s="6" t="n">
        <v>54635.1204438281</v>
      </c>
      <c r="C31" s="9">
        <f t="shared" si="0"/>
        <v>6.2675113675186189E-2</v>
      </c>
      <c r="E31" s="371">
        <v>20</v>
      </c>
      <c r="F31" s="371" t="n">
        <v>28587.0</v>
      </c>
      <c r="G31" s="9">
        <f t="shared" si="1"/>
        <v>3.514954912513378E-2</v>
      </c>
    </row>
    <row r="32" spans="1:7" x14ac:dyDescent="0.45">
      <c r="A32">
        <v>21</v>
      </c>
      <c r="B32" s="6" t="n">
        <v>38153.8051073435</v>
      </c>
      <c r="C32" s="9">
        <f t="shared" si="0"/>
        <v>4.3768441486318484E-2</v>
      </c>
      <c r="E32" s="371">
        <v>21</v>
      </c>
      <c r="F32" s="371" t="n">
        <v>29395.0</v>
      </c>
      <c r="G32" s="9">
        <f t="shared" si="1"/>
        <v>3.7153010697076612E-2</v>
      </c>
    </row>
    <row r="33" spans="1:7" x14ac:dyDescent="0.45">
      <c r="A33">
        <v>22</v>
      </c>
      <c r="B33" s="6" t="n">
        <v>32414.434958815</v>
      </c>
      <c r="C33" s="9">
        <f t="shared" si="0"/>
        <v>3.7184477296968381E-2</v>
      </c>
      <c r="E33" s="371">
        <v>22</v>
      </c>
      <c r="F33" s="371" t="n">
        <v>30221.0</v>
      </c>
      <c r="G33" s="9">
        <f t="shared" si="1"/>
        <v>3.7581866688514855E-2</v>
      </c>
    </row>
    <row r="34" spans="1:7" x14ac:dyDescent="0.45">
      <c r="A34">
        <v>23</v>
      </c>
      <c r="B34" s="6" t="n">
        <v>15008.6658807407</v>
      </c>
      <c r="C34" s="9">
        <f t="shared" si="0"/>
        <v>1.7217310633650763E-2</v>
      </c>
      <c r="E34" s="371">
        <v>23</v>
      </c>
      <c r="F34" s="371" t="n">
        <v>28667.0</v>
      </c>
      <c r="G34" s="9">
        <f t="shared" si="1"/>
        <v>3.6751038215549425E-2</v>
      </c>
    </row>
    <row r="35" spans="1:7" x14ac:dyDescent="0.45">
      <c r="A35">
        <v>24</v>
      </c>
      <c r="B35" s="6" t="n">
        <v>31128.0315245751</v>
      </c>
      <c r="C35" s="9">
        <f t="shared" si="0"/>
        <v>3.5708769349073792E-2</v>
      </c>
      <c r="E35" s="371">
        <v>24</v>
      </c>
      <c r="F35" s="371" t="n">
        <v>18524.0</v>
      </c>
      <c r="G35" s="9">
        <f t="shared" si="1"/>
        <v>2.1769242192260622E-2</v>
      </c>
    </row>
    <row r="36" spans="1:7" x14ac:dyDescent="0.45">
      <c r="A36">
        <v>25</v>
      </c>
      <c r="B36" s="6" t="n">
        <v>29682.1350614951</v>
      </c>
      <c r="C36" s="9">
        <f t="shared" si="0"/>
        <v>3.4050097702522569E-2</v>
      </c>
      <c r="E36" s="371">
        <v>25</v>
      </c>
      <c r="F36" s="371" t="n">
        <v>18158.0</v>
      </c>
      <c r="G36" s="9">
        <f t="shared" si="1"/>
        <v>2.5631506449482044E-2</v>
      </c>
    </row>
    <row r="37" spans="1:7" x14ac:dyDescent="0.45">
      <c r="A37">
        <v>26</v>
      </c>
      <c r="B37" s="6" t="n">
        <v>65883.0413735938</v>
      </c>
      <c r="C37" s="9">
        <f t="shared" si="0"/>
        <v>7.5578255777844591E-2</v>
      </c>
      <c r="E37" s="371">
        <v>26</v>
      </c>
      <c r="F37" s="371" t="n">
        <v>22420.0</v>
      </c>
      <c r="G37" s="9">
        <f t="shared" si="1"/>
        <v>2.1936944087420054E-2</v>
      </c>
    </row>
    <row r="38" spans="1:7" x14ac:dyDescent="0.45">
      <c r="A38">
        <v>27</v>
      </c>
      <c r="B38" s="6" t="n">
        <v>10172.155719594699</v>
      </c>
      <c r="C38" s="9">
        <f t="shared" si="0"/>
        <v>1.1669069471582237E-2</v>
      </c>
      <c r="E38" s="371">
        <v>27</v>
      </c>
      <c r="F38" s="371" t="n">
        <v>9894.0</v>
      </c>
      <c r="G38" s="9">
        <f t="shared" si="1"/>
        <v>1.6053295918315096E-2</v>
      </c>
    </row>
    <row r="39" spans="1:7" x14ac:dyDescent="0.45">
      <c r="A39">
        <v>28</v>
      </c>
      <c r="B39" s="6" t="n">
        <v>18649.033094828</v>
      </c>
      <c r="C39" s="9">
        <f t="shared" si="0"/>
        <v>2.1393386884766937E-2</v>
      </c>
      <c r="E39" s="371">
        <v>28</v>
      </c>
      <c r="F39" s="371" t="n">
        <v>11602.0</v>
      </c>
      <c r="G39" s="9">
        <f t="shared" si="1"/>
        <v>1.9367648640206465E-2</v>
      </c>
    </row>
    <row r="40" spans="1:7" x14ac:dyDescent="0.45">
      <c r="A40">
        <v>29</v>
      </c>
      <c r="B40" s="6" t="n">
        <v>15265.4231899969</v>
      </c>
      <c r="C40" s="9">
        <f t="shared" si="0"/>
        <v>1.7511851826455715E-2</v>
      </c>
      <c r="E40" s="371">
        <v>29</v>
      </c>
      <c r="F40" s="371" t="n">
        <v>10663.0</v>
      </c>
      <c r="G40" s="9">
        <f t="shared" si="1"/>
        <v>1.1285953494088188E-2</v>
      </c>
    </row>
    <row r="41" spans="1:7" x14ac:dyDescent="0.45">
      <c r="A41">
        <v>30</v>
      </c>
      <c r="B41" s="6" t="n">
        <v>15834.1694981826</v>
      </c>
      <c r="C41" s="9">
        <f t="shared" si="0"/>
        <v>1.8164293684885039E-2</v>
      </c>
      <c r="E41" s="371">
        <v>30</v>
      </c>
      <c r="F41" s="371" t="n">
        <v>8205.0</v>
      </c>
      <c r="G41" s="9">
        <f t="shared" si="1"/>
        <v>1.120018229580054E-2</v>
      </c>
    </row>
    <row r="42" spans="1:7" x14ac:dyDescent="0.45">
      <c r="A42">
        <v>31</v>
      </c>
      <c r="B42" s="6" t="n">
        <v>13341.339103737</v>
      </c>
      <c r="C42" s="9">
        <f t="shared" si="0"/>
        <v>1.5304623438427537E-2</v>
      </c>
      <c r="E42" s="371">
        <v>31</v>
      </c>
      <c r="F42" s="371" t="n">
        <v>8230.0</v>
      </c>
      <c r="G42" s="9">
        <f t="shared" si="1"/>
        <v>8.604003338675897E-3</v>
      </c>
    </row>
    <row r="43" spans="1:7" x14ac:dyDescent="0.45">
      <c r="A43">
        <v>32</v>
      </c>
      <c r="B43" s="6" t="n">
        <v>5775.828733145</v>
      </c>
      <c r="C43" s="9">
        <f t="shared" si="0"/>
        <v>6.6257879451451489E-3</v>
      </c>
      <c r="E43" s="371">
        <v>32</v>
      </c>
      <c r="F43" s="371" t="n">
        <v>8757.0</v>
      </c>
      <c r="G43" s="9">
        <f t="shared" si="1"/>
        <v>8.4849477947840871E-3</v>
      </c>
    </row>
    <row r="44" spans="1:7" x14ac:dyDescent="0.45">
      <c r="A44">
        <v>33</v>
      </c>
      <c r="B44" s="6" t="n">
        <v>9175.1486805087</v>
      </c>
      <c r="C44" s="9">
        <f t="shared" si="0"/>
        <v>1.0525344903903817E-2</v>
      </c>
      <c r="E44" s="371">
        <v>33</v>
      </c>
      <c r="F44" s="371" t="n">
        <v>8262.0</v>
      </c>
      <c r="G44" s="9">
        <f t="shared" si="1"/>
        <v>1.2904084757305914E-2</v>
      </c>
    </row>
    <row r="45" spans="1:7" x14ac:dyDescent="0.45">
      <c r="A45">
        <v>34</v>
      </c>
      <c r="B45" s="6" t="n">
        <v>19789.5180472356</v>
      </c>
      <c r="C45" s="9">
        <f t="shared" si="0"/>
        <v>2.2701703283748365E-2</v>
      </c>
      <c r="E45" s="371">
        <v>34</v>
      </c>
      <c r="F45" s="371" t="n">
        <v>8204.0</v>
      </c>
      <c r="G45" s="9">
        <f t="shared" si="1"/>
        <v>9.342659777660571E-3</v>
      </c>
    </row>
    <row r="46" spans="1:7" x14ac:dyDescent="0.45">
      <c r="A46">
        <v>35</v>
      </c>
      <c r="B46" s="6" t="n">
        <v>4831.111649248101</v>
      </c>
      <c r="C46" s="9">
        <f t="shared" si="0"/>
        <v>5.5420482161368766E-3</v>
      </c>
      <c r="E46" s="371">
        <v>35</v>
      </c>
      <c r="F46" s="371" t="n">
        <v>3831.0</v>
      </c>
      <c r="G46" s="9">
        <f t="shared" si="1"/>
        <v>6.4571630472074438E-3</v>
      </c>
    </row>
    <row r="47" spans="1:7" x14ac:dyDescent="0.45">
      <c r="A47">
        <v>36</v>
      </c>
      <c r="B47" s="6" t="n">
        <v>5120.352550202</v>
      </c>
      <c r="C47" s="9">
        <f t="shared" si="0"/>
        <v>5.8738532199427533E-3</v>
      </c>
      <c r="E47" s="371">
        <v>36</v>
      </c>
      <c r="F47" s="371" t="n">
        <v>3081.0</v>
      </c>
      <c r="G47" s="9">
        <f t="shared" si="1"/>
        <v>4.8966393052276907E-3</v>
      </c>
    </row>
    <row r="48" spans="1:7" x14ac:dyDescent="0.45">
      <c r="A48">
        <v>37</v>
      </c>
      <c r="B48" s="6" t="n">
        <v>10341.908245021</v>
      </c>
      <c r="C48" s="9">
        <f t="shared" si="0"/>
        <v>1.1863802433481388E-2</v>
      </c>
      <c r="E48" s="371">
        <v>37</v>
      </c>
      <c r="F48" s="371" t="n">
        <v>2712.0</v>
      </c>
      <c r="G48" s="9">
        <f t="shared" si="1"/>
        <v>4.8211094440490151E-3</v>
      </c>
    </row>
    <row r="49" spans="1:7" x14ac:dyDescent="0.45">
      <c r="A49">
        <v>38</v>
      </c>
      <c r="B49" s="6" t="n">
        <v>14109.4155229302</v>
      </c>
      <c r="C49" s="9">
        <f t="shared" si="0"/>
        <v>1.6185728421689305E-2</v>
      </c>
      <c r="E49" s="371">
        <v>38</v>
      </c>
      <c r="F49" s="371" t="n">
        <v>2986.0</v>
      </c>
      <c r="G49" s="9">
        <f t="shared" si="1"/>
        <v>3.7585707189930718E-3</v>
      </c>
    </row>
    <row r="50" spans="1:7" x14ac:dyDescent="0.45">
      <c r="A50">
        <v>39</v>
      </c>
      <c r="B50" s="6" t="n">
        <v>2853.7853158464</v>
      </c>
      <c r="C50" s="9">
        <f t="shared" si="0"/>
        <v>3.2737425601384474E-3</v>
      </c>
      <c r="E50" s="371">
        <v>39</v>
      </c>
      <c r="F50" s="371" t="n">
        <v>2974.0</v>
      </c>
      <c r="G50" s="9">
        <f t="shared" si="1"/>
        <v>3.3668395745748564E-3</v>
      </c>
    </row>
    <row r="51" spans="1:7" x14ac:dyDescent="0.45">
      <c r="A51">
        <v>40</v>
      </c>
      <c r="B51" s="6" t="n">
        <v>984.8458708764</v>
      </c>
      <c r="C51" s="9">
        <f t="shared" si="0"/>
        <v>1.1297737866831949E-3</v>
      </c>
      <c r="E51" s="371">
        <v>40</v>
      </c>
      <c r="F51" s="371" t="n">
        <v>2610.0</v>
      </c>
      <c r="G51" s="9">
        <f t="shared" si="1"/>
        <v>4.5561148463543399E-3</v>
      </c>
    </row>
    <row r="52" spans="1:7" x14ac:dyDescent="0.45">
      <c r="A52">
        <v>41</v>
      </c>
      <c r="B52" s="6" t="n">
        <v>7230.856374999999</v>
      </c>
      <c r="C52" s="9">
        <f t="shared" si="0"/>
        <v>8.2949344961728774E-3</v>
      </c>
      <c r="E52" s="371">
        <v>41</v>
      </c>
      <c r="F52" s="371" t="n">
        <v>2222.0</v>
      </c>
      <c r="G52" s="9">
        <f t="shared" si="1"/>
        <v>3.6190325008833152E-3</v>
      </c>
    </row>
    <row r="53" spans="1:7" x14ac:dyDescent="0.45">
      <c r="A53">
        <v>42</v>
      </c>
      <c r="B53" s="6" t="n">
        <v>1569.247120981</v>
      </c>
      <c r="C53" s="9">
        <f t="shared" si="0"/>
        <v>1.8001743364519905E-3</v>
      </c>
      <c r="E53" s="371">
        <v>42</v>
      </c>
      <c r="F53" s="371" t="n">
        <v>2594.0</v>
      </c>
      <c r="G53" s="9">
        <f t="shared" si="1"/>
        <v>2.6038599599563718E-3</v>
      </c>
    </row>
    <row r="54" spans="1:7" x14ac:dyDescent="0.45">
      <c r="A54">
        <v>43</v>
      </c>
      <c r="B54" s="6" t="n">
        <v>1173.021376812</v>
      </c>
      <c r="C54" s="9">
        <f t="shared" si="0"/>
        <v>1.3456408174427419E-3</v>
      </c>
      <c r="E54" s="371">
        <v>43</v>
      </c>
      <c r="F54" s="371" t="n">
        <v>2405.0</v>
      </c>
      <c r="G54" s="9">
        <f t="shared" si="1"/>
        <v>2.8598933876806958E-3</v>
      </c>
    </row>
    <row r="55" spans="1:7" x14ac:dyDescent="0.45">
      <c r="A55">
        <v>44</v>
      </c>
      <c r="B55" s="6" t="n">
        <v>1196.801803842</v>
      </c>
      <c r="C55" s="9">
        <f t="shared" si="0"/>
        <v>1.3729207237601828E-3</v>
      </c>
      <c r="E55" s="371">
        <v>44</v>
      </c>
      <c r="F55" s="371" t="n">
        <v>1575.0</v>
      </c>
      <c r="G55" s="9">
        <f t="shared" si="1"/>
        <v>2.6755493197191827E-3</v>
      </c>
    </row>
    <row r="56" spans="1:7" x14ac:dyDescent="0.45">
      <c r="A56">
        <v>45</v>
      </c>
      <c r="B56" s="6" t="n">
        <v>37424.629805929</v>
      </c>
      <c r="C56" s="9">
        <f t="shared" si="0"/>
        <v>4.2931962230227549E-2</v>
      </c>
      <c r="E56" s="371">
        <v>45</v>
      </c>
      <c r="F56" s="371" t="n">
        <v>1277.0</v>
      </c>
      <c r="G56" s="9">
        <f t="shared" si="1"/>
        <v>1.9637763906455627E-3</v>
      </c>
    </row>
    <row r="57" spans="1:7" x14ac:dyDescent="0.45">
      <c r="A57">
        <v>46</v>
      </c>
      <c r="B57" s="6" t="n">
        <v>5549.771822802</v>
      </c>
      <c r="C57" s="9">
        <f t="shared" si="0"/>
        <v>6.3664649595323404E-3</v>
      </c>
      <c r="E57" s="371">
        <v>46</v>
      </c>
      <c r="F57" s="371" t="n">
        <v>1319.0</v>
      </c>
      <c r="G57" s="9">
        <f t="shared" si="1"/>
        <v>1.7704711527136983E-3</v>
      </c>
    </row>
    <row r="58" spans="1:7" x14ac:dyDescent="0.45">
      <c r="A58">
        <v>47</v>
      </c>
      <c r="B58" s="6" t="n">
        <v>4244.099974671</v>
      </c>
      <c r="C58" s="9">
        <f t="shared" si="0"/>
        <v>4.868653097138154E-3</v>
      </c>
      <c r="E58" s="371">
        <v>47</v>
      </c>
      <c r="F58" s="371" t="n">
        <v>1069.0</v>
      </c>
      <c r="G58" s="9">
        <f t="shared" si="1"/>
        <v>1.5938080875839149E-3</v>
      </c>
    </row>
    <row r="59" spans="1:7" x14ac:dyDescent="0.45">
      <c r="A59">
        <v>48</v>
      </c>
      <c r="B59" s="6" t="n">
        <v>2507.59786587</v>
      </c>
      <c r="C59" s="9">
        <f t="shared" si="0"/>
        <v>2.8766108689490533E-3</v>
      </c>
      <c r="E59" s="371">
        <v>48</v>
      </c>
      <c r="F59" s="371" t="n">
        <v>1346.0</v>
      </c>
      <c r="G59" s="9">
        <f t="shared" si="1"/>
        <v>1.7000619600895093E-3</v>
      </c>
    </row>
    <row r="60" spans="1:7" x14ac:dyDescent="0.45">
      <c r="A60">
        <v>49</v>
      </c>
      <c r="B60" s="6" t="n">
        <v>1084.341280303</v>
      </c>
      <c r="C60" s="9">
        <f t="shared" si="0"/>
        <v>1.2439107382505048E-3</v>
      </c>
      <c r="E60" s="371">
        <v>49</v>
      </c>
      <c r="F60" s="371" t="n">
        <v>1014.0</v>
      </c>
      <c r="G60" s="9">
        <f t="shared" si="1"/>
        <v>1.5643642433956176E-3</v>
      </c>
    </row>
    <row r="61" spans="1:7" x14ac:dyDescent="0.45">
      <c r="A61">
        <v>50</v>
      </c>
      <c r="B61" s="6" t="n">
        <v>354.408375</v>
      </c>
      <c r="C61" s="9">
        <f t="shared" si="0"/>
        <v>4.0656239082332386E-4</v>
      </c>
      <c r="E61" s="371">
        <v>50</v>
      </c>
      <c r="F61" s="371" t="n">
        <v>965.0</v>
      </c>
      <c r="G61" s="9">
        <f t="shared" si="1"/>
        <v>1.3736193397409966E-3</v>
      </c>
    </row>
    <row r="62" spans="1:7" x14ac:dyDescent="0.45">
      <c r="A62">
        <v>51</v>
      </c>
      <c r="B62" s="6" t="n">
        <v>1425.581625</v>
      </c>
      <c r="C62" s="9">
        <f t="shared" si="0"/>
        <v>1.6353673182068545E-3</v>
      </c>
      <c r="E62" s="371">
        <v>51</v>
      </c>
      <c r="F62" s="371" t="n">
        <v>899.0</v>
      </c>
      <c r="G62" s="9">
        <f t="shared" si="1"/>
        <v>1.3748995068796181E-3</v>
      </c>
    </row>
    <row r="63" spans="1:7" x14ac:dyDescent="0.45">
      <c r="A63">
        <v>52</v>
      </c>
      <c r="B63" s="6" t="n">
        <v>1095.81675</v>
      </c>
      <c r="C63" s="9">
        <f t="shared" si="0"/>
        <v>1.2570749147342937E-3</v>
      </c>
      <c r="E63" s="371">
        <v>52</v>
      </c>
      <c r="F63" s="371" t="n">
        <v>975.0</v>
      </c>
      <c r="G63" s="9">
        <f t="shared" si="1"/>
        <v>1.3838606768499695E-3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779.0</v>
      </c>
      <c r="G64" s="9">
        <f t="shared" si="1"/>
        <v>1.2302406202153752E-3</v>
      </c>
    </row>
    <row r="65" spans="1:7" x14ac:dyDescent="0.45">
      <c r="A65">
        <v>54</v>
      </c>
      <c r="B65" s="6" t="n">
        <v>2105.130729518</v>
      </c>
      <c r="C65" s="9">
        <f t="shared" si="0"/>
        <v>2.4149174871741846E-3</v>
      </c>
      <c r="E65" s="371">
        <v>54</v>
      </c>
      <c r="F65" s="371" t="n">
        <v>731.0</v>
      </c>
      <c r="G65" s="9">
        <f t="shared" si="1"/>
        <v>1.2059174445815646E-3</v>
      </c>
    </row>
    <row r="66" spans="1:7" x14ac:dyDescent="0.45">
      <c r="A66">
        <v>55</v>
      </c>
      <c r="B66" s="6" t="n">
        <v>3268.71792537</v>
      </c>
      <c r="C66" s="9">
        <f t="shared" si="0"/>
        <v>3.749735808769989E-3</v>
      </c>
      <c r="E66" s="371">
        <v>55</v>
      </c>
      <c r="F66" s="371" t="n">
        <v>631.0</v>
      </c>
      <c r="G66" s="9">
        <f t="shared" si="1"/>
        <v>1.2609646315422942E-3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761.0</v>
      </c>
      <c r="G67" s="9">
        <f t="shared" si="1"/>
        <v>1.3339341584437264E-3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517.0</v>
      </c>
      <c r="G68" s="9">
        <f t="shared" si="1"/>
        <v>7.9882429449988992E-4</v>
      </c>
    </row>
    <row r="69" spans="1:7" x14ac:dyDescent="0.45">
      <c r="A69">
        <v>58</v>
      </c>
      <c r="B69" s="6" t="n">
        <v>15.92375</v>
      </c>
      <c r="C69" s="9">
        <f t="shared" si="0"/>
        <v>1.8267056671200007E-5</v>
      </c>
      <c r="E69" s="371">
        <v>58</v>
      </c>
      <c r="F69" s="371" t="n">
        <v>597.0</v>
      </c>
      <c r="G69" s="9">
        <f t="shared" si="1"/>
        <v>9.1531950411445715E-4</v>
      </c>
    </row>
    <row r="70" spans="1:7" x14ac:dyDescent="0.45">
      <c r="A70">
        <v>59</v>
      </c>
      <c r="B70" s="6" t="n">
        <v>651.2942178769999</v>
      </c>
      <c r="C70" s="9">
        <f t="shared" si="0"/>
        <v>7.4713735066074527E-4</v>
      </c>
      <c r="E70" s="371">
        <v>59</v>
      </c>
      <c r="F70" s="371" t="n">
        <v>427.0</v>
      </c>
      <c r="G70" s="9">
        <f t="shared" si="1"/>
        <v>1.0522973879469703E-3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484.0</v>
      </c>
      <c r="G71" s="9">
        <f t="shared" si="1"/>
        <v>6.8232908488532259E-4</v>
      </c>
    </row>
    <row r="72" spans="1:7" x14ac:dyDescent="0.45">
      <c r="A72">
        <v>61</v>
      </c>
      <c r="B72" s="6" t="n">
        <v>6072.2657120416</v>
      </c>
      <c r="C72" s="9">
        <f t="shared" si="0"/>
        <v>6.9658479870915186E-3</v>
      </c>
      <c r="E72" s="371">
        <v>61</v>
      </c>
      <c r="F72" s="371" t="n">
        <v>415.0</v>
      </c>
      <c r="G72" s="9">
        <f t="shared" si="1"/>
        <v>6.2728189792459301E-4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380.0</v>
      </c>
      <c r="G73" s="9">
        <f t="shared" si="1"/>
        <v>6.2216122937010655E-4</v>
      </c>
    </row>
    <row r="74" spans="1:7" x14ac:dyDescent="0.45">
      <c r="A74">
        <v>63</v>
      </c>
      <c r="B74" s="6" t="n">
        <v>5.16</v>
      </c>
      <c r="C74" s="9">
        <f t="shared" si="0"/>
        <v>5.9193351078352801E-6</v>
      </c>
      <c r="E74" s="371">
        <v>63</v>
      </c>
      <c r="F74" s="371" t="n">
        <v>383.0</v>
      </c>
      <c r="G74" s="9">
        <f t="shared" si="1"/>
        <v>7.2585476759845762E-4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323.0</v>
      </c>
      <c r="G75" s="9">
        <f t="shared" si="1"/>
        <v>6.6440674494461997E-4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288.0</v>
      </c>
      <c r="G76" s="9">
        <f t="shared" si="1"/>
        <v>5.2742886111210678E-4</v>
      </c>
    </row>
    <row r="77" spans="1:7" x14ac:dyDescent="0.45">
      <c r="A77">
        <v>66</v>
      </c>
      <c r="B77" s="6" t="n">
        <v>1427.72808527</v>
      </c>
      <c r="C77" s="9">
        <f t="shared" ref="C77:C102" si="2">B77/B$102</f>
        <v>1.6378296472056499E-3</v>
      </c>
      <c r="E77" s="371">
        <v>66</v>
      </c>
      <c r="F77" s="371" t="n">
        <v>348.0</v>
      </c>
      <c r="G77" s="9">
        <f t="shared" ref="G77:G102" si="3">F77/F$102</f>
        <v>4.4805849851756646E-4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286.0</v>
      </c>
      <c r="G78" s="9">
        <f t="shared" si="3"/>
        <v>5.2102802541899871E-4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264.0</v>
      </c>
      <c r="G79" s="9">
        <f t="shared" si="3"/>
        <v>3.8789064300235037E-4</v>
      </c>
    </row>
    <row r="80" spans="1:7" x14ac:dyDescent="0.45">
      <c r="A80">
        <v>69</v>
      </c>
      <c r="B80" s="6" t="n">
        <v>1036.537015762</v>
      </c>
      <c r="C80" s="9">
        <f t="shared" si="2"/>
        <v>1.1890716953431818E-3</v>
      </c>
      <c r="E80" s="371">
        <v>69</v>
      </c>
      <c r="F80" s="371" t="n">
        <v>289.0</v>
      </c>
      <c r="G80" s="9">
        <f t="shared" si="3"/>
        <v>4.4677833137894484E-4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369.0</v>
      </c>
      <c r="G81" s="9">
        <f t="shared" si="3"/>
        <v>6.016785551521607E-4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265.0</v>
      </c>
      <c r="G82" s="9">
        <f t="shared" si="3"/>
        <v>3.7764930589337744E-4</v>
      </c>
    </row>
    <row r="83" spans="1:7" x14ac:dyDescent="0.45">
      <c r="A83">
        <v>72</v>
      </c>
      <c r="B83" s="6" t="n">
        <v>3300.7833570129</v>
      </c>
      <c r="C83" s="9">
        <f t="shared" si="2"/>
        <v>3.7865199241327234E-3</v>
      </c>
      <c r="E83" s="371">
        <v>72</v>
      </c>
      <c r="F83" s="371" t="n">
        <v>289.0</v>
      </c>
      <c r="G83" s="9">
        <f t="shared" si="3"/>
        <v>4.5445933421067454E-4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229.0</v>
      </c>
      <c r="G84" s="9">
        <f t="shared" si="3"/>
        <v>3.5844679881405316E-4</v>
      </c>
    </row>
    <row r="85" spans="1:7" x14ac:dyDescent="0.45">
      <c r="A85">
        <v>74</v>
      </c>
      <c r="B85" s="6" t="n">
        <v>1126.495875</v>
      </c>
      <c r="C85" s="9">
        <f t="shared" si="2"/>
        <v>1.2922687173874271E-3</v>
      </c>
      <c r="E85" s="371">
        <v>74</v>
      </c>
      <c r="F85" s="371" t="n">
        <v>204.0</v>
      </c>
      <c r="G85" s="9">
        <f t="shared" si="3"/>
        <v>3.251624532098911E-4</v>
      </c>
    </row>
    <row r="86" spans="1:7" x14ac:dyDescent="0.45">
      <c r="A86">
        <v>75</v>
      </c>
      <c r="B86" s="6" t="n">
        <v>970.9034999999999</v>
      </c>
      <c r="C86" s="9">
        <f t="shared" si="2"/>
        <v>1.1137796848585562E-3</v>
      </c>
      <c r="E86" s="371">
        <v>75</v>
      </c>
      <c r="F86" s="371" t="n">
        <v>202.0</v>
      </c>
      <c r="G86" s="9">
        <f t="shared" si="3"/>
        <v>3.1108061468505327E-4</v>
      </c>
    </row>
    <row r="87" spans="1:7" x14ac:dyDescent="0.45">
      <c r="A87">
        <v>76</v>
      </c>
      <c r="B87" s="6" t="n">
        <v>2431.275216484</v>
      </c>
      <c r="C87" s="9">
        <f t="shared" si="2"/>
        <v>2.789056733671233E-3</v>
      </c>
      <c r="E87" s="371">
        <v>76</v>
      </c>
      <c r="F87" s="371" t="n">
        <v>165.0</v>
      </c>
      <c r="G87" s="9">
        <f t="shared" si="3"/>
        <v>2.9187810760572899E-4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205.0</v>
      </c>
      <c r="G88" s="9">
        <f t="shared" si="3"/>
        <v>2.7907643621951283E-4</v>
      </c>
    </row>
    <row r="89" spans="1:7" x14ac:dyDescent="0.45">
      <c r="A89">
        <v>78</v>
      </c>
      <c r="B89" s="6" t="n">
        <v>265.778875</v>
      </c>
      <c r="C89" s="9">
        <f t="shared" si="2"/>
        <v>3.0489035381946986E-4</v>
      </c>
      <c r="E89" s="371">
        <v>78</v>
      </c>
      <c r="F89" s="371" t="n">
        <v>192.0</v>
      </c>
      <c r="G89" s="9">
        <f t="shared" si="3"/>
        <v>3.5972696595267477E-4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137.0</v>
      </c>
      <c r="G90" s="9">
        <f t="shared" si="3"/>
        <v>2.4323175633810752E-4</v>
      </c>
    </row>
    <row r="91" spans="1:7" x14ac:dyDescent="0.45">
      <c r="A91">
        <v>80</v>
      </c>
      <c r="B91" s="6" t="n">
        <v>8712.436162205</v>
      </c>
      <c r="C91" s="9">
        <f t="shared" si="2"/>
        <v>9.9945405522701026E-3</v>
      </c>
      <c r="E91" s="371">
        <v>80</v>
      </c>
      <c r="F91" s="371" t="n">
        <v>128.0</v>
      </c>
      <c r="G91" s="9">
        <f t="shared" si="3"/>
        <v>2.2530941639740485E-4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124.0</v>
      </c>
      <c r="G92" s="9">
        <f t="shared" si="3"/>
        <v>1.7922339940702658E-4</v>
      </c>
    </row>
    <row r="93" spans="1:7" x14ac:dyDescent="0.45">
      <c r="A93">
        <v>82</v>
      </c>
      <c r="B93" s="6" t="n">
        <v>1587.06225</v>
      </c>
      <c r="C93" s="9">
        <f t="shared" si="2"/>
        <v>1.8206111036327621E-3</v>
      </c>
      <c r="E93" s="371">
        <v>82</v>
      </c>
      <c r="F93" s="371" t="n">
        <v>125.0</v>
      </c>
      <c r="G93" s="9">
        <f t="shared" si="3"/>
        <v>1.869044022387563E-4</v>
      </c>
    </row>
    <row r="94" spans="1:7" x14ac:dyDescent="0.45">
      <c r="A94">
        <v>83</v>
      </c>
      <c r="B94" s="6" t="n">
        <v>21.551250000000003</v>
      </c>
      <c r="C94" s="9">
        <f t="shared" si="2"/>
        <v>2.4722688128437036E-5</v>
      </c>
      <c r="E94" s="371">
        <v>83</v>
      </c>
      <c r="F94" s="371" t="n">
        <v>133.0</v>
      </c>
      <c r="G94" s="9">
        <f t="shared" si="3"/>
        <v>2.0354657504083733E-4</v>
      </c>
    </row>
    <row r="95" spans="1:7" x14ac:dyDescent="0.45">
      <c r="A95">
        <v>84</v>
      </c>
      <c r="B95" s="6" t="n">
        <v>736.1920170764</v>
      </c>
      <c r="C95" s="9">
        <f t="shared" si="2"/>
        <v>8.4452853736209394E-4</v>
      </c>
      <c r="E95" s="371">
        <v>84</v>
      </c>
      <c r="F95" s="371" t="n">
        <v>131.0</v>
      </c>
      <c r="G95" s="9">
        <f t="shared" si="3"/>
        <v>2.1762841356567512E-4</v>
      </c>
    </row>
    <row r="96" spans="1:7" x14ac:dyDescent="0.45">
      <c r="A96">
        <v>85</v>
      </c>
      <c r="B96" s="6" t="n">
        <v>176.449698513</v>
      </c>
      <c r="C96" s="9">
        <f t="shared" si="2"/>
        <v>2.024156773594867E-4</v>
      </c>
      <c r="E96" s="371">
        <v>85</v>
      </c>
      <c r="F96" s="371" t="n">
        <v>112.0</v>
      </c>
      <c r="G96" s="9">
        <f t="shared" si="3"/>
        <v>2.1250774501118866E-4</v>
      </c>
    </row>
    <row r="97" spans="1:7" x14ac:dyDescent="0.45">
      <c r="A97">
        <v>86</v>
      </c>
      <c r="B97" s="6" t="n">
        <v>339.706125</v>
      </c>
      <c r="C97" s="9">
        <f t="shared" si="2"/>
        <v>3.8969658760836824E-4</v>
      </c>
      <c r="E97" s="371">
        <v>86</v>
      </c>
      <c r="F97" s="371" t="n">
        <v>93.0</v>
      </c>
      <c r="G97" s="9">
        <f t="shared" si="3"/>
        <v>1.7794323226840496E-4</v>
      </c>
    </row>
    <row r="98" spans="1:7" x14ac:dyDescent="0.45">
      <c r="A98">
        <v>87</v>
      </c>
      <c r="B98" s="6" t="n">
        <v>143.194</v>
      </c>
      <c r="C98" s="9">
        <f t="shared" si="2"/>
        <v>1.6426613787429555E-4</v>
      </c>
      <c r="E98" s="371">
        <v>87</v>
      </c>
      <c r="F98" s="371" t="n">
        <v>121.0</v>
      </c>
      <c r="G98" s="9">
        <f t="shared" si="3"/>
        <v>1.4081838524837803E-4</v>
      </c>
    </row>
    <row r="99" spans="1:7" x14ac:dyDescent="0.45">
      <c r="A99">
        <v>88</v>
      </c>
      <c r="B99" s="6" t="n">
        <v>195.04500000000002</v>
      </c>
      <c r="C99" s="9">
        <f t="shared" si="2"/>
        <v>2.2374742560227369E-4</v>
      </c>
      <c r="E99" s="371">
        <v>88</v>
      </c>
      <c r="F99" s="371" t="n">
        <v>117.0</v>
      </c>
      <c r="G99" s="9">
        <f t="shared" si="3"/>
        <v>1.728225637139185E-4</v>
      </c>
    </row>
    <row r="100" spans="1:7" x14ac:dyDescent="0.45">
      <c r="A100">
        <v>89</v>
      </c>
      <c r="B100" s="6" t="n">
        <v>3248.298665265</v>
      </c>
      <c r="C100" s="9">
        <f t="shared" si="2"/>
        <v>3.7263116918677514E-3</v>
      </c>
      <c r="E100" s="371">
        <v>89</v>
      </c>
      <c r="F100" s="371" t="n">
        <v>86.0</v>
      </c>
      <c r="G100" s="9">
        <f t="shared" si="3"/>
        <v>1.3441754955526993E-4</v>
      </c>
    </row>
    <row r="101" spans="1:7" ht="14.65" thickBot="1" x14ac:dyDescent="0.5">
      <c r="A101" s="1">
        <v>90</v>
      </c>
      <c r="B101" s="7" t="n">
        <v>22389.1394741028</v>
      </c>
      <c r="C101" s="9">
        <f t="shared" si="2"/>
        <v>2.5683879713813456E-2</v>
      </c>
      <c r="E101" s="372">
        <v>90</v>
      </c>
      <c r="F101" s="372" t="n">
        <v>4211.0</v>
      </c>
      <c r="G101" s="9">
        <f t="shared" si="3"/>
        <v>6.2292932965327952E-3</v>
      </c>
    </row>
    <row r="102" spans="1:7" x14ac:dyDescent="0.45">
      <c r="B102" s="6">
        <f>SUM(B11:B101)</f>
        <v>871719.52693974588</v>
      </c>
      <c r="C102" s="9">
        <f t="shared" si="2"/>
        <v>1</v>
      </c>
      <c r="F102" s="6">
        <f>SUM(F11:F101)</f>
        <v>781148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41036.6144514812</v>
      </c>
      <c r="C11" s="9">
        <f>B11/B$102</f>
        <v>3.3002917508857768E-2</v>
      </c>
      <c r="E11" s="371">
        <v>0</v>
      </c>
      <c r="F11" s="371" t="n">
        <v>223217.0</v>
      </c>
      <c r="G11" s="9">
        <f>F11/F$102</f>
        <v>0.15580222096314125</v>
      </c>
      <c r="K11" s="6" t="n">
        <v>6.893956947417957</v>
      </c>
      <c r="L11" s="6" t="n">
        <v>5.692921487991014</v>
      </c>
    </row>
    <row r="12" spans="1:12" x14ac:dyDescent="0.45">
      <c r="A12">
        <v>1</v>
      </c>
      <c r="B12" s="6" t="n">
        <v>70014.0946293031</v>
      </c>
      <c r="C12" s="9">
        <f>B12/B$102</f>
        <v>5.6307505392293629E-2</v>
      </c>
      <c r="E12" s="371">
        <v>1</v>
      </c>
      <c r="F12" s="371" t="n">
        <v>201985.0</v>
      </c>
      <c r="G12" s="9">
        <f>F12/F$102</f>
        <v>0.14036517679028088</v>
      </c>
      <c r="K12" s="6"/>
      <c r="L12" s="371"/>
    </row>
    <row r="13" spans="1:12" x14ac:dyDescent="0.45">
      <c r="A13">
        <v>2</v>
      </c>
      <c r="B13" s="6" t="n">
        <v>72983.4245619847</v>
      </c>
      <c r="C13" s="9">
        <f t="shared" ref="C13:C76" si="0">B13/B$102</f>
        <v>5.8695532575694383E-2</v>
      </c>
      <c r="E13" s="371">
        <v>2</v>
      </c>
      <c r="F13" s="371" t="n">
        <v>125749.0</v>
      </c>
      <c r="G13" s="9">
        <f t="shared" ref="G13:G76" si="1">F13/F$102</f>
        <v>8.69181178193522E-2</v>
      </c>
    </row>
    <row r="14" spans="1:12" x14ac:dyDescent="0.45">
      <c r="A14">
        <v>3</v>
      </c>
      <c r="B14" s="6" t="n">
        <v>120628.8023949881</v>
      </c>
      <c r="C14" s="9">
        <f t="shared" si="0"/>
        <v>9.7013422472779096E-2</v>
      </c>
      <c r="E14" s="371">
        <v>3</v>
      </c>
      <c r="F14" s="371" t="n">
        <v>76879.0</v>
      </c>
      <c r="G14" s="9">
        <f t="shared" si="1"/>
        <v>5.329114329346811E-2</v>
      </c>
    </row>
    <row r="15" spans="1:12" x14ac:dyDescent="0.45">
      <c r="A15">
        <v>4</v>
      </c>
      <c r="B15" s="6" t="n">
        <v>233807.7245633377</v>
      </c>
      <c r="C15" s="9">
        <f t="shared" si="0"/>
        <v>0.18803542031521206</v>
      </c>
      <c r="E15" s="371">
        <v>4</v>
      </c>
      <c r="F15" s="371" t="n">
        <v>235450.0</v>
      </c>
      <c r="G15" s="9">
        <f t="shared" si="1"/>
        <v>0.16362932718208864</v>
      </c>
    </row>
    <row r="16" spans="1:12" x14ac:dyDescent="0.45">
      <c r="A16">
        <v>5</v>
      </c>
      <c r="B16" s="6" t="n">
        <v>111745.1382012634</v>
      </c>
      <c r="C16" s="9">
        <f t="shared" si="0"/>
        <v>8.9868904327683727E-2</v>
      </c>
      <c r="E16" s="371">
        <v>5</v>
      </c>
      <c r="F16" s="371" t="n">
        <v>114150.0</v>
      </c>
      <c r="G16" s="9">
        <f t="shared" si="1"/>
        <v>7.8340667402625783E-2</v>
      </c>
    </row>
    <row r="17" spans="1:7" x14ac:dyDescent="0.45">
      <c r="A17">
        <v>6</v>
      </c>
      <c r="B17" s="6" t="n">
        <v>133033.0757617559</v>
      </c>
      <c r="C17" s="9">
        <f t="shared" si="0"/>
        <v>0.10698932365645929</v>
      </c>
      <c r="E17" s="371">
        <v>6</v>
      </c>
      <c r="F17" s="371" t="n">
        <v>102503.0</v>
      </c>
      <c r="G17" s="9">
        <f t="shared" si="1"/>
        <v>7.1209613315198858E-2</v>
      </c>
    </row>
    <row r="18" spans="1:7" x14ac:dyDescent="0.45">
      <c r="A18">
        <v>7</v>
      </c>
      <c r="B18" s="6" t="n">
        <v>107861.5911012974</v>
      </c>
      <c r="C18" s="9">
        <f t="shared" si="0"/>
        <v>8.6745635356909379E-2</v>
      </c>
      <c r="E18" s="371">
        <v>7</v>
      </c>
      <c r="F18" s="371" t="n">
        <v>55096.0</v>
      </c>
      <c r="G18" s="9">
        <f t="shared" si="1"/>
        <v>4.1339232143130594E-2</v>
      </c>
    </row>
    <row r="19" spans="1:7" x14ac:dyDescent="0.45">
      <c r="A19">
        <v>8</v>
      </c>
      <c r="B19" s="6" t="n">
        <v>50501.0687918001</v>
      </c>
      <c r="C19" s="9">
        <f t="shared" si="0"/>
        <v>4.0614525094790611E-2</v>
      </c>
      <c r="E19" s="371">
        <v>8</v>
      </c>
      <c r="F19" s="371" t="n">
        <v>51699.0</v>
      </c>
      <c r="G19" s="9">
        <f t="shared" si="1"/>
        <v>3.5947612332373244E-2</v>
      </c>
    </row>
    <row r="20" spans="1:7" x14ac:dyDescent="0.45">
      <c r="A20">
        <v>9</v>
      </c>
      <c r="B20" s="6" t="n">
        <v>31816.0735574426</v>
      </c>
      <c r="C20" s="9">
        <f t="shared" si="0"/>
        <v>2.558747267793016E-2</v>
      </c>
      <c r="E20" s="371">
        <v>9</v>
      </c>
      <c r="F20" s="371" t="n">
        <v>29458.0</v>
      </c>
      <c r="G20" s="9">
        <f t="shared" si="1"/>
        <v>2.1201747926112673E-2</v>
      </c>
    </row>
    <row r="21" spans="1:7" x14ac:dyDescent="0.45">
      <c r="A21">
        <v>10</v>
      </c>
      <c r="B21" s="6" t="n">
        <v>86161.2258041164</v>
      </c>
      <c r="C21" s="9">
        <f t="shared" si="0"/>
        <v>6.9293528856708211E-2</v>
      </c>
      <c r="E21" s="371">
        <v>10</v>
      </c>
      <c r="F21" s="371" t="n">
        <v>27904.0</v>
      </c>
      <c r="G21" s="9">
        <f t="shared" si="1"/>
        <v>1.8494105134498152E-2</v>
      </c>
    </row>
    <row r="22" spans="1:7" x14ac:dyDescent="0.45">
      <c r="A22">
        <v>11</v>
      </c>
      <c r="B22" s="6" t="n">
        <v>23471.3984698237</v>
      </c>
      <c r="C22" s="9">
        <f t="shared" si="0"/>
        <v>1.887642628104674E-2</v>
      </c>
      <c r="E22" s="371">
        <v>11</v>
      </c>
      <c r="F22" s="371" t="n">
        <v>28990.0</v>
      </c>
      <c r="G22" s="9">
        <f t="shared" si="1"/>
        <v>1.7218241577421182E-2</v>
      </c>
    </row>
    <row r="23" spans="1:7" x14ac:dyDescent="0.45">
      <c r="A23">
        <v>12</v>
      </c>
      <c r="B23" s="6" t="n">
        <v>16892.030641544</v>
      </c>
      <c r="C23" s="9">
        <f t="shared" si="0"/>
        <v>1.358509470802244E-2</v>
      </c>
      <c r="E23" s="371">
        <v>12</v>
      </c>
      <c r="F23" s="371" t="n">
        <v>17207.0</v>
      </c>
      <c r="G23" s="9">
        <f t="shared" si="1"/>
        <v>1.383125190544271E-2</v>
      </c>
    </row>
    <row r="24" spans="1:7" x14ac:dyDescent="0.45">
      <c r="A24">
        <v>13</v>
      </c>
      <c r="B24" s="6" t="n">
        <v>15943.1519336711</v>
      </c>
      <c r="C24" s="9">
        <f t="shared" si="0"/>
        <v>1.2821977035172835E-2</v>
      </c>
      <c r="E24" s="371">
        <v>13</v>
      </c>
      <c r="F24" s="371" t="n">
        <v>18260.0</v>
      </c>
      <c r="G24" s="9">
        <f t="shared" si="1"/>
        <v>1.1970008505757046E-2</v>
      </c>
    </row>
    <row r="25" spans="1:7" x14ac:dyDescent="0.45">
      <c r="A25">
        <v>14</v>
      </c>
      <c r="B25" s="6" t="n">
        <v>7832.5718147952</v>
      </c>
      <c r="C25" s="9">
        <f t="shared" si="0"/>
        <v>6.2991970692787029E-3</v>
      </c>
      <c r="E25" s="371">
        <v>14</v>
      </c>
      <c r="F25" s="371" t="n">
        <v>14406.0</v>
      </c>
      <c r="G25" s="9">
        <f t="shared" si="1"/>
        <v>1.195956772378424E-2</v>
      </c>
    </row>
    <row r="26" spans="1:7" x14ac:dyDescent="0.45">
      <c r="A26">
        <v>15</v>
      </c>
      <c r="B26" s="6" t="n">
        <v>12343.4433601623</v>
      </c>
      <c r="C26" s="9">
        <f t="shared" si="0"/>
        <v>9.9269798065905208E-3</v>
      </c>
      <c r="E26" s="371">
        <v>15</v>
      </c>
      <c r="F26" s="371" t="n">
        <v>15135.0</v>
      </c>
      <c r="G26" s="9">
        <f t="shared" si="1"/>
        <v>1.14848601700873E-2</v>
      </c>
    </row>
    <row r="27" spans="1:7" x14ac:dyDescent="0.45">
      <c r="A27">
        <v>16</v>
      </c>
      <c r="B27" s="6" t="n">
        <v>10817.380646548</v>
      </c>
      <c r="C27" s="9">
        <f t="shared" si="0"/>
        <v>8.6996728631704226E-3</v>
      </c>
      <c r="E27" s="371">
        <v>16</v>
      </c>
      <c r="F27" s="371" t="n">
        <v>16446.0</v>
      </c>
      <c r="G27" s="9">
        <f t="shared" si="1"/>
        <v>1.0349599143577458E-2</v>
      </c>
    </row>
    <row r="28" spans="1:7" x14ac:dyDescent="0.45">
      <c r="A28">
        <v>17</v>
      </c>
      <c r="B28" s="6" t="n">
        <v>17419.7887826173</v>
      </c>
      <c r="C28" s="9">
        <f t="shared" si="0"/>
        <v>1.4009534165986584E-2</v>
      </c>
      <c r="E28" s="371">
        <v>17</v>
      </c>
      <c r="F28" s="371" t="n">
        <v>11221.0</v>
      </c>
      <c r="G28" s="9">
        <f t="shared" si="1"/>
        <v>5.835005018535868E-3</v>
      </c>
    </row>
    <row r="29" spans="1:7" x14ac:dyDescent="0.45">
      <c r="A29">
        <v>18</v>
      </c>
      <c r="B29" s="6" t="n">
        <v>18966.5703644235</v>
      </c>
      <c r="C29" s="9">
        <f t="shared" si="0"/>
        <v>1.5253503865507643E-2</v>
      </c>
      <c r="E29" s="371">
        <v>18</v>
      </c>
      <c r="F29" s="371" t="n">
        <v>8279.0</v>
      </c>
      <c r="G29" s="9">
        <f t="shared" si="1"/>
        <v>6.1607574160874356E-3</v>
      </c>
    </row>
    <row r="30" spans="1:7" x14ac:dyDescent="0.45">
      <c r="A30">
        <v>19</v>
      </c>
      <c r="B30" s="6" t="n">
        <v>5712.8777091771</v>
      </c>
      <c r="C30" s="9">
        <f t="shared" si="0"/>
        <v>4.5944733573741207E-3</v>
      </c>
      <c r="E30" s="371">
        <v>19</v>
      </c>
      <c r="F30" s="371" t="n">
        <v>7376.0</v>
      </c>
      <c r="G30" s="9">
        <f t="shared" si="1"/>
        <v>5.9763036012345184E-3</v>
      </c>
    </row>
    <row r="31" spans="1:7" x14ac:dyDescent="0.45">
      <c r="A31">
        <v>20</v>
      </c>
      <c r="B31" s="6" t="n">
        <v>7905.4607745684</v>
      </c>
      <c r="C31" s="9">
        <f t="shared" si="0"/>
        <v>6.3578166303427741E-3</v>
      </c>
      <c r="E31" s="371">
        <v>20</v>
      </c>
      <c r="F31" s="371" t="n">
        <v>6986.0</v>
      </c>
      <c r="G31" s="9">
        <f t="shared" si="1"/>
        <v>4.9781648446342039E-3</v>
      </c>
    </row>
    <row r="32" spans="1:7" x14ac:dyDescent="0.45">
      <c r="A32">
        <v>21</v>
      </c>
      <c r="B32" s="6" t="n">
        <v>5865.5300556841</v>
      </c>
      <c r="C32" s="9">
        <f t="shared" si="0"/>
        <v>4.7172411067765638E-3</v>
      </c>
      <c r="E32" s="371">
        <v>21</v>
      </c>
      <c r="F32" s="371" t="n">
        <v>5258.0</v>
      </c>
      <c r="G32" s="9">
        <f t="shared" si="1"/>
        <v>3.8317669840200351E-3</v>
      </c>
    </row>
    <row r="33" spans="1:7" x14ac:dyDescent="0.45">
      <c r="A33">
        <v>22</v>
      </c>
      <c r="B33" s="6" t="n">
        <v>5503.4160241288</v>
      </c>
      <c r="C33" s="9">
        <f t="shared" si="0"/>
        <v>4.4260177767830701E-3</v>
      </c>
      <c r="E33" s="371">
        <v>22</v>
      </c>
      <c r="F33" s="371" t="n">
        <v>4825.0</v>
      </c>
      <c r="G33" s="9">
        <f t="shared" si="1"/>
        <v>2.9122821182815308E-3</v>
      </c>
    </row>
    <row r="34" spans="1:7" x14ac:dyDescent="0.45">
      <c r="A34">
        <v>23</v>
      </c>
      <c r="B34" s="6" t="n">
        <v>7207.0823968347</v>
      </c>
      <c r="C34" s="9">
        <f t="shared" si="0"/>
        <v>5.7961590886962486E-3</v>
      </c>
      <c r="E34" s="371">
        <v>23</v>
      </c>
      <c r="F34" s="371" t="n">
        <v>4320.0</v>
      </c>
      <c r="G34" s="9">
        <f t="shared" si="1"/>
        <v>3.1405872174202357E-3</v>
      </c>
    </row>
    <row r="35" spans="1:7" x14ac:dyDescent="0.45">
      <c r="A35">
        <v>24</v>
      </c>
      <c r="B35" s="6" t="n">
        <v>1879.5049007177</v>
      </c>
      <c r="C35" s="9">
        <f t="shared" si="0"/>
        <v>1.5115561072714481E-3</v>
      </c>
      <c r="E35" s="371">
        <v>24</v>
      </c>
      <c r="F35" s="371" t="n">
        <v>3997.0</v>
      </c>
      <c r="G35" s="9">
        <f t="shared" si="1"/>
        <v>2.9429084120684303E-3</v>
      </c>
    </row>
    <row r="36" spans="1:7" x14ac:dyDescent="0.45">
      <c r="A36">
        <v>25</v>
      </c>
      <c r="B36" s="6" t="n">
        <v>1572.4291990000002</v>
      </c>
      <c r="C36" s="9">
        <f t="shared" si="0"/>
        <v>1.2645963083644E-3</v>
      </c>
      <c r="E36" s="371">
        <v>25</v>
      </c>
      <c r="F36" s="371" t="n">
        <v>4286.0</v>
      </c>
      <c r="G36" s="9">
        <f t="shared" si="1"/>
        <v>3.27283712240912E-3</v>
      </c>
    </row>
    <row r="37" spans="1:7" x14ac:dyDescent="0.45">
      <c r="A37">
        <v>26</v>
      </c>
      <c r="B37" s="6" t="n">
        <v>501.90882972869997</v>
      </c>
      <c r="C37" s="9">
        <f t="shared" si="0"/>
        <v>4.0365064043205301E-4</v>
      </c>
      <c r="E37" s="371">
        <v>26</v>
      </c>
      <c r="F37" s="371" t="n">
        <v>2967.0</v>
      </c>
      <c r="G37" s="9">
        <f t="shared" si="1"/>
        <v>2.229454977259977E-3</v>
      </c>
    </row>
    <row r="38" spans="1:7" x14ac:dyDescent="0.45">
      <c r="A38">
        <v>27</v>
      </c>
      <c r="B38" s="6" t="n">
        <v>3553.514310411</v>
      </c>
      <c r="C38" s="9">
        <f t="shared" si="0"/>
        <v>2.8578463701409659E-3</v>
      </c>
      <c r="E38" s="371">
        <v>27</v>
      </c>
      <c r="F38" s="371" t="n">
        <v>2717.0</v>
      </c>
      <c r="G38" s="9">
        <f t="shared" si="1"/>
        <v>2.04569721453858E-3</v>
      </c>
    </row>
    <row r="39" spans="1:7" x14ac:dyDescent="0.45">
      <c r="A39">
        <v>28</v>
      </c>
      <c r="B39" s="6" t="n">
        <v>2277.679470475</v>
      </c>
      <c r="C39" s="9">
        <f t="shared" si="0"/>
        <v>1.8317804399917315E-3</v>
      </c>
      <c r="E39" s="371">
        <v>28</v>
      </c>
      <c r="F39" s="371" t="n">
        <v>2088.0</v>
      </c>
      <c r="G39" s="9">
        <f t="shared" si="1"/>
        <v>1.6371146133360803E-3</v>
      </c>
    </row>
    <row r="40" spans="1:7" x14ac:dyDescent="0.45">
      <c r="A40">
        <v>29</v>
      </c>
      <c r="B40" s="6" t="n">
        <v>1110.185088022</v>
      </c>
      <c r="C40" s="9">
        <f t="shared" si="0"/>
        <v>8.9284526438880216E-4</v>
      </c>
      <c r="E40" s="371">
        <v>29</v>
      </c>
      <c r="F40" s="371" t="n">
        <v>2565.0</v>
      </c>
      <c r="G40" s="9">
        <f t="shared" si="1"/>
        <v>1.4686699975081333E-3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1740.0</v>
      </c>
      <c r="G41" s="9">
        <f t="shared" si="1"/>
        <v>1.244541211158551E-3</v>
      </c>
    </row>
    <row r="42" spans="1:7" x14ac:dyDescent="0.45">
      <c r="A42">
        <v>31</v>
      </c>
      <c r="B42" s="6" t="n">
        <v>616.4765828231</v>
      </c>
      <c r="C42" s="9">
        <f t="shared" si="0"/>
        <v>4.9578957916005504E-4</v>
      </c>
      <c r="E42" s="371">
        <v>31</v>
      </c>
      <c r="F42" s="371" t="n">
        <v>1452.0</v>
      </c>
      <c r="G42" s="9">
        <f t="shared" si="1"/>
        <v>1.2118267609770902E-3</v>
      </c>
    </row>
    <row r="43" spans="1:7" x14ac:dyDescent="0.45">
      <c r="A43">
        <v>32</v>
      </c>
      <c r="B43" s="6" t="n">
        <v>159.396922991</v>
      </c>
      <c r="C43" s="9">
        <f t="shared" si="0"/>
        <v>1.2819194689799393E-4</v>
      </c>
      <c r="E43" s="371">
        <v>32</v>
      </c>
      <c r="F43" s="371" t="n">
        <v>1340.0</v>
      </c>
      <c r="G43" s="9">
        <f t="shared" si="1"/>
        <v>9.3410196050043364E-4</v>
      </c>
    </row>
    <row r="44" spans="1:7" x14ac:dyDescent="0.45">
      <c r="A44">
        <v>33</v>
      </c>
      <c r="B44" s="6" t="n">
        <v>1202.624334424</v>
      </c>
      <c r="C44" s="9">
        <f t="shared" si="0"/>
        <v>9.6718777203385145E-4</v>
      </c>
      <c r="E44" s="371">
        <v>33</v>
      </c>
      <c r="F44" s="371" t="n">
        <v>964.0</v>
      </c>
      <c r="G44" s="9">
        <f t="shared" si="1"/>
        <v>8.2203756732564237E-4</v>
      </c>
    </row>
    <row r="45" spans="1:7" x14ac:dyDescent="0.45">
      <c r="A45">
        <v>34</v>
      </c>
      <c r="B45" s="6" t="n">
        <v>8406.9105220392</v>
      </c>
      <c r="C45" s="9">
        <f t="shared" si="0"/>
        <v>6.7610980625911164E-3</v>
      </c>
      <c r="E45" s="371">
        <v>34</v>
      </c>
      <c r="F45" s="371" t="n">
        <v>989.0</v>
      </c>
      <c r="G45" s="9">
        <f t="shared" si="1"/>
        <v>8.4013492274517397E-4</v>
      </c>
    </row>
    <row r="46" spans="1:7" x14ac:dyDescent="0.45">
      <c r="A46">
        <v>35</v>
      </c>
      <c r="B46" s="6" t="n">
        <v>760.643560281</v>
      </c>
      <c r="C46" s="9">
        <f t="shared" si="0"/>
        <v>6.1173313172016867E-4</v>
      </c>
      <c r="E46" s="371">
        <v>35</v>
      </c>
      <c r="F46" s="371" t="n">
        <v>815.0</v>
      </c>
      <c r="G46" s="9">
        <f t="shared" si="1"/>
        <v>5.5614565308483347E-4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1054.0</v>
      </c>
      <c r="G47" s="9">
        <f t="shared" si="1"/>
        <v>6.9117976659979926E-4</v>
      </c>
    </row>
    <row r="48" spans="1:7" x14ac:dyDescent="0.45">
      <c r="A48">
        <v>37</v>
      </c>
      <c r="B48" s="6" t="n">
        <v>205.011586153</v>
      </c>
      <c r="C48" s="9">
        <f t="shared" si="0"/>
        <v>1.648766731029229E-4</v>
      </c>
      <c r="E48" s="371">
        <v>37</v>
      </c>
      <c r="F48" s="371" t="n">
        <v>809.0</v>
      </c>
      <c r="G48" s="9">
        <f t="shared" si="1"/>
        <v>5.8537984260869204E-4</v>
      </c>
    </row>
    <row r="49" spans="1:7" x14ac:dyDescent="0.45">
      <c r="A49">
        <v>38</v>
      </c>
      <c r="B49" s="6" t="n">
        <v>1198.864695919</v>
      </c>
      <c r="C49" s="9">
        <f t="shared" si="0"/>
        <v>9.6416415419641171E-4</v>
      </c>
      <c r="E49" s="371">
        <v>38</v>
      </c>
      <c r="F49" s="371" t="n">
        <v>745.0</v>
      </c>
      <c r="G49" s="9">
        <f t="shared" si="1"/>
        <v>5.4361671471746546E-4</v>
      </c>
    </row>
    <row r="50" spans="1:7" x14ac:dyDescent="0.45">
      <c r="A50">
        <v>39</v>
      </c>
      <c r="B50" s="6" t="n">
        <v>1778.0579449699999</v>
      </c>
      <c r="C50" s="9">
        <f t="shared" si="0"/>
        <v>1.4299693205245885E-3</v>
      </c>
      <c r="E50" s="371">
        <v>39</v>
      </c>
      <c r="F50" s="371" t="n">
        <v>495.0</v>
      </c>
      <c r="G50" s="9">
        <f t="shared" si="1"/>
        <v>4.1623917464922455E-4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413.0</v>
      </c>
      <c r="G51" s="9">
        <f t="shared" si="1"/>
        <v>3.3549712739285324E-4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410.0</v>
      </c>
      <c r="G52" s="9">
        <f t="shared" si="1"/>
        <v>2.8120506113425871E-4</v>
      </c>
    </row>
    <row r="53" spans="1:7" x14ac:dyDescent="0.45">
      <c r="A53">
        <v>42</v>
      </c>
      <c r="B53" s="6" t="n">
        <v>317.065697077</v>
      </c>
      <c r="C53" s="9">
        <f t="shared" si="0"/>
        <v>2.5499406287262619E-4</v>
      </c>
      <c r="E53" s="371">
        <v>42</v>
      </c>
      <c r="F53" s="371" t="n">
        <v>335.0</v>
      </c>
      <c r="G53" s="9">
        <f t="shared" si="1"/>
        <v>2.1577616077133712E-4</v>
      </c>
    </row>
    <row r="54" spans="1:7" x14ac:dyDescent="0.45">
      <c r="A54">
        <v>43</v>
      </c>
      <c r="B54" s="6" t="n">
        <v>794.0327051950001</v>
      </c>
      <c r="C54" s="9">
        <f t="shared" si="0"/>
        <v>6.3858571714947836E-4</v>
      </c>
      <c r="E54" s="371">
        <v>43</v>
      </c>
      <c r="F54" s="371" t="n">
        <v>211.0</v>
      </c>
      <c r="G54" s="9">
        <f t="shared" si="1"/>
        <v>2.0463932666701004E-4</v>
      </c>
    </row>
    <row r="55" spans="1:7" x14ac:dyDescent="0.45">
      <c r="A55">
        <v>44</v>
      </c>
      <c r="B55" s="6" t="n">
        <v>387.674382174</v>
      </c>
      <c r="C55" s="9">
        <f t="shared" si="0"/>
        <v>3.117797563518088E-4</v>
      </c>
      <c r="E55" s="371">
        <v>44</v>
      </c>
      <c r="F55" s="371" t="n">
        <v>227.0</v>
      </c>
      <c r="G55" s="9">
        <f t="shared" si="1"/>
        <v>1.5521962532905864E-4</v>
      </c>
    </row>
    <row r="56" spans="1:7" x14ac:dyDescent="0.45">
      <c r="A56">
        <v>45</v>
      </c>
      <c r="B56" s="6" t="n">
        <v>343.963060963</v>
      </c>
      <c r="C56" s="9">
        <f t="shared" si="0"/>
        <v>2.766257567489554E-4</v>
      </c>
      <c r="E56" s="371">
        <v>45</v>
      </c>
      <c r="F56" s="371" t="n">
        <v>245.0</v>
      </c>
      <c r="G56" s="9">
        <f t="shared" si="1"/>
        <v>1.5939593811818131E-4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188.0</v>
      </c>
      <c r="G57" s="9">
        <f t="shared" si="1"/>
        <v>1.5243541680297687E-4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201.0</v>
      </c>
      <c r="G58" s="9">
        <f t="shared" si="1"/>
        <v>1.4408279122473156E-4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109.0</v>
      </c>
      <c r="G59" s="9">
        <f t="shared" si="1"/>
        <v>7.3781525941166883E-5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116.0</v>
      </c>
      <c r="G60" s="9">
        <f t="shared" si="1"/>
        <v>1.0301571546502547E-4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125.0</v>
      </c>
      <c r="G61" s="9">
        <f t="shared" si="1"/>
        <v>6.8909161020523792E-5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94.0</v>
      </c>
      <c r="G62" s="9">
        <f t="shared" si="1"/>
        <v>6.8213108889003356E-5</v>
      </c>
    </row>
    <row r="63" spans="1:7" x14ac:dyDescent="0.45">
      <c r="A63">
        <v>52</v>
      </c>
      <c r="B63" s="6" t="n">
        <v>554.661229397</v>
      </c>
      <c r="C63" s="9">
        <f t="shared" si="0"/>
        <v>4.4607575561073375E-4</v>
      </c>
      <c r="E63" s="371">
        <v>52</v>
      </c>
      <c r="F63" s="371" t="n">
        <v>58.0</v>
      </c>
      <c r="G63" s="9">
        <f t="shared" si="1"/>
        <v>5.4988118390114948E-5</v>
      </c>
    </row>
    <row r="64" spans="1:7" x14ac:dyDescent="0.45">
      <c r="A64">
        <v>53</v>
      </c>
      <c r="B64" s="6" t="n">
        <v>4.59375</v>
      </c>
      <c r="C64" s="9">
        <f t="shared" si="0"/>
        <v>3.6944361598241738E-6</v>
      </c>
      <c r="E64" s="371">
        <v>53</v>
      </c>
      <c r="F64" s="371" t="n">
        <v>71.0</v>
      </c>
      <c r="G64" s="9">
        <f t="shared" si="1"/>
        <v>3.8978919365144769E-5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56.0</v>
      </c>
      <c r="G65" s="9">
        <f t="shared" si="1"/>
        <v>5.0811805600992293E-5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37.0</v>
      </c>
      <c r="G66" s="9">
        <f t="shared" si="1"/>
        <v>2.644998099777681E-5</v>
      </c>
    </row>
    <row r="67" spans="1:7" x14ac:dyDescent="0.45">
      <c r="A67">
        <v>56</v>
      </c>
      <c r="B67" s="6" t="n">
        <v>248.013120292</v>
      </c>
      <c r="C67" s="9">
        <f t="shared" si="0"/>
        <v>1.9945983993852241E-4</v>
      </c>
      <c r="E67" s="371">
        <v>56</v>
      </c>
      <c r="F67" s="371" t="n">
        <v>38.0</v>
      </c>
      <c r="G67" s="9">
        <f t="shared" si="1"/>
        <v>3.7586815102103884E-5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28.0</v>
      </c>
      <c r="G68" s="9">
        <f t="shared" si="1"/>
        <v>2.7842085260817695E-5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23.0</v>
      </c>
      <c r="G69" s="9">
        <f t="shared" si="1"/>
        <v>2.8538137392338138E-5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30.0</v>
      </c>
      <c r="G70" s="9">
        <f t="shared" si="1"/>
        <v>1.6705251156490618E-5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28.0</v>
      </c>
      <c r="G71" s="9">
        <f t="shared" si="1"/>
        <v>1.8097355419531503E-5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21.0</v>
      </c>
      <c r="G72" s="9">
        <f t="shared" si="1"/>
        <v>6.9605213152044238E-6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21.0</v>
      </c>
      <c r="G73" s="9">
        <f t="shared" si="1"/>
        <v>1.461709476192929E-5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10.0</v>
      </c>
      <c r="G74" s="9">
        <f t="shared" si="1"/>
        <v>1.183288623584752E-5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6.0</v>
      </c>
      <c r="G75" s="9">
        <f t="shared" si="1"/>
        <v>3.4802606576022119E-6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4.0</v>
      </c>
      <c r="G76" s="9">
        <f t="shared" si="1"/>
        <v>1.0440781972806635E-5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5.0</v>
      </c>
      <c r="G77" s="9">
        <f t="shared" ref="G77:G102" si="3">F77/F$102</f>
        <v>8.3526255782453089E-6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6.0</v>
      </c>
      <c r="G78" s="9">
        <f t="shared" si="3"/>
        <v>5.5684170521635387E-6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8.0</v>
      </c>
      <c r="G79" s="9">
        <f t="shared" si="3"/>
        <v>5.5684170521635387E-6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3.0</v>
      </c>
      <c r="G80" s="9">
        <f t="shared" si="3"/>
        <v>5.5684170521635387E-6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4.1763127891226545E-6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7.0</v>
      </c>
      <c r="G82" s="9">
        <f t="shared" si="3"/>
        <v>8.3526255782453089E-6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6.0</v>
      </c>
      <c r="G83" s="9">
        <f t="shared" si="3"/>
        <v>5.5684170521635387E-6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2.0</v>
      </c>
      <c r="G84" s="9">
        <f t="shared" si="3"/>
        <v>5.5684170521635387E-6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1.0</v>
      </c>
      <c r="G85" s="9">
        <f t="shared" si="3"/>
        <v>2.0881563945613272E-6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3.0</v>
      </c>
      <c r="G86" s="9">
        <f t="shared" si="3"/>
        <v>2.0881563945613272E-6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1.0</v>
      </c>
      <c r="G87" s="9">
        <f t="shared" si="3"/>
        <v>2.0881563945613272E-6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1.0</v>
      </c>
      <c r="G88" s="9">
        <f t="shared" si="3"/>
        <v>6.9605213152044234E-7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1.3921042630408847E-6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6.9605213152044234E-7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1.0</v>
      </c>
      <c r="G92" s="9">
        <f t="shared" si="3"/>
        <v>6.9605213152044234E-7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6.9605213152044234E-7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6.9605213152044234E-7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6.9605213152044234E-7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81.0922660552</v>
      </c>
      <c r="C101" s="9">
        <f t="shared" si="2"/>
        <v>6.5216914284933509E-5</v>
      </c>
      <c r="E101" s="372">
        <v>90</v>
      </c>
      <c r="F101" s="372" t="n">
        <v>0.0</v>
      </c>
      <c r="G101" s="9">
        <f t="shared" si="3"/>
        <v>6.9605213152044234E-7</v>
      </c>
    </row>
    <row r="102" spans="1:7" x14ac:dyDescent="0.45">
      <c r="B102" s="6">
        <f>SUM(B11:B101)</f>
        <v>1243423.8409518562</v>
      </c>
      <c r="C102" s="9">
        <f t="shared" si="2"/>
        <v>1</v>
      </c>
      <c r="F102" s="6">
        <f>SUM(F11:F101)</f>
        <v>1436674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2"/>
  <sheetViews>
    <sheetView workbookViewId="0">
      <selection activeCell="D5" sqref="D5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6421.666277464999</v>
      </c>
      <c r="C11" s="9">
        <f>B11/B$102</f>
        <v>5.1645030969883401E-3</v>
      </c>
      <c r="E11" s="371">
        <v>0</v>
      </c>
      <c r="F11" s="371" t="n">
        <v>7087.0</v>
      </c>
      <c r="G11" s="9">
        <f>F11/F$102</f>
        <v>4.9607635413461927E-3</v>
      </c>
      <c r="K11" s="6" t="n">
        <v>25.652639512133877</v>
      </c>
      <c r="L11" s="6" t="n">
        <v>19.112758466849034</v>
      </c>
    </row>
    <row r="12" spans="1:12" x14ac:dyDescent="0.45">
      <c r="A12">
        <v>1</v>
      </c>
      <c r="B12" s="6" t="n">
        <v>7648.6649553169</v>
      </c>
      <c r="C12" s="9">
        <f>B12/B$102</f>
        <v>6.1512934716305197E-3</v>
      </c>
      <c r="E12" s="371">
        <v>1</v>
      </c>
      <c r="F12" s="371" t="n">
        <v>33197.0</v>
      </c>
      <c r="G12" s="9">
        <f>F12/F$102</f>
        <v>2.2993386112646293E-2</v>
      </c>
      <c r="K12" s="6"/>
      <c r="L12" s="371"/>
    </row>
    <row r="13" spans="1:12" x14ac:dyDescent="0.45">
      <c r="A13">
        <v>2</v>
      </c>
      <c r="B13" s="6" t="n">
        <v>7659.3953825730005</v>
      </c>
      <c r="C13" s="9">
        <f t="shared" ref="C13:C76" si="0">B13/B$102</f>
        <v>6.1599232138814693E-3</v>
      </c>
      <c r="E13" s="371">
        <v>2</v>
      </c>
      <c r="F13" s="371" t="n">
        <v>44548.0</v>
      </c>
      <c r="G13" s="9">
        <f t="shared" ref="G13:G76" si="1">F13/F$102</f>
        <v>3.117060655374845E-2</v>
      </c>
    </row>
    <row r="14" spans="1:12" x14ac:dyDescent="0.45">
      <c r="A14">
        <v>3</v>
      </c>
      <c r="B14" s="6" t="n">
        <v>11138.1608098898</v>
      </c>
      <c r="C14" s="9">
        <f t="shared" si="0"/>
        <v>8.9576542149645434E-3</v>
      </c>
      <c r="E14" s="371">
        <v>3</v>
      </c>
      <c r="F14" s="371" t="n">
        <v>52445.0</v>
      </c>
      <c r="G14" s="9">
        <f t="shared" si="1"/>
        <v>3.65385605920341E-2</v>
      </c>
    </row>
    <row r="15" spans="1:12" x14ac:dyDescent="0.45">
      <c r="A15">
        <v>4</v>
      </c>
      <c r="B15" s="6" t="n">
        <v>15713.2697782597</v>
      </c>
      <c r="C15" s="9">
        <f t="shared" si="0"/>
        <v>1.2637098679265307E-2</v>
      </c>
      <c r="E15" s="371">
        <v>4</v>
      </c>
      <c r="F15" s="371" t="n">
        <v>54014.0</v>
      </c>
      <c r="G15" s="9">
        <f t="shared" si="1"/>
        <v>3.753252303584529E-2</v>
      </c>
    </row>
    <row r="16" spans="1:12" x14ac:dyDescent="0.45">
      <c r="A16">
        <v>5</v>
      </c>
      <c r="B16" s="6" t="n">
        <v>17497.7260123518</v>
      </c>
      <c r="C16" s="9">
        <f t="shared" si="0"/>
        <v>1.4072213702253828E-2</v>
      </c>
      <c r="E16" s="371">
        <v>5</v>
      </c>
      <c r="F16" s="371" t="n">
        <v>53402.0</v>
      </c>
      <c r="G16" s="9">
        <f t="shared" si="1"/>
        <v>3.6998651050969111E-2</v>
      </c>
    </row>
    <row r="17" spans="1:7" x14ac:dyDescent="0.45">
      <c r="A17">
        <v>6</v>
      </c>
      <c r="B17" s="6" t="n">
        <v>17900.7109937355</v>
      </c>
      <c r="C17" s="9">
        <f t="shared" si="0"/>
        <v>1.4396306717130568E-2</v>
      </c>
      <c r="E17" s="371">
        <v>6</v>
      </c>
      <c r="F17" s="371" t="n">
        <v>51260.0</v>
      </c>
      <c r="G17" s="9">
        <f t="shared" si="1"/>
        <v>3.5571744181352206E-2</v>
      </c>
    </row>
    <row r="18" spans="1:7" x14ac:dyDescent="0.45">
      <c r="A18">
        <v>7</v>
      </c>
      <c r="B18" s="6" t="n">
        <v>23731.144678382</v>
      </c>
      <c r="C18" s="9">
        <f t="shared" si="0"/>
        <v>1.908532223430388E-2</v>
      </c>
      <c r="E18" s="371">
        <v>7</v>
      </c>
      <c r="F18" s="371" t="n">
        <v>48181.0</v>
      </c>
      <c r="G18" s="9">
        <f t="shared" si="1"/>
        <v>3.3694491582641574E-2</v>
      </c>
    </row>
    <row r="19" spans="1:7" x14ac:dyDescent="0.45">
      <c r="A19">
        <v>8</v>
      </c>
      <c r="B19" s="6" t="n">
        <v>13210.0662664562</v>
      </c>
      <c r="C19" s="9">
        <f t="shared" si="0"/>
        <v>1.0623944813816446E-2</v>
      </c>
      <c r="E19" s="371">
        <v>8</v>
      </c>
      <c r="F19" s="371" t="n">
        <v>44273.0</v>
      </c>
      <c r="G19" s="9">
        <f t="shared" si="1"/>
        <v>3.0886617284088109E-2</v>
      </c>
    </row>
    <row r="20" spans="1:7" x14ac:dyDescent="0.45">
      <c r="A20">
        <v>9</v>
      </c>
      <c r="B20" s="6" t="n">
        <v>25852.2630383261</v>
      </c>
      <c r="C20" s="9">
        <f t="shared" si="0"/>
        <v>2.0791191375690424E-2</v>
      </c>
      <c r="E20" s="371">
        <v>9</v>
      </c>
      <c r="F20" s="371" t="n">
        <v>40572.0</v>
      </c>
      <c r="G20" s="9">
        <f t="shared" si="1"/>
        <v>2.7939532559230557E-2</v>
      </c>
    </row>
    <row r="21" spans="1:7" x14ac:dyDescent="0.45">
      <c r="A21">
        <v>10</v>
      </c>
      <c r="B21" s="6" t="n">
        <v>13020.6747208126</v>
      </c>
      <c r="C21" s="9">
        <f t="shared" si="0"/>
        <v>1.0471630261524591E-2</v>
      </c>
      <c r="E21" s="371">
        <v>10</v>
      </c>
      <c r="F21" s="371" t="n">
        <v>35776.0</v>
      </c>
      <c r="G21" s="9">
        <f t="shared" si="1"/>
        <v>2.4643725716481261E-2</v>
      </c>
    </row>
    <row r="22" spans="1:7" x14ac:dyDescent="0.45">
      <c r="A22">
        <v>11</v>
      </c>
      <c r="B22" s="6" t="n">
        <v>18581.0337230459</v>
      </c>
      <c r="C22" s="9">
        <f t="shared" si="0"/>
        <v>1.4943443346575925E-2</v>
      </c>
      <c r="E22" s="371">
        <v>11</v>
      </c>
      <c r="F22" s="371" t="n">
        <v>31785.0</v>
      </c>
      <c r="G22" s="9">
        <f t="shared" si="1"/>
        <v>2.1805225124140896E-2</v>
      </c>
    </row>
    <row r="23" spans="1:7" x14ac:dyDescent="0.45">
      <c r="A23">
        <v>12</v>
      </c>
      <c r="B23" s="6" t="n">
        <v>26721.0186142712</v>
      </c>
      <c r="C23" s="9">
        <f t="shared" si="0"/>
        <v>2.1489871541964266E-2</v>
      </c>
      <c r="E23" s="371">
        <v>12</v>
      </c>
      <c r="F23" s="371" t="n">
        <v>28674.0</v>
      </c>
      <c r="G23" s="9">
        <f t="shared" si="1"/>
        <v>1.9934236994613948E-2</v>
      </c>
    </row>
    <row r="24" spans="1:7" x14ac:dyDescent="0.45">
      <c r="A24">
        <v>13</v>
      </c>
      <c r="B24" s="6" t="n">
        <v>15262.9778604272</v>
      </c>
      <c r="C24" s="9">
        <f t="shared" si="0"/>
        <v>1.2274959959544607E-2</v>
      </c>
      <c r="E24" s="371">
        <v>13</v>
      </c>
      <c r="F24" s="371" t="n">
        <v>25069.0</v>
      </c>
      <c r="G24" s="9">
        <f t="shared" si="1"/>
        <v>1.7061629847829083E-2</v>
      </c>
    </row>
    <row r="25" spans="1:7" x14ac:dyDescent="0.45">
      <c r="A25">
        <v>14</v>
      </c>
      <c r="B25" s="6" t="n">
        <v>19788.6422370046</v>
      </c>
      <c r="C25" s="9">
        <f t="shared" si="0"/>
        <v>1.5914639550305025E-2</v>
      </c>
      <c r="E25" s="371">
        <v>14</v>
      </c>
      <c r="F25" s="371" t="n">
        <v>23473.0</v>
      </c>
      <c r="G25" s="9">
        <f t="shared" si="1"/>
        <v>1.6296668555288118E-2</v>
      </c>
    </row>
    <row r="26" spans="1:7" x14ac:dyDescent="0.45">
      <c r="A26">
        <v>15</v>
      </c>
      <c r="B26" s="6" t="n">
        <v>11436.9077321757</v>
      </c>
      <c r="C26" s="9">
        <f t="shared" si="0"/>
        <v>9.1979157512538951E-3</v>
      </c>
      <c r="E26" s="371">
        <v>15</v>
      </c>
      <c r="F26" s="371" t="n">
        <v>20727.0</v>
      </c>
      <c r="G26" s="9">
        <f t="shared" si="1"/>
        <v>1.4779274908573552E-2</v>
      </c>
    </row>
    <row r="27" spans="1:7" x14ac:dyDescent="0.45">
      <c r="A27">
        <v>16</v>
      </c>
      <c r="B27" s="6" t="n">
        <v>53589.1865883111</v>
      </c>
      <c r="C27" s="9">
        <f t="shared" si="0"/>
        <v>4.309808516079916E-2</v>
      </c>
      <c r="E27" s="371">
        <v>16</v>
      </c>
      <c r="F27" s="371" t="n">
        <v>19571.0</v>
      </c>
      <c r="G27" s="9">
        <f t="shared" si="1"/>
        <v>1.3363504873060972E-2</v>
      </c>
    </row>
    <row r="28" spans="1:7" x14ac:dyDescent="0.45">
      <c r="A28">
        <v>17</v>
      </c>
      <c r="B28" s="6" t="n">
        <v>20646.848872426</v>
      </c>
      <c r="C28" s="9">
        <f t="shared" si="0"/>
        <v>1.6604835931584339E-2</v>
      </c>
      <c r="E28" s="371">
        <v>17</v>
      </c>
      <c r="F28" s="371" t="n">
        <v>17042.0</v>
      </c>
      <c r="G28" s="9">
        <f t="shared" si="1"/>
        <v>1.2254693827548908E-2</v>
      </c>
    </row>
    <row r="29" spans="1:7" x14ac:dyDescent="0.45">
      <c r="A29">
        <v>18</v>
      </c>
      <c r="B29" s="6" t="n">
        <v>103552.3413162795</v>
      </c>
      <c r="C29" s="9">
        <f t="shared" si="0"/>
        <v>8.3280003089701821E-2</v>
      </c>
      <c r="E29" s="371">
        <v>18</v>
      </c>
      <c r="F29" s="371" t="n">
        <v>159767.0</v>
      </c>
      <c r="G29" s="9">
        <f t="shared" si="1"/>
        <v>0.11165233031293112</v>
      </c>
    </row>
    <row r="30" spans="1:7" x14ac:dyDescent="0.45">
      <c r="A30">
        <v>19</v>
      </c>
      <c r="B30" s="6" t="n">
        <v>41570.2531289806</v>
      </c>
      <c r="C30" s="9">
        <f t="shared" si="0"/>
        <v>3.3432086276516983E-2</v>
      </c>
      <c r="E30" s="371">
        <v>19</v>
      </c>
      <c r="F30" s="371" t="n">
        <v>53288.0</v>
      </c>
      <c r="G30" s="9">
        <f t="shared" si="1"/>
        <v>3.6511414558904803E-2</v>
      </c>
    </row>
    <row r="31" spans="1:7" x14ac:dyDescent="0.45">
      <c r="A31">
        <v>20</v>
      </c>
      <c r="B31" s="6" t="n">
        <v>70021.0922291854</v>
      </c>
      <c r="C31" s="9">
        <f t="shared" si="0"/>
        <v>5.6313133079049997E-2</v>
      </c>
      <c r="E31" s="371">
        <v>20</v>
      </c>
      <c r="F31" s="371" t="n">
        <v>53090.0</v>
      </c>
      <c r="G31" s="9">
        <f t="shared" si="1"/>
        <v>3.6147379294119611E-2</v>
      </c>
    </row>
    <row r="32" spans="1:7" x14ac:dyDescent="0.45">
      <c r="A32">
        <v>21</v>
      </c>
      <c r="B32" s="6" t="n">
        <v>71969.4357187571</v>
      </c>
      <c r="C32" s="9">
        <f t="shared" si="0"/>
        <v>5.7880051313527657E-2</v>
      </c>
      <c r="E32" s="371">
        <v>21</v>
      </c>
      <c r="F32" s="371" t="n">
        <v>57976.0</v>
      </c>
      <c r="G32" s="9">
        <f t="shared" si="1"/>
        <v>4.0130885642811101E-2</v>
      </c>
    </row>
    <row r="33" spans="1:7" x14ac:dyDescent="0.45">
      <c r="A33">
        <v>22</v>
      </c>
      <c r="B33" s="6" t="n">
        <v>53096.8992932809</v>
      </c>
      <c r="C33" s="9">
        <f t="shared" si="0"/>
        <v>4.2702172456846703E-2</v>
      </c>
      <c r="E33" s="371">
        <v>22</v>
      </c>
      <c r="F33" s="371" t="n">
        <v>54687.0</v>
      </c>
      <c r="G33" s="9">
        <f t="shared" si="1"/>
        <v>3.8282867233624326E-2</v>
      </c>
    </row>
    <row r="34" spans="1:7" x14ac:dyDescent="0.45">
      <c r="A34">
        <v>23</v>
      </c>
      <c r="B34" s="6" t="n">
        <v>30341.0556983332</v>
      </c>
      <c r="C34" s="9">
        <f t="shared" si="0"/>
        <v>2.4401217588933103E-2</v>
      </c>
      <c r="E34" s="371">
        <v>23</v>
      </c>
      <c r="F34" s="371" t="n">
        <v>47386.0</v>
      </c>
      <c r="G34" s="9">
        <f t="shared" si="1"/>
        <v>3.2923265820916925E-2</v>
      </c>
    </row>
    <row r="35" spans="1:7" x14ac:dyDescent="0.45">
      <c r="A35">
        <v>24</v>
      </c>
      <c r="B35" s="6" t="n">
        <v>49422.4163759885</v>
      </c>
      <c r="C35" s="9">
        <f t="shared" si="0"/>
        <v>3.9747039382930782E-2</v>
      </c>
      <c r="E35" s="371">
        <v>24</v>
      </c>
      <c r="F35" s="371" t="n">
        <v>29885.0</v>
      </c>
      <c r="G35" s="9">
        <f t="shared" si="1"/>
        <v>2.1358359655704772E-2</v>
      </c>
    </row>
    <row r="36" spans="1:7" x14ac:dyDescent="0.45">
      <c r="A36">
        <v>25</v>
      </c>
      <c r="B36" s="6" t="n">
        <v>49744.7315411318</v>
      </c>
      <c r="C36" s="9">
        <f t="shared" si="0"/>
        <v>4.0006255230759923E-2</v>
      </c>
      <c r="E36" s="371">
        <v>25</v>
      </c>
      <c r="F36" s="371" t="n">
        <v>30663.0</v>
      </c>
      <c r="G36" s="9">
        <f t="shared" si="1"/>
        <v>2.1084115115885718E-2</v>
      </c>
    </row>
    <row r="37" spans="1:7" x14ac:dyDescent="0.45">
      <c r="A37">
        <v>26</v>
      </c>
      <c r="B37" s="6" t="n">
        <v>68052.1354641265</v>
      </c>
      <c r="C37" s="9">
        <f t="shared" si="0"/>
        <v>5.4729637009397973E-2</v>
      </c>
      <c r="E37" s="371">
        <v>26</v>
      </c>
      <c r="F37" s="371" t="n">
        <v>30837.0</v>
      </c>
      <c r="G37" s="9">
        <f t="shared" si="1"/>
        <v>2.0449315571939075E-2</v>
      </c>
    </row>
    <row r="38" spans="1:7" x14ac:dyDescent="0.45">
      <c r="A38">
        <v>27</v>
      </c>
      <c r="B38" s="6" t="n">
        <v>15320.281746426599</v>
      </c>
      <c r="C38" s="9">
        <f t="shared" si="0"/>
        <v>1.2321045521130376E-2</v>
      </c>
      <c r="E38" s="371">
        <v>27</v>
      </c>
      <c r="F38" s="371" t="n">
        <v>23152.0</v>
      </c>
      <c r="G38" s="9">
        <f t="shared" si="1"/>
        <v>1.5210827230116226E-2</v>
      </c>
    </row>
    <row r="39" spans="1:7" x14ac:dyDescent="0.45">
      <c r="A39">
        <v>28</v>
      </c>
      <c r="B39" s="6" t="n">
        <v>36574.7358172345</v>
      </c>
      <c r="C39" s="9">
        <f t="shared" si="0"/>
        <v>2.9414536389487336E-2</v>
      </c>
      <c r="E39" s="371">
        <v>28</v>
      </c>
      <c r="F39" s="371" t="n">
        <v>19837.0</v>
      </c>
      <c r="G39" s="9">
        <f t="shared" si="1"/>
        <v>1.8382040741323363E-2</v>
      </c>
    </row>
    <row r="40" spans="1:7" x14ac:dyDescent="0.45">
      <c r="A40">
        <v>29</v>
      </c>
      <c r="B40" s="6" t="n">
        <v>35161.0764728262</v>
      </c>
      <c r="C40" s="9">
        <f t="shared" si="0"/>
        <v>2.8277627720174611E-2</v>
      </c>
      <c r="E40" s="371">
        <v>29</v>
      </c>
      <c r="F40" s="371" t="n">
        <v>22157.0</v>
      </c>
      <c r="G40" s="9">
        <f t="shared" si="1"/>
        <v>1.2476038405372409E-2</v>
      </c>
    </row>
    <row r="41" spans="1:7" x14ac:dyDescent="0.45">
      <c r="A41">
        <v>30</v>
      </c>
      <c r="B41" s="6" t="n">
        <v>13374.6339022859</v>
      </c>
      <c r="C41" s="9">
        <f t="shared" si="0"/>
        <v>1.0756295208275443E-2</v>
      </c>
      <c r="E41" s="371">
        <v>30</v>
      </c>
      <c r="F41" s="371" t="n">
        <v>18544.0</v>
      </c>
      <c r="G41" s="9">
        <f t="shared" si="1"/>
        <v>1.3708746730295112E-2</v>
      </c>
    </row>
    <row r="42" spans="1:7" x14ac:dyDescent="0.45">
      <c r="A42">
        <v>31</v>
      </c>
      <c r="B42" s="6" t="n">
        <v>15754.3258050098</v>
      </c>
      <c r="C42" s="9">
        <f t="shared" si="0"/>
        <v>1.2670117208746509E-2</v>
      </c>
      <c r="E42" s="371">
        <v>31</v>
      </c>
      <c r="F42" s="371" t="n">
        <v>17777.0</v>
      </c>
      <c r="G42" s="9">
        <f t="shared" si="1"/>
        <v>1.0124774305096354E-2</v>
      </c>
    </row>
    <row r="43" spans="1:7" x14ac:dyDescent="0.45">
      <c r="A43">
        <v>32</v>
      </c>
      <c r="B43" s="6" t="n">
        <v>11668.721304254</v>
      </c>
      <c r="C43" s="9">
        <f t="shared" si="0"/>
        <v>9.3843474123203631E-3</v>
      </c>
      <c r="E43" s="371">
        <v>32</v>
      </c>
      <c r="F43" s="371" t="n">
        <v>14557.0</v>
      </c>
      <c r="G43" s="9">
        <f t="shared" si="1"/>
        <v>8.999954060559319E-3</v>
      </c>
    </row>
    <row r="44" spans="1:7" x14ac:dyDescent="0.45">
      <c r="A44">
        <v>33</v>
      </c>
      <c r="B44" s="6" t="n">
        <v>11849.0646945744</v>
      </c>
      <c r="C44" s="9">
        <f t="shared" si="0"/>
        <v>9.5293851576014436E-3</v>
      </c>
      <c r="E44" s="371">
        <v>33</v>
      </c>
      <c r="F44" s="371" t="n">
        <v>19505.0</v>
      </c>
      <c r="G44" s="9">
        <f t="shared" si="1"/>
        <v>1.4476492231362161E-2</v>
      </c>
    </row>
    <row r="45" spans="1:7" x14ac:dyDescent="0.45">
      <c r="A45">
        <v>34</v>
      </c>
      <c r="B45" s="6" t="n">
        <v>23530.5115890691</v>
      </c>
      <c r="C45" s="9">
        <f t="shared" si="0"/>
        <v>1.8923966884096578E-2</v>
      </c>
      <c r="E45" s="371">
        <v>34</v>
      </c>
      <c r="F45" s="371" t="n">
        <v>16754.0</v>
      </c>
      <c r="G45" s="9">
        <f t="shared" si="1"/>
        <v>1.2845642087209763E-2</v>
      </c>
    </row>
    <row r="46" spans="1:7" x14ac:dyDescent="0.45">
      <c r="A46">
        <v>35</v>
      </c>
      <c r="B46" s="6" t="n">
        <v>5695.0917906069</v>
      </c>
      <c r="C46" s="9">
        <f t="shared" si="0"/>
        <v>4.5801693702826511E-3</v>
      </c>
      <c r="E46" s="371">
        <v>35</v>
      </c>
      <c r="F46" s="371" t="n">
        <v>11314.0</v>
      </c>
      <c r="G46" s="9">
        <f t="shared" si="1"/>
        <v>8.617821440354596E-3</v>
      </c>
    </row>
    <row r="47" spans="1:7" x14ac:dyDescent="0.45">
      <c r="A47">
        <v>36</v>
      </c>
      <c r="B47" s="6" t="n">
        <v>8840.319108272899</v>
      </c>
      <c r="C47" s="9">
        <f t="shared" si="0"/>
        <v>7.1096586836436439E-3</v>
      </c>
      <c r="E47" s="371">
        <v>36</v>
      </c>
      <c r="F47" s="371" t="n">
        <v>7385.0</v>
      </c>
      <c r="G47" s="9">
        <f t="shared" si="1"/>
        <v>5.6066999193971631E-3</v>
      </c>
    </row>
    <row r="48" spans="1:7" x14ac:dyDescent="0.45">
      <c r="A48">
        <v>37</v>
      </c>
      <c r="B48" s="6" t="n">
        <v>13417.1450114356</v>
      </c>
      <c r="C48" s="9">
        <f t="shared" si="0"/>
        <v>1.0790483960131091E-2</v>
      </c>
      <c r="E48" s="371">
        <v>37</v>
      </c>
      <c r="F48" s="371" t="n">
        <v>7115.0</v>
      </c>
      <c r="G48" s="9">
        <f t="shared" si="1"/>
        <v>6.8874358413947767E-3</v>
      </c>
    </row>
    <row r="49" spans="1:7" x14ac:dyDescent="0.45">
      <c r="A49">
        <v>38</v>
      </c>
      <c r="B49" s="6" t="n">
        <v>10524.5438093544</v>
      </c>
      <c r="C49" s="9">
        <f t="shared" si="0"/>
        <v>8.4641644005295329E-3</v>
      </c>
      <c r="E49" s="371">
        <v>38</v>
      </c>
      <c r="F49" s="371" t="n">
        <v>9315.0</v>
      </c>
      <c r="G49" s="9">
        <f t="shared" si="1"/>
        <v>4.9510188115049064E-3</v>
      </c>
    </row>
    <row r="50" spans="1:7" x14ac:dyDescent="0.45">
      <c r="A50">
        <v>39</v>
      </c>
      <c r="B50" s="6" t="n">
        <v>8018.5525139096</v>
      </c>
      <c r="C50" s="9">
        <f t="shared" si="0"/>
        <v>6.4487685130528768E-3</v>
      </c>
      <c r="E50" s="371">
        <v>39</v>
      </c>
      <c r="F50" s="371" t="n">
        <v>8143.0</v>
      </c>
      <c r="G50" s="9">
        <f t="shared" si="1"/>
        <v>6.1879034492167322E-3</v>
      </c>
    </row>
    <row r="51" spans="1:7" x14ac:dyDescent="0.45">
      <c r="A51">
        <v>40</v>
      </c>
      <c r="B51" s="6" t="n">
        <v>3963.915382048</v>
      </c>
      <c r="C51" s="9">
        <f t="shared" si="0"/>
        <v>3.1879036347039745E-3</v>
      </c>
      <c r="E51" s="371">
        <v>40</v>
      </c>
      <c r="F51" s="371" t="n">
        <v>5678.0</v>
      </c>
      <c r="G51" s="9">
        <f t="shared" si="1"/>
        <v>4.2424377416170958E-3</v>
      </c>
    </row>
    <row r="52" spans="1:7" x14ac:dyDescent="0.45">
      <c r="A52">
        <v>41</v>
      </c>
      <c r="B52" s="6" t="n">
        <v>5150.0373927865</v>
      </c>
      <c r="C52" s="9">
        <f t="shared" si="0"/>
        <v>4.1418197264450731E-3</v>
      </c>
      <c r="E52" s="371">
        <v>41</v>
      </c>
      <c r="F52" s="371" t="n">
        <v>8290.0</v>
      </c>
      <c r="G52" s="9">
        <f t="shared" si="1"/>
        <v>5.1953331096685814E-3</v>
      </c>
    </row>
    <row r="53" spans="1:7" x14ac:dyDescent="0.45">
      <c r="A53">
        <v>42</v>
      </c>
      <c r="B53" s="6" t="n">
        <v>4159.499616987</v>
      </c>
      <c r="C53" s="9">
        <f t="shared" si="0"/>
        <v>3.3451985397053761E-3</v>
      </c>
      <c r="E53" s="371">
        <v>42</v>
      </c>
      <c r="F53" s="371" t="n">
        <v>6223.0</v>
      </c>
      <c r="G53" s="9">
        <f t="shared" si="1"/>
        <v>4.0203971116620748E-3</v>
      </c>
    </row>
    <row r="54" spans="1:7" x14ac:dyDescent="0.45">
      <c r="A54">
        <v>43</v>
      </c>
      <c r="B54" s="6" t="n">
        <v>1974.1526066899</v>
      </c>
      <c r="C54" s="9">
        <f t="shared" si="0"/>
        <v>1.587674726566817E-3</v>
      </c>
      <c r="E54" s="371">
        <v>43</v>
      </c>
      <c r="F54" s="371" t="n">
        <v>4983.0</v>
      </c>
      <c r="G54" s="9">
        <f t="shared" si="1"/>
        <v>3.6716749937703336E-3</v>
      </c>
    </row>
    <row r="55" spans="1:7" x14ac:dyDescent="0.45">
      <c r="A55">
        <v>44</v>
      </c>
      <c r="B55" s="6" t="n">
        <v>5666.177239367</v>
      </c>
      <c r="C55" s="9">
        <f t="shared" si="0"/>
        <v>4.556915391801938E-3</v>
      </c>
      <c r="E55" s="371">
        <v>44</v>
      </c>
      <c r="F55" s="371" t="n">
        <v>4442.0</v>
      </c>
      <c r="G55" s="9">
        <f t="shared" si="1"/>
        <v>3.6313039701421478E-3</v>
      </c>
    </row>
    <row r="56" spans="1:7" x14ac:dyDescent="0.45">
      <c r="A56">
        <v>45</v>
      </c>
      <c r="B56" s="6" t="n">
        <v>60805.3532925623</v>
      </c>
      <c r="C56" s="9">
        <f t="shared" si="0"/>
        <v>4.8901550131140357E-2</v>
      </c>
      <c r="E56" s="371">
        <v>45</v>
      </c>
      <c r="F56" s="371" t="n">
        <v>4955.0</v>
      </c>
      <c r="G56" s="9">
        <f t="shared" si="1"/>
        <v>3.693252609847467E-3</v>
      </c>
    </row>
    <row r="57" spans="1:7" x14ac:dyDescent="0.45">
      <c r="A57">
        <v>46</v>
      </c>
      <c r="B57" s="6" t="n">
        <v>5223.5974528909</v>
      </c>
      <c r="C57" s="9">
        <f t="shared" si="0"/>
        <v>4.2009790072001282E-3</v>
      </c>
      <c r="E57" s="371">
        <v>46</v>
      </c>
      <c r="F57" s="371" t="n">
        <v>3653.0</v>
      </c>
      <c r="G57" s="9">
        <f t="shared" si="1"/>
        <v>2.970750497329248E-3</v>
      </c>
    </row>
    <row r="58" spans="1:7" x14ac:dyDescent="0.45">
      <c r="A58">
        <v>47</v>
      </c>
      <c r="B58" s="6" t="n">
        <v>1079.5162234178001</v>
      </c>
      <c r="C58" s="9">
        <f t="shared" si="0"/>
        <v>8.6818041271543981E-4</v>
      </c>
      <c r="E58" s="371">
        <v>47</v>
      </c>
      <c r="F58" s="371" t="n">
        <v>2958.0</v>
      </c>
      <c r="G58" s="9">
        <f t="shared" si="1"/>
        <v>2.5816573558093206E-3</v>
      </c>
    </row>
    <row r="59" spans="1:7" x14ac:dyDescent="0.45">
      <c r="A59">
        <v>48</v>
      </c>
      <c r="B59" s="6" t="n">
        <v>7816.9410410554</v>
      </c>
      <c r="C59" s="9">
        <f t="shared" si="0"/>
        <v>6.2866263164710065E-3</v>
      </c>
      <c r="E59" s="371">
        <v>48</v>
      </c>
      <c r="F59" s="371" t="n">
        <v>4655.0</v>
      </c>
      <c r="G59" s="9">
        <f t="shared" si="1"/>
        <v>2.516228455446399E-3</v>
      </c>
    </row>
    <row r="60" spans="1:7" x14ac:dyDescent="0.45">
      <c r="A60">
        <v>49</v>
      </c>
      <c r="B60" s="6" t="n">
        <v>2959.4788009108</v>
      </c>
      <c r="C60" s="9">
        <f t="shared" si="0"/>
        <v>2.3801045978379199E-3</v>
      </c>
      <c r="E60" s="371">
        <v>49</v>
      </c>
      <c r="F60" s="371" t="n">
        <v>3753.0</v>
      </c>
      <c r="G60" s="9">
        <f t="shared" si="1"/>
        <v>3.2672687053569563E-3</v>
      </c>
    </row>
    <row r="61" spans="1:7" x14ac:dyDescent="0.45">
      <c r="A61">
        <v>50</v>
      </c>
      <c r="B61" s="6" t="n">
        <v>324.775829405</v>
      </c>
      <c r="C61" s="9">
        <f t="shared" si="0"/>
        <v>2.6119479031090485E-4</v>
      </c>
      <c r="E61" s="371">
        <v>50</v>
      </c>
      <c r="F61" s="371" t="n">
        <v>3196.0</v>
      </c>
      <c r="G61" s="9">
        <f t="shared" si="1"/>
        <v>2.2656496880990398E-3</v>
      </c>
    </row>
    <row r="62" spans="1:7" x14ac:dyDescent="0.45">
      <c r="A62">
        <v>51</v>
      </c>
      <c r="B62" s="6" t="n">
        <v>3048.658339682</v>
      </c>
      <c r="C62" s="9">
        <f t="shared" si="0"/>
        <v>2.4518255475528073E-3</v>
      </c>
      <c r="E62" s="371">
        <v>51</v>
      </c>
      <c r="F62" s="371" t="n">
        <v>2500.0</v>
      </c>
      <c r="G62" s="9">
        <f t="shared" si="1"/>
        <v>1.9559064895724432E-3</v>
      </c>
    </row>
    <row r="63" spans="1:7" x14ac:dyDescent="0.45">
      <c r="A63">
        <v>52</v>
      </c>
      <c r="B63" s="6" t="n">
        <v>918.2951712859999</v>
      </c>
      <c r="C63" s="9">
        <f t="shared" si="0"/>
        <v>7.3852144461299173E-4</v>
      </c>
      <c r="E63" s="371">
        <v>52</v>
      </c>
      <c r="F63" s="371" t="n">
        <v>2386.0</v>
      </c>
      <c r="G63" s="9">
        <f t="shared" si="1"/>
        <v>1.8313131580302837E-3</v>
      </c>
    </row>
    <row r="64" spans="1:7" x14ac:dyDescent="0.45">
      <c r="A64">
        <v>53</v>
      </c>
      <c r="B64" s="6" t="n">
        <v>1326.9797182303</v>
      </c>
      <c r="C64" s="9">
        <f t="shared" si="0"/>
        <v>1.0671982268045308E-3</v>
      </c>
      <c r="E64" s="371">
        <v>53</v>
      </c>
      <c r="F64" s="371" t="n">
        <v>2422.0</v>
      </c>
      <c r="G64" s="9">
        <f t="shared" si="1"/>
        <v>1.3266753626779632E-3</v>
      </c>
    </row>
    <row r="65" spans="1:7" x14ac:dyDescent="0.45">
      <c r="A65">
        <v>54</v>
      </c>
      <c r="B65" s="6" t="n">
        <v>1218.2238847201002</v>
      </c>
      <c r="C65" s="9">
        <f t="shared" si="0"/>
        <v>9.7973341398017153E-4</v>
      </c>
      <c r="E65" s="371">
        <v>54</v>
      </c>
      <c r="F65" s="371" t="n">
        <v>2180.0</v>
      </c>
      <c r="G65" s="9">
        <f t="shared" si="1"/>
        <v>1.5354910021340958E-3</v>
      </c>
    </row>
    <row r="66" spans="1:7" x14ac:dyDescent="0.45">
      <c r="A66">
        <v>55</v>
      </c>
      <c r="B66" s="6" t="n">
        <v>2253.5468855520003</v>
      </c>
      <c r="C66" s="9">
        <f t="shared" si="0"/>
        <v>1.8123722670677458E-3</v>
      </c>
      <c r="E66" s="371">
        <v>55</v>
      </c>
      <c r="F66" s="371" t="n">
        <v>2175.0</v>
      </c>
      <c r="G66" s="9">
        <f t="shared" si="1"/>
        <v>1.5598528267373112E-3</v>
      </c>
    </row>
    <row r="67" spans="1:7" x14ac:dyDescent="0.45">
      <c r="A67">
        <v>56</v>
      </c>
      <c r="B67" s="6" t="n">
        <v>68.8733229496</v>
      </c>
      <c r="C67" s="9">
        <f t="shared" si="0"/>
        <v>5.5390061442666733E-5</v>
      </c>
      <c r="E67" s="371">
        <v>56</v>
      </c>
      <c r="F67" s="371" t="n">
        <v>2225.0</v>
      </c>
      <c r="G67" s="9">
        <f t="shared" si="1"/>
        <v>1.3538213958072603E-3</v>
      </c>
    </row>
    <row r="68" spans="1:7" x14ac:dyDescent="0.45">
      <c r="A68">
        <v>57</v>
      </c>
      <c r="B68" s="6" t="n">
        <v>5831.556239654</v>
      </c>
      <c r="C68" s="9">
        <f t="shared" si="0"/>
        <v>4.6899183107104257E-3</v>
      </c>
      <c r="E68" s="371">
        <v>57</v>
      </c>
      <c r="F68" s="371" t="n">
        <v>1402.0</v>
      </c>
      <c r="G68" s="9">
        <f t="shared" si="1"/>
        <v>1.0141479556252846E-3</v>
      </c>
    </row>
    <row r="69" spans="1:7" x14ac:dyDescent="0.45">
      <c r="A69">
        <v>58</v>
      </c>
      <c r="B69" s="6" t="n">
        <v>1680.9734764976001</v>
      </c>
      <c r="C69" s="9">
        <f t="shared" si="0"/>
        <v>1.3518909812850251E-3</v>
      </c>
      <c r="E69" s="371">
        <v>58</v>
      </c>
      <c r="F69" s="371" t="n">
        <v>1311.0</v>
      </c>
      <c r="G69" s="9">
        <f t="shared" si="1"/>
        <v>1.2027780832673243E-3</v>
      </c>
    </row>
    <row r="70" spans="1:7" x14ac:dyDescent="0.45">
      <c r="A70">
        <v>59</v>
      </c>
      <c r="B70" s="6" t="n">
        <v>1054.82463615</v>
      </c>
      <c r="C70" s="9">
        <f t="shared" si="0"/>
        <v>8.4832267277625841E-4</v>
      </c>
      <c r="E70" s="371">
        <v>59</v>
      </c>
      <c r="F70" s="371" t="n">
        <v>1239.0</v>
      </c>
      <c r="G70" s="9">
        <f t="shared" si="1"/>
        <v>1.0301571546502547E-3</v>
      </c>
    </row>
    <row r="71" spans="1:7" x14ac:dyDescent="0.45">
      <c r="A71">
        <v>60</v>
      </c>
      <c r="B71" s="6" t="n">
        <v>1759.1357199610002</v>
      </c>
      <c r="C71" s="9">
        <f t="shared" si="0"/>
        <v>1.4147514805686529E-3</v>
      </c>
      <c r="E71" s="371">
        <v>60</v>
      </c>
      <c r="F71" s="371" t="n">
        <v>2245.0</v>
      </c>
      <c r="G71" s="9">
        <f t="shared" si="1"/>
        <v>9.0277961458201368E-4</v>
      </c>
    </row>
    <row r="72" spans="1:7" x14ac:dyDescent="0.45">
      <c r="A72">
        <v>61</v>
      </c>
      <c r="B72" s="6" t="n">
        <v>5521.870757824</v>
      </c>
      <c r="C72" s="9">
        <f t="shared" si="0"/>
        <v>4.4408596457318518E-3</v>
      </c>
      <c r="E72" s="371">
        <v>61</v>
      </c>
      <c r="F72" s="371" t="n">
        <v>1004.0</v>
      </c>
      <c r="G72" s="9">
        <f t="shared" si="1"/>
        <v>7.8445075222353857E-4</v>
      </c>
    </row>
    <row r="73" spans="1:7" x14ac:dyDescent="0.45">
      <c r="A73">
        <v>62</v>
      </c>
      <c r="B73" s="6" t="n">
        <v>1229.465098057</v>
      </c>
      <c r="C73" s="9">
        <f t="shared" si="0"/>
        <v>9.8877394623206609E-4</v>
      </c>
      <c r="E73" s="371">
        <v>62</v>
      </c>
      <c r="F73" s="371" t="n">
        <v>849.0</v>
      </c>
      <c r="G73" s="9">
        <f t="shared" si="1"/>
        <v>7.2598237317582142E-4</v>
      </c>
    </row>
    <row r="74" spans="1:7" x14ac:dyDescent="0.45">
      <c r="A74">
        <v>63</v>
      </c>
      <c r="B74" s="6" t="n">
        <v>122.959794439</v>
      </c>
      <c r="C74" s="9">
        <f t="shared" si="0"/>
        <v>9.8888078537140447E-5</v>
      </c>
      <c r="E74" s="371">
        <v>63</v>
      </c>
      <c r="F74" s="371" t="n">
        <v>794.0</v>
      </c>
      <c r="G74" s="9">
        <f t="shared" si="1"/>
        <v>6.0834956294886667E-4</v>
      </c>
    </row>
    <row r="75" spans="1:7" x14ac:dyDescent="0.45">
      <c r="A75">
        <v>64</v>
      </c>
      <c r="B75" s="6" t="n">
        <v>1118.42644497</v>
      </c>
      <c r="C75" s="9">
        <f t="shared" si="0"/>
        <v>8.9947321913486111E-4</v>
      </c>
      <c r="E75" s="371">
        <v>64</v>
      </c>
      <c r="F75" s="371" t="n">
        <v>905.0</v>
      </c>
      <c r="G75" s="9">
        <f t="shared" si="1"/>
        <v>5.5266539242723126E-4</v>
      </c>
    </row>
    <row r="76" spans="1:7" x14ac:dyDescent="0.45">
      <c r="A76">
        <v>65</v>
      </c>
      <c r="B76" s="6" t="n">
        <v>400.04927174700003</v>
      </c>
      <c r="C76" s="9">
        <f t="shared" si="0"/>
        <v>3.2173202617762043E-4</v>
      </c>
      <c r="E76" s="371">
        <v>65</v>
      </c>
      <c r="F76" s="371" t="n">
        <v>566.0</v>
      </c>
      <c r="G76" s="9">
        <f t="shared" si="1"/>
        <v>5.1299042093056596E-4</v>
      </c>
    </row>
    <row r="77" spans="1:7" x14ac:dyDescent="0.45">
      <c r="A77">
        <v>66</v>
      </c>
      <c r="B77" s="6" t="n">
        <v>466.560819543</v>
      </c>
      <c r="C77" s="9">
        <f t="shared" ref="C77:C102" si="2">B77/B$102</f>
        <v>3.7522267482489467E-4</v>
      </c>
      <c r="E77" s="371">
        <v>66</v>
      </c>
      <c r="F77" s="371" t="n">
        <v>649.0</v>
      </c>
      <c r="G77" s="9">
        <f t="shared" ref="G77:G102" si="3">F77/F$102</f>
        <v>4.747075536969417E-4</v>
      </c>
    </row>
    <row r="78" spans="1:7" x14ac:dyDescent="0.45">
      <c r="A78">
        <v>67</v>
      </c>
      <c r="B78" s="6" t="n">
        <v>1515.945734731</v>
      </c>
      <c r="C78" s="9">
        <f t="shared" si="2"/>
        <v>1.2191705553679304E-3</v>
      </c>
      <c r="E78" s="371">
        <v>67</v>
      </c>
      <c r="F78" s="371" t="n">
        <v>845.0</v>
      </c>
      <c r="G78" s="9">
        <f t="shared" si="3"/>
        <v>4.5382598975132841E-4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650.0</v>
      </c>
      <c r="G79" s="9">
        <f t="shared" si="3"/>
        <v>4.1415101825466322E-4</v>
      </c>
    </row>
    <row r="80" spans="1:7" x14ac:dyDescent="0.45">
      <c r="A80">
        <v>69</v>
      </c>
      <c r="B80" s="6" t="n">
        <v>561.315777145</v>
      </c>
      <c r="C80" s="9">
        <f t="shared" si="2"/>
        <v>4.5142754920583295E-4</v>
      </c>
      <c r="E80" s="371">
        <v>69</v>
      </c>
      <c r="F80" s="371" t="n">
        <v>596.0</v>
      </c>
      <c r="G80" s="9">
        <f t="shared" si="3"/>
        <v>4.0579839267641788E-4</v>
      </c>
    </row>
    <row r="81" spans="1:7" x14ac:dyDescent="0.45">
      <c r="A81">
        <v>70</v>
      </c>
      <c r="B81" s="6" t="n">
        <v>636.3466766844</v>
      </c>
      <c r="C81" s="9">
        <f t="shared" si="2"/>
        <v>5.1176972463168205E-4</v>
      </c>
      <c r="E81" s="371">
        <v>70</v>
      </c>
      <c r="F81" s="371" t="n">
        <v>510.0</v>
      </c>
      <c r="G81" s="9">
        <f t="shared" si="3"/>
        <v>3.7726025528407977E-4</v>
      </c>
    </row>
    <row r="82" spans="1:7" x14ac:dyDescent="0.45">
      <c r="A82">
        <v>71</v>
      </c>
      <c r="B82" s="6" t="n">
        <v>422.35595372</v>
      </c>
      <c r="C82" s="9">
        <f t="shared" si="2"/>
        <v>3.3967175134480391E-4</v>
      </c>
      <c r="E82" s="371">
        <v>71</v>
      </c>
      <c r="F82" s="371" t="n">
        <v>520.0</v>
      </c>
      <c r="G82" s="9">
        <f t="shared" si="3"/>
        <v>3.8700498512536598E-4</v>
      </c>
    </row>
    <row r="83" spans="1:7" x14ac:dyDescent="0.45">
      <c r="A83">
        <v>72</v>
      </c>
      <c r="B83" s="6" t="n">
        <v>5978.151532144</v>
      </c>
      <c r="C83" s="9">
        <f t="shared" si="2"/>
        <v>4.8078147894990101E-3</v>
      </c>
      <c r="E83" s="371">
        <v>72</v>
      </c>
      <c r="F83" s="371" t="n">
        <v>508.0</v>
      </c>
      <c r="G83" s="9">
        <f t="shared" si="3"/>
        <v>3.8213262020472284E-4</v>
      </c>
    </row>
    <row r="84" spans="1:7" x14ac:dyDescent="0.45">
      <c r="A84">
        <v>73</v>
      </c>
      <c r="B84" s="6" t="n">
        <v>65.7862003602</v>
      </c>
      <c r="C84" s="9">
        <f t="shared" si="2"/>
        <v>5.2907301753069045E-5</v>
      </c>
      <c r="E84" s="371">
        <v>73</v>
      </c>
      <c r="F84" s="371" t="n">
        <v>331.0</v>
      </c>
      <c r="G84" s="9">
        <f t="shared" si="3"/>
        <v>2.8259716539729958E-4</v>
      </c>
    </row>
    <row r="85" spans="1:7" x14ac:dyDescent="0.45">
      <c r="A85">
        <v>74</v>
      </c>
      <c r="B85" s="6" t="n">
        <v>411.770390229</v>
      </c>
      <c r="C85" s="9">
        <f t="shared" si="2"/>
        <v>3.3115851302463738E-4</v>
      </c>
      <c r="E85" s="371">
        <v>74</v>
      </c>
      <c r="F85" s="371" t="n">
        <v>327.0</v>
      </c>
      <c r="G85" s="9">
        <f t="shared" si="3"/>
        <v>2.2064852569198023E-4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320.0</v>
      </c>
      <c r="G86" s="9">
        <f t="shared" si="3"/>
        <v>2.4222614176911393E-4</v>
      </c>
    </row>
    <row r="87" spans="1:7" x14ac:dyDescent="0.45">
      <c r="A87">
        <v>76</v>
      </c>
      <c r="B87" s="6" t="n">
        <v>2655.91924548</v>
      </c>
      <c r="C87" s="9">
        <f t="shared" si="2"/>
        <v>2.1359725927780674E-3</v>
      </c>
      <c r="E87" s="371">
        <v>76</v>
      </c>
      <c r="F87" s="371" t="n">
        <v>320.0</v>
      </c>
      <c r="G87" s="9">
        <f t="shared" si="3"/>
        <v>1.990709096148465E-4</v>
      </c>
    </row>
    <row r="88" spans="1:7" x14ac:dyDescent="0.45">
      <c r="A88">
        <v>77</v>
      </c>
      <c r="B88" s="6" t="n">
        <v>808.1524794</v>
      </c>
      <c r="C88" s="9">
        <f t="shared" si="2"/>
        <v>6.4994127728912549E-4</v>
      </c>
      <c r="E88" s="371">
        <v>77</v>
      </c>
      <c r="F88" s="371" t="n">
        <v>263.0</v>
      </c>
      <c r="G88" s="9">
        <f t="shared" si="3"/>
        <v>1.7958144993227414E-4</v>
      </c>
    </row>
    <row r="89" spans="1:7" x14ac:dyDescent="0.45">
      <c r="A89">
        <v>78</v>
      </c>
      <c r="B89" s="6" t="n">
        <v>256.371317496</v>
      </c>
      <c r="C89" s="9">
        <f t="shared" si="2"/>
        <v>2.0618176124059562E-4</v>
      </c>
      <c r="E89" s="371">
        <v>78</v>
      </c>
      <c r="F89" s="371" t="n">
        <v>242.0</v>
      </c>
      <c r="G89" s="9">
        <f t="shared" si="3"/>
        <v>2.2969720340174597E-4</v>
      </c>
    </row>
    <row r="90" spans="1:7" x14ac:dyDescent="0.45">
      <c r="A90">
        <v>79</v>
      </c>
      <c r="B90" s="6" t="n">
        <v>256.371317496</v>
      </c>
      <c r="C90" s="9">
        <f t="shared" si="2"/>
        <v>2.0618176124059562E-4</v>
      </c>
      <c r="E90" s="371">
        <v>79</v>
      </c>
      <c r="F90" s="371" t="n">
        <v>206.0</v>
      </c>
      <c r="G90" s="9">
        <f t="shared" si="3"/>
        <v>1.6426830303882439E-4</v>
      </c>
    </row>
    <row r="91" spans="1:7" x14ac:dyDescent="0.45">
      <c r="A91">
        <v>80</v>
      </c>
      <c r="B91" s="6" t="n">
        <v>1593.262710215</v>
      </c>
      <c r="C91" s="9">
        <f t="shared" si="2"/>
        <v>1.2813512639385598E-3</v>
      </c>
      <c r="E91" s="371">
        <v>80</v>
      </c>
      <c r="F91" s="371" t="n">
        <v>193.0</v>
      </c>
      <c r="G91" s="9">
        <f t="shared" si="3"/>
        <v>1.4756305188233377E-4</v>
      </c>
    </row>
    <row r="92" spans="1:7" x14ac:dyDescent="0.45">
      <c r="A92">
        <v>81</v>
      </c>
      <c r="B92" s="6" t="n">
        <v>554.661229397</v>
      </c>
      <c r="C92" s="9">
        <f t="shared" si="2"/>
        <v>4.4607575561073364E-4</v>
      </c>
      <c r="E92" s="371">
        <v>81</v>
      </c>
      <c r="F92" s="371" t="n">
        <v>170.0</v>
      </c>
      <c r="G92" s="9">
        <f t="shared" si="3"/>
        <v>1.3224990498888404E-4</v>
      </c>
    </row>
    <row r="93" spans="1:7" x14ac:dyDescent="0.45">
      <c r="A93">
        <v>82</v>
      </c>
      <c r="B93" s="6" t="n">
        <v>739.676000992</v>
      </c>
      <c r="C93" s="9">
        <f t="shared" si="2"/>
        <v>5.9487037052930304E-4</v>
      </c>
      <c r="E93" s="371">
        <v>82</v>
      </c>
      <c r="F93" s="371" t="n">
        <v>345.0</v>
      </c>
      <c r="G93" s="9">
        <f t="shared" si="3"/>
        <v>1.6914066795946749E-4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210.0</v>
      </c>
      <c r="G94" s="9">
        <f t="shared" si="3"/>
        <v>1.3781832204104758E-4</v>
      </c>
    </row>
    <row r="95" spans="1:7" x14ac:dyDescent="0.45">
      <c r="A95">
        <v>84</v>
      </c>
      <c r="B95" s="6" t="n">
        <v>2404.586148969</v>
      </c>
      <c r="C95" s="9">
        <f t="shared" si="2"/>
        <v>1.9338427250423793E-3</v>
      </c>
      <c r="E95" s="371">
        <v>84</v>
      </c>
      <c r="F95" s="371" t="n">
        <v>193.0</v>
      </c>
      <c r="G95" s="9">
        <f t="shared" si="3"/>
        <v>1.3085780072584317E-4</v>
      </c>
    </row>
    <row r="96" spans="1:7" x14ac:dyDescent="0.45">
      <c r="A96">
        <v>85</v>
      </c>
      <c r="B96" s="6" t="n">
        <v>76.8761145204</v>
      </c>
      <c r="C96" s="9">
        <f t="shared" si="2"/>
        <v>6.1826154516669371E-5</v>
      </c>
      <c r="E96" s="371">
        <v>85</v>
      </c>
      <c r="F96" s="371" t="n">
        <v>134.0</v>
      </c>
      <c r="G96" s="9">
        <f t="shared" si="3"/>
        <v>1.1693675809543432E-4</v>
      </c>
    </row>
    <row r="97" spans="1:7" x14ac:dyDescent="0.45">
      <c r="A97">
        <v>86</v>
      </c>
      <c r="B97" s="6" t="n">
        <v>880.136943483</v>
      </c>
      <c r="C97" s="9">
        <f t="shared" si="2"/>
        <v>7.0783341487906822E-4</v>
      </c>
      <c r="E97" s="371">
        <v>86</v>
      </c>
      <c r="F97" s="371" t="n">
        <v>125.0</v>
      </c>
      <c r="G97" s="9">
        <f t="shared" si="3"/>
        <v>8.0045995124850873E-5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116.0</v>
      </c>
      <c r="G98" s="9">
        <f t="shared" si="3"/>
        <v>1.0371176759654591E-4</v>
      </c>
    </row>
    <row r="99" spans="1:7" x14ac:dyDescent="0.45">
      <c r="A99">
        <v>88</v>
      </c>
      <c r="B99" s="6" t="n">
        <v>300.952409273</v>
      </c>
      <c r="C99" s="9">
        <f t="shared" si="2"/>
        <v>2.4203525729619047E-4</v>
      </c>
      <c r="E99" s="371">
        <v>88</v>
      </c>
      <c r="F99" s="371" t="n">
        <v>173.0</v>
      </c>
      <c r="G99" s="9">
        <f t="shared" si="3"/>
        <v>1.0649597612262768E-4</v>
      </c>
    </row>
    <row r="100" spans="1:7" x14ac:dyDescent="0.45">
      <c r="A100">
        <v>89</v>
      </c>
      <c r="B100" s="6" t="n">
        <v>357.255567611</v>
      </c>
      <c r="C100" s="9">
        <f t="shared" si="2"/>
        <v>2.8731600267332529E-4</v>
      </c>
      <c r="E100" s="371">
        <v>89</v>
      </c>
      <c r="F100" s="371" t="n">
        <v>123.0</v>
      </c>
      <c r="G100" s="9">
        <f t="shared" si="3"/>
        <v>8.2830203650932643E-5</v>
      </c>
    </row>
    <row r="101" spans="1:7" ht="14.65" thickBot="1" x14ac:dyDescent="0.5">
      <c r="A101" s="1">
        <v>90</v>
      </c>
      <c r="B101" s="7" t="n">
        <v>22484.3798705738</v>
      </c>
      <c r="C101" s="9">
        <f t="shared" si="2"/>
        <v>1.8082635325185441E-2</v>
      </c>
      <c r="E101" s="372">
        <v>90</v>
      </c>
      <c r="F101" s="372" t="n">
        <v>5685.0</v>
      </c>
      <c r="G101" s="9">
        <f t="shared" si="3"/>
        <v>3.9848984529545321E-3</v>
      </c>
    </row>
    <row r="102" spans="1:7" x14ac:dyDescent="0.45">
      <c r="B102" s="6">
        <f>SUM(B11:B101)</f>
        <v>1243423.8409518565</v>
      </c>
      <c r="C102" s="9">
        <f t="shared" si="2"/>
        <v>1</v>
      </c>
      <c r="F102" s="6">
        <f>SUM(F11:F101)</f>
        <v>1436674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02"/>
  <sheetViews>
    <sheetView workbookViewId="0">
      <selection activeCell="U14" sqref="U14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84907.0721932005</v>
      </c>
      <c r="C11" s="9">
        <f>B11/B$102</f>
        <v>4.6236776287227423E-2</v>
      </c>
      <c r="E11" s="371">
        <v>0</v>
      </c>
      <c r="F11" s="371" t="n">
        <v>370946.0</v>
      </c>
      <c r="G11" s="9">
        <f>F11/F$102</f>
        <v>0.18759436259896073</v>
      </c>
      <c r="K11" s="6" t="n">
        <v>7.1866380900758235</v>
      </c>
      <c r="L11" s="6" t="n">
        <v>5.429005244968632</v>
      </c>
    </row>
    <row r="12" spans="1:12" x14ac:dyDescent="0.45">
      <c r="A12">
        <v>1</v>
      </c>
      <c r="B12" s="6" t="n">
        <v>101459.22475387</v>
      </c>
      <c r="C12" s="9">
        <f>B12/B$102</f>
        <v>5.5250373803324829E-2</v>
      </c>
      <c r="E12" s="371">
        <v>1</v>
      </c>
      <c r="F12" s="371" t="n">
        <v>268624.0</v>
      </c>
      <c r="G12" s="9">
        <f>F12/F$102</f>
        <v>0.13500900423835865</v>
      </c>
      <c r="K12" s="6"/>
      <c r="L12" s="371"/>
    </row>
    <row r="13" spans="1:12" x14ac:dyDescent="0.45">
      <c r="A13">
        <v>2</v>
      </c>
      <c r="B13" s="6" t="n">
        <v>100404.4870225725</v>
      </c>
      <c r="C13" s="9">
        <f t="shared" ref="C13:C76" si="0">B13/B$102</f>
        <v>5.4676008544177361E-2</v>
      </c>
      <c r="E13" s="371">
        <v>2</v>
      </c>
      <c r="F13" s="371" t="n">
        <v>162816.0</v>
      </c>
      <c r="G13" s="9">
        <f t="shared" ref="G13:G76" si="1">F13/F$102</f>
        <v>8.2389286270102891E-2</v>
      </c>
    </row>
    <row r="14" spans="1:12" x14ac:dyDescent="0.45">
      <c r="A14">
        <v>3</v>
      </c>
      <c r="B14" s="6" t="n">
        <v>190531.2426494512</v>
      </c>
      <c r="C14" s="9">
        <f t="shared" si="0"/>
        <v>0.10375520218227008</v>
      </c>
      <c r="E14" s="371">
        <v>3</v>
      </c>
      <c r="F14" s="371" t="n">
        <v>97527.0</v>
      </c>
      <c r="G14" s="9">
        <f t="shared" si="1"/>
        <v>4.8900795728090189E-2</v>
      </c>
    </row>
    <row r="15" spans="1:12" x14ac:dyDescent="0.45">
      <c r="A15">
        <v>4</v>
      </c>
      <c r="B15" s="6" t="n">
        <v>307024.78858326</v>
      </c>
      <c r="C15" s="9">
        <f t="shared" si="0"/>
        <v>0.16719262715896963</v>
      </c>
      <c r="E15" s="371">
        <v>4</v>
      </c>
      <c r="F15" s="371" t="n">
        <v>299134.0</v>
      </c>
      <c r="G15" s="9">
        <f t="shared" si="1"/>
        <v>0.15088819585784824</v>
      </c>
    </row>
    <row r="16" spans="1:12" x14ac:dyDescent="0.45">
      <c r="A16">
        <v>5</v>
      </c>
      <c r="B16" s="6" t="n">
        <v>206551.5250263804</v>
      </c>
      <c r="C16" s="9">
        <f t="shared" si="0"/>
        <v>0.11247916584262117</v>
      </c>
      <c r="E16" s="371">
        <v>5</v>
      </c>
      <c r="F16" s="371" t="n">
        <v>154951.0</v>
      </c>
      <c r="G16" s="9">
        <f t="shared" si="1"/>
        <v>7.7681514733197649E-2</v>
      </c>
    </row>
    <row r="17" spans="1:7" x14ac:dyDescent="0.45">
      <c r="A17">
        <v>6</v>
      </c>
      <c r="B17" s="6" t="n">
        <v>195336.4394175845</v>
      </c>
      <c r="C17" s="9">
        <f t="shared" si="0"/>
        <v>0.10637190774336562</v>
      </c>
      <c r="E17" s="371">
        <v>6</v>
      </c>
      <c r="F17" s="371" t="n">
        <v>136856.0</v>
      </c>
      <c r="G17" s="9">
        <f t="shared" si="1"/>
        <v>6.9112329642033524E-2</v>
      </c>
    </row>
    <row r="18" spans="1:7" x14ac:dyDescent="0.45">
      <c r="A18">
        <v>7</v>
      </c>
      <c r="B18" s="6" t="n">
        <v>96019.9389225083</v>
      </c>
      <c r="C18" s="9">
        <f t="shared" si="0"/>
        <v>5.2288370337056474E-2</v>
      </c>
      <c r="E18" s="371">
        <v>7</v>
      </c>
      <c r="F18" s="371" t="n">
        <v>80695.0</v>
      </c>
      <c r="G18" s="9">
        <f t="shared" si="1"/>
        <v>4.3461366663500194E-2</v>
      </c>
    </row>
    <row r="19" spans="1:7" x14ac:dyDescent="0.45">
      <c r="A19">
        <v>8</v>
      </c>
      <c r="B19" s="6" t="n">
        <v>81411.287863505</v>
      </c>
      <c r="C19" s="9">
        <f t="shared" si="0"/>
        <v>4.4333120987080712E-2</v>
      </c>
      <c r="E19" s="371">
        <v>8</v>
      </c>
      <c r="F19" s="371" t="n">
        <v>76222.0</v>
      </c>
      <c r="G19" s="9">
        <f t="shared" si="1"/>
        <v>3.8139669783958913E-2</v>
      </c>
    </row>
    <row r="20" spans="1:7" x14ac:dyDescent="0.45">
      <c r="A20">
        <v>9</v>
      </c>
      <c r="B20" s="6" t="n">
        <v>62555.5230922982</v>
      </c>
      <c r="C20" s="9">
        <f t="shared" si="0"/>
        <v>3.4065074345841204E-2</v>
      </c>
      <c r="E20" s="371">
        <v>9</v>
      </c>
      <c r="F20" s="371" t="n">
        <v>44733.0</v>
      </c>
      <c r="G20" s="9">
        <f t="shared" si="1"/>
        <v>2.3341795228865304E-2</v>
      </c>
    </row>
    <row r="21" spans="1:7" x14ac:dyDescent="0.45">
      <c r="A21">
        <v>10</v>
      </c>
      <c r="B21" s="6" t="n">
        <v>119012.2937959228</v>
      </c>
      <c r="C21" s="9">
        <f t="shared" si="0"/>
        <v>6.4809027817503001E-2</v>
      </c>
      <c r="E21" s="371">
        <v>10</v>
      </c>
      <c r="F21" s="371" t="n">
        <v>39833.0</v>
      </c>
      <c r="G21" s="9">
        <f t="shared" si="1"/>
        <v>1.9143859634939274E-2</v>
      </c>
    </row>
    <row r="22" spans="1:7" x14ac:dyDescent="0.45">
      <c r="A22">
        <v>11</v>
      </c>
      <c r="B22" s="6" t="n">
        <v>36479.2789345701</v>
      </c>
      <c r="C22" s="9">
        <f t="shared" si="0"/>
        <v>1.9865062069024664E-2</v>
      </c>
      <c r="E22" s="371">
        <v>11</v>
      </c>
      <c r="F22" s="371" t="n">
        <v>37447.0</v>
      </c>
      <c r="G22" s="9">
        <f t="shared" si="1"/>
        <v>1.7671954677656351E-2</v>
      </c>
    </row>
    <row r="23" spans="1:7" x14ac:dyDescent="0.45">
      <c r="A23">
        <v>12</v>
      </c>
      <c r="B23" s="6" t="n">
        <v>32629.1127797312</v>
      </c>
      <c r="C23" s="9">
        <f t="shared" si="0"/>
        <v>1.7768425516007387E-2</v>
      </c>
      <c r="E23" s="371">
        <v>12</v>
      </c>
      <c r="F23" s="371" t="n">
        <v>25287.0</v>
      </c>
      <c r="G23" s="9">
        <f t="shared" si="1"/>
        <v>1.3828226215572179E-2</v>
      </c>
    </row>
    <row r="24" spans="1:7" x14ac:dyDescent="0.45">
      <c r="A24">
        <v>13</v>
      </c>
      <c r="B24" s="6" t="n">
        <v>17994.8006290605</v>
      </c>
      <c r="C24" s="9">
        <f t="shared" si="0"/>
        <v>9.7992022281244012E-3</v>
      </c>
      <c r="E24" s="371">
        <v>13</v>
      </c>
      <c r="F24" s="371" t="n">
        <v>25733.0</v>
      </c>
      <c r="G24" s="9">
        <f t="shared" si="1"/>
        <v>1.2559952462472235E-2</v>
      </c>
    </row>
    <row r="25" spans="1:7" x14ac:dyDescent="0.45">
      <c r="A25">
        <v>14</v>
      </c>
      <c r="B25" s="6" t="n">
        <v>18414.0822075536</v>
      </c>
      <c r="C25" s="9">
        <f t="shared" si="0"/>
        <v>1.0027525123324804E-2</v>
      </c>
      <c r="E25" s="371">
        <v>14</v>
      </c>
      <c r="F25" s="371" t="n">
        <v>20969.0</v>
      </c>
      <c r="G25" s="9">
        <f t="shared" si="1"/>
        <v>1.163375892086578E-2</v>
      </c>
    </row>
    <row r="26" spans="1:7" x14ac:dyDescent="0.45">
      <c r="A26">
        <v>15</v>
      </c>
      <c r="B26" s="6" t="n">
        <v>17555.1507469961</v>
      </c>
      <c r="C26" s="9">
        <f t="shared" si="0"/>
        <v>9.5597876220541011E-3</v>
      </c>
      <c r="E26" s="371">
        <v>15</v>
      </c>
      <c r="F26" s="371" t="n">
        <v>19764.0</v>
      </c>
      <c r="G26" s="9">
        <f t="shared" si="1"/>
        <v>1.0797506705176376E-2</v>
      </c>
    </row>
    <row r="27" spans="1:7" x14ac:dyDescent="0.45">
      <c r="A27">
        <v>16</v>
      </c>
      <c r="B27" s="6" t="n">
        <v>30793.3270430476</v>
      </c>
      <c r="C27" s="9">
        <f t="shared" si="0"/>
        <v>1.676873476910256E-2</v>
      </c>
      <c r="E27" s="371">
        <v>16</v>
      </c>
      <c r="F27" s="371" t="n">
        <v>20852.0</v>
      </c>
      <c r="G27" s="9">
        <f t="shared" si="1"/>
        <v>9.5782459218177445E-3</v>
      </c>
    </row>
    <row r="28" spans="1:7" x14ac:dyDescent="0.45">
      <c r="A28">
        <v>17</v>
      </c>
      <c r="B28" s="6" t="n">
        <v>14174.9013813592</v>
      </c>
      <c r="C28" s="9">
        <f t="shared" si="0"/>
        <v>7.719047744009974E-3</v>
      </c>
      <c r="E28" s="371">
        <v>17</v>
      </c>
      <c r="F28" s="371" t="n">
        <v>14001.0</v>
      </c>
      <c r="G28" s="9">
        <f t="shared" si="1"/>
        <v>5.6738828579917418E-3</v>
      </c>
    </row>
    <row r="29" spans="1:7" x14ac:dyDescent="0.45">
      <c r="A29">
        <v>18</v>
      </c>
      <c r="B29" s="6" t="n">
        <v>14542.7372729443</v>
      </c>
      <c r="C29" s="9">
        <f t="shared" si="0"/>
        <v>7.9193555086085887E-3</v>
      </c>
      <c r="E29" s="371">
        <v>18</v>
      </c>
      <c r="F29" s="371" t="n">
        <v>11236.0</v>
      </c>
      <c r="G29" s="9">
        <f t="shared" si="1"/>
        <v>5.9098525164370296E-3</v>
      </c>
    </row>
    <row r="30" spans="1:7" x14ac:dyDescent="0.45">
      <c r="A30">
        <v>19</v>
      </c>
      <c r="B30" s="6" t="n">
        <v>18690.2688199726</v>
      </c>
      <c r="C30" s="9">
        <f t="shared" si="0"/>
        <v>1.0177924592792873E-2</v>
      </c>
      <c r="E30" s="371">
        <v>19</v>
      </c>
      <c r="F30" s="371" t="n">
        <v>9908.0</v>
      </c>
      <c r="G30" s="9">
        <f t="shared" si="1"/>
        <v>5.6723669929481958E-3</v>
      </c>
    </row>
    <row r="31" spans="1:7" x14ac:dyDescent="0.45">
      <c r="A31">
        <v>20</v>
      </c>
      <c r="B31" s="6" t="n">
        <v>8832.9782351174</v>
      </c>
      <c r="C31" s="9">
        <f t="shared" si="0"/>
        <v>4.810063850485451E-3</v>
      </c>
      <c r="E31" s="371">
        <v>20</v>
      </c>
      <c r="F31" s="371" t="n">
        <v>9095.0</v>
      </c>
      <c r="G31" s="9">
        <f t="shared" si="1"/>
        <v>4.1367957038363516E-3</v>
      </c>
    </row>
    <row r="32" spans="1:7" x14ac:dyDescent="0.45">
      <c r="A32">
        <v>21</v>
      </c>
      <c r="B32" s="6" t="n">
        <v>9212.629900026699</v>
      </c>
      <c r="C32" s="9">
        <f t="shared" si="0"/>
        <v>5.0168059821366524E-3</v>
      </c>
      <c r="E32" s="371">
        <v>21</v>
      </c>
      <c r="F32" s="371" t="n">
        <v>6843.0</v>
      </c>
      <c r="G32" s="9">
        <f t="shared" si="1"/>
        <v>3.4930583486772562E-3</v>
      </c>
    </row>
    <row r="33" spans="1:7" x14ac:dyDescent="0.45">
      <c r="A33">
        <v>22</v>
      </c>
      <c r="B33" s="6" t="n">
        <v>12829.9965571878</v>
      </c>
      <c r="C33" s="9">
        <f t="shared" si="0"/>
        <v>6.9866698410087948E-3</v>
      </c>
      <c r="E33" s="371">
        <v>22</v>
      </c>
      <c r="F33" s="371" t="n">
        <v>5958.0</v>
      </c>
      <c r="G33" s="9">
        <f t="shared" si="1"/>
        <v>2.8109190790816686E-3</v>
      </c>
    </row>
    <row r="34" spans="1:7" x14ac:dyDescent="0.45">
      <c r="A34">
        <v>23</v>
      </c>
      <c r="B34" s="6" t="n">
        <v>14398.7517202314</v>
      </c>
      <c r="C34" s="9">
        <f t="shared" si="0"/>
        <v>7.8409471073127499E-3</v>
      </c>
      <c r="E34" s="371">
        <v>23</v>
      </c>
      <c r="F34" s="371" t="n">
        <v>5235.0</v>
      </c>
      <c r="G34" s="9">
        <f t="shared" si="1"/>
        <v>2.7462421705570501E-3</v>
      </c>
    </row>
    <row r="35" spans="1:7" x14ac:dyDescent="0.45">
      <c r="A35">
        <v>24</v>
      </c>
      <c r="B35" s="6" t="n">
        <v>1073.090578754</v>
      </c>
      <c r="C35" s="9">
        <f t="shared" si="0"/>
        <v>5.843594384326616E-4</v>
      </c>
      <c r="E35" s="371">
        <v>24</v>
      </c>
      <c r="F35" s="371" t="n">
        <v>5059.0</v>
      </c>
      <c r="G35" s="9">
        <f t="shared" si="1"/>
        <v>2.423868204629654E-3</v>
      </c>
    </row>
    <row r="36" spans="1:7" x14ac:dyDescent="0.45">
      <c r="A36">
        <v>25</v>
      </c>
      <c r="B36" s="6" t="n">
        <v>1734.2051272889998</v>
      </c>
      <c r="C36" s="9">
        <f t="shared" si="0"/>
        <v>9.4437427219455487E-4</v>
      </c>
      <c r="E36" s="371">
        <v>25</v>
      </c>
      <c r="F36" s="371" t="n">
        <v>4641.0</v>
      </c>
      <c r="G36" s="9">
        <f t="shared" si="1"/>
        <v>2.549685003243951E-3</v>
      </c>
    </row>
    <row r="37" spans="1:7" x14ac:dyDescent="0.45">
      <c r="A37">
        <v>26</v>
      </c>
      <c r="B37" s="6" t="n">
        <v>1382.3037132361</v>
      </c>
      <c r="C37" s="9">
        <f t="shared" si="0"/>
        <v>7.5274374559130793E-4</v>
      </c>
      <c r="E37" s="371">
        <v>26</v>
      </c>
      <c r="F37" s="371" t="n">
        <v>3530.0</v>
      </c>
      <c r="G37" s="9">
        <f t="shared" si="1"/>
        <v>2.0812827047883144E-3</v>
      </c>
    </row>
    <row r="38" spans="1:7" x14ac:dyDescent="0.45">
      <c r="A38">
        <v>27</v>
      </c>
      <c r="B38" s="6" t="n">
        <v>2415.69175757</v>
      </c>
      <c r="C38" s="9">
        <f t="shared" si="0"/>
        <v>1.3154828742594183E-3</v>
      </c>
      <c r="E38" s="371">
        <v>27</v>
      </c>
      <c r="F38" s="371" t="n">
        <v>2922.0</v>
      </c>
      <c r="G38" s="9">
        <f t="shared" si="1"/>
        <v>1.5588145531128794E-3</v>
      </c>
    </row>
    <row r="39" spans="1:7" x14ac:dyDescent="0.45">
      <c r="A39">
        <v>28</v>
      </c>
      <c r="B39" s="6" t="n">
        <v>3355.6392179848</v>
      </c>
      <c r="C39" s="9">
        <f t="shared" si="0"/>
        <v>1.8273382394998537E-3</v>
      </c>
      <c r="E39" s="371">
        <v>28</v>
      </c>
      <c r="F39" s="371" t="n">
        <v>2512.0</v>
      </c>
      <c r="G39" s="9">
        <f t="shared" si="1"/>
        <v>1.2147131882279942E-3</v>
      </c>
    </row>
    <row r="40" spans="1:7" x14ac:dyDescent="0.45">
      <c r="A40">
        <v>29</v>
      </c>
      <c r="B40" s="6" t="n">
        <v>1049.6642425372</v>
      </c>
      <c r="C40" s="9">
        <f t="shared" si="0"/>
        <v>5.7160245319095053E-4</v>
      </c>
      <c r="E40" s="371">
        <v>29</v>
      </c>
      <c r="F40" s="371" t="n">
        <v>2715.0</v>
      </c>
      <c r="G40" s="9">
        <f t="shared" si="1"/>
        <v>1.0818223527438169E-3</v>
      </c>
    </row>
    <row r="41" spans="1:7" x14ac:dyDescent="0.45">
      <c r="A41">
        <v>30</v>
      </c>
      <c r="B41" s="6" t="n">
        <v>1586.4049019792</v>
      </c>
      <c r="C41" s="9">
        <f t="shared" si="0"/>
        <v>8.638885626260852E-4</v>
      </c>
      <c r="E41" s="371">
        <v>30</v>
      </c>
      <c r="F41" s="371" t="n">
        <v>1841.0</v>
      </c>
      <c r="G41" s="9">
        <f t="shared" si="1"/>
        <v>9.7621708804346286E-4</v>
      </c>
    </row>
    <row r="42" spans="1:7" x14ac:dyDescent="0.45">
      <c r="A42">
        <v>31</v>
      </c>
      <c r="B42" s="6" t="n">
        <v>2692.10237777</v>
      </c>
      <c r="C42" s="9">
        <f t="shared" si="0"/>
        <v>1.4660043288270705E-3</v>
      </c>
      <c r="E42" s="371">
        <v>31</v>
      </c>
      <c r="F42" s="371" t="n">
        <v>1597.0</v>
      </c>
      <c r="G42" s="9">
        <f t="shared" si="1"/>
        <v>8.5393730786410577E-4</v>
      </c>
    </row>
    <row r="43" spans="1:7" x14ac:dyDescent="0.45">
      <c r="A43">
        <v>32</v>
      </c>
      <c r="B43" s="6" t="n">
        <v>1018.187280604</v>
      </c>
      <c r="C43" s="9">
        <f t="shared" si="0"/>
        <v>5.5446143996892719E-4</v>
      </c>
      <c r="E43" s="371">
        <v>32</v>
      </c>
      <c r="F43" s="371" t="n">
        <v>1394.0</v>
      </c>
      <c r="G43" s="9">
        <f t="shared" si="1"/>
        <v>6.9426618994395338E-4</v>
      </c>
    </row>
    <row r="44" spans="1:7" x14ac:dyDescent="0.45">
      <c r="A44">
        <v>33</v>
      </c>
      <c r="B44" s="6" t="n">
        <v>1938.450463821</v>
      </c>
      <c r="C44" s="9">
        <f t="shared" si="0"/>
        <v>1.0555975859775479E-3</v>
      </c>
      <c r="E44" s="371">
        <v>33</v>
      </c>
      <c r="F44" s="371" t="n">
        <v>1034.0</v>
      </c>
      <c r="G44" s="9">
        <f t="shared" si="1"/>
        <v>5.4722728072001566E-4</v>
      </c>
    </row>
    <row r="45" spans="1:7" x14ac:dyDescent="0.45">
      <c r="A45">
        <v>34</v>
      </c>
      <c r="B45" s="6" t="n">
        <v>1449.092665293</v>
      </c>
      <c r="C45" s="9">
        <f t="shared" si="0"/>
        <v>7.8911416509754712E-4</v>
      </c>
      <c r="E45" s="371">
        <v>34</v>
      </c>
      <c r="F45" s="371" t="n">
        <v>880.0</v>
      </c>
      <c r="G45" s="9">
        <f t="shared" si="1"/>
        <v>5.2600517011037518E-4</v>
      </c>
    </row>
    <row r="46" spans="1:7" x14ac:dyDescent="0.45">
      <c r="A46">
        <v>35</v>
      </c>
      <c r="B46" s="6" t="n">
        <v>1498.404540075</v>
      </c>
      <c r="C46" s="9">
        <f t="shared" si="0"/>
        <v>8.1596731247037218E-4</v>
      </c>
      <c r="E46" s="371">
        <v>35</v>
      </c>
      <c r="F46" s="371" t="n">
        <v>826.0</v>
      </c>
      <c r="G46" s="9">
        <f t="shared" si="1"/>
        <v>3.9109318123480344E-4</v>
      </c>
    </row>
    <row r="47" spans="1:7" x14ac:dyDescent="0.45">
      <c r="A47">
        <v>36</v>
      </c>
      <c r="B47" s="6" t="n">
        <v>1085.2722949449999</v>
      </c>
      <c r="C47" s="9">
        <f t="shared" si="0"/>
        <v>5.9099308238915252E-4</v>
      </c>
      <c r="E47" s="371">
        <v>36</v>
      </c>
      <c r="F47" s="371" t="n">
        <v>1052.0</v>
      </c>
      <c r="G47" s="9">
        <f t="shared" si="1"/>
        <v>5.0832007793567477E-4</v>
      </c>
    </row>
    <row r="48" spans="1:7" x14ac:dyDescent="0.45">
      <c r="A48">
        <v>37</v>
      </c>
      <c r="B48" s="6" t="n">
        <v>570.856988644</v>
      </c>
      <c r="C48" s="9">
        <f t="shared" si="0"/>
        <v>3.1086440969103018E-4</v>
      </c>
      <c r="E48" s="371">
        <v>37</v>
      </c>
      <c r="F48" s="371" t="n">
        <v>664.0</v>
      </c>
      <c r="G48" s="9">
        <f t="shared" si="1"/>
        <v>4.1383115688798972E-4</v>
      </c>
    </row>
    <row r="49" spans="1:7" x14ac:dyDescent="0.45">
      <c r="A49">
        <v>38</v>
      </c>
      <c r="B49" s="6" t="n">
        <v>4.59375</v>
      </c>
      <c r="C49" s="9">
        <f t="shared" si="0"/>
        <v>2.5015606542897654E-6</v>
      </c>
      <c r="E49" s="371">
        <v>38</v>
      </c>
      <c r="F49" s="371" t="n">
        <v>624.0</v>
      </c>
      <c r="G49" s="9">
        <f t="shared" si="1"/>
        <v>3.5521770853755405E-4</v>
      </c>
    </row>
    <row r="50" spans="1:7" x14ac:dyDescent="0.45">
      <c r="A50">
        <v>39</v>
      </c>
      <c r="B50" s="6" t="n">
        <v>396.0371562029</v>
      </c>
      <c r="C50" s="9">
        <f t="shared" si="0"/>
        <v>2.1566497253746605E-4</v>
      </c>
      <c r="E50" s="371">
        <v>39</v>
      </c>
      <c r="F50" s="371" t="n">
        <v>506.0</v>
      </c>
      <c r="G50" s="9">
        <f t="shared" si="1"/>
        <v>2.8700378157799528E-4</v>
      </c>
    </row>
    <row r="51" spans="1:7" x14ac:dyDescent="0.45">
      <c r="A51">
        <v>40</v>
      </c>
      <c r="B51" s="6" t="n">
        <v>2029.291388077</v>
      </c>
      <c r="C51" s="9">
        <f t="shared" si="0"/>
        <v>1.1050656854427181E-3</v>
      </c>
      <c r="E51" s="371">
        <v>40</v>
      </c>
      <c r="F51" s="371" t="n">
        <v>452.0</v>
      </c>
      <c r="G51" s="9">
        <f t="shared" si="1"/>
        <v>2.1272639444425357E-4</v>
      </c>
    </row>
    <row r="52" spans="1:7" x14ac:dyDescent="0.45">
      <c r="A52">
        <v>41</v>
      </c>
      <c r="B52" s="6" t="n">
        <v>2470.933528429</v>
      </c>
      <c r="C52" s="9">
        <f t="shared" si="0"/>
        <v>1.3455651905487605E-3</v>
      </c>
      <c r="E52" s="371">
        <v>41</v>
      </c>
      <c r="F52" s="371" t="n">
        <v>374.0</v>
      </c>
      <c r="G52" s="9">
        <f t="shared" si="1"/>
        <v>1.7078746157282116E-4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307.0</v>
      </c>
      <c r="G53" s="9">
        <f t="shared" si="1"/>
        <v>1.5310236939812072E-4</v>
      </c>
    </row>
    <row r="54" spans="1:7" x14ac:dyDescent="0.45">
      <c r="A54">
        <v>43</v>
      </c>
      <c r="B54" s="6" t="n">
        <v>143.589273955</v>
      </c>
      <c r="C54" s="9">
        <f t="shared" si="0"/>
        <v>7.8192604757303344E-5</v>
      </c>
      <c r="E54" s="371">
        <v>43</v>
      </c>
      <c r="F54" s="371" t="n">
        <v>188.0</v>
      </c>
      <c r="G54" s="9">
        <f t="shared" si="1"/>
        <v>1.1116343652668832E-4</v>
      </c>
    </row>
    <row r="55" spans="1:7" x14ac:dyDescent="0.45">
      <c r="A55">
        <v>44</v>
      </c>
      <c r="B55" s="6" t="n">
        <v>1125.3988481578</v>
      </c>
      <c r="C55" s="9">
        <f t="shared" si="0"/>
        <v>6.1284429473405712E-4</v>
      </c>
      <c r="E55" s="371">
        <v>44</v>
      </c>
      <c r="F55" s="371" t="n">
        <v>190.0</v>
      </c>
      <c r="G55" s="9">
        <f t="shared" si="1"/>
        <v>1.0611055304820249E-4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201.0</v>
      </c>
      <c r="G56" s="9">
        <f t="shared" si="1"/>
        <v>1.0307882296111099E-4</v>
      </c>
    </row>
    <row r="57" spans="1:7" x14ac:dyDescent="0.45">
      <c r="A57">
        <v>46</v>
      </c>
      <c r="B57" s="6" t="n">
        <v>1531.936598843</v>
      </c>
      <c r="C57" s="9">
        <f t="shared" si="0"/>
        <v>8.3422744392536228E-4</v>
      </c>
      <c r="E57" s="371">
        <v>46</v>
      </c>
      <c r="F57" s="371" t="n">
        <v>156.0</v>
      </c>
      <c r="G57" s="9">
        <f t="shared" si="1"/>
        <v>8.6404307482107736E-5</v>
      </c>
    </row>
    <row r="58" spans="1:7" x14ac:dyDescent="0.45">
      <c r="A58">
        <v>47</v>
      </c>
      <c r="B58" s="6" t="n">
        <v>5149.1823438</v>
      </c>
      <c r="C58" s="9">
        <f t="shared" si="0"/>
        <v>2.8040254591594309E-3</v>
      </c>
      <c r="E58" s="371">
        <v>47</v>
      </c>
      <c r="F58" s="371" t="n">
        <v>152.0</v>
      </c>
      <c r="G58" s="9">
        <f t="shared" si="1"/>
        <v>7.8319693916530404E-5</v>
      </c>
    </row>
    <row r="59" spans="1:7" x14ac:dyDescent="0.45">
      <c r="A59">
        <v>48</v>
      </c>
      <c r="B59" s="6" t="n">
        <v>213.886510635</v>
      </c>
      <c r="C59" s="9">
        <f t="shared" si="0"/>
        <v>1.1647348669123168E-4</v>
      </c>
      <c r="E59" s="371">
        <v>48</v>
      </c>
      <c r="F59" s="371" t="n">
        <v>117.0</v>
      </c>
      <c r="G59" s="9">
        <f t="shared" si="1"/>
        <v>5.1539411480555496E-5</v>
      </c>
    </row>
    <row r="60" spans="1:7" x14ac:dyDescent="0.45">
      <c r="A60">
        <v>49</v>
      </c>
      <c r="B60" s="6" t="n">
        <v>406.812011884</v>
      </c>
      <c r="C60" s="9">
        <f t="shared" si="0"/>
        <v>2.2153250016249796E-4</v>
      </c>
      <c r="E60" s="371">
        <v>49</v>
      </c>
      <c r="F60" s="371" t="n">
        <v>88.0</v>
      </c>
      <c r="G60" s="9">
        <f t="shared" si="1"/>
        <v>3.8907202784340913E-5</v>
      </c>
    </row>
    <row r="61" spans="1:7" x14ac:dyDescent="0.45">
      <c r="A61">
        <v>50</v>
      </c>
      <c r="B61" s="6" t="n">
        <v>454.367233631</v>
      </c>
      <c r="C61" s="9">
        <f t="shared" si="0"/>
        <v>2.4742904908839076E-4</v>
      </c>
      <c r="E61" s="371">
        <v>50</v>
      </c>
      <c r="F61" s="371" t="n">
        <v>69.0</v>
      </c>
      <c r="G61" s="9">
        <f t="shared" si="1"/>
        <v>3.4359607653703662E-5</v>
      </c>
    </row>
    <row r="62" spans="1:7" x14ac:dyDescent="0.45">
      <c r="A62">
        <v>51</v>
      </c>
      <c r="B62" s="6" t="n">
        <v>94.7244864348</v>
      </c>
      <c r="C62" s="9">
        <f t="shared" si="0"/>
        <v>5.1582922070878976E-5</v>
      </c>
      <c r="E62" s="371">
        <v>51</v>
      </c>
      <c r="F62" s="371" t="n">
        <v>70.0</v>
      </c>
      <c r="G62" s="9">
        <f t="shared" si="1"/>
        <v>3.6380761045097995E-5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49.0</v>
      </c>
      <c r="G63" s="9">
        <f t="shared" si="1"/>
        <v>2.9306724175217829E-5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46.0</v>
      </c>
      <c r="G64" s="9">
        <f t="shared" si="1"/>
        <v>1.8190380522548997E-5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39.0</v>
      </c>
      <c r="G65" s="9">
        <f t="shared" si="1"/>
        <v>2.5769705740277748E-5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28.0</v>
      </c>
      <c r="G66" s="9">
        <f t="shared" si="1"/>
        <v>1.9706245566094749E-5</v>
      </c>
    </row>
    <row r="67" spans="1:7" x14ac:dyDescent="0.45">
      <c r="A67">
        <v>56</v>
      </c>
      <c r="B67" s="6" t="n">
        <v>767.701778901</v>
      </c>
      <c r="C67" s="9">
        <f t="shared" si="0"/>
        <v>4.1805770107798695E-4</v>
      </c>
      <c r="E67" s="371">
        <v>56</v>
      </c>
      <c r="F67" s="371" t="n">
        <v>26.0</v>
      </c>
      <c r="G67" s="9">
        <f t="shared" si="1"/>
        <v>1.4653362087608915E-5</v>
      </c>
    </row>
    <row r="68" spans="1:7" x14ac:dyDescent="0.45">
      <c r="A68">
        <v>57</v>
      </c>
      <c r="B68" s="6" t="n">
        <v>654.907218069</v>
      </c>
      <c r="C68" s="9">
        <f t="shared" si="0"/>
        <v>3.5663458588991079E-4</v>
      </c>
      <c r="E68" s="371">
        <v>57</v>
      </c>
      <c r="F68" s="371" t="n">
        <v>13.0</v>
      </c>
      <c r="G68" s="9">
        <f t="shared" si="1"/>
        <v>1.0105766956971665E-5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24.0</v>
      </c>
      <c r="G69" s="9">
        <f t="shared" si="1"/>
        <v>7.5793252177287489E-6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20.0</v>
      </c>
      <c r="G70" s="9">
        <f t="shared" si="1"/>
        <v>9.600478609123082E-6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13.0</v>
      </c>
      <c r="G71" s="9">
        <f t="shared" si="1"/>
        <v>7.0740368698801657E-6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6.0</v>
      </c>
      <c r="G72" s="9">
        <f t="shared" si="1"/>
        <v>6.5687485220315824E-6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8.0</v>
      </c>
      <c r="G73" s="9">
        <f t="shared" si="1"/>
        <v>1.5158650435457498E-6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5.0</v>
      </c>
      <c r="G74" s="9">
        <f t="shared" si="1"/>
        <v>3.5370184349400828E-6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4.0</v>
      </c>
      <c r="G75" s="9">
        <f t="shared" si="1"/>
        <v>1.0105766956971665E-6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7.0</v>
      </c>
      <c r="G76" s="9">
        <f t="shared" si="1"/>
        <v>2.5264417392429163E-6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2.0</v>
      </c>
      <c r="G77" s="9">
        <f t="shared" ref="G77:G102" si="3">F77/F$102</f>
        <v>4.5475951306372494E-6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5.0</v>
      </c>
      <c r="G78" s="9">
        <f t="shared" si="3"/>
        <v>3.0317300870914996E-6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5.0</v>
      </c>
      <c r="G79" s="9">
        <f t="shared" si="3"/>
        <v>1.5158650435457498E-6</v>
      </c>
    </row>
    <row r="80" spans="1:7" x14ac:dyDescent="0.45">
      <c r="A80">
        <v>69</v>
      </c>
      <c r="B80" s="6" t="n">
        <v>376.597523036</v>
      </c>
      <c r="C80" s="9">
        <f t="shared" si="2"/>
        <v>2.0507897602826475E-4</v>
      </c>
      <c r="E80" s="371">
        <v>69</v>
      </c>
      <c r="F80" s="371" t="n">
        <v>6.0</v>
      </c>
      <c r="G80" s="9">
        <f t="shared" si="3"/>
        <v>3.0317300870914996E-6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2.5264417392429163E-6</v>
      </c>
    </row>
    <row r="82" spans="1:7" x14ac:dyDescent="0.45">
      <c r="A82">
        <v>71</v>
      </c>
      <c r="B82" s="6" t="n">
        <v>5138.639889169</v>
      </c>
      <c r="C82" s="9">
        <f t="shared" si="2"/>
        <v>2.7982844872509586E-3</v>
      </c>
      <c r="E82" s="371">
        <v>71</v>
      </c>
      <c r="F82" s="371" t="n">
        <v>4.0</v>
      </c>
      <c r="G82" s="9">
        <f t="shared" si="3"/>
        <v>2.021153391394333E-6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2.021153391394333E-6</v>
      </c>
    </row>
    <row r="84" spans="1:7" x14ac:dyDescent="0.45">
      <c r="A84">
        <v>73</v>
      </c>
      <c r="B84" s="6" t="n">
        <v>224.140299381</v>
      </c>
      <c r="C84" s="9">
        <f t="shared" si="2"/>
        <v>1.2205726344973895E-4</v>
      </c>
      <c r="E84" s="371">
        <v>73</v>
      </c>
      <c r="F84" s="371" t="n">
        <v>1.0</v>
      </c>
      <c r="G84" s="9">
        <f t="shared" si="3"/>
        <v>0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1.0</v>
      </c>
      <c r="G85" s="9">
        <f t="shared" si="3"/>
        <v>1.0105766956971665E-6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2.0</v>
      </c>
      <c r="G86" s="9">
        <f t="shared" si="3"/>
        <v>1.0105766956971665E-6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3.0</v>
      </c>
      <c r="G87" s="9">
        <f t="shared" si="3"/>
        <v>5.0528834784858326E-7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85.7260115733</v>
      </c>
      <c r="C93" s="9">
        <f t="shared" si="2"/>
        <v>4.6682735804289817E-5</v>
      </c>
      <c r="E93" s="371">
        <v>82</v>
      </c>
      <c r="F93" s="371" t="n">
        <v>1.0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297.868494818</v>
      </c>
      <c r="C95" s="9">
        <f t="shared" si="2"/>
        <v>1.6220649943710991E-4</v>
      </c>
      <c r="E95" s="371">
        <v>84</v>
      </c>
      <c r="F95" s="371" t="n">
        <v>1.0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1.0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176.0946851223</v>
      </c>
      <c r="C101" s="9">
        <f t="shared" si="2"/>
        <v>9.5893667642229342E-5</v>
      </c>
      <c r="E101" s="372">
        <v>90</v>
      </c>
      <c r="F101" s="372" t="n">
        <v>0.0</v>
      </c>
      <c r="G101" s="9">
        <f t="shared" si="3"/>
        <v>5.0528834784858326E-7</v>
      </c>
    </row>
    <row r="102" spans="1:7" x14ac:dyDescent="0.45">
      <c r="B102" s="6">
        <f>SUM(B11:B101)</f>
        <v>1836353.6347289735</v>
      </c>
      <c r="C102" s="9">
        <f t="shared" si="2"/>
        <v>1</v>
      </c>
      <c r="F102" s="6">
        <f>SUM(F11:F101)</f>
        <v>1979068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13731.0</v>
      </c>
      <c r="G11" s="9">
        <f>F11/F$102</f>
        <v>6.8744479724799756E-3</v>
      </c>
      <c r="K11" s="6" t="n">
        <v>28.84352924141742</v>
      </c>
      <c r="L11" s="6" t="n">
        <v>19.004130544792684</v>
      </c>
    </row>
    <row r="12" spans="1:12" x14ac:dyDescent="0.45">
      <c r="A12">
        <v>1</v>
      </c>
      <c r="B12" s="6" t="n">
        <v>5313.254217762</v>
      </c>
      <c r="C12" s="9">
        <f>B12/B$102</f>
        <v>2.8933720157589254E-3</v>
      </c>
      <c r="E12" s="371">
        <v>1</v>
      </c>
      <c r="F12" s="371" t="n">
        <v>55422.0</v>
      </c>
      <c r="G12" s="9">
        <f>F12/F$102</f>
        <v>2.8221364804039074E-2</v>
      </c>
      <c r="K12" s="6"/>
      <c r="L12" s="371"/>
    </row>
    <row r="13" spans="1:12" x14ac:dyDescent="0.45">
      <c r="A13">
        <v>2</v>
      </c>
      <c r="B13" s="6" t="n">
        <v>6389.6046907162</v>
      </c>
      <c r="C13" s="9">
        <f t="shared" ref="C13:C76" si="0">B13/B$102</f>
        <v>3.4795066537710953E-3</v>
      </c>
      <c r="E13" s="371">
        <v>2</v>
      </c>
      <c r="F13" s="371" t="n">
        <v>70098.0</v>
      </c>
      <c r="G13" s="9">
        <f t="shared" ref="G13:G76" si="1">F13/F$102</f>
        <v>3.5574320841931656E-2</v>
      </c>
    </row>
    <row r="14" spans="1:12" x14ac:dyDescent="0.45">
      <c r="A14">
        <v>3</v>
      </c>
      <c r="B14" s="6" t="n">
        <v>13973.773785649</v>
      </c>
      <c r="C14" s="9">
        <f t="shared" si="0"/>
        <v>7.6095222191293133E-3</v>
      </c>
      <c r="E14" s="371">
        <v>3</v>
      </c>
      <c r="F14" s="371" t="n">
        <v>79841.0</v>
      </c>
      <c r="G14" s="9">
        <f t="shared" si="1"/>
        <v>4.0288661127358939E-2</v>
      </c>
    </row>
    <row r="15" spans="1:12" x14ac:dyDescent="0.45">
      <c r="A15">
        <v>4</v>
      </c>
      <c r="B15" s="6" t="n">
        <v>13800.1013854615</v>
      </c>
      <c r="C15" s="9">
        <f t="shared" si="0"/>
        <v>7.5149476247249334E-3</v>
      </c>
      <c r="E15" s="371">
        <v>4</v>
      </c>
      <c r="F15" s="371" t="n">
        <v>78478.0</v>
      </c>
      <c r="G15" s="9">
        <f t="shared" si="1"/>
        <v>3.9364488739143881E-2</v>
      </c>
    </row>
    <row r="16" spans="1:12" x14ac:dyDescent="0.45">
      <c r="A16">
        <v>5</v>
      </c>
      <c r="B16" s="6" t="n">
        <v>34458.8167548928</v>
      </c>
      <c r="C16" s="9">
        <f t="shared" si="0"/>
        <v>1.8764804394540573E-2</v>
      </c>
      <c r="E16" s="371">
        <v>5</v>
      </c>
      <c r="F16" s="371" t="n">
        <v>75263.0</v>
      </c>
      <c r="G16" s="9">
        <f t="shared" si="1"/>
        <v>3.8058318359955295E-2</v>
      </c>
    </row>
    <row r="17" spans="1:7" x14ac:dyDescent="0.45">
      <c r="A17">
        <v>6</v>
      </c>
      <c r="B17" s="6" t="n">
        <v>28394.946194512</v>
      </c>
      <c r="C17" s="9">
        <f t="shared" si="0"/>
        <v>1.5462678678827998E-2</v>
      </c>
      <c r="E17" s="371">
        <v>6</v>
      </c>
      <c r="F17" s="371" t="n">
        <v>70233.0</v>
      </c>
      <c r="G17" s="9">
        <f t="shared" si="1"/>
        <v>3.5386858864879835E-2</v>
      </c>
    </row>
    <row r="18" spans="1:7" x14ac:dyDescent="0.45">
      <c r="A18">
        <v>7</v>
      </c>
      <c r="B18" s="6" t="n">
        <v>26352.3672654389</v>
      </c>
      <c r="C18" s="9">
        <f t="shared" si="0"/>
        <v>1.4350377164324468E-2</v>
      </c>
      <c r="E18" s="371">
        <v>7</v>
      </c>
      <c r="F18" s="371" t="n">
        <v>66372.0</v>
      </c>
      <c r="G18" s="9">
        <f t="shared" si="1"/>
        <v>3.332174538722267E-2</v>
      </c>
    </row>
    <row r="19" spans="1:7" x14ac:dyDescent="0.45">
      <c r="A19">
        <v>8</v>
      </c>
      <c r="B19" s="6" t="n">
        <v>16526.9496719312</v>
      </c>
      <c r="C19" s="9">
        <f t="shared" si="0"/>
        <v>8.9998730959956977E-3</v>
      </c>
      <c r="E19" s="371">
        <v>8</v>
      </c>
      <c r="F19" s="371" t="n">
        <v>59640.0</v>
      </c>
      <c r="G19" s="9">
        <f t="shared" si="1"/>
        <v>3.0196536955779184E-2</v>
      </c>
    </row>
    <row r="20" spans="1:7" x14ac:dyDescent="0.45">
      <c r="A20">
        <v>9</v>
      </c>
      <c r="B20" s="6" t="n">
        <v>26699.4299645152</v>
      </c>
      <c r="C20" s="9">
        <f t="shared" si="0"/>
        <v>1.4539372732777448E-2</v>
      </c>
      <c r="E20" s="371">
        <v>9</v>
      </c>
      <c r="F20" s="371" t="n">
        <v>54501.0</v>
      </c>
      <c r="G20" s="9">
        <f t="shared" si="1"/>
        <v>2.7417451042611975E-2</v>
      </c>
    </row>
    <row r="21" spans="1:7" x14ac:dyDescent="0.45">
      <c r="A21">
        <v>10</v>
      </c>
      <c r="B21" s="6" t="n">
        <v>12987.020080087</v>
      </c>
      <c r="C21" s="9">
        <f t="shared" si="0"/>
        <v>7.072178165728818E-3</v>
      </c>
      <c r="E21" s="371">
        <v>10</v>
      </c>
      <c r="F21" s="371" t="n">
        <v>49152.0</v>
      </c>
      <c r="G21" s="9">
        <f t="shared" si="1"/>
        <v>2.4946591021632405E-2</v>
      </c>
    </row>
    <row r="22" spans="1:7" x14ac:dyDescent="0.45">
      <c r="A22">
        <v>11</v>
      </c>
      <c r="B22" s="6" t="n">
        <v>30669.6281921</v>
      </c>
      <c r="C22" s="9">
        <f t="shared" si="0"/>
        <v>1.6701373641807567E-2</v>
      </c>
      <c r="E22" s="371">
        <v>11</v>
      </c>
      <c r="F22" s="371" t="n">
        <v>43510.0</v>
      </c>
      <c r="G22" s="9">
        <f t="shared" si="1"/>
        <v>2.16672696440951E-2</v>
      </c>
    </row>
    <row r="23" spans="1:7" x14ac:dyDescent="0.45">
      <c r="A23">
        <v>12</v>
      </c>
      <c r="B23" s="6" t="n">
        <v>20330.218013868</v>
      </c>
      <c r="C23" s="9">
        <f t="shared" si="0"/>
        <v>1.1070971096952426E-2</v>
      </c>
      <c r="E23" s="371">
        <v>12</v>
      </c>
      <c r="F23" s="371" t="n">
        <v>38750.0</v>
      </c>
      <c r="G23" s="9">
        <f t="shared" si="1"/>
        <v>1.9755763824183908E-2</v>
      </c>
    </row>
    <row r="24" spans="1:7" x14ac:dyDescent="0.45">
      <c r="A24">
        <v>13</v>
      </c>
      <c r="B24" s="6" t="n">
        <v>41291.8230397567</v>
      </c>
      <c r="C24" s="9">
        <f t="shared" si="0"/>
        <v>2.2485768677039667E-2</v>
      </c>
      <c r="E24" s="371">
        <v>13</v>
      </c>
      <c r="F24" s="371" t="n">
        <v>33760.0</v>
      </c>
      <c r="G24" s="9">
        <f t="shared" si="1"/>
        <v>1.6910990425796385E-2</v>
      </c>
    </row>
    <row r="25" spans="1:7" x14ac:dyDescent="0.45">
      <c r="A25">
        <v>14</v>
      </c>
      <c r="B25" s="6" t="n">
        <v>29980.0848011551</v>
      </c>
      <c r="C25" s="9">
        <f t="shared" si="0"/>
        <v>1.6325877670931199E-2</v>
      </c>
      <c r="E25" s="371">
        <v>14</v>
      </c>
      <c r="F25" s="371" t="n">
        <v>31317.0</v>
      </c>
      <c r="G25" s="9">
        <f t="shared" si="1"/>
        <v>1.587565460105464E-2</v>
      </c>
    </row>
    <row r="26" spans="1:7" x14ac:dyDescent="0.45">
      <c r="A26">
        <v>15</v>
      </c>
      <c r="B26" s="6" t="n">
        <v>17899.9419861152</v>
      </c>
      <c r="C26" s="9">
        <f t="shared" si="0"/>
        <v>9.7475462501301052E-3</v>
      </c>
      <c r="E26" s="371">
        <v>15</v>
      </c>
      <c r="F26" s="371" t="n">
        <v>27434.0</v>
      </c>
      <c r="G26" s="9">
        <f t="shared" si="1"/>
        <v>1.3694324803392303E-2</v>
      </c>
    </row>
    <row r="27" spans="1:7" x14ac:dyDescent="0.45">
      <c r="A27">
        <v>16</v>
      </c>
      <c r="B27" s="6" t="n">
        <v>72842.591019337</v>
      </c>
      <c r="C27" s="9">
        <f t="shared" si="0"/>
        <v>3.9666973529359328E-2</v>
      </c>
      <c r="E27" s="371">
        <v>16</v>
      </c>
      <c r="F27" s="371" t="n">
        <v>26875.0</v>
      </c>
      <c r="G27" s="9">
        <f t="shared" si="1"/>
        <v>1.3444712359555104E-2</v>
      </c>
    </row>
    <row r="28" spans="1:7" x14ac:dyDescent="0.45">
      <c r="A28">
        <v>17</v>
      </c>
      <c r="B28" s="6" t="n">
        <v>46574.5812964009</v>
      </c>
      <c r="C28" s="9">
        <f t="shared" si="0"/>
        <v>2.5362533890850938E-2</v>
      </c>
      <c r="E28" s="371">
        <v>17</v>
      </c>
      <c r="F28" s="371" t="n">
        <v>22947.0</v>
      </c>
      <c r="G28" s="9">
        <f t="shared" si="1"/>
        <v>1.1768670909741354E-2</v>
      </c>
    </row>
    <row r="29" spans="1:7" x14ac:dyDescent="0.45">
      <c r="A29">
        <v>18</v>
      </c>
      <c r="B29" s="6" t="n">
        <v>113264.1225477295</v>
      </c>
      <c r="C29" s="9">
        <f t="shared" si="0"/>
        <v>6.1678818505154685E-2</v>
      </c>
      <c r="E29" s="371">
        <v>18</v>
      </c>
      <c r="F29" s="371" t="n">
        <v>199520.0</v>
      </c>
      <c r="G29" s="9">
        <f t="shared" si="1"/>
        <v>0.10139166516764457</v>
      </c>
    </row>
    <row r="30" spans="1:7" x14ac:dyDescent="0.45">
      <c r="A30">
        <v>19</v>
      </c>
      <c r="B30" s="6" t="n">
        <v>83456.4227470186</v>
      </c>
      <c r="C30" s="9">
        <f t="shared" si="0"/>
        <v>4.5446814365543424E-2</v>
      </c>
      <c r="E30" s="371">
        <v>19</v>
      </c>
      <c r="F30" s="371" t="n">
        <v>72168.0</v>
      </c>
      <c r="G30" s="9">
        <f t="shared" si="1"/>
        <v>3.5991689017254587E-2</v>
      </c>
    </row>
    <row r="31" spans="1:7" x14ac:dyDescent="0.45">
      <c r="A31">
        <v>20</v>
      </c>
      <c r="B31" s="6" t="n">
        <v>112739.6663888013</v>
      </c>
      <c r="C31" s="9">
        <f t="shared" si="0"/>
        <v>6.1393222011641824E-2</v>
      </c>
      <c r="E31" s="371">
        <v>20</v>
      </c>
      <c r="F31" s="371" t="n">
        <v>70358.0</v>
      </c>
      <c r="G31" s="9">
        <f t="shared" si="1"/>
        <v>3.526407379635263E-2</v>
      </c>
    </row>
    <row r="32" spans="1:7" x14ac:dyDescent="0.45">
      <c r="A32">
        <v>21</v>
      </c>
      <c r="B32" s="6" t="n">
        <v>116179.21893637891</v>
      </c>
      <c r="C32" s="9">
        <f t="shared" si="0"/>
        <v>6.3266255877520952E-2</v>
      </c>
      <c r="E32" s="371">
        <v>21</v>
      </c>
      <c r="F32" s="371" t="n">
        <v>77980.0</v>
      </c>
      <c r="G32" s="9">
        <f t="shared" si="1"/>
        <v>3.8552490364151204E-2</v>
      </c>
    </row>
    <row r="33" spans="1:7" x14ac:dyDescent="0.45">
      <c r="A33">
        <v>22</v>
      </c>
      <c r="B33" s="6" t="n">
        <v>67523.3369071275</v>
      </c>
      <c r="C33" s="9">
        <f t="shared" si="0"/>
        <v>3.6770334226551751E-2</v>
      </c>
      <c r="E33" s="371">
        <v>22</v>
      </c>
      <c r="F33" s="371" t="n">
        <v>75212.0</v>
      </c>
      <c r="G33" s="9">
        <f t="shared" si="1"/>
        <v>3.8732878304333147E-2</v>
      </c>
    </row>
    <row r="34" spans="1:7" x14ac:dyDescent="0.45">
      <c r="A34">
        <v>23</v>
      </c>
      <c r="B34" s="6" t="n">
        <v>50583.3154186086</v>
      </c>
      <c r="C34" s="9">
        <f t="shared" si="0"/>
        <v>2.754551980728601E-2</v>
      </c>
      <c r="E34" s="371">
        <v>23</v>
      </c>
      <c r="F34" s="371" t="n">
        <v>65549.0</v>
      </c>
      <c r="G34" s="9">
        <f t="shared" si="1"/>
        <v>3.3071627655037621E-2</v>
      </c>
    </row>
    <row r="35" spans="1:7" x14ac:dyDescent="0.45">
      <c r="A35">
        <v>24</v>
      </c>
      <c r="B35" s="6" t="n">
        <v>80460.4084551868</v>
      </c>
      <c r="C35" s="9">
        <f t="shared" si="0"/>
        <v>4.381531254847975E-2</v>
      </c>
      <c r="E35" s="371">
        <v>24</v>
      </c>
      <c r="F35" s="371" t="n">
        <v>42380.0</v>
      </c>
      <c r="G35" s="9">
        <f t="shared" si="1"/>
        <v>2.1762769141838483E-2</v>
      </c>
    </row>
    <row r="36" spans="1:7" x14ac:dyDescent="0.45">
      <c r="A36">
        <v>25</v>
      </c>
      <c r="B36" s="6" t="n">
        <v>35770.8225262329</v>
      </c>
      <c r="C36" s="9">
        <f t="shared" si="0"/>
        <v>1.9479266874167345E-2</v>
      </c>
      <c r="E36" s="371">
        <v>25</v>
      </c>
      <c r="F36" s="371" t="n">
        <v>44128.0</v>
      </c>
      <c r="G36" s="9">
        <f t="shared" si="1"/>
        <v>2.2003791683762257E-2</v>
      </c>
    </row>
    <row r="37" spans="1:7" x14ac:dyDescent="0.45">
      <c r="A37">
        <v>26</v>
      </c>
      <c r="B37" s="6" t="n">
        <v>112389.3691747498</v>
      </c>
      <c r="C37" s="9">
        <f t="shared" si="0"/>
        <v>6.1202465064054655E-2</v>
      </c>
      <c r="E37" s="371">
        <v>26</v>
      </c>
      <c r="F37" s="371" t="n">
        <v>41624.0</v>
      </c>
      <c r="G37" s="9">
        <f t="shared" si="1"/>
        <v>2.050055884891272E-2</v>
      </c>
    </row>
    <row r="38" spans="1:7" x14ac:dyDescent="0.45">
      <c r="A38">
        <v>27</v>
      </c>
      <c r="B38" s="6" t="n">
        <v>24031.5465713304</v>
      </c>
      <c r="C38" s="9">
        <f t="shared" si="0"/>
        <v>1.3086557031743617E-2</v>
      </c>
      <c r="E38" s="371">
        <v>27</v>
      </c>
      <c r="F38" s="371" t="n">
        <v>34531.0</v>
      </c>
      <c r="G38" s="9">
        <f t="shared" si="1"/>
        <v>1.5581576782606762E-2</v>
      </c>
    </row>
    <row r="39" spans="1:7" x14ac:dyDescent="0.45">
      <c r="A39">
        <v>28</v>
      </c>
      <c r="B39" s="6" t="n">
        <v>33903.287707423</v>
      </c>
      <c r="C39" s="9">
        <f t="shared" si="0"/>
        <v>1.8462286928969847E-2</v>
      </c>
      <c r="E39" s="371">
        <v>28</v>
      </c>
      <c r="F39" s="371" t="n">
        <v>30638.0</v>
      </c>
      <c r="G39" s="9">
        <f t="shared" si="1"/>
        <v>1.9655716731309888E-2</v>
      </c>
    </row>
    <row r="40" spans="1:7" x14ac:dyDescent="0.45">
      <c r="A40">
        <v>29</v>
      </c>
      <c r="B40" s="6" t="n">
        <v>33390.5943867468</v>
      </c>
      <c r="C40" s="9">
        <f t="shared" si="0"/>
        <v>1.8183095976323154E-2</v>
      </c>
      <c r="E40" s="371">
        <v>29</v>
      </c>
      <c r="F40" s="371" t="n">
        <v>31268.0</v>
      </c>
      <c r="G40" s="9">
        <f t="shared" si="1"/>
        <v>1.3268366726155948E-2</v>
      </c>
    </row>
    <row r="41" spans="1:7" x14ac:dyDescent="0.45">
      <c r="A41">
        <v>30</v>
      </c>
      <c r="B41" s="6" t="n">
        <v>12524.7176558547</v>
      </c>
      <c r="C41" s="9">
        <f t="shared" si="0"/>
        <v>6.8204279497087253E-3</v>
      </c>
      <c r="E41" s="371">
        <v>30</v>
      </c>
      <c r="F41" s="371" t="n">
        <v>24968.0</v>
      </c>
      <c r="G41" s="9">
        <f t="shared" si="1"/>
        <v>1.2930328821445247E-2</v>
      </c>
    </row>
    <row r="42" spans="1:7" x14ac:dyDescent="0.45">
      <c r="A42">
        <v>31</v>
      </c>
      <c r="B42" s="6" t="n">
        <v>25089.3246470452</v>
      </c>
      <c r="C42" s="9">
        <f t="shared" si="0"/>
        <v>1.366257793300696E-2</v>
      </c>
      <c r="E42" s="371">
        <v>31</v>
      </c>
      <c r="F42" s="371" t="n">
        <v>25799.0</v>
      </c>
      <c r="G42" s="9">
        <f t="shared" si="1"/>
        <v>1.06282351086471E-2</v>
      </c>
    </row>
    <row r="43" spans="1:7" x14ac:dyDescent="0.45">
      <c r="A43">
        <v>32</v>
      </c>
      <c r="B43" s="6" t="n">
        <v>14873.1976608673</v>
      </c>
      <c r="C43" s="9">
        <f t="shared" si="0"/>
        <v>8.0993101653116101E-3</v>
      </c>
      <c r="E43" s="371">
        <v>32</v>
      </c>
      <c r="F43" s="371" t="n">
        <v>19347.0</v>
      </c>
      <c r="G43" s="9">
        <f t="shared" si="1"/>
        <v>9.2407133054548916E-3</v>
      </c>
    </row>
    <row r="44" spans="1:7" x14ac:dyDescent="0.45">
      <c r="A44">
        <v>33</v>
      </c>
      <c r="B44" s="6" t="n">
        <v>27548.4082023621</v>
      </c>
      <c r="C44" s="9">
        <f t="shared" si="0"/>
        <v>1.5001690132754824E-2</v>
      </c>
      <c r="E44" s="371">
        <v>33</v>
      </c>
      <c r="F44" s="371" t="n">
        <v>26066.0</v>
      </c>
      <c r="G44" s="9">
        <f t="shared" si="1"/>
        <v>1.5032328348495352E-2</v>
      </c>
    </row>
    <row r="45" spans="1:7" x14ac:dyDescent="0.45">
      <c r="A45">
        <v>34</v>
      </c>
      <c r="B45" s="6" t="n">
        <v>37714.2587981178</v>
      </c>
      <c r="C45" s="9">
        <f t="shared" si="0"/>
        <v>2.0537579518927478E-2</v>
      </c>
      <c r="E45" s="371">
        <v>34</v>
      </c>
      <c r="F45" s="371" t="n">
        <v>22275.0</v>
      </c>
      <c r="G45" s="9">
        <f t="shared" si="1"/>
        <v>1.2351773663158618E-2</v>
      </c>
    </row>
    <row r="46" spans="1:7" x14ac:dyDescent="0.45">
      <c r="A46">
        <v>35</v>
      </c>
      <c r="B46" s="6" t="n">
        <v>24955.9714428659</v>
      </c>
      <c r="C46" s="9">
        <f t="shared" si="0"/>
        <v>1.3589959456011389E-2</v>
      </c>
      <c r="E46" s="371">
        <v>35</v>
      </c>
      <c r="F46" s="371" t="n">
        <v>16257.0</v>
      </c>
      <c r="G46" s="9">
        <f t="shared" si="1"/>
        <v>8.5792908581210948E-3</v>
      </c>
    </row>
    <row r="47" spans="1:7" x14ac:dyDescent="0.45">
      <c r="A47">
        <v>36</v>
      </c>
      <c r="B47" s="6" t="n">
        <v>11672.6343034436</v>
      </c>
      <c r="C47" s="9">
        <f t="shared" si="0"/>
        <v>6.356419636551299E-3</v>
      </c>
      <c r="E47" s="371">
        <v>36</v>
      </c>
      <c r="F47" s="371" t="n">
        <v>10453.0</v>
      </c>
      <c r="G47" s="9">
        <f t="shared" si="1"/>
        <v>5.6491237289471611E-3</v>
      </c>
    </row>
    <row r="48" spans="1:7" x14ac:dyDescent="0.45">
      <c r="A48">
        <v>37</v>
      </c>
      <c r="B48" s="6" t="n">
        <v>24737.8694603382</v>
      </c>
      <c r="C48" s="9">
        <f t="shared" si="0"/>
        <v>1.3471190402816528E-2</v>
      </c>
      <c r="E48" s="371">
        <v>37</v>
      </c>
      <c r="F48" s="371" t="n">
        <v>9893.0</v>
      </c>
      <c r="G48" s="9">
        <f t="shared" si="1"/>
        <v>6.5606639084660051E-3</v>
      </c>
    </row>
    <row r="49" spans="1:7" x14ac:dyDescent="0.45">
      <c r="A49">
        <v>38</v>
      </c>
      <c r="B49" s="6" t="n">
        <v>22185.304254814</v>
      </c>
      <c r="C49" s="9">
        <f t="shared" si="0"/>
        <v>1.2081172076688984E-2</v>
      </c>
      <c r="E49" s="371">
        <v>38</v>
      </c>
      <c r="F49" s="371" t="n">
        <v>13079.0</v>
      </c>
      <c r="G49" s="9">
        <f t="shared" si="1"/>
        <v>5.0559152085729239E-3</v>
      </c>
    </row>
    <row r="50" spans="1:7" x14ac:dyDescent="0.45">
      <c r="A50">
        <v>39</v>
      </c>
      <c r="B50" s="6" t="n">
        <v>10317.9096040444</v>
      </c>
      <c r="C50" s="9">
        <f t="shared" si="0"/>
        <v>5.6186942476181686E-3</v>
      </c>
      <c r="E50" s="371">
        <v>39</v>
      </c>
      <c r="F50" s="371" t="n">
        <v>9920.0</v>
      </c>
      <c r="G50" s="9">
        <f t="shared" si="1"/>
        <v>5.8103107119108592E-3</v>
      </c>
    </row>
    <row r="51" spans="1:7" x14ac:dyDescent="0.45">
      <c r="A51">
        <v>40</v>
      </c>
      <c r="B51" s="6" t="n">
        <v>17700.9045033165</v>
      </c>
      <c r="C51" s="9">
        <f t="shared" si="0"/>
        <v>9.6391589117468448E-3</v>
      </c>
      <c r="E51" s="371">
        <v>40</v>
      </c>
      <c r="F51" s="371" t="n">
        <v>7892.0</v>
      </c>
      <c r="G51" s="9">
        <f t="shared" si="1"/>
        <v>4.011989481917751E-3</v>
      </c>
    </row>
    <row r="52" spans="1:7" x14ac:dyDescent="0.45">
      <c r="A52">
        <v>41</v>
      </c>
      <c r="B52" s="6" t="n">
        <v>17719.2764140243</v>
      </c>
      <c r="C52" s="9">
        <f t="shared" si="0"/>
        <v>9.6491634720670127E-3</v>
      </c>
      <c r="E52" s="371">
        <v>41</v>
      </c>
      <c r="F52" s="371" t="n">
        <v>10929.0</v>
      </c>
      <c r="G52" s="9">
        <f t="shared" si="1"/>
        <v>4.8244931452582733E-3</v>
      </c>
    </row>
    <row r="53" spans="1:7" x14ac:dyDescent="0.45">
      <c r="A53">
        <v>42</v>
      </c>
      <c r="B53" s="6" t="n">
        <v>4971.9996765032</v>
      </c>
      <c r="C53" s="9">
        <f t="shared" si="0"/>
        <v>2.7075393227497897E-3</v>
      </c>
      <c r="E53" s="371">
        <v>42</v>
      </c>
      <c r="F53" s="371" t="n">
        <v>7496.0</v>
      </c>
      <c r="G53" s="9">
        <f t="shared" si="1"/>
        <v>3.4278761518047891E-3</v>
      </c>
    </row>
    <row r="54" spans="1:7" x14ac:dyDescent="0.45">
      <c r="A54">
        <v>43</v>
      </c>
      <c r="B54" s="6" t="n">
        <v>4521.353864761</v>
      </c>
      <c r="C54" s="9">
        <f t="shared" si="0"/>
        <v>2.4621368015688896E-3</v>
      </c>
      <c r="E54" s="371">
        <v>43</v>
      </c>
      <c r="F54" s="371" t="n">
        <v>6246.0</v>
      </c>
      <c r="G54" s="9">
        <f t="shared" si="1"/>
        <v>3.3308607890178608E-3</v>
      </c>
    </row>
    <row r="55" spans="1:7" x14ac:dyDescent="0.45">
      <c r="A55">
        <v>44</v>
      </c>
      <c r="B55" s="6" t="n">
        <v>5576.0734471752</v>
      </c>
      <c r="C55" s="9">
        <f t="shared" si="0"/>
        <v>3.0364921776072666E-3</v>
      </c>
      <c r="E55" s="371">
        <v>44</v>
      </c>
      <c r="F55" s="371" t="n">
        <v>5796.0</v>
      </c>
      <c r="G55" s="9">
        <f t="shared" si="1"/>
        <v>3.2262661010132041E-3</v>
      </c>
    </row>
    <row r="56" spans="1:7" x14ac:dyDescent="0.45">
      <c r="A56">
        <v>45</v>
      </c>
      <c r="B56" s="6" t="n">
        <v>97690.7346128137</v>
      </c>
      <c r="C56" s="9">
        <f t="shared" si="0"/>
        <v>5.3198214529758488E-2</v>
      </c>
      <c r="E56" s="371">
        <v>45</v>
      </c>
      <c r="F56" s="371" t="n">
        <v>5903.0</v>
      </c>
      <c r="G56" s="9">
        <f t="shared" si="1"/>
        <v>3.311154543451766E-3</v>
      </c>
    </row>
    <row r="57" spans="1:7" x14ac:dyDescent="0.45">
      <c r="A57">
        <v>46</v>
      </c>
      <c r="B57" s="6" t="n">
        <v>6548.0381223014</v>
      </c>
      <c r="C57" s="9">
        <f t="shared" si="0"/>
        <v>3.5657827547294946E-3</v>
      </c>
      <c r="E57" s="371">
        <v>46</v>
      </c>
      <c r="F57" s="371" t="n">
        <v>4532.0</v>
      </c>
      <c r="G57" s="9">
        <f t="shared" si="1"/>
        <v>2.6724700717711569E-3</v>
      </c>
    </row>
    <row r="58" spans="1:7" x14ac:dyDescent="0.45">
      <c r="A58">
        <v>47</v>
      </c>
      <c r="B58" s="6" t="n">
        <v>5066.7335276113</v>
      </c>
      <c r="C58" s="9">
        <f t="shared" si="0"/>
        <v>2.7591273444230124E-3</v>
      </c>
      <c r="E58" s="371">
        <v>47</v>
      </c>
      <c r="F58" s="371" t="n">
        <v>4029.0</v>
      </c>
      <c r="G58" s="9">
        <f t="shared" si="1"/>
        <v>2.3500961058437607E-3</v>
      </c>
    </row>
    <row r="59" spans="1:7" x14ac:dyDescent="0.45">
      <c r="A59">
        <v>48</v>
      </c>
      <c r="B59" s="6" t="n">
        <v>1103.2167900027</v>
      </c>
      <c r="C59" s="9">
        <f t="shared" si="0"/>
        <v>6.0076489034505771E-4</v>
      </c>
      <c r="E59" s="371">
        <v>48</v>
      </c>
      <c r="F59" s="371" t="n">
        <v>5644.0</v>
      </c>
      <c r="G59" s="9">
        <f t="shared" si="1"/>
        <v>2.2631865100138046E-3</v>
      </c>
    </row>
    <row r="60" spans="1:7" x14ac:dyDescent="0.45">
      <c r="A60">
        <v>49</v>
      </c>
      <c r="B60" s="6" t="n">
        <v>3178.6539217439</v>
      </c>
      <c r="C60" s="9">
        <f t="shared" si="0"/>
        <v>1.7309595829634609E-3</v>
      </c>
      <c r="E60" s="371">
        <v>49</v>
      </c>
      <c r="F60" s="371" t="n">
        <v>4277.0</v>
      </c>
      <c r="G60" s="9">
        <f t="shared" si="1"/>
        <v>2.6290152738561788E-3</v>
      </c>
    </row>
    <row r="61" spans="1:7" x14ac:dyDescent="0.45">
      <c r="A61">
        <v>50</v>
      </c>
      <c r="B61" s="6" t="n">
        <v>2798.5643410527</v>
      </c>
      <c r="C61" s="9">
        <f t="shared" si="0"/>
        <v>1.523978981023303E-3</v>
      </c>
      <c r="E61" s="371">
        <v>50</v>
      </c>
      <c r="F61" s="371" t="n">
        <v>4073.0</v>
      </c>
      <c r="G61" s="9">
        <f t="shared" si="1"/>
        <v>1.9534447527826231E-3</v>
      </c>
    </row>
    <row r="62" spans="1:7" x14ac:dyDescent="0.45">
      <c r="A62">
        <v>51</v>
      </c>
      <c r="B62" s="6" t="n">
        <v>1402.4920803706</v>
      </c>
      <c r="C62" s="9">
        <f t="shared" si="0"/>
        <v>7.6373747073917649E-4</v>
      </c>
      <c r="E62" s="371">
        <v>51</v>
      </c>
      <c r="F62" s="371" t="n">
        <v>2905.0</v>
      </c>
      <c r="G62" s="9">
        <f t="shared" si="1"/>
        <v>1.684126063379328E-3</v>
      </c>
    </row>
    <row r="63" spans="1:7" x14ac:dyDescent="0.45">
      <c r="A63">
        <v>52</v>
      </c>
      <c r="B63" s="6" t="n">
        <v>1700.5931489561</v>
      </c>
      <c r="C63" s="9">
        <f t="shared" si="0"/>
        <v>9.260706199473881E-4</v>
      </c>
      <c r="E63" s="371">
        <v>52</v>
      </c>
      <c r="F63" s="371" t="n">
        <v>2878.0</v>
      </c>
      <c r="G63" s="9">
        <f t="shared" si="1"/>
        <v>1.4264290059765505E-3</v>
      </c>
    </row>
    <row r="64" spans="1:7" x14ac:dyDescent="0.45">
      <c r="A64">
        <v>53</v>
      </c>
      <c r="B64" s="6" t="n">
        <v>3572.4721361389998</v>
      </c>
      <c r="C64" s="9">
        <f t="shared" si="0"/>
        <v>1.9454162142719632E-3</v>
      </c>
      <c r="E64" s="371">
        <v>53</v>
      </c>
      <c r="F64" s="371" t="n">
        <v>2862.0</v>
      </c>
      <c r="G64" s="9">
        <f t="shared" si="1"/>
        <v>1.1924805009226565E-3</v>
      </c>
    </row>
    <row r="65" spans="1:7" x14ac:dyDescent="0.45">
      <c r="A65">
        <v>54</v>
      </c>
      <c r="B65" s="6" t="n">
        <v>6716.766130417</v>
      </c>
      <c r="C65" s="9">
        <f t="shared" si="0"/>
        <v>3.657664843737096E-3</v>
      </c>
      <c r="E65" s="371">
        <v>54</v>
      </c>
      <c r="F65" s="371" t="n">
        <v>2527.0</v>
      </c>
      <c r="G65" s="9">
        <f t="shared" si="1"/>
        <v>1.3117285510149221E-3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2709.0</v>
      </c>
      <c r="G66" s="9">
        <f t="shared" si="1"/>
        <v>1.2677684647520954E-3</v>
      </c>
    </row>
    <row r="67" spans="1:7" x14ac:dyDescent="0.45">
      <c r="A67">
        <v>56</v>
      </c>
      <c r="B67" s="6" t="n">
        <v>1908.1655340476</v>
      </c>
      <c r="C67" s="9">
        <f t="shared" si="0"/>
        <v>1.0391057027146218E-3</v>
      </c>
      <c r="E67" s="371">
        <v>56</v>
      </c>
      <c r="F67" s="371" t="n">
        <v>2512.0</v>
      </c>
      <c r="G67" s="9">
        <f t="shared" si="1"/>
        <v>1.1080973468319431E-3</v>
      </c>
    </row>
    <row r="68" spans="1:7" x14ac:dyDescent="0.45">
      <c r="A68">
        <v>57</v>
      </c>
      <c r="B68" s="6" t="n">
        <v>1557.3016408869998</v>
      </c>
      <c r="C68" s="9">
        <f t="shared" si="0"/>
        <v>8.4804016581307388E-4</v>
      </c>
      <c r="E68" s="371">
        <v>57</v>
      </c>
      <c r="F68" s="371" t="n">
        <v>1608.0</v>
      </c>
      <c r="G68" s="9">
        <f t="shared" si="1"/>
        <v>8.3625221568940536E-4</v>
      </c>
    </row>
    <row r="69" spans="1:7" x14ac:dyDescent="0.45">
      <c r="A69">
        <v>58</v>
      </c>
      <c r="B69" s="6" t="n">
        <v>5955.264272062</v>
      </c>
      <c r="C69" s="9">
        <f t="shared" si="0"/>
        <v>3.2429833554041641E-3</v>
      </c>
      <c r="E69" s="371">
        <v>58</v>
      </c>
      <c r="F69" s="371" t="n">
        <v>1706.0</v>
      </c>
      <c r="G69" s="9">
        <f t="shared" si="1"/>
        <v>9.4387863378115353E-4</v>
      </c>
    </row>
    <row r="70" spans="1:7" x14ac:dyDescent="0.45">
      <c r="A70">
        <v>59</v>
      </c>
      <c r="B70" s="6" t="n">
        <v>5238.3987727063</v>
      </c>
      <c r="C70" s="9">
        <f t="shared" si="0"/>
        <v>2.8526089276259864E-3</v>
      </c>
      <c r="E70" s="371">
        <v>59</v>
      </c>
      <c r="F70" s="371" t="n">
        <v>1495.0</v>
      </c>
      <c r="G70" s="9">
        <f t="shared" si="1"/>
        <v>7.938079944701243E-4</v>
      </c>
    </row>
    <row r="71" spans="1:7" x14ac:dyDescent="0.45">
      <c r="A71">
        <v>60</v>
      </c>
      <c r="B71" s="6" t="n">
        <v>4981.3137635427</v>
      </c>
      <c r="C71" s="9">
        <f t="shared" si="0"/>
        <v>2.7126113779701744E-3</v>
      </c>
      <c r="E71" s="371">
        <v>60</v>
      </c>
      <c r="F71" s="371" t="n">
        <v>2432.0</v>
      </c>
      <c r="G71" s="9">
        <f t="shared" si="1"/>
        <v>7.0639311029231937E-4</v>
      </c>
    </row>
    <row r="72" spans="1:7" x14ac:dyDescent="0.45">
      <c r="A72">
        <v>61</v>
      </c>
      <c r="B72" s="6" t="n">
        <v>6562.2558684261</v>
      </c>
      <c r="C72" s="9">
        <f t="shared" si="0"/>
        <v>3.5735251338964566E-3</v>
      </c>
      <c r="E72" s="371">
        <v>61</v>
      </c>
      <c r="F72" s="371" t="n">
        <v>1183.0</v>
      </c>
      <c r="G72" s="9">
        <f t="shared" si="1"/>
        <v>6.5182196872467244E-4</v>
      </c>
    </row>
    <row r="73" spans="1:7" x14ac:dyDescent="0.45">
      <c r="A73">
        <v>62</v>
      </c>
      <c r="B73" s="6" t="n">
        <v>249.386870068</v>
      </c>
      <c r="C73" s="9">
        <f t="shared" si="0"/>
        <v>1.3580547088077992E-4</v>
      </c>
      <c r="E73" s="371">
        <v>62</v>
      </c>
      <c r="F73" s="371" t="n">
        <v>995.0</v>
      </c>
      <c r="G73" s="9">
        <f t="shared" si="1"/>
        <v>6.2200995620160604E-4</v>
      </c>
    </row>
    <row r="74" spans="1:7" x14ac:dyDescent="0.45">
      <c r="A74">
        <v>63</v>
      </c>
      <c r="B74" s="6" t="n">
        <v>803.2207739549999</v>
      </c>
      <c r="C74" s="9">
        <f t="shared" si="0"/>
        <v>4.3739983343325198E-4</v>
      </c>
      <c r="E74" s="371">
        <v>63</v>
      </c>
      <c r="F74" s="371" t="n">
        <v>1048.0</v>
      </c>
      <c r="G74" s="9">
        <f t="shared" si="1"/>
        <v>5.2095228663188932E-4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1017.0</v>
      </c>
      <c r="G75" s="9">
        <f t="shared" si="1"/>
        <v>5.1438353810985776E-4</v>
      </c>
    </row>
    <row r="76" spans="1:7" x14ac:dyDescent="0.45">
      <c r="A76">
        <v>65</v>
      </c>
      <c r="B76" s="6" t="n">
        <v>2021.7684500008</v>
      </c>
      <c r="C76" s="9">
        <f t="shared" si="0"/>
        <v>1.100969013683027E-3</v>
      </c>
      <c r="E76" s="371">
        <v>65</v>
      </c>
      <c r="F76" s="371" t="n">
        <v>833.0</v>
      </c>
      <c r="G76" s="9">
        <f t="shared" si="1"/>
        <v>4.4414845775890468E-4</v>
      </c>
    </row>
    <row r="77" spans="1:7" x14ac:dyDescent="0.45">
      <c r="A77">
        <v>66</v>
      </c>
      <c r="B77" s="6" t="n">
        <v>915.373954487</v>
      </c>
      <c r="C77" s="9">
        <f t="shared" ref="C77:C102" si="2">B77/B$102</f>
        <v>4.9847368021906059E-4</v>
      </c>
      <c r="E77" s="371">
        <v>66</v>
      </c>
      <c r="F77" s="371" t="n">
        <v>806.0</v>
      </c>
      <c r="G77" s="9">
        <f t="shared" ref="G77:G102" si="3">F77/F$102</f>
        <v>4.5829653149866503E-4</v>
      </c>
    </row>
    <row r="78" spans="1:7" x14ac:dyDescent="0.45">
      <c r="A78">
        <v>67</v>
      </c>
      <c r="B78" s="6" t="n">
        <v>6064.041144876</v>
      </c>
      <c r="C78" s="9">
        <f t="shared" si="2"/>
        <v>3.3022186087654014E-3</v>
      </c>
      <c r="E78" s="371">
        <v>67</v>
      </c>
      <c r="F78" s="371" t="n">
        <v>1049.0</v>
      </c>
      <c r="G78" s="9">
        <f t="shared" si="3"/>
        <v>4.1938932871432409E-4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784.0</v>
      </c>
      <c r="G79" s="9">
        <f t="shared" si="3"/>
        <v>3.2742684940588197E-4</v>
      </c>
    </row>
    <row r="80" spans="1:7" x14ac:dyDescent="0.45">
      <c r="A80">
        <v>69</v>
      </c>
      <c r="B80" s="6" t="n">
        <v>2099.717678017</v>
      </c>
      <c r="C80" s="9">
        <f t="shared" si="2"/>
        <v>1.1434168442871276E-3</v>
      </c>
      <c r="E80" s="371">
        <v>69</v>
      </c>
      <c r="F80" s="371" t="n">
        <v>694.0</v>
      </c>
      <c r="G80" s="9">
        <f t="shared" si="3"/>
        <v>3.3500617462361071E-4</v>
      </c>
    </row>
    <row r="81" spans="1:7" x14ac:dyDescent="0.45">
      <c r="A81">
        <v>70</v>
      </c>
      <c r="B81" s="6" t="n">
        <v>4.59375</v>
      </c>
      <c r="C81" s="9">
        <f t="shared" si="2"/>
        <v>2.501560654289765E-6</v>
      </c>
      <c r="E81" s="371">
        <v>70</v>
      </c>
      <c r="F81" s="371" t="n">
        <v>677.0</v>
      </c>
      <c r="G81" s="9">
        <f t="shared" si="3"/>
        <v>3.6582876384237429E-4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662.0</v>
      </c>
      <c r="G82" s="9">
        <f t="shared" si="3"/>
        <v>3.7896626088643746E-4</v>
      </c>
    </row>
    <row r="83" spans="1:7" x14ac:dyDescent="0.45">
      <c r="A83">
        <v>72</v>
      </c>
      <c r="B83" s="6" t="n">
        <v>16235.1886455532</v>
      </c>
      <c r="C83" s="9">
        <f t="shared" si="2"/>
        <v>8.840992463823201E-3</v>
      </c>
      <c r="E83" s="371">
        <v>72</v>
      </c>
      <c r="F83" s="371" t="n">
        <v>602.0</v>
      </c>
      <c r="G83" s="9">
        <f t="shared" si="3"/>
        <v>3.3904848140639939E-4</v>
      </c>
    </row>
    <row r="84" spans="1:7" x14ac:dyDescent="0.45">
      <c r="A84">
        <v>73</v>
      </c>
      <c r="B84" s="6" t="n">
        <v>1610.438278859</v>
      </c>
      <c r="C84" s="9">
        <f t="shared" si="2"/>
        <v>8.7697611636588927E-4</v>
      </c>
      <c r="E84" s="371">
        <v>73</v>
      </c>
      <c r="F84" s="371" t="n">
        <v>473.0</v>
      </c>
      <c r="G84" s="9">
        <f t="shared" si="3"/>
        <v>2.6477109427265762E-4</v>
      </c>
    </row>
    <row r="85" spans="1:7" x14ac:dyDescent="0.45">
      <c r="A85">
        <v>74</v>
      </c>
      <c r="B85" s="6" t="n">
        <v>3050.173453257</v>
      </c>
      <c r="C85" s="9">
        <f t="shared" si="2"/>
        <v>1.6609945903514238E-3</v>
      </c>
      <c r="E85" s="371">
        <v>74</v>
      </c>
      <c r="F85" s="371" t="n">
        <v>452.0</v>
      </c>
      <c r="G85" s="9">
        <f t="shared" si="3"/>
        <v>2.1272639444425357E-4</v>
      </c>
    </row>
    <row r="86" spans="1:7" x14ac:dyDescent="0.45">
      <c r="A86">
        <v>75</v>
      </c>
      <c r="B86" s="6" t="n">
        <v>876.744893286</v>
      </c>
      <c r="C86" s="9">
        <f t="shared" si="2"/>
        <v>4.7743793826258209E-4</v>
      </c>
      <c r="E86" s="371">
        <v>75</v>
      </c>
      <c r="F86" s="371" t="n">
        <v>387.0</v>
      </c>
      <c r="G86" s="9">
        <f t="shared" si="3"/>
        <v>2.2889562157540823E-4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364.0</v>
      </c>
      <c r="G87" s="9">
        <f t="shared" si="3"/>
        <v>1.9200957218246163E-4</v>
      </c>
    </row>
    <row r="88" spans="1:7" x14ac:dyDescent="0.45">
      <c r="A88">
        <v>77</v>
      </c>
      <c r="B88" s="6" t="n">
        <v>103.884081167</v>
      </c>
      <c r="C88" s="9">
        <f t="shared" si="2"/>
        <v>5.6570847358783477E-5</v>
      </c>
      <c r="E88" s="371">
        <v>77</v>
      </c>
      <c r="F88" s="371" t="n">
        <v>348.0</v>
      </c>
      <c r="G88" s="9">
        <f t="shared" si="3"/>
        <v>1.6472400139863814E-4</v>
      </c>
    </row>
    <row r="89" spans="1:7" x14ac:dyDescent="0.45">
      <c r="A89">
        <v>78</v>
      </c>
      <c r="B89" s="6" t="n">
        <v>552.1879851022</v>
      </c>
      <c r="C89" s="9">
        <f t="shared" si="2"/>
        <v>3.0069806526328302E-4</v>
      </c>
      <c r="E89" s="371">
        <v>78</v>
      </c>
      <c r="F89" s="371" t="n">
        <v>388.0</v>
      </c>
      <c r="G89" s="9">
        <f t="shared" si="3"/>
        <v>2.2535860314046814E-4</v>
      </c>
    </row>
    <row r="90" spans="1:7" x14ac:dyDescent="0.45">
      <c r="A90">
        <v>79</v>
      </c>
      <c r="B90" s="6" t="n">
        <v>3617.977487135</v>
      </c>
      <c r="C90" s="9">
        <f t="shared" si="2"/>
        <v>1.9701964908676074E-3</v>
      </c>
      <c r="E90" s="371">
        <v>79</v>
      </c>
      <c r="F90" s="371" t="n">
        <v>300.0</v>
      </c>
      <c r="G90" s="9">
        <f t="shared" si="3"/>
        <v>1.5108121600672641E-4</v>
      </c>
    </row>
    <row r="91" spans="1:7" x14ac:dyDescent="0.45">
      <c r="A91">
        <v>80</v>
      </c>
      <c r="B91" s="6" t="n">
        <v>2416.7367966575</v>
      </c>
      <c r="C91" s="9">
        <f t="shared" si="2"/>
        <v>1.3160519580501086E-3</v>
      </c>
      <c r="E91" s="371">
        <v>80</v>
      </c>
      <c r="F91" s="371" t="n">
        <v>287.0</v>
      </c>
      <c r="G91" s="9">
        <f t="shared" si="3"/>
        <v>1.6118698296369805E-4</v>
      </c>
    </row>
    <row r="92" spans="1:7" x14ac:dyDescent="0.45">
      <c r="A92">
        <v>81</v>
      </c>
      <c r="B92" s="6" t="n">
        <v>761.4660318990001</v>
      </c>
      <c r="C92" s="9">
        <f t="shared" si="2"/>
        <v>4.1466197877043675E-4</v>
      </c>
      <c r="E92" s="371">
        <v>81</v>
      </c>
      <c r="F92" s="371" t="n">
        <v>289.0</v>
      </c>
      <c r="G92" s="9">
        <f t="shared" si="3"/>
        <v>1.6320813635509239E-4</v>
      </c>
    </row>
    <row r="93" spans="1:7" x14ac:dyDescent="0.45">
      <c r="A93">
        <v>82</v>
      </c>
      <c r="B93" s="6" t="n">
        <v>3526.6496723439</v>
      </c>
      <c r="C93" s="9">
        <f t="shared" si="2"/>
        <v>1.9204632515481671E-3</v>
      </c>
      <c r="E93" s="371">
        <v>82</v>
      </c>
      <c r="F93" s="371" t="n">
        <v>400.0</v>
      </c>
      <c r="G93" s="9">
        <f t="shared" si="3"/>
        <v>1.5310236939812072E-4</v>
      </c>
    </row>
    <row r="94" spans="1:7" x14ac:dyDescent="0.45">
      <c r="A94">
        <v>83</v>
      </c>
      <c r="B94" s="6" t="n">
        <v>820.3342852221</v>
      </c>
      <c r="C94" s="9">
        <f t="shared" si="2"/>
        <v>4.4671912299897108E-4</v>
      </c>
      <c r="E94" s="371">
        <v>83</v>
      </c>
      <c r="F94" s="371" t="n">
        <v>324.0</v>
      </c>
      <c r="G94" s="9">
        <f t="shared" si="3"/>
        <v>1.4653362087608914E-4</v>
      </c>
    </row>
    <row r="95" spans="1:7" x14ac:dyDescent="0.45">
      <c r="A95">
        <v>84</v>
      </c>
      <c r="B95" s="6" t="n">
        <v>2873.8604379418</v>
      </c>
      <c r="C95" s="9">
        <f t="shared" si="2"/>
        <v>1.5649820293823476E-3</v>
      </c>
      <c r="E95" s="371">
        <v>84</v>
      </c>
      <c r="F95" s="371" t="n">
        <v>282.0</v>
      </c>
      <c r="G95" s="9">
        <f t="shared" si="3"/>
        <v>1.3188025878848025E-4</v>
      </c>
    </row>
    <row r="96" spans="1:7" x14ac:dyDescent="0.45">
      <c r="A96">
        <v>85</v>
      </c>
      <c r="B96" s="6" t="n">
        <v>1261.1307661893</v>
      </c>
      <c r="C96" s="9">
        <f t="shared" si="2"/>
        <v>6.8675811801109296E-4</v>
      </c>
      <c r="E96" s="371">
        <v>85</v>
      </c>
      <c r="F96" s="371" t="n">
        <v>234.0</v>
      </c>
      <c r="G96" s="9">
        <f t="shared" si="3"/>
        <v>1.2379564522290291E-4</v>
      </c>
    </row>
    <row r="97" spans="1:7" x14ac:dyDescent="0.45">
      <c r="A97">
        <v>86</v>
      </c>
      <c r="B97" s="6" t="n">
        <v>2109.970783763</v>
      </c>
      <c r="C97" s="9">
        <f t="shared" si="2"/>
        <v>1.1490002491129161E-3</v>
      </c>
      <c r="E97" s="371">
        <v>86</v>
      </c>
      <c r="F97" s="371" t="n">
        <v>208.0</v>
      </c>
      <c r="G97" s="9">
        <f t="shared" si="3"/>
        <v>1.1571103165732557E-4</v>
      </c>
    </row>
    <row r="98" spans="1:7" x14ac:dyDescent="0.45">
      <c r="A98">
        <v>87</v>
      </c>
      <c r="B98" s="6" t="n">
        <v>388.0936255263</v>
      </c>
      <c r="C98" s="9">
        <f t="shared" si="2"/>
        <v>2.1133926395586571E-4</v>
      </c>
      <c r="E98" s="371">
        <v>87</v>
      </c>
      <c r="F98" s="371" t="n">
        <v>205.0</v>
      </c>
      <c r="G98" s="9">
        <f t="shared" si="3"/>
        <v>1.0358411130895957E-4</v>
      </c>
    </row>
    <row r="99" spans="1:7" x14ac:dyDescent="0.45">
      <c r="A99">
        <v>88</v>
      </c>
      <c r="B99" s="6" t="n">
        <v>1669.1180393491</v>
      </c>
      <c r="C99" s="9">
        <f t="shared" si="2"/>
        <v>9.0893061542334354E-4</v>
      </c>
      <c r="E99" s="371">
        <v>88</v>
      </c>
      <c r="F99" s="371" t="n">
        <v>228.0</v>
      </c>
      <c r="G99" s="9">
        <f t="shared" si="3"/>
        <v>1.1520574330947699E-4</v>
      </c>
    </row>
    <row r="100" spans="1:7" x14ac:dyDescent="0.45">
      <c r="A100">
        <v>89</v>
      </c>
      <c r="B100" s="6" t="n">
        <v>2315.2432777259</v>
      </c>
      <c r="C100" s="9">
        <f t="shared" si="2"/>
        <v>1.2607829090977923E-3</v>
      </c>
      <c r="E100" s="371">
        <v>89</v>
      </c>
      <c r="F100" s="371" t="n">
        <v>215.0</v>
      </c>
      <c r="G100" s="9">
        <f t="shared" si="3"/>
        <v>9.7015362786927986E-5</v>
      </c>
    </row>
    <row r="101" spans="1:7" ht="14.65" thickBot="1" x14ac:dyDescent="0.5">
      <c r="A101" s="1">
        <v>90</v>
      </c>
      <c r="B101" s="7" t="n">
        <v>53738.9208409459</v>
      </c>
      <c r="C101" s="9">
        <f t="shared" si="2"/>
        <v>2.9263928158846809E-2</v>
      </c>
      <c r="E101" s="372">
        <v>90</v>
      </c>
      <c r="F101" s="372" t="n">
        <v>12225.0</v>
      </c>
      <c r="G101" s="9">
        <f t="shared" si="3"/>
        <v>6.2160572552332717E-3</v>
      </c>
    </row>
    <row r="102" spans="1:7" x14ac:dyDescent="0.45">
      <c r="B102" s="6">
        <f>SUM(B11:B101)</f>
        <v>1836353.6347289737</v>
      </c>
      <c r="C102" s="9">
        <f t="shared" si="2"/>
        <v>1</v>
      </c>
      <c r="F102" s="6">
        <f>SUM(F11:F101)</f>
        <v>1979068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113359.6166626039</v>
      </c>
      <c r="C11" s="9">
        <f>B11/B$102</f>
        <v>5.5843831184551433E-2</v>
      </c>
      <c r="E11" s="371">
        <v>0</v>
      </c>
      <c r="F11" s="371" t="n">
        <v>472823.0</v>
      </c>
      <c r="G11" s="9">
        <f>F11/F$102</f>
        <v>0.21538224982525045</v>
      </c>
      <c r="K11" s="6" t="n">
        <v>5.915546454757694</v>
      </c>
      <c r="L11" s="6" t="n">
        <v>4.975722563825878</v>
      </c>
    </row>
    <row r="12" spans="1:12" x14ac:dyDescent="0.45">
      <c r="A12">
        <v>1</v>
      </c>
      <c r="B12" s="6" t="n">
        <v>126795.2627680881</v>
      </c>
      <c r="C12" s="9">
        <f>B12/B$102</f>
        <v>6.2462572276479902E-2</v>
      </c>
      <c r="E12" s="371">
        <v>1</v>
      </c>
      <c r="F12" s="371" t="n">
        <v>293666.0</v>
      </c>
      <c r="G12" s="9">
        <f>F12/F$102</f>
        <v>0.13392842477191305</v>
      </c>
      <c r="K12" s="6"/>
      <c r="L12" s="371"/>
    </row>
    <row r="13" spans="1:12" x14ac:dyDescent="0.45">
      <c r="A13">
        <v>2</v>
      </c>
      <c r="B13" s="6" t="n">
        <v>141891.8256687545</v>
      </c>
      <c r="C13" s="9">
        <f t="shared" ref="C13:C76" si="0">B13/B$102</f>
        <v>6.9899523237605454E-2</v>
      </c>
      <c r="E13" s="371">
        <v>2</v>
      </c>
      <c r="F13" s="371" t="n">
        <v>181900.0</v>
      </c>
      <c r="G13" s="9">
        <f t="shared" ref="G13:G76" si="1">F13/F$102</f>
        <v>8.2889235244841014E-2</v>
      </c>
    </row>
    <row r="14" spans="1:12" x14ac:dyDescent="0.45">
      <c r="A14">
        <v>3</v>
      </c>
      <c r="B14" s="6" t="n">
        <v>225607.7176510919</v>
      </c>
      <c r="C14" s="9">
        <f t="shared" si="0"/>
        <v>0.11114010146962439</v>
      </c>
      <c r="E14" s="371">
        <v>3</v>
      </c>
      <c r="F14" s="371" t="n">
        <v>108623.0</v>
      </c>
      <c r="G14" s="9">
        <f t="shared" si="1"/>
        <v>4.9856550233881518E-2</v>
      </c>
    </row>
    <row r="15" spans="1:12" x14ac:dyDescent="0.45">
      <c r="A15">
        <v>4</v>
      </c>
      <c r="B15" s="6" t="n">
        <v>413747.1636875012</v>
      </c>
      <c r="C15" s="9">
        <f t="shared" si="0"/>
        <v>0.20382237910013989</v>
      </c>
      <c r="E15" s="371">
        <v>4</v>
      </c>
      <c r="F15" s="371" t="n">
        <v>307076.0</v>
      </c>
      <c r="G15" s="9">
        <f t="shared" si="1"/>
        <v>0.13938763740425275</v>
      </c>
    </row>
    <row r="16" spans="1:12" x14ac:dyDescent="0.45">
      <c r="A16">
        <v>5</v>
      </c>
      <c r="B16" s="6" t="n">
        <v>230209.7423684467</v>
      </c>
      <c r="C16" s="9">
        <f t="shared" si="0"/>
        <v>0.11340717592690662</v>
      </c>
      <c r="E16" s="371">
        <v>5</v>
      </c>
      <c r="F16" s="371" t="n">
        <v>164156.0</v>
      </c>
      <c r="G16" s="9">
        <f t="shared" si="1"/>
        <v>7.5369985417765503E-2</v>
      </c>
    </row>
    <row r="17" spans="1:7" x14ac:dyDescent="0.45">
      <c r="A17">
        <v>6</v>
      </c>
      <c r="B17" s="6" t="n">
        <v>235618.4631274111</v>
      </c>
      <c r="C17" s="9">
        <f t="shared" si="0"/>
        <v>0.11607164937768556</v>
      </c>
      <c r="E17" s="371">
        <v>6</v>
      </c>
      <c r="F17" s="371" t="n">
        <v>146870.0</v>
      </c>
      <c r="G17" s="9">
        <f t="shared" si="1"/>
        <v>6.6351448276868993E-2</v>
      </c>
    </row>
    <row r="18" spans="1:7" x14ac:dyDescent="0.45">
      <c r="A18">
        <v>7</v>
      </c>
      <c r="B18" s="6" t="n">
        <v>107183.5989000451</v>
      </c>
      <c r="C18" s="9">
        <f t="shared" si="0"/>
        <v>5.2801367708764986E-2</v>
      </c>
      <c r="E18" s="371">
        <v>7</v>
      </c>
      <c r="F18" s="371" t="n">
        <v>86017.0</v>
      </c>
      <c r="G18" s="9">
        <f t="shared" si="1"/>
        <v>4.156256216612797E-2</v>
      </c>
    </row>
    <row r="19" spans="1:7" x14ac:dyDescent="0.45">
      <c r="A19">
        <v>8</v>
      </c>
      <c r="B19" s="6" t="n">
        <v>82252.6269932652</v>
      </c>
      <c r="C19" s="9">
        <f t="shared" si="0"/>
        <v>4.051973667103146E-2</v>
      </c>
      <c r="E19" s="371">
        <v>8</v>
      </c>
      <c r="F19" s="371" t="n">
        <v>92397.0</v>
      </c>
      <c r="G19" s="9">
        <f t="shared" si="1"/>
        <v>4.2470529833353712E-2</v>
      </c>
    </row>
    <row r="20" spans="1:7" x14ac:dyDescent="0.45">
      <c r="A20">
        <v>9</v>
      </c>
      <c r="B20" s="6" t="n">
        <v>46588.5628611997</v>
      </c>
      <c r="C20" s="9">
        <f t="shared" si="0"/>
        <v>2.2950711339252135E-2</v>
      </c>
      <c r="E20" s="371">
        <v>9</v>
      </c>
      <c r="F20" s="371" t="n">
        <v>49130.0</v>
      </c>
      <c r="G20" s="9">
        <f t="shared" si="1"/>
        <v>2.5865671886948445E-2</v>
      </c>
    </row>
    <row r="21" spans="1:7" x14ac:dyDescent="0.45">
      <c r="A21">
        <v>10</v>
      </c>
      <c r="B21" s="6" t="n">
        <v>115326.1530039552</v>
      </c>
      <c r="C21" s="9">
        <f t="shared" si="0"/>
        <v>5.6812597017551425E-2</v>
      </c>
      <c r="E21" s="371">
        <v>10</v>
      </c>
      <c r="F21" s="371" t="n">
        <v>48580.0</v>
      </c>
      <c r="G21" s="9">
        <f t="shared" si="1"/>
        <v>2.053968868115643E-2</v>
      </c>
    </row>
    <row r="22" spans="1:7" x14ac:dyDescent="0.45">
      <c r="A22">
        <v>11</v>
      </c>
      <c r="B22" s="6" t="n">
        <v>15341.0399911743</v>
      </c>
      <c r="C22" s="9">
        <f t="shared" si="0"/>
        <v>7.5573865957259088E-3</v>
      </c>
      <c r="E22" s="371">
        <v>11</v>
      </c>
      <c r="F22" s="371" t="n">
        <v>43476.0</v>
      </c>
      <c r="G22" s="9">
        <f t="shared" si="1"/>
        <v>1.8595999102070167E-2</v>
      </c>
    </row>
    <row r="23" spans="1:7" x14ac:dyDescent="0.45">
      <c r="A23">
        <v>12</v>
      </c>
      <c r="B23" s="6" t="n">
        <v>22383.8945055376</v>
      </c>
      <c r="C23" s="9">
        <f t="shared" si="0"/>
        <v>1.102687590890921E-2</v>
      </c>
      <c r="E23" s="371">
        <v>12</v>
      </c>
      <c r="F23" s="371" t="n">
        <v>25414.0</v>
      </c>
      <c r="G23" s="9">
        <f t="shared" si="1"/>
        <v>1.4725501754795802E-2</v>
      </c>
    </row>
    <row r="24" spans="1:7" x14ac:dyDescent="0.45">
      <c r="A24">
        <v>13</v>
      </c>
      <c r="B24" s="6" t="n">
        <v>14197.5271913507</v>
      </c>
      <c r="C24" s="9">
        <f t="shared" si="0"/>
        <v>6.9940630980751886E-3</v>
      </c>
      <c r="E24" s="371">
        <v>13</v>
      </c>
      <c r="F24" s="371" t="n">
        <v>27596.0</v>
      </c>
      <c r="G24" s="9">
        <f t="shared" si="1"/>
        <v>1.2118402633927512E-2</v>
      </c>
    </row>
    <row r="25" spans="1:7" x14ac:dyDescent="0.45">
      <c r="A25">
        <v>14</v>
      </c>
      <c r="B25" s="6" t="n">
        <v>19465.1021855141</v>
      </c>
      <c r="C25" s="9">
        <f t="shared" si="0"/>
        <v>9.5890045541807481E-3</v>
      </c>
      <c r="E25" s="371">
        <v>14</v>
      </c>
      <c r="F25" s="371" t="n">
        <v>19954.0</v>
      </c>
      <c r="G25" s="9">
        <f t="shared" si="1"/>
        <v>1.050139890897875E-2</v>
      </c>
    </row>
    <row r="26" spans="1:7" x14ac:dyDescent="0.45">
      <c r="A26">
        <v>15</v>
      </c>
      <c r="B26" s="6" t="n">
        <v>18287.4398454624</v>
      </c>
      <c r="C26" s="9">
        <f t="shared" si="0"/>
        <v>9.008858124204806E-3</v>
      </c>
      <c r="E26" s="371">
        <v>15</v>
      </c>
      <c r="F26" s="371" t="n">
        <v>20906.0</v>
      </c>
      <c r="G26" s="9">
        <f t="shared" si="1"/>
        <v>1.0186119683826496E-2</v>
      </c>
    </row>
    <row r="27" spans="1:7" x14ac:dyDescent="0.45">
      <c r="A27">
        <v>16</v>
      </c>
      <c r="B27" s="6" t="n">
        <v>25028.252289859698</v>
      </c>
      <c r="C27" s="9">
        <f t="shared" si="0"/>
        <v>1.232955382937851E-2</v>
      </c>
      <c r="E27" s="371">
        <v>16</v>
      </c>
      <c r="F27" s="371" t="n">
        <v>21316.0</v>
      </c>
      <c r="G27" s="9">
        <f t="shared" si="1"/>
        <v>8.2570305898413479E-3</v>
      </c>
    </row>
    <row r="28" spans="1:7" x14ac:dyDescent="0.45">
      <c r="A28">
        <v>17</v>
      </c>
      <c r="B28" s="6" t="n">
        <v>8823.2339609629</v>
      </c>
      <c r="C28" s="9">
        <f t="shared" si="0"/>
        <v>4.3465495237543202E-3</v>
      </c>
      <c r="E28" s="371">
        <v>17</v>
      </c>
      <c r="F28" s="371" t="n">
        <v>12961.0</v>
      </c>
      <c r="G28" s="9">
        <f t="shared" si="1"/>
        <v>4.4157342127692191E-3</v>
      </c>
    </row>
    <row r="29" spans="1:7" x14ac:dyDescent="0.45">
      <c r="A29">
        <v>18</v>
      </c>
      <c r="B29" s="6" t="n">
        <v>9997.9429724638</v>
      </c>
      <c r="C29" s="9">
        <f t="shared" si="0"/>
        <v>4.9252410689496059E-3</v>
      </c>
      <c r="E29" s="371">
        <v>18</v>
      </c>
      <c r="F29" s="371" t="n">
        <v>8439.0</v>
      </c>
      <c r="G29" s="9">
        <f t="shared" si="1"/>
        <v>3.9886700235615326E-3</v>
      </c>
    </row>
    <row r="30" spans="1:7" x14ac:dyDescent="0.45">
      <c r="A30">
        <v>19</v>
      </c>
      <c r="B30" s="6" t="n">
        <v>5777.0382751024</v>
      </c>
      <c r="C30" s="9">
        <f t="shared" si="0"/>
        <v>2.8459160297066954E-3</v>
      </c>
      <c r="E30" s="371">
        <v>19</v>
      </c>
      <c r="F30" s="371" t="n">
        <v>7304.0</v>
      </c>
      <c r="G30" s="9">
        <f t="shared" si="1"/>
        <v>3.94897495469287E-3</v>
      </c>
    </row>
    <row r="31" spans="1:7" x14ac:dyDescent="0.45">
      <c r="A31">
        <v>20</v>
      </c>
      <c r="B31" s="6" t="n">
        <v>8041.7737813974</v>
      </c>
      <c r="C31" s="9">
        <f t="shared" si="0"/>
        <v>3.9615823579337841E-3</v>
      </c>
      <c r="E31" s="371">
        <v>20</v>
      </c>
      <c r="F31" s="371" t="n">
        <v>7788.0</v>
      </c>
      <c r="G31" s="9">
        <f t="shared" si="1"/>
        <v>3.0601704241623429E-3</v>
      </c>
    </row>
    <row r="32" spans="1:7" x14ac:dyDescent="0.45">
      <c r="A32">
        <v>21</v>
      </c>
      <c r="B32" s="6" t="n">
        <v>3325.8476424468</v>
      </c>
      <c r="C32" s="9">
        <f t="shared" si="0"/>
        <v>1.6383971625726849E-3</v>
      </c>
      <c r="E32" s="371">
        <v>21</v>
      </c>
      <c r="F32" s="371" t="n">
        <v>5036.0</v>
      </c>
      <c r="G32" s="9">
        <f t="shared" si="1"/>
        <v>2.3556970180334241E-3</v>
      </c>
    </row>
    <row r="33" spans="1:7" x14ac:dyDescent="0.45">
      <c r="A33">
        <v>22</v>
      </c>
      <c r="B33" s="6" t="n">
        <v>5474.0762088095</v>
      </c>
      <c r="C33" s="9">
        <f t="shared" si="0"/>
        <v>2.6966692081005594E-3</v>
      </c>
      <c r="E33" s="371">
        <v>22</v>
      </c>
      <c r="F33" s="371" t="n">
        <v>4435.0</v>
      </c>
      <c r="G33" s="9">
        <f t="shared" si="1"/>
        <v>1.828254493755555E-3</v>
      </c>
    </row>
    <row r="34" spans="1:7" x14ac:dyDescent="0.45">
      <c r="A34">
        <v>23</v>
      </c>
      <c r="B34" s="6" t="n">
        <v>2761.1998975502</v>
      </c>
      <c r="C34" s="9">
        <f t="shared" si="0"/>
        <v>1.3602373180612709E-3</v>
      </c>
      <c r="E34" s="371">
        <v>23</v>
      </c>
      <c r="F34" s="371" t="n">
        <v>3600.0</v>
      </c>
      <c r="G34" s="9">
        <f t="shared" si="1"/>
        <v>1.700956514280187E-3</v>
      </c>
    </row>
    <row r="35" spans="1:7" x14ac:dyDescent="0.45">
      <c r="A35">
        <v>24</v>
      </c>
      <c r="B35" s="6" t="n">
        <v>2493.0056068305</v>
      </c>
      <c r="C35" s="9">
        <f t="shared" si="0"/>
        <v>1.2281179872400667E-3</v>
      </c>
      <c r="E35" s="371">
        <v>24</v>
      </c>
      <c r="F35" s="371" t="n">
        <v>3742.0</v>
      </c>
      <c r="G35" s="9">
        <f t="shared" si="1"/>
        <v>1.7219447116130434E-3</v>
      </c>
    </row>
    <row r="36" spans="1:7" x14ac:dyDescent="0.45">
      <c r="A36">
        <v>25</v>
      </c>
      <c r="B36" s="6" t="n">
        <v>4345.189184787</v>
      </c>
      <c r="C36" s="9">
        <f t="shared" si="0"/>
        <v>2.1405507397082805E-3</v>
      </c>
      <c r="E36" s="371">
        <v>25</v>
      </c>
      <c r="F36" s="371" t="n">
        <v>3186.0</v>
      </c>
      <c r="G36" s="9">
        <f t="shared" si="1"/>
        <v>1.4532045327205997E-3</v>
      </c>
    </row>
    <row r="37" spans="1:7" x14ac:dyDescent="0.45">
      <c r="A37">
        <v>26</v>
      </c>
      <c r="B37" s="6" t="n">
        <v>2761.0880822100003</v>
      </c>
      <c r="C37" s="9">
        <f t="shared" si="0"/>
        <v>1.3601822349799603E-3</v>
      </c>
      <c r="E37" s="371">
        <v>26</v>
      </c>
      <c r="F37" s="371" t="n">
        <v>2039.0</v>
      </c>
      <c r="G37" s="9">
        <f t="shared" si="1"/>
        <v>1.1552633836259209E-3</v>
      </c>
    </row>
    <row r="38" spans="1:7" x14ac:dyDescent="0.45">
      <c r="A38">
        <v>27</v>
      </c>
      <c r="B38" s="6" t="n">
        <v>1627.630489631</v>
      </c>
      <c r="C38" s="9">
        <f t="shared" si="0"/>
        <v>8.0181218823552184E-4</v>
      </c>
      <c r="E38" s="371">
        <v>27</v>
      </c>
      <c r="F38" s="371" t="n">
        <v>1830.0</v>
      </c>
      <c r="G38" s="9">
        <f t="shared" si="1"/>
        <v>8.3359644624192636E-4</v>
      </c>
    </row>
    <row r="39" spans="1:7" x14ac:dyDescent="0.45">
      <c r="A39">
        <v>28</v>
      </c>
      <c r="B39" s="6" t="n">
        <v>719.280889893</v>
      </c>
      <c r="C39" s="9">
        <f t="shared" si="0"/>
        <v>3.5433606580560539E-4</v>
      </c>
      <c r="E39" s="371">
        <v>28</v>
      </c>
      <c r="F39" s="371" t="n">
        <v>1336.0</v>
      </c>
      <c r="G39" s="9">
        <f t="shared" si="1"/>
        <v>7.0675473192596827E-4</v>
      </c>
    </row>
    <row r="40" spans="1:7" x14ac:dyDescent="0.45">
      <c r="A40">
        <v>29</v>
      </c>
      <c r="B40" s="6" t="n">
        <v>433.333643768</v>
      </c>
      <c r="C40" s="9">
        <f t="shared" si="0"/>
        <v>2.134711774934021E-4</v>
      </c>
      <c r="E40" s="371">
        <v>29</v>
      </c>
      <c r="F40" s="371" t="n">
        <v>1648.0</v>
      </c>
      <c r="G40" s="9">
        <f t="shared" si="1"/>
        <v>6.6249701146320588E-4</v>
      </c>
    </row>
    <row r="41" spans="1:7" x14ac:dyDescent="0.45">
      <c r="A41">
        <v>30</v>
      </c>
      <c r="B41" s="6" t="n">
        <v>532.239404069</v>
      </c>
      <c r="C41" s="9">
        <f t="shared" si="0"/>
        <v>2.6219467130926311E-4</v>
      </c>
      <c r="E41" s="371">
        <v>30</v>
      </c>
      <c r="F41" s="371" t="n">
        <v>1144.0</v>
      </c>
      <c r="G41" s="9">
        <f t="shared" si="1"/>
        <v>5.2652999395904926E-4</v>
      </c>
    </row>
    <row r="42" spans="1:7" x14ac:dyDescent="0.45">
      <c r="A42">
        <v>31</v>
      </c>
      <c r="B42" s="6" t="n">
        <v>2253.359654918</v>
      </c>
      <c r="C42" s="9">
        <f t="shared" si="0"/>
        <v>1.1100622944222771E-3</v>
      </c>
      <c r="E42" s="371">
        <v>31</v>
      </c>
      <c r="F42" s="371" t="n">
        <v>1070.0</v>
      </c>
      <c r="G42" s="9">
        <f t="shared" si="1"/>
        <v>5.0280420566973334E-4</v>
      </c>
    </row>
    <row r="43" spans="1:7" x14ac:dyDescent="0.45">
      <c r="A43">
        <v>32</v>
      </c>
      <c r="B43" s="6" t="n">
        <v>2598.271736033</v>
      </c>
      <c r="C43" s="9">
        <f t="shared" si="0"/>
        <v>1.27997476059289E-3</v>
      </c>
      <c r="E43" s="371">
        <v>32</v>
      </c>
      <c r="F43" s="371" t="n">
        <v>913.0</v>
      </c>
      <c r="G43" s="9">
        <f t="shared" si="1"/>
        <v>4.2067647697594754E-4</v>
      </c>
    </row>
    <row r="44" spans="1:7" x14ac:dyDescent="0.45">
      <c r="A44">
        <v>33</v>
      </c>
      <c r="B44" s="6" t="n">
        <v>282.2315825548</v>
      </c>
      <c r="C44" s="9">
        <f t="shared" si="0"/>
        <v>1.3903445790619358E-4</v>
      </c>
      <c r="E44" s="371">
        <v>33</v>
      </c>
      <c r="F44" s="371" t="n">
        <v>719.0</v>
      </c>
      <c r="G44" s="9">
        <f t="shared" si="1"/>
        <v>3.5679935465855853E-4</v>
      </c>
    </row>
    <row r="45" spans="1:7" x14ac:dyDescent="0.45">
      <c r="A45">
        <v>34</v>
      </c>
      <c r="B45" s="6" t="n">
        <v>251.017759731</v>
      </c>
      <c r="C45" s="9">
        <f t="shared" si="0"/>
        <v>1.2365773466281113E-4</v>
      </c>
      <c r="E45" s="371">
        <v>34</v>
      </c>
      <c r="F45" s="371" t="n">
        <v>700.0</v>
      </c>
      <c r="G45" s="9">
        <f t="shared" si="1"/>
        <v>3.1847308126812515E-4</v>
      </c>
    </row>
    <row r="46" spans="1:7" x14ac:dyDescent="0.45">
      <c r="A46">
        <v>35</v>
      </c>
      <c r="B46" s="6" t="n">
        <v>1001.676862693</v>
      </c>
      <c r="C46" s="9">
        <f t="shared" si="0"/>
        <v>4.9345150652888687E-4</v>
      </c>
      <c r="E46" s="371">
        <v>35</v>
      </c>
      <c r="F46" s="371" t="n">
        <v>511.0</v>
      </c>
      <c r="G46" s="9">
        <f t="shared" si="1"/>
        <v>2.1581342040089281E-4</v>
      </c>
    </row>
    <row r="47" spans="1:7" x14ac:dyDescent="0.45">
      <c r="A47">
        <v>36</v>
      </c>
      <c r="B47" s="6" t="n">
        <v>636.756808327</v>
      </c>
      <c r="C47" s="9">
        <f t="shared" si="0"/>
        <v>3.136826037058863E-4</v>
      </c>
      <c r="E47" s="371">
        <v>36</v>
      </c>
      <c r="F47" s="371" t="n">
        <v>623.0</v>
      </c>
      <c r="G47" s="9">
        <f t="shared" si="1"/>
        <v>3.1117283871756639E-4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448.0</v>
      </c>
      <c r="G48" s="9">
        <f t="shared" si="1"/>
        <v>2.2265739779204165E-4</v>
      </c>
    </row>
    <row r="49" spans="1:7" x14ac:dyDescent="0.45">
      <c r="A49">
        <v>38</v>
      </c>
      <c r="B49" s="6" t="n">
        <v>650.237482382</v>
      </c>
      <c r="C49" s="9">
        <f t="shared" si="0"/>
        <v>3.2032352671131607E-4</v>
      </c>
      <c r="E49" s="371">
        <v>38</v>
      </c>
      <c r="F49" s="371" t="n">
        <v>459.0</v>
      </c>
      <c r="G49" s="9">
        <f t="shared" si="1"/>
        <v>2.2950137518319046E-4</v>
      </c>
    </row>
    <row r="50" spans="1:7" x14ac:dyDescent="0.45">
      <c r="A50">
        <v>39</v>
      </c>
      <c r="B50" s="6" t="n">
        <v>664.0014366752</v>
      </c>
      <c r="C50" s="9">
        <f t="shared" si="0"/>
        <v>3.2710400076910195E-4</v>
      </c>
      <c r="E50" s="371">
        <v>39</v>
      </c>
      <c r="F50" s="371" t="n">
        <v>325.0</v>
      </c>
      <c r="G50" s="9">
        <f t="shared" si="1"/>
        <v>2.0212546561859519E-4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317.0</v>
      </c>
      <c r="G51" s="9">
        <f t="shared" si="1"/>
        <v>1.3870460846061611E-4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211.0</v>
      </c>
      <c r="G52" s="9">
        <f t="shared" si="1"/>
        <v>1.1224122921484067E-4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177.0</v>
      </c>
      <c r="G53" s="9">
        <f t="shared" si="1"/>
        <v>9.1253031881984278E-5</v>
      </c>
    </row>
    <row r="54" spans="1:7" x14ac:dyDescent="0.45">
      <c r="A54">
        <v>43</v>
      </c>
      <c r="B54" s="6" t="n">
        <v>4.59375</v>
      </c>
      <c r="C54" s="9">
        <f t="shared" si="0"/>
        <v>2.2629981209936507E-6</v>
      </c>
      <c r="E54" s="371">
        <v>43</v>
      </c>
      <c r="F54" s="371" t="n">
        <v>159.0</v>
      </c>
      <c r="G54" s="9">
        <f t="shared" si="1"/>
        <v>6.7070978433258439E-5</v>
      </c>
    </row>
    <row r="55" spans="1:7" x14ac:dyDescent="0.45">
      <c r="A55">
        <v>44</v>
      </c>
      <c r="B55" s="6" t="n">
        <v>5084.525540346</v>
      </c>
      <c r="C55" s="9">
        <f t="shared" si="0"/>
        <v>2.5047666381381711E-3</v>
      </c>
      <c r="E55" s="371">
        <v>44</v>
      </c>
      <c r="F55" s="371" t="n">
        <v>131.0</v>
      </c>
      <c r="G55" s="9">
        <f t="shared" si="1"/>
        <v>5.7489410085650094E-5</v>
      </c>
    </row>
    <row r="56" spans="1:7" x14ac:dyDescent="0.45">
      <c r="A56">
        <v>45</v>
      </c>
      <c r="B56" s="6" t="n">
        <v>250.40304101</v>
      </c>
      <c r="C56" s="9">
        <f t="shared" si="0"/>
        <v>1.2335490858160023E-4</v>
      </c>
      <c r="E56" s="371">
        <v>45</v>
      </c>
      <c r="F56" s="371" t="n">
        <v>122.0</v>
      </c>
      <c r="G56" s="9">
        <f t="shared" si="1"/>
        <v>5.5664349448010412E-5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87.0</v>
      </c>
      <c r="G57" s="9">
        <f t="shared" si="1"/>
        <v>5.5664349448010412E-5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86.0</v>
      </c>
      <c r="G58" s="9">
        <f t="shared" si="1"/>
        <v>4.9276637216271509E-5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80.0</v>
      </c>
      <c r="G59" s="9">
        <f t="shared" si="1"/>
        <v>2.5094583767545677E-5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64.0</v>
      </c>
      <c r="G60" s="9">
        <f t="shared" si="1"/>
        <v>3.0569765680464736E-5</v>
      </c>
    </row>
    <row r="61" spans="1:7" x14ac:dyDescent="0.45">
      <c r="A61">
        <v>50</v>
      </c>
      <c r="B61" s="6" t="n">
        <v>1172.30496159</v>
      </c>
      <c r="C61" s="9">
        <f t="shared" si="0"/>
        <v>5.7750724904701034E-4</v>
      </c>
      <c r="E61" s="371">
        <v>50</v>
      </c>
      <c r="F61" s="371" t="n">
        <v>44.0</v>
      </c>
      <c r="G61" s="9">
        <f t="shared" si="1"/>
        <v>2.6919644405185362E-5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56.0</v>
      </c>
      <c r="G62" s="9">
        <f t="shared" si="1"/>
        <v>2.2813257970496069E-5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35.0</v>
      </c>
      <c r="G63" s="9">
        <f t="shared" si="1"/>
        <v>1.642554573875717E-5</v>
      </c>
    </row>
    <row r="64" spans="1:7" x14ac:dyDescent="0.45">
      <c r="A64">
        <v>53</v>
      </c>
      <c r="B64" s="6" t="n">
        <v>523.299985488</v>
      </c>
      <c r="C64" s="9">
        <f t="shared" si="0"/>
        <v>2.5779088628579013E-4</v>
      </c>
      <c r="E64" s="371">
        <v>53</v>
      </c>
      <c r="F64" s="371" t="n">
        <v>25.0</v>
      </c>
      <c r="G64" s="9">
        <f t="shared" si="1"/>
        <v>1.1862894144657957E-5</v>
      </c>
    </row>
    <row r="65" spans="1:7" x14ac:dyDescent="0.45">
      <c r="A65">
        <v>54</v>
      </c>
      <c r="B65" s="6" t="n">
        <v>1866.478794016</v>
      </c>
      <c r="C65" s="9">
        <f t="shared" si="0"/>
        <v>9.194749395880714E-4</v>
      </c>
      <c r="E65" s="371">
        <v>54</v>
      </c>
      <c r="F65" s="371" t="n">
        <v>27.0</v>
      </c>
      <c r="G65" s="9">
        <f t="shared" si="1"/>
        <v>1.7338076057577014E-5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18.0</v>
      </c>
      <c r="G66" s="9">
        <f t="shared" si="1"/>
        <v>1.0950363825838114E-5</v>
      </c>
    </row>
    <row r="67" spans="1:7" x14ac:dyDescent="0.45">
      <c r="A67">
        <v>56</v>
      </c>
      <c r="B67" s="6" t="n">
        <v>668.711535771</v>
      </c>
      <c r="C67" s="9">
        <f t="shared" si="0"/>
        <v>3.2942431541475945E-4</v>
      </c>
      <c r="E67" s="371">
        <v>56</v>
      </c>
      <c r="F67" s="371" t="n">
        <v>24.0</v>
      </c>
      <c r="G67" s="9">
        <f t="shared" si="1"/>
        <v>8.2127728693785849E-6</v>
      </c>
    </row>
    <row r="68" spans="1:7" x14ac:dyDescent="0.45">
      <c r="A68">
        <v>57</v>
      </c>
      <c r="B68" s="6" t="n">
        <v>569.501209051</v>
      </c>
      <c r="C68" s="9">
        <f t="shared" si="0"/>
        <v>2.8055078443233204E-4</v>
      </c>
      <c r="E68" s="371">
        <v>57</v>
      </c>
      <c r="F68" s="371" t="n">
        <v>16.0</v>
      </c>
      <c r="G68" s="9">
        <f t="shared" si="1"/>
        <v>6.843977391148821E-6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13.0</v>
      </c>
      <c r="G69" s="9">
        <f t="shared" si="1"/>
        <v>1.0950363825838114E-5</v>
      </c>
    </row>
    <row r="70" spans="1:7" x14ac:dyDescent="0.45">
      <c r="A70">
        <v>59</v>
      </c>
      <c r="B70" s="6" t="n">
        <v>224.682816265</v>
      </c>
      <c r="C70" s="9">
        <f t="shared" si="0"/>
        <v>1.1068447151613751E-4</v>
      </c>
      <c r="E70" s="371">
        <v>59</v>
      </c>
      <c r="F70" s="371" t="n">
        <v>13.0</v>
      </c>
      <c r="G70" s="9">
        <f t="shared" si="1"/>
        <v>5.018916753509135E-6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14.0</v>
      </c>
      <c r="G71" s="9">
        <f t="shared" si="1"/>
        <v>5.4751819129190571E-6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2.0</v>
      </c>
      <c r="G72" s="9">
        <f t="shared" si="1"/>
        <v>5.4751819129190571E-6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14.0</v>
      </c>
      <c r="G73" s="9">
        <f t="shared" si="1"/>
        <v>3.6501212752793711E-6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12.0</v>
      </c>
      <c r="G74" s="9">
        <f t="shared" si="1"/>
        <v>4.5626515940992137E-6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9.0</v>
      </c>
      <c r="G75" s="9">
        <f t="shared" si="1"/>
        <v>9.1253031881984279E-7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3.0</v>
      </c>
      <c r="G76" s="9">
        <f t="shared" si="1"/>
        <v>5.018916753509135E-6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2.0</v>
      </c>
      <c r="G77" s="9">
        <f t="shared" ref="G77:G102" si="3">F77/F$102</f>
        <v>4.5626515940992139E-7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1.0</v>
      </c>
      <c r="G78" s="9">
        <f t="shared" si="3"/>
        <v>2.2813257970496069E-6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4.0</v>
      </c>
      <c r="G79" s="9">
        <f t="shared" si="3"/>
        <v>5.018916753509135E-6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1.8250606376396856E-6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5.018916753509135E-6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1.0</v>
      </c>
      <c r="G82" s="9">
        <f t="shared" si="3"/>
        <v>2.7375909564595286E-6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1.8250606376396856E-6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1.0</v>
      </c>
      <c r="G84" s="9">
        <f t="shared" si="3"/>
        <v>0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1.0</v>
      </c>
      <c r="G85" s="9">
        <f t="shared" si="3"/>
        <v>1.8250606376396856E-6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1.3687954782297643E-6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4.5626515940992139E-7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3.0</v>
      </c>
      <c r="G88" s="9">
        <f t="shared" si="3"/>
        <v>9.1253031881984279E-7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9.1253031881984279E-7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1.0</v>
      </c>
      <c r="G90" s="9">
        <f t="shared" si="3"/>
        <v>4.5626515940992139E-7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2.0</v>
      </c>
      <c r="G92" s="9">
        <f t="shared" si="3"/>
        <v>4.5626515940992139E-7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4.5626515940992139E-7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4.5626515940992139E-7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4.5626515940992139E-7</v>
      </c>
    </row>
    <row r="100" spans="1:7" x14ac:dyDescent="0.45">
      <c r="A100">
        <v>89</v>
      </c>
      <c r="B100" s="6" t="n">
        <v>598.2158718779999</v>
      </c>
      <c r="C100" s="9">
        <f t="shared" si="2"/>
        <v>2.9469635787939967E-4</v>
      </c>
      <c r="E100" s="371">
        <v>89</v>
      </c>
      <c r="F100" s="371" t="n">
        <v>0.0</v>
      </c>
      <c r="G100" s="9">
        <f t="shared" si="3"/>
        <v>4.5626515940992139E-7</v>
      </c>
    </row>
    <row r="101" spans="1:7" ht="14.65" thickBot="1" x14ac:dyDescent="0.5">
      <c r="A101" s="1">
        <v>90</v>
      </c>
      <c r="B101" s="7" t="n">
        <v>242.68014145</v>
      </c>
      <c r="C101" s="9">
        <f t="shared" si="2"/>
        <v>1.1955041177770305E-4</v>
      </c>
      <c r="E101" s="372">
        <v>90</v>
      </c>
      <c r="F101" s="372" t="n">
        <v>0.0</v>
      </c>
      <c r="G101" s="9">
        <f t="shared" si="3"/>
        <v>4.5626515940992139E-7</v>
      </c>
    </row>
    <row r="102" spans="1:7" x14ac:dyDescent="0.45">
      <c r="B102" s="6">
        <f>SUM(B11:B101)</f>
        <v>2029939.8207113619</v>
      </c>
      <c r="C102" s="9">
        <f t="shared" si="2"/>
        <v>1</v>
      </c>
      <c r="F102" s="6">
        <f>SUM(F11:F101)</f>
        <v>2191708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1928.2538946519999</v>
      </c>
      <c r="C11" s="9">
        <f>B11/B$102</f>
        <v>9.4990692580052547E-4</v>
      </c>
      <c r="E11" s="371">
        <v>0</v>
      </c>
      <c r="F11" s="371" t="n">
        <v>22387.0</v>
      </c>
      <c r="G11" s="9">
        <f>F11/F$102</f>
        <v>1.0222620896579288E-2</v>
      </c>
      <c r="K11" s="6" t="n">
        <v>26.420330496551912</v>
      </c>
      <c r="L11" s="6" t="n">
        <v>18.604599209177657</v>
      </c>
    </row>
    <row r="12" spans="1:12" x14ac:dyDescent="0.45">
      <c r="A12">
        <v>1</v>
      </c>
      <c r="B12" s="6" t="n">
        <v>1838.9710621157</v>
      </c>
      <c r="C12" s="9">
        <f>B12/B$102</f>
        <v>9.0592393102139354E-4</v>
      </c>
      <c r="E12" s="371">
        <v>1</v>
      </c>
      <c r="F12" s="371" t="n">
        <v>73233.0</v>
      </c>
      <c r="G12" s="9">
        <f>F12/F$102</f>
        <v>3.3450167631819565E-2</v>
      </c>
      <c r="K12" s="6"/>
      <c r="L12" s="371"/>
    </row>
    <row r="13" spans="1:12" x14ac:dyDescent="0.45">
      <c r="A13">
        <v>2</v>
      </c>
      <c r="B13" s="6" t="n">
        <v>7623.5141350644</v>
      </c>
      <c r="C13" s="9">
        <f t="shared" ref="C13:C76" si="0">B13/B$102</f>
        <v>3.7555370150790246E-3</v>
      </c>
      <c r="E13" s="371">
        <v>2</v>
      </c>
      <c r="F13" s="371" t="n">
        <v>87647.0</v>
      </c>
      <c r="G13" s="9">
        <f t="shared" ref="G13:G76" si="1">F13/F$102</f>
        <v>3.9740695384604154E-2</v>
      </c>
    </row>
    <row r="14" spans="1:12" x14ac:dyDescent="0.45">
      <c r="A14">
        <v>3</v>
      </c>
      <c r="B14" s="6" t="n">
        <v>18870.8449381437</v>
      </c>
      <c r="C14" s="9">
        <f t="shared" si="0"/>
        <v>9.2962583154463617E-3</v>
      </c>
      <c r="E14" s="371">
        <v>3</v>
      </c>
      <c r="F14" s="371" t="n">
        <v>94881.0</v>
      </c>
      <c r="G14" s="9">
        <f t="shared" si="1"/>
        <v>4.3424124016520446E-2</v>
      </c>
    </row>
    <row r="15" spans="1:12" x14ac:dyDescent="0.45">
      <c r="A15">
        <v>4</v>
      </c>
      <c r="B15" s="6" t="n">
        <v>25029.602429171</v>
      </c>
      <c r="C15" s="9">
        <f t="shared" si="0"/>
        <v>1.2330218942352561E-2</v>
      </c>
      <c r="E15" s="371">
        <v>4</v>
      </c>
      <c r="F15" s="371" t="n">
        <v>90572.0</v>
      </c>
      <c r="G15" s="9">
        <f t="shared" si="1"/>
        <v>4.1330779465147731E-2</v>
      </c>
    </row>
    <row r="16" spans="1:12" x14ac:dyDescent="0.45">
      <c r="A16">
        <v>5</v>
      </c>
      <c r="B16" s="6" t="n">
        <v>53986.3758109383</v>
      </c>
      <c r="C16" s="9">
        <f t="shared" si="0"/>
        <v>2.6595062208307031E-2</v>
      </c>
      <c r="E16" s="371">
        <v>5</v>
      </c>
      <c r="F16" s="371" t="n">
        <v>85387.0</v>
      </c>
      <c r="G16" s="9">
        <f t="shared" si="1"/>
        <v>3.8458590286662271E-2</v>
      </c>
    </row>
    <row r="17" spans="1:7" x14ac:dyDescent="0.45">
      <c r="A17">
        <v>6</v>
      </c>
      <c r="B17" s="6" t="n">
        <v>24084.6150984608</v>
      </c>
      <c r="C17" s="9">
        <f t="shared" si="0"/>
        <v>1.1864694141534061E-2</v>
      </c>
      <c r="E17" s="371">
        <v>6</v>
      </c>
      <c r="F17" s="371" t="n">
        <v>79040.0</v>
      </c>
      <c r="G17" s="9">
        <f t="shared" si="1"/>
        <v>3.5885711052749729E-2</v>
      </c>
    </row>
    <row r="18" spans="1:7" x14ac:dyDescent="0.45">
      <c r="A18">
        <v>7</v>
      </c>
      <c r="B18" s="6" t="n">
        <v>39960.7998382585</v>
      </c>
      <c r="C18" s="9">
        <f t="shared" si="0"/>
        <v>1.9685706655212486E-2</v>
      </c>
      <c r="E18" s="371">
        <v>7</v>
      </c>
      <c r="F18" s="371" t="n">
        <v>73336.0</v>
      </c>
      <c r="G18" s="9">
        <f t="shared" si="1"/>
        <v>3.3450167631819565E-2</v>
      </c>
    </row>
    <row r="19" spans="1:7" x14ac:dyDescent="0.45">
      <c r="A19">
        <v>8</v>
      </c>
      <c r="B19" s="6" t="n">
        <v>16572.5700703421</v>
      </c>
      <c r="C19" s="9">
        <f t="shared" si="0"/>
        <v>8.1640696444560054E-3</v>
      </c>
      <c r="E19" s="371">
        <v>8</v>
      </c>
      <c r="F19" s="371" t="n">
        <v>65748.0</v>
      </c>
      <c r="G19" s="9">
        <f t="shared" si="1"/>
        <v>3.0154108120242294E-2</v>
      </c>
    </row>
    <row r="20" spans="1:7" x14ac:dyDescent="0.45">
      <c r="A20">
        <v>9</v>
      </c>
      <c r="B20" s="6" t="n">
        <v>41901.0024359184</v>
      </c>
      <c r="C20" s="9">
        <f t="shared" si="0"/>
        <v>2.0641499816105299E-2</v>
      </c>
      <c r="E20" s="371">
        <v>9</v>
      </c>
      <c r="F20" s="371" t="n">
        <v>60376.0</v>
      </c>
      <c r="G20" s="9">
        <f t="shared" si="1"/>
        <v>2.7312032442277895E-2</v>
      </c>
    </row>
    <row r="21" spans="1:7" x14ac:dyDescent="0.45">
      <c r="A21">
        <v>10</v>
      </c>
      <c r="B21" s="6" t="n">
        <v>14290.6902735547</v>
      </c>
      <c r="C21" s="9">
        <f t="shared" si="0"/>
        <v>7.0399576025592424E-3</v>
      </c>
      <c r="E21" s="371">
        <v>10</v>
      </c>
      <c r="F21" s="371" t="n">
        <v>55725.0</v>
      </c>
      <c r="G21" s="9">
        <f t="shared" si="1"/>
        <v>2.5606969541563017E-2</v>
      </c>
    </row>
    <row r="22" spans="1:7" x14ac:dyDescent="0.45">
      <c r="A22">
        <v>11</v>
      </c>
      <c r="B22" s="6" t="n">
        <v>19308.9802986893</v>
      </c>
      <c r="C22" s="9">
        <f t="shared" si="0"/>
        <v>9.5120949407863521E-3</v>
      </c>
      <c r="E22" s="371">
        <v>11</v>
      </c>
      <c r="F22" s="371" t="n">
        <v>48659.0</v>
      </c>
      <c r="G22" s="9">
        <f t="shared" si="1"/>
        <v>2.2042169851093304E-2</v>
      </c>
    </row>
    <row r="23" spans="1:7" x14ac:dyDescent="0.45">
      <c r="A23">
        <v>12</v>
      </c>
      <c r="B23" s="6" t="n">
        <v>43500.6364308009</v>
      </c>
      <c r="C23" s="9">
        <f t="shared" si="0"/>
        <v>2.1429520218760351E-2</v>
      </c>
      <c r="E23" s="371">
        <v>12</v>
      </c>
      <c r="F23" s="371" t="n">
        <v>44410.0</v>
      </c>
      <c r="G23" s="9">
        <f t="shared" si="1"/>
        <v>2.0351707435479545E-2</v>
      </c>
    </row>
    <row r="24" spans="1:7" x14ac:dyDescent="0.45">
      <c r="A24">
        <v>13</v>
      </c>
      <c r="B24" s="6" t="n">
        <v>52407.6470557855</v>
      </c>
      <c r="C24" s="9">
        <f t="shared" si="0"/>
        <v>2.58173402585994E-2</v>
      </c>
      <c r="E24" s="371">
        <v>13</v>
      </c>
      <c r="F24" s="371" t="n">
        <v>39125.0</v>
      </c>
      <c r="G24" s="9">
        <f t="shared" si="1"/>
        <v>1.8037986812111832E-2</v>
      </c>
    </row>
    <row r="25" spans="1:7" x14ac:dyDescent="0.45">
      <c r="A25">
        <v>14</v>
      </c>
      <c r="B25" s="6" t="n">
        <v>27859.4381014104</v>
      </c>
      <c r="C25" s="9">
        <f t="shared" si="0"/>
        <v>1.3724267989209392E-2</v>
      </c>
      <c r="E25" s="371">
        <v>14</v>
      </c>
      <c r="F25" s="371" t="n">
        <v>36038.0</v>
      </c>
      <c r="G25" s="9">
        <f t="shared" si="1"/>
        <v>1.6442883814814749E-2</v>
      </c>
    </row>
    <row r="26" spans="1:7" x14ac:dyDescent="0.45">
      <c r="A26">
        <v>15</v>
      </c>
      <c r="B26" s="6" t="n">
        <v>25657.6589039263</v>
      </c>
      <c r="C26" s="9">
        <f t="shared" si="0"/>
        <v>1.2639615540393192E-2</v>
      </c>
      <c r="E26" s="371">
        <v>15</v>
      </c>
      <c r="F26" s="371" t="n">
        <v>30937.0</v>
      </c>
      <c r="G26" s="9">
        <f t="shared" si="1"/>
        <v>1.4200340556314984E-2</v>
      </c>
    </row>
    <row r="27" spans="1:7" x14ac:dyDescent="0.45">
      <c r="A27">
        <v>16</v>
      </c>
      <c r="B27" s="6" t="n">
        <v>82814.1721389969</v>
      </c>
      <c r="C27" s="9">
        <f t="shared" si="0"/>
        <v>4.0796368096260069E-2</v>
      </c>
      <c r="E27" s="371">
        <v>16</v>
      </c>
      <c r="F27" s="371" t="n">
        <v>30841.0</v>
      </c>
      <c r="G27" s="9">
        <f t="shared" si="1"/>
        <v>1.3843997466815834E-2</v>
      </c>
    </row>
    <row r="28" spans="1:7" x14ac:dyDescent="0.45">
      <c r="A28">
        <v>17</v>
      </c>
      <c r="B28" s="6" t="n">
        <v>59076.6278002357</v>
      </c>
      <c r="C28" s="9">
        <f t="shared" si="0"/>
        <v>2.9102649840886993E-2</v>
      </c>
      <c r="E28" s="371">
        <v>17</v>
      </c>
      <c r="F28" s="371" t="n">
        <v>25638.0</v>
      </c>
      <c r="G28" s="9">
        <f t="shared" si="1"/>
        <v>1.2047225269059565E-2</v>
      </c>
    </row>
    <row r="29" spans="1:7" x14ac:dyDescent="0.45">
      <c r="A29">
        <v>18</v>
      </c>
      <c r="B29" s="6" t="n">
        <v>181156.8419824206</v>
      </c>
      <c r="C29" s="9">
        <f t="shared" si="0"/>
        <v>8.9242469226963037E-2</v>
      </c>
      <c r="E29" s="371">
        <v>18</v>
      </c>
      <c r="F29" s="371" t="n">
        <v>198784.0</v>
      </c>
      <c r="G29" s="9">
        <f t="shared" si="1"/>
        <v>9.1274476344476552E-2</v>
      </c>
    </row>
    <row r="30" spans="1:7" x14ac:dyDescent="0.45">
      <c r="A30">
        <v>19</v>
      </c>
      <c r="B30" s="6" t="n">
        <v>90493.5241566084</v>
      </c>
      <c r="C30" s="9">
        <f t="shared" si="0"/>
        <v>4.4579412272870385E-2</v>
      </c>
      <c r="E30" s="371">
        <v>19</v>
      </c>
      <c r="F30" s="371" t="n">
        <v>79012.0</v>
      </c>
      <c r="G30" s="9">
        <f t="shared" si="1"/>
        <v>3.5355074672355991E-2</v>
      </c>
    </row>
    <row r="31" spans="1:7" x14ac:dyDescent="0.45">
      <c r="A31">
        <v>20</v>
      </c>
      <c r="B31" s="6" t="n">
        <v>146330.04576865849</v>
      </c>
      <c r="C31" s="9">
        <f t="shared" si="0"/>
        <v>7.2085903372928223E-2</v>
      </c>
      <c r="E31" s="371">
        <v>20</v>
      </c>
      <c r="F31" s="371" t="n">
        <v>74228.0</v>
      </c>
      <c r="G31" s="9">
        <f t="shared" si="1"/>
        <v>3.393974014786641E-2</v>
      </c>
    </row>
    <row r="32" spans="1:7" x14ac:dyDescent="0.45">
      <c r="A32">
        <v>21</v>
      </c>
      <c r="B32" s="6" t="n">
        <v>133058.12729116261</v>
      </c>
      <c r="C32" s="9">
        <f t="shared" si="0"/>
        <v>6.5547818675991285E-2</v>
      </c>
      <c r="E32" s="371">
        <v>21</v>
      </c>
      <c r="F32" s="371" t="n">
        <v>81294.0</v>
      </c>
      <c r="G32" s="9">
        <f t="shared" si="1"/>
        <v>3.7060593838230273E-2</v>
      </c>
    </row>
    <row r="33" spans="1:7" x14ac:dyDescent="0.45">
      <c r="A33">
        <v>22</v>
      </c>
      <c r="B33" s="6" t="n">
        <v>83422.5215521091</v>
      </c>
      <c r="C33" s="9">
        <f t="shared" si="0"/>
        <v>4.1096056494361946E-2</v>
      </c>
      <c r="E33" s="371">
        <v>22</v>
      </c>
      <c r="F33" s="371" t="n">
        <v>79630.0</v>
      </c>
      <c r="G33" s="9">
        <f t="shared" si="1"/>
        <v>3.5958257213095902E-2</v>
      </c>
    </row>
    <row r="34" spans="1:7" x14ac:dyDescent="0.45">
      <c r="A34">
        <v>23</v>
      </c>
      <c r="B34" s="6" t="n">
        <v>64787.7067685242</v>
      </c>
      <c r="C34" s="9">
        <f t="shared" si="0"/>
        <v>3.1916072637966336E-2</v>
      </c>
      <c r="E34" s="371">
        <v>23</v>
      </c>
      <c r="F34" s="371" t="n">
        <v>67811.0</v>
      </c>
      <c r="G34" s="9">
        <f t="shared" si="1"/>
        <v>3.2088216130980951E-2</v>
      </c>
    </row>
    <row r="35" spans="1:7" x14ac:dyDescent="0.45">
      <c r="A35">
        <v>24</v>
      </c>
      <c r="B35" s="6" t="n">
        <v>78852.7448294897</v>
      </c>
      <c r="C35" s="9">
        <f t="shared" si="0"/>
        <v>3.8844868219717436E-2</v>
      </c>
      <c r="E35" s="371">
        <v>24</v>
      </c>
      <c r="F35" s="371" t="n">
        <v>44088.0</v>
      </c>
      <c r="G35" s="9">
        <f t="shared" si="1"/>
        <v>2.077329644277431E-2</v>
      </c>
    </row>
    <row r="36" spans="1:7" x14ac:dyDescent="0.45">
      <c r="A36">
        <v>25</v>
      </c>
      <c r="B36" s="6" t="n">
        <v>31363.9415121713</v>
      </c>
      <c r="C36" s="9">
        <f t="shared" si="0"/>
        <v>1.5450675528489447E-2</v>
      </c>
      <c r="E36" s="371">
        <v>25</v>
      </c>
      <c r="F36" s="371" t="n">
        <v>44720.0</v>
      </c>
      <c r="G36" s="9">
        <f t="shared" si="1"/>
        <v>2.0027759172298501E-2</v>
      </c>
    </row>
    <row r="37" spans="1:7" x14ac:dyDescent="0.45">
      <c r="A37">
        <v>26</v>
      </c>
      <c r="B37" s="6" t="n">
        <v>121371.7756253273</v>
      </c>
      <c r="C37" s="9">
        <f t="shared" si="0"/>
        <v>5.9790824529366772E-2</v>
      </c>
      <c r="E37" s="371">
        <v>26</v>
      </c>
      <c r="F37" s="371" t="n">
        <v>49894.0</v>
      </c>
      <c r="G37" s="9">
        <f t="shared" si="1"/>
        <v>2.3738107448619979E-2</v>
      </c>
    </row>
    <row r="38" spans="1:7" x14ac:dyDescent="0.45">
      <c r="A38">
        <v>27</v>
      </c>
      <c r="B38" s="6" t="n">
        <v>17466.8171904011</v>
      </c>
      <c r="C38" s="9">
        <f t="shared" si="0"/>
        <v>8.6045985266105639E-3</v>
      </c>
      <c r="E38" s="371">
        <v>27</v>
      </c>
      <c r="F38" s="371" t="n">
        <v>37032.0</v>
      </c>
      <c r="G38" s="9">
        <f t="shared" si="1"/>
        <v>1.508777629136728E-2</v>
      </c>
    </row>
    <row r="39" spans="1:7" x14ac:dyDescent="0.45">
      <c r="A39">
        <v>28</v>
      </c>
      <c r="B39" s="6" t="n">
        <v>35901.7130316506</v>
      </c>
      <c r="C39" s="9">
        <f t="shared" si="0"/>
        <v>1.7686097225813019E-2</v>
      </c>
      <c r="E39" s="371">
        <v>28</v>
      </c>
      <c r="F39" s="371" t="n">
        <v>31210.0</v>
      </c>
      <c r="G39" s="9">
        <f t="shared" si="1"/>
        <v>1.9185037422868374E-2</v>
      </c>
    </row>
    <row r="40" spans="1:7" x14ac:dyDescent="0.45">
      <c r="A40">
        <v>29</v>
      </c>
      <c r="B40" s="6" t="n">
        <v>18995.8431028642</v>
      </c>
      <c r="C40" s="9">
        <f t="shared" si="0"/>
        <v>9.3578355915040819E-3</v>
      </c>
      <c r="E40" s="371">
        <v>29</v>
      </c>
      <c r="F40" s="371" t="n">
        <v>32257.0</v>
      </c>
      <c r="G40" s="9">
        <f t="shared" si="1"/>
        <v>1.2626225756350754E-2</v>
      </c>
    </row>
    <row r="41" spans="1:7" x14ac:dyDescent="0.45">
      <c r="A41">
        <v>30</v>
      </c>
      <c r="B41" s="6" t="n">
        <v>19495.6622964483</v>
      </c>
      <c r="C41" s="9">
        <f t="shared" si="0"/>
        <v>9.6040592423160282E-3</v>
      </c>
      <c r="E41" s="371">
        <v>30</v>
      </c>
      <c r="F41" s="371" t="n">
        <v>29654.0</v>
      </c>
      <c r="G41" s="9">
        <f t="shared" si="1"/>
        <v>1.4047947993072071E-2</v>
      </c>
    </row>
    <row r="42" spans="1:7" x14ac:dyDescent="0.45">
      <c r="A42">
        <v>31</v>
      </c>
      <c r="B42" s="6" t="n">
        <v>11200.6386329483</v>
      </c>
      <c r="C42" s="9">
        <f t="shared" si="0"/>
        <v>5.5177195494510783E-3</v>
      </c>
      <c r="E42" s="371">
        <v>31</v>
      </c>
      <c r="F42" s="371" t="n">
        <v>29225.0</v>
      </c>
      <c r="G42" s="9">
        <f t="shared" si="1"/>
        <v>9.6335825757810807E-3</v>
      </c>
    </row>
    <row r="43" spans="1:7" x14ac:dyDescent="0.45">
      <c r="A43">
        <v>32</v>
      </c>
      <c r="B43" s="6" t="n">
        <v>26368.5448227949</v>
      </c>
      <c r="C43" s="9">
        <f t="shared" si="0"/>
        <v>1.2989816029893159E-2</v>
      </c>
      <c r="E43" s="371">
        <v>32</v>
      </c>
      <c r="F43" s="371" t="n">
        <v>23008.0</v>
      </c>
      <c r="G43" s="9">
        <f t="shared" si="1"/>
        <v>9.3429416692369597E-3</v>
      </c>
    </row>
    <row r="44" spans="1:7" x14ac:dyDescent="0.45">
      <c r="A44">
        <v>33</v>
      </c>
      <c r="B44" s="6" t="n">
        <v>11368.8734499698</v>
      </c>
      <c r="C44" s="9">
        <f t="shared" si="0"/>
        <v>5.6005963004291167E-3</v>
      </c>
      <c r="E44" s="371">
        <v>33</v>
      </c>
      <c r="F44" s="371" t="n">
        <v>30447.0</v>
      </c>
      <c r="G44" s="9">
        <f t="shared" si="1"/>
        <v>1.8538509691984516E-2</v>
      </c>
    </row>
    <row r="45" spans="1:7" x14ac:dyDescent="0.45">
      <c r="A45">
        <v>34</v>
      </c>
      <c r="B45" s="6" t="n">
        <v>23643.2902777245</v>
      </c>
      <c r="C45" s="9">
        <f t="shared" si="0"/>
        <v>1.1647286306960105E-2</v>
      </c>
      <c r="E45" s="371">
        <v>34</v>
      </c>
      <c r="F45" s="371" t="n">
        <v>26438.0</v>
      </c>
      <c r="G45" s="9">
        <f t="shared" si="1"/>
        <v>1.4256004905762993E-2</v>
      </c>
    </row>
    <row r="46" spans="1:7" x14ac:dyDescent="0.45">
      <c r="A46">
        <v>35</v>
      </c>
      <c r="B46" s="6" t="n">
        <v>17759.4390997597</v>
      </c>
      <c r="C46" s="9">
        <f t="shared" si="0"/>
        <v>8.7487515238437799E-3</v>
      </c>
      <c r="E46" s="371">
        <v>35</v>
      </c>
      <c r="F46" s="371" t="n">
        <v>16628.0</v>
      </c>
      <c r="G46" s="9">
        <f t="shared" si="1"/>
        <v>7.1971266245321004E-3</v>
      </c>
    </row>
    <row r="47" spans="1:7" x14ac:dyDescent="0.45">
      <c r="A47">
        <v>36</v>
      </c>
      <c r="B47" s="6" t="n">
        <v>8793.5905390019</v>
      </c>
      <c r="C47" s="9">
        <f t="shared" si="0"/>
        <v>4.3319464199289993E-3</v>
      </c>
      <c r="E47" s="371">
        <v>36</v>
      </c>
      <c r="F47" s="371" t="n">
        <v>9615.0</v>
      </c>
      <c r="G47" s="9">
        <f t="shared" si="1"/>
        <v>4.6552734214594278E-3</v>
      </c>
    </row>
    <row r="48" spans="1:7" x14ac:dyDescent="0.45">
      <c r="A48">
        <v>37</v>
      </c>
      <c r="B48" s="6" t="n">
        <v>26363.6880420618</v>
      </c>
      <c r="C48" s="9">
        <f t="shared" si="0"/>
        <v>1.2987423456141196E-2</v>
      </c>
      <c r="E48" s="371">
        <v>37</v>
      </c>
      <c r="F48" s="371" t="n">
        <v>8717.0</v>
      </c>
      <c r="G48" s="9">
        <f t="shared" si="1"/>
        <v>5.406285873848159E-3</v>
      </c>
    </row>
    <row r="49" spans="1:7" x14ac:dyDescent="0.45">
      <c r="A49">
        <v>38</v>
      </c>
      <c r="B49" s="6" t="n">
        <v>17597.9342190206</v>
      </c>
      <c r="C49" s="9">
        <f t="shared" si="0"/>
        <v>8.6691901106968113E-3</v>
      </c>
      <c r="E49" s="371">
        <v>38</v>
      </c>
      <c r="F49" s="371" t="n">
        <v>12103.0</v>
      </c>
      <c r="G49" s="9">
        <f t="shared" si="1"/>
        <v>3.8298897480868802E-3</v>
      </c>
    </row>
    <row r="50" spans="1:7" x14ac:dyDescent="0.45">
      <c r="A50">
        <v>39</v>
      </c>
      <c r="B50" s="6" t="n">
        <v>3866.5482941869</v>
      </c>
      <c r="C50" s="9">
        <f t="shared" si="0"/>
        <v>1.904760059749912E-3</v>
      </c>
      <c r="E50" s="371">
        <v>39</v>
      </c>
      <c r="F50" s="371" t="n">
        <v>8643.0</v>
      </c>
      <c r="G50" s="9">
        <f t="shared" si="1"/>
        <v>4.6808242703863835E-3</v>
      </c>
    </row>
    <row r="51" spans="1:7" x14ac:dyDescent="0.45">
      <c r="A51">
        <v>40</v>
      </c>
      <c r="B51" s="6" t="n">
        <v>6005.4311671088</v>
      </c>
      <c r="C51" s="9">
        <f t="shared" si="0"/>
        <v>2.9584281789222133E-3</v>
      </c>
      <c r="E51" s="371">
        <v>40</v>
      </c>
      <c r="F51" s="371" t="n">
        <v>7566.0</v>
      </c>
      <c r="G51" s="9">
        <f t="shared" si="1"/>
        <v>3.2737025187661861E-3</v>
      </c>
    </row>
    <row r="52" spans="1:7" x14ac:dyDescent="0.45">
      <c r="A52">
        <v>41</v>
      </c>
      <c r="B52" s="6" t="n">
        <v>6949.9674741894005</v>
      </c>
      <c r="C52" s="9">
        <f t="shared" si="0"/>
        <v>3.4237307940261441E-3</v>
      </c>
      <c r="E52" s="371">
        <v>41</v>
      </c>
      <c r="F52" s="371" t="n">
        <v>11505.0</v>
      </c>
      <c r="G52" s="9">
        <f t="shared" si="1"/>
        <v>4.3062305745108385E-3</v>
      </c>
    </row>
    <row r="53" spans="1:7" x14ac:dyDescent="0.45">
      <c r="A53">
        <v>42</v>
      </c>
      <c r="B53" s="6" t="n">
        <v>2822.718397943</v>
      </c>
      <c r="C53" s="9">
        <f t="shared" si="0"/>
        <v>1.3905428964656797E-3</v>
      </c>
      <c r="E53" s="371">
        <v>42</v>
      </c>
      <c r="F53" s="371" t="n">
        <v>7304.0</v>
      </c>
      <c r="G53" s="9">
        <f t="shared" si="1"/>
        <v>2.7759172298499617E-3</v>
      </c>
    </row>
    <row r="54" spans="1:7" x14ac:dyDescent="0.45">
      <c r="A54">
        <v>43</v>
      </c>
      <c r="B54" s="6" t="n">
        <v>2693.4751585069</v>
      </c>
      <c r="C54" s="9">
        <f t="shared" si="0"/>
        <v>1.3268743886028166E-3</v>
      </c>
      <c r="E54" s="371">
        <v>43</v>
      </c>
      <c r="F54" s="371" t="n">
        <v>5562.0</v>
      </c>
      <c r="G54" s="9">
        <f t="shared" si="1"/>
        <v>2.8717329133260451E-3</v>
      </c>
    </row>
    <row r="55" spans="1:7" x14ac:dyDescent="0.45">
      <c r="A55">
        <v>44</v>
      </c>
      <c r="B55" s="6" t="n">
        <v>3335.7432707195</v>
      </c>
      <c r="C55" s="9">
        <f t="shared" si="0"/>
        <v>1.6432720008175111E-3</v>
      </c>
      <c r="E55" s="371">
        <v>44</v>
      </c>
      <c r="F55" s="371" t="n">
        <v>5046.0</v>
      </c>
      <c r="G55" s="9">
        <f t="shared" si="1"/>
        <v>2.6691511825480403E-3</v>
      </c>
    </row>
    <row r="56" spans="1:7" x14ac:dyDescent="0.45">
      <c r="A56">
        <v>45</v>
      </c>
      <c r="B56" s="6" t="n">
        <v>100623.4744096711</v>
      </c>
      <c r="C56" s="9">
        <f t="shared" si="0"/>
        <v>4.9569683486680456E-2</v>
      </c>
      <c r="E56" s="371">
        <v>45</v>
      </c>
      <c r="F56" s="371" t="n">
        <v>5912.0</v>
      </c>
      <c r="G56" s="9">
        <f t="shared" si="1"/>
        <v>3.1318040541897007E-3</v>
      </c>
    </row>
    <row r="57" spans="1:7" x14ac:dyDescent="0.45">
      <c r="A57">
        <v>46</v>
      </c>
      <c r="B57" s="6" t="n">
        <v>9429.771808621499</v>
      </c>
      <c r="C57" s="9">
        <f t="shared" si="0"/>
        <v>4.6453454986251641E-3</v>
      </c>
      <c r="E57" s="371">
        <v>46</v>
      </c>
      <c r="F57" s="371" t="n">
        <v>3848.0</v>
      </c>
      <c r="G57" s="9">
        <f t="shared" si="1"/>
        <v>2.5327278998844736E-3</v>
      </c>
    </row>
    <row r="58" spans="1:7" x14ac:dyDescent="0.45">
      <c r="A58">
        <v>47</v>
      </c>
      <c r="B58" s="6" t="n">
        <v>2893.2146146180003</v>
      </c>
      <c r="C58" s="9">
        <f t="shared" si="0"/>
        <v>1.4252711263155163E-3</v>
      </c>
      <c r="E58" s="371">
        <v>47</v>
      </c>
      <c r="F58" s="371" t="n">
        <v>3431.0</v>
      </c>
      <c r="G58" s="9">
        <f t="shared" si="1"/>
        <v>1.8277982285961451E-3</v>
      </c>
    </row>
    <row r="59" spans="1:7" x14ac:dyDescent="0.45">
      <c r="A59">
        <v>48</v>
      </c>
      <c r="B59" s="6" t="n">
        <v>1856.3849775777</v>
      </c>
      <c r="C59" s="9">
        <f t="shared" si="0"/>
        <v>9.1450246881070475E-4</v>
      </c>
      <c r="E59" s="371">
        <v>48</v>
      </c>
      <c r="F59" s="371" t="n">
        <v>8978.0</v>
      </c>
      <c r="G59" s="9">
        <f t="shared" si="1"/>
        <v>1.7488643560182287E-3</v>
      </c>
    </row>
    <row r="60" spans="1:7" x14ac:dyDescent="0.45">
      <c r="A60">
        <v>49</v>
      </c>
      <c r="B60" s="6" t="n">
        <v>3974.9595683289</v>
      </c>
      <c r="C60" s="9">
        <f t="shared" si="0"/>
        <v>1.9581662115165238E-3</v>
      </c>
      <c r="E60" s="371">
        <v>49</v>
      </c>
      <c r="F60" s="371" t="n">
        <v>3540.0</v>
      </c>
      <c r="G60" s="9">
        <f t="shared" si="1"/>
        <v>3.9996203873873711E-3</v>
      </c>
    </row>
    <row r="61" spans="1:7" x14ac:dyDescent="0.45">
      <c r="A61">
        <v>50</v>
      </c>
      <c r="B61" s="6" t="n">
        <v>1058.475504325</v>
      </c>
      <c r="C61" s="9">
        <f t="shared" si="0"/>
        <v>5.2143196242836057E-4</v>
      </c>
      <c r="E61" s="371">
        <v>50</v>
      </c>
      <c r="F61" s="371" t="n">
        <v>4248.0</v>
      </c>
      <c r="G61" s="9">
        <f t="shared" si="1"/>
        <v>1.8542616078419205E-3</v>
      </c>
    </row>
    <row r="62" spans="1:7" x14ac:dyDescent="0.45">
      <c r="A62">
        <v>51</v>
      </c>
      <c r="B62" s="6" t="n">
        <v>814.0671532819</v>
      </c>
      <c r="C62" s="9">
        <f t="shared" si="0"/>
        <v>4.010301906371896E-4</v>
      </c>
      <c r="E62" s="371">
        <v>51</v>
      </c>
      <c r="F62" s="371" t="n">
        <v>2565.0</v>
      </c>
      <c r="G62" s="9">
        <f t="shared" si="1"/>
        <v>1.4490981462859103E-3</v>
      </c>
    </row>
    <row r="63" spans="1:7" x14ac:dyDescent="0.45">
      <c r="A63">
        <v>52</v>
      </c>
      <c r="B63" s="6" t="n">
        <v>12823.199834345</v>
      </c>
      <c r="C63" s="9">
        <f t="shared" si="0"/>
        <v>6.3170344773330767E-3</v>
      </c>
      <c r="E63" s="371">
        <v>52</v>
      </c>
      <c r="F63" s="371" t="n">
        <v>2435.0</v>
      </c>
      <c r="G63" s="9">
        <f t="shared" si="1"/>
        <v>1.1338189211336546E-3</v>
      </c>
    </row>
    <row r="64" spans="1:7" x14ac:dyDescent="0.45">
      <c r="A64">
        <v>53</v>
      </c>
      <c r="B64" s="6" t="n">
        <v>1475.37451594</v>
      </c>
      <c r="C64" s="9">
        <f t="shared" si="0"/>
        <v>7.2680702200471001E-4</v>
      </c>
      <c r="E64" s="371">
        <v>53</v>
      </c>
      <c r="F64" s="371" t="n">
        <v>3342.0</v>
      </c>
      <c r="G64" s="9">
        <f t="shared" si="1"/>
        <v>9.4994406189145635E-4</v>
      </c>
    </row>
    <row r="65" spans="1:7" x14ac:dyDescent="0.45">
      <c r="A65">
        <v>54</v>
      </c>
      <c r="B65" s="6" t="n">
        <v>5816.0031152033</v>
      </c>
      <c r="C65" s="9">
        <f t="shared" si="0"/>
        <v>2.8651111012567695E-3</v>
      </c>
      <c r="E65" s="371">
        <v>54</v>
      </c>
      <c r="F65" s="371" t="n">
        <v>2649.0</v>
      </c>
      <c r="G65" s="9">
        <f t="shared" si="1"/>
        <v>1.0024145552235972E-3</v>
      </c>
    </row>
    <row r="66" spans="1:7" x14ac:dyDescent="0.45">
      <c r="A66">
        <v>55</v>
      </c>
      <c r="B66" s="6" t="n">
        <v>662.957073809</v>
      </c>
      <c r="C66" s="9">
        <f t="shared" si="0"/>
        <v>3.2658952105125787E-4</v>
      </c>
      <c r="E66" s="371">
        <v>55</v>
      </c>
      <c r="F66" s="371" t="n">
        <v>3565.0</v>
      </c>
      <c r="G66" s="9">
        <f t="shared" si="1"/>
        <v>1.2173154453056702E-3</v>
      </c>
    </row>
    <row r="67" spans="1:7" x14ac:dyDescent="0.45">
      <c r="A67">
        <v>56</v>
      </c>
      <c r="B67" s="6" t="n">
        <v>106.37362877</v>
      </c>
      <c r="C67" s="9">
        <f t="shared" si="0"/>
        <v>5.240235581600786E-5</v>
      </c>
      <c r="E67" s="371">
        <v>56</v>
      </c>
      <c r="F67" s="371" t="n">
        <v>2370.0</v>
      </c>
      <c r="G67" s="9">
        <f t="shared" si="1"/>
        <v>1.0311592602664224E-3</v>
      </c>
    </row>
    <row r="68" spans="1:7" x14ac:dyDescent="0.45">
      <c r="A68">
        <v>57</v>
      </c>
      <c r="B68" s="6" t="n">
        <v>1576.926795032</v>
      </c>
      <c r="C68" s="9">
        <f t="shared" si="0"/>
        <v>7.768342583079086E-4</v>
      </c>
      <c r="E68" s="371">
        <v>57</v>
      </c>
      <c r="F68" s="371" t="n">
        <v>1549.0</v>
      </c>
      <c r="G68" s="9">
        <f t="shared" si="1"/>
        <v>6.7435990560786379E-4</v>
      </c>
    </row>
    <row r="69" spans="1:7" x14ac:dyDescent="0.45">
      <c r="A69">
        <v>58</v>
      </c>
      <c r="B69" s="6" t="n">
        <v>4885.84852718</v>
      </c>
      <c r="C69" s="9">
        <f t="shared" si="0"/>
        <v>2.4068932868501623E-3</v>
      </c>
      <c r="E69" s="371">
        <v>58</v>
      </c>
      <c r="F69" s="371" t="n">
        <v>1644.0</v>
      </c>
      <c r="G69" s="9">
        <f t="shared" si="1"/>
        <v>8.0941439279320058E-4</v>
      </c>
    </row>
    <row r="70" spans="1:7" x14ac:dyDescent="0.45">
      <c r="A70">
        <v>59</v>
      </c>
      <c r="B70" s="6" t="n">
        <v>1504.4063101476</v>
      </c>
      <c r="C70" s="9">
        <f t="shared" si="0"/>
        <v>7.4110882243809731E-4</v>
      </c>
      <c r="E70" s="371">
        <v>59</v>
      </c>
      <c r="F70" s="371" t="n">
        <v>1213.0</v>
      </c>
      <c r="G70" s="9">
        <f t="shared" si="1"/>
        <v>6.7709749656432339E-4</v>
      </c>
    </row>
    <row r="71" spans="1:7" x14ac:dyDescent="0.45">
      <c r="A71">
        <v>60</v>
      </c>
      <c r="B71" s="6" t="n">
        <v>6053.1094642147</v>
      </c>
      <c r="C71" s="9">
        <f t="shared" si="0"/>
        <v>2.981915721074666E-3</v>
      </c>
      <c r="E71" s="371">
        <v>60</v>
      </c>
      <c r="F71" s="371" t="n">
        <v>3117.0</v>
      </c>
      <c r="G71" s="9">
        <f t="shared" si="1"/>
        <v>6.1595796520339387E-4</v>
      </c>
    </row>
    <row r="72" spans="1:7" x14ac:dyDescent="0.45">
      <c r="A72">
        <v>61</v>
      </c>
      <c r="B72" s="6" t="n">
        <v>6516.230696508</v>
      </c>
      <c r="C72" s="9">
        <f t="shared" si="0"/>
        <v>3.2100610225107478E-3</v>
      </c>
      <c r="E72" s="371">
        <v>61</v>
      </c>
      <c r="F72" s="371" t="n">
        <v>1154.0</v>
      </c>
      <c r="G72" s="9">
        <f t="shared" si="1"/>
        <v>5.0052287987268382E-4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1013.0</v>
      </c>
      <c r="G73" s="9">
        <f t="shared" si="1"/>
        <v>5.6257494155243306E-4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970.0</v>
      </c>
      <c r="G74" s="9">
        <f t="shared" si="1"/>
        <v>4.3847081819293446E-4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905.0</v>
      </c>
      <c r="G75" s="9">
        <f t="shared" si="1"/>
        <v>4.3345190143942534E-4</v>
      </c>
    </row>
    <row r="76" spans="1:7" x14ac:dyDescent="0.45">
      <c r="A76">
        <v>65</v>
      </c>
      <c r="B76" s="6" t="n">
        <v>6039.223909766</v>
      </c>
      <c r="C76" s="9">
        <f t="shared" si="0"/>
        <v>2.9750753436866145E-3</v>
      </c>
      <c r="E76" s="371">
        <v>65</v>
      </c>
      <c r="F76" s="371" t="n">
        <v>765.0</v>
      </c>
      <c r="G76" s="9">
        <f t="shared" si="1"/>
        <v>3.8965044613607287E-4</v>
      </c>
    </row>
    <row r="77" spans="1:7" x14ac:dyDescent="0.45">
      <c r="A77">
        <v>66</v>
      </c>
      <c r="B77" s="6" t="n">
        <v>1262.824399592</v>
      </c>
      <c r="C77" s="9">
        <f t="shared" ref="C77:C102" si="2">B77/B$102</f>
        <v>6.220994271394026E-4</v>
      </c>
      <c r="E77" s="371">
        <v>66</v>
      </c>
      <c r="F77" s="371" t="n">
        <v>849.0</v>
      </c>
      <c r="G77" s="9">
        <f t="shared" ref="G77:G102" si="3">F77/F$102</f>
        <v>4.1109490862833916E-4</v>
      </c>
    </row>
    <row r="78" spans="1:7" x14ac:dyDescent="0.45">
      <c r="A78">
        <v>67</v>
      </c>
      <c r="B78" s="6" t="n">
        <v>2362.394573078</v>
      </c>
      <c r="C78" s="9">
        <f t="shared" si="2"/>
        <v>1.1637756690984732E-3</v>
      </c>
      <c r="E78" s="371">
        <v>67</v>
      </c>
      <c r="F78" s="371" t="n">
        <v>950.0</v>
      </c>
      <c r="G78" s="9">
        <f t="shared" si="3"/>
        <v>3.6820598364380657E-4</v>
      </c>
    </row>
    <row r="79" spans="1:7" x14ac:dyDescent="0.45">
      <c r="A79">
        <v>68</v>
      </c>
      <c r="B79" s="6" t="n">
        <v>385.51800510500004</v>
      </c>
      <c r="C79" s="9">
        <f t="shared" si="2"/>
        <v>1.8991597739577375E-4</v>
      </c>
      <c r="E79" s="371">
        <v>68</v>
      </c>
      <c r="F79" s="371" t="n">
        <v>770.0</v>
      </c>
      <c r="G79" s="9">
        <f t="shared" si="3"/>
        <v>3.2805464961573348E-4</v>
      </c>
    </row>
    <row r="80" spans="1:7" x14ac:dyDescent="0.45">
      <c r="A80">
        <v>69</v>
      </c>
      <c r="B80" s="6" t="n">
        <v>2700.8750317959</v>
      </c>
      <c r="C80" s="9">
        <f t="shared" si="2"/>
        <v>1.3305197544474096E-3</v>
      </c>
      <c r="E80" s="371">
        <v>69</v>
      </c>
      <c r="F80" s="371" t="n">
        <v>774.0</v>
      </c>
      <c r="G80" s="9">
        <f t="shared" si="3"/>
        <v>3.0250380068877789E-4</v>
      </c>
    </row>
    <row r="81" spans="1:7" x14ac:dyDescent="0.45">
      <c r="A81">
        <v>70</v>
      </c>
      <c r="B81" s="6" t="n">
        <v>3317.574433313</v>
      </c>
      <c r="C81" s="9">
        <f t="shared" si="2"/>
        <v>1.6343215692721401E-3</v>
      </c>
      <c r="E81" s="371">
        <v>70</v>
      </c>
      <c r="F81" s="371" t="n">
        <v>635.0</v>
      </c>
      <c r="G81" s="9">
        <f t="shared" si="3"/>
        <v>3.1162910387697631E-4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632.0</v>
      </c>
      <c r="G82" s="9">
        <f t="shared" si="3"/>
        <v>3.4083007407921127E-4</v>
      </c>
    </row>
    <row r="83" spans="1:7" x14ac:dyDescent="0.45">
      <c r="A83">
        <v>72</v>
      </c>
      <c r="B83" s="6" t="n">
        <v>10258.7789274218</v>
      </c>
      <c r="C83" s="9">
        <f t="shared" si="2"/>
        <v>5.0537354963689331E-3</v>
      </c>
      <c r="E83" s="371">
        <v>72</v>
      </c>
      <c r="F83" s="371" t="n">
        <v>624.0</v>
      </c>
      <c r="G83" s="9">
        <f t="shared" si="3"/>
        <v>2.9155343686293976E-4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560.0</v>
      </c>
      <c r="G84" s="9">
        <f t="shared" si="3"/>
        <v>2.3360776161787975E-4</v>
      </c>
    </row>
    <row r="85" spans="1:7" x14ac:dyDescent="0.45">
      <c r="A85">
        <v>74</v>
      </c>
      <c r="B85" s="6" t="n">
        <v>3967.364534988</v>
      </c>
      <c r="C85" s="9">
        <f t="shared" si="2"/>
        <v>1.9544247048652388E-3</v>
      </c>
      <c r="E85" s="371">
        <v>74</v>
      </c>
      <c r="F85" s="371" t="n">
        <v>491.0</v>
      </c>
      <c r="G85" s="9">
        <f t="shared" si="3"/>
        <v>2.2493872358909125E-4</v>
      </c>
    </row>
    <row r="86" spans="1:7" x14ac:dyDescent="0.45">
      <c r="A86">
        <v>75</v>
      </c>
      <c r="B86" s="6" t="n">
        <v>5834.957319452</v>
      </c>
      <c r="C86" s="9">
        <f t="shared" si="2"/>
        <v>2.8744484244893655E-3</v>
      </c>
      <c r="E86" s="371">
        <v>75</v>
      </c>
      <c r="F86" s="371" t="n">
        <v>503.0</v>
      </c>
      <c r="G86" s="9">
        <f t="shared" si="3"/>
        <v>2.2174486747322179E-4</v>
      </c>
    </row>
    <row r="87" spans="1:7" x14ac:dyDescent="0.45">
      <c r="A87">
        <v>76</v>
      </c>
      <c r="B87" s="6" t="n">
        <v>3993.8384281549997</v>
      </c>
      <c r="C87" s="9">
        <f t="shared" si="2"/>
        <v>1.9674664181696866E-3</v>
      </c>
      <c r="E87" s="371">
        <v>76</v>
      </c>
      <c r="F87" s="371" t="n">
        <v>434.0</v>
      </c>
      <c r="G87" s="9">
        <f t="shared" si="3"/>
        <v>1.7429329089458997E-4</v>
      </c>
    </row>
    <row r="88" spans="1:7" x14ac:dyDescent="0.45">
      <c r="A88">
        <v>77</v>
      </c>
      <c r="B88" s="6" t="n">
        <v>1083.714443592</v>
      </c>
      <c r="C88" s="9">
        <f t="shared" si="2"/>
        <v>5.3386530602282992E-4</v>
      </c>
      <c r="E88" s="371">
        <v>77</v>
      </c>
      <c r="F88" s="371" t="n">
        <v>371.0</v>
      </c>
      <c r="G88" s="9">
        <f t="shared" si="3"/>
        <v>1.7429329089458997E-4</v>
      </c>
    </row>
    <row r="89" spans="1:7" x14ac:dyDescent="0.45">
      <c r="A89">
        <v>78</v>
      </c>
      <c r="B89" s="6" t="n">
        <v>523.299985488</v>
      </c>
      <c r="C89" s="9">
        <f t="shared" si="2"/>
        <v>2.5779088628579013E-4</v>
      </c>
      <c r="E89" s="371">
        <v>78</v>
      </c>
      <c r="F89" s="371" t="n">
        <v>378.0</v>
      </c>
      <c r="G89" s="9">
        <f t="shared" si="3"/>
        <v>1.9847534434331581E-4</v>
      </c>
    </row>
    <row r="90" spans="1:7" x14ac:dyDescent="0.45">
      <c r="A90">
        <v>79</v>
      </c>
      <c r="B90" s="6" t="n">
        <v>649.4609449740001</v>
      </c>
      <c r="C90" s="9">
        <f t="shared" si="2"/>
        <v>3.1994098462801037E-4</v>
      </c>
      <c r="E90" s="371">
        <v>79</v>
      </c>
      <c r="F90" s="371" t="n">
        <v>357.0</v>
      </c>
      <c r="G90" s="9">
        <f t="shared" si="3"/>
        <v>1.4737364648940461E-4</v>
      </c>
    </row>
    <row r="91" spans="1:7" x14ac:dyDescent="0.45">
      <c r="A91">
        <v>80</v>
      </c>
      <c r="B91" s="6" t="n">
        <v>5404.0538728265</v>
      </c>
      <c r="C91" s="9">
        <f t="shared" si="2"/>
        <v>2.6621744239357448E-3</v>
      </c>
      <c r="E91" s="371">
        <v>80</v>
      </c>
      <c r="F91" s="371" t="n">
        <v>301.0</v>
      </c>
      <c r="G91" s="9">
        <f t="shared" si="3"/>
        <v>1.5421762388055342E-4</v>
      </c>
    </row>
    <row r="92" spans="1:7" x14ac:dyDescent="0.45">
      <c r="A92">
        <v>81</v>
      </c>
      <c r="B92" s="6" t="n">
        <v>668.711535771</v>
      </c>
      <c r="C92" s="9">
        <f t="shared" si="2"/>
        <v>3.294243154147594E-4</v>
      </c>
      <c r="E92" s="371">
        <v>81</v>
      </c>
      <c r="F92" s="371" t="n">
        <v>318.0</v>
      </c>
      <c r="G92" s="9">
        <f t="shared" si="3"/>
        <v>1.3186063106946727E-4</v>
      </c>
    </row>
    <row r="93" spans="1:7" x14ac:dyDescent="0.45">
      <c r="A93">
        <v>82</v>
      </c>
      <c r="B93" s="6" t="n">
        <v>3436.0861575477</v>
      </c>
      <c r="C93" s="9">
        <f t="shared" si="2"/>
        <v>1.6927034597230448E-3</v>
      </c>
      <c r="E93" s="371">
        <v>82</v>
      </c>
      <c r="F93" s="371" t="n">
        <v>418.0</v>
      </c>
      <c r="G93" s="9">
        <f t="shared" si="3"/>
        <v>1.6790557866285107E-4</v>
      </c>
    </row>
    <row r="94" spans="1:7" x14ac:dyDescent="0.45">
      <c r="A94">
        <v>83</v>
      </c>
      <c r="B94" s="6" t="n">
        <v>4707.4822341093995</v>
      </c>
      <c r="C94" s="9">
        <f t="shared" si="2"/>
        <v>2.3190255130123671E-3</v>
      </c>
      <c r="E94" s="371">
        <v>83</v>
      </c>
      <c r="F94" s="371" t="n">
        <v>291.0</v>
      </c>
      <c r="G94" s="9">
        <f t="shared" si="3"/>
        <v>1.4965497228645422E-4</v>
      </c>
    </row>
    <row r="95" spans="1:7" x14ac:dyDescent="0.45">
      <c r="A95">
        <v>84</v>
      </c>
      <c r="B95" s="6" t="n">
        <v>4050.4151157999</v>
      </c>
      <c r="C95" s="9">
        <f t="shared" si="2"/>
        <v>1.9953375338883162E-3</v>
      </c>
      <c r="E95" s="371">
        <v>84</v>
      </c>
      <c r="F95" s="371" t="n">
        <v>353.0</v>
      </c>
      <c r="G95" s="9">
        <f t="shared" si="3"/>
        <v>1.5969280579347249E-4</v>
      </c>
    </row>
    <row r="96" spans="1:7" x14ac:dyDescent="0.45">
      <c r="A96">
        <v>85</v>
      </c>
      <c r="B96" s="6" t="n">
        <v>745.6925231339001</v>
      </c>
      <c r="C96" s="9">
        <f t="shared" si="2"/>
        <v>3.6734710828648272E-4</v>
      </c>
      <c r="E96" s="371">
        <v>85</v>
      </c>
      <c r="F96" s="371" t="n">
        <v>276.0</v>
      </c>
      <c r="G96" s="9">
        <f t="shared" si="3"/>
        <v>1.4098593425766572E-4</v>
      </c>
    </row>
    <row r="97" spans="1:7" x14ac:dyDescent="0.45">
      <c r="A97">
        <v>86</v>
      </c>
      <c r="B97" s="6" t="n">
        <v>2097.1040707583998</v>
      </c>
      <c r="C97" s="9">
        <f t="shared" si="2"/>
        <v>1.0330868183193239E-3</v>
      </c>
      <c r="E97" s="371">
        <v>86</v>
      </c>
      <c r="F97" s="371" t="n">
        <v>233.0</v>
      </c>
      <c r="G97" s="9">
        <f t="shared" si="3"/>
        <v>1.0859110793956129E-4</v>
      </c>
    </row>
    <row r="98" spans="1:7" x14ac:dyDescent="0.45">
      <c r="A98">
        <v>87</v>
      </c>
      <c r="B98" s="6" t="n">
        <v>2490.6570966944</v>
      </c>
      <c r="C98" s="9">
        <f t="shared" si="2"/>
        <v>1.2269610513978618E-3</v>
      </c>
      <c r="E98" s="371">
        <v>87</v>
      </c>
      <c r="F98" s="371" t="n">
        <v>215.0</v>
      </c>
      <c r="G98" s="9">
        <f t="shared" si="3"/>
        <v>1.1406628985248034E-4</v>
      </c>
    </row>
    <row r="99" spans="1:7" x14ac:dyDescent="0.45">
      <c r="A99">
        <v>88</v>
      </c>
      <c r="B99" s="6" t="n">
        <v>289.143108231</v>
      </c>
      <c r="C99" s="9">
        <f t="shared" si="2"/>
        <v>1.4243925129252063E-4</v>
      </c>
      <c r="E99" s="371">
        <v>88</v>
      </c>
      <c r="F99" s="371" t="n">
        <v>284.0</v>
      </c>
      <c r="G99" s="9">
        <f t="shared" si="3"/>
        <v>1.3049183559123753E-4</v>
      </c>
    </row>
    <row r="100" spans="1:7" x14ac:dyDescent="0.45">
      <c r="A100">
        <v>89</v>
      </c>
      <c r="B100" s="6" t="n">
        <v>2614.6389136738</v>
      </c>
      <c r="C100" s="9">
        <f t="shared" si="2"/>
        <v>1.2880376487011021E-3</v>
      </c>
      <c r="E100" s="371">
        <v>89</v>
      </c>
      <c r="F100" s="371" t="n">
        <v>206.0</v>
      </c>
      <c r="G100" s="9">
        <f t="shared" si="3"/>
        <v>1.1634761564952996E-4</v>
      </c>
    </row>
    <row r="101" spans="1:7" ht="14.65" thickBot="1" x14ac:dyDescent="0.5">
      <c r="A101" s="1">
        <v>90</v>
      </c>
      <c r="B101" s="7" t="n">
        <v>50805.684478285</v>
      </c>
      <c r="C101" s="9">
        <f t="shared" si="2"/>
        <v>2.5028172736904539E-2</v>
      </c>
      <c r="E101" s="372">
        <v>90</v>
      </c>
      <c r="F101" s="372" t="n">
        <v>16097.0</v>
      </c>
      <c r="G101" s="9">
        <f t="shared" si="3"/>
        <v>7.3152993008192696E-3</v>
      </c>
    </row>
    <row r="102" spans="1:7" x14ac:dyDescent="0.45">
      <c r="B102" s="6">
        <f>SUM(B11:B101)</f>
        <v>2029939.8207113622</v>
      </c>
      <c r="C102" s="9">
        <f t="shared" si="2"/>
        <v>1</v>
      </c>
      <c r="F102" s="6">
        <f>SUM(F11:F101)</f>
        <v>2191708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102"/>
  <sheetViews>
    <sheetView workbookViewId="0">
      <selection activeCell="A6" sqref="A6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99734.6244811823</v>
      </c>
      <c r="C11" s="9">
        <f>B11/B$102</f>
        <v>0.12049175269376761</v>
      </c>
      <c r="E11" s="371">
        <v>0</v>
      </c>
      <c r="F11" s="371" t="n">
        <v>233617.0</v>
      </c>
      <c r="G11" s="9">
        <f>F11/F$102</f>
        <v>0.2555812239311282</v>
      </c>
      <c r="K11" s="6" t="n">
        <v>5.133613232373561</v>
      </c>
      <c r="L11" s="6" t="n">
        <v>4.892997480490698</v>
      </c>
    </row>
    <row r="12" spans="1:12" x14ac:dyDescent="0.45">
      <c r="A12">
        <v>1</v>
      </c>
      <c r="B12" s="6" t="n">
        <v>66863.8188759884</v>
      </c>
      <c r="C12" s="9">
        <f>B12/B$102</f>
        <v>8.0779756980852269E-2</v>
      </c>
      <c r="E12" s="371">
        <v>1</v>
      </c>
      <c r="F12" s="371" t="n">
        <v>121874.0</v>
      </c>
      <c r="G12" s="9">
        <f>F12/F$102</f>
        <v>0.1330991322917319</v>
      </c>
      <c r="K12" s="6"/>
      <c r="L12" s="371"/>
    </row>
    <row r="13" spans="1:12" x14ac:dyDescent="0.45">
      <c r="A13">
        <v>2</v>
      </c>
      <c r="B13" s="6" t="n">
        <v>56287.0601906336</v>
      </c>
      <c r="C13" s="9">
        <f t="shared" ref="C13:C76" si="0">B13/B$102</f>
        <v>6.8001725294796408E-2</v>
      </c>
      <c r="E13" s="371">
        <v>2</v>
      </c>
      <c r="F13" s="371" t="n">
        <v>70468.0</v>
      </c>
      <c r="G13" s="9">
        <f t="shared" ref="G13:G76" si="1">F13/F$102</f>
        <v>7.7686199165356698E-2</v>
      </c>
    </row>
    <row r="14" spans="1:12" x14ac:dyDescent="0.45">
      <c r="A14">
        <v>3</v>
      </c>
      <c r="B14" s="6" t="n">
        <v>110832.9786498835</v>
      </c>
      <c r="C14" s="9">
        <f t="shared" si="0"/>
        <v>0.13389993618831017</v>
      </c>
      <c r="E14" s="371">
        <v>3</v>
      </c>
      <c r="F14" s="371" t="n">
        <v>40064.0</v>
      </c>
      <c r="G14" s="9">
        <f t="shared" si="1"/>
        <v>4.3978605537118999E-2</v>
      </c>
    </row>
    <row r="15" spans="1:12" x14ac:dyDescent="0.45">
      <c r="A15">
        <v>4</v>
      </c>
      <c r="B15" s="6" t="n">
        <v>158008.07101755</v>
      </c>
      <c r="C15" s="9">
        <f t="shared" si="0"/>
        <v>0.19089327819405463</v>
      </c>
      <c r="E15" s="371">
        <v>4</v>
      </c>
      <c r="F15" s="371" t="n">
        <v>121584.0</v>
      </c>
      <c r="G15" s="9">
        <f t="shared" si="1"/>
        <v>0.13385819851943637</v>
      </c>
    </row>
    <row r="16" spans="1:12" x14ac:dyDescent="0.45">
      <c r="A16">
        <v>5</v>
      </c>
      <c r="B16" s="6" t="n">
        <v>97161.1988953487</v>
      </c>
      <c r="C16" s="9">
        <f t="shared" si="0"/>
        <v>0.11738273653336104</v>
      </c>
      <c r="E16" s="371">
        <v>5</v>
      </c>
      <c r="F16" s="371" t="n">
        <v>66665.0</v>
      </c>
      <c r="G16" s="9">
        <f t="shared" si="1"/>
        <v>7.2936268096479406E-2</v>
      </c>
    </row>
    <row r="17" spans="1:7" x14ac:dyDescent="0.45">
      <c r="A17">
        <v>6</v>
      </c>
      <c r="B17" s="6" t="n">
        <v>63476.4891383036</v>
      </c>
      <c r="C17" s="9">
        <f t="shared" si="0"/>
        <v>7.6687444013630229E-2</v>
      </c>
      <c r="E17" s="371">
        <v>6</v>
      </c>
      <c r="F17" s="371" t="n">
        <v>57340.0</v>
      </c>
      <c r="G17" s="9">
        <f t="shared" si="1"/>
        <v>6.2058882008592497E-2</v>
      </c>
    </row>
    <row r="18" spans="1:7" x14ac:dyDescent="0.45">
      <c r="A18">
        <v>7</v>
      </c>
      <c r="B18" s="6" t="n">
        <v>20608.0840047582</v>
      </c>
      <c r="C18" s="9">
        <f t="shared" si="0"/>
        <v>2.4897112455285968E-2</v>
      </c>
      <c r="E18" s="371">
        <v>7</v>
      </c>
      <c r="F18" s="371" t="n">
        <v>33543.0</v>
      </c>
      <c r="G18" s="9">
        <f t="shared" si="1"/>
        <v>3.9101248010334724E-2</v>
      </c>
    </row>
    <row r="19" spans="1:7" x14ac:dyDescent="0.45">
      <c r="A19">
        <v>8</v>
      </c>
      <c r="B19" s="6" t="n">
        <v>28640.0076767817</v>
      </c>
      <c r="C19" s="9">
        <f t="shared" si="0"/>
        <v>3.4600668926060792E-2</v>
      </c>
      <c r="E19" s="371">
        <v>8</v>
      </c>
      <c r="F19" s="371" t="n">
        <v>31011.0</v>
      </c>
      <c r="G19" s="9">
        <f t="shared" si="1"/>
        <v>3.2996861574222068E-2</v>
      </c>
    </row>
    <row r="20" spans="1:7" x14ac:dyDescent="0.45">
      <c r="A20">
        <v>9</v>
      </c>
      <c r="B20" s="6" t="n">
        <v>12865.8674469713</v>
      </c>
      <c r="C20" s="9">
        <f t="shared" si="0"/>
        <v>1.554355798375473E-2</v>
      </c>
      <c r="E20" s="371">
        <v>9</v>
      </c>
      <c r="F20" s="371" t="n">
        <v>19515.0</v>
      </c>
      <c r="G20" s="9">
        <f t="shared" si="1"/>
        <v>2.2407283520573331E-2</v>
      </c>
    </row>
    <row r="21" spans="1:7" x14ac:dyDescent="0.45">
      <c r="A21">
        <v>10</v>
      </c>
      <c r="B21" s="6" t="n">
        <v>38226.1467989727</v>
      </c>
      <c r="C21" s="9">
        <f t="shared" si="0"/>
        <v>4.618190974796834E-2</v>
      </c>
      <c r="E21" s="371">
        <v>10</v>
      </c>
      <c r="F21" s="371" t="n">
        <v>17347.0</v>
      </c>
      <c r="G21" s="9">
        <f t="shared" si="1"/>
        <v>1.8204407417538055E-2</v>
      </c>
    </row>
    <row r="22" spans="1:7" x14ac:dyDescent="0.45">
      <c r="A22">
        <v>11</v>
      </c>
      <c r="B22" s="6" t="n">
        <v>7826.5269435087</v>
      </c>
      <c r="C22" s="9">
        <f t="shared" si="0"/>
        <v>9.4554118375037178E-3</v>
      </c>
      <c r="E22" s="371">
        <v>11</v>
      </c>
      <c r="F22" s="371" t="n">
        <v>13641.0</v>
      </c>
      <c r="G22" s="9">
        <f t="shared" si="1"/>
        <v>1.4920979118538463E-2</v>
      </c>
    </row>
    <row r="23" spans="1:7" x14ac:dyDescent="0.45">
      <c r="A23">
        <v>12</v>
      </c>
      <c r="B23" s="6" t="n">
        <v>6689.1261270045</v>
      </c>
      <c r="C23" s="9">
        <f t="shared" si="0"/>
        <v>8.0812910784510642E-3</v>
      </c>
      <c r="E23" s="371">
        <v>12</v>
      </c>
      <c r="F23" s="371" t="n">
        <v>10877.0</v>
      </c>
      <c r="G23" s="9">
        <f t="shared" si="1"/>
        <v>1.2071459878791074E-2</v>
      </c>
    </row>
    <row r="24" spans="1:7" x14ac:dyDescent="0.45">
      <c r="A24">
        <v>13</v>
      </c>
      <c r="B24" s="6" t="n">
        <v>13864.623215797401</v>
      </c>
      <c r="C24" s="9">
        <f t="shared" si="0"/>
        <v>1.6750178389906396E-2</v>
      </c>
      <c r="E24" s="371">
        <v>13</v>
      </c>
      <c r="F24" s="371" t="n">
        <v>10151.0</v>
      </c>
      <c r="G24" s="9">
        <f t="shared" si="1"/>
        <v>1.1024585616848414E-2</v>
      </c>
    </row>
    <row r="25" spans="1:7" x14ac:dyDescent="0.45">
      <c r="A25">
        <v>14</v>
      </c>
      <c r="B25" s="6" t="n">
        <v>3916.866872967</v>
      </c>
      <c r="C25" s="9">
        <f t="shared" si="0"/>
        <v>4.7320592727653678E-3</v>
      </c>
      <c r="E25" s="371">
        <v>14</v>
      </c>
      <c r="F25" s="371" t="n">
        <v>8750.0</v>
      </c>
      <c r="G25" s="9">
        <f t="shared" si="1"/>
        <v>1.0091955765443044E-2</v>
      </c>
    </row>
    <row r="26" spans="1:7" x14ac:dyDescent="0.45">
      <c r="A26">
        <v>15</v>
      </c>
      <c r="B26" s="6" t="n">
        <v>10321.8034266164</v>
      </c>
      <c r="C26" s="9">
        <f t="shared" si="0"/>
        <v>1.2470014223277126E-2</v>
      </c>
      <c r="E26" s="371">
        <v>15</v>
      </c>
      <c r="F26" s="371" t="n">
        <v>7803.0</v>
      </c>
      <c r="G26" s="9">
        <f t="shared" si="1"/>
        <v>8.6386350429350275E-3</v>
      </c>
    </row>
    <row r="27" spans="1:7" x14ac:dyDescent="0.45">
      <c r="A27">
        <v>16</v>
      </c>
      <c r="B27" s="6" t="n">
        <v>7911.9769347471</v>
      </c>
      <c r="C27" s="9">
        <f t="shared" si="0"/>
        <v>9.558645987785443E-3</v>
      </c>
      <c r="E27" s="371">
        <v>16</v>
      </c>
      <c r="F27" s="371" t="n">
        <v>7964.0</v>
      </c>
      <c r="G27" s="9">
        <f t="shared" si="1"/>
        <v>8.4496923639695107E-3</v>
      </c>
    </row>
    <row r="28" spans="1:7" x14ac:dyDescent="0.45">
      <c r="A28">
        <v>17</v>
      </c>
      <c r="B28" s="6" t="n">
        <v>2591.5978135515998</v>
      </c>
      <c r="C28" s="9">
        <f t="shared" si="0"/>
        <v>3.1309704574170815E-3</v>
      </c>
      <c r="E28" s="371">
        <v>17</v>
      </c>
      <c r="F28" s="371" t="n">
        <v>5307.0</v>
      </c>
      <c r="G28" s="9">
        <f t="shared" si="1"/>
        <v>4.8586829596772158E-3</v>
      </c>
    </row>
    <row r="29" spans="1:7" x14ac:dyDescent="0.45">
      <c r="A29">
        <v>18</v>
      </c>
      <c r="B29" s="6" t="n">
        <v>4600.4915824173</v>
      </c>
      <c r="C29" s="9">
        <f t="shared" si="0"/>
        <v>5.5579624117697759E-3</v>
      </c>
      <c r="E29" s="371">
        <v>18</v>
      </c>
      <c r="F29" s="371" t="n">
        <v>4755.0</v>
      </c>
      <c r="G29" s="9">
        <f t="shared" si="1"/>
        <v>5.6254387150140228E-3</v>
      </c>
    </row>
    <row r="30" spans="1:7" x14ac:dyDescent="0.45">
      <c r="A30">
        <v>19</v>
      </c>
      <c r="B30" s="6" t="n">
        <v>402.0374973392</v>
      </c>
      <c r="C30" s="9">
        <f t="shared" si="0"/>
        <v>4.8571098507676342E-4</v>
      </c>
      <c r="E30" s="371">
        <v>19</v>
      </c>
      <c r="F30" s="371" t="n">
        <v>4398.0</v>
      </c>
      <c r="G30" s="9">
        <f t="shared" si="1"/>
        <v>5.2025146952365577E-3</v>
      </c>
    </row>
    <row r="31" spans="1:7" x14ac:dyDescent="0.45">
      <c r="A31">
        <v>20</v>
      </c>
      <c r="B31" s="6" t="n">
        <v>1086.216272507</v>
      </c>
      <c r="C31" s="9">
        <f t="shared" si="0"/>
        <v>1.3122835039455498E-3</v>
      </c>
      <c r="E31" s="371">
        <v>20</v>
      </c>
      <c r="F31" s="371" t="n">
        <v>3454.0</v>
      </c>
      <c r="G31" s="9">
        <f t="shared" si="1"/>
        <v>3.6657076727205219E-3</v>
      </c>
    </row>
    <row r="32" spans="1:7" x14ac:dyDescent="0.45">
      <c r="A32">
        <v>21</v>
      </c>
      <c r="B32" s="6" t="n">
        <v>2507.3412075616</v>
      </c>
      <c r="C32" s="9">
        <f t="shared" si="0"/>
        <v>3.0291780640073211E-3</v>
      </c>
      <c r="E32" s="371">
        <v>21</v>
      </c>
      <c r="F32" s="371" t="n">
        <v>2601.0</v>
      </c>
      <c r="G32" s="9">
        <f t="shared" si="1"/>
        <v>3.0516439660825921E-3</v>
      </c>
    </row>
    <row r="33" spans="1:7" x14ac:dyDescent="0.45">
      <c r="A33">
        <v>22</v>
      </c>
      <c r="B33" s="6" t="n">
        <v>2371.829540066</v>
      </c>
      <c r="C33" s="9">
        <f t="shared" si="0"/>
        <v>2.8654632216249679E-3</v>
      </c>
      <c r="E33" s="371">
        <v>22</v>
      </c>
      <c r="F33" s="371" t="n">
        <v>2597.0</v>
      </c>
      <c r="G33" s="9">
        <f t="shared" si="1"/>
        <v>2.7111077423656723E-3</v>
      </c>
    </row>
    <row r="34" spans="1:7" x14ac:dyDescent="0.45">
      <c r="A34">
        <v>23</v>
      </c>
      <c r="B34" s="6" t="n">
        <v>1770.2506230066</v>
      </c>
      <c r="C34" s="9">
        <f t="shared" si="0"/>
        <v>2.1386815399655349E-3</v>
      </c>
      <c r="E34" s="371">
        <v>23</v>
      </c>
      <c r="F34" s="371" t="n">
        <v>2347.0</v>
      </c>
      <c r="G34" s="9">
        <f t="shared" si="1"/>
        <v>2.528756087084999E-3</v>
      </c>
    </row>
    <row r="35" spans="1:7" x14ac:dyDescent="0.45">
      <c r="A35">
        <v>24</v>
      </c>
      <c r="B35" s="6" t="n">
        <v>736.563073278</v>
      </c>
      <c r="C35" s="9">
        <f t="shared" si="0"/>
        <v>8.8985922522342585E-4</v>
      </c>
      <c r="E35" s="371">
        <v>24</v>
      </c>
      <c r="F35" s="371" t="n">
        <v>2061.0</v>
      </c>
      <c r="G35" s="9">
        <f t="shared" si="1"/>
        <v>2.2376525410044059E-3</v>
      </c>
    </row>
    <row r="36" spans="1:7" x14ac:dyDescent="0.45">
      <c r="A36">
        <v>25</v>
      </c>
      <c r="B36" s="6" t="n">
        <v>1160.436957656</v>
      </c>
      <c r="C36" s="9">
        <f t="shared" si="0"/>
        <v>1.4019512646280261E-3</v>
      </c>
      <c r="E36" s="371">
        <v>25</v>
      </c>
      <c r="F36" s="371" t="n">
        <v>2121.0</v>
      </c>
      <c r="G36" s="9">
        <f t="shared" si="1"/>
        <v>2.2804941949558896E-3</v>
      </c>
    </row>
    <row r="37" spans="1:7" x14ac:dyDescent="0.45">
      <c r="A37">
        <v>26</v>
      </c>
      <c r="B37" s="6" t="n">
        <v>1124.4476883681</v>
      </c>
      <c r="C37" s="9">
        <f t="shared" si="0"/>
        <v>1.3584717793717776E-3</v>
      </c>
      <c r="E37" s="371">
        <v>26</v>
      </c>
      <c r="F37" s="371" t="n">
        <v>1452.0</v>
      </c>
      <c r="G37" s="9">
        <f t="shared" si="1"/>
        <v>1.746621276483557E-3</v>
      </c>
    </row>
    <row r="38" spans="1:7" x14ac:dyDescent="0.45">
      <c r="A38">
        <v>27</v>
      </c>
      <c r="B38" s="6" t="n">
        <v>306.240016457</v>
      </c>
      <c r="C38" s="9">
        <f t="shared" si="0"/>
        <v>3.6997578844681227E-4</v>
      </c>
      <c r="E38" s="371">
        <v>27</v>
      </c>
      <c r="F38" s="371" t="n">
        <v>1048.0</v>
      </c>
      <c r="G38" s="9">
        <f t="shared" si="1"/>
        <v>1.2819541067020824E-3</v>
      </c>
    </row>
    <row r="39" spans="1:7" x14ac:dyDescent="0.45">
      <c r="A39">
        <v>28</v>
      </c>
      <c r="B39" s="6" t="n">
        <v>948.557181251</v>
      </c>
      <c r="C39" s="9">
        <f t="shared" si="0"/>
        <v>1.145974308257985E-3</v>
      </c>
      <c r="E39" s="371">
        <v>28</v>
      </c>
      <c r="F39" s="371" t="n">
        <v>776.0</v>
      </c>
      <c r="G39" s="9">
        <f t="shared" si="1"/>
        <v>8.7880315797914815E-4</v>
      </c>
    </row>
    <row r="40" spans="1:7" x14ac:dyDescent="0.45">
      <c r="A40">
        <v>29</v>
      </c>
      <c r="B40" s="6" t="n">
        <v>0.0</v>
      </c>
      <c r="C40" s="9">
        <f t="shared" si="0"/>
        <v>0</v>
      </c>
      <c r="E40" s="371">
        <v>29</v>
      </c>
      <c r="F40" s="371" t="n">
        <v>909.0</v>
      </c>
      <c r="G40" s="9">
        <f t="shared" si="1"/>
        <v>8.6122709481956528E-4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644.0</v>
      </c>
      <c r="G41" s="9">
        <f t="shared" si="1"/>
        <v>7.2171709349037546E-4</v>
      </c>
    </row>
    <row r="42" spans="1:7" x14ac:dyDescent="0.45">
      <c r="A42">
        <v>31</v>
      </c>
      <c r="B42" s="6" t="n">
        <v>61.6654467019</v>
      </c>
      <c r="C42" s="9">
        <f t="shared" si="0"/>
        <v>7.4499480921572537E-5</v>
      </c>
      <c r="E42" s="371">
        <v>31</v>
      </c>
      <c r="F42" s="371" t="n">
        <v>613.0</v>
      </c>
      <c r="G42" s="9">
        <f t="shared" si="1"/>
        <v>7.5906622770448924E-4</v>
      </c>
    </row>
    <row r="43" spans="1:7" x14ac:dyDescent="0.45">
      <c r="A43">
        <v>32</v>
      </c>
      <c r="B43" s="6" t="n">
        <v>290.873582631</v>
      </c>
      <c r="C43" s="9">
        <f t="shared" si="0"/>
        <v>3.5141123722922703E-4</v>
      </c>
      <c r="E43" s="371">
        <v>32</v>
      </c>
      <c r="F43" s="371" t="n">
        <v>571.0</v>
      </c>
      <c r="G43" s="9">
        <f t="shared" si="1"/>
        <v>5.8550260400360744E-4</v>
      </c>
    </row>
    <row r="44" spans="1:7" x14ac:dyDescent="0.45">
      <c r="A44">
        <v>33</v>
      </c>
      <c r="B44" s="6" t="n">
        <v>139.99557747</v>
      </c>
      <c r="C44" s="9">
        <f t="shared" si="0"/>
        <v>1.6913195980317847E-4</v>
      </c>
      <c r="E44" s="371">
        <v>33</v>
      </c>
      <c r="F44" s="371" t="n">
        <v>497.0</v>
      </c>
      <c r="G44" s="9">
        <f t="shared" si="1"/>
        <v>4.5587913820168313E-4</v>
      </c>
    </row>
    <row r="45" spans="1:7" x14ac:dyDescent="0.45">
      <c r="A45">
        <v>34</v>
      </c>
      <c r="B45" s="6" t="n">
        <v>1343.61970522</v>
      </c>
      <c r="C45" s="9">
        <f t="shared" si="0"/>
        <v>1.6232586634583174E-3</v>
      </c>
      <c r="E45" s="371">
        <v>34</v>
      </c>
      <c r="F45" s="371" t="n">
        <v>374.0</v>
      </c>
      <c r="G45" s="9">
        <f t="shared" si="1"/>
        <v>4.8114472899358362E-4</v>
      </c>
    </row>
    <row r="46" spans="1:7" x14ac:dyDescent="0.45">
      <c r="A46">
        <v>35</v>
      </c>
      <c r="B46" s="6" t="n">
        <v>342.481278879</v>
      </c>
      <c r="C46" s="9">
        <f t="shared" si="0"/>
        <v>4.1375971255318386E-4</v>
      </c>
      <c r="E46" s="371">
        <v>35</v>
      </c>
      <c r="F46" s="371" t="n">
        <v>348.0</v>
      </c>
      <c r="G46" s="9">
        <f t="shared" si="1"/>
        <v>3.6580181450882043E-4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424.0</v>
      </c>
      <c r="G47" s="9">
        <f t="shared" si="1"/>
        <v>4.3500756319967836E-4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254.0</v>
      </c>
      <c r="G48" s="9">
        <f t="shared" si="1"/>
        <v>3.5042275924418534E-4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246.0</v>
      </c>
      <c r="G49" s="9">
        <f t="shared" si="1"/>
        <v>3.1636913687249337E-4</v>
      </c>
    </row>
    <row r="50" spans="1:7" x14ac:dyDescent="0.45">
      <c r="A50">
        <v>39</v>
      </c>
      <c r="B50" s="6" t="n">
        <v>357.9078832048</v>
      </c>
      <c r="C50" s="9">
        <f t="shared" si="0"/>
        <v>4.3239695717107085E-4</v>
      </c>
      <c r="E50" s="371">
        <v>39</v>
      </c>
      <c r="F50" s="371" t="n">
        <v>232.0</v>
      </c>
      <c r="G50" s="9">
        <f t="shared" si="1"/>
        <v>2.9879307371291039E-4</v>
      </c>
    </row>
    <row r="51" spans="1:7" x14ac:dyDescent="0.45">
      <c r="A51">
        <v>40</v>
      </c>
      <c r="B51" s="6" t="n">
        <v>417.967608267</v>
      </c>
      <c r="C51" s="9">
        <f t="shared" si="0"/>
        <v>5.0495652789884441E-4</v>
      </c>
      <c r="E51" s="371">
        <v>40</v>
      </c>
      <c r="F51" s="371" t="n">
        <v>203.0</v>
      </c>
      <c r="G51" s="9">
        <f t="shared" si="1"/>
        <v>1.9223819080793866E-4</v>
      </c>
    </row>
    <row r="52" spans="1:7" x14ac:dyDescent="0.45">
      <c r="A52">
        <v>41</v>
      </c>
      <c r="B52" s="6" t="n">
        <v>1433.5707232769998</v>
      </c>
      <c r="C52" s="9">
        <f t="shared" si="0"/>
        <v>1.7319306104241537E-3</v>
      </c>
      <c r="E52" s="371">
        <v>41</v>
      </c>
      <c r="F52" s="371" t="n">
        <v>179.0</v>
      </c>
      <c r="G52" s="9">
        <f t="shared" si="1"/>
        <v>1.8454866317562112E-4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119.0</v>
      </c>
      <c r="G53" s="9">
        <f t="shared" si="1"/>
        <v>1.0216086711507597E-4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90.0</v>
      </c>
      <c r="G54" s="9">
        <f t="shared" si="1"/>
        <v>1.2413094606455468E-4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64.0</v>
      </c>
      <c r="G55" s="9">
        <f t="shared" si="1"/>
        <v>8.2387796060545142E-5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51.0</v>
      </c>
      <c r="G56" s="9">
        <f t="shared" si="1"/>
        <v>9.0077323692862687E-5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54.0</v>
      </c>
      <c r="G57" s="9">
        <f t="shared" si="1"/>
        <v>7.1402756585805797E-5</v>
      </c>
    </row>
    <row r="58" spans="1:7" x14ac:dyDescent="0.45">
      <c r="A58">
        <v>47</v>
      </c>
      <c r="B58" s="6" t="n">
        <v>381.900134436</v>
      </c>
      <c r="C58" s="9">
        <f t="shared" si="0"/>
        <v>4.6138256188913877E-4</v>
      </c>
      <c r="E58" s="371">
        <v>47</v>
      </c>
      <c r="F58" s="371" t="n">
        <v>54.0</v>
      </c>
      <c r="G58" s="9">
        <f t="shared" si="1"/>
        <v>6.371322895348824E-5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36.0</v>
      </c>
      <c r="G59" s="9">
        <f t="shared" si="1"/>
        <v>3.5152126319165927E-5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41.0</v>
      </c>
      <c r="G60" s="9">
        <f t="shared" si="1"/>
        <v>5.382669342622283E-5</v>
      </c>
    </row>
    <row r="61" spans="1:7" x14ac:dyDescent="0.45">
      <c r="A61">
        <v>50</v>
      </c>
      <c r="B61" s="6" t="n">
        <v>14.08625</v>
      </c>
      <c r="C61" s="9">
        <f t="shared" si="0"/>
        <v>1.7017930936340188E-5</v>
      </c>
      <c r="E61" s="371">
        <v>50</v>
      </c>
      <c r="F61" s="371" t="n">
        <v>33.0</v>
      </c>
      <c r="G61" s="9">
        <f t="shared" si="1"/>
        <v>3.185661447674412E-5</v>
      </c>
    </row>
    <row r="62" spans="1:7" x14ac:dyDescent="0.45">
      <c r="A62">
        <v>51</v>
      </c>
      <c r="B62" s="6" t="n">
        <v>41.7609222283</v>
      </c>
      <c r="C62" s="9">
        <f t="shared" si="0"/>
        <v>5.0452355333682363E-5</v>
      </c>
      <c r="E62" s="371">
        <v>51</v>
      </c>
      <c r="F62" s="371" t="n">
        <v>26.0</v>
      </c>
      <c r="G62" s="9">
        <f t="shared" si="1"/>
        <v>3.185661447674412E-5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18.0</v>
      </c>
      <c r="G63" s="9">
        <f t="shared" si="1"/>
        <v>1.2083543422213288E-5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22.0</v>
      </c>
      <c r="G64" s="9">
        <f t="shared" si="1"/>
        <v>9.8865355272654177E-6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19.0</v>
      </c>
      <c r="G65" s="9">
        <f t="shared" si="1"/>
        <v>2.4167086844426575E-5</v>
      </c>
    </row>
    <row r="66" spans="1:7" x14ac:dyDescent="0.45">
      <c r="A66">
        <v>55</v>
      </c>
      <c r="B66" s="6" t="n">
        <v>4.59375</v>
      </c>
      <c r="C66" s="9">
        <f t="shared" si="0"/>
        <v>5.5498177470095129E-6</v>
      </c>
      <c r="E66" s="371">
        <v>55</v>
      </c>
      <c r="F66" s="371" t="n">
        <v>9.0</v>
      </c>
      <c r="G66" s="9">
        <f t="shared" si="1"/>
        <v>1.3182047369687224E-5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6.0</v>
      </c>
      <c r="G67" s="9">
        <f t="shared" si="1"/>
        <v>1.2083543422213288E-5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13.0</v>
      </c>
      <c r="G68" s="9">
        <f t="shared" si="1"/>
        <v>7.689527632317546E-6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5.0</v>
      </c>
      <c r="G69" s="9">
        <f t="shared" si="1"/>
        <v>3.2955118424218059E-6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8.0</v>
      </c>
      <c r="G70" s="9">
        <f t="shared" si="1"/>
        <v>6.5910236848436118E-6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3.0</v>
      </c>
      <c r="G71" s="9">
        <f t="shared" si="1"/>
        <v>7.689527632317546E-6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4.0</v>
      </c>
      <c r="G72" s="9">
        <f t="shared" si="1"/>
        <v>3.2955118424218059E-6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2.0</v>
      </c>
      <c r="G73" s="9">
        <f t="shared" si="1"/>
        <v>2.1970078949478705E-6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2.0</v>
      </c>
      <c r="G74" s="9">
        <f t="shared" si="1"/>
        <v>1.0985039474739352E-6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4.0</v>
      </c>
      <c r="G75" s="9">
        <f t="shared" si="1"/>
        <v>2.1970078949478705E-6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1.0</v>
      </c>
      <c r="G76" s="9">
        <f t="shared" si="1"/>
        <v>3.2955118424218059E-6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2.1970078949478705E-6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1.0</v>
      </c>
      <c r="G78" s="9">
        <f t="shared" si="3"/>
        <v>2.1970078949478705E-6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1.0</v>
      </c>
      <c r="G79" s="9">
        <f t="shared" si="3"/>
        <v>0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1.0985039474739352E-6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5.4925197373696759E-6</v>
      </c>
    </row>
    <row r="82" spans="1:7" x14ac:dyDescent="0.45">
      <c r="A82">
        <v>71</v>
      </c>
      <c r="B82" s="6" t="n">
        <v>58.1809956208</v>
      </c>
      <c r="C82" s="9">
        <f t="shared" si="2"/>
        <v>7.0289833368162948E-5</v>
      </c>
      <c r="E82" s="371">
        <v>71</v>
      </c>
      <c r="F82" s="371" t="n">
        <v>0.0</v>
      </c>
      <c r="G82" s="9">
        <f t="shared" si="3"/>
        <v>2.1970078949478705E-6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1.0</v>
      </c>
      <c r="G83" s="9">
        <f t="shared" si="3"/>
        <v>1.0985039474739352E-6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2.0</v>
      </c>
      <c r="G84" s="9">
        <f t="shared" si="3"/>
        <v>2.1970078949478705E-6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1.0985039474739352E-6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2.0</v>
      </c>
      <c r="G86" s="9">
        <f t="shared" si="3"/>
        <v>0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1.0985039474739352E-6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1.0985039474739352E-6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2.1970078949478705E-6</v>
      </c>
    </row>
    <row r="102" spans="1:7" x14ac:dyDescent="0.45">
      <c r="B102" s="6">
        <f>SUM(B11:B101)</f>
        <v>827729.88400841015</v>
      </c>
      <c r="C102" s="9">
        <f t="shared" si="2"/>
        <v>1</v>
      </c>
      <c r="F102" s="6">
        <f>SUM(F11:F101)</f>
        <v>910329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02"/>
  <sheetViews>
    <sheetView workbookViewId="0">
      <selection activeCell="A4" sqref="A4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7338.0</v>
      </c>
      <c r="G11" s="9">
        <f>F11/F$102</f>
        <v>8.1728693692060782E-3</v>
      </c>
      <c r="K11" s="6" t="n">
        <v>27.432840636719497</v>
      </c>
      <c r="L11" s="6" t="n">
        <v>18.104856214181087</v>
      </c>
    </row>
    <row r="12" spans="1:12" x14ac:dyDescent="0.45">
      <c r="A12">
        <v>1</v>
      </c>
      <c r="B12" s="6" t="n">
        <v>193.998839214</v>
      </c>
      <c r="C12" s="9">
        <f>B12/B$102</f>
        <v>2.3437457431708345E-4</v>
      </c>
      <c r="E12" s="371">
        <v>1</v>
      </c>
      <c r="F12" s="371" t="n">
        <v>31440.0</v>
      </c>
      <c r="G12" s="9">
        <f>F12/F$102</f>
        <v>3.443040922567555E-2</v>
      </c>
      <c r="K12" s="6"/>
      <c r="L12" s="371"/>
    </row>
    <row r="13" spans="1:12" x14ac:dyDescent="0.45">
      <c r="A13">
        <v>2</v>
      </c>
      <c r="B13" s="6" t="n">
        <v>1261.3043626441001</v>
      </c>
      <c r="C13" s="9">
        <f t="shared" ref="C13:C76" si="0">B13/B$102</f>
        <v>1.5238115561758364E-3</v>
      </c>
      <c r="E13" s="371">
        <v>2</v>
      </c>
      <c r="F13" s="371" t="n">
        <v>38125.0</v>
      </c>
      <c r="G13" s="9">
        <f t="shared" ref="G13:G76" si="1">F13/F$102</f>
        <v>4.1545419293464232E-2</v>
      </c>
    </row>
    <row r="14" spans="1:12" x14ac:dyDescent="0.45">
      <c r="A14">
        <v>3</v>
      </c>
      <c r="B14" s="6" t="n">
        <v>10100.747637068</v>
      </c>
      <c r="C14" s="9">
        <f t="shared" si="0"/>
        <v>1.2202951508955511E-2</v>
      </c>
      <c r="E14" s="371">
        <v>3</v>
      </c>
      <c r="F14" s="371" t="n">
        <v>42193.0</v>
      </c>
      <c r="G14" s="9">
        <f t="shared" si="1"/>
        <v>4.5729620829392449E-2</v>
      </c>
    </row>
    <row r="15" spans="1:12" x14ac:dyDescent="0.45">
      <c r="A15">
        <v>4</v>
      </c>
      <c r="B15" s="6" t="n">
        <v>8791.3304586005</v>
      </c>
      <c r="C15" s="9">
        <f t="shared" si="0"/>
        <v>1.0621013724945052E-2</v>
      </c>
      <c r="E15" s="371">
        <v>4</v>
      </c>
      <c r="F15" s="371" t="n">
        <v>39943.0</v>
      </c>
      <c r="G15" s="9">
        <f t="shared" si="1"/>
        <v>4.3554583013394058E-2</v>
      </c>
    </row>
    <row r="16" spans="1:12" x14ac:dyDescent="0.45">
      <c r="A16">
        <v>5</v>
      </c>
      <c r="B16" s="6" t="n">
        <v>21057.7362336818</v>
      </c>
      <c r="C16" s="9">
        <f t="shared" si="0"/>
        <v>2.5440347920877824E-2</v>
      </c>
      <c r="E16" s="371">
        <v>5</v>
      </c>
      <c r="F16" s="371" t="n">
        <v>37717.0</v>
      </c>
      <c r="G16" s="9">
        <f t="shared" si="1"/>
        <v>4.1399318268450197E-2</v>
      </c>
    </row>
    <row r="17" spans="1:7" x14ac:dyDescent="0.45">
      <c r="A17">
        <v>6</v>
      </c>
      <c r="B17" s="6" t="n">
        <v>16944.011316876</v>
      </c>
      <c r="C17" s="9">
        <f t="shared" si="0"/>
        <v>2.0470459801236126E-2</v>
      </c>
      <c r="E17" s="371">
        <v>6</v>
      </c>
      <c r="F17" s="371" t="n">
        <v>35292.0</v>
      </c>
      <c r="G17" s="9">
        <f t="shared" si="1"/>
        <v>3.8493775327381637E-2</v>
      </c>
    </row>
    <row r="18" spans="1:7" x14ac:dyDescent="0.45">
      <c r="A18">
        <v>7</v>
      </c>
      <c r="B18" s="6" t="n">
        <v>19388.4705215282</v>
      </c>
      <c r="C18" s="9">
        <f t="shared" si="0"/>
        <v>2.3423668634067588E-2</v>
      </c>
      <c r="E18" s="371">
        <v>7</v>
      </c>
      <c r="F18" s="371" t="n">
        <v>32821.0</v>
      </c>
      <c r="G18" s="9">
        <f t="shared" si="1"/>
        <v>3.5960625224506743E-2</v>
      </c>
    </row>
    <row r="19" spans="1:7" x14ac:dyDescent="0.45">
      <c r="A19">
        <v>8</v>
      </c>
      <c r="B19" s="6" t="n">
        <v>11538.2597059862</v>
      </c>
      <c r="C19" s="9">
        <f t="shared" si="0"/>
        <v>1.3939643752029817E-2</v>
      </c>
      <c r="E19" s="371">
        <v>8</v>
      </c>
      <c r="F19" s="371" t="n">
        <v>29744.0</v>
      </c>
      <c r="G19" s="9">
        <f t="shared" si="1"/>
        <v>3.2310296607050856E-2</v>
      </c>
    </row>
    <row r="20" spans="1:7" x14ac:dyDescent="0.45">
      <c r="A20">
        <v>9</v>
      </c>
      <c r="B20" s="6" t="n">
        <v>27215.8770255288</v>
      </c>
      <c r="C20" s="9">
        <f t="shared" si="0"/>
        <v>3.2880143089351443E-2</v>
      </c>
      <c r="E20" s="371">
        <v>9</v>
      </c>
      <c r="F20" s="371" t="n">
        <v>26274.0</v>
      </c>
      <c r="G20" s="9">
        <f t="shared" si="1"/>
        <v>2.8915919409356398E-2</v>
      </c>
    </row>
    <row r="21" spans="1:7" x14ac:dyDescent="0.45">
      <c r="A21">
        <v>10</v>
      </c>
      <c r="B21" s="6" t="n">
        <v>8595.7013775267</v>
      </c>
      <c r="C21" s="9">
        <f t="shared" si="0"/>
        <v>1.0384669616977807E-2</v>
      </c>
      <c r="E21" s="371">
        <v>10</v>
      </c>
      <c r="F21" s="371" t="n">
        <v>23807.0</v>
      </c>
      <c r="G21" s="9">
        <f t="shared" si="1"/>
        <v>2.6123522374877653E-2</v>
      </c>
    </row>
    <row r="22" spans="1:7" x14ac:dyDescent="0.45">
      <c r="A22">
        <v>11</v>
      </c>
      <c r="B22" s="6" t="n">
        <v>12579.7285983122</v>
      </c>
      <c r="C22" s="9">
        <f t="shared" si="0"/>
        <v>1.5197866890334944E-2</v>
      </c>
      <c r="E22" s="371">
        <v>11</v>
      </c>
      <c r="F22" s="371" t="n">
        <v>20733.0</v>
      </c>
      <c r="G22" s="9">
        <f t="shared" si="1"/>
        <v>2.2857670139037646E-2</v>
      </c>
    </row>
    <row r="23" spans="1:7" x14ac:dyDescent="0.45">
      <c r="A23">
        <v>12</v>
      </c>
      <c r="B23" s="6" t="n">
        <v>12466.883373857001</v>
      </c>
      <c r="C23" s="9">
        <f t="shared" si="0"/>
        <v>1.5061535912517967E-2</v>
      </c>
      <c r="E23" s="371">
        <v>12</v>
      </c>
      <c r="F23" s="371" t="n">
        <v>18897.0</v>
      </c>
      <c r="G23" s="9">
        <f t="shared" si="1"/>
        <v>2.0428877911172774E-2</v>
      </c>
    </row>
    <row r="24" spans="1:7" x14ac:dyDescent="0.45">
      <c r="A24">
        <v>13</v>
      </c>
      <c r="B24" s="6" t="n">
        <v>23774.6987384881</v>
      </c>
      <c r="C24" s="9">
        <f t="shared" si="0"/>
        <v>2.8722774419301426E-2</v>
      </c>
      <c r="E24" s="371">
        <v>13</v>
      </c>
      <c r="F24" s="371" t="n">
        <v>16144.0</v>
      </c>
      <c r="G24" s="9">
        <f t="shared" si="1"/>
        <v>1.770348961748994E-2</v>
      </c>
    </row>
    <row r="25" spans="1:7" x14ac:dyDescent="0.45">
      <c r="A25">
        <v>14</v>
      </c>
      <c r="B25" s="6" t="n">
        <v>24776.0882145826</v>
      </c>
      <c r="C25" s="9">
        <f t="shared" si="0"/>
        <v>2.9932576669336325E-2</v>
      </c>
      <c r="E25" s="371">
        <v>14</v>
      </c>
      <c r="F25" s="371" t="n">
        <v>14877.0</v>
      </c>
      <c r="G25" s="9">
        <f t="shared" si="1"/>
        <v>1.6139219996287056E-2</v>
      </c>
    </row>
    <row r="26" spans="1:7" x14ac:dyDescent="0.45">
      <c r="A26">
        <v>15</v>
      </c>
      <c r="B26" s="6" t="n">
        <v>19898.5972249723</v>
      </c>
      <c r="C26" s="9">
        <f t="shared" si="0"/>
        <v>2.4039964738992222E-2</v>
      </c>
      <c r="E26" s="371">
        <v>15</v>
      </c>
      <c r="F26" s="371" t="n">
        <v>12807.0</v>
      </c>
      <c r="G26" s="9">
        <f t="shared" si="1"/>
        <v>1.4210247064522827E-2</v>
      </c>
    </row>
    <row r="27" spans="1:7" x14ac:dyDescent="0.45">
      <c r="A27">
        <v>16</v>
      </c>
      <c r="B27" s="6" t="n">
        <v>29893.4061617485</v>
      </c>
      <c r="C27" s="9">
        <f t="shared" si="0"/>
        <v>3.6114929204905652E-2</v>
      </c>
      <c r="E27" s="371">
        <v>16</v>
      </c>
      <c r="F27" s="371" t="n">
        <v>12595.0</v>
      </c>
      <c r="G27" s="9">
        <f t="shared" si="1"/>
        <v>1.3457771860503181E-2</v>
      </c>
    </row>
    <row r="28" spans="1:7" x14ac:dyDescent="0.45">
      <c r="A28">
        <v>17</v>
      </c>
      <c r="B28" s="6" t="n">
        <v>18307.9495975561</v>
      </c>
      <c r="C28" s="9">
        <f t="shared" si="0"/>
        <v>2.2118265815047077E-2</v>
      </c>
      <c r="E28" s="371">
        <v>17</v>
      </c>
      <c r="F28" s="371" t="n">
        <v>10676.0</v>
      </c>
      <c r="G28" s="9">
        <f t="shared" si="1"/>
        <v>1.2029716728787065E-2</v>
      </c>
    </row>
    <row r="29" spans="1:7" x14ac:dyDescent="0.45">
      <c r="A29">
        <v>18</v>
      </c>
      <c r="B29" s="6" t="n">
        <v>64111.6141650007</v>
      </c>
      <c r="C29" s="9">
        <f t="shared" si="0"/>
        <v>7.7454753541735477E-2</v>
      </c>
      <c r="E29" s="371">
        <v>18</v>
      </c>
      <c r="F29" s="371" t="n">
        <v>81031.0</v>
      </c>
      <c r="G29" s="9">
        <f t="shared" si="1"/>
        <v>9.0034482038911207E-2</v>
      </c>
    </row>
    <row r="30" spans="1:7" x14ac:dyDescent="0.45">
      <c r="A30">
        <v>19</v>
      </c>
      <c r="B30" s="6" t="n">
        <v>34934.0342878927</v>
      </c>
      <c r="C30" s="9">
        <f t="shared" si="0"/>
        <v>4.2204630958494846E-2</v>
      </c>
      <c r="E30" s="371">
        <v>19</v>
      </c>
      <c r="F30" s="371" t="n">
        <v>32221.0</v>
      </c>
      <c r="G30" s="9">
        <f t="shared" si="1"/>
        <v>3.4953297104673146E-2</v>
      </c>
    </row>
    <row r="31" spans="1:7" x14ac:dyDescent="0.45">
      <c r="A31">
        <v>20</v>
      </c>
      <c r="B31" s="6" t="n">
        <v>67232.0745934324</v>
      </c>
      <c r="C31" s="9">
        <f t="shared" si="0"/>
        <v>8.122465540068538E-2</v>
      </c>
      <c r="E31" s="371">
        <v>20</v>
      </c>
      <c r="F31" s="371" t="n">
        <v>31691.0</v>
      </c>
      <c r="G31" s="9">
        <f t="shared" si="1"/>
        <v>3.4790718520447003E-2</v>
      </c>
    </row>
    <row r="32" spans="1:7" x14ac:dyDescent="0.45">
      <c r="A32">
        <v>21</v>
      </c>
      <c r="B32" s="6" t="n">
        <v>39999.7503910708</v>
      </c>
      <c r="C32" s="9">
        <f t="shared" si="0"/>
        <v>4.8324642088993827E-2</v>
      </c>
      <c r="E32" s="371">
        <v>21</v>
      </c>
      <c r="F32" s="371" t="n">
        <v>35306.0</v>
      </c>
      <c r="G32" s="9">
        <f t="shared" si="1"/>
        <v>3.8165322647086934E-2</v>
      </c>
    </row>
    <row r="33" spans="1:7" x14ac:dyDescent="0.45">
      <c r="A33">
        <v>22</v>
      </c>
      <c r="B33" s="6" t="n">
        <v>31371.3109664737</v>
      </c>
      <c r="C33" s="9">
        <f t="shared" si="0"/>
        <v>3.7900420865020927E-2</v>
      </c>
      <c r="E33" s="371">
        <v>22</v>
      </c>
      <c r="F33" s="371" t="n">
        <v>32370.0</v>
      </c>
      <c r="G33" s="9">
        <f t="shared" si="1"/>
        <v>3.618472002979143E-2</v>
      </c>
    </row>
    <row r="34" spans="1:7" x14ac:dyDescent="0.45">
      <c r="A34">
        <v>23</v>
      </c>
      <c r="B34" s="6" t="n">
        <v>14483.9621031227</v>
      </c>
      <c r="C34" s="9">
        <f t="shared" si="0"/>
        <v>1.7498416310622822E-2</v>
      </c>
      <c r="E34" s="371">
        <v>23</v>
      </c>
      <c r="F34" s="371" t="n">
        <v>28641.0</v>
      </c>
      <c r="G34" s="9">
        <f t="shared" si="1"/>
        <v>3.1128306359568904E-2</v>
      </c>
    </row>
    <row r="35" spans="1:7" x14ac:dyDescent="0.45">
      <c r="A35">
        <v>24</v>
      </c>
      <c r="B35" s="6" t="n">
        <v>21641.0403248742</v>
      </c>
      <c r="C35" s="9">
        <f t="shared" si="0"/>
        <v>2.6145051354282522E-2</v>
      </c>
      <c r="E35" s="371">
        <v>24</v>
      </c>
      <c r="F35" s="371" t="n">
        <v>19108.0</v>
      </c>
      <c r="G35" s="9">
        <f t="shared" si="1"/>
        <v>2.1705339498137487E-2</v>
      </c>
    </row>
    <row r="36" spans="1:7" x14ac:dyDescent="0.45">
      <c r="A36">
        <v>25</v>
      </c>
      <c r="B36" s="6" t="n">
        <v>18315.0773149931</v>
      </c>
      <c r="C36" s="9">
        <f t="shared" si="0"/>
        <v>2.2126876978634025E-2</v>
      </c>
      <c r="E36" s="371">
        <v>25</v>
      </c>
      <c r="F36" s="371" t="n">
        <v>20023.0</v>
      </c>
      <c r="G36" s="9">
        <f t="shared" si="1"/>
        <v>2.146916114943059E-2</v>
      </c>
    </row>
    <row r="37" spans="1:7" x14ac:dyDescent="0.45">
      <c r="A37">
        <v>26</v>
      </c>
      <c r="B37" s="6" t="n">
        <v>27253.7314687657</v>
      </c>
      <c r="C37" s="9">
        <f t="shared" si="0"/>
        <v>3.292587593525715E-2</v>
      </c>
      <c r="E37" s="371">
        <v>26</v>
      </c>
      <c r="F37" s="371" t="n">
        <v>17948.0</v>
      </c>
      <c r="G37" s="9">
        <f t="shared" si="1"/>
        <v>1.9043664433408141E-2</v>
      </c>
    </row>
    <row r="38" spans="1:7" x14ac:dyDescent="0.45">
      <c r="A38">
        <v>27</v>
      </c>
      <c r="B38" s="6" t="n">
        <v>13933.790947589</v>
      </c>
      <c r="C38" s="9">
        <f t="shared" si="0"/>
        <v>1.6833741558432636E-2</v>
      </c>
      <c r="E38" s="371">
        <v>27</v>
      </c>
      <c r="F38" s="371" t="n">
        <v>14230.0</v>
      </c>
      <c r="G38" s="9">
        <f t="shared" si="1"/>
        <v>1.5199999121196841E-2</v>
      </c>
    </row>
    <row r="39" spans="1:7" x14ac:dyDescent="0.45">
      <c r="A39">
        <v>28</v>
      </c>
      <c r="B39" s="6" t="n">
        <v>13873.6430692714</v>
      </c>
      <c r="C39" s="9">
        <f t="shared" si="0"/>
        <v>1.6761075487677374E-2</v>
      </c>
      <c r="E39" s="371">
        <v>28</v>
      </c>
      <c r="F39" s="371" t="n">
        <v>13165.0</v>
      </c>
      <c r="G39" s="9">
        <f t="shared" si="1"/>
        <v>1.54757236120128E-2</v>
      </c>
    </row>
    <row r="40" spans="1:7" x14ac:dyDescent="0.45">
      <c r="A40">
        <v>29</v>
      </c>
      <c r="B40" s="6" t="n">
        <v>10175.7087463841</v>
      </c>
      <c r="C40" s="9">
        <f t="shared" si="0"/>
        <v>1.2293513793541747E-2</v>
      </c>
      <c r="E40" s="371">
        <v>29</v>
      </c>
      <c r="F40" s="371" t="n">
        <v>12944.0</v>
      </c>
      <c r="G40" s="9">
        <f t="shared" si="1"/>
        <v>1.2540521064362445E-2</v>
      </c>
    </row>
    <row r="41" spans="1:7" x14ac:dyDescent="0.45">
      <c r="A41">
        <v>30</v>
      </c>
      <c r="B41" s="6" t="n">
        <v>9297.3868442496</v>
      </c>
      <c r="C41" s="9">
        <f t="shared" si="0"/>
        <v>1.123239238291792E-2</v>
      </c>
      <c r="E41" s="371">
        <v>30</v>
      </c>
      <c r="F41" s="371" t="n">
        <v>10327.0</v>
      </c>
      <c r="G41" s="9">
        <f t="shared" si="1"/>
        <v>1.1540882472161163E-2</v>
      </c>
    </row>
    <row r="42" spans="1:7" x14ac:dyDescent="0.45">
      <c r="A42">
        <v>31</v>
      </c>
      <c r="B42" s="6" t="n">
        <v>5360.1951048411</v>
      </c>
      <c r="C42" s="9">
        <f t="shared" si="0"/>
        <v>6.4757781595168769E-3</v>
      </c>
      <c r="E42" s="371">
        <v>31</v>
      </c>
      <c r="F42" s="371" t="n">
        <v>9884.0</v>
      </c>
      <c r="G42" s="9">
        <f t="shared" si="1"/>
        <v>1.0077675214125881E-2</v>
      </c>
    </row>
    <row r="43" spans="1:7" x14ac:dyDescent="0.45">
      <c r="A43">
        <v>32</v>
      </c>
      <c r="B43" s="6" t="n">
        <v>2913.8867434077</v>
      </c>
      <c r="C43" s="9">
        <f t="shared" si="0"/>
        <v>3.5203353167542438E-3</v>
      </c>
      <c r="E43" s="371">
        <v>32</v>
      </c>
      <c r="F43" s="371" t="n">
        <v>7860.0</v>
      </c>
      <c r="G43" s="9">
        <f t="shared" si="1"/>
        <v>8.4343133087048747E-3</v>
      </c>
    </row>
    <row r="44" spans="1:7" x14ac:dyDescent="0.45">
      <c r="A44">
        <v>33</v>
      </c>
      <c r="B44" s="6" t="n">
        <v>8293.4907287759</v>
      </c>
      <c r="C44" s="9">
        <f t="shared" si="0"/>
        <v>1.0019561802714416E-2</v>
      </c>
      <c r="E44" s="371">
        <v>33</v>
      </c>
      <c r="F44" s="371" t="n">
        <v>9868.0</v>
      </c>
      <c r="G44" s="9">
        <f t="shared" si="1"/>
        <v>1.1764977277445847E-2</v>
      </c>
    </row>
    <row r="45" spans="1:7" x14ac:dyDescent="0.45">
      <c r="A45">
        <v>34</v>
      </c>
      <c r="B45" s="6" t="n">
        <v>11042.4657995426</v>
      </c>
      <c r="C45" s="9">
        <f t="shared" si="0"/>
        <v>1.3340663437289168E-2</v>
      </c>
      <c r="E45" s="371">
        <v>34</v>
      </c>
      <c r="F45" s="371" t="n">
        <v>8517.0</v>
      </c>
      <c r="G45" s="9">
        <f t="shared" si="1"/>
        <v>9.4020952864294124E-3</v>
      </c>
    </row>
    <row r="46" spans="1:7" x14ac:dyDescent="0.45">
      <c r="A46">
        <v>35</v>
      </c>
      <c r="B46" s="6" t="n">
        <v>2890.6258853281</v>
      </c>
      <c r="C46" s="9">
        <f t="shared" si="0"/>
        <v>3.4922333253570555E-3</v>
      </c>
      <c r="E46" s="371">
        <v>35</v>
      </c>
      <c r="F46" s="371" t="n">
        <v>6710.0</v>
      </c>
      <c r="G46" s="9">
        <f t="shared" si="1"/>
        <v>7.7016111757397601E-3</v>
      </c>
    </row>
    <row r="47" spans="1:7" x14ac:dyDescent="0.45">
      <c r="A47">
        <v>36</v>
      </c>
      <c r="B47" s="6" t="n">
        <v>3595.7369614325003</v>
      </c>
      <c r="C47" s="9">
        <f t="shared" si="0"/>
        <v>4.3440946508051482E-3</v>
      </c>
      <c r="E47" s="371">
        <v>36</v>
      </c>
      <c r="F47" s="371" t="n">
        <v>4683.0</v>
      </c>
      <c r="G47" s="9">
        <f t="shared" si="1"/>
        <v>5.4419885557858748E-3</v>
      </c>
    </row>
    <row r="48" spans="1:7" x14ac:dyDescent="0.45">
      <c r="A48">
        <v>37</v>
      </c>
      <c r="B48" s="6" t="n">
        <v>4397.7934521712</v>
      </c>
      <c r="C48" s="9">
        <f t="shared" si="0"/>
        <v>5.313078018730222E-3</v>
      </c>
      <c r="E48" s="371">
        <v>37</v>
      </c>
      <c r="F48" s="371" t="n">
        <v>4516.0</v>
      </c>
      <c r="G48" s="9">
        <f t="shared" si="1"/>
        <v>5.6199461952766532E-3</v>
      </c>
    </row>
    <row r="49" spans="1:7" x14ac:dyDescent="0.45">
      <c r="A49">
        <v>38</v>
      </c>
      <c r="B49" s="6" t="n">
        <v>7401.8104657561</v>
      </c>
      <c r="C49" s="9">
        <f t="shared" si="0"/>
        <v>8.9423018411654859E-3</v>
      </c>
      <c r="E49" s="371">
        <v>38</v>
      </c>
      <c r="F49" s="371" t="n">
        <v>4640.0</v>
      </c>
      <c r="G49" s="9">
        <f t="shared" si="1"/>
        <v>4.6884148478187554E-3</v>
      </c>
    </row>
    <row r="50" spans="1:7" x14ac:dyDescent="0.45">
      <c r="A50">
        <v>39</v>
      </c>
      <c r="B50" s="6" t="n">
        <v>7257.3489524035</v>
      </c>
      <c r="C50" s="9">
        <f t="shared" si="0"/>
        <v>8.7677744788658158E-3</v>
      </c>
      <c r="E50" s="371">
        <v>39</v>
      </c>
      <c r="F50" s="371" t="n">
        <v>3950.0</v>
      </c>
      <c r="G50" s="9">
        <f t="shared" si="1"/>
        <v>4.7740981557217229E-3</v>
      </c>
    </row>
    <row r="51" spans="1:7" x14ac:dyDescent="0.45">
      <c r="A51">
        <v>40</v>
      </c>
      <c r="B51" s="6" t="n">
        <v>2179.8435373172</v>
      </c>
      <c r="C51" s="9">
        <f t="shared" si="0"/>
        <v>2.6335204025266915E-3</v>
      </c>
      <c r="E51" s="371">
        <v>40</v>
      </c>
      <c r="F51" s="371" t="n">
        <v>3367.0</v>
      </c>
      <c r="G51" s="9">
        <f t="shared" si="1"/>
        <v>3.8799159424779393E-3</v>
      </c>
    </row>
    <row r="52" spans="1:7" x14ac:dyDescent="0.45">
      <c r="A52">
        <v>41</v>
      </c>
      <c r="B52" s="6" t="n">
        <v>1361.2943780764</v>
      </c>
      <c r="C52" s="9">
        <f t="shared" si="0"/>
        <v>1.6446118527026247E-3</v>
      </c>
      <c r="E52" s="371">
        <v>41</v>
      </c>
      <c r="F52" s="371" t="n">
        <v>4074.0</v>
      </c>
      <c r="G52" s="9">
        <f t="shared" si="1"/>
        <v>4.1336703543444183E-3</v>
      </c>
    </row>
    <row r="53" spans="1:7" x14ac:dyDescent="0.45">
      <c r="A53">
        <v>42</v>
      </c>
      <c r="B53" s="6" t="n">
        <v>1570.429064819</v>
      </c>
      <c r="C53" s="9">
        <f t="shared" si="0"/>
        <v>1.8972724014916001E-3</v>
      </c>
      <c r="E53" s="371">
        <v>42</v>
      </c>
      <c r="F53" s="371" t="n">
        <v>3025.0</v>
      </c>
      <c r="G53" s="9">
        <f t="shared" si="1"/>
        <v>3.3262699529510759E-3</v>
      </c>
    </row>
    <row r="54" spans="1:7" x14ac:dyDescent="0.45">
      <c r="A54">
        <v>43</v>
      </c>
      <c r="B54" s="6" t="n">
        <v>166.816897117</v>
      </c>
      <c r="C54" s="9">
        <f t="shared" si="0"/>
        <v>2.0153542881545285E-4</v>
      </c>
      <c r="E54" s="371">
        <v>43</v>
      </c>
      <c r="F54" s="371" t="n">
        <v>2702.0</v>
      </c>
      <c r="G54" s="9">
        <f t="shared" si="1"/>
        <v>3.0483484542401704E-3</v>
      </c>
    </row>
    <row r="55" spans="1:7" x14ac:dyDescent="0.45">
      <c r="A55">
        <v>44</v>
      </c>
      <c r="B55" s="6" t="n">
        <v>1677.879461423</v>
      </c>
      <c r="C55" s="9">
        <f t="shared" si="0"/>
        <v>2.0270857605111572E-3</v>
      </c>
      <c r="E55" s="371">
        <v>44</v>
      </c>
      <c r="F55" s="371" t="n">
        <v>2399.0</v>
      </c>
      <c r="G55" s="9">
        <f t="shared" si="1"/>
        <v>2.9582711305473075E-3</v>
      </c>
    </row>
    <row r="56" spans="1:7" x14ac:dyDescent="0.45">
      <c r="A56">
        <v>45</v>
      </c>
      <c r="B56" s="6" t="n">
        <v>34981.9315860991</v>
      </c>
      <c r="C56" s="9">
        <f t="shared" si="0"/>
        <v>4.2262496814412062E-2</v>
      </c>
      <c r="E56" s="371">
        <v>45</v>
      </c>
      <c r="F56" s="371" t="n">
        <v>2489.0</v>
      </c>
      <c r="G56" s="9">
        <f t="shared" si="1"/>
        <v>2.7660329397393691E-3</v>
      </c>
    </row>
    <row r="57" spans="1:7" x14ac:dyDescent="0.45">
      <c r="A57">
        <v>46</v>
      </c>
      <c r="B57" s="6" t="n">
        <v>2656.6600039386</v>
      </c>
      <c r="C57" s="9">
        <f t="shared" si="0"/>
        <v>3.2095736245178349E-3</v>
      </c>
      <c r="E57" s="371">
        <v>46</v>
      </c>
      <c r="F57" s="371" t="n">
        <v>1996.0</v>
      </c>
      <c r="G57" s="9">
        <f t="shared" si="1"/>
        <v>2.5814842765637478E-3</v>
      </c>
    </row>
    <row r="58" spans="1:7" x14ac:dyDescent="0.45">
      <c r="A58">
        <v>47</v>
      </c>
      <c r="B58" s="6" t="n">
        <v>918.5879227810001</v>
      </c>
      <c r="C58" s="9">
        <f t="shared" si="0"/>
        <v>1.109767740090035E-3</v>
      </c>
      <c r="E58" s="371">
        <v>47</v>
      </c>
      <c r="F58" s="371" t="n">
        <v>1743.0</v>
      </c>
      <c r="G58" s="9">
        <f t="shared" si="1"/>
        <v>2.1420826975741738E-3</v>
      </c>
    </row>
    <row r="59" spans="1:7" x14ac:dyDescent="0.45">
      <c r="A59">
        <v>48</v>
      </c>
      <c r="B59" s="6" t="n">
        <v>1523.3438377319999</v>
      </c>
      <c r="C59" s="9">
        <f t="shared" si="0"/>
        <v>1.8403876278514574E-3</v>
      </c>
      <c r="E59" s="371">
        <v>48</v>
      </c>
      <c r="F59" s="371" t="n">
        <v>2237.0</v>
      </c>
      <c r="G59" s="9">
        <f t="shared" si="1"/>
        <v>1.8356000962289458E-3</v>
      </c>
    </row>
    <row r="60" spans="1:7" x14ac:dyDescent="0.45">
      <c r="A60">
        <v>49</v>
      </c>
      <c r="B60" s="6" t="n">
        <v>1317.0669416869</v>
      </c>
      <c r="C60" s="9">
        <f t="shared" si="0"/>
        <v>1.5911796434228027E-3</v>
      </c>
      <c r="E60" s="371">
        <v>49</v>
      </c>
      <c r="F60" s="371" t="n">
        <v>1593.0</v>
      </c>
      <c r="G60" s="9">
        <f t="shared" si="1"/>
        <v>2.4178071883901313E-3</v>
      </c>
    </row>
    <row r="61" spans="1:7" x14ac:dyDescent="0.45">
      <c r="A61">
        <v>50</v>
      </c>
      <c r="B61" s="6" t="n">
        <v>576.395338841</v>
      </c>
      <c r="C61" s="9">
        <f t="shared" si="0"/>
        <v>6.9635680670331285E-4</v>
      </c>
      <c r="E61" s="371">
        <v>50</v>
      </c>
      <c r="F61" s="371" t="n">
        <v>1634.0</v>
      </c>
      <c r="G61" s="9">
        <f t="shared" si="1"/>
        <v>1.6730215120028034E-3</v>
      </c>
    </row>
    <row r="62" spans="1:7" x14ac:dyDescent="0.45">
      <c r="A62">
        <v>51</v>
      </c>
      <c r="B62" s="6" t="n">
        <v>1820.3334592241001</v>
      </c>
      <c r="C62" s="9">
        <f t="shared" si="0"/>
        <v>2.1991877959133882E-3</v>
      </c>
      <c r="E62" s="371">
        <v>51</v>
      </c>
      <c r="F62" s="371" t="n">
        <v>1271.0</v>
      </c>
      <c r="G62" s="9">
        <f t="shared" si="1"/>
        <v>1.5851411962048885E-3</v>
      </c>
    </row>
    <row r="63" spans="1:7" x14ac:dyDescent="0.45">
      <c r="A63">
        <v>52</v>
      </c>
      <c r="B63" s="6" t="n">
        <v>2367.273756757</v>
      </c>
      <c r="C63" s="9">
        <f t="shared" si="0"/>
        <v>2.8599592723330346E-3</v>
      </c>
      <c r="E63" s="371">
        <v>52</v>
      </c>
      <c r="F63" s="371" t="n">
        <v>1205.0</v>
      </c>
      <c r="G63" s="9">
        <f t="shared" si="1"/>
        <v>1.3522583593404143E-3</v>
      </c>
    </row>
    <row r="64" spans="1:7" x14ac:dyDescent="0.45">
      <c r="A64">
        <v>53</v>
      </c>
      <c r="B64" s="6" t="n">
        <v>1634.4932878509999</v>
      </c>
      <c r="C64" s="9">
        <f t="shared" si="0"/>
        <v>1.9746699006875442E-3</v>
      </c>
      <c r="E64" s="371">
        <v>53</v>
      </c>
      <c r="F64" s="371" t="n">
        <v>1142.0</v>
      </c>
      <c r="G64" s="9">
        <f t="shared" si="1"/>
        <v>1.1138830027385704E-3</v>
      </c>
    </row>
    <row r="65" spans="1:7" x14ac:dyDescent="0.45">
      <c r="A65">
        <v>54</v>
      </c>
      <c r="B65" s="6" t="n">
        <v>497.294945861</v>
      </c>
      <c r="C65" s="9">
        <f t="shared" si="0"/>
        <v>6.007937558721115E-4</v>
      </c>
      <c r="E65" s="371">
        <v>54</v>
      </c>
      <c r="F65" s="371" t="n">
        <v>1108.0</v>
      </c>
      <c r="G65" s="9">
        <f t="shared" si="1"/>
        <v>1.1171785145809921E-3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1041.0</v>
      </c>
      <c r="G66" s="9">
        <f t="shared" si="1"/>
        <v>1.1028979632638309E-3</v>
      </c>
    </row>
    <row r="67" spans="1:7" x14ac:dyDescent="0.45">
      <c r="A67">
        <v>56</v>
      </c>
      <c r="B67" s="6" t="n">
        <v>1411.82231242</v>
      </c>
      <c r="C67" s="9">
        <f t="shared" si="0"/>
        <v>1.7056558421970119E-3</v>
      </c>
      <c r="E67" s="371">
        <v>56</v>
      </c>
      <c r="F67" s="371" t="n">
        <v>929.0</v>
      </c>
      <c r="G67" s="9">
        <f t="shared" si="1"/>
        <v>1.0875189079991958E-3</v>
      </c>
    </row>
    <row r="68" spans="1:7" x14ac:dyDescent="0.45">
      <c r="A68">
        <v>57</v>
      </c>
      <c r="B68" s="6" t="n">
        <v>407.7075447018</v>
      </c>
      <c r="C68" s="9">
        <f t="shared" si="0"/>
        <v>4.9256110305866097E-4</v>
      </c>
      <c r="E68" s="371">
        <v>57</v>
      </c>
      <c r="F68" s="371" t="n">
        <v>740.0</v>
      </c>
      <c r="G68" s="9">
        <f t="shared" si="1"/>
        <v>7.9971087376102482E-4</v>
      </c>
    </row>
    <row r="69" spans="1:7" x14ac:dyDescent="0.45">
      <c r="A69">
        <v>58</v>
      </c>
      <c r="B69" s="6" t="n">
        <v>401.236422482</v>
      </c>
      <c r="C69" s="9">
        <f t="shared" si="0"/>
        <v>4.8474318764347437E-4</v>
      </c>
      <c r="E69" s="371">
        <v>58</v>
      </c>
      <c r="F69" s="371" t="n">
        <v>766.0</v>
      </c>
      <c r="G69" s="9">
        <f t="shared" si="1"/>
        <v>8.7550764613672635E-4</v>
      </c>
    </row>
    <row r="70" spans="1:7" x14ac:dyDescent="0.45">
      <c r="A70">
        <v>59</v>
      </c>
      <c r="B70" s="6" t="n">
        <v>5013.6074087342995</v>
      </c>
      <c r="C70" s="9">
        <f t="shared" si="0"/>
        <v>6.0570573874355353E-3</v>
      </c>
      <c r="E70" s="371">
        <v>59</v>
      </c>
      <c r="F70" s="371" t="n">
        <v>646.0</v>
      </c>
      <c r="G70" s="9">
        <f t="shared" si="1"/>
        <v>8.5683307902966951E-4</v>
      </c>
    </row>
    <row r="71" spans="1:7" x14ac:dyDescent="0.45">
      <c r="A71">
        <v>60</v>
      </c>
      <c r="B71" s="6" t="n">
        <v>4757.6773804485</v>
      </c>
      <c r="C71" s="9">
        <f t="shared" si="0"/>
        <v>5.747862282570626E-3</v>
      </c>
      <c r="E71" s="371">
        <v>60</v>
      </c>
      <c r="F71" s="371" t="n">
        <v>876.0</v>
      </c>
      <c r="G71" s="9">
        <f t="shared" si="1"/>
        <v>6.5690536058941331E-4</v>
      </c>
    </row>
    <row r="72" spans="1:7" x14ac:dyDescent="0.45">
      <c r="A72">
        <v>61</v>
      </c>
      <c r="B72" s="6" t="n">
        <v>5067.707759863</v>
      </c>
      <c r="C72" s="9">
        <f t="shared" si="0"/>
        <v>6.1224172979255512E-3</v>
      </c>
      <c r="E72" s="371">
        <v>61</v>
      </c>
      <c r="F72" s="371" t="n">
        <v>547.0</v>
      </c>
      <c r="G72" s="9">
        <f t="shared" si="1"/>
        <v>5.9648764347834682E-4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481.0</v>
      </c>
      <c r="G73" s="9">
        <f t="shared" si="1"/>
        <v>5.8989661979350321E-4</v>
      </c>
    </row>
    <row r="74" spans="1:7" x14ac:dyDescent="0.45">
      <c r="A74">
        <v>63</v>
      </c>
      <c r="B74" s="6" t="n">
        <v>292.681617382</v>
      </c>
      <c r="C74" s="9">
        <f t="shared" si="0"/>
        <v>3.5359556666559379E-4</v>
      </c>
      <c r="E74" s="371">
        <v>63</v>
      </c>
      <c r="F74" s="371" t="n">
        <v>427.0</v>
      </c>
      <c r="G74" s="9">
        <f t="shared" si="1"/>
        <v>5.0750882373295809E-4</v>
      </c>
    </row>
    <row r="75" spans="1:7" x14ac:dyDescent="0.45">
      <c r="A75">
        <v>64</v>
      </c>
      <c r="B75" s="6" t="n">
        <v>139.99557747</v>
      </c>
      <c r="C75" s="9">
        <f t="shared" si="0"/>
        <v>1.6913195980317847E-4</v>
      </c>
      <c r="E75" s="371">
        <v>64</v>
      </c>
      <c r="F75" s="371" t="n">
        <v>426.0</v>
      </c>
      <c r="G75" s="9">
        <f t="shared" si="1"/>
        <v>4.6027315399157885E-4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367.0</v>
      </c>
      <c r="G76" s="9">
        <f t="shared" si="1"/>
        <v>4.2621953161988687E-4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394.0</v>
      </c>
      <c r="G77" s="9">
        <f t="shared" ref="G77:G102" si="3">F77/F$102</f>
        <v>4.5368213030673525E-4</v>
      </c>
    </row>
    <row r="78" spans="1:7" x14ac:dyDescent="0.45">
      <c r="A78">
        <v>67</v>
      </c>
      <c r="B78" s="6" t="n">
        <v>572.780526274</v>
      </c>
      <c r="C78" s="9">
        <f t="shared" si="2"/>
        <v>6.9198966636340538E-4</v>
      </c>
      <c r="E78" s="371">
        <v>67</v>
      </c>
      <c r="F78" s="371" t="n">
        <v>398.0</v>
      </c>
      <c r="G78" s="9">
        <f t="shared" si="3"/>
        <v>3.8227937372092949E-4</v>
      </c>
    </row>
    <row r="79" spans="1:7" x14ac:dyDescent="0.45">
      <c r="A79">
        <v>68</v>
      </c>
      <c r="B79" s="6" t="n">
        <v>417.967608267</v>
      </c>
      <c r="C79" s="9">
        <f t="shared" si="2"/>
        <v>5.0495652789884441E-4</v>
      </c>
      <c r="E79" s="371">
        <v>68</v>
      </c>
      <c r="F79" s="371" t="n">
        <v>351.0</v>
      </c>
      <c r="G79" s="9">
        <f t="shared" si="3"/>
        <v>3.4932425529671143E-4</v>
      </c>
    </row>
    <row r="80" spans="1:7" x14ac:dyDescent="0.45">
      <c r="A80">
        <v>69</v>
      </c>
      <c r="B80" s="6" t="n">
        <v>1800.3456108754</v>
      </c>
      <c r="C80" s="9">
        <f t="shared" si="2"/>
        <v>2.1750400047862808E-3</v>
      </c>
      <c r="E80" s="371">
        <v>69</v>
      </c>
      <c r="F80" s="371" t="n">
        <v>312.0</v>
      </c>
      <c r="G80" s="9">
        <f t="shared" si="3"/>
        <v>3.185661447674412E-4</v>
      </c>
    </row>
    <row r="81" spans="1:7" x14ac:dyDescent="0.45">
      <c r="A81">
        <v>70</v>
      </c>
      <c r="B81" s="6" t="n">
        <v>447.66186162099996</v>
      </c>
      <c r="C81" s="9">
        <f t="shared" si="2"/>
        <v>5.4083085589845818E-4</v>
      </c>
      <c r="E81" s="371">
        <v>70</v>
      </c>
      <c r="F81" s="371" t="n">
        <v>306.0</v>
      </c>
      <c r="G81" s="9">
        <f t="shared" si="3"/>
        <v>3.6250630266639863E-4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264.0</v>
      </c>
      <c r="G82" s="9">
        <f t="shared" si="3"/>
        <v>3.2735417634723268E-4</v>
      </c>
    </row>
    <row r="83" spans="1:7" x14ac:dyDescent="0.45">
      <c r="A83">
        <v>72</v>
      </c>
      <c r="B83" s="6" t="n">
        <v>5043.1483091938</v>
      </c>
      <c r="C83" s="9">
        <f t="shared" si="2"/>
        <v>6.0927464461855273E-3</v>
      </c>
      <c r="E83" s="371">
        <v>72</v>
      </c>
      <c r="F83" s="371" t="n">
        <v>264.0</v>
      </c>
      <c r="G83" s="9">
        <f t="shared" si="3"/>
        <v>3.2405866450481088E-4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225.0</v>
      </c>
      <c r="G84" s="9">
        <f t="shared" si="3"/>
        <v>2.4496638028668756E-4</v>
      </c>
    </row>
    <row r="85" spans="1:7" x14ac:dyDescent="0.45">
      <c r="A85">
        <v>74</v>
      </c>
      <c r="B85" s="6" t="n">
        <v>1148.663232487</v>
      </c>
      <c r="C85" s="9">
        <f t="shared" si="2"/>
        <v>1.3877271494952199E-3</v>
      </c>
      <c r="E85" s="371">
        <v>74</v>
      </c>
      <c r="F85" s="371" t="n">
        <v>197.0</v>
      </c>
      <c r="G85" s="9">
        <f t="shared" si="3"/>
        <v>2.2739031712710461E-4</v>
      </c>
    </row>
    <row r="86" spans="1:7" x14ac:dyDescent="0.45">
      <c r="A86">
        <v>75</v>
      </c>
      <c r="B86" s="6" t="n">
        <v>163.60110245</v>
      </c>
      <c r="C86" s="9">
        <f t="shared" si="2"/>
        <v>1.9765035141384088E-4</v>
      </c>
      <c r="E86" s="371">
        <v>75</v>
      </c>
      <c r="F86" s="371" t="n">
        <v>224.0</v>
      </c>
      <c r="G86" s="9">
        <f t="shared" si="3"/>
        <v>2.3727685265437001E-4</v>
      </c>
    </row>
    <row r="87" spans="1:7" x14ac:dyDescent="0.45">
      <c r="A87">
        <v>76</v>
      </c>
      <c r="B87" s="6" t="n">
        <v>389.7060896903</v>
      </c>
      <c r="C87" s="9">
        <f t="shared" si="2"/>
        <v>4.7081312058359898E-4</v>
      </c>
      <c r="E87" s="371">
        <v>76</v>
      </c>
      <c r="F87" s="371" t="n">
        <v>172.0</v>
      </c>
      <c r="G87" s="9">
        <f t="shared" si="3"/>
        <v>2.1530677370489132E-4</v>
      </c>
    </row>
    <row r="88" spans="1:7" x14ac:dyDescent="0.45">
      <c r="A88">
        <v>77</v>
      </c>
      <c r="B88" s="6" t="n">
        <v>675.1977254860001</v>
      </c>
      <c r="C88" s="9">
        <f t="shared" si="2"/>
        <v>8.1572230087459277E-4</v>
      </c>
      <c r="E88" s="371">
        <v>77</v>
      </c>
      <c r="F88" s="371" t="n">
        <v>172.0</v>
      </c>
      <c r="G88" s="9">
        <f t="shared" si="3"/>
        <v>2.0102622238773015E-4</v>
      </c>
    </row>
    <row r="89" spans="1:7" x14ac:dyDescent="0.45">
      <c r="A89">
        <v>78</v>
      </c>
      <c r="B89" s="6" t="n">
        <v>396.701349191</v>
      </c>
      <c r="C89" s="9">
        <f t="shared" si="2"/>
        <v>4.7926425861286086E-4</v>
      </c>
      <c r="E89" s="371">
        <v>78</v>
      </c>
      <c r="F89" s="371" t="n">
        <v>159.0</v>
      </c>
      <c r="G89" s="9">
        <f t="shared" si="3"/>
        <v>2.2409480528468278E-4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153.0</v>
      </c>
      <c r="G90" s="9">
        <f t="shared" si="3"/>
        <v>1.8454866317562112E-4</v>
      </c>
    </row>
    <row r="91" spans="1:7" x14ac:dyDescent="0.45">
      <c r="A91">
        <v>80</v>
      </c>
      <c r="B91" s="6" t="n">
        <v>5233.4319689765</v>
      </c>
      <c r="C91" s="9">
        <f t="shared" si="2"/>
        <v>6.3226326245861691E-3</v>
      </c>
      <c r="E91" s="371">
        <v>80</v>
      </c>
      <c r="F91" s="371" t="n">
        <v>138.0</v>
      </c>
      <c r="G91" s="9">
        <f t="shared" si="3"/>
        <v>1.5818456843624668E-4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141.0</v>
      </c>
      <c r="G92" s="9">
        <f t="shared" si="3"/>
        <v>1.7356362370088177E-4</v>
      </c>
    </row>
    <row r="93" spans="1:7" x14ac:dyDescent="0.45">
      <c r="A93">
        <v>82</v>
      </c>
      <c r="B93" s="6" t="n">
        <v>5586.8327977748</v>
      </c>
      <c r="C93" s="9">
        <f t="shared" si="2"/>
        <v>6.7495845030019902E-3</v>
      </c>
      <c r="E93" s="371">
        <v>82</v>
      </c>
      <c r="F93" s="371" t="n">
        <v>188.0</v>
      </c>
      <c r="G93" s="9">
        <f t="shared" si="3"/>
        <v>1.7026811185845997E-4</v>
      </c>
    </row>
    <row r="94" spans="1:7" x14ac:dyDescent="0.45">
      <c r="A94">
        <v>83</v>
      </c>
      <c r="B94" s="6" t="n">
        <v>4737.5454665157</v>
      </c>
      <c r="C94" s="9">
        <f t="shared" si="2"/>
        <v>5.7235404424126899E-3</v>
      </c>
      <c r="E94" s="371">
        <v>83</v>
      </c>
      <c r="F94" s="371" t="n">
        <v>132.0</v>
      </c>
      <c r="G94" s="9">
        <f t="shared" si="3"/>
        <v>1.6148008027866848E-4</v>
      </c>
    </row>
    <row r="95" spans="1:7" x14ac:dyDescent="0.45">
      <c r="A95">
        <v>84</v>
      </c>
      <c r="B95" s="6" t="n">
        <v>1122.5382264593</v>
      </c>
      <c r="C95" s="9">
        <f t="shared" si="2"/>
        <v>1.3561649133932857E-3</v>
      </c>
      <c r="E95" s="371">
        <v>84</v>
      </c>
      <c r="F95" s="371" t="n">
        <v>137.0</v>
      </c>
      <c r="G95" s="9">
        <f t="shared" si="3"/>
        <v>1.6807110396351209E-4</v>
      </c>
    </row>
    <row r="96" spans="1:7" x14ac:dyDescent="0.45">
      <c r="A96">
        <v>85</v>
      </c>
      <c r="B96" s="6" t="n">
        <v>2026.8807861107</v>
      </c>
      <c r="C96" s="9">
        <f t="shared" si="2"/>
        <v>2.4487224942214432E-3</v>
      </c>
      <c r="E96" s="371">
        <v>85</v>
      </c>
      <c r="F96" s="371" t="n">
        <v>126.0</v>
      </c>
      <c r="G96" s="9">
        <f t="shared" si="3"/>
        <v>1.2852496185445042E-4</v>
      </c>
    </row>
    <row r="97" spans="1:7" x14ac:dyDescent="0.45">
      <c r="A97">
        <v>86</v>
      </c>
      <c r="B97" s="6" t="n">
        <v>4191.5226006486</v>
      </c>
      <c r="C97" s="9">
        <f t="shared" si="2"/>
        <v>5.0638773368317964E-3</v>
      </c>
      <c r="E97" s="371">
        <v>86</v>
      </c>
      <c r="F97" s="371" t="n">
        <v>122.0</v>
      </c>
      <c r="G97" s="9">
        <f t="shared" si="3"/>
        <v>1.2193393816960681E-4</v>
      </c>
    </row>
    <row r="98" spans="1:7" x14ac:dyDescent="0.45">
      <c r="A98">
        <v>87</v>
      </c>
      <c r="B98" s="6" t="n">
        <v>180.749366264</v>
      </c>
      <c r="C98" s="9">
        <f t="shared" si="2"/>
        <v>2.1836757347541108E-4</v>
      </c>
      <c r="E98" s="371">
        <v>87</v>
      </c>
      <c r="F98" s="371" t="n">
        <v>106.0</v>
      </c>
      <c r="G98" s="9">
        <f t="shared" si="3"/>
        <v>1.0985039474739352E-4</v>
      </c>
    </row>
    <row r="99" spans="1:7" x14ac:dyDescent="0.45">
      <c r="A99">
        <v>88</v>
      </c>
      <c r="B99" s="6" t="n">
        <v>418.0378414412</v>
      </c>
      <c r="C99" s="9">
        <f t="shared" si="2"/>
        <v>5.0504137825347923E-4</v>
      </c>
      <c r="E99" s="371">
        <v>88</v>
      </c>
      <c r="F99" s="371" t="n">
        <v>131.0</v>
      </c>
      <c r="G99" s="9">
        <f t="shared" si="3"/>
        <v>1.4390401711908551E-4</v>
      </c>
    </row>
    <row r="100" spans="1:7" x14ac:dyDescent="0.45">
      <c r="A100">
        <v>89</v>
      </c>
      <c r="B100" s="6" t="n">
        <v>3949.6120293596</v>
      </c>
      <c r="C100" s="9">
        <f t="shared" si="2"/>
        <v>4.771619468700335E-3</v>
      </c>
      <c r="E100" s="371">
        <v>89</v>
      </c>
      <c r="F100" s="371" t="n">
        <v>94.0</v>
      </c>
      <c r="G100" s="9">
        <f t="shared" si="3"/>
        <v>1.2193393816960681E-4</v>
      </c>
    </row>
    <row r="101" spans="1:7" ht="14.65" thickBot="1" x14ac:dyDescent="0.5">
      <c r="A101" s="1">
        <v>90</v>
      </c>
      <c r="B101" s="7" t="n">
        <v>29923.6103613486</v>
      </c>
      <c r="C101" s="9">
        <f t="shared" si="2"/>
        <v>3.6151419610995418E-2</v>
      </c>
      <c r="E101" s="372">
        <v>90</v>
      </c>
      <c r="F101" s="372" t="n">
        <v>6125.0</v>
      </c>
      <c r="G101" s="9">
        <f t="shared" si="3"/>
        <v>6.9985686493564412E-3</v>
      </c>
    </row>
    <row r="102" spans="1:7" x14ac:dyDescent="0.45">
      <c r="B102" s="6">
        <f>SUM(B11:B101)</f>
        <v>827729.88400841015</v>
      </c>
      <c r="C102" s="9">
        <f t="shared" si="2"/>
        <v>1</v>
      </c>
      <c r="F102" s="6">
        <f>SUM(F11:F101)</f>
        <v>910329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102"/>
  <sheetViews>
    <sheetView workbookViewId="0">
      <selection activeCell="H11" sqref="H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12.0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88989.0822894533</v>
      </c>
      <c r="C11" s="9">
        <f>B11/B$102</f>
        <v>5.2146290719061919E-2</v>
      </c>
      <c r="E11" s="371">
        <v>0</v>
      </c>
      <c r="F11" s="371" t="n">
        <v>212898.0</v>
      </c>
      <c r="G11" s="9">
        <f>F11/F$102</f>
        <v>0.11501385137643819</v>
      </c>
      <c r="K11" s="6" t="n">
        <v>6.8425498388975505</v>
      </c>
      <c r="L11" s="6" t="n">
        <v>5.746370403359377</v>
      </c>
    </row>
    <row r="12" spans="1:12" x14ac:dyDescent="0.45">
      <c r="A12">
        <v>1</v>
      </c>
      <c r="B12" s="6" t="n">
        <v>144351.9775061903</v>
      </c>
      <c r="C12" s="9">
        <f>B12/B$102</f>
        <v>8.4588131389252585E-2</v>
      </c>
      <c r="E12" s="371">
        <v>1</v>
      </c>
      <c r="F12" s="371" t="n">
        <v>209813.0</v>
      </c>
      <c r="G12" s="9">
        <f>F12/F$102</f>
        <v>0.11389674369343659</v>
      </c>
      <c r="K12" s="6"/>
      <c r="L12" s="371"/>
    </row>
    <row r="13" spans="1:12" x14ac:dyDescent="0.45">
      <c r="A13">
        <v>2</v>
      </c>
      <c r="B13" s="6" t="n">
        <v>158978.2238425212</v>
      </c>
      <c r="C13" s="9">
        <f t="shared" ref="C13:C76" si="0">B13/B$102</f>
        <v>9.3158896183770726E-2</v>
      </c>
      <c r="E13" s="371">
        <v>2</v>
      </c>
      <c r="F13" s="371" t="n">
        <v>138129.0</v>
      </c>
      <c r="G13" s="9">
        <f t="shared" ref="G13:G76" si="1">F13/F$102</f>
        <v>7.4451080602490158E-2</v>
      </c>
    </row>
    <row r="14" spans="1:12" x14ac:dyDescent="0.45">
      <c r="A14">
        <v>3</v>
      </c>
      <c r="B14" s="6" t="n">
        <v>169110.3044010722</v>
      </c>
      <c r="C14" s="9">
        <f t="shared" si="0"/>
        <v>9.9096146066588939E-2</v>
      </c>
      <c r="E14" s="371">
        <v>3</v>
      </c>
      <c r="F14" s="371" t="n">
        <v>92059.0</v>
      </c>
      <c r="G14" s="9">
        <f t="shared" si="1"/>
        <v>4.9655734621611616E-2</v>
      </c>
    </row>
    <row r="15" spans="1:12" x14ac:dyDescent="0.45">
      <c r="A15">
        <v>4</v>
      </c>
      <c r="B15" s="6" t="n">
        <v>268965.1926010485</v>
      </c>
      <c r="C15" s="9">
        <f t="shared" si="0"/>
        <v>0.15760963891123325</v>
      </c>
      <c r="E15" s="371">
        <v>4</v>
      </c>
      <c r="F15" s="371" t="n">
        <v>308084.0</v>
      </c>
      <c r="G15" s="9">
        <f t="shared" si="1"/>
        <v>0.16661219343903849</v>
      </c>
    </row>
    <row r="16" spans="1:12" x14ac:dyDescent="0.45">
      <c r="A16">
        <v>5</v>
      </c>
      <c r="B16" s="6" t="n">
        <v>180812.668571439</v>
      </c>
      <c r="C16" s="9">
        <f t="shared" si="0"/>
        <v>0.10595355900341841</v>
      </c>
      <c r="E16" s="371">
        <v>5</v>
      </c>
      <c r="F16" s="371" t="n">
        <v>181959.0</v>
      </c>
      <c r="G16" s="9">
        <f t="shared" si="1"/>
        <v>9.7946115408443515E-2</v>
      </c>
    </row>
    <row r="17" spans="1:7" x14ac:dyDescent="0.45">
      <c r="A17">
        <v>6</v>
      </c>
      <c r="B17" s="6" t="n">
        <v>169934.7394024362</v>
      </c>
      <c r="C17" s="9">
        <f t="shared" si="0"/>
        <v>9.9579252827036918E-2</v>
      </c>
      <c r="E17" s="371">
        <v>6</v>
      </c>
      <c r="F17" s="371" t="n">
        <v>163732.0</v>
      </c>
      <c r="G17" s="9">
        <f t="shared" si="1"/>
        <v>8.9251537852388929E-2</v>
      </c>
    </row>
    <row r="18" spans="1:7" x14ac:dyDescent="0.45">
      <c r="A18">
        <v>7</v>
      </c>
      <c r="B18" s="6" t="n">
        <v>79434.4889136263</v>
      </c>
      <c r="C18" s="9">
        <f t="shared" si="0"/>
        <v>4.6547439814434169E-2</v>
      </c>
      <c r="E18" s="371">
        <v>7</v>
      </c>
      <c r="F18" s="371" t="n">
        <v>96859.0</v>
      </c>
      <c r="G18" s="9">
        <f t="shared" si="1"/>
        <v>5.7468442114471829E-2</v>
      </c>
    </row>
    <row r="19" spans="1:7" x14ac:dyDescent="0.45">
      <c r="A19">
        <v>8</v>
      </c>
      <c r="B19" s="6" t="n">
        <v>65695.4420657575</v>
      </c>
      <c r="C19" s="9">
        <f t="shared" si="0"/>
        <v>3.8496560844793561E-2</v>
      </c>
      <c r="E19" s="371">
        <v>8</v>
      </c>
      <c r="F19" s="371" t="n">
        <v>138005.0</v>
      </c>
      <c r="G19" s="9">
        <f t="shared" si="1"/>
        <v>7.1480257113634399E-2</v>
      </c>
    </row>
    <row r="20" spans="1:7" x14ac:dyDescent="0.45">
      <c r="A20">
        <v>9</v>
      </c>
      <c r="B20" s="6" t="n">
        <v>52864.0558629907</v>
      </c>
      <c r="C20" s="9">
        <f t="shared" si="0"/>
        <v>3.0977557636269203E-2</v>
      </c>
      <c r="E20" s="371">
        <v>9</v>
      </c>
      <c r="F20" s="371" t="n">
        <v>55279.0</v>
      </c>
      <c r="G20" s="9">
        <f t="shared" si="1"/>
        <v>3.0604739550219168E-2</v>
      </c>
    </row>
    <row r="21" spans="1:7" x14ac:dyDescent="0.45">
      <c r="A21">
        <v>10</v>
      </c>
      <c r="B21" s="6" t="n">
        <v>69887.9369850826</v>
      </c>
      <c r="C21" s="9">
        <f t="shared" si="0"/>
        <v>4.0953301079401275E-2</v>
      </c>
      <c r="E21" s="371">
        <v>10</v>
      </c>
      <c r="F21" s="371" t="n">
        <v>41686.0</v>
      </c>
      <c r="G21" s="9">
        <f t="shared" si="1"/>
        <v>2.0919345475713884E-2</v>
      </c>
    </row>
    <row r="22" spans="1:7" x14ac:dyDescent="0.45">
      <c r="A22">
        <v>11</v>
      </c>
      <c r="B22" s="6" t="n">
        <v>20370.3425742806</v>
      </c>
      <c r="C22" s="9">
        <f t="shared" si="0"/>
        <v>1.1936720534662859E-2</v>
      </c>
      <c r="E22" s="371">
        <v>11</v>
      </c>
      <c r="F22" s="371" t="n">
        <v>47192.0</v>
      </c>
      <c r="G22" s="9">
        <f t="shared" si="1"/>
        <v>2.2638639784535348E-2</v>
      </c>
    </row>
    <row r="23" spans="1:7" x14ac:dyDescent="0.45">
      <c r="A23">
        <v>12</v>
      </c>
      <c r="B23" s="6" t="n">
        <v>40885.8840611204</v>
      </c>
      <c r="C23" s="9">
        <f t="shared" si="0"/>
        <v>2.3958525492174084E-2</v>
      </c>
      <c r="E23" s="371">
        <v>12</v>
      </c>
      <c r="F23" s="371" t="n">
        <v>26969.0</v>
      </c>
      <c r="G23" s="9">
        <f t="shared" si="1"/>
        <v>1.5992906013898533E-2</v>
      </c>
    </row>
    <row r="24" spans="1:7" x14ac:dyDescent="0.45">
      <c r="A24">
        <v>13</v>
      </c>
      <c r="B24" s="6" t="n">
        <v>18813.9798094492</v>
      </c>
      <c r="C24" s="9">
        <f t="shared" si="0"/>
        <v>1.1024714891821885E-2</v>
      </c>
      <c r="E24" s="371">
        <v>13</v>
      </c>
      <c r="F24" s="371" t="n">
        <v>24941.0</v>
      </c>
      <c r="G24" s="9">
        <f t="shared" si="1"/>
        <v>1.3280627097964544E-2</v>
      </c>
    </row>
    <row r="25" spans="1:7" x14ac:dyDescent="0.45">
      <c r="A25">
        <v>14</v>
      </c>
      <c r="B25" s="6" t="n">
        <v>16201.9636071072</v>
      </c>
      <c r="C25" s="9">
        <f t="shared" si="0"/>
        <v>9.4941118926001617E-3</v>
      </c>
      <c r="E25" s="371">
        <v>14</v>
      </c>
      <c r="F25" s="371" t="n">
        <v>17951.0</v>
      </c>
      <c r="G25" s="9">
        <f t="shared" si="1"/>
        <v>1.0999797825732285E-2</v>
      </c>
    </row>
    <row r="26" spans="1:7" x14ac:dyDescent="0.45">
      <c r="A26">
        <v>15</v>
      </c>
      <c r="B26" s="6" t="n">
        <v>24241.415518187998</v>
      </c>
      <c r="C26" s="9">
        <f t="shared" si="0"/>
        <v>1.4205112228725919E-2</v>
      </c>
      <c r="E26" s="371">
        <v>15</v>
      </c>
      <c r="F26" s="371" t="n">
        <v>19512.0</v>
      </c>
      <c r="G26" s="9">
        <f t="shared" si="1"/>
        <v>1.0306009453950609E-2</v>
      </c>
    </row>
    <row r="27" spans="1:7" x14ac:dyDescent="0.45">
      <c r="A27">
        <v>16</v>
      </c>
      <c r="B27" s="6" t="n">
        <v>22263.991603392602</v>
      </c>
      <c r="C27" s="9">
        <f t="shared" si="0"/>
        <v>1.3046370957517563E-2</v>
      </c>
      <c r="E27" s="371">
        <v>16</v>
      </c>
      <c r="F27" s="371" t="n">
        <v>17813.0</v>
      </c>
      <c r="G27" s="9">
        <f t="shared" si="1"/>
        <v>9.4246814129216993E-3</v>
      </c>
    </row>
    <row r="28" spans="1:7" x14ac:dyDescent="0.45">
      <c r="A28">
        <v>17</v>
      </c>
      <c r="B28" s="6" t="n">
        <v>13011.9076555398</v>
      </c>
      <c r="C28" s="9">
        <f t="shared" si="0"/>
        <v>7.6247861193617693E-3</v>
      </c>
      <c r="E28" s="371">
        <v>17</v>
      </c>
      <c r="F28" s="371" t="n">
        <v>13478.0</v>
      </c>
      <c r="G28" s="9">
        <f t="shared" si="1"/>
        <v>6.2050697501223615E-3</v>
      </c>
    </row>
    <row r="29" spans="1:7" x14ac:dyDescent="0.45">
      <c r="A29">
        <v>18</v>
      </c>
      <c r="B29" s="6" t="n">
        <v>10901.8437191889</v>
      </c>
      <c r="C29" s="9">
        <f t="shared" si="0"/>
        <v>6.3883197503428945E-3</v>
      </c>
      <c r="E29" s="371">
        <v>18</v>
      </c>
      <c r="F29" s="371" t="n">
        <v>8625.0</v>
      </c>
      <c r="G29" s="9">
        <f t="shared" si="1"/>
        <v>4.880367577751725E-3</v>
      </c>
    </row>
    <row r="30" spans="1:7" x14ac:dyDescent="0.45">
      <c r="A30">
        <v>19</v>
      </c>
      <c r="B30" s="6" t="n">
        <v>5698.4546146293005</v>
      </c>
      <c r="C30" s="9">
        <f t="shared" si="0"/>
        <v>3.3392104215356887E-3</v>
      </c>
      <c r="E30" s="371">
        <v>19</v>
      </c>
      <c r="F30" s="371" t="n">
        <v>6176.0</v>
      </c>
      <c r="G30" s="9">
        <f t="shared" si="1"/>
        <v>3.4564753491029263E-3</v>
      </c>
    </row>
    <row r="31" spans="1:7" x14ac:dyDescent="0.45">
      <c r="A31">
        <v>20</v>
      </c>
      <c r="B31" s="6" t="n">
        <v>6297.8179559432</v>
      </c>
      <c r="C31" s="9">
        <f t="shared" si="0"/>
        <v>3.6904285062535611E-3</v>
      </c>
      <c r="E31" s="371">
        <v>20</v>
      </c>
      <c r="F31" s="371" t="n">
        <v>4905.0</v>
      </c>
      <c r="G31" s="9">
        <f t="shared" si="1"/>
        <v>2.5279913796794808E-3</v>
      </c>
    </row>
    <row r="32" spans="1:7" x14ac:dyDescent="0.45">
      <c r="A32">
        <v>21</v>
      </c>
      <c r="B32" s="6" t="n">
        <v>4027.3734591741</v>
      </c>
      <c r="C32" s="9">
        <f t="shared" si="0"/>
        <v>2.3599814924849119E-3</v>
      </c>
      <c r="E32" s="371">
        <v>21</v>
      </c>
      <c r="F32" s="371" t="n">
        <v>3801.0</v>
      </c>
      <c r="G32" s="9">
        <f t="shared" si="1"/>
        <v>2.176218994299553E-3</v>
      </c>
    </row>
    <row r="33" spans="1:7" x14ac:dyDescent="0.45">
      <c r="A33">
        <v>22</v>
      </c>
      <c r="B33" s="6" t="n">
        <v>4862.7571396641</v>
      </c>
      <c r="C33" s="9">
        <f t="shared" si="0"/>
        <v>2.8495040175413851E-3</v>
      </c>
      <c r="E33" s="371">
        <v>22</v>
      </c>
      <c r="F33" s="371" t="n">
        <v>3195.0</v>
      </c>
      <c r="G33" s="9">
        <f t="shared" si="1"/>
        <v>1.517120041106961E-3</v>
      </c>
    </row>
    <row r="34" spans="1:7" x14ac:dyDescent="0.45">
      <c r="A34">
        <v>23</v>
      </c>
      <c r="B34" s="6" t="n">
        <v>10382.7599595237</v>
      </c>
      <c r="C34" s="9">
        <f t="shared" si="0"/>
        <v>6.0841443173274079E-3</v>
      </c>
      <c r="E34" s="371">
        <v>23</v>
      </c>
      <c r="F34" s="371" t="n">
        <v>2716.0</v>
      </c>
      <c r="G34" s="9">
        <f t="shared" si="1"/>
        <v>1.6179361638814858E-3</v>
      </c>
    </row>
    <row r="35" spans="1:7" x14ac:dyDescent="0.45">
      <c r="A35">
        <v>24</v>
      </c>
      <c r="B35" s="6" t="n">
        <v>9946.7736566009</v>
      </c>
      <c r="C35" s="9">
        <f t="shared" si="0"/>
        <v>5.8286627692899608E-3</v>
      </c>
      <c r="E35" s="371">
        <v>24</v>
      </c>
      <c r="F35" s="371" t="n">
        <v>2123.0</v>
      </c>
      <c r="G35" s="9">
        <f t="shared" si="1"/>
        <v>1.2401467145597453E-3</v>
      </c>
    </row>
    <row r="36" spans="1:7" x14ac:dyDescent="0.45">
      <c r="A36">
        <v>25</v>
      </c>
      <c r="B36" s="6" t="n">
        <v>3525.9640481339998</v>
      </c>
      <c r="C36" s="9">
        <f t="shared" si="0"/>
        <v>2.0661629672828661E-3</v>
      </c>
      <c r="E36" s="371">
        <v>25</v>
      </c>
      <c r="F36" s="371" t="n">
        <v>2807.0</v>
      </c>
      <c r="G36" s="9">
        <f t="shared" si="1"/>
        <v>1.5176620632724154E-3</v>
      </c>
    </row>
    <row r="37" spans="1:7" x14ac:dyDescent="0.45">
      <c r="A37">
        <v>26</v>
      </c>
      <c r="B37" s="6" t="n">
        <v>9469.253023868</v>
      </c>
      <c r="C37" s="9">
        <f t="shared" si="0"/>
        <v>5.5488427161080947E-3</v>
      </c>
      <c r="E37" s="371">
        <v>26</v>
      </c>
      <c r="F37" s="371" t="n">
        <v>1416.0</v>
      </c>
      <c r="G37" s="9">
        <f t="shared" si="1"/>
        <v>7.5232676565075449E-4</v>
      </c>
    </row>
    <row r="38" spans="1:7" x14ac:dyDescent="0.45">
      <c r="A38">
        <v>27</v>
      </c>
      <c r="B38" s="6" t="n">
        <v>2080.830879692</v>
      </c>
      <c r="C38" s="9">
        <f t="shared" si="0"/>
        <v>1.2193362286474592E-3</v>
      </c>
      <c r="E38" s="371">
        <v>27</v>
      </c>
      <c r="F38" s="371" t="n">
        <v>1165.0</v>
      </c>
      <c r="G38" s="9">
        <f t="shared" si="1"/>
        <v>5.9405629333805971E-4</v>
      </c>
    </row>
    <row r="39" spans="1:7" x14ac:dyDescent="0.45">
      <c r="A39">
        <v>28</v>
      </c>
      <c r="B39" s="6" t="n">
        <v>638.5252072000001</v>
      </c>
      <c r="C39" s="9">
        <f t="shared" si="0"/>
        <v>3.741663609677057E-4</v>
      </c>
      <c r="E39" s="371">
        <v>28</v>
      </c>
      <c r="F39" s="371" t="n">
        <v>862.0</v>
      </c>
      <c r="G39" s="9">
        <f t="shared" si="1"/>
        <v>4.9757634788717047E-4</v>
      </c>
    </row>
    <row r="40" spans="1:7" x14ac:dyDescent="0.45">
      <c r="A40">
        <v>29</v>
      </c>
      <c r="B40" s="6" t="n">
        <v>1162.7322729418</v>
      </c>
      <c r="C40" s="9">
        <f t="shared" si="0"/>
        <v>6.8134397583786163E-4</v>
      </c>
      <c r="E40" s="371">
        <v>29</v>
      </c>
      <c r="F40" s="371" t="n">
        <v>753.0</v>
      </c>
      <c r="G40" s="9">
        <f t="shared" si="1"/>
        <v>3.9838629160900905E-4</v>
      </c>
    </row>
    <row r="41" spans="1:7" x14ac:dyDescent="0.45">
      <c r="A41">
        <v>30</v>
      </c>
      <c r="B41" s="6" t="n">
        <v>367.060631163</v>
      </c>
      <c r="C41" s="9">
        <f t="shared" si="0"/>
        <v>2.1509212019839728E-4</v>
      </c>
      <c r="E41" s="371">
        <v>30</v>
      </c>
      <c r="F41" s="371" t="n">
        <v>696.0</v>
      </c>
      <c r="G41" s="9">
        <f t="shared" si="1"/>
        <v>3.5448249620719988E-4</v>
      </c>
    </row>
    <row r="42" spans="1:7" x14ac:dyDescent="0.45">
      <c r="A42">
        <v>31</v>
      </c>
      <c r="B42" s="6" t="n">
        <v>1676.031328635</v>
      </c>
      <c r="C42" s="9">
        <f t="shared" si="0"/>
        <v>9.8212965757951774E-4</v>
      </c>
      <c r="E42" s="371">
        <v>31</v>
      </c>
      <c r="F42" s="371" t="n">
        <v>684.0</v>
      </c>
      <c r="G42" s="9">
        <f t="shared" si="1"/>
        <v>3.5177238537992771E-4</v>
      </c>
    </row>
    <row r="43" spans="1:7" x14ac:dyDescent="0.45">
      <c r="A43">
        <v>32</v>
      </c>
      <c r="B43" s="6" t="n">
        <v>1387.7529686497</v>
      </c>
      <c r="C43" s="9">
        <f t="shared" si="0"/>
        <v>8.132027872145511E-4</v>
      </c>
      <c r="E43" s="371">
        <v>32</v>
      </c>
      <c r="F43" s="371" t="n">
        <v>451.0</v>
      </c>
      <c r="G43" s="9">
        <f t="shared" si="1"/>
        <v>2.4390997445449534E-4</v>
      </c>
    </row>
    <row r="44" spans="1:7" x14ac:dyDescent="0.45">
      <c r="A44">
        <v>33</v>
      </c>
      <c r="B44" s="6" t="n">
        <v>1376.858994262</v>
      </c>
      <c r="C44" s="9">
        <f t="shared" si="0"/>
        <v>8.068190787764841E-4</v>
      </c>
      <c r="E44" s="371">
        <v>33</v>
      </c>
      <c r="F44" s="371" t="n">
        <v>367.0</v>
      </c>
      <c r="G44" s="9">
        <f t="shared" si="1"/>
        <v>2.4174188579267761E-4</v>
      </c>
    </row>
    <row r="45" spans="1:7" x14ac:dyDescent="0.45">
      <c r="A45">
        <v>34</v>
      </c>
      <c r="B45" s="6" t="n">
        <v>2187.712304919</v>
      </c>
      <c r="C45" s="9">
        <f t="shared" si="0"/>
        <v>1.2819671686343003E-3</v>
      </c>
      <c r="E45" s="371">
        <v>34</v>
      </c>
      <c r="F45" s="371" t="n">
        <v>334.0</v>
      </c>
      <c r="G45" s="9">
        <f t="shared" si="1"/>
        <v>2.0596842287268495E-4</v>
      </c>
    </row>
    <row r="46" spans="1:7" x14ac:dyDescent="0.45">
      <c r="A46">
        <v>35</v>
      </c>
      <c r="B46" s="6" t="n">
        <v>1254.4259388314</v>
      </c>
      <c r="C46" s="9">
        <f t="shared" si="0"/>
        <v>7.3507511268701973E-4</v>
      </c>
      <c r="E46" s="371">
        <v>35</v>
      </c>
      <c r="F46" s="371" t="n">
        <v>279.0</v>
      </c>
      <c r="G46" s="9">
        <f t="shared" si="1"/>
        <v>1.6585878262905684E-4</v>
      </c>
    </row>
    <row r="47" spans="1:7" x14ac:dyDescent="0.45">
      <c r="A47">
        <v>36</v>
      </c>
      <c r="B47" s="6" t="n">
        <v>2138.139549584</v>
      </c>
      <c r="C47" s="9">
        <f t="shared" si="0"/>
        <v>1.2529182646009321E-3</v>
      </c>
      <c r="E47" s="371">
        <v>36</v>
      </c>
      <c r="F47" s="371" t="n">
        <v>332.0</v>
      </c>
      <c r="G47" s="9">
        <f t="shared" si="1"/>
        <v>1.7290507077996449E-4</v>
      </c>
    </row>
    <row r="48" spans="1:7" x14ac:dyDescent="0.45">
      <c r="A48">
        <v>37</v>
      </c>
      <c r="B48" s="6" t="n">
        <v>435.6266693499</v>
      </c>
      <c r="C48" s="9">
        <f t="shared" si="0"/>
        <v>2.5527080806393265E-4</v>
      </c>
      <c r="E48" s="371">
        <v>37</v>
      </c>
      <c r="F48" s="371" t="n">
        <v>233.0</v>
      </c>
      <c r="G48" s="9">
        <f t="shared" si="1"/>
        <v>1.3008531970906418E-4</v>
      </c>
    </row>
    <row r="49" spans="1:7" x14ac:dyDescent="0.45">
      <c r="A49">
        <v>38</v>
      </c>
      <c r="B49" s="6" t="n">
        <v>697.23633098</v>
      </c>
      <c r="C49" s="9">
        <f t="shared" si="0"/>
        <v>4.0857021423047334E-4</v>
      </c>
      <c r="E49" s="371">
        <v>38</v>
      </c>
      <c r="F49" s="371" t="n">
        <v>249.0</v>
      </c>
      <c r="G49" s="9">
        <f t="shared" si="1"/>
        <v>1.2737520888179201E-4</v>
      </c>
    </row>
    <row r="50" spans="1:7" x14ac:dyDescent="0.45">
      <c r="A50">
        <v>39</v>
      </c>
      <c r="B50" s="6" t="n">
        <v>1276.819868687</v>
      </c>
      <c r="C50" s="9">
        <f t="shared" si="0"/>
        <v>7.4819762554532803E-4</v>
      </c>
      <c r="E50" s="371">
        <v>39</v>
      </c>
      <c r="F50" s="371" t="n">
        <v>207.0</v>
      </c>
      <c r="G50" s="9">
        <f t="shared" si="1"/>
        <v>1.5068216199633268E-4</v>
      </c>
    </row>
    <row r="51" spans="1:7" x14ac:dyDescent="0.45">
      <c r="A51">
        <v>40</v>
      </c>
      <c r="B51" s="6" t="n">
        <v>336.097862622</v>
      </c>
      <c r="C51" s="9">
        <f t="shared" si="0"/>
        <v>1.9694839415620424E-4</v>
      </c>
      <c r="E51" s="371">
        <v>40</v>
      </c>
      <c r="F51" s="371" t="n">
        <v>158.0</v>
      </c>
      <c r="G51" s="9">
        <f t="shared" si="1"/>
        <v>7.7509169659984079E-5</v>
      </c>
    </row>
    <row r="52" spans="1:7" x14ac:dyDescent="0.45">
      <c r="A52">
        <v>41</v>
      </c>
      <c r="B52" s="6" t="n">
        <v>1460.3671165790001</v>
      </c>
      <c r="C52" s="9">
        <f t="shared" si="0"/>
        <v>8.5575360772893489E-4</v>
      </c>
      <c r="E52" s="371">
        <v>41</v>
      </c>
      <c r="F52" s="371" t="n">
        <v>119.0</v>
      </c>
      <c r="G52" s="9">
        <f t="shared" si="1"/>
        <v>5.7454349538170017E-5</v>
      </c>
    </row>
    <row r="53" spans="1:7" x14ac:dyDescent="0.45">
      <c r="A53">
        <v>42</v>
      </c>
      <c r="B53" s="6" t="n">
        <v>435.7994321551</v>
      </c>
      <c r="C53" s="9">
        <f t="shared" si="0"/>
        <v>2.5537204452163765E-4</v>
      </c>
      <c r="E53" s="371">
        <v>42</v>
      </c>
      <c r="F53" s="371" t="n">
        <v>89.0</v>
      </c>
      <c r="G53" s="9">
        <f t="shared" si="1"/>
        <v>4.2819751070900295E-5</v>
      </c>
    </row>
    <row r="54" spans="1:7" x14ac:dyDescent="0.45">
      <c r="A54">
        <v>43</v>
      </c>
      <c r="B54" s="6" t="n">
        <v>1712.091986692</v>
      </c>
      <c r="C54" s="9">
        <f t="shared" si="0"/>
        <v>1.0032606717464531E-3</v>
      </c>
      <c r="E54" s="371">
        <v>43</v>
      </c>
      <c r="F54" s="371" t="n">
        <v>84.0</v>
      </c>
      <c r="G54" s="9">
        <f t="shared" si="1"/>
        <v>4.8239972725444636E-5</v>
      </c>
    </row>
    <row r="55" spans="1:7" x14ac:dyDescent="0.45">
      <c r="A55">
        <v>44</v>
      </c>
      <c r="B55" s="6" t="n">
        <v>4102.962444131</v>
      </c>
      <c r="C55" s="9">
        <f t="shared" si="0"/>
        <v>2.4042755236549406E-3</v>
      </c>
      <c r="E55" s="371">
        <v>44</v>
      </c>
      <c r="F55" s="371" t="n">
        <v>62.0</v>
      </c>
      <c r="G55" s="9">
        <f t="shared" si="1"/>
        <v>3.9567618078173687E-5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76.0</v>
      </c>
      <c r="G56" s="9">
        <f t="shared" si="1"/>
        <v>4.4445817567263596E-5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56.0</v>
      </c>
      <c r="G57" s="9">
        <f t="shared" si="1"/>
        <v>3.5231440754538215E-5</v>
      </c>
    </row>
    <row r="58" spans="1:7" x14ac:dyDescent="0.45">
      <c r="A58">
        <v>47</v>
      </c>
      <c r="B58" s="6" t="n">
        <v>803.505355967</v>
      </c>
      <c r="C58" s="9">
        <f t="shared" si="0"/>
        <v>4.7084229670210171E-4</v>
      </c>
      <c r="E58" s="371">
        <v>47</v>
      </c>
      <c r="F58" s="371" t="n">
        <v>53.0</v>
      </c>
      <c r="G58" s="9">
        <f t="shared" si="1"/>
        <v>3.1437285596357176E-5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33.0</v>
      </c>
      <c r="G59" s="9">
        <f t="shared" si="1"/>
        <v>1.3008531970906419E-5</v>
      </c>
    </row>
    <row r="60" spans="1:7" x14ac:dyDescent="0.45">
      <c r="A60">
        <v>49</v>
      </c>
      <c r="B60" s="6" t="n">
        <v>667.99538554</v>
      </c>
      <c r="C60" s="9">
        <f t="shared" si="0"/>
        <v>3.9143545114959612E-4</v>
      </c>
      <c r="E60" s="371">
        <v>49</v>
      </c>
      <c r="F60" s="371" t="n">
        <v>32.0</v>
      </c>
      <c r="G60" s="9">
        <f t="shared" si="1"/>
        <v>1.463459846726972E-5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23.0</v>
      </c>
      <c r="G61" s="9">
        <f t="shared" si="1"/>
        <v>1.9512797956359628E-5</v>
      </c>
    </row>
    <row r="62" spans="1:7" x14ac:dyDescent="0.45">
      <c r="A62">
        <v>51</v>
      </c>
      <c r="B62" s="6" t="n">
        <v>387.674382174</v>
      </c>
      <c r="C62" s="9">
        <f t="shared" si="0"/>
        <v>2.2717147448967487E-4</v>
      </c>
      <c r="E62" s="371">
        <v>51</v>
      </c>
      <c r="F62" s="371" t="n">
        <v>32.0</v>
      </c>
      <c r="G62" s="9">
        <f t="shared" si="1"/>
        <v>1.9512797956359628E-5</v>
      </c>
    </row>
    <row r="63" spans="1:7" x14ac:dyDescent="0.45">
      <c r="A63">
        <v>52</v>
      </c>
      <c r="B63" s="6" t="n">
        <v>181.031838601</v>
      </c>
      <c r="C63" s="9">
        <f t="shared" si="0"/>
        <v>1.0608198941065893E-4</v>
      </c>
      <c r="E63" s="371">
        <v>52</v>
      </c>
      <c r="F63" s="371" t="n">
        <v>28.0</v>
      </c>
      <c r="G63" s="9">
        <f t="shared" si="1"/>
        <v>1.5718642798178588E-5</v>
      </c>
    </row>
    <row r="64" spans="1:7" x14ac:dyDescent="0.45">
      <c r="A64">
        <v>53</v>
      </c>
      <c r="B64" s="6" t="n">
        <v>706.8156593735</v>
      </c>
      <c r="C64" s="9">
        <f t="shared" si="0"/>
        <v>4.1418355949091794E-4</v>
      </c>
      <c r="E64" s="371">
        <v>53</v>
      </c>
      <c r="F64" s="371" t="n">
        <v>17.0</v>
      </c>
      <c r="G64" s="9">
        <f t="shared" si="1"/>
        <v>8.672354647270946E-6</v>
      </c>
    </row>
    <row r="65" spans="1:7" x14ac:dyDescent="0.45">
      <c r="A65">
        <v>54</v>
      </c>
      <c r="B65" s="6" t="n">
        <v>1175.904314993</v>
      </c>
      <c r="C65" s="9">
        <f t="shared" si="0"/>
        <v>6.8906259835305292E-4</v>
      </c>
      <c r="E65" s="371">
        <v>54</v>
      </c>
      <c r="F65" s="371" t="n">
        <v>16.0</v>
      </c>
      <c r="G65" s="9">
        <f t="shared" si="1"/>
        <v>9.2143768127253791E-6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11.0</v>
      </c>
      <c r="G66" s="9">
        <f t="shared" si="1"/>
        <v>7.5883103163620773E-6</v>
      </c>
    </row>
    <row r="67" spans="1:7" x14ac:dyDescent="0.45">
      <c r="A67">
        <v>56</v>
      </c>
      <c r="B67" s="6" t="n">
        <v>1829.478686078</v>
      </c>
      <c r="C67" s="9">
        <f t="shared" si="0"/>
        <v>1.072047547565926E-3</v>
      </c>
      <c r="E67" s="371">
        <v>56</v>
      </c>
      <c r="F67" s="371" t="n">
        <v>7.0</v>
      </c>
      <c r="G67" s="9">
        <f t="shared" si="1"/>
        <v>7.0462881509076434E-6</v>
      </c>
    </row>
    <row r="68" spans="1:7" x14ac:dyDescent="0.45">
      <c r="A68">
        <v>57</v>
      </c>
      <c r="B68" s="6" t="n">
        <v>542.140045727</v>
      </c>
      <c r="C68" s="9">
        <f t="shared" si="0"/>
        <v>3.1768607684895973E-4</v>
      </c>
      <c r="E68" s="371">
        <v>57</v>
      </c>
      <c r="F68" s="371" t="n">
        <v>10.0</v>
      </c>
      <c r="G68" s="9">
        <f t="shared" si="1"/>
        <v>3.7941551581810387E-6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6.0</v>
      </c>
      <c r="G69" s="9">
        <f t="shared" si="1"/>
        <v>7.0462881509076434E-6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6.0</v>
      </c>
      <c r="G70" s="9">
        <f t="shared" si="1"/>
        <v>6.5042659854532095E-6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5.0</v>
      </c>
      <c r="G71" s="9">
        <f t="shared" si="1"/>
        <v>1.6260664963633024E-6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2.0</v>
      </c>
      <c r="G72" s="9">
        <f t="shared" si="1"/>
        <v>5.4202216545443413E-7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6.0</v>
      </c>
      <c r="G73" s="9">
        <f t="shared" si="1"/>
        <v>2.7101108272721704E-6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1.0</v>
      </c>
      <c r="G74" s="9">
        <f t="shared" si="1"/>
        <v>5.4202216545443413E-7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3.0</v>
      </c>
      <c r="G75" s="9">
        <f t="shared" si="1"/>
        <v>5.4202216545443413E-7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3.0</v>
      </c>
      <c r="G76" s="9">
        <f t="shared" si="1"/>
        <v>1.0840443309088683E-6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2.0</v>
      </c>
      <c r="G77" s="9">
        <f t="shared" ref="G77:G102" si="3">F77/F$102</f>
        <v>1.6260664963633024E-6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2.0</v>
      </c>
      <c r="G78" s="9">
        <f t="shared" si="3"/>
        <v>1.0840443309088683E-6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5.0</v>
      </c>
      <c r="G79" s="9">
        <f t="shared" si="3"/>
        <v>1.0840443309088683E-6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1.6260664963633024E-6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1.6260664963633024E-6</v>
      </c>
    </row>
    <row r="82" spans="1:7" x14ac:dyDescent="0.45">
      <c r="A82">
        <v>71</v>
      </c>
      <c r="B82" s="6" t="n">
        <v>215.6958943</v>
      </c>
      <c r="C82" s="9">
        <f t="shared" si="2"/>
        <v>1.263946151786408E-4</v>
      </c>
      <c r="E82" s="371">
        <v>71</v>
      </c>
      <c r="F82" s="371" t="n">
        <v>0.0</v>
      </c>
      <c r="G82" s="9">
        <f t="shared" si="3"/>
        <v>1.0840443309088683E-6</v>
      </c>
    </row>
    <row r="83" spans="1:7" x14ac:dyDescent="0.45">
      <c r="A83">
        <v>72</v>
      </c>
      <c r="B83" s="6" t="n">
        <v>4605.9932193</v>
      </c>
      <c r="C83" s="9">
        <f t="shared" si="2"/>
        <v>2.6990441443411955E-3</v>
      </c>
      <c r="E83" s="371">
        <v>72</v>
      </c>
      <c r="F83" s="371" t="n">
        <v>0.0</v>
      </c>
      <c r="G83" s="9">
        <f t="shared" si="3"/>
        <v>1.6260664963633024E-6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5.4202216545443413E-7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1.0840443309088683E-6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5.4202216545443413E-7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1.0</v>
      </c>
      <c r="G87" s="9">
        <f t="shared" si="3"/>
        <v>5.4202216545443413E-7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1.0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5.4202216545443413E-7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757.659074414</v>
      </c>
      <c r="C98" s="9">
        <f t="shared" si="2"/>
        <v>4.4397705138499106E-4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1.0</v>
      </c>
      <c r="G101" s="9">
        <f t="shared" si="3"/>
        <v>2.1680886618177365E-6</v>
      </c>
    </row>
    <row r="102" spans="1:7" x14ac:dyDescent="0.45">
      <c r="B102" s="6">
        <f>SUM(B11:B101)</f>
        <v>1706527.5604909635</v>
      </c>
      <c r="C102" s="9">
        <f t="shared" si="2"/>
        <v>1</v>
      </c>
      <c r="F102" s="6">
        <f>SUM(F11:F101)</f>
        <v>1844943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102"/>
  <sheetViews>
    <sheetView workbookViewId="0">
      <selection activeCell="H24" sqref="H24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368.29925</v>
      </c>
      <c r="C11" s="9">
        <f>B11/B$102</f>
        <v>2.1581793258237288E-4</v>
      </c>
      <c r="E11" s="371">
        <v>0</v>
      </c>
      <c r="F11" s="371" t="n">
        <v>4700.0</v>
      </c>
      <c r="G11" s="9">
        <f>F11/F$102</f>
        <v>2.6391059235976394E-3</v>
      </c>
      <c r="K11" s="6" t="n">
        <v>38.26313382773181</v>
      </c>
      <c r="L11" s="6" t="n">
        <v>26.390833670289744</v>
      </c>
    </row>
    <row r="12" spans="1:12" x14ac:dyDescent="0.45">
      <c r="A12">
        <v>1</v>
      </c>
      <c r="B12" s="6" t="n">
        <v>2411.760922769</v>
      </c>
      <c r="C12" s="9">
        <f>B12/B$102</f>
        <v>1.4132563567125416E-3</v>
      </c>
      <c r="E12" s="371">
        <v>1</v>
      </c>
      <c r="F12" s="371" t="n">
        <v>19359.0</v>
      </c>
      <c r="G12" s="9">
        <f>F12/F$102</f>
        <v>1.0473494303076029E-2</v>
      </c>
      <c r="K12" s="6"/>
      <c r="L12" s="371"/>
    </row>
    <row r="13" spans="1:12" x14ac:dyDescent="0.45">
      <c r="A13">
        <v>2</v>
      </c>
      <c r="B13" s="6" t="n">
        <v>4038.557173837</v>
      </c>
      <c r="C13" s="9">
        <f t="shared" ref="C13:C76" si="0">B13/B$102</f>
        <v>2.3665349844541146E-3</v>
      </c>
      <c r="E13" s="371">
        <v>2</v>
      </c>
      <c r="F13" s="371" t="n">
        <v>21668.0</v>
      </c>
      <c r="G13" s="9">
        <f t="shared" ref="G13:G76" si="1">F13/F$102</f>
        <v>1.1907142930703008E-2</v>
      </c>
    </row>
    <row r="14" spans="1:12" x14ac:dyDescent="0.45">
      <c r="A14">
        <v>3</v>
      </c>
      <c r="B14" s="6" t="n">
        <v>6571.010847690401</v>
      </c>
      <c r="C14" s="9">
        <f t="shared" si="0"/>
        <v>3.8505155145574905E-3</v>
      </c>
      <c r="E14" s="371">
        <v>3</v>
      </c>
      <c r="F14" s="371" t="n">
        <v>25599.0</v>
      </c>
      <c r="G14" s="9">
        <f t="shared" si="1"/>
        <v>1.3735383694780815E-2</v>
      </c>
    </row>
    <row r="15" spans="1:12" x14ac:dyDescent="0.45">
      <c r="A15">
        <v>4</v>
      </c>
      <c r="B15" s="6" t="n">
        <v>16601.6039507372</v>
      </c>
      <c r="C15" s="9">
        <f t="shared" si="0"/>
        <v>9.7282952441512076E-3</v>
      </c>
      <c r="E15" s="371">
        <v>4</v>
      </c>
      <c r="F15" s="371" t="n">
        <v>28317.0</v>
      </c>
      <c r="G15" s="9">
        <f t="shared" si="1"/>
        <v>1.5331096949878668E-2</v>
      </c>
    </row>
    <row r="16" spans="1:12" x14ac:dyDescent="0.45">
      <c r="A16">
        <v>5</v>
      </c>
      <c r="B16" s="6" t="n">
        <v>16278.711525201299</v>
      </c>
      <c r="C16" s="9">
        <f t="shared" si="0"/>
        <v>9.5390850415084764E-3</v>
      </c>
      <c r="E16" s="371">
        <v>5</v>
      </c>
      <c r="F16" s="371" t="n">
        <v>31647.0</v>
      </c>
      <c r="G16" s="9">
        <f t="shared" si="1"/>
        <v>1.7010281618456507E-2</v>
      </c>
    </row>
    <row r="17" spans="1:7" x14ac:dyDescent="0.45">
      <c r="A17">
        <v>6</v>
      </c>
      <c r="B17" s="6" t="n">
        <v>20724.5894366958</v>
      </c>
      <c r="C17" s="9">
        <f t="shared" si="0"/>
        <v>1.2144303975221702E-2</v>
      </c>
      <c r="E17" s="371">
        <v>6</v>
      </c>
      <c r="F17" s="371" t="n">
        <v>33771.0</v>
      </c>
      <c r="G17" s="9">
        <f t="shared" si="1"/>
        <v>1.8365879054258044E-2</v>
      </c>
    </row>
    <row r="18" spans="1:7" x14ac:dyDescent="0.45">
      <c r="A18">
        <v>7</v>
      </c>
      <c r="B18" s="6" t="n">
        <v>25749.0615776126</v>
      </c>
      <c r="C18" s="9">
        <f t="shared" si="0"/>
        <v>1.5088570600175169E-2</v>
      </c>
      <c r="E18" s="371">
        <v>7</v>
      </c>
      <c r="F18" s="371" t="n">
        <v>35833.0</v>
      </c>
      <c r="G18" s="9">
        <f t="shared" si="1"/>
        <v>1.9375666348499656E-2</v>
      </c>
    </row>
    <row r="19" spans="1:7" x14ac:dyDescent="0.45">
      <c r="A19">
        <v>8</v>
      </c>
      <c r="B19" s="6" t="n">
        <v>17257.3536694294</v>
      </c>
      <c r="C19" s="9">
        <f t="shared" si="0"/>
        <v>1.011255491500208E-2</v>
      </c>
      <c r="E19" s="371">
        <v>8</v>
      </c>
      <c r="F19" s="371" t="n">
        <v>36266.0</v>
      </c>
      <c r="G19" s="9">
        <f t="shared" si="1"/>
        <v>1.9989235439794074E-2</v>
      </c>
    </row>
    <row r="20" spans="1:7" x14ac:dyDescent="0.45">
      <c r="A20">
        <v>9</v>
      </c>
      <c r="B20" s="6" t="n">
        <v>39041.5516553527</v>
      </c>
      <c r="C20" s="9">
        <f t="shared" si="0"/>
        <v>2.2877773883781021E-2</v>
      </c>
      <c r="E20" s="371">
        <v>9</v>
      </c>
      <c r="F20" s="371" t="n">
        <v>36169.0</v>
      </c>
      <c r="G20" s="9">
        <f t="shared" si="1"/>
        <v>1.9362115794363293E-2</v>
      </c>
    </row>
    <row r="21" spans="1:7" x14ac:dyDescent="0.45">
      <c r="A21">
        <v>10</v>
      </c>
      <c r="B21" s="6" t="n">
        <v>16682.6697958489</v>
      </c>
      <c r="C21" s="9">
        <f t="shared" si="0"/>
        <v>9.7757986346551241E-3</v>
      </c>
      <c r="E21" s="371">
        <v>10</v>
      </c>
      <c r="F21" s="371" t="n">
        <v>35079.0</v>
      </c>
      <c r="G21" s="9">
        <f t="shared" si="1"/>
        <v>1.8974027923897921E-2</v>
      </c>
    </row>
    <row r="22" spans="1:7" x14ac:dyDescent="0.45">
      <c r="A22">
        <v>11</v>
      </c>
      <c r="B22" s="6" t="n">
        <v>14319.210166365301</v>
      </c>
      <c r="C22" s="9">
        <f t="shared" si="0"/>
        <v>8.3908461239534295E-3</v>
      </c>
      <c r="E22" s="371">
        <v>11</v>
      </c>
      <c r="F22" s="371" t="n">
        <v>33223.0</v>
      </c>
      <c r="G22" s="9">
        <f t="shared" si="1"/>
        <v>1.7867760684205421E-2</v>
      </c>
    </row>
    <row r="23" spans="1:7" x14ac:dyDescent="0.45">
      <c r="A23">
        <v>12</v>
      </c>
      <c r="B23" s="6" t="n">
        <v>36046.3612831153</v>
      </c>
      <c r="C23" s="9">
        <f t="shared" si="0"/>
        <v>2.1122636468141692E-2</v>
      </c>
      <c r="E23" s="371">
        <v>12</v>
      </c>
      <c r="F23" s="371" t="n">
        <v>31478.0</v>
      </c>
      <c r="G23" s="9">
        <f t="shared" si="1"/>
        <v>1.6906213362689253E-2</v>
      </c>
    </row>
    <row r="24" spans="1:7" x14ac:dyDescent="0.45">
      <c r="A24">
        <v>13</v>
      </c>
      <c r="B24" s="6" t="n">
        <v>31006.387511847202</v>
      </c>
      <c r="C24" s="9">
        <f t="shared" si="0"/>
        <v>1.8169286116262166E-2</v>
      </c>
      <c r="E24" s="371">
        <v>13</v>
      </c>
      <c r="F24" s="371" t="n">
        <v>27573.0</v>
      </c>
      <c r="G24" s="9">
        <f t="shared" si="1"/>
        <v>1.5031900714547821E-2</v>
      </c>
    </row>
    <row r="25" spans="1:7" x14ac:dyDescent="0.45">
      <c r="A25">
        <v>14</v>
      </c>
      <c r="B25" s="6" t="n">
        <v>18556.9947950918</v>
      </c>
      <c r="C25" s="9">
        <f t="shared" si="0"/>
        <v>1.0874125460800061E-2</v>
      </c>
      <c r="E25" s="371">
        <v>14</v>
      </c>
      <c r="F25" s="371" t="n">
        <v>26731.0</v>
      </c>
      <c r="G25" s="9">
        <f t="shared" si="1"/>
        <v>1.4149488629188002E-2</v>
      </c>
    </row>
    <row r="26" spans="1:7" x14ac:dyDescent="0.45">
      <c r="A26">
        <v>15</v>
      </c>
      <c r="B26" s="6" t="n">
        <v>12120.2283892984</v>
      </c>
      <c r="C26" s="9">
        <f t="shared" si="0"/>
        <v>7.1022752107275915E-3</v>
      </c>
      <c r="E26" s="371">
        <v>15</v>
      </c>
      <c r="F26" s="371" t="n">
        <v>26838.0</v>
      </c>
      <c r="G26" s="9">
        <f t="shared" si="1"/>
        <v>1.4655737331722443E-2</v>
      </c>
    </row>
    <row r="27" spans="1:7" x14ac:dyDescent="0.45">
      <c r="A27">
        <v>16</v>
      </c>
      <c r="B27" s="6" t="n">
        <v>44631.4887250049</v>
      </c>
      <c r="C27" s="9">
        <f t="shared" si="0"/>
        <v>2.6153394623269103E-2</v>
      </c>
      <c r="E27" s="371">
        <v>16</v>
      </c>
      <c r="F27" s="371" t="n">
        <v>28060.0</v>
      </c>
      <c r="G27" s="9">
        <f t="shared" si="1"/>
        <v>1.5184208943040517E-2</v>
      </c>
    </row>
    <row r="28" spans="1:7" x14ac:dyDescent="0.45">
      <c r="A28">
        <v>17</v>
      </c>
      <c r="B28" s="6" t="n">
        <v>25216.9409814584</v>
      </c>
      <c r="C28" s="9">
        <f t="shared" si="0"/>
        <v>1.4776755773111308E-2</v>
      </c>
      <c r="E28" s="371">
        <v>17</v>
      </c>
      <c r="F28" s="371" t="n">
        <v>25359.0</v>
      </c>
      <c r="G28" s="9">
        <f t="shared" si="1"/>
        <v>1.3575487155971757E-2</v>
      </c>
    </row>
    <row r="29" spans="1:7" x14ac:dyDescent="0.45">
      <c r="A29">
        <v>18</v>
      </c>
      <c r="B29" s="6" t="n">
        <v>84915.0012217678</v>
      </c>
      <c r="C29" s="9">
        <f t="shared" si="0"/>
        <v>4.9758939256356334E-2</v>
      </c>
      <c r="E29" s="371">
        <v>18</v>
      </c>
      <c r="F29" s="371" t="n">
        <v>200073.0</v>
      </c>
      <c r="G29" s="9">
        <f t="shared" si="1"/>
        <v>0.10835131491867228</v>
      </c>
    </row>
    <row r="30" spans="1:7" x14ac:dyDescent="0.45">
      <c r="A30">
        <v>19</v>
      </c>
      <c r="B30" s="6" t="n">
        <v>79424.4108762523</v>
      </c>
      <c r="C30" s="9">
        <f t="shared" si="0"/>
        <v>4.6541534233061031E-2</v>
      </c>
      <c r="E30" s="371">
        <v>19</v>
      </c>
      <c r="F30" s="371" t="n">
        <v>88475.0</v>
      </c>
      <c r="G30" s="9">
        <f t="shared" si="1"/>
        <v>4.7529381666533872E-2</v>
      </c>
    </row>
    <row r="31" spans="1:7" x14ac:dyDescent="0.45">
      <c r="A31">
        <v>20</v>
      </c>
      <c r="B31" s="6" t="n">
        <v>82049.9900974831</v>
      </c>
      <c r="C31" s="9">
        <f t="shared" si="0"/>
        <v>4.8080084961462641E-2</v>
      </c>
      <c r="E31" s="371">
        <v>20</v>
      </c>
      <c r="F31" s="371" t="n">
        <v>87080.0</v>
      </c>
      <c r="G31" s="9">
        <f t="shared" si="1"/>
        <v>4.6630166894044964E-2</v>
      </c>
    </row>
    <row r="32" spans="1:7" x14ac:dyDescent="0.45">
      <c r="A32">
        <v>21</v>
      </c>
      <c r="B32" s="6" t="n">
        <v>68277.3501920338</v>
      </c>
      <c r="C32" s="9">
        <f t="shared" si="0"/>
        <v>4.0009520955167341E-2</v>
      </c>
      <c r="E32" s="371">
        <v>21</v>
      </c>
      <c r="F32" s="371" t="n">
        <v>91988.0</v>
      </c>
      <c r="G32" s="9">
        <f t="shared" si="1"/>
        <v>5.036415759186056E-2</v>
      </c>
    </row>
    <row r="33" spans="1:7" x14ac:dyDescent="0.45">
      <c r="A33">
        <v>22</v>
      </c>
      <c r="B33" s="6" t="n">
        <v>68910.1250589409</v>
      </c>
      <c r="C33" s="9">
        <f t="shared" si="0"/>
        <v>4.0380317701470728E-2</v>
      </c>
      <c r="E33" s="371">
        <v>22</v>
      </c>
      <c r="F33" s="371" t="n">
        <v>88903.0</v>
      </c>
      <c r="G33" s="9">
        <f t="shared" si="1"/>
        <v>4.7363522883904816E-2</v>
      </c>
    </row>
    <row r="34" spans="1:7" x14ac:dyDescent="0.45">
      <c r="A34">
        <v>23</v>
      </c>
      <c r="B34" s="6" t="n">
        <v>50837.4078489238</v>
      </c>
      <c r="C34" s="9">
        <f t="shared" si="0"/>
        <v>2.978997176834227E-2</v>
      </c>
      <c r="E34" s="371">
        <v>23</v>
      </c>
      <c r="F34" s="371" t="n">
        <v>77381.0</v>
      </c>
      <c r="G34" s="9">
        <f t="shared" si="1"/>
        <v>4.1359001335000596E-2</v>
      </c>
    </row>
    <row r="35" spans="1:7" x14ac:dyDescent="0.45">
      <c r="A35">
        <v>24</v>
      </c>
      <c r="B35" s="6" t="n">
        <v>41929.7968305026</v>
      </c>
      <c r="C35" s="9">
        <f t="shared" si="0"/>
        <v>2.4570242990063117E-2</v>
      </c>
      <c r="E35" s="371">
        <v>24</v>
      </c>
      <c r="F35" s="371" t="n">
        <v>60063.0</v>
      </c>
      <c r="G35" s="9">
        <f t="shared" si="1"/>
        <v>3.1972261473660703E-2</v>
      </c>
    </row>
    <row r="36" spans="1:7" x14ac:dyDescent="0.45">
      <c r="A36">
        <v>25</v>
      </c>
      <c r="B36" s="6" t="n">
        <v>31284.4027934759</v>
      </c>
      <c r="C36" s="9">
        <f t="shared" si="0"/>
        <v>1.8332198973965274E-2</v>
      </c>
      <c r="E36" s="371">
        <v>25</v>
      </c>
      <c r="F36" s="371" t="n">
        <v>65101.0</v>
      </c>
      <c r="G36" s="9">
        <f t="shared" si="1"/>
        <v>3.1474143103608077E-2</v>
      </c>
    </row>
    <row r="37" spans="1:7" x14ac:dyDescent="0.45">
      <c r="A37">
        <v>26</v>
      </c>
      <c r="B37" s="6" t="n">
        <v>84672.2549033893</v>
      </c>
      <c r="C37" s="9">
        <f t="shared" si="0"/>
        <v>4.9616693491331208E-2</v>
      </c>
      <c r="E37" s="371">
        <v>26</v>
      </c>
      <c r="F37" s="371" t="n">
        <v>52117.0</v>
      </c>
      <c r="G37" s="9">
        <f t="shared" si="1"/>
        <v>3.3131104863402282E-2</v>
      </c>
    </row>
    <row r="38" spans="1:7" x14ac:dyDescent="0.45">
      <c r="A38">
        <v>27</v>
      </c>
      <c r="B38" s="6" t="n">
        <v>28838.155832383</v>
      </c>
      <c r="C38" s="9">
        <f t="shared" si="0"/>
        <v>1.6898734307042976E-2</v>
      </c>
      <c r="E38" s="371">
        <v>27</v>
      </c>
      <c r="F38" s="371" t="n">
        <v>45467.0</v>
      </c>
      <c r="G38" s="9">
        <f t="shared" si="1"/>
        <v>2.1472208084477407E-2</v>
      </c>
    </row>
    <row r="39" spans="1:7" x14ac:dyDescent="0.45">
      <c r="A39">
        <v>28</v>
      </c>
      <c r="B39" s="6" t="n">
        <v>22226.6761522549</v>
      </c>
      <c r="C39" s="9">
        <f t="shared" si="0"/>
        <v>1.3024504653098215E-2</v>
      </c>
      <c r="E39" s="371">
        <v>28</v>
      </c>
      <c r="F39" s="371" t="n">
        <v>37892.0</v>
      </c>
      <c r="G39" s="9">
        <f t="shared" si="1"/>
        <v>2.4203999798367754E-2</v>
      </c>
    </row>
    <row r="40" spans="1:7" x14ac:dyDescent="0.45">
      <c r="A40">
        <v>29</v>
      </c>
      <c r="B40" s="6" t="n">
        <v>43361.8089197</v>
      </c>
      <c r="C40" s="9">
        <f t="shared" si="0"/>
        <v>2.5409380969636922E-2</v>
      </c>
      <c r="E40" s="371">
        <v>29</v>
      </c>
      <c r="F40" s="371" t="n">
        <v>37603.0</v>
      </c>
      <c r="G40" s="9">
        <f t="shared" si="1"/>
        <v>1.6817321727554728E-2</v>
      </c>
    </row>
    <row r="41" spans="1:7" x14ac:dyDescent="0.45">
      <c r="A41">
        <v>30</v>
      </c>
      <c r="B41" s="6" t="n">
        <v>25489.211956623498</v>
      </c>
      <c r="C41" s="9">
        <f t="shared" si="0"/>
        <v>1.493630255188514E-2</v>
      </c>
      <c r="E41" s="371">
        <v>30</v>
      </c>
      <c r="F41" s="371" t="n">
        <v>29839.0</v>
      </c>
      <c r="G41" s="9">
        <f t="shared" si="1"/>
        <v>1.6113776956794872E-2</v>
      </c>
    </row>
    <row r="42" spans="1:7" x14ac:dyDescent="0.45">
      <c r="A42">
        <v>31</v>
      </c>
      <c r="B42" s="6" t="n">
        <v>23761.499522065402</v>
      </c>
      <c r="C42" s="9">
        <f t="shared" si="0"/>
        <v>1.3923888527900061E-2</v>
      </c>
      <c r="E42" s="371">
        <v>31</v>
      </c>
      <c r="F42" s="371" t="n">
        <v>33015.0</v>
      </c>
      <c r="G42" s="9">
        <f t="shared" si="1"/>
        <v>1.6875860121423805E-2</v>
      </c>
    </row>
    <row r="43" spans="1:7" x14ac:dyDescent="0.45">
      <c r="A43">
        <v>32</v>
      </c>
      <c r="B43" s="6" t="n">
        <v>19434.9311217531</v>
      </c>
      <c r="C43" s="9">
        <f t="shared" si="0"/>
        <v>1.1388583209380881E-2</v>
      </c>
      <c r="E43" s="371">
        <v>32</v>
      </c>
      <c r="F43" s="371" t="n">
        <v>22361.0</v>
      </c>
      <c r="G43" s="9">
        <f t="shared" si="1"/>
        <v>1.1643178136126699E-2</v>
      </c>
    </row>
    <row r="44" spans="1:7" x14ac:dyDescent="0.45">
      <c r="A44">
        <v>33</v>
      </c>
      <c r="B44" s="6" t="n">
        <v>13879.9921380944</v>
      </c>
      <c r="C44" s="9">
        <f t="shared" si="0"/>
        <v>8.13347083249049E-3</v>
      </c>
      <c r="E44" s="371">
        <v>33</v>
      </c>
      <c r="F44" s="371" t="n">
        <v>29200.0</v>
      </c>
      <c r="G44" s="9">
        <f t="shared" si="1"/>
        <v>1.7969660851310854E-2</v>
      </c>
    </row>
    <row r="45" spans="1:7" x14ac:dyDescent="0.45">
      <c r="A45">
        <v>34</v>
      </c>
      <c r="B45" s="6" t="n">
        <v>23300.5184110957</v>
      </c>
      <c r="C45" s="9">
        <f t="shared" si="0"/>
        <v>1.3653760390715405E-2</v>
      </c>
      <c r="E45" s="371">
        <v>34</v>
      </c>
      <c r="F45" s="371" t="n">
        <v>24733.0</v>
      </c>
      <c r="G45" s="9">
        <f t="shared" si="1"/>
        <v>1.4785280629266054E-2</v>
      </c>
    </row>
    <row r="46" spans="1:7" x14ac:dyDescent="0.45">
      <c r="A46">
        <v>35</v>
      </c>
      <c r="B46" s="6" t="n">
        <v>19565.3307746215</v>
      </c>
      <c r="C46" s="9">
        <f t="shared" si="0"/>
        <v>1.1464995484158842E-2</v>
      </c>
      <c r="E46" s="371">
        <v>35</v>
      </c>
      <c r="F46" s="371" t="n">
        <v>20986.0</v>
      </c>
      <c r="G46" s="9">
        <f t="shared" si="1"/>
        <v>1.153206359220854E-2</v>
      </c>
    </row>
    <row r="47" spans="1:7" x14ac:dyDescent="0.45">
      <c r="A47">
        <v>36</v>
      </c>
      <c r="B47" s="6" t="n">
        <v>19454.9918892523</v>
      </c>
      <c r="C47" s="9">
        <f t="shared" si="0"/>
        <v>1.1400338523483999E-2</v>
      </c>
      <c r="E47" s="371">
        <v>36</v>
      </c>
      <c r="F47" s="371" t="n">
        <v>12436.0</v>
      </c>
      <c r="G47" s="9">
        <f t="shared" si="1"/>
        <v>7.8300522021547553E-3</v>
      </c>
    </row>
    <row r="48" spans="1:7" x14ac:dyDescent="0.45">
      <c r="A48">
        <v>37</v>
      </c>
      <c r="B48" s="6" t="n">
        <v>17439.1436846392</v>
      </c>
      <c r="C48" s="9">
        <f t="shared" si="0"/>
        <v>1.0219081184731646E-2</v>
      </c>
      <c r="E48" s="371">
        <v>37</v>
      </c>
      <c r="F48" s="371" t="n">
        <v>10875.0</v>
      </c>
      <c r="G48" s="9">
        <f t="shared" si="1"/>
        <v>6.3552098899532401E-3</v>
      </c>
    </row>
    <row r="49" spans="1:7" x14ac:dyDescent="0.45">
      <c r="A49">
        <v>38</v>
      </c>
      <c r="B49" s="6" t="n">
        <v>18335.153339625802</v>
      </c>
      <c r="C49" s="9">
        <f t="shared" si="0"/>
        <v>1.0744129637350145E-2</v>
      </c>
      <c r="E49" s="371">
        <v>38</v>
      </c>
      <c r="F49" s="371" t="n">
        <v>14430.0</v>
      </c>
      <c r="G49" s="9">
        <f t="shared" si="1"/>
        <v>6.3020917177387054E-3</v>
      </c>
    </row>
    <row r="50" spans="1:7" x14ac:dyDescent="0.45">
      <c r="A50">
        <v>39</v>
      </c>
      <c r="B50" s="6" t="n">
        <v>4167.0391510542</v>
      </c>
      <c r="C50" s="9">
        <f t="shared" si="0"/>
        <v>2.4418235295627774E-3</v>
      </c>
      <c r="E50" s="371">
        <v>39</v>
      </c>
      <c r="F50" s="371" t="n">
        <v>10937.0</v>
      </c>
      <c r="G50" s="9">
        <f t="shared" si="1"/>
        <v>6.3676763997586915E-3</v>
      </c>
    </row>
    <row r="51" spans="1:7" x14ac:dyDescent="0.45">
      <c r="A51">
        <v>40</v>
      </c>
      <c r="B51" s="6" t="n">
        <v>7278.7932509961</v>
      </c>
      <c r="C51" s="9">
        <f t="shared" si="0"/>
        <v>4.2652655717450071E-3</v>
      </c>
      <c r="E51" s="371">
        <v>40</v>
      </c>
      <c r="F51" s="371" t="n">
        <v>8792.0</v>
      </c>
      <c r="G51" s="9">
        <f t="shared" si="1"/>
        <v>6.240843213042354E-3</v>
      </c>
    </row>
    <row r="52" spans="1:7" x14ac:dyDescent="0.45">
      <c r="A52">
        <v>41</v>
      </c>
      <c r="B52" s="6" t="n">
        <v>5349.789588329</v>
      </c>
      <c r="C52" s="9">
        <f t="shared" si="0"/>
        <v>3.134897854676241E-3</v>
      </c>
      <c r="E52" s="371">
        <v>41</v>
      </c>
      <c r="F52" s="371" t="n">
        <v>11417.0</v>
      </c>
      <c r="G52" s="9">
        <f t="shared" si="1"/>
        <v>5.5129074448370492E-3</v>
      </c>
    </row>
    <row r="53" spans="1:7" x14ac:dyDescent="0.45">
      <c r="A53">
        <v>42</v>
      </c>
      <c r="B53" s="6" t="n">
        <v>8051.5280820192</v>
      </c>
      <c r="C53" s="9">
        <f t="shared" si="0"/>
        <v>4.7180767943195701E-3</v>
      </c>
      <c r="E53" s="371">
        <v>42</v>
      </c>
      <c r="F53" s="371" t="n">
        <v>8348.0</v>
      </c>
      <c r="G53" s="9">
        <f t="shared" si="1"/>
        <v>4.2364452451918565E-3</v>
      </c>
    </row>
    <row r="54" spans="1:7" x14ac:dyDescent="0.45">
      <c r="A54">
        <v>43</v>
      </c>
      <c r="B54" s="6" t="n">
        <v>3386.0244571352</v>
      </c>
      <c r="C54" s="9">
        <f t="shared" si="0"/>
        <v>1.9841604293581111E-3</v>
      </c>
      <c r="E54" s="371">
        <v>43</v>
      </c>
      <c r="F54" s="371" t="n">
        <v>7659.0</v>
      </c>
      <c r="G54" s="9">
        <f t="shared" si="1"/>
        <v>4.155683942539146E-3</v>
      </c>
    </row>
    <row r="55" spans="1:7" x14ac:dyDescent="0.45">
      <c r="A55">
        <v>44</v>
      </c>
      <c r="B55" s="6" t="n">
        <v>2497.7442771053</v>
      </c>
      <c r="C55" s="9">
        <f t="shared" si="0"/>
        <v>1.463641335148848E-3</v>
      </c>
      <c r="E55" s="371">
        <v>44</v>
      </c>
      <c r="F55" s="371" t="n">
        <v>6561.0</v>
      </c>
      <c r="G55" s="9">
        <f t="shared" si="1"/>
        <v>3.7464572076210483E-3</v>
      </c>
    </row>
    <row r="56" spans="1:7" x14ac:dyDescent="0.45">
      <c r="A56">
        <v>45</v>
      </c>
      <c r="B56" s="6" t="n">
        <v>53948.4080062041</v>
      </c>
      <c r="C56" s="9">
        <f t="shared" si="0"/>
        <v>3.1612972011236251E-2</v>
      </c>
      <c r="E56" s="371">
        <v>45</v>
      </c>
      <c r="F56" s="371" t="n">
        <v>7551.0</v>
      </c>
      <c r="G56" s="9">
        <f t="shared" si="1"/>
        <v>3.8505254633883E-3</v>
      </c>
    </row>
    <row r="57" spans="1:7" x14ac:dyDescent="0.45">
      <c r="A57">
        <v>46</v>
      </c>
      <c r="B57" s="6" t="n">
        <v>6923.3587785405</v>
      </c>
      <c r="C57" s="9">
        <f t="shared" si="0"/>
        <v>4.0569862092052402E-3</v>
      </c>
      <c r="E57" s="371">
        <v>46</v>
      </c>
      <c r="F57" s="371" t="n">
        <v>5674.0</v>
      </c>
      <c r="G57" s="9">
        <f t="shared" si="1"/>
        <v>3.8163780669646704E-3</v>
      </c>
    </row>
    <row r="58" spans="1:7" x14ac:dyDescent="0.45">
      <c r="A58">
        <v>47</v>
      </c>
      <c r="B58" s="6" t="n">
        <v>3929.6750976079</v>
      </c>
      <c r="C58" s="9">
        <f t="shared" si="0"/>
        <v>2.3027316924652207E-3</v>
      </c>
      <c r="E58" s="371">
        <v>47</v>
      </c>
      <c r="F58" s="371" t="n">
        <v>4795.0</v>
      </c>
      <c r="G58" s="9">
        <f t="shared" si="1"/>
        <v>2.8168891938666939E-3</v>
      </c>
    </row>
    <row r="59" spans="1:7" x14ac:dyDescent="0.45">
      <c r="A59">
        <v>48</v>
      </c>
      <c r="B59" s="6" t="n">
        <v>17507.0420864266</v>
      </c>
      <c r="C59" s="9">
        <f t="shared" si="0"/>
        <v>1.0258868647506563E-2</v>
      </c>
      <c r="E59" s="371">
        <v>48</v>
      </c>
      <c r="F59" s="371" t="n">
        <v>5908.0</v>
      </c>
      <c r="G59" s="9">
        <f t="shared" si="1"/>
        <v>2.6363958127703676E-3</v>
      </c>
    </row>
    <row r="60" spans="1:7" x14ac:dyDescent="0.45">
      <c r="A60">
        <v>49</v>
      </c>
      <c r="B60" s="6" t="n">
        <v>7260.8377199875</v>
      </c>
      <c r="C60" s="9">
        <f t="shared" si="0"/>
        <v>4.2547438951988431E-3</v>
      </c>
      <c r="E60" s="371">
        <v>49</v>
      </c>
      <c r="F60" s="371" t="n">
        <v>5230.0</v>
      </c>
      <c r="G60" s="9">
        <f t="shared" si="1"/>
        <v>3.1832961777138913E-3</v>
      </c>
    </row>
    <row r="61" spans="1:7" x14ac:dyDescent="0.45">
      <c r="A61">
        <v>50</v>
      </c>
      <c r="B61" s="6" t="n">
        <v>745.499793006</v>
      </c>
      <c r="C61" s="9">
        <f t="shared" si="0"/>
        <v>4.3685189168085967E-4</v>
      </c>
      <c r="E61" s="371">
        <v>50</v>
      </c>
      <c r="F61" s="371" t="n">
        <v>4959.0</v>
      </c>
      <c r="G61" s="9">
        <f t="shared" si="1"/>
        <v>2.72474542573944E-3</v>
      </c>
    </row>
    <row r="62" spans="1:7" x14ac:dyDescent="0.45">
      <c r="A62">
        <v>51</v>
      </c>
      <c r="B62" s="6" t="n">
        <v>10964.093927625401</v>
      </c>
      <c r="C62" s="9">
        <f t="shared" si="0"/>
        <v>6.4247974550560799E-3</v>
      </c>
      <c r="E62" s="371">
        <v>51</v>
      </c>
      <c r="F62" s="371" t="n">
        <v>3859.0</v>
      </c>
      <c r="G62" s="9">
        <f t="shared" si="1"/>
        <v>2.0667305168777573E-3</v>
      </c>
    </row>
    <row r="63" spans="1:7" x14ac:dyDescent="0.45">
      <c r="A63">
        <v>52</v>
      </c>
      <c r="B63" s="6" t="n">
        <v>4978.2120747738</v>
      </c>
      <c r="C63" s="9">
        <f t="shared" si="0"/>
        <v>2.9171589079648864E-3</v>
      </c>
      <c r="E63" s="371">
        <v>52</v>
      </c>
      <c r="F63" s="371" t="n">
        <v>3562.0</v>
      </c>
      <c r="G63" s="9">
        <f t="shared" si="1"/>
        <v>2.1176806004304738E-3</v>
      </c>
    </row>
    <row r="64" spans="1:7" x14ac:dyDescent="0.45">
      <c r="A64">
        <v>53</v>
      </c>
      <c r="B64" s="6" t="n">
        <v>1480.5867408829</v>
      </c>
      <c r="C64" s="9">
        <f t="shared" si="0"/>
        <v>8.6760200957840912E-4</v>
      </c>
      <c r="E64" s="371">
        <v>53</v>
      </c>
      <c r="F64" s="371" t="n">
        <v>3749.0</v>
      </c>
      <c r="G64" s="9">
        <f t="shared" si="1"/>
        <v>1.760487993396002E-3</v>
      </c>
    </row>
    <row r="65" spans="1:7" x14ac:dyDescent="0.45">
      <c r="A65">
        <v>54</v>
      </c>
      <c r="B65" s="6" t="n">
        <v>22755.6194280058</v>
      </c>
      <c r="C65" s="9">
        <f t="shared" si="0"/>
        <v>1.3334457617232429E-2</v>
      </c>
      <c r="E65" s="371">
        <v>54</v>
      </c>
      <c r="F65" s="371" t="n">
        <v>3481.0</v>
      </c>
      <c r="G65" s="9">
        <f t="shared" si="1"/>
        <v>1.7030336438578319E-3</v>
      </c>
    </row>
    <row r="66" spans="1:7" x14ac:dyDescent="0.45">
      <c r="A66">
        <v>55</v>
      </c>
      <c r="B66" s="6" t="n">
        <v>334.505088392</v>
      </c>
      <c r="C66" s="9">
        <f t="shared" si="0"/>
        <v>1.9601505193139911E-4</v>
      </c>
      <c r="E66" s="371">
        <v>55</v>
      </c>
      <c r="F66" s="371" t="n">
        <v>4053.0</v>
      </c>
      <c r="G66" s="9">
        <f t="shared" si="1"/>
        <v>1.7875891016687236E-3</v>
      </c>
    </row>
    <row r="67" spans="1:7" x14ac:dyDescent="0.45">
      <c r="A67">
        <v>56</v>
      </c>
      <c r="B67" s="6" t="n">
        <v>8196.8429289003</v>
      </c>
      <c r="C67" s="9">
        <f t="shared" si="0"/>
        <v>4.8032291529719511E-3</v>
      </c>
      <c r="E67" s="371">
        <v>56</v>
      </c>
      <c r="F67" s="371" t="n">
        <v>3094.0</v>
      </c>
      <c r="G67" s="9">
        <f t="shared" si="1"/>
        <v>1.7339289072887346E-3</v>
      </c>
    </row>
    <row r="68" spans="1:7" x14ac:dyDescent="0.45">
      <c r="A68">
        <v>57</v>
      </c>
      <c r="B68" s="6" t="n">
        <v>2037.2240373599998</v>
      </c>
      <c r="C68" s="9">
        <f t="shared" si="0"/>
        <v>1.1937832617094659E-3</v>
      </c>
      <c r="E68" s="371">
        <v>57</v>
      </c>
      <c r="F68" s="371" t="n">
        <v>2853.0</v>
      </c>
      <c r="G68" s="9">
        <f t="shared" si="1"/>
        <v>1.3561394579669941E-3</v>
      </c>
    </row>
    <row r="69" spans="1:7" x14ac:dyDescent="0.45">
      <c r="A69">
        <v>58</v>
      </c>
      <c r="B69" s="6" t="n">
        <v>3553.0490430719997</v>
      </c>
      <c r="C69" s="9">
        <f t="shared" si="0"/>
        <v>2.0820343751435208E-3</v>
      </c>
      <c r="E69" s="371">
        <v>58</v>
      </c>
      <c r="F69" s="371" t="n">
        <v>2548.0</v>
      </c>
      <c r="G69" s="9">
        <f t="shared" si="1"/>
        <v>1.524708351423323E-3</v>
      </c>
    </row>
    <row r="70" spans="1:7" x14ac:dyDescent="0.45">
      <c r="A70">
        <v>59</v>
      </c>
      <c r="B70" s="6" t="n">
        <v>19937.5237891116</v>
      </c>
      <c r="C70" s="9">
        <f t="shared" si="0"/>
        <v>1.1683095105346925E-2</v>
      </c>
      <c r="E70" s="371">
        <v>59</v>
      </c>
      <c r="F70" s="371" t="n">
        <v>2519.0</v>
      </c>
      <c r="G70" s="9">
        <f t="shared" si="1"/>
        <v>1.5767424793069488E-3</v>
      </c>
    </row>
    <row r="71" spans="1:7" x14ac:dyDescent="0.45">
      <c r="A71">
        <v>60</v>
      </c>
      <c r="B71" s="6" t="n">
        <v>15085.353204798701</v>
      </c>
      <c r="C71" s="9">
        <f t="shared" si="0"/>
        <v>8.8397946532188954E-3</v>
      </c>
      <c r="E71" s="371">
        <v>60</v>
      </c>
      <c r="F71" s="371" t="n">
        <v>3659.0</v>
      </c>
      <c r="G71" s="9">
        <f t="shared" si="1"/>
        <v>1.3122356625651849E-3</v>
      </c>
    </row>
    <row r="72" spans="1:7" x14ac:dyDescent="0.45">
      <c r="A72">
        <v>61</v>
      </c>
      <c r="B72" s="6" t="n">
        <v>10052.4940107454</v>
      </c>
      <c r="C72" s="9">
        <f t="shared" si="0"/>
        <v>5.8906133387340819E-3</v>
      </c>
      <c r="E72" s="371">
        <v>61</v>
      </c>
      <c r="F72" s="371" t="n">
        <v>2300.0</v>
      </c>
      <c r="G72" s="9">
        <f t="shared" si="1"/>
        <v>1.2623696233433771E-3</v>
      </c>
    </row>
    <row r="73" spans="1:7" x14ac:dyDescent="0.45">
      <c r="A73">
        <v>62</v>
      </c>
      <c r="B73" s="6" t="n">
        <v>2169.815863151</v>
      </c>
      <c r="C73" s="9">
        <f t="shared" si="0"/>
        <v>1.2714801175122833E-3</v>
      </c>
      <c r="E73" s="371">
        <v>62</v>
      </c>
      <c r="F73" s="371" t="n">
        <v>2042.0</v>
      </c>
      <c r="G73" s="9">
        <f t="shared" si="1"/>
        <v>1.1989530299852081E-3</v>
      </c>
    </row>
    <row r="74" spans="1:7" x14ac:dyDescent="0.45">
      <c r="A74">
        <v>63</v>
      </c>
      <c r="B74" s="6" t="n">
        <v>210.149659191</v>
      </c>
      <c r="C74" s="9">
        <f t="shared" si="0"/>
        <v>1.2314460314402455E-4</v>
      </c>
      <c r="E74" s="371">
        <v>63</v>
      </c>
      <c r="F74" s="371" t="n">
        <v>2036.0</v>
      </c>
      <c r="G74" s="9">
        <f t="shared" si="1"/>
        <v>1.093800729887048E-3</v>
      </c>
    </row>
    <row r="75" spans="1:7" x14ac:dyDescent="0.45">
      <c r="A75">
        <v>64</v>
      </c>
      <c r="B75" s="6" t="n">
        <v>909.115166911</v>
      </c>
      <c r="C75" s="9">
        <f t="shared" si="0"/>
        <v>5.3272808945989132E-4</v>
      </c>
      <c r="E75" s="371">
        <v>64</v>
      </c>
      <c r="F75" s="371" t="n">
        <v>1868.0</v>
      </c>
      <c r="G75" s="9">
        <f t="shared" si="1"/>
        <v>1.0439346906652401E-3</v>
      </c>
    </row>
    <row r="76" spans="1:7" x14ac:dyDescent="0.45">
      <c r="A76">
        <v>65</v>
      </c>
      <c r="B76" s="6" t="n">
        <v>927.898341994</v>
      </c>
      <c r="C76" s="9">
        <f t="shared" si="0"/>
        <v>5.4373475323600767E-4</v>
      </c>
      <c r="E76" s="371">
        <v>65</v>
      </c>
      <c r="F76" s="371" t="n">
        <v>1757.0</v>
      </c>
      <c r="G76" s="9">
        <f t="shared" si="1"/>
        <v>9.3498823540889885E-4</v>
      </c>
    </row>
    <row r="77" spans="1:7" x14ac:dyDescent="0.45">
      <c r="A77">
        <v>66</v>
      </c>
      <c r="B77" s="6" t="n">
        <v>1452.800212016</v>
      </c>
      <c r="C77" s="9">
        <f t="shared" ref="C77:C102" si="2">B77/B$102</f>
        <v>8.5131951317448003E-4</v>
      </c>
      <c r="E77" s="371">
        <v>66</v>
      </c>
      <c r="F77" s="371" t="n">
        <v>1965.0</v>
      </c>
      <c r="G77" s="9">
        <f t="shared" ref="G77:G102" si="3">F77/F$102</f>
        <v>1.057485244801601E-3</v>
      </c>
    </row>
    <row r="78" spans="1:7" x14ac:dyDescent="0.45">
      <c r="A78">
        <v>67</v>
      </c>
      <c r="B78" s="6" t="n">
        <v>437.3892552713</v>
      </c>
      <c r="C78" s="9">
        <f t="shared" si="2"/>
        <v>2.5630365743724894E-4</v>
      </c>
      <c r="E78" s="371">
        <v>67</v>
      </c>
      <c r="F78" s="371" t="n">
        <v>1825.0</v>
      </c>
      <c r="G78" s="9">
        <f t="shared" si="3"/>
        <v>1.0005729174288854E-3</v>
      </c>
    </row>
    <row r="79" spans="1:7" x14ac:dyDescent="0.45">
      <c r="A79">
        <v>68</v>
      </c>
      <c r="B79" s="6" t="n">
        <v>216.451709176</v>
      </c>
      <c r="C79" s="9">
        <f t="shared" si="2"/>
        <v>1.2683751155693462E-4</v>
      </c>
      <c r="E79" s="371">
        <v>68</v>
      </c>
      <c r="F79" s="371" t="n">
        <v>1722.0</v>
      </c>
      <c r="G79" s="9">
        <f t="shared" si="3"/>
        <v>9.1384937095617593E-4</v>
      </c>
    </row>
    <row r="80" spans="1:7" x14ac:dyDescent="0.45">
      <c r="A80">
        <v>69</v>
      </c>
      <c r="B80" s="6" t="n">
        <v>6926.1072900615</v>
      </c>
      <c r="C80" s="9">
        <f t="shared" si="2"/>
        <v>4.0585967964495559E-3</v>
      </c>
      <c r="E80" s="371">
        <v>69</v>
      </c>
      <c r="F80" s="371" t="n">
        <v>1712.0</v>
      </c>
      <c r="G80" s="9">
        <f t="shared" si="3"/>
        <v>8.1682740333983213E-4</v>
      </c>
    </row>
    <row r="81" spans="1:7" x14ac:dyDescent="0.45">
      <c r="A81">
        <v>70</v>
      </c>
      <c r="B81" s="6" t="n">
        <v>4848.627983235</v>
      </c>
      <c r="C81" s="9">
        <f t="shared" si="2"/>
        <v>2.8412245401064976E-3</v>
      </c>
      <c r="E81" s="371">
        <v>70</v>
      </c>
      <c r="F81" s="371" t="n">
        <v>1663.0</v>
      </c>
      <c r="G81" s="9">
        <f t="shared" si="3"/>
        <v>9.0300892764708725E-4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1322.0</v>
      </c>
      <c r="G82" s="9">
        <f t="shared" si="3"/>
        <v>7.8376405124711175E-4</v>
      </c>
    </row>
    <row r="83" spans="1:7" x14ac:dyDescent="0.45">
      <c r="A83">
        <v>72</v>
      </c>
      <c r="B83" s="6" t="n">
        <v>22938.6525471292</v>
      </c>
      <c r="C83" s="9">
        <f t="shared" si="2"/>
        <v>1.3441712327534759E-2</v>
      </c>
      <c r="E83" s="371">
        <v>72</v>
      </c>
      <c r="F83" s="371" t="n">
        <v>1487.0</v>
      </c>
      <c r="G83" s="9">
        <f t="shared" si="3"/>
        <v>8.9433657299981624E-4</v>
      </c>
    </row>
    <row r="84" spans="1:7" x14ac:dyDescent="0.45">
      <c r="A84">
        <v>73</v>
      </c>
      <c r="B84" s="6" t="n">
        <v>670.276657256</v>
      </c>
      <c r="C84" s="9">
        <f t="shared" si="2"/>
        <v>3.9277224275426482E-4</v>
      </c>
      <c r="E84" s="371">
        <v>73</v>
      </c>
      <c r="F84" s="371" t="n">
        <v>1306.0</v>
      </c>
      <c r="G84" s="9">
        <f t="shared" si="3"/>
        <v>6.8674208363076795E-4</v>
      </c>
    </row>
    <row r="85" spans="1:7" x14ac:dyDescent="0.45">
      <c r="A85">
        <v>74</v>
      </c>
      <c r="B85" s="6" t="n">
        <v>6789.006051028</v>
      </c>
      <c r="C85" s="9">
        <f t="shared" si="2"/>
        <v>3.9782574909454273E-3</v>
      </c>
      <c r="E85" s="371">
        <v>74</v>
      </c>
      <c r="F85" s="371" t="n">
        <v>1215.0</v>
      </c>
      <c r="G85" s="9">
        <f t="shared" si="3"/>
        <v>6.1682122428714597E-4</v>
      </c>
    </row>
    <row r="86" spans="1:7" x14ac:dyDescent="0.45">
      <c r="A86">
        <v>75</v>
      </c>
      <c r="B86" s="6" t="n">
        <v>7010.7300745953</v>
      </c>
      <c r="C86" s="9">
        <f t="shared" si="2"/>
        <v>4.1081845010333918E-3</v>
      </c>
      <c r="E86" s="371">
        <v>75</v>
      </c>
      <c r="F86" s="371" t="n">
        <v>1180.0</v>
      </c>
      <c r="G86" s="9">
        <f t="shared" si="3"/>
        <v>6.4338031039441323E-4</v>
      </c>
    </row>
    <row r="87" spans="1:7" x14ac:dyDescent="0.45">
      <c r="A87">
        <v>76</v>
      </c>
      <c r="B87" s="6" t="n">
        <v>9914.513539693</v>
      </c>
      <c r="C87" s="9">
        <f t="shared" si="2"/>
        <v>5.8097588162248151E-3</v>
      </c>
      <c r="E87" s="371">
        <v>76</v>
      </c>
      <c r="F87" s="371" t="n">
        <v>1169.0</v>
      </c>
      <c r="G87" s="9">
        <f t="shared" si="3"/>
        <v>6.3850211090532333E-4</v>
      </c>
    </row>
    <row r="88" spans="1:7" x14ac:dyDescent="0.45">
      <c r="A88">
        <v>77</v>
      </c>
      <c r="B88" s="6" t="n">
        <v>1693.494666494</v>
      </c>
      <c r="C88" s="9">
        <f t="shared" si="2"/>
        <v>9.9236291619385635E-4</v>
      </c>
      <c r="E88" s="371">
        <v>77</v>
      </c>
      <c r="F88" s="371" t="n">
        <v>1055.0</v>
      </c>
      <c r="G88" s="9">
        <f t="shared" si="3"/>
        <v>5.6749720723079245E-4</v>
      </c>
    </row>
    <row r="89" spans="1:7" x14ac:dyDescent="0.45">
      <c r="A89">
        <v>78</v>
      </c>
      <c r="B89" s="6" t="n">
        <v>3658.336044595</v>
      </c>
      <c r="C89" s="9">
        <f t="shared" si="2"/>
        <v>2.1437310063381026E-3</v>
      </c>
      <c r="E89" s="371">
        <v>78</v>
      </c>
      <c r="F89" s="371" t="n">
        <v>975.0</v>
      </c>
      <c r="G89" s="9">
        <f t="shared" si="3"/>
        <v>5.7129136238897357E-4</v>
      </c>
    </row>
    <row r="90" spans="1:7" x14ac:dyDescent="0.45">
      <c r="A90">
        <v>79</v>
      </c>
      <c r="B90" s="6" t="n">
        <v>815.65893134</v>
      </c>
      <c r="C90" s="9">
        <f t="shared" si="2"/>
        <v>4.7796411275381756E-4</v>
      </c>
      <c r="E90" s="371">
        <v>79</v>
      </c>
      <c r="F90" s="371" t="n">
        <v>961.0</v>
      </c>
      <c r="G90" s="9">
        <f t="shared" si="3"/>
        <v>5.2521947832534662E-4</v>
      </c>
    </row>
    <row r="91" spans="1:7" x14ac:dyDescent="0.45">
      <c r="A91">
        <v>80</v>
      </c>
      <c r="B91" s="6" t="n">
        <v>17566.8535541287</v>
      </c>
      <c r="C91" s="9">
        <f t="shared" si="2"/>
        <v>1.0293917286091039E-2</v>
      </c>
      <c r="E91" s="371">
        <v>80</v>
      </c>
      <c r="F91" s="371" t="n">
        <v>837.0</v>
      </c>
      <c r="G91" s="9">
        <f t="shared" si="3"/>
        <v>4.813156829235375E-4</v>
      </c>
    </row>
    <row r="92" spans="1:7" x14ac:dyDescent="0.45">
      <c r="A92">
        <v>81</v>
      </c>
      <c r="B92" s="6" t="n">
        <v>1969.6146971590001</v>
      </c>
      <c r="C92" s="9">
        <f t="shared" si="2"/>
        <v>1.1541651847640523E-3</v>
      </c>
      <c r="E92" s="371">
        <v>81</v>
      </c>
      <c r="F92" s="371" t="n">
        <v>895.0</v>
      </c>
      <c r="G92" s="9">
        <f t="shared" si="3"/>
        <v>4.5529861898172463E-4</v>
      </c>
    </row>
    <row r="93" spans="1:7" x14ac:dyDescent="0.45">
      <c r="A93">
        <v>82</v>
      </c>
      <c r="B93" s="6" t="n">
        <v>12908.5163988375</v>
      </c>
      <c r="C93" s="9">
        <f t="shared" si="2"/>
        <v>7.5642003666930267E-3</v>
      </c>
      <c r="E93" s="371">
        <v>82</v>
      </c>
      <c r="F93" s="371" t="n">
        <v>1002.0</v>
      </c>
      <c r="G93" s="9">
        <f t="shared" si="3"/>
        <v>5.0245454737626036E-4</v>
      </c>
    </row>
    <row r="94" spans="1:7" x14ac:dyDescent="0.45">
      <c r="A94">
        <v>83</v>
      </c>
      <c r="B94" s="6" t="n">
        <v>1983.3277993009</v>
      </c>
      <c r="C94" s="9">
        <f t="shared" si="2"/>
        <v>1.1622008605183629E-3</v>
      </c>
      <c r="E94" s="371">
        <v>83</v>
      </c>
      <c r="F94" s="371" t="n">
        <v>836.0</v>
      </c>
      <c r="G94" s="9">
        <f t="shared" si="3"/>
        <v>4.5584064114717908E-4</v>
      </c>
    </row>
    <row r="95" spans="1:7" x14ac:dyDescent="0.45">
      <c r="A95">
        <v>84</v>
      </c>
      <c r="B95" s="6" t="n">
        <v>5913.244308391099</v>
      </c>
      <c r="C95" s="9">
        <f t="shared" si="2"/>
        <v>3.4650740165543389E-3</v>
      </c>
      <c r="E95" s="371">
        <v>84</v>
      </c>
      <c r="F95" s="371" t="n">
        <v>912.0</v>
      </c>
      <c r="G95" s="9">
        <f t="shared" si="3"/>
        <v>4.905300597362629E-4</v>
      </c>
    </row>
    <row r="96" spans="1:7" x14ac:dyDescent="0.45">
      <c r="A96">
        <v>85</v>
      </c>
      <c r="B96" s="6" t="n">
        <v>1408.8821269998</v>
      </c>
      <c r="C96" s="9">
        <f t="shared" si="2"/>
        <v>8.2558416261057537E-4</v>
      </c>
      <c r="E96" s="371">
        <v>85</v>
      </c>
      <c r="F96" s="371" t="n">
        <v>766.0</v>
      </c>
      <c r="G96" s="9">
        <f t="shared" si="3"/>
        <v>4.4066402051445494E-4</v>
      </c>
    </row>
    <row r="97" spans="1:7" x14ac:dyDescent="0.45">
      <c r="A97">
        <v>86</v>
      </c>
      <c r="B97" s="6" t="n">
        <v>1571.3901850464</v>
      </c>
      <c r="C97" s="9">
        <f t="shared" si="2"/>
        <v>9.2081148961597505E-4</v>
      </c>
      <c r="E97" s="371">
        <v>86</v>
      </c>
      <c r="F97" s="371" t="n">
        <v>719.0</v>
      </c>
      <c r="G97" s="9">
        <f t="shared" si="3"/>
        <v>3.6098676219265311E-4</v>
      </c>
    </row>
    <row r="98" spans="1:7" x14ac:dyDescent="0.45">
      <c r="A98">
        <v>87</v>
      </c>
      <c r="B98" s="6" t="n">
        <v>4902.178756339</v>
      </c>
      <c r="C98" s="9">
        <f t="shared" si="2"/>
        <v>2.8726045039253025E-3</v>
      </c>
      <c r="E98" s="371">
        <v>87</v>
      </c>
      <c r="F98" s="371" t="n">
        <v>679.0</v>
      </c>
      <c r="G98" s="9">
        <f t="shared" si="3"/>
        <v>3.8754584829992037E-4</v>
      </c>
    </row>
    <row r="99" spans="1:7" x14ac:dyDescent="0.45">
      <c r="A99">
        <v>88</v>
      </c>
      <c r="B99" s="6" t="n">
        <v>5592.4941541029</v>
      </c>
      <c r="C99" s="9">
        <f t="shared" si="2"/>
        <v>3.2771191532904131E-3</v>
      </c>
      <c r="E99" s="371">
        <v>88</v>
      </c>
      <c r="F99" s="371" t="n">
        <v>707.0</v>
      </c>
      <c r="G99" s="9">
        <f t="shared" si="3"/>
        <v>3.6640698384719745E-4</v>
      </c>
    </row>
    <row r="100" spans="1:7" x14ac:dyDescent="0.45">
      <c r="A100">
        <v>89</v>
      </c>
      <c r="B100" s="6" t="n">
        <v>5038.3174449458</v>
      </c>
      <c r="C100" s="9">
        <f t="shared" si="2"/>
        <v>2.9523797690652531E-3</v>
      </c>
      <c r="E100" s="371">
        <v>89</v>
      </c>
      <c r="F100" s="371" t="n">
        <v>645.0</v>
      </c>
      <c r="G100" s="9">
        <f t="shared" si="3"/>
        <v>3.5014631888356443E-4</v>
      </c>
    </row>
    <row r="101" spans="1:7" ht="14.65" thickBot="1" x14ac:dyDescent="0.5">
      <c r="A101" s="1">
        <v>90</v>
      </c>
      <c r="B101" s="7" t="n">
        <v>140651.5372882614</v>
      </c>
      <c r="C101" s="9">
        <f t="shared" si="2"/>
        <v>8.2419727957863356E-2</v>
      </c>
      <c r="E101" s="372">
        <v>90</v>
      </c>
      <c r="F101" s="372" t="n">
        <v>53231.0</v>
      </c>
      <c r="G101" s="9">
        <f t="shared" si="3"/>
        <v>2.8717960392272281E-2</v>
      </c>
    </row>
    <row r="102" spans="1:7" x14ac:dyDescent="0.45">
      <c r="B102" s="6">
        <f>SUM(B11:B101)</f>
        <v>1706527.5604909633</v>
      </c>
      <c r="C102" s="9">
        <f t="shared" si="2"/>
        <v>1</v>
      </c>
      <c r="F102" s="6">
        <f>SUM(F11:F101)</f>
        <v>1844943</v>
      </c>
      <c r="G102" s="9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2022-01-21T23:38:14Z</dcterms:modified>
</cp:coreProperties>
</file>