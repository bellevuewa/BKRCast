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windowHeight="15690" windowWidth="28950" xWindow="0" yWindow="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0">#REF!</definedName>
    <definedName name="out9">#REF!</definedName>
    <definedName name="TDFD">TDFD_Home!$E$11:$F$102</definedName>
    <definedName name="TLFD">TLFD_Home!$E$11:$F$102</definedName>
    <definedName name="out1">TLFD_SocRec!$B$11:$B$101</definedName>
    <definedName name="out3">TDFD_SocRec!$B$11:$B$101</definedName>
    <definedName name="out5">TLFD_SocRec!$K$11:$K$11</definedName>
    <definedName name="out7">TDFD_SocRec!$K$11:$K$11</definedName>
    <definedName name="out2">TLFD_SocRec!$F$11:$F$101</definedName>
    <definedName name="out4">TDFD_SocRec!$F$11:$F$101</definedName>
    <definedName name="out6">TLFD_SocRec!$L$11:$L$11</definedName>
    <definedName name="out8">TDFD_SocRec!$L$11:$L$11</definedName>
  </definedNames>
  <calcPr calcId="171027"/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3" r="U18"/>
  <c i="3" r="U19" s="1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W18"/>
  <c i="3" r="V18" s="1"/>
  <c i="3" r="AA18"/>
  <c i="3" r="AA19" s="1"/>
  <c i="3" r="Y18"/>
  <c i="3" r="Y19" s="1"/>
  <c i="3" l="1" r="W19"/>
  <c i="3" r="V19" s="1"/>
  <c i="3" r="Z18"/>
  <c i="3" r="Z19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<sst xmlns="http://schemas.openxmlformats.org/spreadsheetml/2006/main" count="303" uniqueCount="49">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</sst>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8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43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3.8236086732527902E-2</c:v>
                </c:pt>
                <c:pt idx="1">
                  <c:v>5.8195697299397414E-2</c:v>
                </c:pt>
                <c:pt idx="2">
                  <c:v>7.0891230043307024E-2</c:v>
                </c:pt>
                <c:pt idx="3">
                  <c:v>9.7272902644978093E-2</c:v>
                </c:pt>
                <c:pt idx="4">
                  <c:v>0.16885762538443519</c:v>
                </c:pt>
                <c:pt idx="5">
                  <c:v>0.1011755251985029</c:v>
                </c:pt>
                <c:pt idx="6">
                  <c:v>0.11301178667116919</c:v>
                </c:pt>
                <c:pt idx="7">
                  <c:v>4.8770989350988926E-2</c:v>
                </c:pt>
                <c:pt idx="8">
                  <c:v>5.3059886439917908E-2</c:v>
                </c:pt>
                <c:pt idx="9">
                  <c:v>2.7506633266139165E-2</c:v>
                </c:pt>
                <c:pt idx="10">
                  <c:v>5.1573572684993227E-2</c:v>
                </c:pt>
                <c:pt idx="11">
                  <c:v>1.8234000612110796E-2</c:v>
                </c:pt>
                <c:pt idx="12">
                  <c:v>1.1717969916541686E-2</c:v>
                </c:pt>
                <c:pt idx="13">
                  <c:v>1.1546937642355417E-2</c:v>
                </c:pt>
                <c:pt idx="14">
                  <c:v>1.3472505390533523E-2</c:v>
                </c:pt>
                <c:pt idx="15">
                  <c:v>1.1608526064597842E-2</c:v>
                </c:pt>
                <c:pt idx="16">
                  <c:v>1.7816252301041755E-2</c:v>
                </c:pt>
                <c:pt idx="17">
                  <c:v>1.2077662128500907E-2</c:v>
                </c:pt>
                <c:pt idx="18">
                  <c:v>1.0588301312970071E-2</c:v>
                </c:pt>
                <c:pt idx="19">
                  <c:v>5.3465788209901242E-3</c:v>
                </c:pt>
                <c:pt idx="20">
                  <c:v>5.3118155838205007E-3</c:v>
                </c:pt>
                <c:pt idx="21">
                  <c:v>5.1441850698081097E-3</c:v>
                </c:pt>
                <c:pt idx="22">
                  <c:v>4.7413815013258448E-3</c:v>
                </c:pt>
                <c:pt idx="23">
                  <c:v>7.0152115500568624E-3</c:v>
                </c:pt>
                <c:pt idx="24">
                  <c:v>6.1231532210864218E-3</c:v>
                </c:pt>
                <c:pt idx="25">
                  <c:v>2.5491533907980109E-3</c:v>
                </c:pt>
                <c:pt idx="26">
                  <c:v>4.0435432553542145E-3</c:v>
                </c:pt>
                <c:pt idx="27">
                  <c:v>1.728311034681229E-3</c:v>
                </c:pt>
                <c:pt idx="28">
                  <c:v>2.1653624803671472E-3</c:v>
                </c:pt>
                <c:pt idx="29">
                  <c:v>9.878336596957785E-4</c:v>
                </c:pt>
                <c:pt idx="30">
                  <c:v>1.6315377580754481E-3</c:v>
                </c:pt>
                <c:pt idx="31">
                  <c:v>6.0972242211191708E-4</c:v>
                </c:pt>
                <c:pt idx="32">
                  <c:v>8.8042627325432467E-4</c:v>
                </c:pt>
                <c:pt idx="33">
                  <c:v>1.2399149412124586E-3</c:v>
                </c:pt>
                <c:pt idx="34">
                  <c:v>1.3432440665445749E-3</c:v>
                </c:pt>
                <c:pt idx="35">
                  <c:v>4.8629597530361216E-4</c:v>
                </c:pt>
                <c:pt idx="36">
                  <c:v>7.887169084308199E-4</c:v>
                </c:pt>
                <c:pt idx="37">
                  <c:v>6.904831558018973E-4</c:v>
                </c:pt>
                <c:pt idx="38">
                  <c:v>1.0744979037459444E-3</c:v>
                </c:pt>
                <c:pt idx="39">
                  <c:v>7.997051524749817E-4</c:v>
                </c:pt>
                <c:pt idx="40">
                  <c:v>4.3133738943703791E-4</c:v>
                </c:pt>
                <c:pt idx="41">
                  <c:v>6.7822176129992242E-4</c:v>
                </c:pt>
                <c:pt idx="42">
                  <c:v>2.8144295873249131E-4</c:v>
                </c:pt>
                <c:pt idx="43">
                  <c:v>6.7544529909828888E-4</c:v>
                </c:pt>
                <c:pt idx="44">
                  <c:v>4.3882579231041378E-4</c:v>
                </c:pt>
                <c:pt idx="45">
                  <c:v>7.5672656755772328E-5</c:v>
                </c:pt>
                <c:pt idx="46">
                  <c:v>1.0329816418748322E-3</c:v>
                </c:pt>
                <c:pt idx="47">
                  <c:v>8.6720278890497549E-4</c:v>
                </c:pt>
                <c:pt idx="48">
                  <c:v>1.0650311363165733E-4</c:v>
                </c:pt>
                <c:pt idx="49">
                  <c:v>9.1525435552847342E-4</c:v>
                </c:pt>
                <c:pt idx="50">
                  <c:v>1.0788051647521869E-4</c:v>
                </c:pt>
                <c:pt idx="51">
                  <c:v>1.6511953634138643E-4</c:v>
                </c:pt>
                <c:pt idx="52">
                  <c:v>1.8356357959930196E-4</c:v>
                </c:pt>
                <c:pt idx="53">
                  <c:v>8.7685821460497236E-4</c:v>
                </c:pt>
                <c:pt idx="54">
                  <c:v>2.2957963554981416E-4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1.2097287413979261E-4</c:v>
                </c:pt>
                <c:pt idx="59">
                  <c:v>8.6301580407603556E-5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0.12400277434515659</c:v>
                </c:pt>
                <c:pt idx="1">
                  <c:v>0.1055946052393029</c:v>
                </c:pt>
                <c:pt idx="2">
                  <c:v>6.5583324476823385E-2</c:v>
                </c:pt>
                <c:pt idx="3">
                  <c:v>4.1598332614393115E-2</c:v>
                </c:pt>
                <c:pt idx="4">
                  <c:v>0.14188285233801443</c:v>
                </c:pt>
                <c:pt idx="5">
                  <c:v>7.9555250382219181E-2</c:v>
                </c:pt>
                <c:pt idx="6">
                  <c:v>8.3895461229672577E-2</c:v>
                </c:pt>
                <c:pt idx="7">
                  <c:v>5.0124894156023225E-2</c:v>
                </c:pt>
                <c:pt idx="8">
                  <c:v>5.0666877833649045E-2</c:v>
                </c:pt>
                <c:pt idx="9">
                  <c:v>2.6306786726210198E-2</c:v>
                </c:pt>
                <c:pt idx="10">
                  <c:v>2.570905913300672E-2</c:v>
                </c:pt>
                <c:pt idx="11">
                  <c:v>2.5643590422188094E-2</c:v>
                </c:pt>
                <c:pt idx="12">
                  <c:v>2.1879052721588143E-2</c:v>
                </c:pt>
                <c:pt idx="13">
                  <c:v>1.9750711820280226E-2</c:v>
                </c:pt>
                <c:pt idx="14">
                  <c:v>1.6578171029973904E-2</c:v>
                </c:pt>
                <c:pt idx="15">
                  <c:v>1.5713879852933311E-2</c:v>
                </c:pt>
                <c:pt idx="16">
                  <c:v>1.7225738198787317E-2</c:v>
                </c:pt>
                <c:pt idx="17">
                  <c:v>1.048020344271644E-2</c:v>
                </c:pt>
                <c:pt idx="18">
                  <c:v>1.0000215334751764E-2</c:v>
                </c:pt>
                <c:pt idx="19">
                  <c:v>7.2875184336966938E-3</c:v>
                </c:pt>
                <c:pt idx="20">
                  <c:v>6.3049668002436755E-3</c:v>
                </c:pt>
                <c:pt idx="21">
                  <c:v>6.6444663483880111E-3</c:v>
                </c:pt>
                <c:pt idx="22">
                  <c:v>5.1558780482891652E-3</c:v>
                </c:pt>
                <c:pt idx="23">
                  <c:v>5.0942297927437747E-3</c:v>
                </c:pt>
                <c:pt idx="24">
                  <c:v>4.6576559492476832E-3</c:v>
                </c:pt>
                <c:pt idx="25">
                  <c:v>3.9446200696156416E-3</c:v>
                </c:pt>
                <c:pt idx="26">
                  <c:v>4.2379268403654026E-3</c:v>
                </c:pt>
                <c:pt idx="27">
                  <c:v>2.7548955661185356E-3</c:v>
                </c:pt>
                <c:pt idx="28">
                  <c:v>2.8486703773706792E-3</c:v>
                </c:pt>
                <c:pt idx="29">
                  <c:v>2.0713813863251318E-3</c:v>
                </c:pt>
                <c:pt idx="30">
                  <c:v>1.8826161644157238E-3</c:v>
                </c:pt>
                <c:pt idx="31">
                  <c:v>1.7332710946437913E-3</c:v>
                </c:pt>
                <c:pt idx="32">
                  <c:v>1.6391489692758987E-3</c:v>
                </c:pt>
                <c:pt idx="33">
                  <c:v>1.1310284179355788E-3</c:v>
                </c:pt>
                <c:pt idx="34">
                  <c:v>1.1153992827268881E-3</c:v>
                </c:pt>
                <c:pt idx="35">
                  <c:v>9.2368189083361638E-4</c:v>
                </c:pt>
                <c:pt idx="36">
                  <c:v>1.1181777956528775E-3</c:v>
                </c:pt>
                <c:pt idx="37">
                  <c:v>8.255656531346141E-4</c:v>
                </c:pt>
                <c:pt idx="38">
                  <c:v>9.766472934852903E-4</c:v>
                </c:pt>
                <c:pt idx="39">
                  <c:v>7.0192182792808372E-4</c:v>
                </c:pt>
                <c:pt idx="40">
                  <c:v>5.9286519558299797E-4</c:v>
                </c:pt>
                <c:pt idx="41">
                  <c:v>4.9579090023124173E-4</c:v>
                </c:pt>
                <c:pt idx="42">
                  <c:v>4.5359223516777702E-4</c:v>
                </c:pt>
                <c:pt idx="43">
                  <c:v>3.5339211277428265E-4</c:v>
                </c:pt>
                <c:pt idx="44">
                  <c:v>4.0097414663185191E-4</c:v>
                </c:pt>
                <c:pt idx="45">
                  <c:v>3.4210440401245053E-4</c:v>
                </c:pt>
                <c:pt idx="46">
                  <c:v>2.8149809081430571E-4</c:v>
                </c:pt>
                <c:pt idx="47">
                  <c:v>2.7159963851546834E-4</c:v>
                </c:pt>
                <c:pt idx="48">
                  <c:v>1.8720230838853891E-4</c:v>
                </c:pt>
                <c:pt idx="49">
                  <c:v>1.785194554948219E-4</c:v>
                </c:pt>
                <c:pt idx="50">
                  <c:v>1.5073432623492744E-4</c:v>
                </c:pt>
                <c:pt idx="51">
                  <c:v>1.385783321837236E-4</c:v>
                </c:pt>
                <c:pt idx="52">
                  <c:v>1.1600291466005937E-4</c:v>
                </c:pt>
                <c:pt idx="53">
                  <c:v>8.8217785400164907E-5</c:v>
                </c:pt>
                <c:pt idx="54">
                  <c:v>1.1669754289155673E-4</c:v>
                </c:pt>
                <c:pt idx="55">
                  <c:v>8.1097846027316955E-5</c:v>
                </c:pt>
                <c:pt idx="56">
                  <c:v>5.8348771445778363E-5</c:v>
                </c:pt>
                <c:pt idx="57">
                  <c:v>5.5396601461914578E-5</c:v>
                </c:pt>
                <c:pt idx="58">
                  <c:v>5.8522428503652699E-5</c:v>
                </c:pt>
                <c:pt idx="59">
                  <c:v>4.5498149163077178E-5</c:v>
                </c:pt>
                <c:pt idx="60">
                  <c:v>3.5773353922114114E-5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5824"/>
        <c:axId val="337358176"/>
      </c:lineChart>
      <c:catAx>
        <c:axId val="3373558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8176"/>
        <c:crosses val="autoZero"/>
        <c:auto val="1"/>
        <c:lblAlgn val="ctr"/>
        <c:lblOffset val="100"/>
        <c:tickLblSkip val="10"/>
        <c:noMultiLvlLbl val="0"/>
      </c:catAx>
      <c:valAx>
        <c:axId val="337358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582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1.1520591836113835E-3</c:v>
                </c:pt>
                <c:pt idx="1">
                  <c:v>3.2823665731806458E-3</c:v>
                </c:pt>
                <c:pt idx="2">
                  <c:v>4.8030301928631012E-3</c:v>
                </c:pt>
                <c:pt idx="3">
                  <c:v>7.178388057394851E-3</c:v>
                </c:pt>
                <c:pt idx="4">
                  <c:v>5.8610394295050133E-3</c:v>
                </c:pt>
                <c:pt idx="5">
                  <c:v>1.3217378667197181E-2</c:v>
                </c:pt>
                <c:pt idx="6">
                  <c:v>1.199838168494834E-2</c:v>
                </c:pt>
                <c:pt idx="7">
                  <c:v>1.4335265229524862E-2</c:v>
                </c:pt>
                <c:pt idx="8">
                  <c:v>1.1013317726597917E-2</c:v>
                </c:pt>
                <c:pt idx="9">
                  <c:v>1.6656328049919178E-2</c:v>
                </c:pt>
                <c:pt idx="10">
                  <c:v>9.2323699373679062E-3</c:v>
                </c:pt>
                <c:pt idx="11">
                  <c:v>1.4054491354216034E-2</c:v>
                </c:pt>
                <c:pt idx="12">
                  <c:v>1.9981645959129483E-2</c:v>
                </c:pt>
                <c:pt idx="13">
                  <c:v>1.9022497515499313E-2</c:v>
                </c:pt>
                <c:pt idx="14">
                  <c:v>1.339284182292734E-2</c:v>
                </c:pt>
                <c:pt idx="15">
                  <c:v>8.3944410053314947E-3</c:v>
                </c:pt>
                <c:pt idx="16">
                  <c:v>3.4106856851808941E-2</c:v>
                </c:pt>
                <c:pt idx="17">
                  <c:v>2.0967294660688186E-2</c:v>
                </c:pt>
                <c:pt idx="18">
                  <c:v>6.4640991931875849E-2</c:v>
                </c:pt>
                <c:pt idx="19">
                  <c:v>3.8923564678889383E-2</c:v>
                </c:pt>
                <c:pt idx="20">
                  <c:v>5.771479789334328E-2</c:v>
                </c:pt>
                <c:pt idx="21">
                  <c:v>4.9665678307372015E-2</c:v>
                </c:pt>
                <c:pt idx="22">
                  <c:v>4.325311964068803E-2</c:v>
                </c:pt>
                <c:pt idx="23">
                  <c:v>2.7228175262631146E-2</c:v>
                </c:pt>
                <c:pt idx="24">
                  <c:v>3.2389638302866092E-2</c:v>
                </c:pt>
                <c:pt idx="25">
                  <c:v>2.2212784079585542E-2</c:v>
                </c:pt>
                <c:pt idx="26">
                  <c:v>5.6118249793503897E-2</c:v>
                </c:pt>
                <c:pt idx="27">
                  <c:v>1.4418973404381807E-2</c:v>
                </c:pt>
                <c:pt idx="28">
                  <c:v>2.2565264963531978E-2</c:v>
                </c:pt>
                <c:pt idx="29">
                  <c:v>2.0003660979708328E-2</c:v>
                </c:pt>
                <c:pt idx="30">
                  <c:v>1.4777811140685954E-2</c:v>
                </c:pt>
                <c:pt idx="31">
                  <c:v>1.1178617809549781E-2</c:v>
                </c:pt>
                <c:pt idx="32">
                  <c:v>1.1729314475392553E-2</c:v>
                </c:pt>
                <c:pt idx="33">
                  <c:v>1.0436507520170961E-2</c:v>
                </c:pt>
                <c:pt idx="34">
                  <c:v>1.8208570237731338E-2</c:v>
                </c:pt>
                <c:pt idx="35">
                  <c:v>7.9243915344174923E-3</c:v>
                </c:pt>
                <c:pt idx="36">
                  <c:v>1.1244758776609949E-2</c:v>
                </c:pt>
                <c:pt idx="37">
                  <c:v>1.3781191827820819E-2</c:v>
                </c:pt>
                <c:pt idx="38">
                  <c:v>1.5972981835236624E-2</c:v>
                </c:pt>
                <c:pt idx="39">
                  <c:v>5.1170557392510793E-3</c:v>
                </c:pt>
                <c:pt idx="40">
                  <c:v>8.4653023475767808E-3</c:v>
                </c:pt>
                <c:pt idx="41">
                  <c:v>5.3633806649946289E-3</c:v>
                </c:pt>
                <c:pt idx="42">
                  <c:v>4.3505559257213085E-3</c:v>
                </c:pt>
                <c:pt idx="43">
                  <c:v>3.4858359360051432E-3</c:v>
                </c:pt>
                <c:pt idx="44">
                  <c:v>2.9620570223669231E-3</c:v>
                </c:pt>
                <c:pt idx="45">
                  <c:v>3.9808514865644448E-2</c:v>
                </c:pt>
                <c:pt idx="46">
                  <c:v>4.038163030117151E-3</c:v>
                </c:pt>
                <c:pt idx="47">
                  <c:v>4.1814912436694196E-3</c:v>
                </c:pt>
                <c:pt idx="48">
                  <c:v>5.3572064376473374E-3</c:v>
                </c:pt>
                <c:pt idx="49">
                  <c:v>3.1212066718373198E-3</c:v>
                </c:pt>
                <c:pt idx="50">
                  <c:v>1.6714412326665502E-3</c:v>
                </c:pt>
                <c:pt idx="51">
                  <c:v>3.8730333811435899E-3</c:v>
                </c:pt>
                <c:pt idx="52">
                  <c:v>3.4752412903841139E-3</c:v>
                </c:pt>
                <c:pt idx="53">
                  <c:v>3.9996395963273784E-4</c:v>
                </c:pt>
                <c:pt idx="54">
                  <c:v>6.5969000011507377E-3</c:v>
                </c:pt>
                <c:pt idx="55">
                  <c:v>5.7911991902158725E-4</c:v>
                </c:pt>
                <c:pt idx="56">
                  <c:v>1.4118405888683674E-3</c:v>
                </c:pt>
                <c:pt idx="57">
                  <c:v>7.7787905282415421E-4</c:v>
                </c:pt>
                <c:pt idx="58">
                  <c:v>2.6375836739332462E-3</c:v>
                </c:pt>
                <c:pt idx="59">
                  <c:v>3.1759069083167925E-3</c:v>
                </c:pt>
                <c:pt idx="60">
                  <c:v>4.3954320650886137E-3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3.9029348902674243E-3</c:v>
                </c:pt>
                <c:pt idx="1">
                  <c:v>1.5033449755860224E-2</c:v>
                </c:pt>
                <c:pt idx="2">
                  <c:v>1.9534483657404993E-2</c:v>
                </c:pt>
                <c:pt idx="3">
                  <c:v>2.2773462614467672E-2</c:v>
                </c:pt>
                <c:pt idx="4">
                  <c:v>2.4200594276182034E-2</c:v>
                </c:pt>
                <c:pt idx="5">
                  <c:v>2.4946045978209874E-2</c:v>
                </c:pt>
                <c:pt idx="6">
                  <c:v>2.4563415524162018E-2</c:v>
                </c:pt>
                <c:pt idx="7">
                  <c:v>2.3993118907365898E-2</c:v>
                </c:pt>
                <c:pt idx="8">
                  <c:v>2.269717979460981E-2</c:v>
                </c:pt>
                <c:pt idx="9">
                  <c:v>2.1102017411249546E-2</c:v>
                </c:pt>
                <c:pt idx="10">
                  <c:v>1.9251420528593025E-2</c:v>
                </c:pt>
                <c:pt idx="11">
                  <c:v>1.7920207127838886E-2</c:v>
                </c:pt>
                <c:pt idx="12">
                  <c:v>1.6635736502806305E-2</c:v>
                </c:pt>
                <c:pt idx="13">
                  <c:v>1.4730924950911398E-2</c:v>
                </c:pt>
                <c:pt idx="14">
                  <c:v>1.3539592347390919E-2</c:v>
                </c:pt>
                <c:pt idx="15">
                  <c:v>1.3003701193765312E-2</c:v>
                </c:pt>
                <c:pt idx="16">
                  <c:v>1.2078228987471545E-2</c:v>
                </c:pt>
                <c:pt idx="17">
                  <c:v>1.1516446853985299E-2</c:v>
                </c:pt>
                <c:pt idx="18">
                  <c:v>9.8607100036490647E-2</c:v>
                </c:pt>
                <c:pt idx="19">
                  <c:v>3.4962206120002087E-2</c:v>
                </c:pt>
                <c:pt idx="20">
                  <c:v>3.8500234582703435E-2</c:v>
                </c:pt>
                <c:pt idx="21">
                  <c:v>4.3617612816903857E-2</c:v>
                </c:pt>
                <c:pt idx="22">
                  <c:v>4.055552659472797E-2</c:v>
                </c:pt>
                <c:pt idx="23">
                  <c:v>3.6794731446245808E-2</c:v>
                </c:pt>
                <c:pt idx="24">
                  <c:v>2.7483188239587134E-2</c:v>
                </c:pt>
                <c:pt idx="25">
                  <c:v>2.7426019565935118E-2</c:v>
                </c:pt>
                <c:pt idx="26">
                  <c:v>2.6015048046012963E-2</c:v>
                </c:pt>
                <c:pt idx="27">
                  <c:v>2.4593824393125858E-2</c:v>
                </c:pt>
                <c:pt idx="28">
                  <c:v>2.077933587030183E-2</c:v>
                </c:pt>
                <c:pt idx="29">
                  <c:v>1.7898660272115938E-2</c:v>
                </c:pt>
                <c:pt idx="30">
                  <c:v>2.0743366522441745E-2</c:v>
                </c:pt>
                <c:pt idx="31">
                  <c:v>1.7333055309388522E-2</c:v>
                </c:pt>
                <c:pt idx="32">
                  <c:v>1.5134928495716694E-2</c:v>
                </c:pt>
                <c:pt idx="33">
                  <c:v>1.4202505690802621E-2</c:v>
                </c:pt>
                <c:pt idx="34">
                  <c:v>1.5794019009887226E-2</c:v>
                </c:pt>
                <c:pt idx="35">
                  <c:v>1.0607829849345775E-2</c:v>
                </c:pt>
                <c:pt idx="36">
                  <c:v>9.1351717666684051E-3</c:v>
                </c:pt>
                <c:pt idx="37">
                  <c:v>8.942813949851431E-3</c:v>
                </c:pt>
                <c:pt idx="38">
                  <c:v>1.0751359710855097E-2</c:v>
                </c:pt>
                <c:pt idx="39">
                  <c:v>8.3148273645067688E-3</c:v>
                </c:pt>
                <c:pt idx="40">
                  <c:v>7.0133277728544373E-3</c:v>
                </c:pt>
                <c:pt idx="41">
                  <c:v>6.657804653425776E-3</c:v>
                </c:pt>
                <c:pt idx="42">
                  <c:v>5.7033136978922308E-3</c:v>
                </c:pt>
                <c:pt idx="43">
                  <c:v>5.2636883351578657E-3</c:v>
                </c:pt>
                <c:pt idx="44">
                  <c:v>4.5722775374029091E-3</c:v>
                </c:pt>
                <c:pt idx="45">
                  <c:v>4.5058993205789851E-3</c:v>
                </c:pt>
                <c:pt idx="46">
                  <c:v>4.0339536742601953E-3</c:v>
                </c:pt>
                <c:pt idx="47">
                  <c:v>4.298250186797338E-3</c:v>
                </c:pt>
                <c:pt idx="48">
                  <c:v>4.3100662044518586E-3</c:v>
                </c:pt>
                <c:pt idx="49">
                  <c:v>3.6786043197970424E-3</c:v>
                </c:pt>
                <c:pt idx="50">
                  <c:v>3.420389581052668E-3</c:v>
                </c:pt>
                <c:pt idx="51">
                  <c:v>2.7760690889502859E-3</c:v>
                </c:pt>
                <c:pt idx="52">
                  <c:v>2.7235920693669743E-3</c:v>
                </c:pt>
                <c:pt idx="53">
                  <c:v>2.3517350431805938E-3</c:v>
                </c:pt>
                <c:pt idx="54">
                  <c:v>2.20386105753358E-3</c:v>
                </c:pt>
                <c:pt idx="55">
                  <c:v>1.8236633130028323E-3</c:v>
                </c:pt>
                <c:pt idx="56">
                  <c:v>2.3479122139394254E-3</c:v>
                </c:pt>
                <c:pt idx="57">
                  <c:v>2.0328763314740482E-3</c:v>
                </c:pt>
                <c:pt idx="58">
                  <c:v>1.5263514570192358E-3</c:v>
                </c:pt>
                <c:pt idx="59">
                  <c:v>1.804722931762498E-3</c:v>
                </c:pt>
                <c:pt idx="60">
                  <c:v>1.3861231298545587E-3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60920"/>
        <c:axId val="337356216"/>
      </c:lineChart>
      <c:catAx>
        <c:axId val="337360920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6216"/>
        <c:crosses val="autoZero"/>
        <c:auto val="1"/>
        <c:lblAlgn val="ctr"/>
        <c:lblOffset val="100"/>
        <c:tickLblSkip val="10"/>
        <c:noMultiLvlLbl val="0"/>
      </c:catAx>
      <c:valAx>
        <c:axId val="3373562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609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4.3350897587176453E-2</c:v>
                </c:pt>
                <c:pt idx="1">
                  <c:v>4.0964048004621383E-2</c:v>
                </c:pt>
                <c:pt idx="2">
                  <c:v>3.4030946650605388E-2</c:v>
                </c:pt>
                <c:pt idx="3">
                  <c:v>6.1107633294971188E-2</c:v>
                </c:pt>
                <c:pt idx="4">
                  <c:v>0.11461934173110985</c:v>
                </c:pt>
                <c:pt idx="5">
                  <c:v>8.2689148775625249E-2</c:v>
                </c:pt>
                <c:pt idx="6">
                  <c:v>7.5025355273952654E-2</c:v>
                </c:pt>
                <c:pt idx="7">
                  <c:v>5.1015080509191402E-2</c:v>
                </c:pt>
                <c:pt idx="8">
                  <c:v>6.0636123713288845E-2</c:v>
                </c:pt>
                <c:pt idx="9">
                  <c:v>3.8362186505982186E-2</c:v>
                </c:pt>
                <c:pt idx="10">
                  <c:v>5.6039289838937911E-2</c:v>
                </c:pt>
                <c:pt idx="11">
                  <c:v>3.1412041498785341E-2</c:v>
                </c:pt>
                <c:pt idx="12">
                  <c:v>2.8320493772279569E-2</c:v>
                </c:pt>
                <c:pt idx="13">
                  <c:v>2.3968400746099006E-2</c:v>
                </c:pt>
                <c:pt idx="14">
                  <c:v>1.5251687906304068E-2</c:v>
                </c:pt>
                <c:pt idx="15">
                  <c:v>2.373658686325935E-2</c:v>
                </c:pt>
                <c:pt idx="16">
                  <c:v>2.6153401933238316E-2</c:v>
                </c:pt>
                <c:pt idx="17">
                  <c:v>2.1122050459274257E-2</c:v>
                </c:pt>
                <c:pt idx="18">
                  <c:v>2.5421502754384394E-2</c:v>
                </c:pt>
                <c:pt idx="19">
                  <c:v>1.4576217497007098E-2</c:v>
                </c:pt>
                <c:pt idx="20">
                  <c:v>1.3506529406207057E-2</c:v>
                </c:pt>
                <c:pt idx="21">
                  <c:v>1.2501670281594596E-2</c:v>
                </c:pt>
                <c:pt idx="22">
                  <c:v>1.0883645839426468E-2</c:v>
                </c:pt>
                <c:pt idx="23">
                  <c:v>1.0444219728167904E-2</c:v>
                </c:pt>
                <c:pt idx="24">
                  <c:v>8.4782146108721649E-3</c:v>
                </c:pt>
                <c:pt idx="25">
                  <c:v>6.5622073241969449E-3</c:v>
                </c:pt>
                <c:pt idx="26">
                  <c:v>7.0758819566800867E-3</c:v>
                </c:pt>
                <c:pt idx="27">
                  <c:v>5.7851088707189099E-3</c:v>
                </c:pt>
                <c:pt idx="28">
                  <c:v>4.7068909969254988E-3</c:v>
                </c:pt>
                <c:pt idx="29">
                  <c:v>3.0273845658872422E-3</c:v>
                </c:pt>
                <c:pt idx="30">
                  <c:v>4.2494242526683965E-3</c:v>
                </c:pt>
                <c:pt idx="31">
                  <c:v>3.6920161319539974E-3</c:v>
                </c:pt>
                <c:pt idx="32">
                  <c:v>1.6421349270643944E-3</c:v>
                </c:pt>
                <c:pt idx="33">
                  <c:v>2.4140565087486243E-3</c:v>
                </c:pt>
                <c:pt idx="34">
                  <c:v>6.1180271648847741E-3</c:v>
                </c:pt>
                <c:pt idx="35">
                  <c:v>2.0283118602045201E-3</c:v>
                </c:pt>
                <c:pt idx="36">
                  <c:v>3.1322379069327437E-3</c:v>
                </c:pt>
                <c:pt idx="37">
                  <c:v>2.3311251628552044E-3</c:v>
                </c:pt>
                <c:pt idx="38">
                  <c:v>3.2625609578060119E-3</c:v>
                </c:pt>
                <c:pt idx="39">
                  <c:v>1.5197843997540959E-3</c:v>
                </c:pt>
                <c:pt idx="40">
                  <c:v>1.6903617759272879E-3</c:v>
                </c:pt>
                <c:pt idx="41">
                  <c:v>1.8514477944162799E-3</c:v>
                </c:pt>
                <c:pt idx="42">
                  <c:v>2.6635161883616494E-4</c:v>
                </c:pt>
                <c:pt idx="43">
                  <c:v>7.8365272688785028E-4</c:v>
                </c:pt>
                <c:pt idx="44">
                  <c:v>2.0845265271744341E-3</c:v>
                </c:pt>
                <c:pt idx="45">
                  <c:v>1.0027415200176382E-3</c:v>
                </c:pt>
                <c:pt idx="46">
                  <c:v>3.0386586780140236E-4</c:v>
                </c:pt>
                <c:pt idx="47">
                  <c:v>2.7686927500679666E-3</c:v>
                </c:pt>
                <c:pt idx="48">
                  <c:v>1.5524519986301871E-3</c:v>
                </c:pt>
                <c:pt idx="49">
                  <c:v>2.1713246608085946E-4</c:v>
                </c:pt>
                <c:pt idx="50">
                  <c:v>5.1701177826402359E-4</c:v>
                </c:pt>
                <c:pt idx="51">
                  <c:v>2.494372632501389E-4</c:v>
                </c:pt>
                <c:pt idx="52">
                  <c:v>9.6723968161660794E-4</c:v>
                </c:pt>
                <c:pt idx="53">
                  <c:v>2.0361044925377203E-4</c:v>
                </c:pt>
                <c:pt idx="54">
                  <c:v>4.3687590986753557E-4</c:v>
                </c:pt>
                <c:pt idx="55">
                  <c:v>7.0949967296781271E-4</c:v>
                </c:pt>
                <c:pt idx="56">
                  <c:v>1.303699415208944E-3</c:v>
                </c:pt>
                <c:pt idx="57">
                  <c:v>5.5919775896026464E-4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0.1121482253385207</c:v>
                </c:pt>
                <c:pt idx="1">
                  <c:v>7.0380679940557411E-2</c:v>
                </c:pt>
                <c:pt idx="2">
                  <c:v>4.6555796362486287E-2</c:v>
                </c:pt>
                <c:pt idx="3">
                  <c:v>3.1275076077194278E-2</c:v>
                </c:pt>
                <c:pt idx="4">
                  <c:v>9.0748891533485115E-2</c:v>
                </c:pt>
                <c:pt idx="5">
                  <c:v>7.308195252296508E-2</c:v>
                </c:pt>
                <c:pt idx="6">
                  <c:v>7.0694111898858381E-2</c:v>
                </c:pt>
                <c:pt idx="7">
                  <c:v>5.0236695867604396E-2</c:v>
                </c:pt>
                <c:pt idx="8">
                  <c:v>4.8969992843371196E-2</c:v>
                </c:pt>
                <c:pt idx="9">
                  <c:v>3.2958607113243006E-2</c:v>
                </c:pt>
                <c:pt idx="10">
                  <c:v>3.0620234404935439E-2</c:v>
                </c:pt>
                <c:pt idx="11">
                  <c:v>3.1793272768926038E-2</c:v>
                </c:pt>
                <c:pt idx="12">
                  <c:v>2.5452864577525752E-2</c:v>
                </c:pt>
                <c:pt idx="13">
                  <c:v>3.017988885937934E-2</c:v>
                </c:pt>
                <c:pt idx="14">
                  <c:v>2.3928279631585669E-2</c:v>
                </c:pt>
                <c:pt idx="15">
                  <c:v>2.4643942511794244E-2</c:v>
                </c:pt>
                <c:pt idx="16">
                  <c:v>2.4778154644003333E-2</c:v>
                </c:pt>
                <c:pt idx="17">
                  <c:v>1.646754478975122E-2</c:v>
                </c:pt>
                <c:pt idx="18">
                  <c:v>1.6710018672110839E-2</c:v>
                </c:pt>
                <c:pt idx="19">
                  <c:v>1.529207357744263E-2</c:v>
                </c:pt>
                <c:pt idx="20">
                  <c:v>1.3170629844155792E-2</c:v>
                </c:pt>
                <c:pt idx="21">
                  <c:v>1.1338695060709702E-2</c:v>
                </c:pt>
                <c:pt idx="22">
                  <c:v>1.0901593312910924E-2</c:v>
                </c:pt>
                <c:pt idx="23">
                  <c:v>1.0142950112417866E-2</c:v>
                </c:pt>
                <c:pt idx="24">
                  <c:v>8.7071641300843997E-3</c:v>
                </c:pt>
                <c:pt idx="25">
                  <c:v>8.7047312817664108E-3</c:v>
                </c:pt>
                <c:pt idx="26">
                  <c:v>8.2895251688295361E-3</c:v>
                </c:pt>
                <c:pt idx="27">
                  <c:v>6.0103517695930453E-3</c:v>
                </c:pt>
                <c:pt idx="28">
                  <c:v>6.2439052081200369E-3</c:v>
                </c:pt>
                <c:pt idx="29">
                  <c:v>5.2480592966230042E-3</c:v>
                </c:pt>
                <c:pt idx="30">
                  <c:v>4.4387317561718322E-3</c:v>
                </c:pt>
                <c:pt idx="31">
                  <c:v>3.9367540532266668E-3</c:v>
                </c:pt>
                <c:pt idx="32">
                  <c:v>3.3893631816790302E-3</c:v>
                </c:pt>
                <c:pt idx="33">
                  <c:v>3.2304170915703834E-3</c:v>
                </c:pt>
                <c:pt idx="34">
                  <c:v>2.6891083408177208E-3</c:v>
                </c:pt>
                <c:pt idx="35">
                  <c:v>2.4555549022907295E-3</c:v>
                </c:pt>
                <c:pt idx="36">
                  <c:v>2.9688858973865129E-3</c:v>
                </c:pt>
                <c:pt idx="37">
                  <c:v>2.3391836577468985E-3</c:v>
                </c:pt>
                <c:pt idx="38">
                  <c:v>2.7178970459139297E-3</c:v>
                </c:pt>
                <c:pt idx="39">
                  <c:v>2.1623966799729955E-3</c:v>
                </c:pt>
                <c:pt idx="40">
                  <c:v>1.7703026260570218E-3</c:v>
                </c:pt>
                <c:pt idx="41">
                  <c:v>1.5018783616388477E-3</c:v>
                </c:pt>
                <c:pt idx="42">
                  <c:v>1.1892573527771976E-3</c:v>
                </c:pt>
                <c:pt idx="43">
                  <c:v>9.5570391425020627E-4</c:v>
                </c:pt>
                <c:pt idx="44">
                  <c:v>9.9422401261837329E-4</c:v>
                </c:pt>
                <c:pt idx="45">
                  <c:v>9.7516670079412224E-4</c:v>
                </c:pt>
                <c:pt idx="46">
                  <c:v>7.6796911904535037E-4</c:v>
                </c:pt>
                <c:pt idx="47">
                  <c:v>7.8621548143027156E-4</c:v>
                </c:pt>
                <c:pt idx="48">
                  <c:v>6.3781173403291242E-4</c:v>
                </c:pt>
                <c:pt idx="49">
                  <c:v>4.946791579911971E-4</c:v>
                </c:pt>
                <c:pt idx="50">
                  <c:v>4.3264152588246506E-4</c:v>
                </c:pt>
                <c:pt idx="51">
                  <c:v>4.8210944168158474E-4</c:v>
                </c:pt>
                <c:pt idx="52">
                  <c:v>3.5073563251015208E-4</c:v>
                </c:pt>
                <c:pt idx="53">
                  <c:v>3.2559619989092731E-4</c:v>
                </c:pt>
                <c:pt idx="54">
                  <c:v>2.6964068857716894E-4</c:v>
                </c:pt>
                <c:pt idx="55">
                  <c:v>2.2098372221737906E-4</c:v>
                </c:pt>
                <c:pt idx="56">
                  <c:v>2.0557568287011226E-4</c:v>
                </c:pt>
                <c:pt idx="57">
                  <c:v>1.5935156482831187E-4</c:v>
                </c:pt>
                <c:pt idx="58">
                  <c:v>1.8286909856887696E-4</c:v>
                </c:pt>
                <c:pt idx="59">
                  <c:v>1.6502821090362069E-4</c:v>
                </c:pt>
                <c:pt idx="60">
                  <c:v>1.5286396931367321E-4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8960"/>
        <c:axId val="337358568"/>
      </c:lineChart>
      <c:catAx>
        <c:axId val="337358960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8568"/>
        <c:crosses val="autoZero"/>
        <c:auto val="1"/>
        <c:lblAlgn val="ctr"/>
        <c:lblOffset val="100"/>
        <c:tickLblSkip val="10"/>
        <c:noMultiLvlLbl val="0"/>
      </c:catAx>
      <c:valAx>
        <c:axId val="33735856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89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5.0976018773326421E-4</c:v>
                </c:pt>
                <c:pt idx="1">
                  <c:v>7.5889516367453301E-4</c:v>
                </c:pt>
                <c:pt idx="2">
                  <c:v>3.0040143019223662E-3</c:v>
                </c:pt>
                <c:pt idx="3">
                  <c:v>1.8749009186536383E-3</c:v>
                </c:pt>
                <c:pt idx="4">
                  <c:v>5.0594805929866215E-3</c:v>
                </c:pt>
                <c:pt idx="5">
                  <c:v>1.37955379963598E-2</c:v>
                </c:pt>
                <c:pt idx="6">
                  <c:v>1.1987847147793168E-2</c:v>
                </c:pt>
                <c:pt idx="7">
                  <c:v>1.2030039698227295E-2</c:v>
                </c:pt>
                <c:pt idx="8">
                  <c:v>7.3839074963944181E-3</c:v>
                </c:pt>
                <c:pt idx="9">
                  <c:v>1.7836473748381459E-2</c:v>
                </c:pt>
                <c:pt idx="10">
                  <c:v>6.3823251749068133E-3</c:v>
                </c:pt>
                <c:pt idx="11">
                  <c:v>1.4396909731323395E-2</c:v>
                </c:pt>
                <c:pt idx="12">
                  <c:v>1.0107945006456724E-2</c:v>
                </c:pt>
                <c:pt idx="13">
                  <c:v>1.0648566430076807E-2</c:v>
                </c:pt>
                <c:pt idx="14">
                  <c:v>1.1880051167044397E-2</c:v>
                </c:pt>
                <c:pt idx="15">
                  <c:v>9.8264895193360107E-3</c:v>
                </c:pt>
                <c:pt idx="16">
                  <c:v>1.6807097102083172E-2</c:v>
                </c:pt>
                <c:pt idx="17">
                  <c:v>9.7511778498767226E-3</c:v>
                </c:pt>
                <c:pt idx="18">
                  <c:v>4.6676447814153865E-2</c:v>
                </c:pt>
                <c:pt idx="19">
                  <c:v>3.0123237581621949E-2</c:v>
                </c:pt>
                <c:pt idx="20">
                  <c:v>3.4860110233020256E-2</c:v>
                </c:pt>
                <c:pt idx="21">
                  <c:v>4.7453956169726717E-2</c:v>
                </c:pt>
                <c:pt idx="22">
                  <c:v>3.2159982143700756E-2</c:v>
                </c:pt>
                <c:pt idx="23">
                  <c:v>2.7900418019341035E-2</c:v>
                </c:pt>
                <c:pt idx="24">
                  <c:v>3.7013573910480324E-2</c:v>
                </c:pt>
                <c:pt idx="25">
                  <c:v>2.264879460486225E-2</c:v>
                </c:pt>
                <c:pt idx="26">
                  <c:v>3.6226244682296307E-2</c:v>
                </c:pt>
                <c:pt idx="27">
                  <c:v>2.4501799204792073E-2</c:v>
                </c:pt>
                <c:pt idx="28">
                  <c:v>2.7500900780965253E-2</c:v>
                </c:pt>
                <c:pt idx="29">
                  <c:v>2.2728060092624874E-2</c:v>
                </c:pt>
                <c:pt idx="30">
                  <c:v>2.5690704568350375E-2</c:v>
                </c:pt>
                <c:pt idx="31">
                  <c:v>1.7361334712889712E-2</c:v>
                </c:pt>
                <c:pt idx="32">
                  <c:v>1.8531651256158656E-2</c:v>
                </c:pt>
                <c:pt idx="33">
                  <c:v>2.081973526267035E-2</c:v>
                </c:pt>
                <c:pt idx="34">
                  <c:v>2.9063009398100276E-2</c:v>
                </c:pt>
                <c:pt idx="35">
                  <c:v>1.8701601225951461E-2</c:v>
                </c:pt>
                <c:pt idx="36">
                  <c:v>1.3113100072795297E-2</c:v>
                </c:pt>
                <c:pt idx="37">
                  <c:v>1.7402603886907196E-2</c:v>
                </c:pt>
                <c:pt idx="38">
                  <c:v>2.2029233859835066E-2</c:v>
                </c:pt>
                <c:pt idx="39">
                  <c:v>1.1831276989094457E-2</c:v>
                </c:pt>
                <c:pt idx="40">
                  <c:v>1.005818599877456E-2</c:v>
                </c:pt>
                <c:pt idx="41">
                  <c:v>1.5073451608597523E-2</c:v>
                </c:pt>
                <c:pt idx="42">
                  <c:v>7.3862875346109467E-3</c:v>
                </c:pt>
                <c:pt idx="43">
                  <c:v>1.0306626804415055E-2</c:v>
                </c:pt>
                <c:pt idx="44">
                  <c:v>7.24124309328944E-3</c:v>
                </c:pt>
                <c:pt idx="45">
                  <c:v>3.4533736844136916E-2</c:v>
                </c:pt>
                <c:pt idx="46">
                  <c:v>9.9791041510519998E-3</c:v>
                </c:pt>
                <c:pt idx="47">
                  <c:v>8.5790993785921244E-3</c:v>
                </c:pt>
                <c:pt idx="48">
                  <c:v>7.4169928306962599E-3</c:v>
                </c:pt>
                <c:pt idx="49">
                  <c:v>4.7913337177387981E-3</c:v>
                </c:pt>
                <c:pt idx="50">
                  <c:v>5.9404559129806753E-3</c:v>
                </c:pt>
                <c:pt idx="51">
                  <c:v>4.5939179600581323E-3</c:v>
                </c:pt>
                <c:pt idx="52">
                  <c:v>6.5667686848019814E-3</c:v>
                </c:pt>
                <c:pt idx="53">
                  <c:v>5.1386451510872927E-3</c:v>
                </c:pt>
                <c:pt idx="54">
                  <c:v>4.3482007760616403E-3</c:v>
                </c:pt>
                <c:pt idx="55">
                  <c:v>6.1376500951985024E-3</c:v>
                </c:pt>
                <c:pt idx="56">
                  <c:v>3.2246420618066512E-3</c:v>
                </c:pt>
                <c:pt idx="57">
                  <c:v>1.9611028103021112E-3</c:v>
                </c:pt>
                <c:pt idx="58">
                  <c:v>2.276982589139893E-3</c:v>
                </c:pt>
                <c:pt idx="59">
                  <c:v>2.9270799524444566E-3</c:v>
                </c:pt>
                <c:pt idx="60">
                  <c:v>2.8233676696514734E-3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1.7090759433876195E-3</c:v>
                </c:pt>
                <c:pt idx="1">
                  <c:v>1.3492576771569734E-2</c:v>
                </c:pt>
                <c:pt idx="2">
                  <c:v>1.5807026471417074E-2</c:v>
                </c:pt>
                <c:pt idx="3">
                  <c:v>1.7893599378812731E-2</c:v>
                </c:pt>
                <c:pt idx="4">
                  <c:v>1.9284377667263389E-2</c:v>
                </c:pt>
                <c:pt idx="5">
                  <c:v>1.9580779687338443E-2</c:v>
                </c:pt>
                <c:pt idx="6">
                  <c:v>1.9240586397539578E-2</c:v>
                </c:pt>
                <c:pt idx="7">
                  <c:v>1.903947093658578E-2</c:v>
                </c:pt>
                <c:pt idx="8">
                  <c:v>1.8369221224979675E-2</c:v>
                </c:pt>
                <c:pt idx="9">
                  <c:v>1.7432169147834055E-2</c:v>
                </c:pt>
                <c:pt idx="10">
                  <c:v>1.6107077763969111E-2</c:v>
                </c:pt>
                <c:pt idx="11">
                  <c:v>1.4777526158187853E-2</c:v>
                </c:pt>
                <c:pt idx="12">
                  <c:v>1.4260545890615085E-2</c:v>
                </c:pt>
                <c:pt idx="13">
                  <c:v>1.3298759855569905E-2</c:v>
                </c:pt>
                <c:pt idx="14">
                  <c:v>1.1747413578131938E-2</c:v>
                </c:pt>
                <c:pt idx="15">
                  <c:v>1.1219890967847881E-2</c:v>
                </c:pt>
                <c:pt idx="16">
                  <c:v>1.0204582269806934E-2</c:v>
                </c:pt>
                <c:pt idx="17">
                  <c:v>9.8814189182339952E-3</c:v>
                </c:pt>
                <c:pt idx="18">
                  <c:v>5.6255968081030068E-2</c:v>
                </c:pt>
                <c:pt idx="19">
                  <c:v>2.6781199759148017E-2</c:v>
                </c:pt>
                <c:pt idx="20">
                  <c:v>3.0890280568232273E-2</c:v>
                </c:pt>
                <c:pt idx="21">
                  <c:v>3.5837477622863906E-2</c:v>
                </c:pt>
                <c:pt idx="22">
                  <c:v>3.6762365458419578E-2</c:v>
                </c:pt>
                <c:pt idx="23">
                  <c:v>3.2890081885619635E-2</c:v>
                </c:pt>
                <c:pt idx="24">
                  <c:v>2.4885199969994869E-2</c:v>
                </c:pt>
                <c:pt idx="25">
                  <c:v>2.8587589635255217E-2</c:v>
                </c:pt>
                <c:pt idx="26">
                  <c:v>2.4893309464388169E-2</c:v>
                </c:pt>
                <c:pt idx="27">
                  <c:v>2.1481239698407904E-2</c:v>
                </c:pt>
                <c:pt idx="28">
                  <c:v>2.7875576027523625E-2</c:v>
                </c:pt>
                <c:pt idx="29">
                  <c:v>1.9727561535857144E-2</c:v>
                </c:pt>
                <c:pt idx="30">
                  <c:v>2.0439575143588736E-2</c:v>
                </c:pt>
                <c:pt idx="31">
                  <c:v>2.2972981192055129E-2</c:v>
                </c:pt>
                <c:pt idx="32">
                  <c:v>1.9102724992853509E-2</c:v>
                </c:pt>
                <c:pt idx="33">
                  <c:v>2.0771658938994301E-2</c:v>
                </c:pt>
                <c:pt idx="34">
                  <c:v>1.7402569493298516E-2</c:v>
                </c:pt>
                <c:pt idx="35">
                  <c:v>1.789441032825206E-2</c:v>
                </c:pt>
                <c:pt idx="36">
                  <c:v>1.3383504071979873E-2</c:v>
                </c:pt>
                <c:pt idx="37">
                  <c:v>1.4205401328740656E-2</c:v>
                </c:pt>
                <c:pt idx="38">
                  <c:v>1.7806422314084771E-2</c:v>
                </c:pt>
                <c:pt idx="39">
                  <c:v>1.082049836897794E-2</c:v>
                </c:pt>
                <c:pt idx="40">
                  <c:v>1.2824354433561953E-2</c:v>
                </c:pt>
                <c:pt idx="41">
                  <c:v>1.1459121052450182E-2</c:v>
                </c:pt>
                <c:pt idx="42">
                  <c:v>1.1156636911580154E-2</c:v>
                </c:pt>
                <c:pt idx="43">
                  <c:v>9.9284539857151261E-3</c:v>
                </c:pt>
                <c:pt idx="44">
                  <c:v>8.0900316067543977E-3</c:v>
                </c:pt>
                <c:pt idx="45">
                  <c:v>7.7976843338759937E-3</c:v>
                </c:pt>
                <c:pt idx="46">
                  <c:v>7.1874448807802954E-3</c:v>
                </c:pt>
                <c:pt idx="47">
                  <c:v>8.5036158208126114E-3</c:v>
                </c:pt>
                <c:pt idx="48">
                  <c:v>7.0256604676339944E-3</c:v>
                </c:pt>
                <c:pt idx="49">
                  <c:v>6.7406117397095589E-3</c:v>
                </c:pt>
                <c:pt idx="50">
                  <c:v>5.9912944577687945E-3</c:v>
                </c:pt>
                <c:pt idx="51">
                  <c:v>7.157439751525092E-3</c:v>
                </c:pt>
                <c:pt idx="52">
                  <c:v>5.6097427465641083E-3</c:v>
                </c:pt>
                <c:pt idx="53">
                  <c:v>5.1369592234348166E-3</c:v>
                </c:pt>
                <c:pt idx="54">
                  <c:v>5.3551046226145418E-3</c:v>
                </c:pt>
                <c:pt idx="55">
                  <c:v>4.3142510172347031E-3</c:v>
                </c:pt>
                <c:pt idx="56">
                  <c:v>3.938375952105326E-3</c:v>
                </c:pt>
                <c:pt idx="57">
                  <c:v>3.9278336093940382E-3</c:v>
                </c:pt>
                <c:pt idx="58">
                  <c:v>3.2632605438632414E-3</c:v>
                </c:pt>
                <c:pt idx="59">
                  <c:v>3.7611834996117578E-3</c:v>
                </c:pt>
                <c:pt idx="60">
                  <c:v>2.9660475743488583E-3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9352"/>
        <c:axId val="337360136"/>
      </c:lineChart>
      <c:catAx>
        <c:axId val="337359352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60136"/>
        <c:crosses val="autoZero"/>
        <c:auto val="1"/>
        <c:lblAlgn val="ctr"/>
        <c:lblOffset val="100"/>
        <c:tickLblSkip val="10"/>
        <c:noMultiLvlLbl val="0"/>
      </c:catAx>
      <c:valAx>
        <c:axId val="337360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93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6.7908804863944364E-2</c:v>
                </c:pt>
                <c:pt idx="1">
                  <c:v>5.0332260930260102E-2</c:v>
                </c:pt>
                <c:pt idx="2">
                  <c:v>6.4507688338137734E-2</c:v>
                </c:pt>
                <c:pt idx="3">
                  <c:v>9.5332250844830213E-2</c:v>
                </c:pt>
                <c:pt idx="4">
                  <c:v>0.20234716945580231</c:v>
                </c:pt>
                <c:pt idx="5">
                  <c:v>8.5410977927769027E-2</c:v>
                </c:pt>
                <c:pt idx="6">
                  <c:v>0.14274259339946485</c:v>
                </c:pt>
                <c:pt idx="7">
                  <c:v>5.3596581290139451E-2</c:v>
                </c:pt>
                <c:pt idx="8">
                  <c:v>4.5283578361986404E-2</c:v>
                </c:pt>
                <c:pt idx="9">
                  <c:v>3.4154977371809031E-2</c:v>
                </c:pt>
                <c:pt idx="10">
                  <c:v>6.0641853624114943E-2</c:v>
                </c:pt>
                <c:pt idx="11">
                  <c:v>1.1745761089692474E-2</c:v>
                </c:pt>
                <c:pt idx="12">
                  <c:v>8.9814146376595589E-3</c:v>
                </c:pt>
                <c:pt idx="13">
                  <c:v>6.3888568889515704E-3</c:v>
                </c:pt>
                <c:pt idx="14">
                  <c:v>6.2271882821414793E-3</c:v>
                </c:pt>
                <c:pt idx="15">
                  <c:v>3.1458703056568694E-3</c:v>
                </c:pt>
                <c:pt idx="16">
                  <c:v>1.1986737757805612E-2</c:v>
                </c:pt>
                <c:pt idx="17">
                  <c:v>7.2217516854610276E-3</c:v>
                </c:pt>
                <c:pt idx="18">
                  <c:v>7.044405115650753E-3</c:v>
                </c:pt>
                <c:pt idx="19">
                  <c:v>2.0770411798038684E-3</c:v>
                </c:pt>
                <c:pt idx="20">
                  <c:v>1.9366959719289319E-3</c:v>
                </c:pt>
                <c:pt idx="21">
                  <c:v>9.1799754716662789E-3</c:v>
                </c:pt>
                <c:pt idx="22">
                  <c:v>2.5268726331390923E-3</c:v>
                </c:pt>
                <c:pt idx="23">
                  <c:v>1.100414413466964E-2</c:v>
                </c:pt>
                <c:pt idx="24">
                  <c:v>2.05682651540962E-4</c:v>
                </c:pt>
                <c:pt idx="25">
                  <c:v>1.2489394586892781E-3</c:v>
                </c:pt>
                <c:pt idx="26">
                  <c:v>1.2131687341140614E-3</c:v>
                </c:pt>
                <c:pt idx="27">
                  <c:v>2.0912689731751384E-5</c:v>
                </c:pt>
                <c:pt idx="28">
                  <c:v>1.9737428357836087E-3</c:v>
                </c:pt>
                <c:pt idx="29">
                  <c:v>3.5421573165624737E-4</c:v>
                </c:pt>
                <c:pt idx="30">
                  <c:v>0</c:v>
                </c:pt>
                <c:pt idx="31">
                  <c:v>0</c:v>
                </c:pt>
                <c:pt idx="32">
                  <c:v>1.8267056671200007E-5</c:v>
                </c:pt>
                <c:pt idx="33">
                  <c:v>0</c:v>
                </c:pt>
                <c:pt idx="34">
                  <c:v>6.8482439812463146E-4</c:v>
                </c:pt>
                <c:pt idx="35">
                  <c:v>1.169240757492463E-5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5.9193351078352793E-6</c:v>
                </c:pt>
                <c:pt idx="40">
                  <c:v>6.3208403961574398E-6</c:v>
                </c:pt>
                <c:pt idx="41">
                  <c:v>0</c:v>
                </c:pt>
                <c:pt idx="42">
                  <c:v>3.8969658760836819E-4</c:v>
                </c:pt>
                <c:pt idx="43">
                  <c:v>4.0313855447715661E-4</c:v>
                </c:pt>
                <c:pt idx="44">
                  <c:v>0</c:v>
                </c:pt>
                <c:pt idx="45">
                  <c:v>0</c:v>
                </c:pt>
                <c:pt idx="46">
                  <c:v>1.6378296472056497E-3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0.16440172919187193</c:v>
                </c:pt>
                <c:pt idx="1">
                  <c:v>0.15660315143521469</c:v>
                </c:pt>
                <c:pt idx="2">
                  <c:v>8.8428331397731097E-2</c:v>
                </c:pt>
                <c:pt idx="3">
                  <c:v>5.2274595281333117E-2</c:v>
                </c:pt>
                <c:pt idx="4">
                  <c:v>0.16807129158413081</c:v>
                </c:pt>
                <c:pt idx="5">
                  <c:v>7.4437442871447726E-2</c:v>
                </c:pt>
                <c:pt idx="6">
                  <c:v>8.0828567064374329E-2</c:v>
                </c:pt>
                <c:pt idx="7">
                  <c:v>4.4965777421098953E-2</c:v>
                </c:pt>
                <c:pt idx="8">
                  <c:v>4.3926856056656978E-2</c:v>
                </c:pt>
                <c:pt idx="9">
                  <c:v>2.7614457130249462E-2</c:v>
                </c:pt>
                <c:pt idx="10">
                  <c:v>1.7498005804382138E-2</c:v>
                </c:pt>
                <c:pt idx="11">
                  <c:v>1.6519698288507374E-2</c:v>
                </c:pt>
                <c:pt idx="12">
                  <c:v>1.1568759137537672E-2</c:v>
                </c:pt>
                <c:pt idx="13">
                  <c:v>9.0823790693107236E-3</c:v>
                </c:pt>
                <c:pt idx="14">
                  <c:v>8.6532330214548776E-3</c:v>
                </c:pt>
                <c:pt idx="15">
                  <c:v>6.0225919936379704E-3</c:v>
                </c:pt>
                <c:pt idx="16">
                  <c:v>5.5728372372692734E-3</c:v>
                </c:pt>
                <c:pt idx="17">
                  <c:v>3.7410867335681917E-3</c:v>
                </c:pt>
                <c:pt idx="18">
                  <c:v>3.1737411109791077E-3</c:v>
                </c:pt>
                <c:pt idx="19">
                  <c:v>2.5736640101637299E-3</c:v>
                </c:pt>
                <c:pt idx="20">
                  <c:v>1.9117607838097985E-3</c:v>
                </c:pt>
                <c:pt idx="21">
                  <c:v>2.0839041137406746E-3</c:v>
                </c:pt>
                <c:pt idx="22">
                  <c:v>1.3880571321891054E-3</c:v>
                </c:pt>
                <c:pt idx="23">
                  <c:v>1.4474587037849713E-3</c:v>
                </c:pt>
                <c:pt idx="24">
                  <c:v>9.5527425341922721E-4</c:v>
                </c:pt>
                <c:pt idx="25">
                  <c:v>7.9161686228776059E-4</c:v>
                </c:pt>
                <c:pt idx="26">
                  <c:v>6.7281371909602933E-4</c:v>
                </c:pt>
                <c:pt idx="27">
                  <c:v>8.158624017146445E-4</c:v>
                </c:pt>
                <c:pt idx="28">
                  <c:v>4.1702327814240373E-4</c:v>
                </c:pt>
                <c:pt idx="29">
                  <c:v>4.3278287876987831E-4</c:v>
                </c:pt>
                <c:pt idx="30">
                  <c:v>4.6793891093886003E-4</c:v>
                </c:pt>
                <c:pt idx="31">
                  <c:v>2.8973419615126308E-4</c:v>
                </c:pt>
                <c:pt idx="32">
                  <c:v>2.9700785797932827E-4</c:v>
                </c:pt>
                <c:pt idx="33">
                  <c:v>2.6427637975303493E-4</c:v>
                </c:pt>
                <c:pt idx="34">
                  <c:v>2.363940094121184E-4</c:v>
                </c:pt>
                <c:pt idx="35">
                  <c:v>1.7093105295953176E-4</c:v>
                </c:pt>
                <c:pt idx="36">
                  <c:v>3.2246567437755637E-4</c:v>
                </c:pt>
                <c:pt idx="37">
                  <c:v>1.5153462141802461E-4</c:v>
                </c:pt>
                <c:pt idx="38">
                  <c:v>1.2728908199114068E-4</c:v>
                </c:pt>
                <c:pt idx="39">
                  <c:v>1.3819957473323844E-4</c:v>
                </c:pt>
                <c:pt idx="40">
                  <c:v>1.248645280484523E-4</c:v>
                </c:pt>
                <c:pt idx="41">
                  <c:v>7.2736618280651817E-5</c:v>
                </c:pt>
                <c:pt idx="42">
                  <c:v>6.061384856720985E-5</c:v>
                </c:pt>
                <c:pt idx="43">
                  <c:v>7.5161172223340211E-5</c:v>
                </c:pt>
                <c:pt idx="44">
                  <c:v>4.0005140054358499E-5</c:v>
                </c:pt>
                <c:pt idx="45">
                  <c:v>3.1519201254949122E-5</c:v>
                </c:pt>
                <c:pt idx="46">
                  <c:v>3.7580586111670105E-5</c:v>
                </c:pt>
                <c:pt idx="47">
                  <c:v>3.8792863083014302E-5</c:v>
                </c:pt>
                <c:pt idx="48">
                  <c:v>4.7278801882423679E-5</c:v>
                </c:pt>
                <c:pt idx="49">
                  <c:v>2.6670093369572332E-5</c:v>
                </c:pt>
                <c:pt idx="50">
                  <c:v>7.2736618280651821E-6</c:v>
                </c:pt>
                <c:pt idx="51">
                  <c:v>1.6971877598818758E-5</c:v>
                </c:pt>
                <c:pt idx="52">
                  <c:v>1.5759600627474561E-5</c:v>
                </c:pt>
                <c:pt idx="53">
                  <c:v>8.4859387994093788E-6</c:v>
                </c:pt>
                <c:pt idx="54">
                  <c:v>1.2122769713441969E-6</c:v>
                </c:pt>
                <c:pt idx="55">
                  <c:v>9.6982157707535756E-6</c:v>
                </c:pt>
                <c:pt idx="56">
                  <c:v>2.4245539426883939E-6</c:v>
                </c:pt>
                <c:pt idx="57">
                  <c:v>2.4245539426883939E-6</c:v>
                </c:pt>
                <c:pt idx="58">
                  <c:v>4.8491078853767878E-6</c:v>
                </c:pt>
                <c:pt idx="59">
                  <c:v>1.2122769713441969E-6</c:v>
                </c:pt>
                <c:pt idx="60">
                  <c:v>1.9396431541507151E-5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0584"/>
        <c:axId val="128020192"/>
      </c:lineChart>
      <c:catAx>
        <c:axId val="128020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0192"/>
        <c:crosses val="autoZero"/>
        <c:auto val="1"/>
        <c:lblAlgn val="ctr"/>
        <c:lblOffset val="100"/>
        <c:tickLblSkip val="10"/>
        <c:noMultiLvlLbl val="0"/>
      </c:catAx>
      <c:valAx>
        <c:axId val="12802019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0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8.156350282673492E-3</c:v>
                </c:pt>
                <c:pt idx="2">
                  <c:v>6.8145609813907559E-3</c:v>
                </c:pt>
                <c:pt idx="3">
                  <c:v>1.4230797282412447E-2</c:v>
                </c:pt>
                <c:pt idx="4">
                  <c:v>1.0782005828019798E-2</c:v>
                </c:pt>
                <c:pt idx="5">
                  <c:v>8.9122035466190682E-3</c:v>
                </c:pt>
                <c:pt idx="6">
                  <c:v>8.7185302939005154E-3</c:v>
                </c:pt>
                <c:pt idx="7">
                  <c:v>1.628655697829668E-2</c:v>
                </c:pt>
                <c:pt idx="8">
                  <c:v>3.9059268496487954E-3</c:v>
                </c:pt>
                <c:pt idx="9">
                  <c:v>1.404400204859528E-2</c:v>
                </c:pt>
                <c:pt idx="10">
                  <c:v>8.3782112783444881E-3</c:v>
                </c:pt>
                <c:pt idx="11">
                  <c:v>1.6176340952326389E-2</c:v>
                </c:pt>
                <c:pt idx="12">
                  <c:v>3.5714752295633805E-2</c:v>
                </c:pt>
                <c:pt idx="13">
                  <c:v>1.1082988615131477E-2</c:v>
                </c:pt>
                <c:pt idx="14">
                  <c:v>1.6656497446691503E-2</c:v>
                </c:pt>
                <c:pt idx="15">
                  <c:v>3.8640665940122111E-3</c:v>
                </c:pt>
                <c:pt idx="16">
                  <c:v>3.9470246796736198E-2</c:v>
                </c:pt>
                <c:pt idx="17">
                  <c:v>1.8142270877281777E-2</c:v>
                </c:pt>
                <c:pt idx="18">
                  <c:v>0.10352030239184527</c:v>
                </c:pt>
                <c:pt idx="19">
                  <c:v>3.7705673872785943E-2</c:v>
                </c:pt>
                <c:pt idx="20">
                  <c:v>6.2675113675186189E-2</c:v>
                </c:pt>
                <c:pt idx="21">
                  <c:v>4.3768441486318484E-2</c:v>
                </c:pt>
                <c:pt idx="22">
                  <c:v>3.7184477296968381E-2</c:v>
                </c:pt>
                <c:pt idx="23">
                  <c:v>1.7217310633650763E-2</c:v>
                </c:pt>
                <c:pt idx="24">
                  <c:v>3.5708769349073792E-2</c:v>
                </c:pt>
                <c:pt idx="25">
                  <c:v>3.4050097702522569E-2</c:v>
                </c:pt>
                <c:pt idx="26">
                  <c:v>7.5578255777844591E-2</c:v>
                </c:pt>
                <c:pt idx="27">
                  <c:v>1.1669069471582237E-2</c:v>
                </c:pt>
                <c:pt idx="28">
                  <c:v>2.1393386884766937E-2</c:v>
                </c:pt>
                <c:pt idx="29">
                  <c:v>1.7511851826455715E-2</c:v>
                </c:pt>
                <c:pt idx="30">
                  <c:v>1.8164293684885039E-2</c:v>
                </c:pt>
                <c:pt idx="31">
                  <c:v>1.5304623438427537E-2</c:v>
                </c:pt>
                <c:pt idx="32">
                  <c:v>6.6257879451451489E-3</c:v>
                </c:pt>
                <c:pt idx="33">
                  <c:v>1.0525344903903817E-2</c:v>
                </c:pt>
                <c:pt idx="34">
                  <c:v>2.2701703283748365E-2</c:v>
                </c:pt>
                <c:pt idx="35">
                  <c:v>5.5420482161368766E-3</c:v>
                </c:pt>
                <c:pt idx="36">
                  <c:v>5.8738532199427533E-3</c:v>
                </c:pt>
                <c:pt idx="37">
                  <c:v>1.1863802433481388E-2</c:v>
                </c:pt>
                <c:pt idx="38">
                  <c:v>1.6185728421689305E-2</c:v>
                </c:pt>
                <c:pt idx="39">
                  <c:v>3.2737425601384474E-3</c:v>
                </c:pt>
                <c:pt idx="40">
                  <c:v>1.1297737866831949E-3</c:v>
                </c:pt>
                <c:pt idx="41">
                  <c:v>8.2949344961728774E-3</c:v>
                </c:pt>
                <c:pt idx="42">
                  <c:v>1.8001743364519905E-3</c:v>
                </c:pt>
                <c:pt idx="43">
                  <c:v>1.3456408174427419E-3</c:v>
                </c:pt>
                <c:pt idx="44">
                  <c:v>1.3729207237601828E-3</c:v>
                </c:pt>
                <c:pt idx="45">
                  <c:v>4.2931962230227549E-2</c:v>
                </c:pt>
                <c:pt idx="46">
                  <c:v>6.3664649595323404E-3</c:v>
                </c:pt>
                <c:pt idx="47">
                  <c:v>4.868653097138154E-3</c:v>
                </c:pt>
                <c:pt idx="48">
                  <c:v>2.8766108689490533E-3</c:v>
                </c:pt>
                <c:pt idx="49">
                  <c:v>1.2439107382505048E-3</c:v>
                </c:pt>
                <c:pt idx="50">
                  <c:v>4.0656239082332386E-4</c:v>
                </c:pt>
                <c:pt idx="51">
                  <c:v>1.6353673182068545E-3</c:v>
                </c:pt>
                <c:pt idx="52">
                  <c:v>1.2570749147342937E-3</c:v>
                </c:pt>
                <c:pt idx="53">
                  <c:v>0</c:v>
                </c:pt>
                <c:pt idx="54">
                  <c:v>2.4149174871741846E-3</c:v>
                </c:pt>
                <c:pt idx="55">
                  <c:v>3.749735808769989E-3</c:v>
                </c:pt>
                <c:pt idx="56">
                  <c:v>0</c:v>
                </c:pt>
                <c:pt idx="57">
                  <c:v>0</c:v>
                </c:pt>
                <c:pt idx="58">
                  <c:v>1.8267056671200007E-5</c:v>
                </c:pt>
                <c:pt idx="59">
                  <c:v>7.4713735066074527E-4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8.4132021811287271E-4</c:v>
                </c:pt>
                <c:pt idx="1">
                  <c:v>1.9917710639185154E-2</c:v>
                </c:pt>
                <c:pt idx="2">
                  <c:v>2.7764779474696143E-2</c:v>
                </c:pt>
                <c:pt idx="3">
                  <c:v>3.259327865156008E-2</c:v>
                </c:pt>
                <c:pt idx="4">
                  <c:v>3.490145400499943E-2</c:v>
                </c:pt>
                <c:pt idx="5">
                  <c:v>3.5249377495775218E-2</c:v>
                </c:pt>
                <c:pt idx="6">
                  <c:v>3.464202673313177E-2</c:v>
                </c:pt>
                <c:pt idx="7">
                  <c:v>3.2937565311421828E-2</c:v>
                </c:pt>
                <c:pt idx="8">
                  <c:v>2.9978397224370647E-2</c:v>
                </c:pt>
                <c:pt idx="9">
                  <c:v>2.7489592602201011E-2</c:v>
                </c:pt>
                <c:pt idx="10">
                  <c:v>2.4997151149117342E-2</c:v>
                </c:pt>
                <c:pt idx="11">
                  <c:v>2.1733701542258763E-2</c:v>
                </c:pt>
                <c:pt idx="12">
                  <c:v>2.0745695810613241E-2</c:v>
                </c:pt>
                <c:pt idx="13">
                  <c:v>1.7562256483863382E-2</c:v>
                </c:pt>
                <c:pt idx="14">
                  <c:v>1.5882040601580324E-2</c:v>
                </c:pt>
                <c:pt idx="15">
                  <c:v>1.5506234740463623E-2</c:v>
                </c:pt>
                <c:pt idx="16">
                  <c:v>1.4024832281481015E-2</c:v>
                </c:pt>
                <c:pt idx="17">
                  <c:v>1.3857538059435515E-2</c:v>
                </c:pt>
                <c:pt idx="18">
                  <c:v>0.12356011802728593</c:v>
                </c:pt>
                <c:pt idx="19">
                  <c:v>3.3023636976387272E-2</c:v>
                </c:pt>
                <c:pt idx="20">
                  <c:v>3.5223919679376985E-2</c:v>
                </c:pt>
                <c:pt idx="21">
                  <c:v>3.7048396521250006E-2</c:v>
                </c:pt>
                <c:pt idx="22">
                  <c:v>3.8735886065361123E-2</c:v>
                </c:pt>
                <c:pt idx="23">
                  <c:v>3.6771997371783528E-2</c:v>
                </c:pt>
                <c:pt idx="24">
                  <c:v>2.4351007523390884E-2</c:v>
                </c:pt>
                <c:pt idx="25">
                  <c:v>2.7620518515106184E-2</c:v>
                </c:pt>
                <c:pt idx="26">
                  <c:v>1.9733444539540838E-2</c:v>
                </c:pt>
                <c:pt idx="27">
                  <c:v>1.345748665889193E-2</c:v>
                </c:pt>
                <c:pt idx="28">
                  <c:v>2.1847655577565118E-2</c:v>
                </c:pt>
                <c:pt idx="29">
                  <c:v>1.1652406248560421E-2</c:v>
                </c:pt>
                <c:pt idx="30">
                  <c:v>1.1719081481984353E-2</c:v>
                </c:pt>
                <c:pt idx="31">
                  <c:v>1.2075490911559546E-2</c:v>
                </c:pt>
                <c:pt idx="32">
                  <c:v>1.2646473365062662E-2</c:v>
                </c:pt>
                <c:pt idx="33">
                  <c:v>1.1237807524360707E-2</c:v>
                </c:pt>
                <c:pt idx="34">
                  <c:v>9.2205786440439624E-3</c:v>
                </c:pt>
                <c:pt idx="35">
                  <c:v>8.311370915535814E-3</c:v>
                </c:pt>
                <c:pt idx="36">
                  <c:v>4.6793891093886006E-3</c:v>
                </c:pt>
                <c:pt idx="37">
                  <c:v>4.5302790419132644E-3</c:v>
                </c:pt>
                <c:pt idx="38">
                  <c:v>5.7183104738305771E-3</c:v>
                </c:pt>
                <c:pt idx="39">
                  <c:v>3.7859409815079272E-3</c:v>
                </c:pt>
                <c:pt idx="40">
                  <c:v>4.5375527037413294E-3</c:v>
                </c:pt>
                <c:pt idx="41">
                  <c:v>4.1290153643983351E-3</c:v>
                </c:pt>
                <c:pt idx="42">
                  <c:v>3.1579815103516332E-3</c:v>
                </c:pt>
                <c:pt idx="43">
                  <c:v>2.7530810019226713E-3</c:v>
                </c:pt>
                <c:pt idx="44">
                  <c:v>2.5130501615965202E-3</c:v>
                </c:pt>
                <c:pt idx="45">
                  <c:v>2.4027329572041982E-3</c:v>
                </c:pt>
                <c:pt idx="46">
                  <c:v>2.2718070442990252E-3</c:v>
                </c:pt>
                <c:pt idx="47">
                  <c:v>2.185735379333587E-3</c:v>
                </c:pt>
                <c:pt idx="48">
                  <c:v>1.8196277339876396E-3</c:v>
                </c:pt>
                <c:pt idx="49">
                  <c:v>1.9869219560331389E-3</c:v>
                </c:pt>
                <c:pt idx="50">
                  <c:v>2.0560217433997579E-3</c:v>
                </c:pt>
                <c:pt idx="51">
                  <c:v>1.8584205970706539E-3</c:v>
                </c:pt>
                <c:pt idx="52">
                  <c:v>1.3007731902523233E-3</c:v>
                </c:pt>
                <c:pt idx="53">
                  <c:v>1.4135149485873337E-3</c:v>
                </c:pt>
                <c:pt idx="54">
                  <c:v>1.2547066653412439E-3</c:v>
                </c:pt>
                <c:pt idx="55">
                  <c:v>1.1456017379202661E-3</c:v>
                </c:pt>
                <c:pt idx="56">
                  <c:v>1.0364968104992884E-3</c:v>
                </c:pt>
                <c:pt idx="57">
                  <c:v>1.0304354256425673E-3</c:v>
                </c:pt>
                <c:pt idx="58">
                  <c:v>9.4678831461981778E-4</c:v>
                </c:pt>
                <c:pt idx="59">
                  <c:v>1.0486195802127303E-3</c:v>
                </c:pt>
                <c:pt idx="60">
                  <c:v>9.4193920673444102E-4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1760"/>
        <c:axId val="128024504"/>
      </c:lineChart>
      <c:catAx>
        <c:axId val="128021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4504"/>
        <c:crosses val="autoZero"/>
        <c:auto val="1"/>
        <c:lblAlgn val="ctr"/>
        <c:lblOffset val="100"/>
        <c:tickLblSkip val="10"/>
        <c:noMultiLvlLbl val="0"/>
      </c:catAx>
      <c:valAx>
        <c:axId val="1280245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17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3.3002917508857768E-2</c:v>
                </c:pt>
                <c:pt idx="1">
                  <c:v>5.6307505392293629E-2</c:v>
                </c:pt>
                <c:pt idx="2">
                  <c:v>5.8695532575694383E-2</c:v>
                </c:pt>
                <c:pt idx="3">
                  <c:v>9.7013422472779096E-2</c:v>
                </c:pt>
                <c:pt idx="4">
                  <c:v>0.18803542031521206</c:v>
                </c:pt>
                <c:pt idx="5">
                  <c:v>8.9868904327683727E-2</c:v>
                </c:pt>
                <c:pt idx="6">
                  <c:v>0.10698932365645929</c:v>
                </c:pt>
                <c:pt idx="7">
                  <c:v>8.6745635356909379E-2</c:v>
                </c:pt>
                <c:pt idx="8">
                  <c:v>4.0614525094790611E-2</c:v>
                </c:pt>
                <c:pt idx="9">
                  <c:v>2.558747267793016E-2</c:v>
                </c:pt>
                <c:pt idx="10">
                  <c:v>6.9293528856708211E-2</c:v>
                </c:pt>
                <c:pt idx="11">
                  <c:v>1.887642628104674E-2</c:v>
                </c:pt>
                <c:pt idx="12">
                  <c:v>1.358509470802244E-2</c:v>
                </c:pt>
                <c:pt idx="13">
                  <c:v>1.2821977035172835E-2</c:v>
                </c:pt>
                <c:pt idx="14">
                  <c:v>6.2991970692787029E-3</c:v>
                </c:pt>
                <c:pt idx="15">
                  <c:v>9.9269798065905208E-3</c:v>
                </c:pt>
                <c:pt idx="16">
                  <c:v>8.6996728631704226E-3</c:v>
                </c:pt>
                <c:pt idx="17">
                  <c:v>1.4009534165986584E-2</c:v>
                </c:pt>
                <c:pt idx="18">
                  <c:v>1.5253503865507643E-2</c:v>
                </c:pt>
                <c:pt idx="19">
                  <c:v>4.5944733573741207E-3</c:v>
                </c:pt>
                <c:pt idx="20">
                  <c:v>6.3578166303427741E-3</c:v>
                </c:pt>
                <c:pt idx="21">
                  <c:v>4.7172411067765638E-3</c:v>
                </c:pt>
                <c:pt idx="22">
                  <c:v>4.4260177767830701E-3</c:v>
                </c:pt>
                <c:pt idx="23">
                  <c:v>5.7961590886962486E-3</c:v>
                </c:pt>
                <c:pt idx="24">
                  <c:v>1.5115561072714481E-3</c:v>
                </c:pt>
                <c:pt idx="25">
                  <c:v>1.2645963083644E-3</c:v>
                </c:pt>
                <c:pt idx="26">
                  <c:v>4.0365064043205301E-4</c:v>
                </c:pt>
                <c:pt idx="27">
                  <c:v>2.8578463701409659E-3</c:v>
                </c:pt>
                <c:pt idx="28">
                  <c:v>1.8317804399917315E-3</c:v>
                </c:pt>
                <c:pt idx="29">
                  <c:v>8.9284526438880216E-4</c:v>
                </c:pt>
                <c:pt idx="30">
                  <c:v>0</c:v>
                </c:pt>
                <c:pt idx="31">
                  <c:v>4.9578957916005504E-4</c:v>
                </c:pt>
                <c:pt idx="32">
                  <c:v>1.2819194689799393E-4</c:v>
                </c:pt>
                <c:pt idx="33">
                  <c:v>9.6718777203385145E-4</c:v>
                </c:pt>
                <c:pt idx="34">
                  <c:v>6.7610980625911164E-3</c:v>
                </c:pt>
                <c:pt idx="35">
                  <c:v>6.1173313172016867E-4</c:v>
                </c:pt>
                <c:pt idx="36">
                  <c:v>0</c:v>
                </c:pt>
                <c:pt idx="37">
                  <c:v>1.648766731029229E-4</c:v>
                </c:pt>
                <c:pt idx="38">
                  <c:v>9.6416415419641171E-4</c:v>
                </c:pt>
                <c:pt idx="39">
                  <c:v>1.4299693205245885E-3</c:v>
                </c:pt>
                <c:pt idx="40">
                  <c:v>0</c:v>
                </c:pt>
                <c:pt idx="41">
                  <c:v>0</c:v>
                </c:pt>
                <c:pt idx="42">
                  <c:v>2.5499406287262619E-4</c:v>
                </c:pt>
                <c:pt idx="43">
                  <c:v>6.3858571714947836E-4</c:v>
                </c:pt>
                <c:pt idx="44">
                  <c:v>3.117797563518088E-4</c:v>
                </c:pt>
                <c:pt idx="45">
                  <c:v>2.766257567489554E-4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4.4607575561073375E-4</c:v>
                </c:pt>
                <c:pt idx="53">
                  <c:v>3.6944361598241738E-6</c:v>
                </c:pt>
                <c:pt idx="54">
                  <c:v>0</c:v>
                </c:pt>
                <c:pt idx="55">
                  <c:v>0</c:v>
                </c:pt>
                <c:pt idx="56">
                  <c:v>1.9945983993852241E-4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0.14991328831467973</c:v>
                </c:pt>
                <c:pt idx="1">
                  <c:v>0.13428426032254068</c:v>
                </c:pt>
                <c:pt idx="2">
                  <c:v>8.3894392532751244E-2</c:v>
                </c:pt>
                <c:pt idx="3">
                  <c:v>5.1350727005500668E-2</c:v>
                </c:pt>
                <c:pt idx="4">
                  <c:v>0.15806636289677292</c:v>
                </c:pt>
                <c:pt idx="5">
                  <c:v>7.4431435831678897E-2</c:v>
                </c:pt>
                <c:pt idx="6">
                  <c:v>7.7287229946667285E-2</c:v>
                </c:pt>
                <c:pt idx="7">
                  <c:v>4.2061026277992977E-2</c:v>
                </c:pt>
                <c:pt idx="8">
                  <c:v>3.566980591983019E-2</c:v>
                </c:pt>
                <c:pt idx="9">
                  <c:v>2.1646115885647708E-2</c:v>
                </c:pt>
                <c:pt idx="10">
                  <c:v>2.0148749041651742E-2</c:v>
                </c:pt>
                <c:pt idx="11">
                  <c:v>2.00098094686482E-2</c:v>
                </c:pt>
                <c:pt idx="12">
                  <c:v>1.4320819843918966E-2</c:v>
                </c:pt>
                <c:pt idx="13">
                  <c:v>1.3027677432530608E-2</c:v>
                </c:pt>
                <c:pt idx="14">
                  <c:v>1.2081046968271558E-2</c:v>
                </c:pt>
                <c:pt idx="15">
                  <c:v>1.1703566562099293E-2</c:v>
                </c:pt>
                <c:pt idx="16">
                  <c:v>1.2182322199195824E-2</c:v>
                </c:pt>
                <c:pt idx="17">
                  <c:v>8.5364138859222415E-3</c:v>
                </c:pt>
                <c:pt idx="18">
                  <c:v>7.049090866480744E-3</c:v>
                </c:pt>
                <c:pt idx="19">
                  <c:v>6.3351423377336442E-3</c:v>
                </c:pt>
                <c:pt idx="20">
                  <c:v>5.0721314000087047E-3</c:v>
                </c:pt>
                <c:pt idx="21">
                  <c:v>4.6929770230773613E-3</c:v>
                </c:pt>
                <c:pt idx="22">
                  <c:v>3.5136646233063602E-3</c:v>
                </c:pt>
                <c:pt idx="23">
                  <c:v>3.8643614973333648E-3</c:v>
                </c:pt>
                <c:pt idx="24">
                  <c:v>3.5036207987518874E-3</c:v>
                </c:pt>
                <c:pt idx="25">
                  <c:v>3.5270563893789902E-3</c:v>
                </c:pt>
                <c:pt idx="26">
                  <c:v>2.7294093226779515E-3</c:v>
                </c:pt>
                <c:pt idx="27">
                  <c:v>2.4900315041296857E-3</c:v>
                </c:pt>
                <c:pt idx="28">
                  <c:v>2.3318412673967413E-3</c:v>
                </c:pt>
                <c:pt idx="29">
                  <c:v>1.9535238758449369E-3</c:v>
                </c:pt>
                <c:pt idx="30">
                  <c:v>1.5969681041611565E-3</c:v>
                </c:pt>
                <c:pt idx="31">
                  <c:v>1.2554780693090854E-3</c:v>
                </c:pt>
                <c:pt idx="32">
                  <c:v>1.2286945371638247E-3</c:v>
                </c:pt>
                <c:pt idx="33">
                  <c:v>9.6002223033168053E-4</c:v>
                </c:pt>
                <c:pt idx="34">
                  <c:v>8.0601692049643277E-4</c:v>
                </c:pt>
                <c:pt idx="35">
                  <c:v>7.2148139716295438E-4</c:v>
                </c:pt>
                <c:pt idx="36">
                  <c:v>9.3993458122273521E-4</c:v>
                </c:pt>
                <c:pt idx="37">
                  <c:v>6.3276094693177898E-4</c:v>
                </c:pt>
                <c:pt idx="38">
                  <c:v>6.2941300541362148E-4</c:v>
                </c:pt>
                <c:pt idx="39">
                  <c:v>5.3232270138705217E-4</c:v>
                </c:pt>
                <c:pt idx="40">
                  <c:v>4.4276526577633743E-4</c:v>
                </c:pt>
                <c:pt idx="41">
                  <c:v>3.1721745884542889E-4</c:v>
                </c:pt>
                <c:pt idx="42">
                  <c:v>2.8624899980247146E-4</c:v>
                </c:pt>
                <c:pt idx="43">
                  <c:v>2.9294488283878657E-4</c:v>
                </c:pt>
                <c:pt idx="44">
                  <c:v>2.1343127178254451E-4</c:v>
                </c:pt>
                <c:pt idx="45">
                  <c:v>2.4439973082550197E-4</c:v>
                </c:pt>
                <c:pt idx="46">
                  <c:v>1.4814641217847206E-4</c:v>
                </c:pt>
                <c:pt idx="47">
                  <c:v>1.8246281273958707E-4</c:v>
                </c:pt>
                <c:pt idx="48">
                  <c:v>1.1801493851505401E-4</c:v>
                </c:pt>
                <c:pt idx="49">
                  <c:v>1.0880809934012073E-4</c:v>
                </c:pt>
                <c:pt idx="50">
                  <c:v>1.0713412858104194E-4</c:v>
                </c:pt>
                <c:pt idx="51">
                  <c:v>9.0394420990254148E-5</c:v>
                </c:pt>
                <c:pt idx="52">
                  <c:v>7.1980742640387552E-5</c:v>
                </c:pt>
                <c:pt idx="53">
                  <c:v>7.2817728019926954E-5</c:v>
                </c:pt>
                <c:pt idx="54">
                  <c:v>5.356706429052097E-5</c:v>
                </c:pt>
                <c:pt idx="55">
                  <c:v>3.3479415181575611E-5</c:v>
                </c:pt>
                <c:pt idx="56">
                  <c:v>3.0131473663418048E-5</c:v>
                </c:pt>
                <c:pt idx="57">
                  <c:v>3.5153385940654388E-5</c:v>
                </c:pt>
                <c:pt idx="58">
                  <c:v>3.4316400561115E-5</c:v>
                </c:pt>
                <c:pt idx="59">
                  <c:v>2.6783532145260485E-5</c:v>
                </c:pt>
                <c:pt idx="60">
                  <c:v>2.3435590627102925E-5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2544"/>
        <c:axId val="128027640"/>
      </c:lineChart>
      <c:catAx>
        <c:axId val="12802254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7640"/>
        <c:crosses val="autoZero"/>
        <c:auto val="1"/>
        <c:lblAlgn val="ctr"/>
        <c:lblOffset val="100"/>
        <c:tickLblSkip val="10"/>
        <c:noMultiLvlLbl val="0"/>
      </c:catAx>
      <c:valAx>
        <c:axId val="128027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254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5.1645030969883401E-3</c:v>
                </c:pt>
                <c:pt idx="1">
                  <c:v>6.1512934716305197E-3</c:v>
                </c:pt>
                <c:pt idx="2">
                  <c:v>6.1599232138814693E-3</c:v>
                </c:pt>
                <c:pt idx="3">
                  <c:v>8.9576542149645434E-3</c:v>
                </c:pt>
                <c:pt idx="4">
                  <c:v>1.2637098679265307E-2</c:v>
                </c:pt>
                <c:pt idx="5">
                  <c:v>1.4072213702253828E-2</c:v>
                </c:pt>
                <c:pt idx="6">
                  <c:v>1.4396306717130568E-2</c:v>
                </c:pt>
                <c:pt idx="7">
                  <c:v>1.908532223430388E-2</c:v>
                </c:pt>
                <c:pt idx="8">
                  <c:v>1.0623944813816446E-2</c:v>
                </c:pt>
                <c:pt idx="9">
                  <c:v>2.0791191375690424E-2</c:v>
                </c:pt>
                <c:pt idx="10">
                  <c:v>1.0471630261524591E-2</c:v>
                </c:pt>
                <c:pt idx="11">
                  <c:v>1.4943443346575925E-2</c:v>
                </c:pt>
                <c:pt idx="12">
                  <c:v>2.1489871541964266E-2</c:v>
                </c:pt>
                <c:pt idx="13">
                  <c:v>1.2274959959544607E-2</c:v>
                </c:pt>
                <c:pt idx="14">
                  <c:v>1.5914639550305025E-2</c:v>
                </c:pt>
                <c:pt idx="15">
                  <c:v>9.1979157512538951E-3</c:v>
                </c:pt>
                <c:pt idx="16">
                  <c:v>4.309808516079916E-2</c:v>
                </c:pt>
                <c:pt idx="17">
                  <c:v>1.6604835931584339E-2</c:v>
                </c:pt>
                <c:pt idx="18">
                  <c:v>8.3280003089701821E-2</c:v>
                </c:pt>
                <c:pt idx="19">
                  <c:v>3.3432086276516983E-2</c:v>
                </c:pt>
                <c:pt idx="20">
                  <c:v>5.6313133079049997E-2</c:v>
                </c:pt>
                <c:pt idx="21">
                  <c:v>5.7880051313527657E-2</c:v>
                </c:pt>
                <c:pt idx="22">
                  <c:v>4.2702172456846703E-2</c:v>
                </c:pt>
                <c:pt idx="23">
                  <c:v>2.4401217588933103E-2</c:v>
                </c:pt>
                <c:pt idx="24">
                  <c:v>3.9747039382930782E-2</c:v>
                </c:pt>
                <c:pt idx="25">
                  <c:v>4.0006255230759923E-2</c:v>
                </c:pt>
                <c:pt idx="26">
                  <c:v>5.4729637009397973E-2</c:v>
                </c:pt>
                <c:pt idx="27">
                  <c:v>1.2321045521130376E-2</c:v>
                </c:pt>
                <c:pt idx="28">
                  <c:v>2.9414536389487336E-2</c:v>
                </c:pt>
                <c:pt idx="29">
                  <c:v>2.8277627720174611E-2</c:v>
                </c:pt>
                <c:pt idx="30">
                  <c:v>1.0756295208275443E-2</c:v>
                </c:pt>
                <c:pt idx="31">
                  <c:v>1.2670117208746509E-2</c:v>
                </c:pt>
                <c:pt idx="32">
                  <c:v>9.3843474123203631E-3</c:v>
                </c:pt>
                <c:pt idx="33">
                  <c:v>9.5293851576014436E-3</c:v>
                </c:pt>
                <c:pt idx="34">
                  <c:v>1.8923966884096578E-2</c:v>
                </c:pt>
                <c:pt idx="35">
                  <c:v>4.5801693702826511E-3</c:v>
                </c:pt>
                <c:pt idx="36">
                  <c:v>7.1096586836436439E-3</c:v>
                </c:pt>
                <c:pt idx="37">
                  <c:v>1.0790483960131091E-2</c:v>
                </c:pt>
                <c:pt idx="38">
                  <c:v>8.4641644005295329E-3</c:v>
                </c:pt>
                <c:pt idx="39">
                  <c:v>6.4487685130528768E-3</c:v>
                </c:pt>
                <c:pt idx="40">
                  <c:v>3.1879036347039745E-3</c:v>
                </c:pt>
                <c:pt idx="41">
                  <c:v>4.1418197264450731E-3</c:v>
                </c:pt>
                <c:pt idx="42">
                  <c:v>3.3451985397053761E-3</c:v>
                </c:pt>
                <c:pt idx="43">
                  <c:v>1.587674726566817E-3</c:v>
                </c:pt>
                <c:pt idx="44">
                  <c:v>4.556915391801938E-3</c:v>
                </c:pt>
                <c:pt idx="45">
                  <c:v>4.8901550131140357E-2</c:v>
                </c:pt>
                <c:pt idx="46">
                  <c:v>4.2009790072001282E-3</c:v>
                </c:pt>
                <c:pt idx="47">
                  <c:v>8.6818041271543981E-4</c:v>
                </c:pt>
                <c:pt idx="48">
                  <c:v>6.2866263164710065E-3</c:v>
                </c:pt>
                <c:pt idx="49">
                  <c:v>2.3801045978379199E-3</c:v>
                </c:pt>
                <c:pt idx="50">
                  <c:v>2.6119479031090485E-4</c:v>
                </c:pt>
                <c:pt idx="51">
                  <c:v>2.4518255475528073E-3</c:v>
                </c:pt>
                <c:pt idx="52">
                  <c:v>7.3852144461299173E-4</c:v>
                </c:pt>
                <c:pt idx="53">
                  <c:v>1.0671982268045308E-3</c:v>
                </c:pt>
                <c:pt idx="54">
                  <c:v>9.7973341398017153E-4</c:v>
                </c:pt>
                <c:pt idx="55">
                  <c:v>1.8123722670677458E-3</c:v>
                </c:pt>
                <c:pt idx="56">
                  <c:v>5.5390061442666733E-5</c:v>
                </c:pt>
                <c:pt idx="57">
                  <c:v>4.6899183107104257E-3</c:v>
                </c:pt>
                <c:pt idx="58">
                  <c:v>1.3518909812850251E-3</c:v>
                </c:pt>
                <c:pt idx="59">
                  <c:v>8.4832267277625841E-4</c:v>
                </c:pt>
                <c:pt idx="60">
                  <c:v>1.4147514805686529E-3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6.440602495555608E-3</c:v>
                </c:pt>
                <c:pt idx="1">
                  <c:v>2.3342685249974054E-2</c:v>
                </c:pt>
                <c:pt idx="2">
                  <c:v>2.9655228982460133E-2</c:v>
                </c:pt>
                <c:pt idx="3">
                  <c:v>3.3918832505833788E-2</c:v>
                </c:pt>
                <c:pt idx="4">
                  <c:v>3.5870682410919646E-2</c:v>
                </c:pt>
                <c:pt idx="5">
                  <c:v>3.579367975600202E-2</c:v>
                </c:pt>
                <c:pt idx="6">
                  <c:v>3.4714805601775749E-2</c:v>
                </c:pt>
                <c:pt idx="7">
                  <c:v>3.2898547328175272E-2</c:v>
                </c:pt>
                <c:pt idx="8">
                  <c:v>3.0580097826851161E-2</c:v>
                </c:pt>
                <c:pt idx="9">
                  <c:v>2.7661529808397308E-2</c:v>
                </c:pt>
                <c:pt idx="10">
                  <c:v>2.426922806512416E-2</c:v>
                </c:pt>
                <c:pt idx="11">
                  <c:v>2.130127790927748E-2</c:v>
                </c:pt>
                <c:pt idx="12">
                  <c:v>1.9358634843366557E-2</c:v>
                </c:pt>
                <c:pt idx="13">
                  <c:v>1.6520417421348483E-2</c:v>
                </c:pt>
                <c:pt idx="14">
                  <c:v>1.4550990823292299E-2</c:v>
                </c:pt>
                <c:pt idx="15">
                  <c:v>1.3846249133720132E-2</c:v>
                </c:pt>
                <c:pt idx="16">
                  <c:v>1.2469408184377835E-2</c:v>
                </c:pt>
                <c:pt idx="17">
                  <c:v>1.1083360395860605E-2</c:v>
                </c:pt>
                <c:pt idx="18">
                  <c:v>0.10849171886665483</c:v>
                </c:pt>
                <c:pt idx="19">
                  <c:v>3.3874472280718201E-2</c:v>
                </c:pt>
                <c:pt idx="20">
                  <c:v>3.6270761422339474E-2</c:v>
                </c:pt>
                <c:pt idx="21">
                  <c:v>3.965469331181723E-2</c:v>
                </c:pt>
                <c:pt idx="22">
                  <c:v>3.8236840078877503E-2</c:v>
                </c:pt>
                <c:pt idx="23">
                  <c:v>3.2731987237646934E-2</c:v>
                </c:pt>
                <c:pt idx="24">
                  <c:v>2.1847829362116704E-2</c:v>
                </c:pt>
                <c:pt idx="25">
                  <c:v>2.3297488039478925E-2</c:v>
                </c:pt>
                <c:pt idx="26">
                  <c:v>1.913348577627046E-2</c:v>
                </c:pt>
                <c:pt idx="27">
                  <c:v>1.6890364959104894E-2</c:v>
                </c:pt>
                <c:pt idx="28">
                  <c:v>1.8506583726995457E-2</c:v>
                </c:pt>
                <c:pt idx="29">
                  <c:v>1.3209303259890656E-2</c:v>
                </c:pt>
                <c:pt idx="30">
                  <c:v>1.3949198335403477E-2</c:v>
                </c:pt>
                <c:pt idx="31">
                  <c:v>1.2731384608173664E-2</c:v>
                </c:pt>
                <c:pt idx="32">
                  <c:v>1.1531984559293718E-2</c:v>
                </c:pt>
                <c:pt idx="33">
                  <c:v>1.2122059251868988E-2</c:v>
                </c:pt>
                <c:pt idx="34">
                  <c:v>1.2514605394872962E-2</c:v>
                </c:pt>
                <c:pt idx="35">
                  <c:v>9.4185964759567579E-3</c:v>
                </c:pt>
                <c:pt idx="36">
                  <c:v>6.6523597965790736E-3</c:v>
                </c:pt>
                <c:pt idx="37">
                  <c:v>6.527648975027704E-3</c:v>
                </c:pt>
                <c:pt idx="38">
                  <c:v>8.3447442340077206E-3</c:v>
                </c:pt>
                <c:pt idx="39">
                  <c:v>5.2671489934413823E-3</c:v>
                </c:pt>
                <c:pt idx="40">
                  <c:v>5.0302821310317354E-3</c:v>
                </c:pt>
                <c:pt idx="41">
                  <c:v>5.4546337184582057E-3</c:v>
                </c:pt>
                <c:pt idx="42">
                  <c:v>4.6318770903709854E-3</c:v>
                </c:pt>
                <c:pt idx="43">
                  <c:v>4.418445818588441E-3</c:v>
                </c:pt>
                <c:pt idx="44">
                  <c:v>3.5337522724153054E-3</c:v>
                </c:pt>
                <c:pt idx="45">
                  <c:v>3.7622492810295591E-3</c:v>
                </c:pt>
                <c:pt idx="46">
                  <c:v>3.0784322259458773E-3</c:v>
                </c:pt>
                <c:pt idx="47">
                  <c:v>3.3897907871345305E-3</c:v>
                </c:pt>
                <c:pt idx="48">
                  <c:v>3.1646417200384344E-3</c:v>
                </c:pt>
                <c:pt idx="49">
                  <c:v>3.0399308984870653E-3</c:v>
                </c:pt>
                <c:pt idx="50">
                  <c:v>2.3318412673967413E-3</c:v>
                </c:pt>
                <c:pt idx="51">
                  <c:v>2.0857675658121602E-3</c:v>
                </c:pt>
                <c:pt idx="52">
                  <c:v>2.1259428640300511E-3</c:v>
                </c:pt>
                <c:pt idx="53">
                  <c:v>1.5952941334020777E-3</c:v>
                </c:pt>
                <c:pt idx="54">
                  <c:v>1.5090846393095206E-3</c:v>
                </c:pt>
                <c:pt idx="55">
                  <c:v>1.319088958154079E-3</c:v>
                </c:pt>
                <c:pt idx="56">
                  <c:v>1.3877217592763089E-3</c:v>
                </c:pt>
                <c:pt idx="57">
                  <c:v>1.3174149873950002E-3</c:v>
                </c:pt>
                <c:pt idx="58">
                  <c:v>1.0177742215198985E-3</c:v>
                </c:pt>
                <c:pt idx="59">
                  <c:v>1.1868452681868553E-3</c:v>
                </c:pt>
                <c:pt idx="60">
                  <c:v>8.6795383858234763E-4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6072"/>
        <c:axId val="128023328"/>
      </c:lineChart>
      <c:catAx>
        <c:axId val="128026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3328"/>
        <c:crosses val="autoZero"/>
        <c:auto val="1"/>
        <c:lblAlgn val="ctr"/>
        <c:lblOffset val="100"/>
        <c:tickLblSkip val="10"/>
        <c:noMultiLvlLbl val="0"/>
      </c:catAx>
      <c:valAx>
        <c:axId val="12802332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6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4.6236776287227423E-2</c:v>
                </c:pt>
                <c:pt idx="1">
                  <c:v>5.5250373803324829E-2</c:v>
                </c:pt>
                <c:pt idx="2">
                  <c:v>5.4676008544177361E-2</c:v>
                </c:pt>
                <c:pt idx="3">
                  <c:v>0.10375520218227008</c:v>
                </c:pt>
                <c:pt idx="4">
                  <c:v>0.16719262715896963</c:v>
                </c:pt>
                <c:pt idx="5">
                  <c:v>0.11247916584262117</c:v>
                </c:pt>
                <c:pt idx="6">
                  <c:v>0.10637190774336562</c:v>
                </c:pt>
                <c:pt idx="7">
                  <c:v>5.2288370337056474E-2</c:v>
                </c:pt>
                <c:pt idx="8">
                  <c:v>4.4333120987080712E-2</c:v>
                </c:pt>
                <c:pt idx="9">
                  <c:v>3.4065074345841204E-2</c:v>
                </c:pt>
                <c:pt idx="10">
                  <c:v>6.4809027817503001E-2</c:v>
                </c:pt>
                <c:pt idx="11">
                  <c:v>1.9865062069024664E-2</c:v>
                </c:pt>
                <c:pt idx="12">
                  <c:v>1.7768425516007387E-2</c:v>
                </c:pt>
                <c:pt idx="13">
                  <c:v>9.7992022281244012E-3</c:v>
                </c:pt>
                <c:pt idx="14">
                  <c:v>1.0027525123324804E-2</c:v>
                </c:pt>
                <c:pt idx="15">
                  <c:v>9.5597876220541011E-3</c:v>
                </c:pt>
                <c:pt idx="16">
                  <c:v>1.676873476910256E-2</c:v>
                </c:pt>
                <c:pt idx="17">
                  <c:v>7.719047744009974E-3</c:v>
                </c:pt>
                <c:pt idx="18">
                  <c:v>7.9193555086085887E-3</c:v>
                </c:pt>
                <c:pt idx="19">
                  <c:v>1.0177924592792873E-2</c:v>
                </c:pt>
                <c:pt idx="20">
                  <c:v>4.810063850485451E-3</c:v>
                </c:pt>
                <c:pt idx="21">
                  <c:v>5.0168059821366524E-3</c:v>
                </c:pt>
                <c:pt idx="22">
                  <c:v>6.9866698410087948E-3</c:v>
                </c:pt>
                <c:pt idx="23">
                  <c:v>7.8409471073127499E-3</c:v>
                </c:pt>
                <c:pt idx="24">
                  <c:v>5.843594384326616E-4</c:v>
                </c:pt>
                <c:pt idx="25">
                  <c:v>9.4437427219455487E-4</c:v>
                </c:pt>
                <c:pt idx="26">
                  <c:v>7.5274374559130793E-4</c:v>
                </c:pt>
                <c:pt idx="27">
                  <c:v>1.3154828742594183E-3</c:v>
                </c:pt>
                <c:pt idx="28">
                  <c:v>1.8273382394998537E-3</c:v>
                </c:pt>
                <c:pt idx="29">
                  <c:v>5.7160245319095053E-4</c:v>
                </c:pt>
                <c:pt idx="30">
                  <c:v>8.638885626260852E-4</c:v>
                </c:pt>
                <c:pt idx="31">
                  <c:v>1.4660043288270705E-3</c:v>
                </c:pt>
                <c:pt idx="32">
                  <c:v>5.5446143996892719E-4</c:v>
                </c:pt>
                <c:pt idx="33">
                  <c:v>1.0555975859775479E-3</c:v>
                </c:pt>
                <c:pt idx="34">
                  <c:v>7.8911416509754712E-4</c:v>
                </c:pt>
                <c:pt idx="35">
                  <c:v>8.1596731247037218E-4</c:v>
                </c:pt>
                <c:pt idx="36">
                  <c:v>5.9099308238915252E-4</c:v>
                </c:pt>
                <c:pt idx="37">
                  <c:v>3.1086440969103018E-4</c:v>
                </c:pt>
                <c:pt idx="38">
                  <c:v>2.5015606542897654E-6</c:v>
                </c:pt>
                <c:pt idx="39">
                  <c:v>2.1566497253746605E-4</c:v>
                </c:pt>
                <c:pt idx="40">
                  <c:v>1.1050656854427181E-3</c:v>
                </c:pt>
                <c:pt idx="41">
                  <c:v>1.3455651905487605E-3</c:v>
                </c:pt>
                <c:pt idx="42">
                  <c:v>0</c:v>
                </c:pt>
                <c:pt idx="43">
                  <c:v>7.8192604757303344E-5</c:v>
                </c:pt>
                <c:pt idx="44">
                  <c:v>6.1284429473405712E-4</c:v>
                </c:pt>
                <c:pt idx="45">
                  <c:v>0</c:v>
                </c:pt>
                <c:pt idx="46">
                  <c:v>8.3422744392536228E-4</c:v>
                </c:pt>
                <c:pt idx="47">
                  <c:v>2.8040254591594309E-3</c:v>
                </c:pt>
                <c:pt idx="48">
                  <c:v>1.1647348669123168E-4</c:v>
                </c:pt>
                <c:pt idx="49">
                  <c:v>2.2153250016249796E-4</c:v>
                </c:pt>
                <c:pt idx="50">
                  <c:v>2.4742904908839076E-4</c:v>
                </c:pt>
                <c:pt idx="51">
                  <c:v>5.1582922070878976E-5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4.1805770107798695E-4</c:v>
                </c:pt>
                <c:pt idx="57">
                  <c:v>3.5663458588991079E-4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0.17597124225657201</c:v>
                </c:pt>
                <c:pt idx="1">
                  <c:v>0.13210956582423608</c:v>
                </c:pt>
                <c:pt idx="2">
                  <c:v>7.9752210304027266E-2</c:v>
                </c:pt>
                <c:pt idx="3">
                  <c:v>4.7860276157718956E-2</c:v>
                </c:pt>
                <c:pt idx="4">
                  <c:v>0.14484515409818235</c:v>
                </c:pt>
                <c:pt idx="5">
                  <c:v>7.6091783696090556E-2</c:v>
                </c:pt>
                <c:pt idx="6">
                  <c:v>7.4711901427917574E-2</c:v>
                </c:pt>
                <c:pt idx="7">
                  <c:v>4.3392085956015972E-2</c:v>
                </c:pt>
                <c:pt idx="8">
                  <c:v>3.948921697912277E-2</c:v>
                </c:pt>
                <c:pt idx="9">
                  <c:v>2.3299391401679422E-2</c:v>
                </c:pt>
                <c:pt idx="10">
                  <c:v>1.9855350272577729E-2</c:v>
                </c:pt>
                <c:pt idx="11">
                  <c:v>1.9974305640523677E-2</c:v>
                </c:pt>
                <c:pt idx="12">
                  <c:v>1.4121701537583098E-2</c:v>
                </c:pt>
                <c:pt idx="13">
                  <c:v>1.4717044831445909E-2</c:v>
                </c:pt>
                <c:pt idx="14">
                  <c:v>1.2907223876268291E-2</c:v>
                </c:pt>
                <c:pt idx="15">
                  <c:v>1.1591350925132891E-2</c:v>
                </c:pt>
                <c:pt idx="16">
                  <c:v>1.1054918861109979E-2</c:v>
                </c:pt>
                <c:pt idx="17">
                  <c:v>7.8708801790901388E-3</c:v>
                </c:pt>
                <c:pt idx="18">
                  <c:v>6.7039846649537098E-3</c:v>
                </c:pt>
                <c:pt idx="19">
                  <c:v>5.8322117541498427E-3</c:v>
                </c:pt>
                <c:pt idx="20">
                  <c:v>4.6483226160211359E-3</c:v>
                </c:pt>
                <c:pt idx="21">
                  <c:v>4.1832637727657919E-3</c:v>
                </c:pt>
                <c:pt idx="22">
                  <c:v>3.3987247984556194E-3</c:v>
                </c:pt>
                <c:pt idx="23">
                  <c:v>3.2554119027874075E-3</c:v>
                </c:pt>
                <c:pt idx="24">
                  <c:v>2.9812481023786543E-3</c:v>
                </c:pt>
                <c:pt idx="25">
                  <c:v>2.7790239768705448E-3</c:v>
                </c:pt>
                <c:pt idx="26">
                  <c:v>2.3445536568013014E-3</c:v>
                </c:pt>
                <c:pt idx="27">
                  <c:v>1.8160519506414527E-3</c:v>
                </c:pt>
                <c:pt idx="28">
                  <c:v>2.0029818145565117E-3</c:v>
                </c:pt>
                <c:pt idx="29">
                  <c:v>1.5039357233166115E-3</c:v>
                </c:pt>
                <c:pt idx="30">
                  <c:v>1.2524300882308958E-3</c:v>
                </c:pt>
                <c:pt idx="31">
                  <c:v>9.9639282008057248E-4</c:v>
                </c:pt>
                <c:pt idx="32">
                  <c:v>8.6497546120695515E-4</c:v>
                </c:pt>
                <c:pt idx="33">
                  <c:v>7.7717507058018499E-4</c:v>
                </c:pt>
                <c:pt idx="34">
                  <c:v>6.3556153731120083E-4</c:v>
                </c:pt>
                <c:pt idx="35">
                  <c:v>5.3699851815598785E-4</c:v>
                </c:pt>
                <c:pt idx="36">
                  <c:v>6.9277340475187041E-4</c:v>
                </c:pt>
                <c:pt idx="37">
                  <c:v>4.5939430192458458E-4</c:v>
                </c:pt>
                <c:pt idx="38">
                  <c:v>4.831853755137739E-4</c:v>
                </c:pt>
                <c:pt idx="39">
                  <c:v>3.7895781502780157E-4</c:v>
                </c:pt>
                <c:pt idx="40">
                  <c:v>3.0192005292947418E-4</c:v>
                </c:pt>
                <c:pt idx="41">
                  <c:v>2.447081854888046E-4</c:v>
                </c:pt>
                <c:pt idx="42">
                  <c:v>1.8636340978198313E-4</c:v>
                </c:pt>
                <c:pt idx="43">
                  <c:v>1.5860715726126223E-4</c:v>
                </c:pt>
                <c:pt idx="44">
                  <c:v>1.3368317540592104E-4</c:v>
                </c:pt>
                <c:pt idx="45">
                  <c:v>1.2065473034517449E-4</c:v>
                </c:pt>
                <c:pt idx="46">
                  <c:v>1.0819273941750388E-4</c:v>
                </c:pt>
                <c:pt idx="47">
                  <c:v>1.1499018901441513E-4</c:v>
                </c:pt>
                <c:pt idx="48">
                  <c:v>7.9870032763707064E-5</c:v>
                </c:pt>
                <c:pt idx="49">
                  <c:v>5.9477683972973338E-5</c:v>
                </c:pt>
                <c:pt idx="50">
                  <c:v>5.8344775706821465E-5</c:v>
                </c:pt>
                <c:pt idx="51">
                  <c:v>4.5316330646074923E-5</c:v>
                </c:pt>
                <c:pt idx="52">
                  <c:v>3.7385972783011813E-5</c:v>
                </c:pt>
                <c:pt idx="53">
                  <c:v>2.7756252520720893E-5</c:v>
                </c:pt>
                <c:pt idx="54">
                  <c:v>2.4923981855341211E-5</c:v>
                </c:pt>
                <c:pt idx="55">
                  <c:v>2.8889160786872766E-5</c:v>
                </c:pt>
                <c:pt idx="56">
                  <c:v>1.9825894657657779E-5</c:v>
                </c:pt>
                <c:pt idx="57">
                  <c:v>1.5860715726126224E-5</c:v>
                </c:pt>
                <c:pt idx="58">
                  <c:v>2.0958802923809652E-5</c:v>
                </c:pt>
                <c:pt idx="59">
                  <c:v>1.0762628528442794E-5</c:v>
                </c:pt>
                <c:pt idx="60">
                  <c:v>1.3594899193822478E-5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4896"/>
        <c:axId val="128026464"/>
      </c:lineChart>
      <c:catAx>
        <c:axId val="12802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6464"/>
        <c:crosses val="autoZero"/>
        <c:auto val="1"/>
        <c:lblAlgn val="ctr"/>
        <c:lblOffset val="100"/>
        <c:tickLblSkip val="10"/>
        <c:noMultiLvlLbl val="0"/>
      </c:catAx>
      <c:valAx>
        <c:axId val="1280264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2.8933720157589254E-3</c:v>
                </c:pt>
                <c:pt idx="2">
                  <c:v>3.4795066537710953E-3</c:v>
                </c:pt>
                <c:pt idx="3">
                  <c:v>7.6095222191293133E-3</c:v>
                </c:pt>
                <c:pt idx="4">
                  <c:v>7.5149476247249334E-3</c:v>
                </c:pt>
                <c:pt idx="5">
                  <c:v>1.8764804394540573E-2</c:v>
                </c:pt>
                <c:pt idx="6">
                  <c:v>1.5462678678827998E-2</c:v>
                </c:pt>
                <c:pt idx="7">
                  <c:v>1.4350377164324468E-2</c:v>
                </c:pt>
                <c:pt idx="8">
                  <c:v>8.9998730959956977E-3</c:v>
                </c:pt>
                <c:pt idx="9">
                  <c:v>1.4539372732777448E-2</c:v>
                </c:pt>
                <c:pt idx="10">
                  <c:v>7.072178165728818E-3</c:v>
                </c:pt>
                <c:pt idx="11">
                  <c:v>1.6701373641807567E-2</c:v>
                </c:pt>
                <c:pt idx="12">
                  <c:v>1.1070971096952426E-2</c:v>
                </c:pt>
                <c:pt idx="13">
                  <c:v>2.2485768677039667E-2</c:v>
                </c:pt>
                <c:pt idx="14">
                  <c:v>1.6325877670931199E-2</c:v>
                </c:pt>
                <c:pt idx="15">
                  <c:v>9.7475462501301052E-3</c:v>
                </c:pt>
                <c:pt idx="16">
                  <c:v>3.9666973529359328E-2</c:v>
                </c:pt>
                <c:pt idx="17">
                  <c:v>2.5362533890850938E-2</c:v>
                </c:pt>
                <c:pt idx="18">
                  <c:v>6.1678818505154685E-2</c:v>
                </c:pt>
                <c:pt idx="19">
                  <c:v>4.5446814365543424E-2</c:v>
                </c:pt>
                <c:pt idx="20">
                  <c:v>6.1393222011641824E-2</c:v>
                </c:pt>
                <c:pt idx="21">
                  <c:v>6.3266255877520952E-2</c:v>
                </c:pt>
                <c:pt idx="22">
                  <c:v>3.6770334226551751E-2</c:v>
                </c:pt>
                <c:pt idx="23">
                  <c:v>2.754551980728601E-2</c:v>
                </c:pt>
                <c:pt idx="24">
                  <c:v>4.381531254847975E-2</c:v>
                </c:pt>
                <c:pt idx="25">
                  <c:v>1.9479266874167345E-2</c:v>
                </c:pt>
                <c:pt idx="26">
                  <c:v>6.1202465064054655E-2</c:v>
                </c:pt>
                <c:pt idx="27">
                  <c:v>1.3086557031743617E-2</c:v>
                </c:pt>
                <c:pt idx="28">
                  <c:v>1.8462286928969847E-2</c:v>
                </c:pt>
                <c:pt idx="29">
                  <c:v>1.8183095976323154E-2</c:v>
                </c:pt>
                <c:pt idx="30">
                  <c:v>6.8204279497087253E-3</c:v>
                </c:pt>
                <c:pt idx="31">
                  <c:v>1.366257793300696E-2</c:v>
                </c:pt>
                <c:pt idx="32">
                  <c:v>8.0993101653116101E-3</c:v>
                </c:pt>
                <c:pt idx="33">
                  <c:v>1.5001690132754824E-2</c:v>
                </c:pt>
                <c:pt idx="34">
                  <c:v>2.0537579518927478E-2</c:v>
                </c:pt>
                <c:pt idx="35">
                  <c:v>1.3589959456011389E-2</c:v>
                </c:pt>
                <c:pt idx="36">
                  <c:v>6.356419636551299E-3</c:v>
                </c:pt>
                <c:pt idx="37">
                  <c:v>1.3471190402816528E-2</c:v>
                </c:pt>
                <c:pt idx="38">
                  <c:v>1.2081172076688984E-2</c:v>
                </c:pt>
                <c:pt idx="39">
                  <c:v>5.6186942476181686E-3</c:v>
                </c:pt>
                <c:pt idx="40">
                  <c:v>9.6391589117468448E-3</c:v>
                </c:pt>
                <c:pt idx="41">
                  <c:v>9.6491634720670127E-3</c:v>
                </c:pt>
                <c:pt idx="42">
                  <c:v>2.7075393227497897E-3</c:v>
                </c:pt>
                <c:pt idx="43">
                  <c:v>2.4621368015688896E-3</c:v>
                </c:pt>
                <c:pt idx="44">
                  <c:v>3.0364921776072666E-3</c:v>
                </c:pt>
                <c:pt idx="45">
                  <c:v>5.3198214529758488E-2</c:v>
                </c:pt>
                <c:pt idx="46">
                  <c:v>3.5657827547294946E-3</c:v>
                </c:pt>
                <c:pt idx="47">
                  <c:v>2.7591273444230124E-3</c:v>
                </c:pt>
                <c:pt idx="48">
                  <c:v>6.0076489034505771E-4</c:v>
                </c:pt>
                <c:pt idx="49">
                  <c:v>1.7309595829634609E-3</c:v>
                </c:pt>
                <c:pt idx="50">
                  <c:v>1.523978981023303E-3</c:v>
                </c:pt>
                <c:pt idx="51">
                  <c:v>7.6373747073917649E-4</c:v>
                </c:pt>
                <c:pt idx="52">
                  <c:v>9.260706199473881E-4</c:v>
                </c:pt>
                <c:pt idx="53">
                  <c:v>1.9454162142719632E-3</c:v>
                </c:pt>
                <c:pt idx="54">
                  <c:v>3.657664843737096E-3</c:v>
                </c:pt>
                <c:pt idx="55">
                  <c:v>0</c:v>
                </c:pt>
                <c:pt idx="56">
                  <c:v>1.0391057027146218E-3</c:v>
                </c:pt>
                <c:pt idx="57">
                  <c:v>8.4804016581307388E-4</c:v>
                </c:pt>
                <c:pt idx="58">
                  <c:v>3.2429833554041641E-3</c:v>
                </c:pt>
                <c:pt idx="59">
                  <c:v>2.8526089276259864E-3</c:v>
                </c:pt>
                <c:pt idx="60">
                  <c:v>2.7126113779701744E-3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7.8822092617516579E-3</c:v>
                </c:pt>
                <c:pt idx="1">
                  <c:v>2.632085774750647E-2</c:v>
                </c:pt>
                <c:pt idx="2">
                  <c:v>3.1191230383693373E-2</c:v>
                </c:pt>
                <c:pt idx="3">
                  <c:v>3.4358275441720931E-2</c:v>
                </c:pt>
                <c:pt idx="4">
                  <c:v>3.5695673649913218E-2</c:v>
                </c:pt>
                <c:pt idx="5">
                  <c:v>3.5207956641334838E-2</c:v>
                </c:pt>
                <c:pt idx="6">
                  <c:v>3.3787289675580388E-2</c:v>
                </c:pt>
                <c:pt idx="7">
                  <c:v>3.1885136696711391E-2</c:v>
                </c:pt>
                <c:pt idx="8">
                  <c:v>2.9209207372060668E-2</c:v>
                </c:pt>
                <c:pt idx="9">
                  <c:v>2.6191139751032079E-2</c:v>
                </c:pt>
                <c:pt idx="10">
                  <c:v>2.35729887479551E-2</c:v>
                </c:pt>
                <c:pt idx="11">
                  <c:v>2.08517430926583E-2</c:v>
                </c:pt>
                <c:pt idx="12">
                  <c:v>1.9025494967621483E-2</c:v>
                </c:pt>
                <c:pt idx="13">
                  <c:v>1.6470786827449006E-2</c:v>
                </c:pt>
                <c:pt idx="14">
                  <c:v>1.4708548019449768E-2</c:v>
                </c:pt>
                <c:pt idx="15">
                  <c:v>1.3717819740699955E-2</c:v>
                </c:pt>
                <c:pt idx="16">
                  <c:v>1.2534497056704324E-2</c:v>
                </c:pt>
                <c:pt idx="17">
                  <c:v>1.1368167996700972E-2</c:v>
                </c:pt>
                <c:pt idx="18">
                  <c:v>9.8889296735864704E-2</c:v>
                </c:pt>
                <c:pt idx="19">
                  <c:v>3.3139832601474593E-2</c:v>
                </c:pt>
                <c:pt idx="20">
                  <c:v>3.6127311699317086E-2</c:v>
                </c:pt>
                <c:pt idx="21">
                  <c:v>3.8557966384345929E-2</c:v>
                </c:pt>
                <c:pt idx="22">
                  <c:v>3.8744896248260989E-2</c:v>
                </c:pt>
                <c:pt idx="23">
                  <c:v>3.2656080771827745E-2</c:v>
                </c:pt>
                <c:pt idx="24">
                  <c:v>2.2632674887049047E-2</c:v>
                </c:pt>
                <c:pt idx="25">
                  <c:v>2.3775212873463208E-2</c:v>
                </c:pt>
                <c:pt idx="26">
                  <c:v>1.9585151651100505E-2</c:v>
                </c:pt>
                <c:pt idx="27">
                  <c:v>1.8703749020034351E-2</c:v>
                </c:pt>
                <c:pt idx="28">
                  <c:v>1.9570423843640532E-2</c:v>
                </c:pt>
                <c:pt idx="29">
                  <c:v>1.4449112026500991E-2</c:v>
                </c:pt>
                <c:pt idx="30">
                  <c:v>1.4127366078913859E-2</c:v>
                </c:pt>
                <c:pt idx="31">
                  <c:v>1.4004445532036379E-2</c:v>
                </c:pt>
                <c:pt idx="32">
                  <c:v>1.1898935519393123E-2</c:v>
                </c:pt>
                <c:pt idx="33">
                  <c:v>1.2691971305699434E-2</c:v>
                </c:pt>
                <c:pt idx="34">
                  <c:v>1.2818857031508445E-2</c:v>
                </c:pt>
                <c:pt idx="35">
                  <c:v>9.3895437098667246E-3</c:v>
                </c:pt>
                <c:pt idx="36">
                  <c:v>7.1293917188937376E-3</c:v>
                </c:pt>
                <c:pt idx="37">
                  <c:v>6.95209157524097E-3</c:v>
                </c:pt>
                <c:pt idx="38">
                  <c:v>8.4192077799076451E-3</c:v>
                </c:pt>
                <c:pt idx="39">
                  <c:v>5.276520249602349E-3</c:v>
                </c:pt>
                <c:pt idx="40">
                  <c:v>4.8511131956623212E-3</c:v>
                </c:pt>
                <c:pt idx="41">
                  <c:v>5.1366060787325927E-3</c:v>
                </c:pt>
                <c:pt idx="42">
                  <c:v>4.4149435131938496E-3</c:v>
                </c:pt>
                <c:pt idx="43">
                  <c:v>4.2030896674234491E-3</c:v>
                </c:pt>
                <c:pt idx="44">
                  <c:v>3.3975918901894674E-3</c:v>
                </c:pt>
                <c:pt idx="45">
                  <c:v>3.7091416633812328E-3</c:v>
                </c:pt>
                <c:pt idx="46">
                  <c:v>3.0503555066139186E-3</c:v>
                </c:pt>
                <c:pt idx="47">
                  <c:v>3.3709685459348986E-3</c:v>
                </c:pt>
                <c:pt idx="48">
                  <c:v>2.9988081805040084E-3</c:v>
                </c:pt>
                <c:pt idx="49">
                  <c:v>2.6096541910808398E-3</c:v>
                </c:pt>
                <c:pt idx="50">
                  <c:v>2.1921774950038747E-3</c:v>
                </c:pt>
                <c:pt idx="51">
                  <c:v>1.8959219834051597E-3</c:v>
                </c:pt>
                <c:pt idx="52">
                  <c:v>1.7962260559837948E-3</c:v>
                </c:pt>
                <c:pt idx="53">
                  <c:v>1.5622804990234331E-3</c:v>
                </c:pt>
                <c:pt idx="54">
                  <c:v>1.5107331729135229E-3</c:v>
                </c:pt>
                <c:pt idx="55">
                  <c:v>1.2280725605086306E-3</c:v>
                </c:pt>
                <c:pt idx="56">
                  <c:v>1.2881166986146797E-3</c:v>
                </c:pt>
                <c:pt idx="57">
                  <c:v>1.1855885005279353E-3</c:v>
                </c:pt>
                <c:pt idx="58">
                  <c:v>9.7486756302368684E-4</c:v>
                </c:pt>
                <c:pt idx="59">
                  <c:v>1.1465031653456956E-3</c:v>
                </c:pt>
                <c:pt idx="60">
                  <c:v>8.6667482360618293E-4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5680"/>
        <c:axId val="128020976"/>
      </c:lineChart>
      <c:catAx>
        <c:axId val="128025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0976"/>
        <c:crosses val="autoZero"/>
        <c:auto val="1"/>
        <c:lblAlgn val="ctr"/>
        <c:lblOffset val="100"/>
        <c:tickLblSkip val="10"/>
        <c:noMultiLvlLbl val="0"/>
      </c:catAx>
      <c:valAx>
        <c:axId val="1280209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568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5.5843831184551433E-2</c:v>
                </c:pt>
                <c:pt idx="1">
                  <c:v>6.2462572276479902E-2</c:v>
                </c:pt>
                <c:pt idx="2">
                  <c:v>6.9899523237605454E-2</c:v>
                </c:pt>
                <c:pt idx="3">
                  <c:v>0.11114010146962439</c:v>
                </c:pt>
                <c:pt idx="4">
                  <c:v>0.20382237910013989</c:v>
                </c:pt>
                <c:pt idx="5">
                  <c:v>0.11340717592690662</c:v>
                </c:pt>
                <c:pt idx="6">
                  <c:v>0.11607164937768556</c:v>
                </c:pt>
                <c:pt idx="7">
                  <c:v>5.2801367708764986E-2</c:v>
                </c:pt>
                <c:pt idx="8">
                  <c:v>4.051973667103146E-2</c:v>
                </c:pt>
                <c:pt idx="9">
                  <c:v>2.2950711339252135E-2</c:v>
                </c:pt>
                <c:pt idx="10">
                  <c:v>5.6812597017551425E-2</c:v>
                </c:pt>
                <c:pt idx="11">
                  <c:v>7.5573865957259088E-3</c:v>
                </c:pt>
                <c:pt idx="12">
                  <c:v>1.102687590890921E-2</c:v>
                </c:pt>
                <c:pt idx="13">
                  <c:v>6.9940630980751886E-3</c:v>
                </c:pt>
                <c:pt idx="14">
                  <c:v>9.5890045541807481E-3</c:v>
                </c:pt>
                <c:pt idx="15">
                  <c:v>9.008858124204806E-3</c:v>
                </c:pt>
                <c:pt idx="16">
                  <c:v>1.232955382937851E-2</c:v>
                </c:pt>
                <c:pt idx="17">
                  <c:v>4.3465495237543202E-3</c:v>
                </c:pt>
                <c:pt idx="18">
                  <c:v>4.9252410689496059E-3</c:v>
                </c:pt>
                <c:pt idx="19">
                  <c:v>2.8459160297066954E-3</c:v>
                </c:pt>
                <c:pt idx="20">
                  <c:v>3.9615823579337841E-3</c:v>
                </c:pt>
                <c:pt idx="21">
                  <c:v>1.6383971625726849E-3</c:v>
                </c:pt>
                <c:pt idx="22">
                  <c:v>2.6966692081005594E-3</c:v>
                </c:pt>
                <c:pt idx="23">
                  <c:v>1.3602373180612709E-3</c:v>
                </c:pt>
                <c:pt idx="24">
                  <c:v>1.2281179872400667E-3</c:v>
                </c:pt>
                <c:pt idx="25">
                  <c:v>2.1405507397082805E-3</c:v>
                </c:pt>
                <c:pt idx="26">
                  <c:v>1.3601822349799603E-3</c:v>
                </c:pt>
                <c:pt idx="27">
                  <c:v>8.0181218823552184E-4</c:v>
                </c:pt>
                <c:pt idx="28">
                  <c:v>3.5433606580560539E-4</c:v>
                </c:pt>
                <c:pt idx="29">
                  <c:v>2.134711774934021E-4</c:v>
                </c:pt>
                <c:pt idx="30">
                  <c:v>2.6219467130926311E-4</c:v>
                </c:pt>
                <c:pt idx="31">
                  <c:v>1.1100622944222771E-3</c:v>
                </c:pt>
                <c:pt idx="32">
                  <c:v>1.27997476059289E-3</c:v>
                </c:pt>
                <c:pt idx="33">
                  <c:v>1.3903445790619358E-4</c:v>
                </c:pt>
                <c:pt idx="34">
                  <c:v>1.2365773466281113E-4</c:v>
                </c:pt>
                <c:pt idx="35">
                  <c:v>4.9345150652888687E-4</c:v>
                </c:pt>
                <c:pt idx="36">
                  <c:v>3.136826037058863E-4</c:v>
                </c:pt>
                <c:pt idx="37">
                  <c:v>0</c:v>
                </c:pt>
                <c:pt idx="38">
                  <c:v>3.2032352671131607E-4</c:v>
                </c:pt>
                <c:pt idx="39">
                  <c:v>3.2710400076910195E-4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2.2629981209936507E-6</c:v>
                </c:pt>
                <c:pt idx="44">
                  <c:v>2.5047666381381711E-3</c:v>
                </c:pt>
                <c:pt idx="45">
                  <c:v>1.2335490858160023E-4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5.7750724904701034E-4</c:v>
                </c:pt>
                <c:pt idx="51">
                  <c:v>0</c:v>
                </c:pt>
                <c:pt idx="52">
                  <c:v>0</c:v>
                </c:pt>
                <c:pt idx="53">
                  <c:v>2.5779088628579013E-4</c:v>
                </c:pt>
                <c:pt idx="54">
                  <c:v>9.194749395880714E-4</c:v>
                </c:pt>
                <c:pt idx="55">
                  <c:v>0</c:v>
                </c:pt>
                <c:pt idx="56">
                  <c:v>3.2942431541475945E-4</c:v>
                </c:pt>
                <c:pt idx="57">
                  <c:v>2.8055078443233204E-4</c:v>
                </c:pt>
                <c:pt idx="58">
                  <c:v>0</c:v>
                </c:pt>
                <c:pt idx="59">
                  <c:v>1.1068447151613751E-4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0.20228281353561209</c:v>
                </c:pt>
                <c:pt idx="1">
                  <c:v>0.13317124970347452</c:v>
                </c:pt>
                <c:pt idx="2">
                  <c:v>8.0544466605376244E-2</c:v>
                </c:pt>
                <c:pt idx="3">
                  <c:v>4.9003318031091141E-2</c:v>
                </c:pt>
                <c:pt idx="4">
                  <c:v>0.13550272905257435</c:v>
                </c:pt>
                <c:pt idx="5">
                  <c:v>7.2299785483537618E-2</c:v>
                </c:pt>
                <c:pt idx="6">
                  <c:v>7.3687982903842264E-2</c:v>
                </c:pt>
                <c:pt idx="7">
                  <c:v>4.2262390183759262E-2</c:v>
                </c:pt>
                <c:pt idx="8">
                  <c:v>4.0369717646651579E-2</c:v>
                </c:pt>
                <c:pt idx="9">
                  <c:v>2.3375371229544833E-2</c:v>
                </c:pt>
                <c:pt idx="10">
                  <c:v>2.08341605503513E-2</c:v>
                </c:pt>
                <c:pt idx="11">
                  <c:v>2.0501237516658877E-2</c:v>
                </c:pt>
                <c:pt idx="12">
                  <c:v>1.3118898320011322E-2</c:v>
                </c:pt>
                <c:pt idx="13">
                  <c:v>1.3765400235591406E-2</c:v>
                </c:pt>
                <c:pt idx="14">
                  <c:v>1.1832003168368443E-2</c:v>
                </c:pt>
                <c:pt idx="15">
                  <c:v>1.1217571820254141E-2</c:v>
                </c:pt>
                <c:pt idx="16">
                  <c:v>1.0151607244486662E-2</c:v>
                </c:pt>
                <c:pt idx="17">
                  <c:v>7.2978357966583486E-3</c:v>
                </c:pt>
                <c:pt idx="18">
                  <c:v>5.2666998571587109E-3</c:v>
                </c:pt>
                <c:pt idx="19">
                  <c:v>4.8090579499882411E-3</c:v>
                </c:pt>
                <c:pt idx="20">
                  <c:v>3.6361914826681489E-3</c:v>
                </c:pt>
                <c:pt idx="21">
                  <c:v>3.5231809115982443E-3</c:v>
                </c:pt>
                <c:pt idx="22">
                  <c:v>2.6404767213495297E-3</c:v>
                </c:pt>
                <c:pt idx="23">
                  <c:v>2.4785967141412878E-3</c:v>
                </c:pt>
                <c:pt idx="24">
                  <c:v>2.3905299177669924E-3</c:v>
                </c:pt>
                <c:pt idx="25">
                  <c:v>2.109021603345113E-3</c:v>
                </c:pt>
                <c:pt idx="26">
                  <c:v>1.523097426311508E-3</c:v>
                </c:pt>
                <c:pt idx="27">
                  <c:v>1.2278445829757212E-3</c:v>
                </c:pt>
                <c:pt idx="28">
                  <c:v>1.6086189395535981E-3</c:v>
                </c:pt>
                <c:pt idx="29">
                  <c:v>1.221735903458429E-3</c:v>
                </c:pt>
                <c:pt idx="30">
                  <c:v>9.2953739988128794E-4</c:v>
                </c:pt>
                <c:pt idx="31">
                  <c:v>6.8569927581604319E-4</c:v>
                </c:pt>
                <c:pt idx="32">
                  <c:v>6.9129889870689441E-4</c:v>
                </c:pt>
                <c:pt idx="33">
                  <c:v>5.1211096619965812E-4</c:v>
                </c:pt>
                <c:pt idx="34">
                  <c:v>4.5458756741182375E-4</c:v>
                </c:pt>
                <c:pt idx="35">
                  <c:v>3.3088680718665781E-4</c:v>
                </c:pt>
                <c:pt idx="36">
                  <c:v>5.3552757101594465E-4</c:v>
                </c:pt>
                <c:pt idx="37">
                  <c:v>3.3343209031886289E-4</c:v>
                </c:pt>
                <c:pt idx="38">
                  <c:v>3.4055888308903704E-4</c:v>
                </c:pt>
                <c:pt idx="39">
                  <c:v>2.784539746632336E-4</c:v>
                </c:pt>
                <c:pt idx="40">
                  <c:v>2.0464076382928684E-4</c:v>
                </c:pt>
                <c:pt idx="41">
                  <c:v>1.5984378070247777E-4</c:v>
                </c:pt>
                <c:pt idx="42">
                  <c:v>1.3642717588619122E-4</c:v>
                </c:pt>
                <c:pt idx="43">
                  <c:v>1.0079321203532038E-4</c:v>
                </c:pt>
                <c:pt idx="44">
                  <c:v>8.2467173483443955E-5</c:v>
                </c:pt>
                <c:pt idx="45">
                  <c:v>8.7048683121413058E-5</c:v>
                </c:pt>
                <c:pt idx="46">
                  <c:v>7.4322267460387765E-5</c:v>
                </c:pt>
                <c:pt idx="47">
                  <c:v>7.0249814448859657E-5</c:v>
                </c:pt>
                <c:pt idx="48">
                  <c:v>5.4978115655629301E-5</c:v>
                </c:pt>
                <c:pt idx="49">
                  <c:v>4.5306039753250072E-5</c:v>
                </c:pt>
                <c:pt idx="50">
                  <c:v>3.2070567465783757E-5</c:v>
                </c:pt>
                <c:pt idx="51">
                  <c:v>4.3269813247486025E-5</c:v>
                </c:pt>
                <c:pt idx="52">
                  <c:v>2.1889434936963517E-5</c:v>
                </c:pt>
                <c:pt idx="53">
                  <c:v>2.3925661442727567E-5</c:v>
                </c:pt>
                <c:pt idx="54">
                  <c:v>1.6289812046112386E-5</c:v>
                </c:pt>
                <c:pt idx="55">
                  <c:v>1.1708302408143278E-5</c:v>
                </c:pt>
                <c:pt idx="56">
                  <c:v>1.221735903458429E-5</c:v>
                </c:pt>
                <c:pt idx="57">
                  <c:v>9.1630192759382168E-6</c:v>
                </c:pt>
                <c:pt idx="58">
                  <c:v>1.4253585540348337E-5</c:v>
                </c:pt>
                <c:pt idx="59">
                  <c:v>1.0181132528820241E-5</c:v>
                </c:pt>
                <c:pt idx="60">
                  <c:v>5.0905662644101203E-6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2152"/>
        <c:axId val="128933512"/>
      </c:lineChart>
      <c:catAx>
        <c:axId val="128022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3512"/>
        <c:crosses val="autoZero"/>
        <c:auto val="1"/>
        <c:lblAlgn val="ctr"/>
        <c:lblOffset val="100"/>
        <c:tickLblSkip val="10"/>
        <c:noMultiLvlLbl val="0"/>
      </c:catAx>
      <c:valAx>
        <c:axId val="12893351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2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9.4990692580052547E-4</c:v>
                </c:pt>
                <c:pt idx="1">
                  <c:v>9.0592393102139354E-4</c:v>
                </c:pt>
                <c:pt idx="2">
                  <c:v>3.7555370150790246E-3</c:v>
                </c:pt>
                <c:pt idx="3">
                  <c:v>9.2962583154463617E-3</c:v>
                </c:pt>
                <c:pt idx="4">
                  <c:v>1.2330218942352561E-2</c:v>
                </c:pt>
                <c:pt idx="5">
                  <c:v>2.6595062208307031E-2</c:v>
                </c:pt>
                <c:pt idx="6">
                  <c:v>1.1864694141534061E-2</c:v>
                </c:pt>
                <c:pt idx="7">
                  <c:v>1.9685706655212486E-2</c:v>
                </c:pt>
                <c:pt idx="8">
                  <c:v>8.1640696444560054E-3</c:v>
                </c:pt>
                <c:pt idx="9">
                  <c:v>2.0641499816105299E-2</c:v>
                </c:pt>
                <c:pt idx="10">
                  <c:v>7.0399576025592424E-3</c:v>
                </c:pt>
                <c:pt idx="11">
                  <c:v>9.5120949407863521E-3</c:v>
                </c:pt>
                <c:pt idx="12">
                  <c:v>2.1429520218760351E-2</c:v>
                </c:pt>
                <c:pt idx="13">
                  <c:v>2.58173402585994E-2</c:v>
                </c:pt>
                <c:pt idx="14">
                  <c:v>1.3724267989209392E-2</c:v>
                </c:pt>
                <c:pt idx="15">
                  <c:v>1.2639615540393192E-2</c:v>
                </c:pt>
                <c:pt idx="16">
                  <c:v>4.0796368096260069E-2</c:v>
                </c:pt>
                <c:pt idx="17">
                  <c:v>2.9102649840886993E-2</c:v>
                </c:pt>
                <c:pt idx="18">
                  <c:v>8.9242469226963037E-2</c:v>
                </c:pt>
                <c:pt idx="19">
                  <c:v>4.4579412272870385E-2</c:v>
                </c:pt>
                <c:pt idx="20">
                  <c:v>7.2085903372928223E-2</c:v>
                </c:pt>
                <c:pt idx="21">
                  <c:v>6.5547818675991285E-2</c:v>
                </c:pt>
                <c:pt idx="22">
                  <c:v>4.1096056494361946E-2</c:v>
                </c:pt>
                <c:pt idx="23">
                  <c:v>3.1916072637966336E-2</c:v>
                </c:pt>
                <c:pt idx="24">
                  <c:v>3.8844868219717436E-2</c:v>
                </c:pt>
                <c:pt idx="25">
                  <c:v>1.5450675528489447E-2</c:v>
                </c:pt>
                <c:pt idx="26">
                  <c:v>5.9790824529366772E-2</c:v>
                </c:pt>
                <c:pt idx="27">
                  <c:v>8.6045985266105639E-3</c:v>
                </c:pt>
                <c:pt idx="28">
                  <c:v>1.7686097225813019E-2</c:v>
                </c:pt>
                <c:pt idx="29">
                  <c:v>9.3578355915040819E-3</c:v>
                </c:pt>
                <c:pt idx="30">
                  <c:v>9.6040592423160282E-3</c:v>
                </c:pt>
                <c:pt idx="31">
                  <c:v>5.5177195494510783E-3</c:v>
                </c:pt>
                <c:pt idx="32">
                  <c:v>1.2989816029893159E-2</c:v>
                </c:pt>
                <c:pt idx="33">
                  <c:v>5.6005963004291167E-3</c:v>
                </c:pt>
                <c:pt idx="34">
                  <c:v>1.1647286306960105E-2</c:v>
                </c:pt>
                <c:pt idx="35">
                  <c:v>8.7487515238437799E-3</c:v>
                </c:pt>
                <c:pt idx="36">
                  <c:v>4.3319464199289993E-3</c:v>
                </c:pt>
                <c:pt idx="37">
                  <c:v>1.2987423456141196E-2</c:v>
                </c:pt>
                <c:pt idx="38">
                  <c:v>8.6691901106968113E-3</c:v>
                </c:pt>
                <c:pt idx="39">
                  <c:v>1.904760059749912E-3</c:v>
                </c:pt>
                <c:pt idx="40">
                  <c:v>2.9584281789222133E-3</c:v>
                </c:pt>
                <c:pt idx="41">
                  <c:v>3.4237307940261441E-3</c:v>
                </c:pt>
                <c:pt idx="42">
                  <c:v>1.3905428964656797E-3</c:v>
                </c:pt>
                <c:pt idx="43">
                  <c:v>1.3268743886028166E-3</c:v>
                </c:pt>
                <c:pt idx="44">
                  <c:v>1.6432720008175111E-3</c:v>
                </c:pt>
                <c:pt idx="45">
                  <c:v>4.9569683486680456E-2</c:v>
                </c:pt>
                <c:pt idx="46">
                  <c:v>4.6453454986251641E-3</c:v>
                </c:pt>
                <c:pt idx="47">
                  <c:v>1.4252711263155163E-3</c:v>
                </c:pt>
                <c:pt idx="48">
                  <c:v>9.1450246881070475E-4</c:v>
                </c:pt>
                <c:pt idx="49">
                  <c:v>1.9581662115165238E-3</c:v>
                </c:pt>
                <c:pt idx="50">
                  <c:v>5.2143196242836057E-4</c:v>
                </c:pt>
                <c:pt idx="51">
                  <c:v>4.010301906371896E-4</c:v>
                </c:pt>
                <c:pt idx="52">
                  <c:v>6.3170344773330767E-3</c:v>
                </c:pt>
                <c:pt idx="53">
                  <c:v>7.2680702200471001E-4</c:v>
                </c:pt>
                <c:pt idx="54">
                  <c:v>2.8651111012567695E-3</c:v>
                </c:pt>
                <c:pt idx="55">
                  <c:v>3.2658952105125787E-4</c:v>
                </c:pt>
                <c:pt idx="56">
                  <c:v>5.240235581600786E-5</c:v>
                </c:pt>
                <c:pt idx="57">
                  <c:v>7.768342583079086E-4</c:v>
                </c:pt>
                <c:pt idx="58">
                  <c:v>2.4068932868501623E-3</c:v>
                </c:pt>
                <c:pt idx="59">
                  <c:v>7.4110882243809731E-4</c:v>
                </c:pt>
                <c:pt idx="60">
                  <c:v>2.981915721074666E-3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1.2089076764721153E-2</c:v>
                </c:pt>
                <c:pt idx="1">
                  <c:v>3.1621579521262787E-2</c:v>
                </c:pt>
                <c:pt idx="2">
                  <c:v>3.4060978875168117E-2</c:v>
                </c:pt>
                <c:pt idx="3">
                  <c:v>3.6384313318244897E-2</c:v>
                </c:pt>
                <c:pt idx="4">
                  <c:v>3.757906922050195E-2</c:v>
                </c:pt>
                <c:pt idx="5">
                  <c:v>3.711022806754978E-2</c:v>
                </c:pt>
                <c:pt idx="6">
                  <c:v>3.4927902309997157E-2</c:v>
                </c:pt>
                <c:pt idx="7">
                  <c:v>3.2726232400639779E-2</c:v>
                </c:pt>
                <c:pt idx="8">
                  <c:v>2.9664256792597096E-2</c:v>
                </c:pt>
                <c:pt idx="9">
                  <c:v>2.6623661562864932E-2</c:v>
                </c:pt>
                <c:pt idx="10">
                  <c:v>2.3879337289721435E-2</c:v>
                </c:pt>
                <c:pt idx="11">
                  <c:v>2.1412957934614729E-2</c:v>
                </c:pt>
                <c:pt idx="12">
                  <c:v>1.9530975586662308E-2</c:v>
                </c:pt>
                <c:pt idx="13">
                  <c:v>1.7408718511029729E-2</c:v>
                </c:pt>
                <c:pt idx="14">
                  <c:v>1.5213666337816087E-2</c:v>
                </c:pt>
                <c:pt idx="15">
                  <c:v>1.3891137222322337E-2</c:v>
                </c:pt>
                <c:pt idx="16">
                  <c:v>1.2487159046598025E-2</c:v>
                </c:pt>
                <c:pt idx="17">
                  <c:v>1.1464464284078033E-2</c:v>
                </c:pt>
                <c:pt idx="18">
                  <c:v>9.0076551935484195E-2</c:v>
                </c:pt>
                <c:pt idx="19">
                  <c:v>3.320118223310925E-2</c:v>
                </c:pt>
                <c:pt idx="20">
                  <c:v>3.4594979276304741E-2</c:v>
                </c:pt>
                <c:pt idx="21">
                  <c:v>3.6858245037461476E-2</c:v>
                </c:pt>
                <c:pt idx="22">
                  <c:v>3.7142807691642001E-2</c:v>
                </c:pt>
                <c:pt idx="23">
                  <c:v>3.1244877617696436E-2</c:v>
                </c:pt>
                <c:pt idx="24">
                  <c:v>2.1159447734647108E-2</c:v>
                </c:pt>
                <c:pt idx="25">
                  <c:v>2.3069937253680225E-2</c:v>
                </c:pt>
                <c:pt idx="26">
                  <c:v>1.9852190317946588E-2</c:v>
                </c:pt>
                <c:pt idx="27">
                  <c:v>1.7813418529050336E-2</c:v>
                </c:pt>
                <c:pt idx="28">
                  <c:v>1.8686959700023112E-2</c:v>
                </c:pt>
                <c:pt idx="29">
                  <c:v>1.3870774957264697E-2</c:v>
                </c:pt>
                <c:pt idx="30">
                  <c:v>1.4793694621002251E-2</c:v>
                </c:pt>
                <c:pt idx="31">
                  <c:v>1.3313357951311788E-2</c:v>
                </c:pt>
                <c:pt idx="32">
                  <c:v>1.3911499487379977E-2</c:v>
                </c:pt>
                <c:pt idx="33">
                  <c:v>1.2082968085203863E-2</c:v>
                </c:pt>
                <c:pt idx="34">
                  <c:v>1.3676315325964229E-2</c:v>
                </c:pt>
                <c:pt idx="35">
                  <c:v>8.1403245134182237E-3</c:v>
                </c:pt>
                <c:pt idx="36">
                  <c:v>6.494544440134432E-3</c:v>
                </c:pt>
                <c:pt idx="37">
                  <c:v>6.1366776317464001E-3</c:v>
                </c:pt>
                <c:pt idx="38">
                  <c:v>7.5223297689188352E-3</c:v>
                </c:pt>
                <c:pt idx="39">
                  <c:v>4.7596794572234624E-3</c:v>
                </c:pt>
                <c:pt idx="40">
                  <c:v>4.2577496235526244E-3</c:v>
                </c:pt>
                <c:pt idx="41">
                  <c:v>4.9276681439489965E-3</c:v>
                </c:pt>
                <c:pt idx="42">
                  <c:v>3.9176997970900287E-3</c:v>
                </c:pt>
                <c:pt idx="43">
                  <c:v>5.1068560764562327E-3</c:v>
                </c:pt>
                <c:pt idx="44">
                  <c:v>3.1362978755030751E-3</c:v>
                </c:pt>
                <c:pt idx="45">
                  <c:v>3.5959760091793091E-3</c:v>
                </c:pt>
                <c:pt idx="46">
                  <c:v>2.7300706876031474E-3</c:v>
                </c:pt>
                <c:pt idx="47">
                  <c:v>2.8614072972249285E-3</c:v>
                </c:pt>
                <c:pt idx="48">
                  <c:v>2.875151826138836E-3</c:v>
                </c:pt>
                <c:pt idx="49">
                  <c:v>2.8507171080696674E-3</c:v>
                </c:pt>
                <c:pt idx="50">
                  <c:v>1.9975382021545311E-3</c:v>
                </c:pt>
                <c:pt idx="51">
                  <c:v>1.6223634684675054E-3</c:v>
                </c:pt>
                <c:pt idx="52">
                  <c:v>1.6188000720824183E-3</c:v>
                </c:pt>
                <c:pt idx="53">
                  <c:v>1.3719076082585274E-3</c:v>
                </c:pt>
                <c:pt idx="54">
                  <c:v>1.2487159046598026E-3</c:v>
                </c:pt>
                <c:pt idx="55">
                  <c:v>1.0858177841986786E-3</c:v>
                </c:pt>
                <c:pt idx="56">
                  <c:v>1.184065713101794E-3</c:v>
                </c:pt>
                <c:pt idx="57">
                  <c:v>1.0873449540780018E-3</c:v>
                </c:pt>
                <c:pt idx="58">
                  <c:v>8.7914079386362776E-4</c:v>
                </c:pt>
                <c:pt idx="59">
                  <c:v>1.0043687239681169E-3</c:v>
                </c:pt>
                <c:pt idx="60">
                  <c:v>7.7020267580525127E-4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5864"/>
        <c:axId val="128935472"/>
      </c:lineChart>
      <c:catAx>
        <c:axId val="128935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5472"/>
        <c:crosses val="autoZero"/>
        <c:auto val="1"/>
        <c:lblAlgn val="ctr"/>
        <c:lblOffset val="100"/>
        <c:tickLblSkip val="10"/>
        <c:noMultiLvlLbl val="0"/>
      </c:catAx>
      <c:valAx>
        <c:axId val="1289354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58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0.12049175269376761</c:v>
                </c:pt>
                <c:pt idx="1">
                  <c:v>8.0779756980852269E-2</c:v>
                </c:pt>
                <c:pt idx="2">
                  <c:v>6.8001725294796408E-2</c:v>
                </c:pt>
                <c:pt idx="3">
                  <c:v>0.13389993618831017</c:v>
                </c:pt>
                <c:pt idx="4">
                  <c:v>0.19089327819405463</c:v>
                </c:pt>
                <c:pt idx="5">
                  <c:v>0.11738273653336104</c:v>
                </c:pt>
                <c:pt idx="6">
                  <c:v>7.6687444013630229E-2</c:v>
                </c:pt>
                <c:pt idx="7">
                  <c:v>2.4897112455285968E-2</c:v>
                </c:pt>
                <c:pt idx="8">
                  <c:v>3.4600668926060792E-2</c:v>
                </c:pt>
                <c:pt idx="9">
                  <c:v>1.554355798375473E-2</c:v>
                </c:pt>
                <c:pt idx="10">
                  <c:v>4.618190974796834E-2</c:v>
                </c:pt>
                <c:pt idx="11">
                  <c:v>9.4554118375037178E-3</c:v>
                </c:pt>
                <c:pt idx="12">
                  <c:v>8.0812910784510642E-3</c:v>
                </c:pt>
                <c:pt idx="13">
                  <c:v>1.6750178389906396E-2</c:v>
                </c:pt>
                <c:pt idx="14">
                  <c:v>4.7320592727653678E-3</c:v>
                </c:pt>
                <c:pt idx="15">
                  <c:v>1.2470014223277126E-2</c:v>
                </c:pt>
                <c:pt idx="16">
                  <c:v>9.558645987785443E-3</c:v>
                </c:pt>
                <c:pt idx="17">
                  <c:v>3.1309704574170815E-3</c:v>
                </c:pt>
                <c:pt idx="18">
                  <c:v>5.5579624117697759E-3</c:v>
                </c:pt>
                <c:pt idx="19">
                  <c:v>4.8571098507676342E-4</c:v>
                </c:pt>
                <c:pt idx="20">
                  <c:v>1.3122835039455498E-3</c:v>
                </c:pt>
                <c:pt idx="21">
                  <c:v>3.0291780640073211E-3</c:v>
                </c:pt>
                <c:pt idx="22">
                  <c:v>2.8654632216249679E-3</c:v>
                </c:pt>
                <c:pt idx="23">
                  <c:v>2.1386815399655349E-3</c:v>
                </c:pt>
                <c:pt idx="24">
                  <c:v>8.8985922522342585E-4</c:v>
                </c:pt>
                <c:pt idx="25">
                  <c:v>1.4019512646280261E-3</c:v>
                </c:pt>
                <c:pt idx="26">
                  <c:v>1.3584717793717776E-3</c:v>
                </c:pt>
                <c:pt idx="27">
                  <c:v>3.6997578844681227E-4</c:v>
                </c:pt>
                <c:pt idx="28">
                  <c:v>1.145974308257985E-3</c:v>
                </c:pt>
                <c:pt idx="29">
                  <c:v>0</c:v>
                </c:pt>
                <c:pt idx="30">
                  <c:v>0</c:v>
                </c:pt>
                <c:pt idx="31">
                  <c:v>7.4499480921572537E-5</c:v>
                </c:pt>
                <c:pt idx="32">
                  <c:v>3.5141123722922703E-4</c:v>
                </c:pt>
                <c:pt idx="33">
                  <c:v>1.6913195980317847E-4</c:v>
                </c:pt>
                <c:pt idx="34">
                  <c:v>1.6232586634583174E-3</c:v>
                </c:pt>
                <c:pt idx="35">
                  <c:v>4.1375971255318386E-4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4.3239695717107085E-4</c:v>
                </c:pt>
                <c:pt idx="40">
                  <c:v>5.0495652789884441E-4</c:v>
                </c:pt>
                <c:pt idx="41">
                  <c:v>1.7319306104241537E-3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4.6138256188913877E-4</c:v>
                </c:pt>
                <c:pt idx="48">
                  <c:v>0</c:v>
                </c:pt>
                <c:pt idx="49">
                  <c:v>0</c:v>
                </c:pt>
                <c:pt idx="50">
                  <c:v>1.7017930936340188E-5</c:v>
                </c:pt>
                <c:pt idx="51">
                  <c:v>5.0452355333682363E-5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5.5498177470095129E-6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0.24101112530863605</c:v>
                </c:pt>
                <c:pt idx="1">
                  <c:v>0.13662248887949505</c:v>
                </c:pt>
                <c:pt idx="2">
                  <c:v>7.8875123694601632E-2</c:v>
                </c:pt>
                <c:pt idx="3">
                  <c:v>4.4793057730552324E-2</c:v>
                </c:pt>
                <c:pt idx="4">
                  <c:v>0.1299718024345019</c:v>
                </c:pt>
                <c:pt idx="5">
                  <c:v>7.0693266209997413E-2</c:v>
                </c:pt>
                <c:pt idx="6">
                  <c:v>6.6021693391105515E-2</c:v>
                </c:pt>
                <c:pt idx="7">
                  <c:v>3.7985050966979544E-2</c:v>
                </c:pt>
                <c:pt idx="8">
                  <c:v>3.5712913236042927E-2</c:v>
                </c:pt>
                <c:pt idx="9">
                  <c:v>2.0565728669286271E-2</c:v>
                </c:pt>
                <c:pt idx="10">
                  <c:v>1.796213744271619E-2</c:v>
                </c:pt>
                <c:pt idx="11">
                  <c:v>1.6414153544630935E-2</c:v>
                </c:pt>
                <c:pt idx="12">
                  <c:v>1.2182116882992113E-2</c:v>
                </c:pt>
                <c:pt idx="13">
                  <c:v>1.2364656489283003E-2</c:v>
                </c:pt>
                <c:pt idx="14">
                  <c:v>1.0732608298826943E-2</c:v>
                </c:pt>
                <c:pt idx="15">
                  <c:v>9.1401904176314046E-3</c:v>
                </c:pt>
                <c:pt idx="16">
                  <c:v>9.1906289930538884E-3</c:v>
                </c:pt>
                <c:pt idx="17">
                  <c:v>6.5498092941481643E-3</c:v>
                </c:pt>
                <c:pt idx="18">
                  <c:v>5.946948226003247E-3</c:v>
                </c:pt>
                <c:pt idx="19">
                  <c:v>5.2972513378231672E-3</c:v>
                </c:pt>
                <c:pt idx="20">
                  <c:v>4.012268583012288E-3</c:v>
                </c:pt>
                <c:pt idx="21">
                  <c:v>3.4118093517922507E-3</c:v>
                </c:pt>
                <c:pt idx="22">
                  <c:v>3.2448816855130806E-3</c:v>
                </c:pt>
                <c:pt idx="23">
                  <c:v>2.8305648159712548E-3</c:v>
                </c:pt>
                <c:pt idx="24">
                  <c:v>2.525531526511476E-3</c:v>
                </c:pt>
                <c:pt idx="25">
                  <c:v>2.4750929510889931E-3</c:v>
                </c:pt>
                <c:pt idx="26">
                  <c:v>1.9190677029792386E-3</c:v>
                </c:pt>
                <c:pt idx="27">
                  <c:v>1.4182847041417277E-3</c:v>
                </c:pt>
                <c:pt idx="28">
                  <c:v>1.4459058287778492E-3</c:v>
                </c:pt>
                <c:pt idx="29">
                  <c:v>1.0928358008204676E-3</c:v>
                </c:pt>
                <c:pt idx="30">
                  <c:v>8.4904935294513248E-4</c:v>
                </c:pt>
                <c:pt idx="31">
                  <c:v>8.2743282062121108E-4</c:v>
                </c:pt>
                <c:pt idx="32">
                  <c:v>7.4216760978796585E-4</c:v>
                </c:pt>
                <c:pt idx="33">
                  <c:v>6.7251433896644154E-4</c:v>
                </c:pt>
                <c:pt idx="34">
                  <c:v>5.7403902504635544E-4</c:v>
                </c:pt>
                <c:pt idx="35">
                  <c:v>4.3353156494086679E-4</c:v>
                </c:pt>
                <c:pt idx="36">
                  <c:v>6.3648678509323935E-4</c:v>
                </c:pt>
                <c:pt idx="37">
                  <c:v>4.2392421724134617E-4</c:v>
                </c:pt>
                <c:pt idx="38">
                  <c:v>4.4794258649014768E-4</c:v>
                </c:pt>
                <c:pt idx="39">
                  <c:v>3.7949023413106345E-4</c:v>
                </c:pt>
                <c:pt idx="40">
                  <c:v>3.2304706639637996E-4</c:v>
                </c:pt>
                <c:pt idx="41">
                  <c:v>2.4018369248801483E-4</c:v>
                </c:pt>
                <c:pt idx="42">
                  <c:v>1.585212370420898E-4</c:v>
                </c:pt>
                <c:pt idx="43">
                  <c:v>1.4891388934256921E-4</c:v>
                </c:pt>
                <c:pt idx="44">
                  <c:v>1.1889092778156735E-4</c:v>
                </c:pt>
                <c:pt idx="45">
                  <c:v>1.1048449854448683E-4</c:v>
                </c:pt>
                <c:pt idx="46">
                  <c:v>7.4456944671284604E-5</c:v>
                </c:pt>
                <c:pt idx="47">
                  <c:v>6.2447760046883862E-5</c:v>
                </c:pt>
                <c:pt idx="48">
                  <c:v>4.8036738497602967E-5</c:v>
                </c:pt>
                <c:pt idx="49">
                  <c:v>6.3648678509323933E-5</c:v>
                </c:pt>
                <c:pt idx="50">
                  <c:v>4.9237656960043044E-5</c:v>
                </c:pt>
                <c:pt idx="51">
                  <c:v>3.7228472335642302E-5</c:v>
                </c:pt>
                <c:pt idx="52">
                  <c:v>3.2424798485882001E-5</c:v>
                </c:pt>
                <c:pt idx="53">
                  <c:v>2.4018369248801483E-5</c:v>
                </c:pt>
                <c:pt idx="54">
                  <c:v>1.441102154928089E-5</c:v>
                </c:pt>
                <c:pt idx="55">
                  <c:v>1.9214695399041186E-5</c:v>
                </c:pt>
                <c:pt idx="56">
                  <c:v>1.6812858474161039E-5</c:v>
                </c:pt>
                <c:pt idx="57">
                  <c:v>1.0808266161960668E-5</c:v>
                </c:pt>
                <c:pt idx="58">
                  <c:v>6.0045923122003709E-6</c:v>
                </c:pt>
                <c:pt idx="59">
                  <c:v>2.4018369248801483E-6</c:v>
                </c:pt>
                <c:pt idx="60">
                  <c:v>1.0808266161960668E-5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0768"/>
        <c:axId val="128934296"/>
      </c:lineChart>
      <c:catAx>
        <c:axId val="128930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4296"/>
        <c:crosses val="autoZero"/>
        <c:auto val="1"/>
        <c:lblAlgn val="ctr"/>
        <c:lblOffset val="100"/>
        <c:tickLblSkip val="10"/>
        <c:noMultiLvlLbl val="0"/>
      </c:catAx>
      <c:valAx>
        <c:axId val="12893429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076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2.3437457431708345E-4</c:v>
                </c:pt>
                <c:pt idx="2">
                  <c:v>1.5238115561758364E-3</c:v>
                </c:pt>
                <c:pt idx="3">
                  <c:v>1.2202951508955511E-2</c:v>
                </c:pt>
                <c:pt idx="4">
                  <c:v>1.0621013724945052E-2</c:v>
                </c:pt>
                <c:pt idx="5">
                  <c:v>2.5440347920877824E-2</c:v>
                </c:pt>
                <c:pt idx="6">
                  <c:v>2.0470459801236126E-2</c:v>
                </c:pt>
                <c:pt idx="7">
                  <c:v>2.3423668634067588E-2</c:v>
                </c:pt>
                <c:pt idx="8">
                  <c:v>1.3939643752029817E-2</c:v>
                </c:pt>
                <c:pt idx="9">
                  <c:v>3.2880143089351443E-2</c:v>
                </c:pt>
                <c:pt idx="10">
                  <c:v>1.0384669616977807E-2</c:v>
                </c:pt>
                <c:pt idx="11">
                  <c:v>1.5197866890334944E-2</c:v>
                </c:pt>
                <c:pt idx="12">
                  <c:v>1.5061535912517967E-2</c:v>
                </c:pt>
                <c:pt idx="13">
                  <c:v>2.8722774419301426E-2</c:v>
                </c:pt>
                <c:pt idx="14">
                  <c:v>2.9932576669336325E-2</c:v>
                </c:pt>
                <c:pt idx="15">
                  <c:v>2.4039964738992222E-2</c:v>
                </c:pt>
                <c:pt idx="16">
                  <c:v>3.6114929204905652E-2</c:v>
                </c:pt>
                <c:pt idx="17">
                  <c:v>2.2118265815047077E-2</c:v>
                </c:pt>
                <c:pt idx="18">
                  <c:v>7.7454753541735477E-2</c:v>
                </c:pt>
                <c:pt idx="19">
                  <c:v>4.2204630958494846E-2</c:v>
                </c:pt>
                <c:pt idx="20">
                  <c:v>8.122465540068538E-2</c:v>
                </c:pt>
                <c:pt idx="21">
                  <c:v>4.8324642088993827E-2</c:v>
                </c:pt>
                <c:pt idx="22">
                  <c:v>3.7900420865020927E-2</c:v>
                </c:pt>
                <c:pt idx="23">
                  <c:v>1.7498416310622822E-2</c:v>
                </c:pt>
                <c:pt idx="24">
                  <c:v>2.6145051354282522E-2</c:v>
                </c:pt>
                <c:pt idx="25">
                  <c:v>2.2126876978634025E-2</c:v>
                </c:pt>
                <c:pt idx="26">
                  <c:v>3.292587593525715E-2</c:v>
                </c:pt>
                <c:pt idx="27">
                  <c:v>1.6833741558432636E-2</c:v>
                </c:pt>
                <c:pt idx="28">
                  <c:v>1.6761075487677374E-2</c:v>
                </c:pt>
                <c:pt idx="29">
                  <c:v>1.2293513793541747E-2</c:v>
                </c:pt>
                <c:pt idx="30">
                  <c:v>1.123239238291792E-2</c:v>
                </c:pt>
                <c:pt idx="31">
                  <c:v>6.4757781595168769E-3</c:v>
                </c:pt>
                <c:pt idx="32">
                  <c:v>3.5203353167542438E-3</c:v>
                </c:pt>
                <c:pt idx="33">
                  <c:v>1.0019561802714416E-2</c:v>
                </c:pt>
                <c:pt idx="34">
                  <c:v>1.3340663437289168E-2</c:v>
                </c:pt>
                <c:pt idx="35">
                  <c:v>3.4922333253570555E-3</c:v>
                </c:pt>
                <c:pt idx="36">
                  <c:v>4.3440946508051482E-3</c:v>
                </c:pt>
                <c:pt idx="37">
                  <c:v>5.313078018730222E-3</c:v>
                </c:pt>
                <c:pt idx="38">
                  <c:v>8.9423018411654859E-3</c:v>
                </c:pt>
                <c:pt idx="39">
                  <c:v>8.7677744788658158E-3</c:v>
                </c:pt>
                <c:pt idx="40">
                  <c:v>2.6335204025266915E-3</c:v>
                </c:pt>
                <c:pt idx="41">
                  <c:v>1.6446118527026247E-3</c:v>
                </c:pt>
                <c:pt idx="42">
                  <c:v>1.8972724014916001E-3</c:v>
                </c:pt>
                <c:pt idx="43">
                  <c:v>2.0153542881545285E-4</c:v>
                </c:pt>
                <c:pt idx="44">
                  <c:v>2.0270857605111572E-3</c:v>
                </c:pt>
                <c:pt idx="45">
                  <c:v>4.2262496814412062E-2</c:v>
                </c:pt>
                <c:pt idx="46">
                  <c:v>3.2095736245178349E-3</c:v>
                </c:pt>
                <c:pt idx="47">
                  <c:v>1.109767740090035E-3</c:v>
                </c:pt>
                <c:pt idx="48">
                  <c:v>1.8403876278514574E-3</c:v>
                </c:pt>
                <c:pt idx="49">
                  <c:v>1.5911796434228027E-3</c:v>
                </c:pt>
                <c:pt idx="50">
                  <c:v>6.9635680670331285E-4</c:v>
                </c:pt>
                <c:pt idx="51">
                  <c:v>2.1991877959133882E-3</c:v>
                </c:pt>
                <c:pt idx="52">
                  <c:v>2.8599592723330346E-3</c:v>
                </c:pt>
                <c:pt idx="53">
                  <c:v>1.9746699006875442E-3</c:v>
                </c:pt>
                <c:pt idx="54">
                  <c:v>6.007937558721115E-4</c:v>
                </c:pt>
                <c:pt idx="55">
                  <c:v>0</c:v>
                </c:pt>
                <c:pt idx="56">
                  <c:v>1.7056558421970119E-3</c:v>
                </c:pt>
                <c:pt idx="57">
                  <c:v>4.9256110305866097E-4</c:v>
                </c:pt>
                <c:pt idx="58">
                  <c:v>4.8474318764347437E-4</c:v>
                </c:pt>
                <c:pt idx="59">
                  <c:v>6.0570573874355353E-3</c:v>
                </c:pt>
                <c:pt idx="60">
                  <c:v>5.747862282570626E-3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1.0128546312219586E-2</c:v>
                </c:pt>
                <c:pt idx="1">
                  <c:v>3.4457953442793045E-2</c:v>
                </c:pt>
                <c:pt idx="2">
                  <c:v>3.7322143975712624E-2</c:v>
                </c:pt>
                <c:pt idx="3">
                  <c:v>3.9878899382247542E-2</c:v>
                </c:pt>
                <c:pt idx="4">
                  <c:v>4.1041388453889535E-2</c:v>
                </c:pt>
                <c:pt idx="5">
                  <c:v>4.0523792596577859E-2</c:v>
                </c:pt>
                <c:pt idx="6">
                  <c:v>3.8264864968728086E-2</c:v>
                </c:pt>
                <c:pt idx="7">
                  <c:v>3.5264970649552779E-2</c:v>
                </c:pt>
                <c:pt idx="8">
                  <c:v>3.2004477024027977E-2</c:v>
                </c:pt>
                <c:pt idx="9">
                  <c:v>2.8073870896461614E-2</c:v>
                </c:pt>
                <c:pt idx="10">
                  <c:v>2.5099195864997551E-2</c:v>
                </c:pt>
                <c:pt idx="11">
                  <c:v>2.1884337141045471E-2</c:v>
                </c:pt>
                <c:pt idx="12">
                  <c:v>2.0155014555131766E-2</c:v>
                </c:pt>
                <c:pt idx="13">
                  <c:v>1.8095439392047039E-2</c:v>
                </c:pt>
                <c:pt idx="14">
                  <c:v>1.5424596731580312E-2</c:v>
                </c:pt>
                <c:pt idx="15">
                  <c:v>1.4151623161393834E-2</c:v>
                </c:pt>
                <c:pt idx="16">
                  <c:v>1.2674493452592544E-2</c:v>
                </c:pt>
                <c:pt idx="17">
                  <c:v>1.1562442956373034E-2</c:v>
                </c:pt>
                <c:pt idx="18">
                  <c:v>8.8164228001575612E-2</c:v>
                </c:pt>
                <c:pt idx="19">
                  <c:v>3.2108956930260266E-2</c:v>
                </c:pt>
                <c:pt idx="20">
                  <c:v>3.4943124501618836E-2</c:v>
                </c:pt>
                <c:pt idx="21">
                  <c:v>3.8130362100934796E-2</c:v>
                </c:pt>
                <c:pt idx="22">
                  <c:v>3.5591620471336481E-2</c:v>
                </c:pt>
                <c:pt idx="23">
                  <c:v>3.0408456387445118E-2</c:v>
                </c:pt>
                <c:pt idx="24">
                  <c:v>2.1449604657642164E-2</c:v>
                </c:pt>
                <c:pt idx="25">
                  <c:v>2.1713806719378982E-2</c:v>
                </c:pt>
                <c:pt idx="26">
                  <c:v>1.8380057067645336E-2</c:v>
                </c:pt>
                <c:pt idx="27">
                  <c:v>1.5801685128786495E-2</c:v>
                </c:pt>
                <c:pt idx="28">
                  <c:v>1.6422559973868014E-2</c:v>
                </c:pt>
                <c:pt idx="29">
                  <c:v>1.3198093902216415E-2</c:v>
                </c:pt>
                <c:pt idx="30">
                  <c:v>1.2433108841642088E-2</c:v>
                </c:pt>
                <c:pt idx="31">
                  <c:v>1.1162537108380489E-2</c:v>
                </c:pt>
                <c:pt idx="32">
                  <c:v>1.0924755252817355E-2</c:v>
                </c:pt>
                <c:pt idx="33">
                  <c:v>1.0139354578381546E-2</c:v>
                </c:pt>
                <c:pt idx="34">
                  <c:v>1.0620922881820016E-2</c:v>
                </c:pt>
                <c:pt idx="35">
                  <c:v>8.0785784968343786E-3</c:v>
                </c:pt>
                <c:pt idx="36">
                  <c:v>6.2988173354981891E-3</c:v>
                </c:pt>
                <c:pt idx="37">
                  <c:v>6.0141996598998913E-3</c:v>
                </c:pt>
                <c:pt idx="38">
                  <c:v>6.4237128555919565E-3</c:v>
                </c:pt>
                <c:pt idx="39">
                  <c:v>5.0066290699126688E-3</c:v>
                </c:pt>
                <c:pt idx="40">
                  <c:v>4.3497266709579489E-3</c:v>
                </c:pt>
                <c:pt idx="41">
                  <c:v>4.4830286202887969E-3</c:v>
                </c:pt>
                <c:pt idx="42">
                  <c:v>3.8441399982706774E-3</c:v>
                </c:pt>
                <c:pt idx="43">
                  <c:v>4.090328283070893E-3</c:v>
                </c:pt>
                <c:pt idx="44">
                  <c:v>3.2472835224379606E-3</c:v>
                </c:pt>
                <c:pt idx="45">
                  <c:v>3.3673753686819679E-3</c:v>
                </c:pt>
                <c:pt idx="46">
                  <c:v>2.947053906827942E-3</c:v>
                </c:pt>
                <c:pt idx="47">
                  <c:v>2.7933363436356126E-3</c:v>
                </c:pt>
                <c:pt idx="48">
                  <c:v>2.3778185556313468E-3</c:v>
                </c:pt>
                <c:pt idx="49">
                  <c:v>2.3946314141055081E-3</c:v>
                </c:pt>
                <c:pt idx="50">
                  <c:v>1.926273213753879E-3</c:v>
                </c:pt>
                <c:pt idx="51">
                  <c:v>1.7593455474747086E-3</c:v>
                </c:pt>
                <c:pt idx="52">
                  <c:v>1.6104316581321396E-3</c:v>
                </c:pt>
                <c:pt idx="53">
                  <c:v>1.4687232795642107E-3</c:v>
                </c:pt>
                <c:pt idx="54">
                  <c:v>1.3162066348343213E-3</c:v>
                </c:pt>
                <c:pt idx="55">
                  <c:v>1.1708955008790723E-3</c:v>
                </c:pt>
                <c:pt idx="56">
                  <c:v>1.1708955008790723E-3</c:v>
                </c:pt>
                <c:pt idx="57">
                  <c:v>1.1600872347171116E-3</c:v>
                </c:pt>
                <c:pt idx="58">
                  <c:v>9.5112742225253878E-4</c:v>
                </c:pt>
                <c:pt idx="59">
                  <c:v>1.0844293715833869E-3</c:v>
                </c:pt>
                <c:pt idx="60">
                  <c:v>8.3583924985829161E-4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4688"/>
        <c:axId val="128931160"/>
      </c:lineChart>
      <c:catAx>
        <c:axId val="1289346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1160"/>
        <c:crosses val="autoZero"/>
        <c:auto val="1"/>
        <c:lblAlgn val="ctr"/>
        <c:lblOffset val="100"/>
        <c:tickLblSkip val="10"/>
        <c:noMultiLvlLbl val="0"/>
      </c:catAx>
      <c:valAx>
        <c:axId val="1289311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468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5.2146290719061919E-2</c:v>
                </c:pt>
                <c:pt idx="1">
                  <c:v>8.4588131389252585E-2</c:v>
                </c:pt>
                <c:pt idx="2">
                  <c:v>9.3158896183770726E-2</c:v>
                </c:pt>
                <c:pt idx="3">
                  <c:v>9.9096146066588939E-2</c:v>
                </c:pt>
                <c:pt idx="4">
                  <c:v>0.15760963891123325</c:v>
                </c:pt>
                <c:pt idx="5">
                  <c:v>0.10595355900341841</c:v>
                </c:pt>
                <c:pt idx="6">
                  <c:v>9.9579252827036918E-2</c:v>
                </c:pt>
                <c:pt idx="7">
                  <c:v>4.6547439814434169E-2</c:v>
                </c:pt>
                <c:pt idx="8">
                  <c:v>3.8496560844793561E-2</c:v>
                </c:pt>
                <c:pt idx="9">
                  <c:v>3.0977557636269203E-2</c:v>
                </c:pt>
                <c:pt idx="10">
                  <c:v>4.0953301079401275E-2</c:v>
                </c:pt>
                <c:pt idx="11">
                  <c:v>1.1936720534662859E-2</c:v>
                </c:pt>
                <c:pt idx="12">
                  <c:v>2.3958525492174084E-2</c:v>
                </c:pt>
                <c:pt idx="13">
                  <c:v>1.1024714891821885E-2</c:v>
                </c:pt>
                <c:pt idx="14">
                  <c:v>9.4941118926001617E-3</c:v>
                </c:pt>
                <c:pt idx="15">
                  <c:v>1.4205112228725919E-2</c:v>
                </c:pt>
                <c:pt idx="16">
                  <c:v>1.3046370957517563E-2</c:v>
                </c:pt>
                <c:pt idx="17">
                  <c:v>7.6247861193617693E-3</c:v>
                </c:pt>
                <c:pt idx="18">
                  <c:v>6.3883197503428945E-3</c:v>
                </c:pt>
                <c:pt idx="19">
                  <c:v>3.3392104215356887E-3</c:v>
                </c:pt>
                <c:pt idx="20">
                  <c:v>3.6904285062535611E-3</c:v>
                </c:pt>
                <c:pt idx="21">
                  <c:v>2.3599814924849119E-3</c:v>
                </c:pt>
                <c:pt idx="22">
                  <c:v>2.8495040175413851E-3</c:v>
                </c:pt>
                <c:pt idx="23">
                  <c:v>6.0841443173274079E-3</c:v>
                </c:pt>
                <c:pt idx="24">
                  <c:v>5.8286627692899608E-3</c:v>
                </c:pt>
                <c:pt idx="25">
                  <c:v>2.0661629672828661E-3</c:v>
                </c:pt>
                <c:pt idx="26">
                  <c:v>5.5488427161080947E-3</c:v>
                </c:pt>
                <c:pt idx="27">
                  <c:v>1.2193362286474592E-3</c:v>
                </c:pt>
                <c:pt idx="28">
                  <c:v>3.741663609677057E-4</c:v>
                </c:pt>
                <c:pt idx="29">
                  <c:v>6.8134397583786163E-4</c:v>
                </c:pt>
                <c:pt idx="30">
                  <c:v>2.1509212019839728E-4</c:v>
                </c:pt>
                <c:pt idx="31">
                  <c:v>9.8212965757951774E-4</c:v>
                </c:pt>
                <c:pt idx="32">
                  <c:v>8.132027872145511E-4</c:v>
                </c:pt>
                <c:pt idx="33">
                  <c:v>8.068190787764841E-4</c:v>
                </c:pt>
                <c:pt idx="34">
                  <c:v>1.2819671686343003E-3</c:v>
                </c:pt>
                <c:pt idx="35">
                  <c:v>7.3507511268701973E-4</c:v>
                </c:pt>
                <c:pt idx="36">
                  <c:v>1.2529182646009321E-3</c:v>
                </c:pt>
                <c:pt idx="37">
                  <c:v>2.5527080806393265E-4</c:v>
                </c:pt>
                <c:pt idx="38">
                  <c:v>4.0857021423047334E-4</c:v>
                </c:pt>
                <c:pt idx="39">
                  <c:v>7.4819762554532803E-4</c:v>
                </c:pt>
                <c:pt idx="40">
                  <c:v>1.9694839415620424E-4</c:v>
                </c:pt>
                <c:pt idx="41">
                  <c:v>8.5575360772893489E-4</c:v>
                </c:pt>
                <c:pt idx="42">
                  <c:v>2.5537204452163765E-4</c:v>
                </c:pt>
                <c:pt idx="43">
                  <c:v>1.0032606717464531E-3</c:v>
                </c:pt>
                <c:pt idx="44">
                  <c:v>2.4042755236549406E-3</c:v>
                </c:pt>
                <c:pt idx="45">
                  <c:v>0</c:v>
                </c:pt>
                <c:pt idx="46">
                  <c:v>0</c:v>
                </c:pt>
                <c:pt idx="47">
                  <c:v>4.7084229670210171E-4</c:v>
                </c:pt>
                <c:pt idx="48">
                  <c:v>0</c:v>
                </c:pt>
                <c:pt idx="49">
                  <c:v>3.9143545114959612E-4</c:v>
                </c:pt>
                <c:pt idx="50">
                  <c:v>0</c:v>
                </c:pt>
                <c:pt idx="51">
                  <c:v>2.2717147448967487E-4</c:v>
                </c:pt>
                <c:pt idx="52">
                  <c:v>1.0608198941065893E-4</c:v>
                </c:pt>
                <c:pt idx="53">
                  <c:v>4.1418355949091794E-4</c:v>
                </c:pt>
                <c:pt idx="54">
                  <c:v>6.8906259835305292E-4</c:v>
                </c:pt>
                <c:pt idx="55">
                  <c:v>0</c:v>
                </c:pt>
                <c:pt idx="56">
                  <c:v>1.072047547565926E-3</c:v>
                </c:pt>
                <c:pt idx="57">
                  <c:v>3.1768607684895973E-4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0.10168979957996051</c:v>
                </c:pt>
                <c:pt idx="1">
                  <c:v>9.6705498660652534E-2</c:v>
                </c:pt>
                <c:pt idx="2">
                  <c:v>6.7049417220660865E-2</c:v>
                </c:pt>
                <c:pt idx="3">
                  <c:v>4.6071995990042178E-2</c:v>
                </c:pt>
                <c:pt idx="4">
                  <c:v>0.16452145501103996</c:v>
                </c:pt>
                <c:pt idx="5">
                  <c:v>9.2430845295036715E-2</c:v>
                </c:pt>
                <c:pt idx="6">
                  <c:v>9.8347569202613658E-2</c:v>
                </c:pt>
                <c:pt idx="7">
                  <c:v>6.1841143149385901E-2</c:v>
                </c:pt>
                <c:pt idx="8">
                  <c:v>6.6687107710126037E-2</c:v>
                </c:pt>
                <c:pt idx="9">
                  <c:v>3.0245957254664061E-2</c:v>
                </c:pt>
                <c:pt idx="10">
                  <c:v>2.6006037693363987E-2</c:v>
                </c:pt>
                <c:pt idx="11">
                  <c:v>2.7762490246089004E-2</c:v>
                </c:pt>
                <c:pt idx="12">
                  <c:v>1.7900485255200639E-2</c:v>
                </c:pt>
                <c:pt idx="13">
                  <c:v>1.7295637973150771E-2</c:v>
                </c:pt>
                <c:pt idx="14">
                  <c:v>1.4183369334721887E-2</c:v>
                </c:pt>
                <c:pt idx="15">
                  <c:v>1.3123988303091968E-2</c:v>
                </c:pt>
                <c:pt idx="16">
                  <c:v>1.202029172802473E-2</c:v>
                </c:pt>
                <c:pt idx="17">
                  <c:v>9.291891513154231E-3</c:v>
                </c:pt>
                <c:pt idx="18">
                  <c:v>7.2408004824405644E-3</c:v>
                </c:pt>
                <c:pt idx="19">
                  <c:v>4.9998712453805539E-3</c:v>
                </c:pt>
                <c:pt idx="20">
                  <c:v>4.200993746118647E-3</c:v>
                </c:pt>
                <c:pt idx="21">
                  <c:v>3.2907285295683485E-3</c:v>
                </c:pt>
                <c:pt idx="22">
                  <c:v>2.4379537477475428E-3</c:v>
                </c:pt>
                <c:pt idx="23">
                  <c:v>2.5661095084987032E-3</c:v>
                </c:pt>
                <c:pt idx="24">
                  <c:v>1.9133535308409233E-3</c:v>
                </c:pt>
                <c:pt idx="25">
                  <c:v>2.0433058676773805E-3</c:v>
                </c:pt>
                <c:pt idx="26">
                  <c:v>1.4905592921011137E-3</c:v>
                </c:pt>
                <c:pt idx="27">
                  <c:v>1.0444095642524478E-3</c:v>
                </c:pt>
                <c:pt idx="28">
                  <c:v>9.1266065133069395E-4</c:v>
                </c:pt>
                <c:pt idx="29">
                  <c:v>6.6952402112054846E-4</c:v>
                </c:pt>
                <c:pt idx="30">
                  <c:v>5.982598364037817E-4</c:v>
                </c:pt>
                <c:pt idx="31">
                  <c:v>5.3657739080859696E-4</c:v>
                </c:pt>
                <c:pt idx="32">
                  <c:v>4.3237597786139177E-4</c:v>
                </c:pt>
                <c:pt idx="33">
                  <c:v>3.4733804315735073E-4</c:v>
                </c:pt>
                <c:pt idx="34">
                  <c:v>2.8685331495236378E-4</c:v>
                </c:pt>
                <c:pt idx="35">
                  <c:v>2.4134005412484885E-4</c:v>
                </c:pt>
                <c:pt idx="36">
                  <c:v>2.5152065194152982E-4</c:v>
                </c:pt>
                <c:pt idx="37">
                  <c:v>1.9043706504144403E-4</c:v>
                </c:pt>
                <c:pt idx="38">
                  <c:v>2.0181538024832276E-4</c:v>
                </c:pt>
                <c:pt idx="39">
                  <c:v>1.6229070637179663E-4</c:v>
                </c:pt>
                <c:pt idx="40">
                  <c:v>1.1498086945898506E-4</c:v>
                </c:pt>
                <c:pt idx="41">
                  <c:v>9.7015108606018647E-5</c:v>
                </c:pt>
                <c:pt idx="42">
                  <c:v>8.2043641228546634E-5</c:v>
                </c:pt>
                <c:pt idx="43">
                  <c:v>9.2823097740326482E-5</c:v>
                </c:pt>
                <c:pt idx="44">
                  <c:v>6.0484728204986937E-5</c:v>
                </c:pt>
                <c:pt idx="45">
                  <c:v>5.0902989083404848E-5</c:v>
                </c:pt>
                <c:pt idx="46">
                  <c:v>4.2518967352020517E-5</c:v>
                </c:pt>
                <c:pt idx="47">
                  <c:v>3.1140652145141786E-5</c:v>
                </c:pt>
                <c:pt idx="48">
                  <c:v>2.3355489108856341E-5</c:v>
                </c:pt>
                <c:pt idx="49">
                  <c:v>2.3355489108856341E-5</c:v>
                </c:pt>
                <c:pt idx="50">
                  <c:v>1.6768043462768655E-5</c:v>
                </c:pt>
                <c:pt idx="51">
                  <c:v>1.9163478243164179E-5</c:v>
                </c:pt>
                <c:pt idx="52">
                  <c:v>1.8564619548065296E-5</c:v>
                </c:pt>
                <c:pt idx="53">
                  <c:v>1.3773749987274253E-5</c:v>
                </c:pt>
                <c:pt idx="54">
                  <c:v>1.8564619548065296E-5</c:v>
                </c:pt>
                <c:pt idx="55">
                  <c:v>5.3897282558899249E-6</c:v>
                </c:pt>
                <c:pt idx="56">
                  <c:v>9.5817391215820895E-6</c:v>
                </c:pt>
                <c:pt idx="57">
                  <c:v>8.3840217313843275E-6</c:v>
                </c:pt>
                <c:pt idx="58">
                  <c:v>7.7851630362854465E-6</c:v>
                </c:pt>
                <c:pt idx="59">
                  <c:v>5.3897282558899249E-6</c:v>
                </c:pt>
                <c:pt idx="60">
                  <c:v>4.7908695607910448E-6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6256"/>
        <c:axId val="128929984"/>
      </c:lineChart>
      <c:catAx>
        <c:axId val="1289362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29984"/>
        <c:crosses val="autoZero"/>
        <c:auto val="1"/>
        <c:lblAlgn val="ctr"/>
        <c:lblOffset val="100"/>
        <c:tickLblSkip val="10"/>
        <c:noMultiLvlLbl val="0"/>
      </c:catAx>
      <c:valAx>
        <c:axId val="1289299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62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2.1581793258237288E-4</c:v>
                </c:pt>
                <c:pt idx="1">
                  <c:v>1.4132563567125416E-3</c:v>
                </c:pt>
                <c:pt idx="2">
                  <c:v>2.3665349844541146E-3</c:v>
                </c:pt>
                <c:pt idx="3">
                  <c:v>3.8505155145574905E-3</c:v>
                </c:pt>
                <c:pt idx="4">
                  <c:v>9.7282952441512076E-3</c:v>
                </c:pt>
                <c:pt idx="5">
                  <c:v>9.5390850415084764E-3</c:v>
                </c:pt>
                <c:pt idx="6">
                  <c:v>1.2144303975221702E-2</c:v>
                </c:pt>
                <c:pt idx="7">
                  <c:v>1.5088570600175169E-2</c:v>
                </c:pt>
                <c:pt idx="8">
                  <c:v>1.011255491500208E-2</c:v>
                </c:pt>
                <c:pt idx="9">
                  <c:v>2.2877773883781021E-2</c:v>
                </c:pt>
                <c:pt idx="10">
                  <c:v>9.7757986346551241E-3</c:v>
                </c:pt>
                <c:pt idx="11">
                  <c:v>8.3908461239534295E-3</c:v>
                </c:pt>
                <c:pt idx="12">
                  <c:v>2.1122636468141692E-2</c:v>
                </c:pt>
                <c:pt idx="13">
                  <c:v>1.8169286116262166E-2</c:v>
                </c:pt>
                <c:pt idx="14">
                  <c:v>1.0874125460800061E-2</c:v>
                </c:pt>
                <c:pt idx="15">
                  <c:v>7.1022752107275915E-3</c:v>
                </c:pt>
                <c:pt idx="16">
                  <c:v>2.6153394623269103E-2</c:v>
                </c:pt>
                <c:pt idx="17">
                  <c:v>1.4776755773111308E-2</c:v>
                </c:pt>
                <c:pt idx="18">
                  <c:v>4.9758939256356334E-2</c:v>
                </c:pt>
                <c:pt idx="19">
                  <c:v>4.6541534233061031E-2</c:v>
                </c:pt>
                <c:pt idx="20">
                  <c:v>4.8080084961462641E-2</c:v>
                </c:pt>
                <c:pt idx="21">
                  <c:v>4.0009520955167341E-2</c:v>
                </c:pt>
                <c:pt idx="22">
                  <c:v>4.0380317701470728E-2</c:v>
                </c:pt>
                <c:pt idx="23">
                  <c:v>2.978997176834227E-2</c:v>
                </c:pt>
                <c:pt idx="24">
                  <c:v>2.4570242990063117E-2</c:v>
                </c:pt>
                <c:pt idx="25">
                  <c:v>1.8332198973965274E-2</c:v>
                </c:pt>
                <c:pt idx="26">
                  <c:v>4.9616693491331208E-2</c:v>
                </c:pt>
                <c:pt idx="27">
                  <c:v>1.6898734307042976E-2</c:v>
                </c:pt>
                <c:pt idx="28">
                  <c:v>1.3024504653098215E-2</c:v>
                </c:pt>
                <c:pt idx="29">
                  <c:v>2.5409380969636922E-2</c:v>
                </c:pt>
                <c:pt idx="30">
                  <c:v>1.493630255188514E-2</c:v>
                </c:pt>
                <c:pt idx="31">
                  <c:v>1.3923888527900061E-2</c:v>
                </c:pt>
                <c:pt idx="32">
                  <c:v>1.1388583209380881E-2</c:v>
                </c:pt>
                <c:pt idx="33">
                  <c:v>8.13347083249049E-3</c:v>
                </c:pt>
                <c:pt idx="34">
                  <c:v>1.3653760390715405E-2</c:v>
                </c:pt>
                <c:pt idx="35">
                  <c:v>1.1464995484158842E-2</c:v>
                </c:pt>
                <c:pt idx="36">
                  <c:v>1.1400338523483999E-2</c:v>
                </c:pt>
                <c:pt idx="37">
                  <c:v>1.0219081184731646E-2</c:v>
                </c:pt>
                <c:pt idx="38">
                  <c:v>1.0744129637350145E-2</c:v>
                </c:pt>
                <c:pt idx="39">
                  <c:v>2.4418235295627774E-3</c:v>
                </c:pt>
                <c:pt idx="40">
                  <c:v>4.2652655717450071E-3</c:v>
                </c:pt>
                <c:pt idx="41">
                  <c:v>3.134897854676241E-3</c:v>
                </c:pt>
                <c:pt idx="42">
                  <c:v>4.7180767943195701E-3</c:v>
                </c:pt>
                <c:pt idx="43">
                  <c:v>1.9841604293581111E-3</c:v>
                </c:pt>
                <c:pt idx="44">
                  <c:v>1.463641335148848E-3</c:v>
                </c:pt>
                <c:pt idx="45">
                  <c:v>3.1612972011236251E-2</c:v>
                </c:pt>
                <c:pt idx="46">
                  <c:v>4.0569862092052402E-3</c:v>
                </c:pt>
                <c:pt idx="47">
                  <c:v>2.3027316924652207E-3</c:v>
                </c:pt>
                <c:pt idx="48">
                  <c:v>1.0258868647506563E-2</c:v>
                </c:pt>
                <c:pt idx="49">
                  <c:v>4.2547438951988431E-3</c:v>
                </c:pt>
                <c:pt idx="50">
                  <c:v>4.3685189168085967E-4</c:v>
                </c:pt>
                <c:pt idx="51">
                  <c:v>6.4247974550560799E-3</c:v>
                </c:pt>
                <c:pt idx="52">
                  <c:v>2.9171589079648864E-3</c:v>
                </c:pt>
                <c:pt idx="53">
                  <c:v>8.6760200957840912E-4</c:v>
                </c:pt>
                <c:pt idx="54">
                  <c:v>1.3334457617232429E-2</c:v>
                </c:pt>
                <c:pt idx="55">
                  <c:v>1.9601505193139911E-4</c:v>
                </c:pt>
                <c:pt idx="56">
                  <c:v>4.8032291529719511E-3</c:v>
                </c:pt>
                <c:pt idx="57">
                  <c:v>1.1937832617094659E-3</c:v>
                </c:pt>
                <c:pt idx="58">
                  <c:v>2.0820343751435208E-3</c:v>
                </c:pt>
                <c:pt idx="59">
                  <c:v>1.1683095105346925E-2</c:v>
                </c:pt>
                <c:pt idx="60">
                  <c:v>8.8397946532188954E-3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3.3877436381743674E-3</c:v>
                </c:pt>
                <c:pt idx="1">
                  <c:v>1.2371821782047774E-2</c:v>
                </c:pt>
                <c:pt idx="2">
                  <c:v>1.3827647269833153E-2</c:v>
                </c:pt>
                <c:pt idx="3">
                  <c:v>1.5749384822405461E-2</c:v>
                </c:pt>
                <c:pt idx="4">
                  <c:v>1.7200419440630048E-2</c:v>
                </c:pt>
                <c:pt idx="5">
                  <c:v>1.8667623243622304E-2</c:v>
                </c:pt>
                <c:pt idx="6">
                  <c:v>1.9615017699268735E-2</c:v>
                </c:pt>
                <c:pt idx="7">
                  <c:v>2.0764826393858585E-2</c:v>
                </c:pt>
                <c:pt idx="8">
                  <c:v>2.041868606809143E-2</c:v>
                </c:pt>
                <c:pt idx="9">
                  <c:v>1.9721015688301237E-2</c:v>
                </c:pt>
                <c:pt idx="10">
                  <c:v>1.8873630634736318E-2</c:v>
                </c:pt>
                <c:pt idx="11">
                  <c:v>1.8086131450681293E-2</c:v>
                </c:pt>
                <c:pt idx="12">
                  <c:v>1.6702767865002879E-2</c:v>
                </c:pt>
                <c:pt idx="13">
                  <c:v>1.4833729877599271E-2</c:v>
                </c:pt>
                <c:pt idx="14">
                  <c:v>1.3558160857038655E-2</c:v>
                </c:pt>
                <c:pt idx="15">
                  <c:v>1.3923464661048972E-2</c:v>
                </c:pt>
                <c:pt idx="16">
                  <c:v>1.327789498773238E-2</c:v>
                </c:pt>
                <c:pt idx="17">
                  <c:v>1.2145453195300396E-2</c:v>
                </c:pt>
                <c:pt idx="18">
                  <c:v>0.10935279544244579</c:v>
                </c:pt>
                <c:pt idx="19">
                  <c:v>4.3753215122619316E-2</c:v>
                </c:pt>
                <c:pt idx="20">
                  <c:v>4.4752111426044246E-2</c:v>
                </c:pt>
                <c:pt idx="21">
                  <c:v>4.9619036041112848E-2</c:v>
                </c:pt>
                <c:pt idx="22">
                  <c:v>4.7484703651780438E-2</c:v>
                </c:pt>
                <c:pt idx="23">
                  <c:v>4.2334518873930062E-2</c:v>
                </c:pt>
                <c:pt idx="24">
                  <c:v>3.0658570895587191E-2</c:v>
                </c:pt>
                <c:pt idx="25">
                  <c:v>3.4754165511368437E-2</c:v>
                </c:pt>
                <c:pt idx="26">
                  <c:v>3.3055802252068008E-2</c:v>
                </c:pt>
                <c:pt idx="27">
                  <c:v>2.1338533023763311E-2</c:v>
                </c:pt>
                <c:pt idx="28">
                  <c:v>2.3204576717691425E-2</c:v>
                </c:pt>
                <c:pt idx="29">
                  <c:v>1.9293430580000635E-2</c:v>
                </c:pt>
                <c:pt idx="30">
                  <c:v>1.9563515851490229E-2</c:v>
                </c:pt>
                <c:pt idx="31">
                  <c:v>1.8277167374417834E-2</c:v>
                </c:pt>
                <c:pt idx="32">
                  <c:v>1.38551947698077E-2</c:v>
                </c:pt>
                <c:pt idx="33">
                  <c:v>1.4681619769044156E-2</c:v>
                </c:pt>
                <c:pt idx="34">
                  <c:v>1.4630716779960751E-2</c:v>
                </c:pt>
                <c:pt idx="35">
                  <c:v>1.1377117489488532E-2</c:v>
                </c:pt>
                <c:pt idx="36">
                  <c:v>7.1886997759669623E-3</c:v>
                </c:pt>
                <c:pt idx="37">
                  <c:v>7.8306762971129627E-3</c:v>
                </c:pt>
                <c:pt idx="38">
                  <c:v>8.8505326548663551E-3</c:v>
                </c:pt>
                <c:pt idx="39">
                  <c:v>5.4975228210077231E-3</c:v>
                </c:pt>
                <c:pt idx="40">
                  <c:v>5.5364486361891511E-3</c:v>
                </c:pt>
                <c:pt idx="41">
                  <c:v>5.4538061362655052E-3</c:v>
                </c:pt>
                <c:pt idx="42">
                  <c:v>4.5363546153740202E-3</c:v>
                </c:pt>
                <c:pt idx="43">
                  <c:v>4.0135509745526975E-3</c:v>
                </c:pt>
                <c:pt idx="44">
                  <c:v>3.4009185294665428E-3</c:v>
                </c:pt>
                <c:pt idx="45">
                  <c:v>3.6075247792756566E-3</c:v>
                </c:pt>
                <c:pt idx="46">
                  <c:v>2.7787043452588058E-3</c:v>
                </c:pt>
                <c:pt idx="47">
                  <c:v>2.6745029323116004E-3</c:v>
                </c:pt>
                <c:pt idx="48">
                  <c:v>3.0158523885179624E-3</c:v>
                </c:pt>
                <c:pt idx="49">
                  <c:v>2.8643411386579457E-3</c:v>
                </c:pt>
                <c:pt idx="50">
                  <c:v>2.070853367651929E-3</c:v>
                </c:pt>
                <c:pt idx="51">
                  <c:v>1.8271178787466846E-3</c:v>
                </c:pt>
                <c:pt idx="52">
                  <c:v>1.9331158677791864E-3</c:v>
                </c:pt>
                <c:pt idx="53">
                  <c:v>1.4905592921011137E-3</c:v>
                </c:pt>
                <c:pt idx="54">
                  <c:v>1.4576220638706752E-3</c:v>
                </c:pt>
                <c:pt idx="55">
                  <c:v>1.2150842923556286E-3</c:v>
                </c:pt>
                <c:pt idx="56">
                  <c:v>1.5378691290139253E-3</c:v>
                </c:pt>
                <c:pt idx="57">
                  <c:v>1.3282685857293171E-3</c:v>
                </c:pt>
                <c:pt idx="58">
                  <c:v>1.0557878794593264E-3</c:v>
                </c:pt>
                <c:pt idx="59">
                  <c:v>1.1114817381035224E-3</c:v>
                </c:pt>
                <c:pt idx="60">
                  <c:v>1.007879183851416E-3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28808"/>
        <c:axId val="128929200"/>
      </c:lineChart>
      <c:catAx>
        <c:axId val="128928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29200"/>
        <c:crosses val="autoZero"/>
        <c:auto val="1"/>
        <c:lblAlgn val="ctr"/>
        <c:lblOffset val="100"/>
        <c:tickLblSkip val="10"/>
        <c:noMultiLvlLbl val="0"/>
      </c:catAx>
      <c:valAx>
        <c:axId val="1289292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288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B102"/>
  <sheetViews>
    <sheetView tabSelected="1" workbookViewId="0">
      <selection activeCell="Y24" sqref="Y2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27" x14ac:dyDescent="0.25">
      <c r="A1" t="s">
        <v>1</v>
      </c>
    </row>
    <row r="2" spans="1:27" x14ac:dyDescent="0.25">
      <c r="A2" t="s">
        <v>19</v>
      </c>
    </row>
    <row r="3" spans="1:27" x14ac:dyDescent="0.25">
      <c r="A3" t="s">
        <v>20</v>
      </c>
    </row>
    <row r="4" spans="1:27" x14ac:dyDescent="0.25">
      <c r="A4" t="s">
        <v>4</v>
      </c>
    </row>
    <row r="5" spans="1:27" x14ac:dyDescent="0.25">
      <c r="A5" t="s">
        <v>6</v>
      </c>
    </row>
    <row r="7" spans="1:27" x14ac:dyDescent="0.25">
      <c r="A7" t="s">
        <v>9</v>
      </c>
      <c r="T7" t="s">
        <v>23</v>
      </c>
    </row>
    <row r="8" spans="1:27" x14ac:dyDescent="0.25">
      <c r="U8" t="s">
        <v>17</v>
      </c>
      <c r="Y8" t="s">
        <v>13</v>
      </c>
    </row>
    <row ht="15.75" r="9" spans="1:27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5883365.0002111141</v>
      </c>
      <c r="V10" s="6">
        <f>K11</f>
        <v>7.371756103631701</v>
      </c>
      <c r="W10" s="373">
        <f>U10*V10</f>
        <v>43370731.850199401</v>
      </c>
      <c r="Y10" s="373">
        <f>F102</f>
        <v>5754900</v>
      </c>
      <c r="Z10" s="6">
        <f>L11</f>
        <v>7.242984263306834</v>
      </c>
      <c r="AA10" s="373">
        <f>Y10*Z10</f>
        <v>41682650.1369045</v>
      </c>
    </row>
    <row r="11" spans="1:27" x14ac:dyDescent="0.25">
      <c r="A11">
        <v>0</v>
      </c>
      <c r="B11" s="6" t="n">
        <v>224956.8544271912</v>
      </c>
      <c r="C11" s="9">
        <f>B11/B$102</f>
        <v>3.8236086732527902E-2</v>
      </c>
      <c r="E11" s="10">
        <v>0</v>
      </c>
      <c r="F11" s="100" t="n">
        <v>721635.0</v>
      </c>
      <c r="G11" s="9">
        <f>F11/F$102</f>
        <v>0.12405984465412083</v>
      </c>
      <c r="K11" s="6" t="n">
        <v>7.371756103631701</v>
      </c>
      <c r="L11" s="6" t="n">
        <v>6.980301492653478</v>
      </c>
      <c r="S11" t="s">
        <v>42</v>
      </c>
      <c r="T11" t="s">
        <v>27</v>
      </c>
      <c r="U11" s="373">
        <f>TLFD_Work!B102</f>
        <v>2267462.7752703466</v>
      </c>
      <c r="V11" s="6">
        <f>TLFD_Work!K11</f>
        <v>10.388893204831918</v>
      </c>
      <c r="W11" s="373">
        <f ref="W11:W16" si="0" t="shared">U11*V11</f>
        <v>23556428.618215427</v>
      </c>
      <c r="Y11" s="373">
        <f>TLFD_Work!F102</f>
        <v>2466245</v>
      </c>
      <c r="Z11" s="6">
        <f>TLFD_Work!L11</f>
        <v>10.040596390164353</v>
      </c>
      <c r="AA11" s="373">
        <f ref="AA11:AA16" si="1" t="shared">Y11*Z11</f>
        <v>24762570.644260883</v>
      </c>
    </row>
    <row r="12" spans="1:27" x14ac:dyDescent="0.25">
      <c r="A12">
        <v>1</v>
      </c>
      <c r="B12" s="6" t="n">
        <v>342386.5286541552</v>
      </c>
      <c r="C12" s="9">
        <f>B12/B$102</f>
        <v>5.8195697299397414E-2</v>
      </c>
      <c r="E12" s="11">
        <v>1</v>
      </c>
      <c r="F12" s="101" t="n">
        <v>615546.0</v>
      </c>
      <c r="G12" s="9">
        <f>F12/F$102</f>
        <v>0.10572607690837374</v>
      </c>
      <c r="K12" s="6"/>
      <c r="L12" s="370"/>
      <c r="S12" t="s">
        <v>43</v>
      </c>
      <c r="T12" t="s">
        <v>28</v>
      </c>
      <c r="U12" s="373">
        <f>TLFD_School!B102</f>
        <v>871719.52693974599</v>
      </c>
      <c r="V12" s="6">
        <f>TLFD_School!K11</f>
        <v>6.0348967635956425</v>
      </c>
      <c r="W12" s="373">
        <f si="0" t="shared"/>
        <v>5260737.351891798</v>
      </c>
      <c r="Y12" s="373">
        <f>TLFD_School!F102</f>
        <v>824894</v>
      </c>
      <c r="Z12" s="6">
        <f>TLFD_School!L11</f>
        <v>4.8252990017057815</v>
      </c>
      <c r="AA12" s="373">
        <f si="1" t="shared"/>
        <v>3980360.1947130891</v>
      </c>
    </row>
    <row r="13" spans="1:27" x14ac:dyDescent="0.25">
      <c r="A13">
        <v>2</v>
      </c>
      <c r="B13" s="6" t="n">
        <v>417078.9816587072</v>
      </c>
      <c r="C13" s="9">
        <f ref="C13:C76" si="2" t="shared">B13/B$102</f>
        <v>7.0891230043307024E-2</v>
      </c>
      <c r="E13" s="12">
        <v>2</v>
      </c>
      <c r="F13" s="102" t="n">
        <v>383935.0</v>
      </c>
      <c r="G13" s="9">
        <f ref="G13:G76" si="3" t="shared">F13/F$102</f>
        <v>6.5665432935411563E-2</v>
      </c>
      <c r="S13" t="s">
        <v>44</v>
      </c>
      <c r="T13" t="s">
        <v>29</v>
      </c>
      <c r="U13" s="373">
        <f>TLFD_Escort!B102</f>
        <v>1243423.8409518562</v>
      </c>
      <c r="V13" s="6">
        <f>TLFD_Escort!K11</f>
        <v>6.8939569474179567</v>
      </c>
      <c r="W13" s="373">
        <f si="0" t="shared"/>
        <v>8572110.4269151688</v>
      </c>
      <c r="Y13" s="373">
        <f>TLFD_Escort!F102</f>
        <v>1194764</v>
      </c>
      <c r="Z13" s="6">
        <f>TLFD_Escort!L11</f>
        <v>6.0905681807702514</v>
      </c>
      <c r="AA13" s="373">
        <f si="1" t="shared"/>
        <v>7276791.6019297885</v>
      </c>
    </row>
    <row r="14" spans="1:27" x14ac:dyDescent="0.25">
      <c r="A14">
        <v>3</v>
      </c>
      <c r="B14" s="6" t="n">
        <v>572291.9908904072</v>
      </c>
      <c r="C14" s="9">
        <f si="2" t="shared"/>
        <v>9.7272902644978093E-2</v>
      </c>
      <c r="E14" s="13">
        <v>3</v>
      </c>
      <c r="F14" s="103" t="n">
        <v>244903.0</v>
      </c>
      <c r="G14" s="9">
        <f si="3" t="shared"/>
        <v>4.1710542320457351E-2</v>
      </c>
      <c r="S14" t="s">
        <v>45</v>
      </c>
      <c r="T14" t="s">
        <v>30</v>
      </c>
      <c r="U14" s="373">
        <f>TLFD_PerBus!B102</f>
        <v>1836353.6347289735</v>
      </c>
      <c r="V14" s="6">
        <f>TLFD_PerBus!K11</f>
        <v>7.1866380900758235</v>
      </c>
      <c r="W14" s="373">
        <f si="0" t="shared"/>
        <v>13197208.978192426</v>
      </c>
      <c r="Y14" s="373">
        <f>TLFD_PerBus!F102</f>
        <v>1765368</v>
      </c>
      <c r="Z14" s="6">
        <f>TLFD_PerBus!L11</f>
        <v>5.800627439089741</v>
      </c>
      <c r="AA14" s="373">
        <f si="1" t="shared"/>
        <v>10240242.060890978</v>
      </c>
    </row>
    <row r="15" spans="1:27" x14ac:dyDescent="0.25">
      <c r="A15">
        <v>4</v>
      </c>
      <c r="B15" s="6" t="n">
        <v>993451.0432055457</v>
      </c>
      <c r="C15" s="9">
        <f si="2" t="shared"/>
        <v>0.16885762538443519</v>
      </c>
      <c r="E15" s="14">
        <v>4</v>
      </c>
      <c r="F15" s="104" t="n">
        <v>830520.0</v>
      </c>
      <c r="G15" s="9">
        <f si="3" t="shared"/>
        <v>0.14224365323463484</v>
      </c>
      <c r="S15" t="s">
        <v>46</v>
      </c>
      <c r="T15" t="s">
        <v>31</v>
      </c>
      <c r="U15" s="373">
        <f>TLFD_Shop!B102</f>
        <v>2029939.8207113619</v>
      </c>
      <c r="V15" s="6">
        <f>TLFD_Shop!K11</f>
        <v>5.9155464547576937</v>
      </c>
      <c r="W15" s="373">
        <f si="0" t="shared"/>
        <v>12008203.309780566</v>
      </c>
      <c r="Y15" s="373">
        <f>TLFD_Shop!F102</f>
        <v>1964418</v>
      </c>
      <c r="Z15" s="6">
        <f>TLFD_Shop!L11</f>
        <v>5.3952124371770003</v>
      </c>
      <c r="AA15" s="373">
        <f si="1" t="shared"/>
        <v>10598452.425414369</v>
      </c>
    </row>
    <row r="16" spans="1:27" x14ac:dyDescent="0.25">
      <c r="A16">
        <v>5</v>
      </c>
      <c r="B16" s="6" t="n">
        <v>595252.5438308496</v>
      </c>
      <c r="C16" s="9">
        <f si="2" t="shared"/>
        <v>0.1011755251985029</v>
      </c>
      <c r="E16" s="15">
        <v>5</v>
      </c>
      <c r="F16" s="105" t="n">
        <v>466164.0</v>
      </c>
      <c r="G16" s="9">
        <f si="3" t="shared"/>
        <v>7.96389164016751E-2</v>
      </c>
      <c r="S16" t="s">
        <v>34</v>
      </c>
      <c r="T16" t="s">
        <v>48</v>
      </c>
      <c r="U16" s="6">
        <f>TLFD_Meal!B102</f>
        <v>827729.88400841015</v>
      </c>
      <c r="V16" s="6">
        <f>TLFD_Meal!K11</f>
        <v>5.1336132323735608</v>
      </c>
      <c r="W16" s="373">
        <f si="0" t="shared"/>
        <v>4249245.0853766073</v>
      </c>
      <c r="Y16" s="6">
        <f>TLFD_Meal!F102</f>
        <v>832696</v>
      </c>
      <c r="Z16" s="6">
        <f>TLFD_Meal!L11</f>
        <v>5.1426873088616558</v>
      </c>
      <c r="AA16" s="373">
        <f si="1" t="shared"/>
        <v>4282295.1513398653</v>
      </c>
    </row>
    <row r="17" spans="1:28" x14ac:dyDescent="0.25">
      <c r="A17">
        <v>6</v>
      </c>
      <c r="B17" s="6" t="n">
        <v>664889.5903124817</v>
      </c>
      <c r="C17" s="9">
        <f si="2" t="shared"/>
        <v>0.11301178667116919</v>
      </c>
      <c r="E17" s="16">
        <v>6</v>
      </c>
      <c r="F17" s="106" t="n">
        <v>475673.0</v>
      </c>
      <c r="G17" s="9">
        <f si="3" t="shared"/>
        <v>8.4467323498236282E-2</v>
      </c>
      <c r="S17" t="s">
        <v>47</v>
      </c>
      <c r="T17" t="s">
        <v>32</v>
      </c>
      <c r="U17" s="373">
        <f>TLFD_SocRec!B102</f>
        <v>1706527.5604909635</v>
      </c>
      <c r="V17" s="6">
        <f>TLFD_SocRec!K11</f>
        <v>6.8425498388975505</v>
      </c>
      <c r="W17" s="373">
        <f>U17*V17</f>
        <v>11676999.884111673</v>
      </c>
      <c r="Y17" s="373">
        <f>TLFD_SocRec!F102</f>
        <v>1669843</v>
      </c>
      <c r="Z17" s="6">
        <f>TLFD_SocRec!L11</f>
        <v>6.3654661607623177</v>
      </c>
      <c r="AA17" s="373">
        <f>Y17*Z17</f>
        <v>10629329.110285832</v>
      </c>
    </row>
    <row r="18" spans="1:28" x14ac:dyDescent="0.25">
      <c r="A18">
        <v>7</v>
      </c>
      <c r="B18" s="6" t="n">
        <v>286937.5317732772</v>
      </c>
      <c r="C18" s="9">
        <f si="2" t="shared"/>
        <v>4.8770989350988926E-2</v>
      </c>
      <c r="E18" s="17">
        <v>7</v>
      </c>
      <c r="F18" s="107" t="n">
        <v>293191.0</v>
      </c>
      <c r="G18" s="9">
        <f si="3" t="shared"/>
        <v>4.9084779926671186E-2</v>
      </c>
      <c r="T18" s="375" t="s">
        <v>35</v>
      </c>
      <c r="U18" s="376">
        <f>SUM(U10:U15)+U17</f>
        <v>15838792.159304362</v>
      </c>
      <c r="V18" s="377">
        <f>W18/U18</f>
        <v>7.4274868459712966</v>
      </c>
      <c r="W18" s="376">
        <f>SUM(W10:W15)+W17</f>
        <v>117642420.41930646</v>
      </c>
      <c r="X18" s="375"/>
      <c r="Y18" s="376">
        <f>SUM(Y10:Y15)+Y17</f>
        <v>15640432</v>
      </c>
      <c r="Z18" s="377">
        <f>AA18/Y18</f>
        <v>6.9800115607036579</v>
      </c>
      <c r="AA18" s="376">
        <f>SUM(AA10:AA15)+AA17</f>
        <v>109170396.17439944</v>
      </c>
      <c r="AB18" t="s">
        <v>38</v>
      </c>
    </row>
    <row r="19" spans="1:28" x14ac:dyDescent="0.25">
      <c r="A19">
        <v>8</v>
      </c>
      <c r="B19" s="6" t="n">
        <v>312170.6787957893</v>
      </c>
      <c r="C19" s="9">
        <f si="2" t="shared"/>
        <v>5.3059886439917908E-2</v>
      </c>
      <c r="E19" s="18">
        <v>8</v>
      </c>
      <c r="F19" s="108" t="n">
        <v>313348.0</v>
      </c>
      <c r="G19" s="9">
        <f si="3" t="shared"/>
        <v>4.9941788736554936E-2</v>
      </c>
      <c r="S19" s="375" t="s">
        <v>36</v>
      </c>
      <c r="U19" s="378">
        <f>U18+U16</f>
        <v>16666522.043312771</v>
      </c>
      <c r="V19" s="377">
        <f>W19/U19</f>
        <v>7.3135633930049933</v>
      </c>
      <c r="W19" s="379">
        <f>W18+W16</f>
        <v>121891665.50468306</v>
      </c>
      <c r="X19" s="375"/>
      <c r="Y19" s="378">
        <f>Y18+Y16</f>
        <v>16473128</v>
      </c>
      <c r="Z19" s="377">
        <f>AA19/Y19</f>
        <v>6.8871371196617481</v>
      </c>
      <c r="AA19" s="379">
        <f>AA18+AA16</f>
        <v>113452691.32573929</v>
      </c>
      <c r="AB19" t="s">
        <v>37</v>
      </c>
    </row>
    <row r="20" spans="1:28" x14ac:dyDescent="0.25">
      <c r="A20">
        <v>9</v>
      </c>
      <c r="B20" s="6" t="n">
        <v>161831.5634316459</v>
      </c>
      <c r="C20" s="9">
        <f si="2" t="shared"/>
        <v>2.7506633266139165E-2</v>
      </c>
      <c r="E20" s="19">
        <v>9</v>
      </c>
      <c r="F20" s="109" t="n">
        <v>161239.0</v>
      </c>
      <c r="G20" s="9">
        <f si="3" t="shared"/>
        <v>2.6782741663625778E-2</v>
      </c>
    </row>
    <row r="21" spans="1:28" x14ac:dyDescent="0.25">
      <c r="A21">
        <v>10</v>
      </c>
      <c r="B21" s="6" t="n">
        <v>303426.1524707331</v>
      </c>
      <c r="C21" s="9">
        <f si="2" t="shared"/>
        <v>5.1573572684993227E-2</v>
      </c>
      <c r="E21" s="20">
        <v>10</v>
      </c>
      <c r="F21" s="110" t="n">
        <v>135796.0</v>
      </c>
      <c r="G21" s="9">
        <f si="3" t="shared"/>
        <v>2.5674642478583469E-2</v>
      </c>
    </row>
    <row r="22" spans="1:28" x14ac:dyDescent="0.25">
      <c r="A22">
        <v>11</v>
      </c>
      <c r="B22" s="6" t="n">
        <v>107277.2810151207</v>
      </c>
      <c r="C22" s="9">
        <f si="2" t="shared"/>
        <v>1.8234000612110796E-2</v>
      </c>
      <c r="E22" s="21">
        <v>11</v>
      </c>
      <c r="F22" s="111" t="n">
        <v>157297.0</v>
      </c>
      <c r="G22" s="9">
        <f si="3" t="shared"/>
        <v>2.5230499226745903E-2</v>
      </c>
    </row>
    <row r="23" spans="1:28" x14ac:dyDescent="0.25">
      <c r="A23">
        <v>12</v>
      </c>
      <c r="B23" s="6" t="n">
        <v>68941.0940805081</v>
      </c>
      <c r="C23" s="9">
        <f si="2" t="shared"/>
        <v>1.1717969916541686E-2</v>
      </c>
      <c r="E23" s="22">
        <v>12</v>
      </c>
      <c r="F23" s="112" t="n">
        <v>136832.0</v>
      </c>
      <c r="G23" s="9">
        <f si="3" t="shared"/>
        <v>2.2953135588802586E-2</v>
      </c>
    </row>
    <row r="24" spans="1:28" x14ac:dyDescent="0.25">
      <c r="A24">
        <v>13</v>
      </c>
      <c r="B24" s="6" t="n">
        <v>67934.8487846541</v>
      </c>
      <c r="C24" s="9">
        <f si="2" t="shared"/>
        <v>1.1546937642355417E-2</v>
      </c>
      <c r="E24" s="23">
        <v>13</v>
      </c>
      <c r="F24" s="113" t="n">
        <v>106905.0</v>
      </c>
      <c r="G24" s="9">
        <f si="3" t="shared"/>
        <v>1.8272081182991885E-2</v>
      </c>
    </row>
    <row r="25" spans="1:28" x14ac:dyDescent="0.25">
      <c r="A25">
        <v>14</v>
      </c>
      <c r="B25" s="6" t="n">
        <v>79263.6666798205</v>
      </c>
      <c r="C25" s="9">
        <f si="2" t="shared"/>
        <v>1.3472505390533523E-2</v>
      </c>
      <c r="E25" s="24">
        <v>14</v>
      </c>
      <c r="F25" s="114" t="n">
        <v>91040.0</v>
      </c>
      <c r="G25" s="9">
        <f si="3" t="shared"/>
        <v>1.5947627239395992E-2</v>
      </c>
    </row>
    <row r="26" spans="1:28" x14ac:dyDescent="0.25">
      <c r="A26">
        <v>15</v>
      </c>
      <c r="B26" s="6" t="n">
        <v>68297.1959524934</v>
      </c>
      <c r="C26" s="9">
        <f si="2" t="shared"/>
        <v>1.1608526064597842E-2</v>
      </c>
      <c r="E26" s="25">
        <v>15</v>
      </c>
      <c r="F26" s="115" t="n">
        <v>96793.0</v>
      </c>
      <c r="G26" s="9">
        <f si="3" t="shared"/>
        <v>1.6206710802967907E-2</v>
      </c>
    </row>
    <row r="27" spans="1:28" x14ac:dyDescent="0.25">
      <c r="A27">
        <v>16</v>
      </c>
      <c r="B27" s="6" t="n">
        <v>104819.5152228798</v>
      </c>
      <c r="C27" s="9">
        <f si="2" t="shared"/>
        <v>1.7816252301041755E-2</v>
      </c>
      <c r="E27" s="26">
        <v>16</v>
      </c>
      <c r="F27" s="116" t="n">
        <v>93165.0</v>
      </c>
      <c r="G27" s="9">
        <f si="3" t="shared"/>
        <v>1.7297085961528437E-2</v>
      </c>
    </row>
    <row r="28" spans="1:28" x14ac:dyDescent="0.25">
      <c r="A28">
        <v>17</v>
      </c>
      <c r="B28" s="6" t="n">
        <v>71057.2946511975</v>
      </c>
      <c r="C28" s="9">
        <f si="2" t="shared"/>
        <v>1.2077662128500907E-2</v>
      </c>
      <c r="E28" s="27">
        <v>17</v>
      </c>
      <c r="F28" s="117" t="n">
        <v>61705.0</v>
      </c>
      <c r="G28" s="9">
        <f si="3" t="shared"/>
        <v>1.0550834940659264E-2</v>
      </c>
    </row>
    <row r="29" spans="1:28" x14ac:dyDescent="0.25">
      <c r="A29">
        <v>18</v>
      </c>
      <c r="B29" s="6" t="n">
        <v>62294.8413564175</v>
      </c>
      <c r="C29" s="9">
        <f si="2" t="shared"/>
        <v>1.0588301312970071E-2</v>
      </c>
      <c r="E29" s="28">
        <v>18</v>
      </c>
      <c r="F29" s="118" t="n">
        <v>56667.0</v>
      </c>
      <c r="G29" s="9">
        <f si="3" t="shared"/>
        <v>9.7993014648386587E-3</v>
      </c>
    </row>
    <row r="30" spans="1:28" x14ac:dyDescent="0.25">
      <c r="A30">
        <v>19</v>
      </c>
      <c r="B30" s="6" t="n">
        <v>31455.8747062833</v>
      </c>
      <c r="C30" s="9">
        <f si="2" t="shared"/>
        <v>5.3465788209901242E-3</v>
      </c>
      <c r="E30" s="29">
        <v>19</v>
      </c>
      <c r="F30" s="119" t="n">
        <v>41852.0</v>
      </c>
      <c r="G30" s="9">
        <f si="3" t="shared"/>
        <v>7.5224591217918644E-3</v>
      </c>
    </row>
    <row r="31" spans="1:28" x14ac:dyDescent="0.25">
      <c r="A31">
        <v>20</v>
      </c>
      <c r="B31" s="6" t="n">
        <v>31251.3498934255</v>
      </c>
      <c r="C31" s="9">
        <f si="2" t="shared"/>
        <v>5.3118155838205007E-3</v>
      </c>
      <c r="E31" s="30">
        <v>20</v>
      </c>
      <c r="F31" s="120" t="n">
        <v>35339.0</v>
      </c>
      <c r="G31" s="9">
        <f si="3" t="shared"/>
        <v>6.8791812194825283E-3</v>
      </c>
    </row>
    <row r="32" spans="1:28" x14ac:dyDescent="0.25">
      <c r="A32">
        <v>21</v>
      </c>
      <c r="B32" s="6" t="n">
        <v>30265.1183943176</v>
      </c>
      <c r="C32" s="9">
        <f si="2" t="shared"/>
        <v>5.1441850698081097E-3</v>
      </c>
      <c r="E32" s="31">
        <v>21</v>
      </c>
      <c r="F32" s="121" t="n">
        <v>35671.0</v>
      </c>
      <c r="G32" s="9">
        <f si="3" t="shared"/>
        <v>6.3716137552346699E-3</v>
      </c>
    </row>
    <row r="33" spans="1:7" x14ac:dyDescent="0.25">
      <c r="A33">
        <v>22</v>
      </c>
      <c r="B33" s="6" t="n">
        <v>27895.2779775489</v>
      </c>
      <c r="C33" s="9">
        <f si="2" t="shared"/>
        <v>4.7413815013258448E-3</v>
      </c>
      <c r="E33" s="32">
        <v>22</v>
      </c>
      <c r="F33" s="122" t="n">
        <v>26137.0</v>
      </c>
      <c r="G33" s="9">
        <f si="3" t="shared"/>
        <v>5.2254600427461819E-3</v>
      </c>
    </row>
    <row r="34" spans="1:7" x14ac:dyDescent="0.25">
      <c r="A34">
        <v>23</v>
      </c>
      <c r="B34" s="6" t="n">
        <v>41273.0501026813</v>
      </c>
      <c r="C34" s="9">
        <f si="2" t="shared"/>
        <v>7.0152115500568624E-3</v>
      </c>
      <c r="E34" s="33">
        <v>23</v>
      </c>
      <c r="F34" s="123" t="n">
        <v>26465.0</v>
      </c>
      <c r="G34" s="9">
        <f si="3" t="shared"/>
        <v>5.0386627048254534E-3</v>
      </c>
    </row>
    <row r="35" spans="1:7" x14ac:dyDescent="0.25">
      <c r="A35">
        <v>24</v>
      </c>
      <c r="B35" s="6" t="n">
        <v>36024.7453518698</v>
      </c>
      <c r="C35" s="9">
        <f si="2" t="shared"/>
        <v>6.1231532210864218E-3</v>
      </c>
      <c r="E35" s="34">
        <v>24</v>
      </c>
      <c r="F35" s="124" t="n">
        <v>24324.0</v>
      </c>
      <c r="G35" s="9">
        <f si="3" t="shared"/>
        <v>4.7519505117378236E-3</v>
      </c>
    </row>
    <row r="36" spans="1:7" x14ac:dyDescent="0.25">
      <c r="A36">
        <v>25</v>
      </c>
      <c r="B36" s="6" t="n">
        <v>14997.5998395905</v>
      </c>
      <c r="C36" s="9">
        <f si="2" t="shared"/>
        <v>2.5491533907980109E-3</v>
      </c>
      <c r="E36" s="35">
        <v>25</v>
      </c>
      <c r="F36" s="125" t="n">
        <v>20356.0</v>
      </c>
      <c r="G36" s="9">
        <f si="3" t="shared"/>
        <v>4.1102364941180561E-3</v>
      </c>
    </row>
    <row r="37" spans="1:7" x14ac:dyDescent="0.25">
      <c r="A37">
        <v>26</v>
      </c>
      <c r="B37" s="6" t="n">
        <v>23789.6408653907</v>
      </c>
      <c r="C37" s="9">
        <f si="2" t="shared"/>
        <v>4.0435432553542145E-3</v>
      </c>
      <c r="E37" s="36">
        <v>26</v>
      </c>
      <c r="F37" s="126" t="n">
        <v>19932.0</v>
      </c>
      <c r="G37" s="9">
        <f si="3" t="shared"/>
        <v>4.0106691688821701E-3</v>
      </c>
    </row>
    <row r="38" spans="1:7" x14ac:dyDescent="0.25">
      <c r="A38">
        <v>27</v>
      </c>
      <c r="B38" s="6" t="n">
        <v>10168.2846509222</v>
      </c>
      <c r="C38" s="9">
        <f si="2" t="shared"/>
        <v>1.728311034681229E-3</v>
      </c>
      <c r="E38" s="37">
        <v>27</v>
      </c>
      <c r="F38" s="127" t="n">
        <v>13932.0</v>
      </c>
      <c r="G38" s="9">
        <f si="3" t="shared"/>
        <v>2.8438374254982708E-3</v>
      </c>
    </row>
    <row r="39" spans="1:7" x14ac:dyDescent="0.25">
      <c r="A39">
        <v>28</v>
      </c>
      <c r="B39" s="6" t="n">
        <v>12739.6178297624</v>
      </c>
      <c r="C39" s="9">
        <f si="2" t="shared"/>
        <v>2.1653624803671472E-3</v>
      </c>
      <c r="E39" s="38">
        <v>28</v>
      </c>
      <c r="F39" s="128" t="n">
        <v>14598.0</v>
      </c>
      <c r="G39" s="9">
        <f si="3" t="shared"/>
        <v>2.9833706928009173E-3</v>
      </c>
    </row>
    <row r="40" spans="1:7" x14ac:dyDescent="0.25">
      <c r="A40">
        <v>29</v>
      </c>
      <c r="B40" s="6" t="n">
        <v>5811.7859794846</v>
      </c>
      <c r="C40" s="9">
        <f si="2" t="shared"/>
        <v>9.878336596957785E-4</v>
      </c>
      <c r="E40" s="39">
        <v>29</v>
      </c>
      <c r="F40" s="129" t="n">
        <v>11421.0</v>
      </c>
      <c r="G40" s="9">
        <f si="3" t="shared"/>
        <v>2.0778814575405308E-3</v>
      </c>
    </row>
    <row r="41" spans="1:7" x14ac:dyDescent="0.25">
      <c r="A41">
        <v>30</v>
      </c>
      <c r="B41" s="6" t="n">
        <v>9598.932142384</v>
      </c>
      <c r="C41" s="9">
        <f si="2" t="shared"/>
        <v>1.6315377580754481E-3</v>
      </c>
      <c r="E41" s="40">
        <v>30</v>
      </c>
      <c r="F41" s="130" t="n">
        <v>8868.0</v>
      </c>
      <c r="G41" s="9">
        <f si="3" t="shared"/>
        <v>1.9046377869293993E-3</v>
      </c>
    </row>
    <row r="42" spans="1:7" x14ac:dyDescent="0.25">
      <c r="A42">
        <v>31</v>
      </c>
      <c r="B42" s="6" t="n">
        <v>3587.2195580972</v>
      </c>
      <c r="C42" s="9">
        <f si="2" t="shared"/>
        <v>6.0972242211191708E-4</v>
      </c>
      <c r="E42" s="41">
        <v>31</v>
      </c>
      <c r="F42" s="131" t="n">
        <v>7649.0</v>
      </c>
      <c r="G42" s="9">
        <f si="3" t="shared"/>
        <v>1.7027228970095049E-3</v>
      </c>
    </row>
    <row r="43" spans="1:7" x14ac:dyDescent="0.25">
      <c r="A43">
        <v>32</v>
      </c>
      <c r="B43" s="6" t="n">
        <v>5179.8691213308</v>
      </c>
      <c r="C43" s="9">
        <f si="2" t="shared"/>
        <v>8.8042627325432467E-4</v>
      </c>
      <c r="E43" s="42">
        <v>32</v>
      </c>
      <c r="F43" s="132" t="n">
        <v>7280.0</v>
      </c>
      <c r="G43" s="9">
        <f si="3" t="shared"/>
        <v>1.6667535491494206E-3</v>
      </c>
    </row>
    <row r="44" spans="1:7" x14ac:dyDescent="0.25">
      <c r="A44">
        <v>33</v>
      </c>
      <c r="B44" s="6" t="n">
        <v>7294.8721683682</v>
      </c>
      <c r="C44" s="9">
        <f si="2" t="shared"/>
        <v>1.2399149412124586E-3</v>
      </c>
      <c r="E44" s="43">
        <v>33</v>
      </c>
      <c r="F44" s="133" t="n">
        <v>5068.0</v>
      </c>
      <c r="G44" s="9">
        <f si="3" t="shared"/>
        <v>1.1494552468331335E-3</v>
      </c>
    </row>
    <row r="45" spans="1:7" x14ac:dyDescent="0.25">
      <c r="A45">
        <v>34</v>
      </c>
      <c r="B45" s="6" t="n">
        <v>7902.7951278496</v>
      </c>
      <c r="C45" s="9">
        <f si="2" t="shared"/>
        <v>1.3432440665445749E-3</v>
      </c>
      <c r="E45" s="44">
        <v>34</v>
      </c>
      <c r="F45" s="134" t="n">
        <v>4773.0</v>
      </c>
      <c r="G45" s="9">
        <f si="3" t="shared"/>
        <v>1.0898538636640082E-3</v>
      </c>
    </row>
    <row r="46" spans="1:7" x14ac:dyDescent="0.25">
      <c r="A46">
        <v>35</v>
      </c>
      <c r="B46" s="6" t="n">
        <v>2861.0567208448</v>
      </c>
      <c r="C46" s="9">
        <f si="2" t="shared"/>
        <v>4.8629597530361216E-4</v>
      </c>
      <c r="E46" s="45">
        <v>35</v>
      </c>
      <c r="F46" s="135" t="n">
        <v>4146.0</v>
      </c>
      <c r="G46" s="9">
        <f si="3" t="shared"/>
        <v>9.5466472049905303E-4</v>
      </c>
    </row>
    <row r="47" spans="1:7" x14ac:dyDescent="0.25">
      <c r="A47">
        <v>36</v>
      </c>
      <c r="B47" s="6" t="n">
        <v>4640.3094541366</v>
      </c>
      <c r="C47" s="9">
        <f si="2" t="shared"/>
        <v>7.887169084308199E-4</v>
      </c>
      <c r="E47" s="46">
        <v>36</v>
      </c>
      <c r="F47" s="136" t="n">
        <v>4520.0</v>
      </c>
      <c r="G47" s="9">
        <f si="3" t="shared"/>
        <v>1.1319049853168604E-3</v>
      </c>
    </row>
    <row r="48" spans="1:7" x14ac:dyDescent="0.25">
      <c r="A48">
        <v>37</v>
      </c>
      <c r="B48" s="6" t="n">
        <v>4062.3644320802</v>
      </c>
      <c r="C48" s="9">
        <f si="2" t="shared"/>
        <v>6.904831558018973E-4</v>
      </c>
      <c r="E48" s="47">
        <v>37</v>
      </c>
      <c r="F48" s="137" t="n">
        <v>3450.0</v>
      </c>
      <c r="G48" s="9">
        <f si="3" t="shared"/>
        <v>8.2138699195468214E-4</v>
      </c>
    </row>
    <row r="49" spans="1:7" x14ac:dyDescent="0.25">
      <c r="A49">
        <v>38</v>
      </c>
      <c r="B49" s="6" t="n">
        <v>6321.6633596991</v>
      </c>
      <c r="C49" s="9">
        <f si="2" t="shared"/>
        <v>1.0744979037459444E-3</v>
      </c>
      <c r="E49" s="48">
        <v>38</v>
      </c>
      <c r="F49" s="138" t="n">
        <v>3780.0</v>
      </c>
      <c r="G49" s="9">
        <f si="3" t="shared"/>
        <v>9.676970929121271E-4</v>
      </c>
    </row>
    <row r="50" spans="1:7" x14ac:dyDescent="0.25">
      <c r="A50">
        <v>39</v>
      </c>
      <c r="B50" s="6" t="n">
        <v>4704.9573045598</v>
      </c>
      <c r="C50" s="9">
        <f si="2" t="shared"/>
        <v>7.997051524749817E-4</v>
      </c>
      <c r="E50" s="49">
        <v>39</v>
      </c>
      <c r="F50" s="139" t="n">
        <v>2827.0</v>
      </c>
      <c r="G50" s="9">
        <f si="3" t="shared"/>
        <v>7.5344489044118924E-4</v>
      </c>
    </row>
    <row r="51" spans="1:7" x14ac:dyDescent="0.25">
      <c r="A51">
        <v>40</v>
      </c>
      <c r="B51" s="6" t="n">
        <v>2537.7153002963</v>
      </c>
      <c r="C51" s="9">
        <f si="2" t="shared"/>
        <v>4.3133738943703791E-4</v>
      </c>
      <c r="E51" s="50">
        <v>40</v>
      </c>
      <c r="F51" s="140" t="n">
        <v>2154.0</v>
      </c>
      <c r="G51" s="9">
        <f si="3" t="shared"/>
        <v>5.749882708648282E-4</v>
      </c>
    </row>
    <row r="52" spans="1:7" x14ac:dyDescent="0.25">
      <c r="A52">
        <v>41</v>
      </c>
      <c r="B52" s="6" t="n">
        <v>3990.2261728135</v>
      </c>
      <c r="C52" s="9">
        <f si="2" t="shared"/>
        <v>6.7822176129992242E-4</v>
      </c>
      <c r="E52" s="51">
        <v>41</v>
      </c>
      <c r="F52" s="141" t="n">
        <v>1892.0</v>
      </c>
      <c r="G52" s="9">
        <f si="3" t="shared"/>
        <v>4.9696780135189138E-4</v>
      </c>
    </row>
    <row r="53" spans="1:7" x14ac:dyDescent="0.25">
      <c r="A53">
        <v>42</v>
      </c>
      <c r="B53" s="6" t="n">
        <v>1655.8316529626002</v>
      </c>
      <c r="C53" s="9">
        <f si="2" t="shared"/>
        <v>2.8144295873249131E-4</v>
      </c>
      <c r="E53" s="52">
        <v>42</v>
      </c>
      <c r="F53" s="142" t="n">
        <v>1742.0</v>
      </c>
      <c r="G53" s="9">
        <f si="3" t="shared"/>
        <v>4.4379572190654922E-4</v>
      </c>
    </row>
    <row r="54" spans="1:7" x14ac:dyDescent="0.25">
      <c r="A54">
        <v>43</v>
      </c>
      <c r="B54" s="6" t="n">
        <v>3973.8912322720003</v>
      </c>
      <c r="C54" s="9">
        <f si="2" t="shared"/>
        <v>6.7544529909828888E-4</v>
      </c>
      <c r="E54" s="53">
        <v>43</v>
      </c>
      <c r="F54" s="143" t="n">
        <v>1379.0</v>
      </c>
      <c r="G54" s="9">
        <f si="3" t="shared"/>
        <v>3.7359467584145684E-4</v>
      </c>
    </row>
    <row r="55" spans="1:7" x14ac:dyDescent="0.25">
      <c r="A55">
        <v>44</v>
      </c>
      <c r="B55" s="6" t="n">
        <v>2581.772307669</v>
      </c>
      <c r="C55" s="9">
        <f si="2" t="shared"/>
        <v>4.3882579231041378E-4</v>
      </c>
      <c r="E55" s="54">
        <v>44</v>
      </c>
      <c r="F55" s="144" t="n">
        <v>1359.0</v>
      </c>
      <c r="G55" s="9">
        <f si="3" t="shared"/>
        <v>3.9166623225425287E-4</v>
      </c>
    </row>
    <row r="56" spans="1:7" x14ac:dyDescent="0.25">
      <c r="A56">
        <v>45</v>
      </c>
      <c r="B56" s="6" t="n">
        <v>445.2098602299</v>
      </c>
      <c r="C56" s="9">
        <f si="2" t="shared"/>
        <v>7.5672656755772328E-5</v>
      </c>
      <c r="E56" s="55">
        <v>45</v>
      </c>
      <c r="F56" s="145" t="n">
        <v>1339.0</v>
      </c>
      <c r="G56" s="9">
        <f si="3" t="shared"/>
        <v>3.4683487115327806E-4</v>
      </c>
    </row>
    <row r="57" spans="1:7" x14ac:dyDescent="0.25">
      <c r="A57">
        <v>46</v>
      </c>
      <c r="B57" s="6" t="n">
        <v>6077.408037667</v>
      </c>
      <c r="C57" s="9">
        <f si="2" t="shared"/>
        <v>1.0329816418748322E-3</v>
      </c>
      <c r="E57" s="56">
        <v>46</v>
      </c>
      <c r="F57" s="146" t="n">
        <v>983.0</v>
      </c>
      <c r="G57" s="9">
        <f si="3" t="shared"/>
        <v>2.7194217101947907E-4</v>
      </c>
    </row>
    <row r="58" spans="1:7" x14ac:dyDescent="0.25">
      <c r="A58">
        <v>47</v>
      </c>
      <c r="B58" s="6" t="n">
        <v>5102.070536329</v>
      </c>
      <c r="C58" s="9">
        <f si="2" t="shared"/>
        <v>8.6720278890497549E-4</v>
      </c>
      <c r="E58" s="57">
        <v>47</v>
      </c>
      <c r="F58" s="147" t="n">
        <v>918.0</v>
      </c>
      <c r="G58" s="9">
        <f si="3" t="shared"/>
        <v>2.87059723018645E-4</v>
      </c>
    </row>
    <row r="59" spans="1:7" x14ac:dyDescent="0.25">
      <c r="A59">
        <v>48</v>
      </c>
      <c r="B59" s="6" t="n">
        <v>626.5966911539999</v>
      </c>
      <c r="C59" s="9">
        <f si="2" t="shared"/>
        <v>1.0650311363165733E-4</v>
      </c>
      <c r="E59" s="58">
        <v>48</v>
      </c>
      <c r="F59" s="148" t="n">
        <v>769.0</v>
      </c>
      <c r="G59" s="9">
        <f si="3" t="shared"/>
        <v>1.9513805626509583E-4</v>
      </c>
    </row>
    <row r="60" spans="1:7" x14ac:dyDescent="0.25">
      <c r="A60">
        <v>49</v>
      </c>
      <c r="B60" s="6" t="n">
        <v>5384.775441607</v>
      </c>
      <c r="C60" s="9">
        <f si="2" t="shared"/>
        <v>9.1525435552847342E-4</v>
      </c>
      <c r="E60" s="59">
        <v>49</v>
      </c>
      <c r="F60" s="149" t="n">
        <v>610.0</v>
      </c>
      <c r="G60" s="9">
        <f si="3" t="shared"/>
        <v>1.8106309405897583E-4</v>
      </c>
    </row>
    <row r="61" spans="1:7" x14ac:dyDescent="0.25">
      <c r="A61">
        <v>50</v>
      </c>
      <c r="B61" s="6" t="n">
        <v>634.7004548350001</v>
      </c>
      <c r="C61" s="9">
        <f si="2" t="shared"/>
        <v>1.0788051647521869E-4</v>
      </c>
      <c r="E61" s="60">
        <v>50</v>
      </c>
      <c r="F61" s="150" t="n">
        <v>538.0</v>
      </c>
      <c r="G61" s="9">
        <f si="3" t="shared"/>
        <v>1.5517211419833533E-4</v>
      </c>
    </row>
    <row r="62" spans="1:7" x14ac:dyDescent="0.25">
      <c r="A62">
        <v>51</v>
      </c>
      <c r="B62" s="6" t="n">
        <v>971.458500962</v>
      </c>
      <c r="C62" s="9">
        <f si="2" t="shared"/>
        <v>1.6511953634138643E-4</v>
      </c>
      <c r="E62" s="61">
        <v>51</v>
      </c>
      <c r="F62" s="151" t="n">
        <v>497.0</v>
      </c>
      <c r="G62" s="9">
        <f si="3" t="shared"/>
        <v>1.3988079723366176E-4</v>
      </c>
    </row>
    <row r="63" spans="1:7" x14ac:dyDescent="0.25">
      <c r="A63">
        <v>52</v>
      </c>
      <c r="B63" s="6" t="n">
        <v>1079.971539528</v>
      </c>
      <c r="C63" s="9">
        <f si="2" t="shared"/>
        <v>1.8356357959930196E-4</v>
      </c>
      <c r="E63" s="62">
        <v>52</v>
      </c>
      <c r="F63" s="152" t="n">
        <v>375.0</v>
      </c>
      <c r="G63" s="9">
        <f si="3" t="shared"/>
        <v>1.1329475751099064E-4</v>
      </c>
    </row>
    <row r="64" spans="1:7" x14ac:dyDescent="0.25">
      <c r="A64">
        <v>53</v>
      </c>
      <c r="B64" s="6" t="n">
        <v>5158.8769299545</v>
      </c>
      <c r="C64" s="9">
        <f si="2" t="shared"/>
        <v>8.7685821460497236E-4</v>
      </c>
      <c r="E64" s="63">
        <v>53</v>
      </c>
      <c r="F64" s="153" t="n">
        <v>258.0</v>
      </c>
      <c r="G64" s="9">
        <f si="3" t="shared"/>
        <v>9.904603033936298E-5</v>
      </c>
    </row>
    <row r="65" spans="1:7" x14ac:dyDescent="0.25">
      <c r="A65">
        <v>54</v>
      </c>
      <c r="B65" s="6" t="n">
        <v>1350.700792555</v>
      </c>
      <c r="C65" s="9">
        <f si="2" t="shared"/>
        <v>2.2957963554981416E-4</v>
      </c>
      <c r="E65" s="64">
        <v>54</v>
      </c>
      <c r="F65" s="154" t="n">
        <v>348.0</v>
      </c>
      <c r="G65" s="9">
        <f si="3" t="shared"/>
        <v>1.0304262454603902E-4</v>
      </c>
    </row>
    <row r="66" spans="1:7" x14ac:dyDescent="0.25">
      <c r="A66">
        <v>55</v>
      </c>
      <c r="B66" s="6" t="n">
        <v>0.0</v>
      </c>
      <c r="C66" s="9">
        <f si="2" t="shared"/>
        <v>0</v>
      </c>
      <c r="E66" s="65">
        <v>55</v>
      </c>
      <c r="F66" s="155" t="n">
        <v>221.0</v>
      </c>
      <c r="G66" s="9">
        <f si="3" t="shared"/>
        <v>8.427600827121236E-5</v>
      </c>
    </row>
    <row r="67" spans="1:7" x14ac:dyDescent="0.25">
      <c r="A67">
        <v>56</v>
      </c>
      <c r="B67" s="6" t="n">
        <v>0.0</v>
      </c>
      <c r="C67" s="9">
        <f si="2" t="shared"/>
        <v>0</v>
      </c>
      <c r="E67" s="66">
        <v>56</v>
      </c>
      <c r="F67" s="156" t="n">
        <v>221.0</v>
      </c>
      <c r="G67" s="9">
        <f si="3" t="shared"/>
        <v>6.2729152548263222E-5</v>
      </c>
    </row>
    <row r="68" spans="1:7" x14ac:dyDescent="0.25">
      <c r="A68">
        <v>57</v>
      </c>
      <c r="B68" s="6" t="n">
        <v>0.0</v>
      </c>
      <c r="C68" s="9">
        <f si="2" t="shared"/>
        <v>0</v>
      </c>
      <c r="E68" s="67">
        <v>57</v>
      </c>
      <c r="F68" s="157" t="n">
        <v>187.0</v>
      </c>
      <c r="G68" s="9">
        <f si="3" t="shared"/>
        <v>5.6299848824480008E-5</v>
      </c>
    </row>
    <row r="69" spans="1:7" x14ac:dyDescent="0.25">
      <c r="A69">
        <v>58</v>
      </c>
      <c r="B69" s="6" t="n">
        <v>711.727573689</v>
      </c>
      <c r="C69" s="9">
        <f si="2" t="shared"/>
        <v>1.2097287413979261E-4</v>
      </c>
      <c r="E69" s="68">
        <v>58</v>
      </c>
      <c r="F69" s="158" t="n">
        <v>159.0</v>
      </c>
      <c r="G69" s="9">
        <f si="3" t="shared"/>
        <v>6.2555387582755563E-5</v>
      </c>
    </row>
    <row r="70" spans="1:7" x14ac:dyDescent="0.25">
      <c r="A70">
        <v>59</v>
      </c>
      <c r="B70" s="6" t="n">
        <v>507.743697633</v>
      </c>
      <c r="C70" s="9">
        <f si="2" t="shared"/>
        <v>8.6301580407603556E-5</v>
      </c>
      <c r="E70" s="69">
        <v>59</v>
      </c>
      <c r="F70" s="159" t="n">
        <v>137.0</v>
      </c>
      <c r="G70" s="9">
        <f si="3" t="shared"/>
        <v>5.1086899859250379E-5</v>
      </c>
    </row>
    <row r="71" spans="1:7" x14ac:dyDescent="0.25">
      <c r="A71">
        <v>60</v>
      </c>
      <c r="B71" s="6" t="n">
        <v>0.0</v>
      </c>
      <c r="C71" s="9">
        <f si="2" t="shared"/>
        <v>0</v>
      </c>
      <c r="E71" s="70">
        <v>60</v>
      </c>
      <c r="F71" s="160" t="n">
        <v>135.0</v>
      </c>
      <c r="G71" s="9">
        <f si="3" t="shared"/>
        <v>4.4310066204451861E-5</v>
      </c>
    </row>
    <row r="72" spans="1:7" x14ac:dyDescent="0.25">
      <c r="A72">
        <v>61</v>
      </c>
      <c r="B72" s="6" t="n">
        <v>1707.027510072</v>
      </c>
      <c r="C72" s="9">
        <f si="2" t="shared"/>
        <v>2.9014475729633403E-4</v>
      </c>
      <c r="E72" s="71">
        <v>61</v>
      </c>
      <c r="F72" s="161" t="n">
        <v>72.0</v>
      </c>
      <c r="G72" s="9">
        <f si="3" t="shared"/>
        <v>2.2415680550487412E-5</v>
      </c>
    </row>
    <row r="73" spans="1:7" x14ac:dyDescent="0.25">
      <c r="A73">
        <v>62</v>
      </c>
      <c r="B73" s="6" t="n">
        <v>413.740782213</v>
      </c>
      <c r="C73" s="9">
        <f si="2" t="shared"/>
        <v>7.032383375808804E-5</v>
      </c>
      <c r="E73" s="72">
        <v>62</v>
      </c>
      <c r="F73" s="162" t="n">
        <v>80.0</v>
      </c>
      <c r="G73" s="9">
        <f si="3" t="shared"/>
        <v>3.4231698205007907E-5</v>
      </c>
    </row>
    <row r="74" spans="1:7" x14ac:dyDescent="0.25">
      <c r="A74">
        <v>63</v>
      </c>
      <c r="B74" s="6" t="n">
        <v>0.0</v>
      </c>
      <c r="C74" s="9">
        <f si="2" t="shared"/>
        <v>0</v>
      </c>
      <c r="E74" s="73">
        <v>63</v>
      </c>
      <c r="F74" s="163" t="n">
        <v>90.0</v>
      </c>
      <c r="G74" s="9">
        <f si="3" t="shared"/>
        <v>2.2589445515995064E-5</v>
      </c>
    </row>
    <row r="75" spans="1:7" x14ac:dyDescent="0.25">
      <c r="A75">
        <v>64</v>
      </c>
      <c r="B75" s="6" t="n">
        <v>0.0</v>
      </c>
      <c r="C75" s="9">
        <f si="2" t="shared"/>
        <v>0</v>
      </c>
      <c r="E75" s="74">
        <v>64</v>
      </c>
      <c r="F75" s="164" t="n">
        <v>48.0</v>
      </c>
      <c r="G75" s="9">
        <f si="3" t="shared"/>
        <v>1.9809206067872594E-5</v>
      </c>
    </row>
    <row r="76" spans="1:7" x14ac:dyDescent="0.25">
      <c r="A76">
        <v>65</v>
      </c>
      <c r="B76" s="6" t="n">
        <v>0.0</v>
      </c>
      <c r="C76" s="9">
        <f si="2" t="shared"/>
        <v>0</v>
      </c>
      <c r="E76" s="75">
        <v>65</v>
      </c>
      <c r="F76" s="165" t="n">
        <v>28.0</v>
      </c>
      <c r="G76" s="9">
        <f si="3" t="shared"/>
        <v>1.3901197240612348E-5</v>
      </c>
    </row>
    <row r="77" spans="1:7" x14ac:dyDescent="0.25">
      <c r="A77">
        <v>66</v>
      </c>
      <c r="B77" s="6" t="n">
        <v>0.0</v>
      </c>
      <c r="C77" s="9">
        <f ref="C77:C102" si="4" t="shared">B77/B$102</f>
        <v>0</v>
      </c>
      <c r="E77" s="76">
        <v>66</v>
      </c>
      <c r="F77" s="166" t="n">
        <v>31.0</v>
      </c>
      <c r="G77" s="9">
        <f ref="G77:G102" si="5" t="shared">F77/F$102</f>
        <v>6.4293037237832112E-6</v>
      </c>
    </row>
    <row r="78" spans="1:7" x14ac:dyDescent="0.25">
      <c r="A78">
        <v>67</v>
      </c>
      <c r="B78" s="6" t="n">
        <v>0.0</v>
      </c>
      <c r="C78" s="9">
        <f si="4" t="shared"/>
        <v>0</v>
      </c>
      <c r="E78" s="77">
        <v>67</v>
      </c>
      <c r="F78" s="167" t="n">
        <v>44.0</v>
      </c>
      <c r="G78" s="9">
        <f si="5" t="shared"/>
        <v>1.3901197240612348E-5</v>
      </c>
    </row>
    <row r="79" spans="1:7" x14ac:dyDescent="0.25">
      <c r="A79">
        <v>68</v>
      </c>
      <c r="B79" s="6" t="n">
        <v>629.76290591</v>
      </c>
      <c r="C79" s="9">
        <f si="4" t="shared"/>
        <v>1.0704127754905604E-4</v>
      </c>
      <c r="E79" s="78">
        <v>68</v>
      </c>
      <c r="F79" s="168" t="n">
        <v>32.0</v>
      </c>
      <c r="G79" s="9">
        <f si="5" t="shared"/>
        <v>1.2684842482058767E-5</v>
      </c>
    </row>
    <row r="80" spans="1:7" x14ac:dyDescent="0.25">
      <c r="A80">
        <v>69</v>
      </c>
      <c r="B80" s="6" t="n">
        <v>1092.741662888</v>
      </c>
      <c r="C80" s="9">
        <f si="4" t="shared"/>
        <v>1.857341271277218E-4</v>
      </c>
      <c r="E80" s="79">
        <v>69</v>
      </c>
      <c r="F80" s="169" t="n">
        <v>27.0</v>
      </c>
      <c r="G80" s="9">
        <f si="5" t="shared"/>
        <v>1.5117551999165928E-5</v>
      </c>
    </row>
    <row r="81" spans="1:7" x14ac:dyDescent="0.25">
      <c r="A81">
        <v>70</v>
      </c>
      <c r="B81" s="6" t="n">
        <v>0.0</v>
      </c>
      <c r="C81" s="9">
        <f si="4" t="shared"/>
        <v>0</v>
      </c>
      <c r="E81" s="80">
        <v>70</v>
      </c>
      <c r="F81" s="170" t="n">
        <v>46.0</v>
      </c>
      <c r="G81" s="9">
        <f si="5" t="shared"/>
        <v>1.7376496550765435E-5</v>
      </c>
    </row>
    <row r="82" spans="1:7" x14ac:dyDescent="0.25">
      <c r="A82">
        <v>71</v>
      </c>
      <c r="B82" s="6" t="n">
        <v>2000.113239284</v>
      </c>
      <c r="C82" s="9">
        <f si="4" t="shared"/>
        <v>3.3996076041724923E-4</v>
      </c>
      <c r="E82" s="81">
        <v>71</v>
      </c>
      <c r="F82" s="171" t="n">
        <v>17.0</v>
      </c>
      <c r="G82" s="9">
        <f si="5" t="shared"/>
        <v>1.320613737858173E-5</v>
      </c>
    </row>
    <row r="83" spans="1:7" x14ac:dyDescent="0.25">
      <c r="A83">
        <v>72</v>
      </c>
      <c r="B83" s="6" t="n">
        <v>432.731781518</v>
      </c>
      <c r="C83" s="9">
        <f si="4" t="shared"/>
        <v>7.3551748277129198E-5</v>
      </c>
      <c r="E83" s="82">
        <v>72</v>
      </c>
      <c r="F83" s="172" t="n">
        <v>34.0</v>
      </c>
      <c r="G83" s="9">
        <f si="5" t="shared"/>
        <v>8.5144833098750637E-6</v>
      </c>
    </row>
    <row r="84" spans="1:7" x14ac:dyDescent="0.25">
      <c r="A84">
        <v>73</v>
      </c>
      <c r="B84" s="6" t="n">
        <v>0.0</v>
      </c>
      <c r="C84" s="9">
        <f si="4" t="shared"/>
        <v>0</v>
      </c>
      <c r="E84" s="83">
        <v>73</v>
      </c>
      <c r="F84" s="173" t="n">
        <v>25.0</v>
      </c>
      <c r="G84" s="9">
        <f si="5" t="shared"/>
        <v>8.6882482753827174E-6</v>
      </c>
    </row>
    <row r="85" spans="1:7" x14ac:dyDescent="0.25">
      <c r="A85">
        <v>74</v>
      </c>
      <c r="B85" s="6" t="n">
        <v>0.0</v>
      </c>
      <c r="C85" s="9">
        <f si="4" t="shared"/>
        <v>0</v>
      </c>
      <c r="E85" s="84">
        <v>74</v>
      </c>
      <c r="F85" s="174" t="n">
        <v>14.0</v>
      </c>
      <c r="G85" s="9">
        <f si="5" t="shared"/>
        <v>3.1277693791377783E-6</v>
      </c>
    </row>
    <row r="86" spans="1:7" x14ac:dyDescent="0.25">
      <c r="A86">
        <v>75</v>
      </c>
      <c r="B86" s="6" t="n">
        <v>531.697250215</v>
      </c>
      <c r="C86" s="9">
        <f si="4" t="shared"/>
        <v>9.0372983861433223E-5</v>
      </c>
      <c r="E86" s="85">
        <v>75</v>
      </c>
      <c r="F86" s="175" t="n">
        <v>11.0</v>
      </c>
      <c r="G86" s="9">
        <f si="5" t="shared"/>
        <v>5.7342438617525937E-6</v>
      </c>
    </row>
    <row r="87" spans="1:7" x14ac:dyDescent="0.25">
      <c r="A87">
        <v>76</v>
      </c>
      <c r="B87" s="6" t="n">
        <v>0.0</v>
      </c>
      <c r="C87" s="9">
        <f si="4" t="shared"/>
        <v>0</v>
      </c>
      <c r="E87" s="86">
        <v>76</v>
      </c>
      <c r="F87" s="176" t="n">
        <v>12.0</v>
      </c>
      <c r="G87" s="9">
        <f si="5" t="shared"/>
        <v>8.1669533788597545E-6</v>
      </c>
    </row>
    <row r="88" spans="1:7" x14ac:dyDescent="0.25">
      <c r="A88">
        <v>77</v>
      </c>
      <c r="B88" s="6" t="n">
        <v>0.0</v>
      </c>
      <c r="C88" s="9">
        <f si="4" t="shared"/>
        <v>0</v>
      </c>
      <c r="E88" s="87">
        <v>77</v>
      </c>
      <c r="F88" s="177" t="n">
        <v>7.0</v>
      </c>
      <c r="G88" s="9">
        <f si="5" t="shared"/>
        <v>4.8654190342143216E-6</v>
      </c>
    </row>
    <row r="89" spans="1:7" x14ac:dyDescent="0.25">
      <c r="A89">
        <v>78</v>
      </c>
      <c r="B89" s="6" t="n">
        <v>1107.419474436</v>
      </c>
      <c r="C89" s="9">
        <f si="4" t="shared"/>
        <v>1.8822892586067025E-4</v>
      </c>
      <c r="E89" s="88">
        <v>78</v>
      </c>
      <c r="F89" s="178" t="n">
        <v>19.0</v>
      </c>
      <c r="G89" s="9">
        <f si="5" t="shared"/>
        <v>3.1277693791377783E-6</v>
      </c>
    </row>
    <row r="90" spans="1:7" x14ac:dyDescent="0.25">
      <c r="A90">
        <v>79</v>
      </c>
      <c r="B90" s="6" t="n">
        <v>0.0</v>
      </c>
      <c r="C90" s="9">
        <f si="4" t="shared"/>
        <v>0</v>
      </c>
      <c r="E90" s="89">
        <v>79</v>
      </c>
      <c r="F90" s="179" t="n">
        <v>10.0</v>
      </c>
      <c r="G90" s="9">
        <f si="5" t="shared"/>
        <v>1.7376496550765435E-6</v>
      </c>
    </row>
    <row r="91" spans="1:7" x14ac:dyDescent="0.25">
      <c r="A91">
        <v>80</v>
      </c>
      <c r="B91" s="6" t="n">
        <v>0.0</v>
      </c>
      <c r="C91" s="9">
        <f si="4" t="shared"/>
        <v>0</v>
      </c>
      <c r="E91" s="90">
        <v>80</v>
      </c>
      <c r="F91" s="180" t="n">
        <v>2.0</v>
      </c>
      <c r="G91" s="9">
        <f si="5" t="shared"/>
        <v>1.2163547585535804E-6</v>
      </c>
    </row>
    <row r="92" spans="1:7" x14ac:dyDescent="0.25">
      <c r="A92">
        <v>81</v>
      </c>
      <c r="B92" s="6" t="n">
        <v>779.472231969</v>
      </c>
      <c r="C92" s="9">
        <f si="4" t="shared"/>
        <v>1.3248748495818804E-4</v>
      </c>
      <c r="E92" s="91">
        <v>81</v>
      </c>
      <c r="F92" s="181" t="n">
        <v>7.0</v>
      </c>
      <c r="G92" s="9">
        <f si="5" t="shared"/>
        <v>3.1277693791377783E-6</v>
      </c>
    </row>
    <row r="93" spans="1:7" x14ac:dyDescent="0.25">
      <c r="A93">
        <v>82</v>
      </c>
      <c r="B93" s="6" t="n">
        <v>0.0</v>
      </c>
      <c r="C93" s="9">
        <f si="4" t="shared"/>
        <v>0</v>
      </c>
      <c r="E93" s="92">
        <v>82</v>
      </c>
      <c r="F93" s="182" t="n">
        <v>1.0</v>
      </c>
      <c r="G93" s="9">
        <f si="5" t="shared"/>
        <v>1.2163547585535804E-6</v>
      </c>
    </row>
    <row r="94" spans="1:7" x14ac:dyDescent="0.25">
      <c r="A94">
        <v>83</v>
      </c>
      <c r="B94" s="6" t="n">
        <v>351.630709955</v>
      </c>
      <c r="C94" s="9">
        <f si="4" t="shared"/>
        <v>5.9766937788558475E-5</v>
      </c>
      <c r="E94" s="93">
        <v>83</v>
      </c>
      <c r="F94" s="183" t="n">
        <v>8.0</v>
      </c>
      <c r="G94" s="9">
        <f si="5" t="shared"/>
        <v>3.1277693791377783E-6</v>
      </c>
    </row>
    <row r="95" spans="1:7" x14ac:dyDescent="0.25">
      <c r="A95">
        <v>84</v>
      </c>
      <c r="B95" s="6" t="n">
        <v>667.452792716</v>
      </c>
      <c r="C95" s="9">
        <f si="4" t="shared"/>
        <v>1.1344745612282251E-4</v>
      </c>
      <c r="E95" s="94">
        <v>84</v>
      </c>
      <c r="F95" s="184" t="n">
        <v>2.0</v>
      </c>
      <c r="G95" s="9">
        <f si="5" t="shared"/>
        <v>2.0851795860918521E-6</v>
      </c>
    </row>
    <row r="96" spans="1:7" x14ac:dyDescent="0.25">
      <c r="A96">
        <v>85</v>
      </c>
      <c r="B96" s="6" t="n">
        <v>0.0</v>
      </c>
      <c r="C96" s="9">
        <f si="4" t="shared"/>
        <v>0</v>
      </c>
      <c r="E96" s="95">
        <v>85</v>
      </c>
      <c r="F96" s="185" t="n">
        <v>7.0</v>
      </c>
      <c r="G96" s="9">
        <f si="5" t="shared"/>
        <v>2.2589445515995066E-6</v>
      </c>
    </row>
    <row r="97" spans="1:7" x14ac:dyDescent="0.25">
      <c r="A97">
        <v>86</v>
      </c>
      <c r="B97" s="6" t="n">
        <v>143.175005361</v>
      </c>
      <c r="C97" s="9">
        <f si="4" t="shared"/>
        <v>2.4335563976714417E-5</v>
      </c>
      <c r="E97" s="96">
        <v>86</v>
      </c>
      <c r="F97" s="186" t="n">
        <v>8.0</v>
      </c>
      <c r="G97" s="9">
        <f si="5" t="shared"/>
        <v>2.0851795860918521E-6</v>
      </c>
    </row>
    <row r="98" spans="1:7" x14ac:dyDescent="0.25">
      <c r="A98">
        <v>87</v>
      </c>
      <c r="B98" s="6" t="n">
        <v>82.8897619551</v>
      </c>
      <c r="C98" s="9">
        <f si="4" t="shared"/>
        <v>1.4088835547705377E-5</v>
      </c>
      <c r="E98" s="97">
        <v>87</v>
      </c>
      <c r="F98" s="187" t="n">
        <v>4.0</v>
      </c>
      <c r="G98" s="9">
        <f si="5" t="shared"/>
        <v>3.4752993101530869E-7</v>
      </c>
    </row>
    <row r="99" spans="1:7" x14ac:dyDescent="0.25">
      <c r="A99">
        <v>88</v>
      </c>
      <c r="B99" s="6" t="n">
        <v>0.0</v>
      </c>
      <c r="C99" s="9">
        <f si="4" t="shared"/>
        <v>0</v>
      </c>
      <c r="E99" s="98">
        <v>88</v>
      </c>
      <c r="F99" s="188" t="n">
        <v>0.0</v>
      </c>
      <c r="G99" s="9">
        <f si="5" t="shared"/>
        <v>3.4752993101530869E-7</v>
      </c>
    </row>
    <row r="100" spans="1:7" x14ac:dyDescent="0.25">
      <c r="A100">
        <v>89</v>
      </c>
      <c r="B100" s="6" t="n">
        <v>292.16039971099997</v>
      </c>
      <c r="C100" s="9">
        <f si="4" t="shared"/>
        <v>4.9658724165595082E-5</v>
      </c>
      <c r="E100" s="99">
        <v>89</v>
      </c>
      <c r="F100" s="189" t="n">
        <v>0.0</v>
      </c>
      <c r="G100" s="9">
        <f si="5" t="shared"/>
        <v>1.7376496550765435E-7</v>
      </c>
    </row>
    <row ht="15.75" r="101" spans="1:7" thickBot="1" x14ac:dyDescent="0.3">
      <c r="A101" s="1">
        <v>90</v>
      </c>
      <c r="B101" s="7" t="n">
        <v>3956.7258062524</v>
      </c>
      <c r="C101" s="9">
        <f si="4" t="shared"/>
        <v>6.7252767865165941E-4</v>
      </c>
      <c r="E101" s="372">
        <v>90</v>
      </c>
      <c r="F101" s="372" t="n">
        <v>7.0</v>
      </c>
      <c r="G101" s="9">
        <f si="5" t="shared"/>
        <v>2.7802394481224696E-6</v>
      </c>
    </row>
    <row r="102" spans="1:7" x14ac:dyDescent="0.25">
      <c r="B102" s="6">
        <f>SUM(B11:B101)</f>
        <v>5883365.0002111141</v>
      </c>
      <c r="C102" s="9">
        <f si="4" t="shared"/>
        <v>1</v>
      </c>
      <c r="F102" s="6">
        <f>SUM(F11:F101)</f>
        <v>5754900</v>
      </c>
      <c r="G102" s="9">
        <f si="5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A3" sqref="A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6777.984679031</v>
      </c>
      <c r="C11" s="9">
        <f>B11/B$102</f>
        <v>1.1520591836113835E-3</v>
      </c>
      <c r="E11" s="190">
        <v>0</v>
      </c>
      <c r="F11" s="280" t="n">
        <v>22138.0</v>
      </c>
      <c r="G11" s="9">
        <f>F11/F$102</f>
        <v>3.9029348902674243E-3</v>
      </c>
      <c r="K11" s="6" t="n">
        <v>30.8830153996717</v>
      </c>
      <c r="L11" s="6" t="n">
        <v>23.911052937880665</v>
      </c>
    </row>
    <row r="12" spans="1:12" x14ac:dyDescent="0.25">
      <c r="A12">
        <v>1</v>
      </c>
      <c r="B12" s="6" t="n">
        <v>19311.3606145139</v>
      </c>
      <c r="C12" s="9">
        <f>B12/B$102</f>
        <v>3.2823665731806458E-3</v>
      </c>
      <c r="E12" s="191">
        <v>1</v>
      </c>
      <c r="F12" s="281" t="n">
        <v>87405.0</v>
      </c>
      <c r="G12" s="9">
        <f>F12/F$102</f>
        <v>1.5033449755860224E-2</v>
      </c>
      <c r="K12" s="6"/>
      <c r="L12" s="371"/>
    </row>
    <row r="13" spans="1:12" x14ac:dyDescent="0.25">
      <c r="A13">
        <v>2</v>
      </c>
      <c r="B13" s="6" t="n">
        <v>28257.979731648</v>
      </c>
      <c r="C13" s="9">
        <f ref="C13:C76" si="0" t="shared">B13/B$102</f>
        <v>4.8030301928631012E-3</v>
      </c>
      <c r="E13" s="192">
        <v>2</v>
      </c>
      <c r="F13" s="282" t="n">
        <v>112977.0</v>
      </c>
      <c r="G13" s="9">
        <f ref="G13:G76" si="1" t="shared">F13/F$102</f>
        <v>1.9534483657404993E-2</v>
      </c>
    </row>
    <row r="14" spans="1:12" x14ac:dyDescent="0.25">
      <c r="A14">
        <v>3</v>
      </c>
      <c r="B14" s="6" t="n">
        <v>42233.0770548103</v>
      </c>
      <c r="C14" s="9">
        <f si="0" t="shared"/>
        <v>7.178388057394851E-3</v>
      </c>
      <c r="E14" s="193">
        <v>3</v>
      </c>
      <c r="F14" s="283" t="n">
        <v>132578.0</v>
      </c>
      <c r="G14" s="9">
        <f si="1" t="shared"/>
        <v>2.2773462614467672E-2</v>
      </c>
    </row>
    <row r="15" spans="1:12" x14ac:dyDescent="0.25">
      <c r="A15">
        <v>4</v>
      </c>
      <c r="B15" s="6" t="n">
        <v>34482.6342444071</v>
      </c>
      <c r="C15" s="9">
        <f si="0" t="shared"/>
        <v>5.8610394295050133E-3</v>
      </c>
      <c r="E15" s="194">
        <v>4</v>
      </c>
      <c r="F15" s="284" t="n">
        <v>140683.0</v>
      </c>
      <c r="G15" s="9">
        <f si="1" t="shared"/>
        <v>2.4200594276182034E-2</v>
      </c>
    </row>
    <row r="16" spans="1:12" x14ac:dyDescent="0.25">
      <c r="A16">
        <v>5</v>
      </c>
      <c r="B16" s="6" t="n">
        <v>77762.6630451249</v>
      </c>
      <c r="C16" s="9">
        <f si="0" t="shared"/>
        <v>1.3217378667197181E-2</v>
      </c>
      <c r="E16" s="195">
        <v>5</v>
      </c>
      <c r="F16" s="285" t="n">
        <v>145335.0</v>
      </c>
      <c r="G16" s="9">
        <f si="1" t="shared"/>
        <v>2.4946045978209874E-2</v>
      </c>
    </row>
    <row r="17" spans="1:7" x14ac:dyDescent="0.25">
      <c r="A17">
        <v>6</v>
      </c>
      <c r="B17" s="6" t="n">
        <v>70590.8588643991</v>
      </c>
      <c r="C17" s="9">
        <f si="0" t="shared"/>
        <v>1.199838168494834E-2</v>
      </c>
      <c r="E17" s="196">
        <v>6</v>
      </c>
      <c r="F17" s="286" t="n">
        <v>143260.0</v>
      </c>
      <c r="G17" s="9">
        <f si="1" t="shared"/>
        <v>2.4563415524162018E-2</v>
      </c>
    </row>
    <row r="18" spans="1:7" x14ac:dyDescent="0.25">
      <c r="A18">
        <v>7</v>
      </c>
      <c r="B18" s="6" t="n">
        <v>84339.5977201299</v>
      </c>
      <c r="C18" s="9">
        <f si="0" t="shared"/>
        <v>1.4335265229524862E-2</v>
      </c>
      <c r="E18" s="197">
        <v>7</v>
      </c>
      <c r="F18" s="287" t="n">
        <v>140732.0</v>
      </c>
      <c r="G18" s="9">
        <f si="1" t="shared"/>
        <v>2.3993118907365898E-2</v>
      </c>
    </row>
    <row r="19" spans="1:7" x14ac:dyDescent="0.25">
      <c r="A19">
        <v>8</v>
      </c>
      <c r="B19" s="6" t="n">
        <v>64795.3680488708</v>
      </c>
      <c r="C19" s="9">
        <f si="0" t="shared"/>
        <v>1.1013317726597917E-2</v>
      </c>
      <c r="E19" s="198">
        <v>8</v>
      </c>
      <c r="F19" s="288" t="n">
        <v>133200.0</v>
      </c>
      <c r="G19" s="9">
        <f si="1" t="shared"/>
        <v>2.269717979460981E-2</v>
      </c>
    </row>
    <row r="20" spans="1:7" x14ac:dyDescent="0.25">
      <c r="A20">
        <v>9</v>
      </c>
      <c r="B20" s="6" t="n">
        <v>97995.2574809291</v>
      </c>
      <c r="C20" s="9">
        <f si="0" t="shared"/>
        <v>1.6656328049919178E-2</v>
      </c>
      <c r="E20" s="199">
        <v>9</v>
      </c>
      <c r="F20" s="289" t="n">
        <v>122833.0</v>
      </c>
      <c r="G20" s="9">
        <f si="1" t="shared"/>
        <v>2.1102017411249546E-2</v>
      </c>
    </row>
    <row r="21" spans="1:7" x14ac:dyDescent="0.25">
      <c r="A21">
        <v>10</v>
      </c>
      <c r="B21" s="6" t="n">
        <v>54317.4021585116</v>
      </c>
      <c r="C21" s="9">
        <f si="0" t="shared"/>
        <v>9.2323699373679062E-3</v>
      </c>
      <c r="E21" s="200">
        <v>10</v>
      </c>
      <c r="F21" s="290" t="n">
        <v>112527.0</v>
      </c>
      <c r="G21" s="9">
        <f si="1" t="shared"/>
        <v>1.9251420528593025E-2</v>
      </c>
    </row>
    <row r="22" spans="1:7" x14ac:dyDescent="0.25">
      <c r="A22">
        <v>11</v>
      </c>
      <c r="B22" s="6" t="n">
        <v>82687.7025291643</v>
      </c>
      <c r="C22" s="9">
        <f si="0" t="shared"/>
        <v>1.4054491354216034E-2</v>
      </c>
      <c r="E22" s="201">
        <v>11</v>
      </c>
      <c r="F22" s="291" t="n">
        <v>104527.0</v>
      </c>
      <c r="G22" s="9">
        <f si="1" t="shared"/>
        <v>1.7920207127838886E-2</v>
      </c>
    </row>
    <row r="23" spans="1:7" x14ac:dyDescent="0.25">
      <c r="A23">
        <v>12</v>
      </c>
      <c r="B23" s="6" t="n">
        <v>117559.3164825522</v>
      </c>
      <c r="C23" s="9">
        <f si="0" t="shared"/>
        <v>1.9981645959129483E-2</v>
      </c>
      <c r="E23" s="202">
        <v>12</v>
      </c>
      <c r="F23" s="292" t="n">
        <v>98280.0</v>
      </c>
      <c r="G23" s="9">
        <f si="1" t="shared"/>
        <v>1.6635736502806305E-2</v>
      </c>
    </row>
    <row r="24" spans="1:7" x14ac:dyDescent="0.25">
      <c r="A24">
        <v>13</v>
      </c>
      <c r="B24" s="6" t="n">
        <v>111916.2960992915</v>
      </c>
      <c r="C24" s="9">
        <f si="0" t="shared"/>
        <v>1.9022497515499313E-2</v>
      </c>
      <c r="E24" s="203">
        <v>13</v>
      </c>
      <c r="F24" s="293" t="n">
        <v>87017.0</v>
      </c>
      <c r="G24" s="9">
        <f si="1" t="shared"/>
        <v>1.4730924950911398E-2</v>
      </c>
    </row>
    <row r="25" spans="1:7" x14ac:dyDescent="0.25">
      <c r="A25">
        <v>14</v>
      </c>
      <c r="B25" s="6" t="n">
        <v>78794.9768343743</v>
      </c>
      <c r="C25" s="9">
        <f si="0" t="shared"/>
        <v>1.339284182292734E-2</v>
      </c>
      <c r="E25" s="204">
        <v>14</v>
      </c>
      <c r="F25" s="294" t="n">
        <v>79855.0</v>
      </c>
      <c r="G25" s="9">
        <f si="1" t="shared"/>
        <v>1.3539592347390919E-2</v>
      </c>
    </row>
    <row r="26" spans="1:7" x14ac:dyDescent="0.25">
      <c r="A26">
        <v>15</v>
      </c>
      <c r="B26" s="6" t="n">
        <v>49387.5604071043</v>
      </c>
      <c r="C26" s="9">
        <f si="0" t="shared"/>
        <v>8.3944410053314947E-3</v>
      </c>
      <c r="E26" s="205">
        <v>15</v>
      </c>
      <c r="F26" s="295" t="n">
        <v>76634.0</v>
      </c>
      <c r="G26" s="9">
        <f si="1" t="shared"/>
        <v>1.3003701193765312E-2</v>
      </c>
    </row>
    <row r="27" spans="1:7" x14ac:dyDescent="0.25">
      <c r="A27">
        <v>16</v>
      </c>
      <c r="B27" s="6" t="n">
        <v>200663.0878691433</v>
      </c>
      <c r="C27" s="9">
        <f si="0" t="shared"/>
        <v>3.4106856851808941E-2</v>
      </c>
      <c r="E27" s="206">
        <v>16</v>
      </c>
      <c r="F27" s="296" t="n">
        <v>72188.0</v>
      </c>
      <c r="G27" s="9">
        <f si="1" t="shared"/>
        <v>1.2078228987471545E-2</v>
      </c>
    </row>
    <row r="28" spans="1:7" x14ac:dyDescent="0.25">
      <c r="A28">
        <v>17</v>
      </c>
      <c r="B28" s="6" t="n">
        <v>123358.2475558062</v>
      </c>
      <c r="C28" s="9">
        <f si="0" t="shared"/>
        <v>2.0967294660688186E-2</v>
      </c>
      <c r="E28" s="207">
        <v>17</v>
      </c>
      <c r="F28" s="297" t="n">
        <v>67547.0</v>
      </c>
      <c r="G28" s="9">
        <f si="1" t="shared"/>
        <v>1.1516446853985299E-2</v>
      </c>
    </row>
    <row r="29" spans="1:7" x14ac:dyDescent="0.25">
      <c r="A29">
        <v>18</v>
      </c>
      <c r="B29" s="6" t="n">
        <v>380306.5495109273</v>
      </c>
      <c r="C29" s="9">
        <f si="0" t="shared"/>
        <v>6.4640991931875849E-2</v>
      </c>
      <c r="E29" s="208">
        <v>18</v>
      </c>
      <c r="F29" s="298" t="n">
        <v>573358.0</v>
      </c>
      <c r="G29" s="9">
        <f si="1" t="shared"/>
        <v>9.8607100036490647E-2</v>
      </c>
    </row>
    <row r="30" spans="1:7" x14ac:dyDescent="0.25">
      <c r="A30">
        <v>19</v>
      </c>
      <c r="B30" s="6" t="n">
        <v>229001.5381152313</v>
      </c>
      <c r="C30" s="9">
        <f si="0" t="shared"/>
        <v>3.8923564678889383E-2</v>
      </c>
      <c r="E30" s="209">
        <v>19</v>
      </c>
      <c r="F30" s="299" t="n">
        <v>205266.0</v>
      </c>
      <c r="G30" s="9">
        <f si="1" t="shared"/>
        <v>3.4962206120002087E-2</v>
      </c>
    </row>
    <row r="31" spans="1:7" x14ac:dyDescent="0.25">
      <c r="A31">
        <v>20</v>
      </c>
      <c r="B31" s="6" t="n">
        <v>339557.2219199539</v>
      </c>
      <c r="C31" s="9">
        <f si="0" t="shared"/>
        <v>5.771479789334328E-2</v>
      </c>
      <c r="E31" s="210">
        <v>20</v>
      </c>
      <c r="F31" s="300" t="n">
        <v>222408.0</v>
      </c>
      <c r="G31" s="9">
        <f si="1" t="shared"/>
        <v>3.8500234582703435E-2</v>
      </c>
    </row>
    <row r="32" spans="1:7" x14ac:dyDescent="0.25">
      <c r="A32">
        <v>21</v>
      </c>
      <c r="B32" s="6" t="n">
        <v>292201.3134653368</v>
      </c>
      <c r="C32" s="9">
        <f si="0" t="shared"/>
        <v>4.9665678307372015E-2</v>
      </c>
      <c r="E32" s="211">
        <v>21</v>
      </c>
      <c r="F32" s="301" t="n">
        <v>259514.0</v>
      </c>
      <c r="G32" s="9">
        <f si="1" t="shared"/>
        <v>4.3617612816903857E-2</v>
      </c>
    </row>
    <row r="33" spans="1:7" x14ac:dyDescent="0.25">
      <c r="A33">
        <v>22</v>
      </c>
      <c r="B33" s="6" t="n">
        <v>254473.8902439678</v>
      </c>
      <c r="C33" s="9">
        <f si="0" t="shared"/>
        <v>4.325311964068803E-2</v>
      </c>
      <c r="E33" s="212">
        <v>22</v>
      </c>
      <c r="F33" s="302" t="n">
        <v>236384.0</v>
      </c>
      <c r="G33" s="9">
        <f si="1" t="shared"/>
        <v>4.055552659472797E-2</v>
      </c>
    </row>
    <row r="34" spans="1:7" x14ac:dyDescent="0.25">
      <c r="A34">
        <v>23</v>
      </c>
      <c r="B34" s="6" t="n">
        <v>160193.2933597781</v>
      </c>
      <c r="C34" s="9">
        <f si="0" t="shared"/>
        <v>2.7228175262631146E-2</v>
      </c>
      <c r="E34" s="213">
        <v>23</v>
      </c>
      <c r="F34" s="303" t="n">
        <v>224241.0</v>
      </c>
      <c r="G34" s="9">
        <f si="1" t="shared"/>
        <v>3.6794731446245808E-2</v>
      </c>
    </row>
    <row r="35" spans="1:7" x14ac:dyDescent="0.25">
      <c r="A35">
        <v>24</v>
      </c>
      <c r="B35" s="6" t="n">
        <v>190560.0643605796</v>
      </c>
      <c r="C35" s="9">
        <f si="0" t="shared"/>
        <v>3.2389638302866092E-2</v>
      </c>
      <c r="E35" s="214">
        <v>24</v>
      </c>
      <c r="F35" s="304" t="n">
        <v>166624.0</v>
      </c>
      <c r="G35" s="9">
        <f si="1" t="shared"/>
        <v>2.7483188239587134E-2</v>
      </c>
    </row>
    <row r="36" spans="1:7" x14ac:dyDescent="0.25">
      <c r="A36">
        <v>25</v>
      </c>
      <c r="B36" s="6" t="n">
        <v>130685.9164110802</v>
      </c>
      <c r="C36" s="9">
        <f si="0" t="shared"/>
        <v>2.2212784079585542E-2</v>
      </c>
      <c r="E36" s="215">
        <v>25</v>
      </c>
      <c r="F36" s="305" t="n">
        <v>152805.0</v>
      </c>
      <c r="G36" s="9">
        <f si="1" t="shared"/>
        <v>2.7426019565935118E-2</v>
      </c>
    </row>
    <row r="37" spans="1:7" x14ac:dyDescent="0.25">
      <c r="A37">
        <v>26</v>
      </c>
      <c r="B37" s="6" t="n">
        <v>330164.1467082053</v>
      </c>
      <c r="C37" s="9">
        <f si="0" t="shared"/>
        <v>5.6118249793503897E-2</v>
      </c>
      <c r="E37" s="216">
        <v>26</v>
      </c>
      <c r="F37" s="306" t="n">
        <v>151814.0</v>
      </c>
      <c r="G37" s="9">
        <f si="1" t="shared"/>
        <v>2.6015048046012963E-2</v>
      </c>
    </row>
    <row r="38" spans="1:7" x14ac:dyDescent="0.25">
      <c r="A38">
        <v>27</v>
      </c>
      <c r="B38" s="6" t="n">
        <v>84832.0834663148</v>
      </c>
      <c r="C38" s="9">
        <f si="0" t="shared"/>
        <v>1.4418973404381807E-2</v>
      </c>
      <c r="E38" s="217">
        <v>27</v>
      </c>
      <c r="F38" s="307" t="n">
        <v>150648.0</v>
      </c>
      <c r="G38" s="9">
        <f si="1" t="shared"/>
        <v>2.4593824393125858E-2</v>
      </c>
    </row>
    <row r="39" spans="1:7" x14ac:dyDescent="0.25">
      <c r="A39">
        <v>28</v>
      </c>
      <c r="B39" s="6" t="n">
        <v>132759.6901069341</v>
      </c>
      <c r="C39" s="9">
        <f si="0" t="shared"/>
        <v>2.2565264963531978E-2</v>
      </c>
      <c r="E39" s="218">
        <v>28</v>
      </c>
      <c r="F39" s="308" t="n">
        <v>122309.0</v>
      </c>
      <c r="G39" s="9">
        <f si="1" t="shared"/>
        <v>2.077933587030183E-2</v>
      </c>
    </row>
    <row r="40" spans="1:7" x14ac:dyDescent="0.25">
      <c r="A40">
        <v>29</v>
      </c>
      <c r="B40" s="6" t="n">
        <v>117688.8388841047</v>
      </c>
      <c r="C40" s="9">
        <f si="0" t="shared"/>
        <v>2.0003660979708328E-2</v>
      </c>
      <c r="E40" s="219">
        <v>29</v>
      </c>
      <c r="F40" s="309" t="n">
        <v>104419.0</v>
      </c>
      <c r="G40" s="9">
        <f si="1" t="shared"/>
        <v>1.7898660272115938E-2</v>
      </c>
    </row>
    <row r="41" spans="1:7" x14ac:dyDescent="0.25">
      <c r="A41">
        <v>30</v>
      </c>
      <c r="B41" s="6" t="n">
        <v>86943.2568448416</v>
      </c>
      <c r="C41" s="9">
        <f si="0" t="shared"/>
        <v>1.4777811140685954E-2</v>
      </c>
      <c r="E41" s="220">
        <v>30</v>
      </c>
      <c r="F41" s="310" t="n">
        <v>119875.0</v>
      </c>
      <c r="G41" s="9">
        <f si="1" t="shared"/>
        <v>2.0743366522441745E-2</v>
      </c>
    </row>
    <row r="42" spans="1:7" x14ac:dyDescent="0.25">
      <c r="A42">
        <v>31</v>
      </c>
      <c r="B42" s="6" t="n">
        <v>65767.8887714418</v>
      </c>
      <c r="C42" s="9">
        <f si="0" t="shared"/>
        <v>1.1178617809549781E-2</v>
      </c>
      <c r="E42" s="221">
        <v>31</v>
      </c>
      <c r="F42" s="311" t="n">
        <v>89540.0</v>
      </c>
      <c r="G42" s="9">
        <f si="1" t="shared"/>
        <v>1.7333055309388522E-2</v>
      </c>
    </row>
    <row r="43" spans="1:7" x14ac:dyDescent="0.25">
      <c r="A43">
        <v>32</v>
      </c>
      <c r="B43" s="6" t="n">
        <v>69007.8382609941</v>
      </c>
      <c r="C43" s="9">
        <f si="0" t="shared"/>
        <v>1.1729314475392553E-2</v>
      </c>
      <c r="E43" s="222">
        <v>32</v>
      </c>
      <c r="F43" s="312" t="n">
        <v>102775.0</v>
      </c>
      <c r="G43" s="9">
        <f si="1" t="shared"/>
        <v>1.5134928495716694E-2</v>
      </c>
    </row>
    <row r="44" spans="1:7" x14ac:dyDescent="0.25">
      <c r="A44">
        <v>33</v>
      </c>
      <c r="B44" s="6" t="n">
        <v>61401.7830686139</v>
      </c>
      <c r="C44" s="9">
        <f si="0" t="shared"/>
        <v>1.0436507520170961E-2</v>
      </c>
      <c r="E44" s="223">
        <v>33</v>
      </c>
      <c r="F44" s="313" t="n">
        <v>78368.0</v>
      </c>
      <c r="G44" s="9">
        <f si="1" t="shared"/>
        <v>1.4202505690802621E-2</v>
      </c>
    </row>
    <row r="45" spans="1:7" x14ac:dyDescent="0.25">
      <c r="A45">
        <v>34</v>
      </c>
      <c r="B45" s="6" t="n">
        <v>107127.6648405543</v>
      </c>
      <c r="C45" s="9">
        <f si="0" t="shared"/>
        <v>1.8208570237731338E-2</v>
      </c>
      <c r="E45" s="224">
        <v>34</v>
      </c>
      <c r="F45" s="314" t="n">
        <v>94020.0</v>
      </c>
      <c r="G45" s="9">
        <f si="1" t="shared"/>
        <v>1.5794019009887226E-2</v>
      </c>
    </row>
    <row r="46" spans="1:7" x14ac:dyDescent="0.25">
      <c r="A46">
        <v>35</v>
      </c>
      <c r="B46" s="6" t="n">
        <v>46622.0878015611</v>
      </c>
      <c r="C46" s="9">
        <f si="0" t="shared"/>
        <v>7.9243915344174923E-3</v>
      </c>
      <c r="E46" s="225">
        <v>35</v>
      </c>
      <c r="F46" s="315" t="n">
        <v>55168.0</v>
      </c>
      <c r="G46" s="9">
        <f si="1" t="shared"/>
        <v>1.0607829849345775E-2</v>
      </c>
    </row>
    <row r="47" spans="1:7" x14ac:dyDescent="0.25">
      <c r="A47">
        <v>36</v>
      </c>
      <c r="B47" s="6" t="n">
        <v>66157.0202221237</v>
      </c>
      <c r="C47" s="9">
        <f si="0" t="shared"/>
        <v>1.1244758776609949E-2</v>
      </c>
      <c r="E47" s="226">
        <v>36</v>
      </c>
      <c r="F47" s="316" t="n">
        <v>59061.0</v>
      </c>
      <c r="G47" s="9">
        <f si="1" t="shared"/>
        <v>9.1351717666684051E-3</v>
      </c>
    </row>
    <row r="48" spans="1:7" x14ac:dyDescent="0.25">
      <c r="A48">
        <v>37</v>
      </c>
      <c r="B48" s="6" t="n">
        <v>81079.7816609964</v>
      </c>
      <c r="C48" s="9">
        <f si="0" t="shared"/>
        <v>1.3781191827820819E-2</v>
      </c>
      <c r="E48" s="227">
        <v>37</v>
      </c>
      <c r="F48" s="317" t="n">
        <v>48939.0</v>
      </c>
      <c r="G48" s="9">
        <f si="1" t="shared"/>
        <v>8.942813949851431E-3</v>
      </c>
    </row>
    <row r="49" spans="1:7" x14ac:dyDescent="0.25">
      <c r="A49">
        <v>38</v>
      </c>
      <c r="B49" s="6" t="n">
        <v>93974.882278439</v>
      </c>
      <c r="C49" s="9">
        <f si="0" t="shared"/>
        <v>1.5972981835236624E-2</v>
      </c>
      <c r="E49" s="228">
        <v>38</v>
      </c>
      <c r="F49" s="318" t="n">
        <v>49425.0</v>
      </c>
      <c r="G49" s="9">
        <f si="1" t="shared"/>
        <v>1.0751359710855097E-2</v>
      </c>
    </row>
    <row r="50" spans="1:7" x14ac:dyDescent="0.25">
      <c r="A50">
        <v>39</v>
      </c>
      <c r="B50" s="6" t="n">
        <v>30105.5066404392</v>
      </c>
      <c r="C50" s="9">
        <f si="0" t="shared"/>
        <v>5.1170557392510793E-3</v>
      </c>
      <c r="E50" s="229">
        <v>39</v>
      </c>
      <c r="F50" s="319" t="n">
        <v>56970.0</v>
      </c>
      <c r="G50" s="9">
        <f si="1" t="shared"/>
        <v>8.3148273645067688E-3</v>
      </c>
    </row>
    <row r="51" spans="1:7" x14ac:dyDescent="0.25">
      <c r="A51">
        <v>40</v>
      </c>
      <c r="B51" s="6" t="n">
        <v>49804.4635479382</v>
      </c>
      <c r="C51" s="9">
        <f si="0" t="shared"/>
        <v>8.4653023475767808E-3</v>
      </c>
      <c r="E51" s="230">
        <v>40</v>
      </c>
      <c r="F51" s="320" t="n">
        <v>37140.0</v>
      </c>
      <c r="G51" s="9">
        <f si="1" t="shared"/>
        <v>7.0133277728544373E-3</v>
      </c>
    </row>
    <row r="52" spans="1:7" x14ac:dyDescent="0.25">
      <c r="A52">
        <v>41</v>
      </c>
      <c r="B52" s="6" t="n">
        <v>31554.7260872384</v>
      </c>
      <c r="C52" s="9">
        <f si="0" t="shared"/>
        <v>5.3633806649946289E-3</v>
      </c>
      <c r="E52" s="231">
        <v>41</v>
      </c>
      <c r="F52" s="321" t="n">
        <v>35440.0</v>
      </c>
      <c r="G52" s="9">
        <f si="1" t="shared"/>
        <v>6.657804653425776E-3</v>
      </c>
    </row>
    <row r="53" spans="1:7" x14ac:dyDescent="0.25">
      <c r="A53">
        <v>42</v>
      </c>
      <c r="B53" s="6" t="n">
        <v>25595.9084648498</v>
      </c>
      <c r="C53" s="9">
        <f si="0" t="shared"/>
        <v>4.3505559257213085E-3</v>
      </c>
      <c r="E53" s="232">
        <v>42</v>
      </c>
      <c r="F53" s="322" t="n">
        <v>37293.0</v>
      </c>
      <c r="G53" s="9">
        <f si="1" t="shared"/>
        <v>5.7033136978922308E-3</v>
      </c>
    </row>
    <row r="54" spans="1:7" x14ac:dyDescent="0.25">
      <c r="A54">
        <v>43</v>
      </c>
      <c r="B54" s="6" t="n">
        <v>20508.4451423708</v>
      </c>
      <c r="C54" s="9">
        <f si="0" t="shared"/>
        <v>3.4858359360051432E-3</v>
      </c>
      <c r="E54" s="233">
        <v>43</v>
      </c>
      <c r="F54" s="323" t="n">
        <v>26197.0</v>
      </c>
      <c r="G54" s="9">
        <f si="1" t="shared"/>
        <v>5.2636883351578657E-3</v>
      </c>
    </row>
    <row r="55" spans="1:7" x14ac:dyDescent="0.25">
      <c r="A55">
        <v>44</v>
      </c>
      <c r="B55" s="6" t="n">
        <v>17426.8626140231</v>
      </c>
      <c r="C55" s="9">
        <f si="0" t="shared"/>
        <v>2.9620570223669231E-3</v>
      </c>
      <c r="E55" s="234">
        <v>44</v>
      </c>
      <c r="F55" s="324" t="n">
        <v>25270.0</v>
      </c>
      <c r="G55" s="9">
        <f si="1" t="shared"/>
        <v>4.5722775374029091E-3</v>
      </c>
    </row>
    <row r="56" spans="1:7" x14ac:dyDescent="0.25">
      <c r="A56">
        <v>45</v>
      </c>
      <c r="B56" s="6" t="n">
        <v>234208.0230709163</v>
      </c>
      <c r="C56" s="9">
        <f si="0" t="shared"/>
        <v>3.9808514865644448E-2</v>
      </c>
      <c r="E56" s="235">
        <v>45</v>
      </c>
      <c r="F56" s="325" t="n">
        <v>21378.0</v>
      </c>
      <c r="G56" s="9">
        <f si="1" t="shared"/>
        <v>4.5058993205789851E-3</v>
      </c>
    </row>
    <row r="57" spans="1:7" x14ac:dyDescent="0.25">
      <c r="A57">
        <v>46</v>
      </c>
      <c r="B57" s="6" t="n">
        <v>23757.9870365377</v>
      </c>
      <c r="C57" s="9">
        <f si="0" t="shared"/>
        <v>4.038163030117151E-3</v>
      </c>
      <c r="E57" s="236">
        <v>46</v>
      </c>
      <c r="F57" s="326" t="n">
        <v>23638.0</v>
      </c>
      <c r="G57" s="9">
        <f si="1" t="shared"/>
        <v>4.0339536742601953E-3</v>
      </c>
    </row>
    <row r="58" spans="1:7" x14ac:dyDescent="0.25">
      <c r="A58">
        <v>47</v>
      </c>
      <c r="B58" s="6" t="n">
        <v>24601.2392316939</v>
      </c>
      <c r="C58" s="9">
        <f si="0" t="shared"/>
        <v>4.1814912436694196E-3</v>
      </c>
      <c r="E58" s="237">
        <v>47</v>
      </c>
      <c r="F58" s="327" t="n">
        <v>21702.0</v>
      </c>
      <c r="G58" s="9">
        <f si="1" t="shared"/>
        <v>4.298250186797338E-3</v>
      </c>
    </row>
    <row r="59" spans="1:7" x14ac:dyDescent="0.25">
      <c r="A59">
        <v>48</v>
      </c>
      <c r="B59" s="6" t="n">
        <v>31518.40085416</v>
      </c>
      <c r="C59" s="9">
        <f si="0" t="shared"/>
        <v>5.3572064376473374E-3</v>
      </c>
      <c r="E59" s="238">
        <v>48</v>
      </c>
      <c r="F59" s="328" t="n">
        <v>23496.0</v>
      </c>
      <c r="G59" s="9">
        <f si="1" t="shared"/>
        <v>4.3100662044518586E-3</v>
      </c>
    </row>
    <row r="60" spans="1:7" x14ac:dyDescent="0.25">
      <c r="A60">
        <v>49</v>
      </c>
      <c r="B60" s="6" t="n">
        <v>18363.1980915131</v>
      </c>
      <c r="C60" s="9">
        <f si="0" t="shared"/>
        <v>3.1212066718373198E-3</v>
      </c>
      <c r="E60" s="239">
        <v>49</v>
      </c>
      <c r="F60" s="329" t="n">
        <v>19830.0</v>
      </c>
      <c r="G60" s="9">
        <f si="1" t="shared"/>
        <v>3.6786043197970424E-3</v>
      </c>
    </row>
    <row r="61" spans="1:7" x14ac:dyDescent="0.25">
      <c r="A61">
        <v>50</v>
      </c>
      <c r="B61" s="6" t="n">
        <v>9833.6988481801</v>
      </c>
      <c r="C61" s="9">
        <f si="0" t="shared"/>
        <v>1.6714412326665502E-3</v>
      </c>
      <c r="E61" s="240">
        <v>50</v>
      </c>
      <c r="F61" s="330" t="n">
        <v>15145.0</v>
      </c>
      <c r="G61" s="9">
        <f si="1" t="shared"/>
        <v>3.420389581052668E-3</v>
      </c>
    </row>
    <row r="62" spans="1:7" x14ac:dyDescent="0.25">
      <c r="A62">
        <v>51</v>
      </c>
      <c r="B62" s="6" t="n">
        <v>22786.4690392695</v>
      </c>
      <c r="C62" s="9">
        <f si="0" t="shared"/>
        <v>3.8730333811435899E-3</v>
      </c>
      <c r="E62" s="241">
        <v>51</v>
      </c>
      <c r="F62" s="331" t="n">
        <v>16847.0</v>
      </c>
      <c r="G62" s="9">
        <f si="1" t="shared"/>
        <v>2.7760690889502859E-3</v>
      </c>
    </row>
    <row r="63" spans="1:7" x14ac:dyDescent="0.25">
      <c r="A63">
        <v>52</v>
      </c>
      <c r="B63" s="6" t="n">
        <v>20446.112975134398</v>
      </c>
      <c r="C63" s="9">
        <f si="0" t="shared"/>
        <v>3.4752412903841139E-3</v>
      </c>
      <c r="E63" s="242">
        <v>52</v>
      </c>
      <c r="F63" s="332" t="n">
        <v>12204.0</v>
      </c>
      <c r="G63" s="9">
        <f si="1" t="shared"/>
        <v>2.7235920693669743E-3</v>
      </c>
    </row>
    <row r="64" spans="1:7" x14ac:dyDescent="0.25">
      <c r="A64">
        <v>53</v>
      </c>
      <c r="B64" s="6" t="n">
        <v>2353.1339614491</v>
      </c>
      <c r="C64" s="9">
        <f si="0" t="shared"/>
        <v>3.9996395963273784E-4</v>
      </c>
      <c r="E64" s="243">
        <v>53</v>
      </c>
      <c r="F64" s="333" t="n">
        <v>11999.0</v>
      </c>
      <c r="G64" s="9">
        <f si="1" t="shared"/>
        <v>2.3517350431805938E-3</v>
      </c>
    </row>
    <row r="65" spans="1:7" x14ac:dyDescent="0.25">
      <c r="A65">
        <v>54</v>
      </c>
      <c r="B65" s="6" t="n">
        <v>38811.9705766629</v>
      </c>
      <c r="C65" s="9">
        <f si="0" t="shared"/>
        <v>6.5969000011507377E-3</v>
      </c>
      <c r="E65" s="244">
        <v>54</v>
      </c>
      <c r="F65" s="334" t="n">
        <v>10198.0</v>
      </c>
      <c r="G65" s="9">
        <f si="1" t="shared"/>
        <v>2.20386105753358E-3</v>
      </c>
    </row>
    <row r="66" spans="1:7" x14ac:dyDescent="0.25">
      <c r="A66">
        <v>55</v>
      </c>
      <c r="B66" s="6" t="n">
        <v>3407.1738624967</v>
      </c>
      <c r="C66" s="9">
        <f si="0" t="shared"/>
        <v>5.7911991902158725E-4</v>
      </c>
      <c r="E66" s="245">
        <v>55</v>
      </c>
      <c r="F66" s="335" t="n">
        <v>8982.0</v>
      </c>
      <c r="G66" s="9">
        <f si="1" t="shared"/>
        <v>1.8236633130028323E-3</v>
      </c>
    </row>
    <row r="67" spans="1:7" x14ac:dyDescent="0.25">
      <c r="A67">
        <v>56</v>
      </c>
      <c r="B67" s="6" t="n">
        <v>8306.3735064256</v>
      </c>
      <c r="C67" s="9">
        <f si="0" t="shared"/>
        <v>1.4118405888683674E-3</v>
      </c>
      <c r="E67" s="246">
        <v>56</v>
      </c>
      <c r="F67" s="336" t="n">
        <v>9375.0</v>
      </c>
      <c r="G67" s="9">
        <f si="1" t="shared"/>
        <v>2.3479122139394254E-3</v>
      </c>
    </row>
    <row r="68" spans="1:7" x14ac:dyDescent="0.25">
      <c r="A68">
        <v>57</v>
      </c>
      <c r="B68" s="6" t="n">
        <v>4576.546393783</v>
      </c>
      <c r="C68" s="9">
        <f si="0" t="shared"/>
        <v>7.7787905282415421E-4</v>
      </c>
      <c r="E68" s="247">
        <v>57</v>
      </c>
      <c r="F68" s="337" t="n">
        <v>11354.0</v>
      </c>
      <c r="G68" s="9">
        <f si="1" t="shared"/>
        <v>2.0328763314740482E-3</v>
      </c>
    </row>
    <row r="69" spans="1:7" x14ac:dyDescent="0.25">
      <c r="A69">
        <v>58</v>
      </c>
      <c r="B69" s="6" t="n">
        <v>15517.8674723471</v>
      </c>
      <c r="C69" s="9">
        <f si="0" t="shared"/>
        <v>2.6375836739332462E-3</v>
      </c>
      <c r="E69" s="248">
        <v>58</v>
      </c>
      <c r="F69" s="338" t="n">
        <v>7608.0</v>
      </c>
      <c r="G69" s="9">
        <f si="1" t="shared"/>
        <v>1.5263514570192358E-3</v>
      </c>
    </row>
    <row r="70" spans="1:7" x14ac:dyDescent="0.25">
      <c r="A70">
        <v>59</v>
      </c>
      <c r="B70" s="6" t="n">
        <v>18685.0195483197</v>
      </c>
      <c r="C70" s="9">
        <f si="0" t="shared"/>
        <v>3.1759069083167925E-3</v>
      </c>
      <c r="E70" s="249">
        <v>59</v>
      </c>
      <c r="F70" s="339" t="n">
        <v>8131.0</v>
      </c>
      <c r="G70" s="9">
        <f si="1" t="shared"/>
        <v>1.804722931762498E-3</v>
      </c>
    </row>
    <row r="71" spans="1:7" x14ac:dyDescent="0.25">
      <c r="A71">
        <v>60</v>
      </c>
      <c r="B71" s="6" t="n">
        <v>25859.931172548</v>
      </c>
      <c r="C71" s="9">
        <f si="0" t="shared"/>
        <v>4.3954320650886137E-3</v>
      </c>
      <c r="E71" s="250">
        <v>60</v>
      </c>
      <c r="F71" s="340" t="n">
        <v>7360.0</v>
      </c>
      <c r="G71" s="9">
        <f si="1" t="shared"/>
        <v>1.3861231298545587E-3</v>
      </c>
    </row>
    <row r="72" spans="1:7" x14ac:dyDescent="0.25">
      <c r="A72">
        <v>61</v>
      </c>
      <c r="B72" s="6" t="n">
        <v>27551.548556353</v>
      </c>
      <c r="C72" s="9">
        <f si="0" t="shared"/>
        <v>4.682957551565196E-3</v>
      </c>
      <c r="E72" s="251">
        <v>61</v>
      </c>
      <c r="F72" s="341" t="n">
        <v>6001.0</v>
      </c>
      <c r="G72" s="9">
        <f si="1" t="shared"/>
        <v>1.1904637786929399E-3</v>
      </c>
    </row>
    <row r="73" spans="1:7" x14ac:dyDescent="0.25">
      <c r="A73">
        <v>62</v>
      </c>
      <c r="B73" s="6" t="n">
        <v>5269.881621041</v>
      </c>
      <c r="C73" s="9">
        <f si="0" t="shared"/>
        <v>8.9572576592679551E-4</v>
      </c>
      <c r="E73" s="252">
        <v>62</v>
      </c>
      <c r="F73" s="342" t="n">
        <v>6286.0</v>
      </c>
      <c r="G73" s="9">
        <f si="1" t="shared"/>
        <v>1.2518028115171419E-3</v>
      </c>
    </row>
    <row r="74" spans="1:7" x14ac:dyDescent="0.25">
      <c r="A74">
        <v>63</v>
      </c>
      <c r="B74" s="6" t="n">
        <v>2698.5191981036</v>
      </c>
      <c r="C74" s="9">
        <f si="0" t="shared"/>
        <v>4.586693495995522E-4</v>
      </c>
      <c r="E74" s="253">
        <v>63</v>
      </c>
      <c r="F74" s="343" t="n">
        <v>5915.0</v>
      </c>
      <c r="G74" s="9">
        <f si="1" t="shared"/>
        <v>1.218092408208657E-3</v>
      </c>
    </row>
    <row r="75" spans="1:7" x14ac:dyDescent="0.25">
      <c r="A75">
        <v>64</v>
      </c>
      <c r="B75" s="6" t="n">
        <v>5911.163037777</v>
      </c>
      <c r="C75" s="9">
        <f si="0" t="shared"/>
        <v>1.004724853474991E-3</v>
      </c>
      <c r="E75" s="254">
        <v>64</v>
      </c>
      <c r="F75" s="344" t="n">
        <v>5541.0</v>
      </c>
      <c r="G75" s="9">
        <f si="1" t="shared"/>
        <v>1.1449373577299344E-3</v>
      </c>
    </row>
    <row r="76" spans="1:7" x14ac:dyDescent="0.25">
      <c r="A76">
        <v>65</v>
      </c>
      <c r="B76" s="6" t="n">
        <v>6358.2571598738</v>
      </c>
      <c r="C76" s="9">
        <f si="0" t="shared"/>
        <v>1.0807177796457721E-3</v>
      </c>
      <c r="E76" s="255">
        <v>65</v>
      </c>
      <c r="F76" s="345" t="n">
        <v>4752.0</v>
      </c>
      <c r="G76" s="9">
        <f si="1" t="shared"/>
        <v>1.0398095535978037E-3</v>
      </c>
    </row>
    <row r="77" spans="1:7" x14ac:dyDescent="0.25">
      <c r="A77">
        <v>66</v>
      </c>
      <c r="B77" s="6" t="n">
        <v>7571.365467162</v>
      </c>
      <c r="C77" s="9">
        <f ref="C77:C102" si="2" t="shared">B77/B$102</f>
        <v>1.2869107163826002E-3</v>
      </c>
      <c r="E77" s="256">
        <v>66</v>
      </c>
      <c r="F77" s="346" t="n">
        <v>5043.0</v>
      </c>
      <c r="G77" s="9">
        <f ref="G77:G102" si="3" t="shared">F77/F$102</f>
        <v>1.0076630349788876E-3</v>
      </c>
    </row>
    <row r="78" spans="1:7" x14ac:dyDescent="0.25">
      <c r="A78">
        <v>67</v>
      </c>
      <c r="B78" s="6" t="n">
        <v>13229.806233146</v>
      </c>
      <c r="C78" s="9">
        <f si="2" t="shared"/>
        <v>2.2486801741301581E-3</v>
      </c>
      <c r="E78" s="257">
        <v>67</v>
      </c>
      <c r="F78" s="347" t="n">
        <v>5442.0</v>
      </c>
      <c r="G78" s="9">
        <f si="3" t="shared"/>
        <v>9.8681123911796911E-4</v>
      </c>
    </row>
    <row r="79" spans="1:7" x14ac:dyDescent="0.25">
      <c r="A79">
        <v>68</v>
      </c>
      <c r="B79" s="6" t="n">
        <v>1444.023518146</v>
      </c>
      <c r="C79" s="9">
        <f si="2" t="shared"/>
        <v>2.4544176981951385E-4</v>
      </c>
      <c r="E79" s="258">
        <v>68</v>
      </c>
      <c r="F79" s="348" t="n">
        <v>4156.0</v>
      </c>
      <c r="G79" s="9">
        <f si="3" t="shared"/>
        <v>1.1329475751099063E-3</v>
      </c>
    </row>
    <row r="80" spans="1:7" x14ac:dyDescent="0.25">
      <c r="A80">
        <v>69</v>
      </c>
      <c r="B80" s="6" t="n">
        <v>9242.7549155323</v>
      </c>
      <c r="C80" s="9">
        <f si="2" t="shared"/>
        <v>1.5709980453704033E-3</v>
      </c>
      <c r="E80" s="259">
        <v>69</v>
      </c>
      <c r="F80" s="349" t="n">
        <v>4861.0</v>
      </c>
      <c r="G80" s="9">
        <f si="3" t="shared"/>
        <v>9.2008549236302975E-4</v>
      </c>
    </row>
    <row r="81" spans="1:7" x14ac:dyDescent="0.25">
      <c r="A81">
        <v>70</v>
      </c>
      <c r="B81" s="6" t="n">
        <v>8123.2133185824</v>
      </c>
      <c r="C81" s="9">
        <f si="2" t="shared"/>
        <v>1.3807087131753536E-3</v>
      </c>
      <c r="E81" s="260">
        <v>70</v>
      </c>
      <c r="F81" s="350" t="n">
        <v>3608.0</v>
      </c>
      <c r="G81" s="9">
        <f si="3" t="shared"/>
        <v>7.7116891692296998E-4</v>
      </c>
    </row>
    <row r="82" spans="1:7" x14ac:dyDescent="0.25">
      <c r="A82">
        <v>71</v>
      </c>
      <c r="B82" s="6" t="n">
        <v>6545.5658596602</v>
      </c>
      <c r="C82" s="9">
        <f si="2" t="shared"/>
        <v>1.1125547810522253E-3</v>
      </c>
      <c r="E82" s="261">
        <v>71</v>
      </c>
      <c r="F82" s="351" t="n">
        <v>3846.0</v>
      </c>
      <c r="G82" s="9">
        <f si="3" t="shared"/>
        <v>8.09397209334654E-4</v>
      </c>
    </row>
    <row r="83" spans="1:7" x14ac:dyDescent="0.25">
      <c r="A83">
        <v>72</v>
      </c>
      <c r="B83" s="6" t="n">
        <v>44741.4452130761</v>
      </c>
      <c r="C83" s="9">
        <f si="2" t="shared"/>
        <v>7.6047372908991107E-3</v>
      </c>
      <c r="E83" s="262">
        <v>72</v>
      </c>
      <c r="F83" s="352" t="n">
        <v>3706.0</v>
      </c>
      <c r="G83" s="9">
        <f si="3" t="shared"/>
        <v>8.1252497871379177E-4</v>
      </c>
    </row>
    <row r="84" spans="1:7" x14ac:dyDescent="0.25">
      <c r="A84">
        <v>73</v>
      </c>
      <c r="B84" s="6" t="n">
        <v>3851.127302794</v>
      </c>
      <c r="C84" s="9">
        <f si="2" t="shared"/>
        <v>6.5457902113090223E-4</v>
      </c>
      <c r="E84" s="263">
        <v>73</v>
      </c>
      <c r="F84" s="353" t="n">
        <v>2737.0</v>
      </c>
      <c r="G84" s="9">
        <f si="3" t="shared"/>
        <v>6.2485881596552502E-4</v>
      </c>
    </row>
    <row r="85" spans="1:7" x14ac:dyDescent="0.25">
      <c r="A85">
        <v>74</v>
      </c>
      <c r="B85" s="6" t="n">
        <v>11507.2270041624</v>
      </c>
      <c r="C85" s="9">
        <f si="2" t="shared"/>
        <v>1.9558920794051512E-3</v>
      </c>
      <c r="E85" s="264">
        <v>74</v>
      </c>
      <c r="F85" s="354" t="n">
        <v>3484.0</v>
      </c>
      <c r="G85" s="9">
        <f si="3" t="shared"/>
        <v>6.6482475803228554E-4</v>
      </c>
    </row>
    <row r="86" spans="1:7" x14ac:dyDescent="0.25">
      <c r="A86">
        <v>75</v>
      </c>
      <c r="B86" s="6" t="n">
        <v>9615.6426573921</v>
      </c>
      <c r="C86" s="9">
        <f si="2" t="shared"/>
        <v>1.6343780569533018E-3</v>
      </c>
      <c r="E86" s="265">
        <v>75</v>
      </c>
      <c r="F86" s="355" t="n">
        <v>2685.0</v>
      </c>
      <c r="G86" s="9">
        <f si="3" t="shared"/>
        <v>5.4822846617664947E-4</v>
      </c>
    </row>
    <row r="87" spans="1:7" x14ac:dyDescent="0.25">
      <c r="A87">
        <v>76</v>
      </c>
      <c r="B87" s="6" t="n">
        <v>17322.019147213</v>
      </c>
      <c r="C87" s="9">
        <f si="2" t="shared"/>
        <v>2.9442366989964816E-3</v>
      </c>
      <c r="E87" s="266">
        <v>76</v>
      </c>
      <c r="F87" s="356" t="n">
        <v>2658.0</v>
      </c>
      <c r="G87" s="9">
        <f si="3" t="shared"/>
        <v>5.8263392934716502E-4</v>
      </c>
    </row>
    <row r="88" spans="1:7" x14ac:dyDescent="0.25">
      <c r="A88">
        <v>77</v>
      </c>
      <c r="B88" s="6" t="n">
        <v>3761.1715561875</v>
      </c>
      <c r="C88" s="9">
        <f si="2" t="shared"/>
        <v>6.3928917482640262E-4</v>
      </c>
      <c r="E88" s="267">
        <v>77</v>
      </c>
      <c r="F88" s="357" t="n">
        <v>2298.0</v>
      </c>
      <c r="G88" s="9">
        <f si="3" t="shared"/>
        <v>4.821977792837408E-4</v>
      </c>
    </row>
    <row r="89" spans="1:7" x14ac:dyDescent="0.25">
      <c r="A89">
        <v>78</v>
      </c>
      <c r="B89" s="6" t="n">
        <v>1208.3615056104</v>
      </c>
      <c r="C89" s="9">
        <f si="2" t="shared"/>
        <v>2.0538611926457741E-4</v>
      </c>
      <c r="E89" s="268">
        <v>78</v>
      </c>
      <c r="F89" s="358" t="n">
        <v>2416.0</v>
      </c>
      <c r="G89" s="9">
        <f si="3" t="shared"/>
        <v>4.9488262176579953E-4</v>
      </c>
    </row>
    <row r="90" spans="1:7" x14ac:dyDescent="0.25">
      <c r="A90">
        <v>79</v>
      </c>
      <c r="B90" s="6" t="n">
        <v>2981.6171355287</v>
      </c>
      <c r="C90" s="9">
        <f si="2" t="shared"/>
        <v>5.0678772019443141E-4</v>
      </c>
      <c r="E90" s="269">
        <v>79</v>
      </c>
      <c r="F90" s="359" t="n">
        <v>2124.0</v>
      </c>
      <c r="G90" s="9">
        <f si="3" t="shared"/>
        <v>5.0756746424785836E-4</v>
      </c>
    </row>
    <row r="91" spans="1:7" x14ac:dyDescent="0.25">
      <c r="A91">
        <v>80</v>
      </c>
      <c r="B91" s="6" t="n">
        <v>35198.386924146704</v>
      </c>
      <c r="C91" s="9">
        <f si="2" t="shared"/>
        <v>5.9826964539653211E-3</v>
      </c>
      <c r="E91" s="270">
        <v>80</v>
      </c>
      <c r="F91" s="360" t="n">
        <v>2352.0</v>
      </c>
      <c r="G91" s="9">
        <f si="3" t="shared"/>
        <v>4.6777528714660551E-4</v>
      </c>
    </row>
    <row r="92" spans="1:7" x14ac:dyDescent="0.25">
      <c r="A92">
        <v>81</v>
      </c>
      <c r="B92" s="6" t="n">
        <v>2632.678679736</v>
      </c>
      <c r="C92" s="9">
        <f si="2" t="shared"/>
        <v>4.4747838688259726E-4</v>
      </c>
      <c r="E92" s="271">
        <v>81</v>
      </c>
      <c r="F92" s="361" t="n">
        <v>1964.0</v>
      </c>
      <c r="G92" s="9">
        <f si="3" t="shared"/>
        <v>3.4666110618777044E-4</v>
      </c>
    </row>
    <row r="93" spans="1:7" x14ac:dyDescent="0.25">
      <c r="A93">
        <v>82</v>
      </c>
      <c r="B93" s="6" t="n">
        <v>9855.246057459</v>
      </c>
      <c r="C93" s="9">
        <f si="2" t="shared"/>
        <v>1.6751036281286926E-3</v>
      </c>
      <c r="E93" s="272">
        <v>82</v>
      </c>
      <c r="F93" s="362" t="n">
        <v>1801.0</v>
      </c>
      <c r="G93" s="9">
        <f si="3" t="shared"/>
        <v>3.7272585101391859E-4</v>
      </c>
    </row>
    <row r="94" spans="1:7" x14ac:dyDescent="0.25">
      <c r="A94">
        <v>83</v>
      </c>
      <c r="B94" s="6" t="n">
        <v>5837.9404788961</v>
      </c>
      <c r="C94" s="9">
        <f si="2" t="shared"/>
        <v>9.9227915974729047E-4</v>
      </c>
      <c r="E94" s="273">
        <v>83</v>
      </c>
      <c r="F94" s="363" t="n">
        <v>1835.0</v>
      </c>
      <c r="G94" s="9">
        <f si="3" t="shared"/>
        <v>3.570870041182297E-4</v>
      </c>
    </row>
    <row r="95" spans="1:7" x14ac:dyDescent="0.25">
      <c r="A95">
        <v>84</v>
      </c>
      <c r="B95" s="6" t="n">
        <v>8223.5712677336</v>
      </c>
      <c r="C95" s="9">
        <f si="2" t="shared"/>
        <v>1.3977666297159048E-3</v>
      </c>
      <c r="E95" s="274">
        <v>84</v>
      </c>
      <c r="F95" s="364" t="n">
        <v>1690.0</v>
      </c>
      <c r="G95" s="9">
        <f si="3" t="shared"/>
        <v>3.3519261846426526E-4</v>
      </c>
    </row>
    <row r="96" spans="1:7" x14ac:dyDescent="0.25">
      <c r="A96">
        <v>85</v>
      </c>
      <c r="B96" s="6" t="n">
        <v>5006.9698036617</v>
      </c>
      <c r="C96" s="9">
        <f si="2" t="shared"/>
        <v>8.5103844542741027E-4</v>
      </c>
      <c r="E96" s="275">
        <v>85</v>
      </c>
      <c r="F96" s="365" t="n">
        <v>1772.0</v>
      </c>
      <c r="G96" s="9">
        <f si="3" t="shared"/>
        <v>3.5760829901475266E-4</v>
      </c>
    </row>
    <row r="97" spans="1:7" x14ac:dyDescent="0.25">
      <c r="A97">
        <v>86</v>
      </c>
      <c r="B97" s="6" t="n">
        <v>2867.0805968983</v>
      </c>
      <c r="C97" s="9">
        <f si="2" t="shared"/>
        <v>4.8731985807363998E-4</v>
      </c>
      <c r="E97" s="276">
        <v>86</v>
      </c>
      <c r="F97" s="366" t="n">
        <v>1661.0</v>
      </c>
      <c r="G97" s="9">
        <f si="3" t="shared"/>
        <v>3.1173434812073187E-4</v>
      </c>
    </row>
    <row r="98" spans="1:7" x14ac:dyDescent="0.25">
      <c r="A98">
        <v>87</v>
      </c>
      <c r="B98" s="6" t="n">
        <v>7103.3543771546</v>
      </c>
      <c r="C98" s="9">
        <f si="2" t="shared"/>
        <v>1.2073625173518404E-3</v>
      </c>
      <c r="E98" s="277">
        <v>87</v>
      </c>
      <c r="F98" s="367" t="n">
        <v>1589.0</v>
      </c>
      <c r="G98" s="9">
        <f si="3" t="shared"/>
        <v>3.0600010425897928E-4</v>
      </c>
    </row>
    <row r="99" spans="1:7" x14ac:dyDescent="0.25">
      <c r="A99">
        <v>88</v>
      </c>
      <c r="B99" s="6" t="n">
        <v>6611.2846627433</v>
      </c>
      <c r="C99" s="9">
        <f si="2" t="shared"/>
        <v>1.1237250557301931E-3</v>
      </c>
      <c r="E99" s="278">
        <v>88</v>
      </c>
      <c r="F99" s="368" t="n">
        <v>1816.0</v>
      </c>
      <c r="G99" s="9">
        <f si="3" t="shared"/>
        <v>3.2250777598220648E-4</v>
      </c>
    </row>
    <row r="100" spans="1:7" x14ac:dyDescent="0.25">
      <c r="A100">
        <v>89</v>
      </c>
      <c r="B100" s="6" t="n">
        <v>12051.0114977885</v>
      </c>
      <c r="C100" s="9">
        <f si="2" t="shared"/>
        <v>2.0483195411734739E-3</v>
      </c>
      <c r="E100" s="279">
        <v>89</v>
      </c>
      <c r="F100" s="369" t="n">
        <v>1436.0</v>
      </c>
      <c r="G100" s="9">
        <f si="3" t="shared"/>
        <v>2.7767641488123167E-4</v>
      </c>
    </row>
    <row ht="15.75" r="101" spans="1:7" thickBot="1" x14ac:dyDescent="0.3">
      <c r="A101" s="1">
        <v>90</v>
      </c>
      <c r="B101" s="7" t="n">
        <v>255275.5855974669</v>
      </c>
      <c r="C101" s="9">
        <f si="2" t="shared"/>
        <v>4.3389384406425043E-2</v>
      </c>
      <c r="E101" s="372">
        <v>90</v>
      </c>
      <c r="F101" s="372" t="n">
        <v>91947.0</v>
      </c>
      <c r="G101" s="9">
        <f si="3" t="shared"/>
        <v>1.6303324123790163E-2</v>
      </c>
    </row>
    <row r="102" spans="1:7" x14ac:dyDescent="0.25">
      <c r="B102" s="6">
        <f>SUM(B11:B101)</f>
        <v>5883365.0002111122</v>
      </c>
      <c r="C102" s="9">
        <f si="2" t="shared"/>
        <v>1</v>
      </c>
      <c r="F102" s="6">
        <f>SUM(F11:F101)</f>
        <v>5754900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98296.5465534797</v>
      </c>
      <c r="C11" s="9">
        <f>B11/B$102</f>
        <v>4.3350897587176453E-2</v>
      </c>
      <c r="E11" s="371">
        <v>0</v>
      </c>
      <c r="F11" s="371" t="n">
        <v>286408.0</v>
      </c>
      <c r="G11" s="9">
        <f>F11/F$102</f>
        <v>0.1121482253385207</v>
      </c>
      <c r="K11" s="6" t="n">
        <v>10.388893204831918</v>
      </c>
      <c r="L11" s="6" t="n">
        <v>9.076091200724182</v>
      </c>
    </row>
    <row r="12" spans="1:12" x14ac:dyDescent="0.25">
      <c r="A12">
        <v>1</v>
      </c>
      <c r="B12" s="6" t="n">
        <v>92884.4539748665</v>
      </c>
      <c r="C12" s="9">
        <f>B12/B$102</f>
        <v>4.0964048004621383E-2</v>
      </c>
      <c r="E12" s="371">
        <v>1</v>
      </c>
      <c r="F12" s="371" t="n">
        <v>181568.0</v>
      </c>
      <c r="G12" s="9">
        <f>F12/F$102</f>
        <v>7.0380679940557411E-2</v>
      </c>
      <c r="K12" s="6"/>
      <c r="L12" s="371"/>
    </row>
    <row r="13" spans="1:12" x14ac:dyDescent="0.25">
      <c r="A13">
        <v>2</v>
      </c>
      <c r="B13" s="6" t="n">
        <v>77163.9047374588</v>
      </c>
      <c r="C13" s="9">
        <f ref="C13:C76" si="0" t="shared">B13/B$102</f>
        <v>3.4030946650605388E-2</v>
      </c>
      <c r="E13" s="371">
        <v>2</v>
      </c>
      <c r="F13" s="371" t="n">
        <v>121104.0</v>
      </c>
      <c r="G13" s="9">
        <f ref="G13:G76" si="1" t="shared">F13/F$102</f>
        <v>4.6555796362486287E-2</v>
      </c>
    </row>
    <row r="14" spans="1:12" x14ac:dyDescent="0.25">
      <c r="A14">
        <v>3</v>
      </c>
      <c r="B14" s="6" t="n">
        <v>138559.283781218</v>
      </c>
      <c r="C14" s="9">
        <f si="0" t="shared"/>
        <v>6.1107633294971188E-2</v>
      </c>
      <c r="E14" s="371">
        <v>3</v>
      </c>
      <c r="F14" s="371" t="n">
        <v>81968.0</v>
      </c>
      <c r="G14" s="9">
        <f si="1" t="shared"/>
        <v>3.1275076077194278E-2</v>
      </c>
    </row>
    <row r="15" spans="1:12" x14ac:dyDescent="0.25">
      <c r="A15">
        <v>4</v>
      </c>
      <c r="B15" s="6" t="n">
        <v>259895.0907012826</v>
      </c>
      <c r="C15" s="9">
        <f si="0" t="shared"/>
        <v>0.11461934173110985</v>
      </c>
      <c r="E15" s="371">
        <v>4</v>
      </c>
      <c r="F15" s="371" t="n">
        <v>237638.0</v>
      </c>
      <c r="G15" s="9">
        <f si="1" t="shared"/>
        <v>9.0748891533485115E-2</v>
      </c>
    </row>
    <row r="16" spans="1:12" x14ac:dyDescent="0.25">
      <c r="A16">
        <v>5</v>
      </c>
      <c r="B16" s="6" t="n">
        <v>187494.5667675218</v>
      </c>
      <c r="C16" s="9">
        <f si="0" t="shared"/>
        <v>8.2689148775625249E-2</v>
      </c>
      <c r="E16" s="371">
        <v>5</v>
      </c>
      <c r="F16" s="371" t="n">
        <v>193020.0</v>
      </c>
      <c r="G16" s="9">
        <f si="1" t="shared"/>
        <v>7.308195252296508E-2</v>
      </c>
    </row>
    <row r="17" spans="1:7" x14ac:dyDescent="0.25">
      <c r="A17">
        <v>6</v>
      </c>
      <c r="B17" s="6" t="n">
        <v>170117.2002851204</v>
      </c>
      <c r="C17" s="9">
        <f si="0" t="shared"/>
        <v>7.5025355273952654E-2</v>
      </c>
      <c r="E17" s="371">
        <v>6</v>
      </c>
      <c r="F17" s="371" t="n">
        <v>183013.0</v>
      </c>
      <c r="G17" s="9">
        <f si="1" t="shared"/>
        <v>7.0694111898858381E-2</v>
      </c>
    </row>
    <row r="18" spans="1:7" x14ac:dyDescent="0.25">
      <c r="A18">
        <v>7</v>
      </c>
      <c r="B18" s="6" t="n">
        <v>115674.7960320113</v>
      </c>
      <c r="C18" s="9">
        <f si="0" t="shared"/>
        <v>5.1015080509191402E-2</v>
      </c>
      <c r="E18" s="371">
        <v>7</v>
      </c>
      <c r="F18" s="371" t="n">
        <v>129430.0</v>
      </c>
      <c r="G18" s="9">
        <f si="1" t="shared"/>
        <v>5.0236695867604396E-2</v>
      </c>
    </row>
    <row r="19" spans="1:7" x14ac:dyDescent="0.25">
      <c r="A19">
        <v>8</v>
      </c>
      <c r="B19" s="6" t="n">
        <v>137490.15335657</v>
      </c>
      <c r="C19" s="9">
        <f si="0" t="shared"/>
        <v>6.0636123713288845E-2</v>
      </c>
      <c r="E19" s="371">
        <v>8</v>
      </c>
      <c r="F19" s="371" t="n">
        <v>138739.0</v>
      </c>
      <c r="G19" s="9">
        <f si="1" t="shared"/>
        <v>4.8969992843371196E-2</v>
      </c>
    </row>
    <row r="20" spans="1:7" x14ac:dyDescent="0.25">
      <c r="A20">
        <v>9</v>
      </c>
      <c r="B20" s="6" t="n">
        <v>86984.82988029301</v>
      </c>
      <c r="C20" s="9">
        <f si="0" t="shared"/>
        <v>3.8362186505982186E-2</v>
      </c>
      <c r="E20" s="371">
        <v>9</v>
      </c>
      <c r="F20" s="371" t="n">
        <v>95692.0</v>
      </c>
      <c r="G20" s="9">
        <f si="1" t="shared"/>
        <v>3.2958607113243006E-2</v>
      </c>
    </row>
    <row r="21" spans="1:7" x14ac:dyDescent="0.25">
      <c r="A21">
        <v>10</v>
      </c>
      <c r="B21" s="6" t="n">
        <v>127067.0036623775</v>
      </c>
      <c r="C21" s="9">
        <f si="0" t="shared"/>
        <v>5.6039289838937911E-2</v>
      </c>
      <c r="E21" s="371">
        <v>10</v>
      </c>
      <c r="F21" s="371" t="n">
        <v>75070.0</v>
      </c>
      <c r="G21" s="9">
        <f si="1" t="shared"/>
        <v>3.0620234404935439E-2</v>
      </c>
    </row>
    <row r="22" spans="1:7" x14ac:dyDescent="0.25">
      <c r="A22">
        <v>11</v>
      </c>
      <c r="B22" s="6" t="n">
        <v>71225.6347937431</v>
      </c>
      <c r="C22" s="9">
        <f si="0" t="shared"/>
        <v>3.1412041498785341E-2</v>
      </c>
      <c r="E22" s="371">
        <v>11</v>
      </c>
      <c r="F22" s="371" t="n">
        <v>85894.0</v>
      </c>
      <c r="G22" s="9">
        <f si="1" t="shared"/>
        <v>3.1793272768926038E-2</v>
      </c>
    </row>
    <row r="23" spans="1:7" x14ac:dyDescent="0.25">
      <c r="A23">
        <v>12</v>
      </c>
      <c r="B23" s="6" t="n">
        <v>64215.6654059196</v>
      </c>
      <c r="C23" s="9">
        <f si="0" t="shared"/>
        <v>2.8320493772279569E-2</v>
      </c>
      <c r="E23" s="371">
        <v>12</v>
      </c>
      <c r="F23" s="371" t="n">
        <v>66142.0</v>
      </c>
      <c r="G23" s="9">
        <f si="1" t="shared"/>
        <v>2.5452864577525752E-2</v>
      </c>
    </row>
    <row r="24" spans="1:7" x14ac:dyDescent="0.25">
      <c r="A24">
        <v>13</v>
      </c>
      <c r="B24" s="6" t="n">
        <v>54347.4564745415</v>
      </c>
      <c r="C24" s="9">
        <f si="0" t="shared"/>
        <v>2.3968400746099006E-2</v>
      </c>
      <c r="E24" s="371">
        <v>13</v>
      </c>
      <c r="F24" s="371" t="n">
        <v>73241.0</v>
      </c>
      <c r="G24" s="9">
        <f si="1" t="shared"/>
        <v>3.017988885937934E-2</v>
      </c>
    </row>
    <row r="25" spans="1:7" x14ac:dyDescent="0.25">
      <c r="A25">
        <v>14</v>
      </c>
      <c r="B25" s="6" t="n">
        <v>34582.6345875854</v>
      </c>
      <c r="C25" s="9">
        <f si="0" t="shared"/>
        <v>1.5251687906304068E-2</v>
      </c>
      <c r="E25" s="371">
        <v>14</v>
      </c>
      <c r="F25" s="371" t="n">
        <v>60084.0</v>
      </c>
      <c r="G25" s="9">
        <f si="1" t="shared"/>
        <v>2.3928279631585669E-2</v>
      </c>
    </row>
    <row r="26" spans="1:7" x14ac:dyDescent="0.25">
      <c r="A26">
        <v>15</v>
      </c>
      <c r="B26" s="6" t="n">
        <v>53821.8271244117</v>
      </c>
      <c r="C26" s="9">
        <f si="0" t="shared"/>
        <v>2.373658686325935E-2</v>
      </c>
      <c r="E26" s="371">
        <v>15</v>
      </c>
      <c r="F26" s="371" t="n">
        <v>59481.0</v>
      </c>
      <c r="G26" s="9">
        <f si="1" t="shared"/>
        <v>2.4643942511794244E-2</v>
      </c>
    </row>
    <row r="27" spans="1:7" x14ac:dyDescent="0.25">
      <c r="A27">
        <v>16</v>
      </c>
      <c r="B27" s="6" t="n">
        <v>59301.8653303014</v>
      </c>
      <c r="C27" s="9">
        <f si="0" t="shared"/>
        <v>2.6153401933238316E-2</v>
      </c>
      <c r="E27" s="371">
        <v>16</v>
      </c>
      <c r="F27" s="371" t="n">
        <v>55906.0</v>
      </c>
      <c r="G27" s="9">
        <f si="1" t="shared"/>
        <v>2.4778154644003333E-2</v>
      </c>
    </row>
    <row r="28" spans="1:7" x14ac:dyDescent="0.25">
      <c r="A28">
        <v>17</v>
      </c>
      <c r="B28" s="6" t="n">
        <v>47893.4631537863</v>
      </c>
      <c r="C28" s="9">
        <f si="0" t="shared"/>
        <v>2.1122050459274257E-2</v>
      </c>
      <c r="E28" s="371">
        <v>17</v>
      </c>
      <c r="F28" s="371" t="n">
        <v>38166.0</v>
      </c>
      <c r="G28" s="9">
        <f si="1" t="shared"/>
        <v>1.646754478975122E-2</v>
      </c>
    </row>
    <row r="29" spans="1:7" x14ac:dyDescent="0.25">
      <c r="A29">
        <v>18</v>
      </c>
      <c r="B29" s="6" t="n">
        <v>57642.3111869992</v>
      </c>
      <c r="C29" s="9">
        <f si="0" t="shared"/>
        <v>2.5421502754384394E-2</v>
      </c>
      <c r="E29" s="371">
        <v>18</v>
      </c>
      <c r="F29" s="371" t="n">
        <v>38664.0</v>
      </c>
      <c r="G29" s="9">
        <f si="1" t="shared"/>
        <v>1.6710018672110839E-2</v>
      </c>
    </row>
    <row r="30" spans="1:7" x14ac:dyDescent="0.25">
      <c r="A30">
        <v>19</v>
      </c>
      <c r="B30" s="6" t="n">
        <v>33051.0305787079</v>
      </c>
      <c r="C30" s="9">
        <f si="0" t="shared"/>
        <v>1.4576217497007098E-2</v>
      </c>
      <c r="E30" s="371">
        <v>19</v>
      </c>
      <c r="F30" s="371" t="n">
        <v>33875.0</v>
      </c>
      <c r="G30" s="9">
        <f si="1" t="shared"/>
        <v>1.529207357744263E-2</v>
      </c>
    </row>
    <row r="31" spans="1:7" x14ac:dyDescent="0.25">
      <c r="A31">
        <v>20</v>
      </c>
      <c r="B31" s="6" t="n">
        <v>30625.5526516688</v>
      </c>
      <c r="C31" s="9">
        <f si="0" t="shared"/>
        <v>1.3506529406207057E-2</v>
      </c>
      <c r="E31" s="371">
        <v>20</v>
      </c>
      <c r="F31" s="371" t="n">
        <v>28072.0</v>
      </c>
      <c r="G31" s="9">
        <f si="1" t="shared"/>
        <v>1.3170629844155792E-2</v>
      </c>
    </row>
    <row r="32" spans="1:7" x14ac:dyDescent="0.25">
      <c r="A32">
        <v>21</v>
      </c>
      <c r="B32" s="6" t="n">
        <v>28347.0719922193</v>
      </c>
      <c r="C32" s="9">
        <f si="0" t="shared"/>
        <v>1.2501670281594596E-2</v>
      </c>
      <c r="E32" s="371">
        <v>21</v>
      </c>
      <c r="F32" s="371" t="n">
        <v>24143.0</v>
      </c>
      <c r="G32" s="9">
        <f si="1" t="shared"/>
        <v>1.1338695060709702E-2</v>
      </c>
    </row>
    <row r="33" spans="1:7" x14ac:dyDescent="0.25">
      <c r="A33">
        <v>22</v>
      </c>
      <c r="B33" s="6" t="n">
        <v>24678.2618001255</v>
      </c>
      <c r="C33" s="9">
        <f si="0" t="shared"/>
        <v>1.0883645839426468E-2</v>
      </c>
      <c r="E33" s="371">
        <v>22</v>
      </c>
      <c r="F33" s="371" t="n">
        <v>23806.0</v>
      </c>
      <c r="G33" s="9">
        <f si="1" t="shared"/>
        <v>1.0901593312910924E-2</v>
      </c>
    </row>
    <row r="34" spans="1:7" x14ac:dyDescent="0.25">
      <c r="A34">
        <v>23</v>
      </c>
      <c r="B34" s="6" t="n">
        <v>23681.8794503649</v>
      </c>
      <c r="C34" s="9">
        <f si="0" t="shared"/>
        <v>1.0444219728167904E-2</v>
      </c>
      <c r="E34" s="371">
        <v>23</v>
      </c>
      <c r="F34" s="371" t="n">
        <v>20104.0</v>
      </c>
      <c r="G34" s="9">
        <f si="1" t="shared"/>
        <v>1.0142950112417866E-2</v>
      </c>
    </row>
    <row r="35" spans="1:7" x14ac:dyDescent="0.25">
      <c r="A35">
        <v>24</v>
      </c>
      <c r="B35" s="6" t="n">
        <v>19224.0360309058</v>
      </c>
      <c r="C35" s="9">
        <f si="0" t="shared"/>
        <v>8.4782146108721649E-3</v>
      </c>
      <c r="E35" s="371">
        <v>24</v>
      </c>
      <c r="F35" s="371" t="n">
        <v>17654.0</v>
      </c>
      <c r="G35" s="9">
        <f si="1" t="shared"/>
        <v>8.7071641300843997E-3</v>
      </c>
    </row>
    <row r="36" spans="1:7" x14ac:dyDescent="0.25">
      <c r="A36">
        <v>25</v>
      </c>
      <c r="B36" s="6" t="n">
        <v>14879.560831223</v>
      </c>
      <c r="C36" s="9">
        <f si="0" t="shared"/>
        <v>6.5622073241969449E-3</v>
      </c>
      <c r="E36" s="371">
        <v>25</v>
      </c>
      <c r="F36" s="371" t="n">
        <v>17832.0</v>
      </c>
      <c r="G36" s="9">
        <f si="1" t="shared"/>
        <v>8.7047312817664108E-3</v>
      </c>
    </row>
    <row r="37" spans="1:7" x14ac:dyDescent="0.25">
      <c r="A37">
        <v>26</v>
      </c>
      <c r="B37" s="6" t="n">
        <v>16044.2989389792</v>
      </c>
      <c r="C37" s="9">
        <f si="0" t="shared"/>
        <v>7.0758819566800867E-3</v>
      </c>
      <c r="E37" s="371">
        <v>26</v>
      </c>
      <c r="F37" s="371" t="n">
        <v>15834.0</v>
      </c>
      <c r="G37" s="9">
        <f si="1" t="shared"/>
        <v>8.2895251688295361E-3</v>
      </c>
    </row>
    <row r="38" spans="1:7" x14ac:dyDescent="0.25">
      <c r="A38">
        <v>27</v>
      </c>
      <c r="B38" s="6" t="n">
        <v>13117.5190152414</v>
      </c>
      <c r="C38" s="9">
        <f si="0" t="shared"/>
        <v>5.7851088707189099E-3</v>
      </c>
      <c r="E38" s="371">
        <v>27</v>
      </c>
      <c r="F38" s="371" t="n">
        <v>11778.0</v>
      </c>
      <c r="G38" s="9">
        <f si="1" t="shared"/>
        <v>6.0103517695930453E-3</v>
      </c>
    </row>
    <row r="39" spans="1:7" x14ac:dyDescent="0.25">
      <c r="A39">
        <v>28</v>
      </c>
      <c r="B39" s="6" t="n">
        <v>10672.700122783699</v>
      </c>
      <c r="C39" s="9">
        <f si="0" t="shared"/>
        <v>4.7068909969254988E-3</v>
      </c>
      <c r="E39" s="371">
        <v>28</v>
      </c>
      <c r="F39" s="371" t="n">
        <v>10780.0</v>
      </c>
      <c r="G39" s="9">
        <f si="1" t="shared"/>
        <v>6.2439052081200369E-3</v>
      </c>
    </row>
    <row r="40" spans="1:7" x14ac:dyDescent="0.25">
      <c r="A40">
        <v>29</v>
      </c>
      <c r="B40" s="6" t="n">
        <v>6864.4818095773</v>
      </c>
      <c r="C40" s="9">
        <f si="0" t="shared"/>
        <v>3.0273845658872422E-3</v>
      </c>
      <c r="E40" s="371">
        <v>29</v>
      </c>
      <c r="F40" s="371" t="n">
        <v>10969.0</v>
      </c>
      <c r="G40" s="9">
        <f si="1" t="shared"/>
        <v>5.2480592966230042E-3</v>
      </c>
    </row>
    <row r="41" spans="1:7" x14ac:dyDescent="0.25">
      <c r="A41">
        <v>30</v>
      </c>
      <c r="B41" s="6" t="n">
        <v>9635.4113092566</v>
      </c>
      <c r="C41" s="9">
        <f si="0" t="shared"/>
        <v>4.2494242526683965E-3</v>
      </c>
      <c r="E41" s="371">
        <v>30</v>
      </c>
      <c r="F41" s="371" t="n">
        <v>7772.0</v>
      </c>
      <c r="G41" s="9">
        <f si="1" t="shared"/>
        <v>4.4387317561718322E-3</v>
      </c>
    </row>
    <row r="42" spans="1:7" x14ac:dyDescent="0.25">
      <c r="A42">
        <v>31</v>
      </c>
      <c r="B42" s="6" t="n">
        <v>8371.5091449033</v>
      </c>
      <c r="C42" s="9">
        <f si="0" t="shared"/>
        <v>3.6920161319539974E-3</v>
      </c>
      <c r="E42" s="371">
        <v>31</v>
      </c>
      <c r="F42" s="371" t="n">
        <v>6695.0</v>
      </c>
      <c r="G42" s="9">
        <f si="1" t="shared"/>
        <v>3.9367540532266668E-3</v>
      </c>
    </row>
    <row r="43" spans="1:7" x14ac:dyDescent="0.25">
      <c r="A43">
        <v>32</v>
      </c>
      <c r="B43" s="6" t="n">
        <v>3723.4798190898</v>
      </c>
      <c r="C43" s="9">
        <f si="0" t="shared"/>
        <v>1.6421349270643944E-3</v>
      </c>
      <c r="E43" s="371">
        <v>32</v>
      </c>
      <c r="F43" s="371" t="n">
        <v>5489.0</v>
      </c>
      <c r="G43" s="9">
        <f si="1" t="shared"/>
        <v>3.3893631816790302E-3</v>
      </c>
    </row>
    <row r="44" spans="1:7" x14ac:dyDescent="0.25">
      <c r="A44">
        <v>33</v>
      </c>
      <c r="B44" s="6" t="n">
        <v>5473.7832709866</v>
      </c>
      <c r="C44" s="9">
        <f si="0" t="shared"/>
        <v>2.4140565087486243E-3</v>
      </c>
      <c r="E44" s="371">
        <v>33</v>
      </c>
      <c r="F44" s="371" t="n">
        <v>4936.0</v>
      </c>
      <c r="G44" s="9">
        <f si="1" t="shared"/>
        <v>3.2304170915703834E-3</v>
      </c>
    </row>
    <row r="45" spans="1:7" x14ac:dyDescent="0.25">
      <c r="A45">
        <v>34</v>
      </c>
      <c r="B45" s="6" t="n">
        <v>13872.398854469</v>
      </c>
      <c r="C45" s="9">
        <f si="0" t="shared"/>
        <v>6.1180271648847741E-3</v>
      </c>
      <c r="E45" s="371">
        <v>34</v>
      </c>
      <c r="F45" s="371" t="n">
        <v>4466.0</v>
      </c>
      <c r="G45" s="9">
        <f si="1" t="shared"/>
        <v>2.6891083408177208E-3</v>
      </c>
    </row>
    <row r="46" spans="1:7" x14ac:dyDescent="0.25">
      <c r="A46">
        <v>35</v>
      </c>
      <c r="B46" s="6" t="n">
        <v>4599.1216396531</v>
      </c>
      <c r="C46" s="9">
        <f si="0" t="shared"/>
        <v>2.0283118602045201E-3</v>
      </c>
      <c r="E46" s="371">
        <v>35</v>
      </c>
      <c r="F46" s="371" t="n">
        <v>3932.0</v>
      </c>
      <c r="G46" s="9">
        <f si="1" t="shared"/>
        <v>2.4555549022907295E-3</v>
      </c>
    </row>
    <row r="47" spans="1:7" x14ac:dyDescent="0.25">
      <c r="A47">
        <v>36</v>
      </c>
      <c r="B47" s="6" t="n">
        <v>7102.2328572607</v>
      </c>
      <c r="C47" s="9">
        <f si="0" t="shared"/>
        <v>3.1322379069327437E-3</v>
      </c>
      <c r="E47" s="371">
        <v>36</v>
      </c>
      <c r="F47" s="371" t="n">
        <v>4390.0</v>
      </c>
      <c r="G47" s="9">
        <f si="1" t="shared"/>
        <v>2.9688858973865129E-3</v>
      </c>
    </row>
    <row r="48" spans="1:7" x14ac:dyDescent="0.25">
      <c r="A48">
        <v>37</v>
      </c>
      <c r="B48" s="6" t="n">
        <v>5285.7395312702</v>
      </c>
      <c r="C48" s="9">
        <f si="0" t="shared"/>
        <v>2.3311251628552044E-3</v>
      </c>
      <c r="E48" s="371">
        <v>37</v>
      </c>
      <c r="F48" s="371" t="n">
        <v>3668.0</v>
      </c>
      <c r="G48" s="9">
        <f si="1" t="shared"/>
        <v>2.3391836577468985E-3</v>
      </c>
    </row>
    <row r="49" spans="1:7" x14ac:dyDescent="0.25">
      <c r="A49">
        <v>38</v>
      </c>
      <c r="B49" s="6" t="n">
        <v>7397.7355238755</v>
      </c>
      <c r="C49" s="9">
        <f si="0" t="shared"/>
        <v>3.2625609578060119E-3</v>
      </c>
      <c r="E49" s="371">
        <v>38</v>
      </c>
      <c r="F49" s="371" t="n">
        <v>4178.0</v>
      </c>
      <c r="G49" s="9">
        <f si="1" t="shared"/>
        <v>2.7178970459139297E-3</v>
      </c>
    </row>
    <row r="50" spans="1:7" x14ac:dyDescent="0.25">
      <c r="A50">
        <v>39</v>
      </c>
      <c r="B50" s="6" t="n">
        <v>3446.054552879</v>
      </c>
      <c r="C50" s="9">
        <f si="0" t="shared"/>
        <v>1.5197843997540959E-3</v>
      </c>
      <c r="E50" s="371">
        <v>39</v>
      </c>
      <c r="F50" s="371" t="n">
        <v>2869.0</v>
      </c>
      <c r="G50" s="9">
        <f si="1" t="shared"/>
        <v>2.1623966799729955E-3</v>
      </c>
    </row>
    <row r="51" spans="1:7" x14ac:dyDescent="0.25">
      <c r="A51">
        <v>40</v>
      </c>
      <c r="B51" s="6" t="n">
        <v>3832.832403655</v>
      </c>
      <c r="C51" s="9">
        <f si="0" t="shared"/>
        <v>1.6903617759272879E-3</v>
      </c>
      <c r="E51" s="371">
        <v>40</v>
      </c>
      <c r="F51" s="371" t="n">
        <v>2474.0</v>
      </c>
      <c r="G51" s="9">
        <f si="1" t="shared"/>
        <v>1.7703026260570218E-3</v>
      </c>
    </row>
    <row r="52" spans="1:7" x14ac:dyDescent="0.25">
      <c r="A52">
        <v>41</v>
      </c>
      <c r="B52" s="6" t="n">
        <v>4198.0889541953</v>
      </c>
      <c r="C52" s="9">
        <f si="0" t="shared"/>
        <v>1.8514477944162799E-3</v>
      </c>
      <c r="E52" s="371">
        <v>41</v>
      </c>
      <c r="F52" s="371" t="n">
        <v>1986.0</v>
      </c>
      <c r="G52" s="9">
        <f si="1" t="shared"/>
        <v>1.5018783616388477E-3</v>
      </c>
    </row>
    <row r="53" spans="1:7" x14ac:dyDescent="0.25">
      <c r="A53">
        <v>42</v>
      </c>
      <c r="B53" s="6" t="n">
        <v>603.942380844</v>
      </c>
      <c r="C53" s="9">
        <f si="0" t="shared"/>
        <v>2.6635161883616494E-4</v>
      </c>
      <c r="E53" s="371">
        <v>42</v>
      </c>
      <c r="F53" s="371" t="n">
        <v>1678.0</v>
      </c>
      <c r="G53" s="9">
        <f si="1" t="shared"/>
        <v>1.1892573527771976E-3</v>
      </c>
    </row>
    <row r="54" spans="1:7" x14ac:dyDescent="0.25">
      <c r="A54">
        <v>43</v>
      </c>
      <c r="B54" s="6" t="n">
        <v>1776.9033869573</v>
      </c>
      <c r="C54" s="9">
        <f si="0" t="shared"/>
        <v>7.8365272688785028E-4</v>
      </c>
      <c r="E54" s="371">
        <v>43</v>
      </c>
      <c r="F54" s="371" t="n">
        <v>1320.0</v>
      </c>
      <c r="G54" s="9">
        <f si="1" t="shared"/>
        <v>9.5570391425020627E-4</v>
      </c>
    </row>
    <row r="55" spans="1:7" x14ac:dyDescent="0.25">
      <c r="A55">
        <v>44</v>
      </c>
      <c r="B55" s="6" t="n">
        <v>4726.5863044316</v>
      </c>
      <c r="C55" s="9">
        <f si="0" t="shared"/>
        <v>2.0845265271744341E-3</v>
      </c>
      <c r="E55" s="371">
        <v>44</v>
      </c>
      <c r="F55" s="371" t="n">
        <v>1175.0</v>
      </c>
      <c r="G55" s="9">
        <f si="1" t="shared"/>
        <v>9.9422401261837329E-4</v>
      </c>
    </row>
    <row r="56" spans="1:7" x14ac:dyDescent="0.25">
      <c r="A56">
        <v>45</v>
      </c>
      <c r="B56" s="6" t="n">
        <v>2273.679069858</v>
      </c>
      <c r="C56" s="9">
        <f si="0" t="shared"/>
        <v>1.0027415200176382E-3</v>
      </c>
      <c r="E56" s="371">
        <v>45</v>
      </c>
      <c r="F56" s="371" t="n">
        <v>1585.0</v>
      </c>
      <c r="G56" s="9">
        <f si="1" t="shared"/>
        <v>9.7516670079412224E-4</v>
      </c>
    </row>
    <row r="57" spans="1:7" x14ac:dyDescent="0.25">
      <c r="A57">
        <v>46</v>
      </c>
      <c r="B57" s="6" t="n">
        <v>689.0045439149001</v>
      </c>
      <c r="C57" s="9">
        <f si="0" t="shared"/>
        <v>3.0386586780140236E-4</v>
      </c>
      <c r="E57" s="371">
        <v>46</v>
      </c>
      <c r="F57" s="371" t="n">
        <v>1047.0</v>
      </c>
      <c r="G57" s="9">
        <f si="1" t="shared"/>
        <v>7.6796911904535037E-4</v>
      </c>
    </row>
    <row r="58" spans="1:7" x14ac:dyDescent="0.25">
      <c r="A58">
        <v>47</v>
      </c>
      <c r="B58" s="6" t="n">
        <v>6277.90774694</v>
      </c>
      <c r="C58" s="9">
        <f si="0" t="shared"/>
        <v>2.7686927500679666E-3</v>
      </c>
      <c r="E58" s="371">
        <v>47</v>
      </c>
      <c r="F58" s="371" t="n">
        <v>908.0</v>
      </c>
      <c r="G58" s="9">
        <f si="1" t="shared"/>
        <v>7.8621548143027156E-4</v>
      </c>
    </row>
    <row r="59" spans="1:7" x14ac:dyDescent="0.25">
      <c r="A59">
        <v>48</v>
      </c>
      <c r="B59" s="6" t="n">
        <v>3520.127117288</v>
      </c>
      <c r="C59" s="9">
        <f si="0" t="shared"/>
        <v>1.5524519986301871E-3</v>
      </c>
      <c r="E59" s="371">
        <v>48</v>
      </c>
      <c r="F59" s="371" t="n">
        <v>759.0</v>
      </c>
      <c r="G59" s="9">
        <f si="1" t="shared"/>
        <v>6.3781173403291242E-4</v>
      </c>
    </row>
    <row r="60" spans="1:7" x14ac:dyDescent="0.25">
      <c r="A60">
        <v>49</v>
      </c>
      <c r="B60" s="6" t="n">
        <v>492.339784141</v>
      </c>
      <c r="C60" s="9">
        <f si="0" t="shared"/>
        <v>2.1713246608085946E-4</v>
      </c>
      <c r="E60" s="371">
        <v>49</v>
      </c>
      <c r="F60" s="371" t="n">
        <v>631.0</v>
      </c>
      <c r="G60" s="9">
        <f si="1" t="shared"/>
        <v>4.946791579911971E-4</v>
      </c>
    </row>
    <row r="61" spans="1:7" x14ac:dyDescent="0.25">
      <c r="A61">
        <v>50</v>
      </c>
      <c r="B61" s="6" t="n">
        <v>1172.30496159</v>
      </c>
      <c r="C61" s="9">
        <f si="0" t="shared"/>
        <v>5.1701177826402359E-4</v>
      </c>
      <c r="E61" s="371">
        <v>50</v>
      </c>
      <c r="F61" s="371" t="n">
        <v>518.0</v>
      </c>
      <c r="G61" s="9">
        <f si="1" t="shared"/>
        <v>4.3264152588246506E-4</v>
      </c>
    </row>
    <row r="62" spans="1:7" x14ac:dyDescent="0.25">
      <c r="A62">
        <v>51</v>
      </c>
      <c r="B62" s="6" t="n">
        <v>565.589709185</v>
      </c>
      <c r="C62" s="9">
        <f si="0" t="shared"/>
        <v>2.494372632501389E-4</v>
      </c>
      <c r="E62" s="371">
        <v>51</v>
      </c>
      <c r="F62" s="371" t="n">
        <v>619.0</v>
      </c>
      <c r="G62" s="9">
        <f si="1" t="shared"/>
        <v>4.8210944168158474E-4</v>
      </c>
    </row>
    <row r="63" spans="1:7" x14ac:dyDescent="0.25">
      <c r="A63">
        <v>52</v>
      </c>
      <c r="B63" s="6" t="n">
        <v>2193.17997283</v>
      </c>
      <c r="C63" s="9">
        <f si="0" t="shared"/>
        <v>9.6723968161660794E-4</v>
      </c>
      <c r="E63" s="371">
        <v>52</v>
      </c>
      <c r="F63" s="371" t="n">
        <v>421.0</v>
      </c>
      <c r="G63" s="9">
        <f si="1" t="shared"/>
        <v>3.5073563251015208E-4</v>
      </c>
    </row>
    <row r="64" spans="1:7" x14ac:dyDescent="0.25">
      <c r="A64">
        <v>53</v>
      </c>
      <c r="B64" s="6" t="n">
        <v>461.67911433899997</v>
      </c>
      <c r="C64" s="9">
        <f si="0" t="shared"/>
        <v>2.0361044925377203E-4</v>
      </c>
      <c r="E64" s="371">
        <v>53</v>
      </c>
      <c r="F64" s="371" t="n">
        <v>378.0</v>
      </c>
      <c r="G64" s="9">
        <f si="1" t="shared"/>
        <v>3.2559619989092731E-4</v>
      </c>
    </row>
    <row r="65" spans="1:7" x14ac:dyDescent="0.25">
      <c r="A65">
        <v>54</v>
      </c>
      <c r="B65" s="6" t="n">
        <v>990.599863037</v>
      </c>
      <c r="C65" s="9">
        <f si="0" t="shared"/>
        <v>4.3687590986753557E-4</v>
      </c>
      <c r="E65" s="371">
        <v>54</v>
      </c>
      <c r="F65" s="371" t="n">
        <v>332.0</v>
      </c>
      <c r="G65" s="9">
        <f si="1" t="shared"/>
        <v>2.6964068857716894E-4</v>
      </c>
    </row>
    <row r="66" spans="1:7" x14ac:dyDescent="0.25">
      <c r="A66">
        <v>55</v>
      </c>
      <c r="B66" s="6" t="n">
        <v>1608.764097521</v>
      </c>
      <c r="C66" s="9">
        <f si="0" t="shared"/>
        <v>7.0949967296781271E-4</v>
      </c>
      <c r="E66" s="371">
        <v>55</v>
      </c>
      <c r="F66" s="371" t="n">
        <v>240.0</v>
      </c>
      <c r="G66" s="9">
        <f si="1" t="shared"/>
        <v>2.2098372221737906E-4</v>
      </c>
    </row>
    <row r="67" spans="1:7" x14ac:dyDescent="0.25">
      <c r="A67">
        <v>56</v>
      </c>
      <c r="B67" s="6" t="n">
        <v>2956.089894128</v>
      </c>
      <c r="C67" s="9">
        <f si="0" t="shared"/>
        <v>1.303699415208944E-3</v>
      </c>
      <c r="E67" s="371">
        <v>56</v>
      </c>
      <c r="F67" s="371" t="n">
        <v>269.0</v>
      </c>
      <c r="G67" s="9">
        <f si="1" t="shared"/>
        <v>2.0557568287011226E-4</v>
      </c>
    </row>
    <row r="68" spans="1:7" x14ac:dyDescent="0.25">
      <c r="A68">
        <v>57</v>
      </c>
      <c r="B68" s="6" t="n">
        <v>1267.960102457</v>
      </c>
      <c r="C68" s="9">
        <f si="0" t="shared"/>
        <v>5.5919775896026464E-4</v>
      </c>
      <c r="E68" s="371">
        <v>57</v>
      </c>
      <c r="F68" s="371" t="n">
        <v>197.0</v>
      </c>
      <c r="G68" s="9">
        <f si="1" t="shared"/>
        <v>1.5935156482831187E-4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172.0</v>
      </c>
      <c r="G69" s="9">
        <f si="1" t="shared"/>
        <v>1.8286909856887696E-4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172.0</v>
      </c>
      <c r="G70" s="9">
        <f si="1" t="shared"/>
        <v>1.6502821090362069E-4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231.0</v>
      </c>
      <c r="G71" s="9">
        <f si="1" t="shared"/>
        <v>1.5286396931367321E-4</v>
      </c>
    </row>
    <row r="72" spans="1:7" x14ac:dyDescent="0.25">
      <c r="A72">
        <v>61</v>
      </c>
      <c r="B72" s="6" t="n">
        <v>117.951606001</v>
      </c>
      <c r="C72" s="9">
        <f si="0" t="shared"/>
        <v>5.2019202823268751E-5</v>
      </c>
      <c r="E72" s="371">
        <v>61</v>
      </c>
      <c r="F72" s="371" t="n">
        <v>115.0</v>
      </c>
      <c r="G72" s="9">
        <f si="1" t="shared"/>
        <v>1.0380152823421842E-4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112.0</v>
      </c>
      <c r="G73" s="9">
        <f si="1" t="shared"/>
        <v>1.1231649734718164E-4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143.0</v>
      </c>
      <c r="G74" s="9">
        <f si="1" t="shared"/>
        <v>8.79880141672867E-5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89.0</v>
      </c>
      <c r="G75" s="9">
        <f si="1" t="shared"/>
        <v>8.79880141672867E-5</v>
      </c>
    </row>
    <row r="76" spans="1:7" x14ac:dyDescent="0.25">
      <c r="A76">
        <v>65</v>
      </c>
      <c r="B76" s="6" t="n">
        <v>295.789176212</v>
      </c>
      <c r="C76" s="9">
        <f si="0" t="shared"/>
        <v>1.3044940778652185E-4</v>
      </c>
      <c r="E76" s="371">
        <v>65</v>
      </c>
      <c r="F76" s="371" t="n">
        <v>39.0</v>
      </c>
      <c r="G76" s="9">
        <f si="1" t="shared"/>
        <v>6.8525227623370753E-5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30.0</v>
      </c>
      <c r="G77" s="9">
        <f ref="G77:G102" si="3" t="shared">F77/F$102</f>
        <v>3.3248927012523084E-5</v>
      </c>
    </row>
    <row r="78" spans="1:7" x14ac:dyDescent="0.25">
      <c r="A78">
        <v>67</v>
      </c>
      <c r="B78" s="6" t="n">
        <v>103.594494646</v>
      </c>
      <c r="C78" s="9">
        <f si="2" t="shared"/>
        <v>4.5687406988918957E-5</v>
      </c>
      <c r="E78" s="371">
        <v>67</v>
      </c>
      <c r="F78" s="371" t="n">
        <v>51.0</v>
      </c>
      <c r="G78" s="9">
        <f si="3" t="shared"/>
        <v>3.5681775330512581E-5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72.0</v>
      </c>
      <c r="G79" s="9">
        <f si="3" t="shared"/>
        <v>4.2169370845151234E-5</v>
      </c>
    </row>
    <row r="80" spans="1:7" x14ac:dyDescent="0.25">
      <c r="A80">
        <v>69</v>
      </c>
      <c r="B80" s="6" t="n">
        <v>607.47943235</v>
      </c>
      <c r="C80" s="9">
        <f si="2" t="shared"/>
        <v>2.679115348553279E-4</v>
      </c>
      <c r="E80" s="371">
        <v>69</v>
      </c>
      <c r="F80" s="371" t="n">
        <v>41.0</v>
      </c>
      <c r="G80" s="9">
        <f si="3" t="shared"/>
        <v>4.0952946686156486E-5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55.0</v>
      </c>
      <c r="G81" s="9">
        <f si="3" t="shared"/>
        <v>5.2306238836774126E-5</v>
      </c>
    </row>
    <row r="82" spans="1:7" x14ac:dyDescent="0.25">
      <c r="A82">
        <v>71</v>
      </c>
      <c r="B82" s="6" t="n">
        <v>213.4047725981</v>
      </c>
      <c r="C82" s="9">
        <f si="2" t="shared"/>
        <v>9.4116108509281277E-5</v>
      </c>
      <c r="E82" s="371">
        <v>71</v>
      </c>
      <c r="F82" s="371" t="n">
        <v>31.0</v>
      </c>
      <c r="G82" s="9">
        <f si="3" t="shared"/>
        <v>5.1089814677779378E-5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46.0</v>
      </c>
      <c r="G83" s="9">
        <f si="3" t="shared"/>
        <v>3.5276300610847662E-5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37.0</v>
      </c>
      <c r="G84" s="9">
        <f si="3" t="shared"/>
        <v>5.2711713556439038E-5</v>
      </c>
    </row>
    <row r="85" spans="1:7" x14ac:dyDescent="0.25">
      <c r="A85">
        <v>74</v>
      </c>
      <c r="B85" s="6" t="n">
        <v>474.816708997</v>
      </c>
      <c r="C85" s="9">
        <f si="2" t="shared"/>
        <v>2.0940441191604048E-4</v>
      </c>
      <c r="E85" s="371">
        <v>74</v>
      </c>
      <c r="F85" s="371" t="n">
        <v>38.0</v>
      </c>
      <c r="G85" s="9">
        <f si="3" t="shared"/>
        <v>2.5139432619224774E-5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19.0</v>
      </c>
      <c r="G86" s="9">
        <f si="3" t="shared"/>
        <v>1.9868261263580869E-5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48.0</v>
      </c>
      <c r="G87" s="9">
        <f si="3" t="shared"/>
        <v>2.432848317989494E-5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16.0</v>
      </c>
      <c r="G88" s="9">
        <f si="3" t="shared"/>
        <v>1.1758766870282555E-5</v>
      </c>
    </row>
    <row r="89" spans="1:7" x14ac:dyDescent="0.25">
      <c r="A89">
        <v>78</v>
      </c>
      <c r="B89" s="6" t="n">
        <v>1289.6121573</v>
      </c>
      <c r="C89" s="9">
        <f si="2" t="shared"/>
        <v>5.6874678224706082E-4</v>
      </c>
      <c r="E89" s="371">
        <v>78</v>
      </c>
      <c r="F89" s="371" t="n">
        <v>10.0</v>
      </c>
      <c r="G89" s="9">
        <f si="3" t="shared"/>
        <v>1.2975191029277302E-5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7.0</v>
      </c>
      <c r="G90" s="9">
        <f si="3" t="shared"/>
        <v>8.5149691129632302E-6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10.0</v>
      </c>
      <c r="G91" s="9">
        <f si="3" t="shared"/>
        <v>3.2437977573193255E-6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6.0</v>
      </c>
      <c r="G92" s="9">
        <f si="3" t="shared"/>
        <v>3.6492724769842413E-6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11.0</v>
      </c>
      <c r="G93" s="9">
        <f si="3" t="shared"/>
        <v>8.1094943932983135E-6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11.0</v>
      </c>
      <c r="G94" s="9">
        <f si="3" t="shared"/>
        <v>1.0947817430952724E-5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7.0</v>
      </c>
      <c r="G95" s="9">
        <f si="3" t="shared"/>
        <v>1.6218988786596627E-5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5.0</v>
      </c>
      <c r="G96" s="9">
        <f si="3" t="shared"/>
        <v>3.6492724769842413E-6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6.0</v>
      </c>
      <c r="G97" s="9">
        <f si="3" t="shared"/>
        <v>4.0547471966491567E-6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8.0</v>
      </c>
      <c r="G98" s="9">
        <f si="3" t="shared"/>
        <v>4.4602219163140726E-6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4.8656966359789884E-6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1.0</v>
      </c>
      <c r="G100" s="9">
        <f si="3" t="shared"/>
        <v>2.4328483179894942E-6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9.0</v>
      </c>
      <c r="G101" s="9">
        <f si="3" t="shared"/>
        <v>8.9204438326281452E-6</v>
      </c>
    </row>
    <row r="102" spans="1:7" x14ac:dyDescent="0.25">
      <c r="B102" s="6">
        <f>SUM(B11:B101)</f>
        <v>2267462.7752703466</v>
      </c>
      <c r="C102" s="9">
        <f si="2" t="shared"/>
        <v>1</v>
      </c>
      <c r="F102" s="6">
        <f>SUM(F11:F101)</f>
        <v>2466245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1155.86225</v>
      </c>
      <c r="C11" s="9">
        <f>B11/B$102</f>
        <v>5.0976018773326421E-4</v>
      </c>
      <c r="E11" s="371">
        <v>0</v>
      </c>
      <c r="F11" s="371" t="n">
        <v>4430.0</v>
      </c>
      <c r="G11" s="9">
        <f>F11/F$102</f>
        <v>1.7090759433876195E-3</v>
      </c>
      <c r="K11" s="6" t="n">
        <v>32.52853992810291</v>
      </c>
      <c r="L11" s="6" t="n">
        <v>26.689273437321678</v>
      </c>
    </row>
    <row r="12" spans="1:12" x14ac:dyDescent="0.25">
      <c r="A12">
        <v>1</v>
      </c>
      <c r="B12" s="6" t="n">
        <v>1720.7665339647</v>
      </c>
      <c r="C12" s="9">
        <f>B12/B$102</f>
        <v>7.5889516367453301E-4</v>
      </c>
      <c r="E12" s="371">
        <v>1</v>
      </c>
      <c r="F12" s="371" t="n">
        <v>34503.0</v>
      </c>
      <c r="G12" s="9">
        <f>F12/F$102</f>
        <v>1.3492576771569734E-2</v>
      </c>
      <c r="K12" s="6"/>
      <c r="L12" s="371"/>
    </row>
    <row r="13" spans="1:12" x14ac:dyDescent="0.25">
      <c r="A13">
        <v>2</v>
      </c>
      <c r="B13" s="6" t="n">
        <v>6811.4906059887</v>
      </c>
      <c r="C13" s="9">
        <f ref="C13:C76" si="0" t="shared">B13/B$102</f>
        <v>3.0040143019223662E-3</v>
      </c>
      <c r="E13" s="371">
        <v>2</v>
      </c>
      <c r="F13" s="371" t="n">
        <v>40084.0</v>
      </c>
      <c r="G13" s="9">
        <f ref="G13:G76" si="1" t="shared">F13/F$102</f>
        <v>1.5807026471417074E-2</v>
      </c>
    </row>
    <row r="14" spans="1:12" x14ac:dyDescent="0.25">
      <c r="A14">
        <v>3</v>
      </c>
      <c r="B14" s="6" t="n">
        <v>4251.2680403673</v>
      </c>
      <c r="C14" s="9">
        <f si="0" t="shared"/>
        <v>1.8749009186536383E-3</v>
      </c>
      <c r="E14" s="371">
        <v>3</v>
      </c>
      <c r="F14" s="371" t="n">
        <v>46156.0</v>
      </c>
      <c r="G14" s="9">
        <f si="1" t="shared"/>
        <v>1.7893599378812731E-2</v>
      </c>
    </row>
    <row r="15" spans="1:12" x14ac:dyDescent="0.25">
      <c r="A15">
        <v>4</v>
      </c>
      <c r="B15" s="6" t="n">
        <v>11472.1839067999</v>
      </c>
      <c r="C15" s="9">
        <f si="0" t="shared"/>
        <v>5.0594805929866215E-3</v>
      </c>
      <c r="E15" s="371">
        <v>4</v>
      </c>
      <c r="F15" s="371" t="n">
        <v>48990.0</v>
      </c>
      <c r="G15" s="9">
        <f si="1" t="shared"/>
        <v>1.9284377667263389E-2</v>
      </c>
    </row>
    <row r="16" spans="1:12" x14ac:dyDescent="0.25">
      <c r="A16">
        <v>5</v>
      </c>
      <c r="B16" s="6" t="n">
        <v>31280.8688715735</v>
      </c>
      <c r="C16" s="9">
        <f si="0" t="shared"/>
        <v>1.37955379963598E-2</v>
      </c>
      <c r="E16" s="371">
        <v>5</v>
      </c>
      <c r="F16" s="371" t="n">
        <v>50359.0</v>
      </c>
      <c r="G16" s="9">
        <f si="1" t="shared"/>
        <v>1.9580779687338443E-2</v>
      </c>
    </row>
    <row r="17" spans="1:7" x14ac:dyDescent="0.25">
      <c r="A17">
        <v>6</v>
      </c>
      <c r="B17" s="6" t="n">
        <v>27181.9971632518</v>
      </c>
      <c r="C17" s="9">
        <f si="0" t="shared"/>
        <v>1.1987847147793168E-2</v>
      </c>
      <c r="E17" s="371">
        <v>6</v>
      </c>
      <c r="F17" s="371" t="n">
        <v>49383.0</v>
      </c>
      <c r="G17" s="9">
        <f si="1" t="shared"/>
        <v>1.9240586397539578E-2</v>
      </c>
    </row>
    <row r="18" spans="1:7" x14ac:dyDescent="0.25">
      <c r="A18">
        <v>7</v>
      </c>
      <c r="B18" s="6" t="n">
        <v>27277.6672007549</v>
      </c>
      <c r="C18" s="9">
        <f si="0" t="shared"/>
        <v>1.2030039698227295E-2</v>
      </c>
      <c r="E18" s="371">
        <v>7</v>
      </c>
      <c r="F18" s="371" t="n">
        <v>49692.0</v>
      </c>
      <c r="G18" s="9">
        <f si="1" t="shared"/>
        <v>1.903947093658578E-2</v>
      </c>
    </row>
    <row r="19" spans="1:7" x14ac:dyDescent="0.25">
      <c r="A19">
        <v>8</v>
      </c>
      <c r="B19" s="6" t="n">
        <v>16742.735384114</v>
      </c>
      <c r="C19" s="9">
        <f si="0" t="shared"/>
        <v>7.3839074963944181E-3</v>
      </c>
      <c r="E19" s="371">
        <v>8</v>
      </c>
      <c r="F19" s="371" t="n">
        <v>47298.0</v>
      </c>
      <c r="G19" s="9">
        <f si="1" t="shared"/>
        <v>1.8369221224979675E-2</v>
      </c>
    </row>
    <row r="20" spans="1:7" x14ac:dyDescent="0.25">
      <c r="A20">
        <v>9</v>
      </c>
      <c r="B20" s="6" t="n">
        <v>40443.5402665417</v>
      </c>
      <c r="C20" s="9">
        <f si="0" t="shared"/>
        <v>1.7836473748381459E-2</v>
      </c>
      <c r="E20" s="371">
        <v>9</v>
      </c>
      <c r="F20" s="371" t="n">
        <v>45426.0</v>
      </c>
      <c r="G20" s="9">
        <f si="1" t="shared"/>
        <v>1.7432169147834055E-2</v>
      </c>
    </row>
    <row r="21" spans="1:7" x14ac:dyDescent="0.25">
      <c r="A21">
        <v>10</v>
      </c>
      <c r="B21" s="6" t="n">
        <v>14471.684753772</v>
      </c>
      <c r="C21" s="9">
        <f si="0" t="shared"/>
        <v>6.3823251749068133E-3</v>
      </c>
      <c r="E21" s="371">
        <v>10</v>
      </c>
      <c r="F21" s="371" t="n">
        <v>42401.0</v>
      </c>
      <c r="G21" s="9">
        <f si="1" t="shared"/>
        <v>1.6107077763969111E-2</v>
      </c>
    </row>
    <row r="22" spans="1:7" x14ac:dyDescent="0.25">
      <c r="A22">
        <v>11</v>
      </c>
      <c r="B22" s="6" t="n">
        <v>32644.4568947032</v>
      </c>
      <c r="C22" s="9">
        <f si="0" t="shared"/>
        <v>1.4396909731323395E-2</v>
      </c>
      <c r="E22" s="371">
        <v>11</v>
      </c>
      <c r="F22" s="371" t="n">
        <v>38530.0</v>
      </c>
      <c r="G22" s="9">
        <f si="1" t="shared"/>
        <v>1.4777526158187853E-2</v>
      </c>
    </row>
    <row r="23" spans="1:7" x14ac:dyDescent="0.25">
      <c r="A23">
        <v>12</v>
      </c>
      <c r="B23" s="6" t="n">
        <v>22919.3890366204</v>
      </c>
      <c r="C23" s="9">
        <f si="0" t="shared"/>
        <v>1.0107945006456724E-2</v>
      </c>
      <c r="E23" s="371">
        <v>12</v>
      </c>
      <c r="F23" s="371" t="n">
        <v>37539.0</v>
      </c>
      <c r="G23" s="9">
        <f si="1" t="shared"/>
        <v>1.4260545890615085E-2</v>
      </c>
    </row>
    <row r="24" spans="1:7" x14ac:dyDescent="0.25">
      <c r="A24">
        <v>13</v>
      </c>
      <c r="B24" s="6" t="n">
        <v>24145.2279901926</v>
      </c>
      <c r="C24" s="9">
        <f si="0" t="shared"/>
        <v>1.0648566430076807E-2</v>
      </c>
      <c r="E24" s="371">
        <v>13</v>
      </c>
      <c r="F24" s="371" t="n">
        <v>34928.0</v>
      </c>
      <c r="G24" s="9">
        <f si="1" t="shared"/>
        <v>1.3298759855569905E-2</v>
      </c>
    </row>
    <row r="25" spans="1:7" x14ac:dyDescent="0.25">
      <c r="A25">
        <v>14</v>
      </c>
      <c r="B25" s="6" t="n">
        <v>26937.5737895802</v>
      </c>
      <c r="C25" s="9">
        <f si="0" t="shared"/>
        <v>1.1880051167044397E-2</v>
      </c>
      <c r="E25" s="371">
        <v>14</v>
      </c>
      <c r="F25" s="371" t="n">
        <v>31334.0</v>
      </c>
      <c r="G25" s="9">
        <f si="1" t="shared"/>
        <v>1.1747413578131938E-2</v>
      </c>
    </row>
    <row r="26" spans="1:7" x14ac:dyDescent="0.25">
      <c r="A26">
        <v>15</v>
      </c>
      <c r="B26" s="6" t="n">
        <v>22281.1991966786</v>
      </c>
      <c r="C26" s="9">
        <f si="0" t="shared"/>
        <v>9.8264895193360107E-3</v>
      </c>
      <c r="E26" s="371">
        <v>15</v>
      </c>
      <c r="F26" s="371" t="n">
        <v>29499.0</v>
      </c>
      <c r="G26" s="9">
        <f si="1" t="shared"/>
        <v>1.1219890967847881E-2</v>
      </c>
    </row>
    <row r="27" spans="1:7" x14ac:dyDescent="0.25">
      <c r="A27">
        <v>16</v>
      </c>
      <c r="B27" s="6" t="n">
        <v>38109.4670393277</v>
      </c>
      <c r="C27" s="9">
        <f si="0" t="shared"/>
        <v>1.6807097102083172E-2</v>
      </c>
      <c r="E27" s="371">
        <v>16</v>
      </c>
      <c r="F27" s="371" t="n">
        <v>27343.0</v>
      </c>
      <c r="G27" s="9">
        <f si="1" t="shared"/>
        <v>1.0204582269806934E-2</v>
      </c>
    </row>
    <row r="28" spans="1:7" x14ac:dyDescent="0.25">
      <c r="A28">
        <v>17</v>
      </c>
      <c r="B28" s="6" t="n">
        <v>22110.4327896362</v>
      </c>
      <c r="C28" s="9">
        <f si="0" t="shared"/>
        <v>9.7511778498767226E-3</v>
      </c>
      <c r="E28" s="371">
        <v>17</v>
      </c>
      <c r="F28" s="371" t="n">
        <v>25579.0</v>
      </c>
      <c r="G28" s="9">
        <f si="1" t="shared"/>
        <v>9.8814189182339952E-3</v>
      </c>
    </row>
    <row r="29" spans="1:7" x14ac:dyDescent="0.25">
      <c r="A29">
        <v>18</v>
      </c>
      <c r="B29" s="6" t="n">
        <v>105837.1079004428</v>
      </c>
      <c r="C29" s="9">
        <f si="0" t="shared"/>
        <v>4.6676447814153865E-2</v>
      </c>
      <c r="E29" s="371">
        <v>18</v>
      </c>
      <c r="F29" s="371" t="n">
        <v>147353.0</v>
      </c>
      <c r="G29" s="9">
        <f si="1" t="shared"/>
        <v>5.6255968081030068E-2</v>
      </c>
    </row>
    <row r="30" spans="1:7" x14ac:dyDescent="0.25">
      <c r="A30">
        <v>19</v>
      </c>
      <c r="B30" s="6" t="n">
        <v>68303.3198869525</v>
      </c>
      <c r="C30" s="9">
        <f si="0" t="shared"/>
        <v>3.0123237581621949E-2</v>
      </c>
      <c r="E30" s="371">
        <v>19</v>
      </c>
      <c r="F30" s="371" t="n">
        <v>71353.0</v>
      </c>
      <c r="G30" s="9">
        <f si="1" t="shared"/>
        <v>2.6781199759148017E-2</v>
      </c>
    </row>
    <row r="31" spans="1:7" x14ac:dyDescent="0.25">
      <c r="A31">
        <v>20</v>
      </c>
      <c r="B31" s="6" t="n">
        <v>79044.0022951943</v>
      </c>
      <c r="C31" s="9">
        <f si="0" t="shared"/>
        <v>3.4860110233020256E-2</v>
      </c>
      <c r="E31" s="371">
        <v>20</v>
      </c>
      <c r="F31" s="371" t="n">
        <v>81642.0</v>
      </c>
      <c r="G31" s="9">
        <f si="1" t="shared"/>
        <v>3.0890280568232273E-2</v>
      </c>
    </row>
    <row r="32" spans="1:7" x14ac:dyDescent="0.25">
      <c r="A32">
        <v>21</v>
      </c>
      <c r="B32" s="6" t="n">
        <v>107600.0791541659</v>
      </c>
      <c r="C32" s="9">
        <f si="0" t="shared"/>
        <v>4.7453956169726717E-2</v>
      </c>
      <c r="E32" s="371">
        <v>21</v>
      </c>
      <c r="F32" s="371" t="n">
        <v>94515.0</v>
      </c>
      <c r="G32" s="9">
        <f si="1" t="shared"/>
        <v>3.5837477622863906E-2</v>
      </c>
    </row>
    <row r="33" spans="1:7" x14ac:dyDescent="0.25">
      <c r="A33">
        <v>22</v>
      </c>
      <c r="B33" s="6" t="n">
        <v>72921.5623642005</v>
      </c>
      <c r="C33" s="9">
        <f si="0" t="shared"/>
        <v>3.2159982143700756E-2</v>
      </c>
      <c r="E33" s="371">
        <v>22</v>
      </c>
      <c r="F33" s="371" t="n">
        <v>99226.0</v>
      </c>
      <c r="G33" s="9">
        <f si="1" t="shared"/>
        <v>3.6762365458419578E-2</v>
      </c>
    </row>
    <row r="34" spans="1:7" x14ac:dyDescent="0.25">
      <c r="A34">
        <v>23</v>
      </c>
      <c r="B34" s="6" t="n">
        <v>63263.1592733378</v>
      </c>
      <c r="C34" s="9">
        <f si="0" t="shared"/>
        <v>2.7900418019341035E-2</v>
      </c>
      <c r="E34" s="371">
        <v>23</v>
      </c>
      <c r="F34" s="371" t="n">
        <v>88367.0</v>
      </c>
      <c r="G34" s="9">
        <f si="1" t="shared"/>
        <v>3.2890081885619635E-2</v>
      </c>
    </row>
    <row r="35" spans="1:7" x14ac:dyDescent="0.25">
      <c r="A35">
        <v>24</v>
      </c>
      <c r="B35" s="6" t="n">
        <v>83926.9010217318</v>
      </c>
      <c r="C35" s="9">
        <f si="0" t="shared"/>
        <v>3.7013573910480324E-2</v>
      </c>
      <c r="E35" s="371">
        <v>24</v>
      </c>
      <c r="F35" s="371" t="n">
        <v>70202.0</v>
      </c>
      <c r="G35" s="9">
        <f si="1" t="shared"/>
        <v>2.4885199969994869E-2</v>
      </c>
    </row>
    <row r="36" spans="1:7" x14ac:dyDescent="0.25">
      <c r="A36">
        <v>25</v>
      </c>
      <c r="B36" s="6" t="n">
        <v>51355.298671268996</v>
      </c>
      <c r="C36" s="9">
        <f si="0" t="shared"/>
        <v>2.264879460486225E-2</v>
      </c>
      <c r="E36" s="371">
        <v>25</v>
      </c>
      <c r="F36" s="371" t="n">
        <v>73501.0</v>
      </c>
      <c r="G36" s="9">
        <f si="1" t="shared"/>
        <v>2.8587589635255217E-2</v>
      </c>
    </row>
    <row r="37" spans="1:7" x14ac:dyDescent="0.25">
      <c r="A37">
        <v>26</v>
      </c>
      <c r="B37" s="6" t="n">
        <v>82141.6613049422</v>
      </c>
      <c r="C37" s="9">
        <f si="0" t="shared"/>
        <v>3.6226244682296307E-2</v>
      </c>
      <c r="E37" s="371">
        <v>26</v>
      </c>
      <c r="F37" s="371" t="n">
        <v>65271.0</v>
      </c>
      <c r="G37" s="9">
        <f si="1" t="shared"/>
        <v>2.4893309464388169E-2</v>
      </c>
    </row>
    <row r="38" spans="1:7" x14ac:dyDescent="0.25">
      <c r="A38">
        <v>27</v>
      </c>
      <c r="B38" s="6" t="n">
        <v>55556.9176240146</v>
      </c>
      <c r="C38" s="9">
        <f si="0" t="shared"/>
        <v>2.4501799204792073E-2</v>
      </c>
      <c r="E38" s="371">
        <v>27</v>
      </c>
      <c r="F38" s="371" t="n">
        <v>61181.0</v>
      </c>
      <c r="G38" s="9">
        <f si="1" t="shared"/>
        <v>2.1481239698407904E-2</v>
      </c>
    </row>
    <row r="39" spans="1:7" x14ac:dyDescent="0.25">
      <c r="A39">
        <v>28</v>
      </c>
      <c r="B39" s="6" t="n">
        <v>62357.2688072419</v>
      </c>
      <c r="C39" s="9">
        <f si="0" t="shared"/>
        <v>2.7500900780965253E-2</v>
      </c>
      <c r="E39" s="371">
        <v>28</v>
      </c>
      <c r="F39" s="371" t="n">
        <v>69355.0</v>
      </c>
      <c r="G39" s="9">
        <f si="1" t="shared"/>
        <v>2.7875576027523625E-2</v>
      </c>
    </row>
    <row r="40" spans="1:7" x14ac:dyDescent="0.25">
      <c r="A40">
        <v>29</v>
      </c>
      <c r="B40" s="6" t="n">
        <v>51535.0302141344</v>
      </c>
      <c r="C40" s="9">
        <f si="0" t="shared"/>
        <v>2.2728060092624874E-2</v>
      </c>
      <c r="E40" s="371">
        <v>29</v>
      </c>
      <c r="F40" s="371" t="n">
        <v>55179.0</v>
      </c>
      <c r="G40" s="9">
        <f si="1" t="shared"/>
        <v>1.9727561535857144E-2</v>
      </c>
    </row>
    <row r="41" spans="1:7" x14ac:dyDescent="0.25">
      <c r="A41">
        <v>30</v>
      </c>
      <c r="B41" s="6" t="n">
        <v>58252.7162792023</v>
      </c>
      <c r="C41" s="9">
        <f si="0" t="shared"/>
        <v>2.5690704568350375E-2</v>
      </c>
      <c r="E41" s="371">
        <v>30</v>
      </c>
      <c r="F41" s="371" t="n">
        <v>54651.0</v>
      </c>
      <c r="G41" s="9">
        <f si="1" t="shared"/>
        <v>2.0439575143588736E-2</v>
      </c>
    </row>
    <row r="42" spans="1:7" x14ac:dyDescent="0.25">
      <c r="A42">
        <v>31</v>
      </c>
      <c r="B42" s="6" t="n">
        <v>39366.1801904863</v>
      </c>
      <c r="C42" s="9">
        <f si="0" t="shared"/>
        <v>1.7361334712889712E-2</v>
      </c>
      <c r="E42" s="371">
        <v>31</v>
      </c>
      <c r="F42" s="371" t="n">
        <v>50183.0</v>
      </c>
      <c r="G42" s="9">
        <f si="1" t="shared"/>
        <v>2.2972981192055129E-2</v>
      </c>
    </row>
    <row r="43" spans="1:7" x14ac:dyDescent="0.25">
      <c r="A43">
        <v>32</v>
      </c>
      <c r="B43" s="6" t="n">
        <v>42019.829387631704</v>
      </c>
      <c r="C43" s="9">
        <f si="0" t="shared"/>
        <v>1.8531651256158656E-2</v>
      </c>
      <c r="E43" s="371">
        <v>32</v>
      </c>
      <c r="F43" s="371" t="n">
        <v>57364.0</v>
      </c>
      <c r="G43" s="9">
        <f si="1" t="shared"/>
        <v>1.9102724992853509E-2</v>
      </c>
    </row>
    <row r="44" spans="1:7" x14ac:dyDescent="0.25">
      <c r="A44">
        <v>33</v>
      </c>
      <c r="B44" s="6" t="n">
        <v>47207.9746990884</v>
      </c>
      <c r="C44" s="9">
        <f si="0" t="shared"/>
        <v>2.081973526267035E-2</v>
      </c>
      <c r="E44" s="371">
        <v>33</v>
      </c>
      <c r="F44" s="371" t="n">
        <v>47299.0</v>
      </c>
      <c r="G44" s="9">
        <f si="1" t="shared"/>
        <v>2.0771658938994301E-2</v>
      </c>
    </row>
    <row r="45" spans="1:7" x14ac:dyDescent="0.25">
      <c r="A45">
        <v>34</v>
      </c>
      <c r="B45" s="6" t="n">
        <v>65899.2919475246</v>
      </c>
      <c r="C45" s="9">
        <f si="0" t="shared"/>
        <v>2.9063009398100276E-2</v>
      </c>
      <c r="E45" s="371">
        <v>34</v>
      </c>
      <c r="F45" s="371" t="n">
        <v>47042.0</v>
      </c>
      <c r="G45" s="9">
        <f si="1" t="shared"/>
        <v>1.7402569493298516E-2</v>
      </c>
    </row>
    <row r="46" spans="1:7" x14ac:dyDescent="0.25">
      <c r="A46">
        <v>35</v>
      </c>
      <c r="B46" s="6" t="n">
        <v>42405.1846177952</v>
      </c>
      <c r="C46" s="9">
        <f si="0" t="shared"/>
        <v>1.8701601225951461E-2</v>
      </c>
      <c r="E46" s="371">
        <v>35</v>
      </c>
      <c r="F46" s="371" t="n">
        <v>39112.0</v>
      </c>
      <c r="G46" s="9">
        <f si="1" t="shared"/>
        <v>1.789441032825206E-2</v>
      </c>
    </row>
    <row r="47" spans="1:7" x14ac:dyDescent="0.25">
      <c r="A47">
        <v>36</v>
      </c>
      <c r="B47" s="6" t="n">
        <v>29733.4662834582</v>
      </c>
      <c r="C47" s="9">
        <f si="0" t="shared"/>
        <v>1.3113100072795297E-2</v>
      </c>
      <c r="E47" s="371">
        <v>36</v>
      </c>
      <c r="F47" s="371" t="n">
        <v>35379.0</v>
      </c>
      <c r="G47" s="9">
        <f si="1" t="shared"/>
        <v>1.3383504071979873E-2</v>
      </c>
    </row>
    <row r="48" spans="1:7" x14ac:dyDescent="0.25">
      <c r="A48">
        <v>37</v>
      </c>
      <c r="B48" s="6" t="n">
        <v>39459.7565063371</v>
      </c>
      <c r="C48" s="9">
        <f si="0" t="shared"/>
        <v>1.7402603886907196E-2</v>
      </c>
      <c r="E48" s="371">
        <v>37</v>
      </c>
      <c r="F48" s="371" t="n">
        <v>33821.0</v>
      </c>
      <c r="G48" s="9">
        <f si="1" t="shared"/>
        <v>1.4205401328740656E-2</v>
      </c>
    </row>
    <row r="49" spans="1:7" x14ac:dyDescent="0.25">
      <c r="A49">
        <v>38</v>
      </c>
      <c r="B49" s="6" t="n">
        <v>49950.4677449011</v>
      </c>
      <c r="C49" s="9">
        <f si="0" t="shared"/>
        <v>2.2029233859835066E-2</v>
      </c>
      <c r="E49" s="371">
        <v>38</v>
      </c>
      <c r="F49" s="371" t="n">
        <v>32154.0</v>
      </c>
      <c r="G49" s="9">
        <f si="1" t="shared"/>
        <v>1.7806422314084771E-2</v>
      </c>
    </row>
    <row r="50" spans="1:7" x14ac:dyDescent="0.25">
      <c r="A50">
        <v>39</v>
      </c>
      <c r="B50" s="6" t="n">
        <v>26826.9801566843</v>
      </c>
      <c r="C50" s="9">
        <f si="0" t="shared"/>
        <v>1.1831276989094457E-2</v>
      </c>
      <c r="E50" s="371">
        <v>39</v>
      </c>
      <c r="F50" s="371" t="n">
        <v>37508.0</v>
      </c>
      <c r="G50" s="9">
        <f si="1" t="shared"/>
        <v>1.082049836897794E-2</v>
      </c>
    </row>
    <row r="51" spans="1:7" x14ac:dyDescent="0.25">
      <c r="A51">
        <v>40</v>
      </c>
      <c r="B51" s="6" t="n">
        <v>22806.5623389667</v>
      </c>
      <c r="C51" s="9">
        <f si="0" t="shared"/>
        <v>1.005818599877456E-2</v>
      </c>
      <c r="E51" s="371">
        <v>40</v>
      </c>
      <c r="F51" s="371" t="n">
        <v>29984.0</v>
      </c>
      <c r="G51" s="9">
        <f si="1" t="shared"/>
        <v>1.2824354433561953E-2</v>
      </c>
    </row>
    <row r="52" spans="1:7" x14ac:dyDescent="0.25">
      <c r="A52">
        <v>41</v>
      </c>
      <c r="B52" s="6" t="n">
        <v>34178.4904173338</v>
      </c>
      <c r="C52" s="9">
        <f si="0" t="shared"/>
        <v>1.5073451608597523E-2</v>
      </c>
      <c r="E52" s="371">
        <v>41</v>
      </c>
      <c r="F52" s="371" t="n">
        <v>24674.0</v>
      </c>
      <c r="G52" s="9">
        <f si="1" t="shared"/>
        <v>1.1459121052450182E-2</v>
      </c>
    </row>
    <row r="53" spans="1:7" x14ac:dyDescent="0.25">
      <c r="A53">
        <v>42</v>
      </c>
      <c r="B53" s="6" t="n">
        <v>16748.1320321737</v>
      </c>
      <c r="C53" s="9">
        <f si="0" t="shared"/>
        <v>7.3862875346109467E-3</v>
      </c>
      <c r="E53" s="371">
        <v>42</v>
      </c>
      <c r="F53" s="371" t="n">
        <v>25466.0</v>
      </c>
      <c r="G53" s="9">
        <f si="1" t="shared"/>
        <v>1.1156636911580154E-2</v>
      </c>
    </row>
    <row r="54" spans="1:7" x14ac:dyDescent="0.25">
      <c r="A54">
        <v>43</v>
      </c>
      <c r="B54" s="6" t="n">
        <v>23369.8926176147</v>
      </c>
      <c r="C54" s="9">
        <f si="0" t="shared"/>
        <v>1.0306626804415055E-2</v>
      </c>
      <c r="E54" s="371">
        <v>43</v>
      </c>
      <c r="F54" s="371" t="n">
        <v>22715.0</v>
      </c>
      <c r="G54" s="9">
        <f si="1" t="shared"/>
        <v>9.9284539857151261E-3</v>
      </c>
    </row>
    <row r="55" spans="1:7" x14ac:dyDescent="0.25">
      <c r="A55">
        <v>44</v>
      </c>
      <c r="B55" s="6" t="n">
        <v>16419.2491607173</v>
      </c>
      <c r="C55" s="9">
        <f si="0" t="shared"/>
        <v>7.24124309328944E-3</v>
      </c>
      <c r="E55" s="371">
        <v>44</v>
      </c>
      <c r="F55" s="371" t="n">
        <v>16727.0</v>
      </c>
      <c r="G55" s="9">
        <f si="1" t="shared"/>
        <v>8.0900316067543977E-3</v>
      </c>
    </row>
    <row r="56" spans="1:7" x14ac:dyDescent="0.25">
      <c r="A56">
        <v>45</v>
      </c>
      <c r="B56" s="6" t="n">
        <v>78303.9627850625</v>
      </c>
      <c r="C56" s="9">
        <f si="0" t="shared"/>
        <v>3.4533736844136916E-2</v>
      </c>
      <c r="E56" s="371">
        <v>45</v>
      </c>
      <c r="F56" s="371" t="n">
        <v>16026.0</v>
      </c>
      <c r="G56" s="9">
        <f si="1" t="shared"/>
        <v>7.7976843338759937E-3</v>
      </c>
    </row>
    <row r="57" spans="1:7" x14ac:dyDescent="0.25">
      <c r="A57">
        <v>46</v>
      </c>
      <c r="B57" s="6" t="n">
        <v>22627.2471930562</v>
      </c>
      <c r="C57" s="9">
        <f si="0" t="shared"/>
        <v>9.9791041510519998E-3</v>
      </c>
      <c r="E57" s="371">
        <v>46</v>
      </c>
      <c r="F57" s="371" t="n">
        <v>15405.0</v>
      </c>
      <c r="G57" s="9">
        <f si="1" t="shared"/>
        <v>7.1874448807802954E-3</v>
      </c>
    </row>
    <row r="58" spans="1:7" x14ac:dyDescent="0.25">
      <c r="A58">
        <v>47</v>
      </c>
      <c r="B58" s="6" t="n">
        <v>19452.7884863026</v>
      </c>
      <c r="C58" s="9">
        <f si="0" t="shared"/>
        <v>8.5790993785921244E-3</v>
      </c>
      <c r="E58" s="371">
        <v>47</v>
      </c>
      <c r="F58" s="371" t="n">
        <v>18761.0</v>
      </c>
      <c r="G58" s="9">
        <f si="1" t="shared"/>
        <v>8.5036158208126114E-3</v>
      </c>
    </row>
    <row r="59" spans="1:7" x14ac:dyDescent="0.25">
      <c r="A59">
        <v>48</v>
      </c>
      <c r="B59" s="6" t="n">
        <v>16817.7551480508</v>
      </c>
      <c r="C59" s="9">
        <f si="0" t="shared"/>
        <v>7.4169928306962599E-3</v>
      </c>
      <c r="E59" s="371">
        <v>48</v>
      </c>
      <c r="F59" s="371" t="n">
        <v>12693.0</v>
      </c>
      <c r="G59" s="9">
        <f si="1" t="shared"/>
        <v>7.0256604676339944E-3</v>
      </c>
    </row>
    <row r="60" spans="1:7" x14ac:dyDescent="0.25">
      <c r="A60">
        <v>49</v>
      </c>
      <c r="B60" s="6" t="n">
        <v>10864.1708488704</v>
      </c>
      <c r="C60" s="9">
        <f si="0" t="shared"/>
        <v>4.7913337177387981E-3</v>
      </c>
      <c r="E60" s="371">
        <v>49</v>
      </c>
      <c r="F60" s="371" t="n">
        <v>14536.0</v>
      </c>
      <c r="G60" s="9">
        <f si="1" t="shared"/>
        <v>6.7406117397095589E-3</v>
      </c>
    </row>
    <row r="61" spans="1:7" x14ac:dyDescent="0.25">
      <c r="A61">
        <v>50</v>
      </c>
      <c r="B61" s="6" t="n">
        <v>13469.7626508183</v>
      </c>
      <c r="C61" s="9">
        <f si="0" t="shared"/>
        <v>5.9404559129806753E-3</v>
      </c>
      <c r="E61" s="371">
        <v>50</v>
      </c>
      <c r="F61" s="371" t="n">
        <v>10952.0</v>
      </c>
      <c r="G61" s="9">
        <f si="1" t="shared"/>
        <v>5.9912944577687945E-3</v>
      </c>
    </row>
    <row r="62" spans="1:7" x14ac:dyDescent="0.25">
      <c r="A62">
        <v>51</v>
      </c>
      <c r="B62" s="6" t="n">
        <v>10416.5379670777</v>
      </c>
      <c r="C62" s="9">
        <f si="0" t="shared"/>
        <v>4.5939179600581323E-3</v>
      </c>
      <c r="E62" s="371">
        <v>51</v>
      </c>
      <c r="F62" s="371" t="n">
        <v>15379.0</v>
      </c>
      <c r="G62" s="9">
        <f si="1" t="shared"/>
        <v>7.157439751525092E-3</v>
      </c>
    </row>
    <row r="63" spans="1:7" x14ac:dyDescent="0.25">
      <c r="A63">
        <v>52</v>
      </c>
      <c r="B63" s="6" t="n">
        <v>14889.9035465995</v>
      </c>
      <c r="C63" s="9">
        <f si="0" t="shared"/>
        <v>6.5667686848019814E-3</v>
      </c>
      <c r="E63" s="371">
        <v>52</v>
      </c>
      <c r="F63" s="371" t="n">
        <v>9582.0</v>
      </c>
      <c r="G63" s="9">
        <f si="1" t="shared"/>
        <v>5.6097427465641083E-3</v>
      </c>
    </row>
    <row r="64" spans="1:7" x14ac:dyDescent="0.25">
      <c r="A64">
        <v>53</v>
      </c>
      <c r="B64" s="6" t="n">
        <v>11651.6865954139</v>
      </c>
      <c r="C64" s="9">
        <f si="0" t="shared"/>
        <v>5.1386451510872927E-3</v>
      </c>
      <c r="E64" s="371">
        <v>53</v>
      </c>
      <c r="F64" s="371" t="n">
        <v>11197.0</v>
      </c>
      <c r="G64" s="9">
        <f si="1" t="shared"/>
        <v>5.1369592234348166E-3</v>
      </c>
    </row>
    <row r="65" spans="1:7" x14ac:dyDescent="0.25">
      <c r="A65">
        <v>54</v>
      </c>
      <c r="B65" s="6" t="n">
        <v>9859.3833991214</v>
      </c>
      <c r="C65" s="9">
        <f si="0" t="shared"/>
        <v>4.3482007760616403E-3</v>
      </c>
      <c r="E65" s="371">
        <v>54</v>
      </c>
      <c r="F65" s="371" t="n">
        <v>7972.0</v>
      </c>
      <c r="G65" s="9">
        <f si="1" t="shared"/>
        <v>5.3551046226145418E-3</v>
      </c>
    </row>
    <row r="66" spans="1:7" x14ac:dyDescent="0.25">
      <c r="A66">
        <v>55</v>
      </c>
      <c r="B66" s="6" t="n">
        <v>13916.8931184971</v>
      </c>
      <c r="C66" s="9">
        <f si="0" t="shared"/>
        <v>6.1376500951985024E-3</v>
      </c>
      <c r="E66" s="371">
        <v>55</v>
      </c>
      <c r="F66" s="371" t="n">
        <v>10029.0</v>
      </c>
      <c r="G66" s="9">
        <f si="1" t="shared"/>
        <v>4.3142510172347031E-3</v>
      </c>
    </row>
    <row r="67" spans="1:7" x14ac:dyDescent="0.25">
      <c r="A67">
        <v>56</v>
      </c>
      <c r="B67" s="6" t="n">
        <v>7311.7558387176</v>
      </c>
      <c r="C67" s="9">
        <f si="0" t="shared"/>
        <v>3.2246420618066512E-3</v>
      </c>
      <c r="E67" s="371">
        <v>56</v>
      </c>
      <c r="F67" s="371" t="n">
        <v>7998.0</v>
      </c>
      <c r="G67" s="9">
        <f si="1" t="shared"/>
        <v>3.938375952105326E-3</v>
      </c>
    </row>
    <row r="68" spans="1:7" x14ac:dyDescent="0.25">
      <c r="A68">
        <v>57</v>
      </c>
      <c r="B68" s="6" t="n">
        <v>4446.7276208381</v>
      </c>
      <c r="C68" s="9">
        <f si="0" t="shared"/>
        <v>1.9611028103021112E-3</v>
      </c>
      <c r="E68" s="371">
        <v>57</v>
      </c>
      <c r="F68" s="371" t="n">
        <v>6676.0</v>
      </c>
      <c r="G68" s="9">
        <f si="1" t="shared"/>
        <v>3.9278336093940382E-3</v>
      </c>
    </row>
    <row r="69" spans="1:7" x14ac:dyDescent="0.25">
      <c r="A69">
        <v>58</v>
      </c>
      <c r="B69" s="6" t="n">
        <v>5162.9732608134</v>
      </c>
      <c r="C69" s="9">
        <f si="0" t="shared"/>
        <v>2.276982589139893E-3</v>
      </c>
      <c r="E69" s="371">
        <v>58</v>
      </c>
      <c r="F69" s="371" t="n">
        <v>5522.0</v>
      </c>
      <c r="G69" s="9">
        <f si="1" t="shared"/>
        <v>3.2632605438632414E-3</v>
      </c>
    </row>
    <row r="70" spans="1:7" x14ac:dyDescent="0.25">
      <c r="A70">
        <v>59</v>
      </c>
      <c r="B70" s="6" t="n">
        <v>6637.0448324079</v>
      </c>
      <c r="C70" s="9">
        <f si="0" t="shared"/>
        <v>2.9270799524444566E-3</v>
      </c>
      <c r="E70" s="371">
        <v>59</v>
      </c>
      <c r="F70" s="371" t="n">
        <v>5948.0</v>
      </c>
      <c r="G70" s="9">
        <f si="1" t="shared"/>
        <v>3.7611834996117578E-3</v>
      </c>
    </row>
    <row r="71" spans="1:7" x14ac:dyDescent="0.25">
      <c r="A71">
        <v>60</v>
      </c>
      <c r="B71" s="6" t="n">
        <v>6401.8810918365</v>
      </c>
      <c r="C71" s="9">
        <f si="0" t="shared"/>
        <v>2.8233676696514734E-3</v>
      </c>
      <c r="E71" s="371">
        <v>60</v>
      </c>
      <c r="F71" s="371" t="n">
        <v>5059.0</v>
      </c>
      <c r="G71" s="9">
        <f si="1" t="shared"/>
        <v>2.9660475743488583E-3</v>
      </c>
    </row>
    <row r="72" spans="1:7" x14ac:dyDescent="0.25">
      <c r="A72">
        <v>61</v>
      </c>
      <c r="B72" s="6" t="n">
        <v>11655.4694613099</v>
      </c>
      <c r="C72" s="9">
        <f si="0" t="shared"/>
        <v>5.1403134765554137E-3</v>
      </c>
      <c r="E72" s="371">
        <v>61</v>
      </c>
      <c r="F72" s="371" t="n">
        <v>4761.0</v>
      </c>
      <c r="G72" s="9">
        <f si="1" t="shared"/>
        <v>2.7227627425499088E-3</v>
      </c>
    </row>
    <row r="73" spans="1:7" x14ac:dyDescent="0.25">
      <c r="A73">
        <v>62</v>
      </c>
      <c r="B73" s="6" t="n">
        <v>4935.535422183</v>
      </c>
      <c r="C73" s="9">
        <f si="0" t="shared"/>
        <v>2.1766775957742213E-3</v>
      </c>
      <c r="E73" s="371">
        <v>62</v>
      </c>
      <c r="F73" s="371" t="n">
        <v>4621.0</v>
      </c>
      <c r="G73" s="9">
        <f si="1" t="shared"/>
        <v>2.9786172906584706E-3</v>
      </c>
    </row>
    <row r="74" spans="1:7" x14ac:dyDescent="0.25">
      <c r="A74">
        <v>63</v>
      </c>
      <c r="B74" s="6" t="n">
        <v>3688.8441649693</v>
      </c>
      <c r="C74" s="9">
        <f si="0" t="shared"/>
        <v>1.6268598564002819E-3</v>
      </c>
      <c r="E74" s="371">
        <v>63</v>
      </c>
      <c r="F74" s="371" t="n">
        <v>4635.0</v>
      </c>
      <c r="G74" s="9">
        <f si="1" t="shared"/>
        <v>2.3314796380732652E-3</v>
      </c>
    </row>
    <row r="75" spans="1:7" x14ac:dyDescent="0.25">
      <c r="A75">
        <v>64</v>
      </c>
      <c r="B75" s="6" t="n">
        <v>2942.699904596</v>
      </c>
      <c r="C75" s="9">
        <f si="0" t="shared"/>
        <v>1.2977941409623127E-3</v>
      </c>
      <c r="E75" s="371">
        <v>64</v>
      </c>
      <c r="F75" s="371" t="n">
        <v>3656.0</v>
      </c>
      <c r="G75" s="9">
        <f si="1" t="shared"/>
        <v>2.2848500453118E-3</v>
      </c>
    </row>
    <row r="76" spans="1:7" x14ac:dyDescent="0.25">
      <c r="A76">
        <v>65</v>
      </c>
      <c r="B76" s="6" t="n">
        <v>5892.5558191137</v>
      </c>
      <c r="C76" s="9">
        <f si="0" t="shared"/>
        <v>2.5987442366771111E-3</v>
      </c>
      <c r="E76" s="371">
        <v>65</v>
      </c>
      <c r="F76" s="371" t="n">
        <v>3196.0</v>
      </c>
      <c r="G76" s="9">
        <f si="1" t="shared"/>
        <v>2.1056302192199072E-3</v>
      </c>
    </row>
    <row r="77" spans="1:7" x14ac:dyDescent="0.25">
      <c r="A77">
        <v>66</v>
      </c>
      <c r="B77" s="6" t="n">
        <v>4155.034293272</v>
      </c>
      <c r="C77" s="9">
        <f ref="C77:C102" si="2" t="shared">B77/B$102</f>
        <v>1.832459760128411E-3</v>
      </c>
      <c r="E77" s="371">
        <v>66</v>
      </c>
      <c r="F77" s="371" t="n">
        <v>4378.0</v>
      </c>
      <c r="G77" s="9">
        <f ref="G77:G102" si="3" t="shared">F77/F$102</f>
        <v>1.8538304183079945E-3</v>
      </c>
    </row>
    <row r="78" spans="1:7" x14ac:dyDescent="0.25">
      <c r="A78">
        <v>67</v>
      </c>
      <c r="B78" s="6" t="n">
        <v>6053.7855554197</v>
      </c>
      <c r="C78" s="9">
        <f si="2" t="shared"/>
        <v>2.669850028606497E-3</v>
      </c>
      <c r="E78" s="371">
        <v>67</v>
      </c>
      <c r="F78" s="371" t="n">
        <v>3287.0</v>
      </c>
      <c r="G78" s="9">
        <f si="3" t="shared"/>
        <v>1.8655891851782772E-3</v>
      </c>
    </row>
    <row r="79" spans="1:7" x14ac:dyDescent="0.25">
      <c r="A79">
        <v>68</v>
      </c>
      <c r="B79" s="6" t="n">
        <v>1592.181722849</v>
      </c>
      <c r="C79" s="9">
        <f si="2" t="shared"/>
        <v>7.0218648800493165E-4</v>
      </c>
      <c r="E79" s="371">
        <v>68</v>
      </c>
      <c r="F79" s="371" t="n">
        <v>2860.0</v>
      </c>
      <c r="G79" s="9">
        <f si="3" t="shared"/>
        <v>1.9564155223832183E-3</v>
      </c>
    </row>
    <row r="80" spans="1:7" x14ac:dyDescent="0.25">
      <c r="A80">
        <v>69</v>
      </c>
      <c r="B80" s="6" t="n">
        <v>4028.6973121152</v>
      </c>
      <c r="C80" s="9">
        <f si="2" t="shared"/>
        <v>1.7767424259632508E-3</v>
      </c>
      <c r="E80" s="371">
        <v>69</v>
      </c>
      <c r="F80" s="371" t="n">
        <v>2761.0</v>
      </c>
      <c r="G80" s="9">
        <f si="3" t="shared"/>
        <v>1.8838355475631983E-3</v>
      </c>
    </row>
    <row r="81" spans="1:7" x14ac:dyDescent="0.25">
      <c r="A81">
        <v>70</v>
      </c>
      <c r="B81" s="6" t="n">
        <v>7374.5215670546</v>
      </c>
      <c r="C81" s="9">
        <f si="2" t="shared"/>
        <v>3.2523231020519607E-3</v>
      </c>
      <c r="E81" s="371">
        <v>70</v>
      </c>
      <c r="F81" s="371" t="n">
        <v>2386.0</v>
      </c>
      <c r="G81" s="9">
        <f si="3" t="shared"/>
        <v>1.5541846004756218E-3</v>
      </c>
    </row>
    <row r="82" spans="1:7" x14ac:dyDescent="0.25">
      <c r="A82">
        <v>71</v>
      </c>
      <c r="B82" s="6" t="n">
        <v>1567.8307832096</v>
      </c>
      <c r="C82" s="9">
        <f si="2" t="shared"/>
        <v>6.9144719829972515E-4</v>
      </c>
      <c r="E82" s="371">
        <v>71</v>
      </c>
      <c r="F82" s="371" t="n">
        <v>2538.0</v>
      </c>
      <c r="G82" s="9">
        <f si="3" t="shared"/>
        <v>1.620682454500668E-3</v>
      </c>
    </row>
    <row r="83" spans="1:7" x14ac:dyDescent="0.25">
      <c r="A83">
        <v>72</v>
      </c>
      <c r="B83" s="6" t="n">
        <v>11656.6625317656</v>
      </c>
      <c r="C83" s="9">
        <f si="2" t="shared"/>
        <v>5.140839646364556E-3</v>
      </c>
      <c r="E83" s="371">
        <v>72</v>
      </c>
      <c r="F83" s="371" t="n">
        <v>2518.0</v>
      </c>
      <c r="G83" s="9">
        <f si="3" t="shared"/>
        <v>1.6231153028186576E-3</v>
      </c>
    </row>
    <row r="84" spans="1:7" x14ac:dyDescent="0.25">
      <c r="A84">
        <v>73</v>
      </c>
      <c r="B84" s="6" t="n">
        <v>3696.5753452032</v>
      </c>
      <c r="C84" s="9">
        <f si="2" t="shared"/>
        <v>1.6302694736686307E-3</v>
      </c>
      <c r="E84" s="371">
        <v>73</v>
      </c>
      <c r="F84" s="371" t="n">
        <v>1894.0</v>
      </c>
      <c r="G84" s="9">
        <f si="3" t="shared"/>
        <v>1.4110520244339066E-3</v>
      </c>
    </row>
    <row r="85" spans="1:7" x14ac:dyDescent="0.25">
      <c r="A85">
        <v>74</v>
      </c>
      <c r="B85" s="6" t="n">
        <v>7720.0441044545</v>
      </c>
      <c r="C85" s="9">
        <f si="2" t="shared"/>
        <v>3.4047059950230276E-3</v>
      </c>
      <c r="E85" s="371">
        <v>74</v>
      </c>
      <c r="F85" s="371" t="n">
        <v>2584.0</v>
      </c>
      <c r="G85" s="9">
        <f si="3" t="shared"/>
        <v>1.3502308164841693E-3</v>
      </c>
    </row>
    <row r="86" spans="1:7" x14ac:dyDescent="0.25">
      <c r="A86">
        <v>75</v>
      </c>
      <c r="B86" s="6" t="n">
        <v>5444.093177335</v>
      </c>
      <c r="C86" s="9">
        <f si="2" t="shared"/>
        <v>2.4009625369421595E-3</v>
      </c>
      <c r="E86" s="371">
        <v>75</v>
      </c>
      <c r="F86" s="371" t="n">
        <v>1640.0</v>
      </c>
      <c r="G86" s="9">
        <f si="3" t="shared"/>
        <v>1.0992419650115864E-3</v>
      </c>
    </row>
    <row r="87" spans="1:7" x14ac:dyDescent="0.25">
      <c r="A87">
        <v>76</v>
      </c>
      <c r="B87" s="6" t="n">
        <v>5967.730672062</v>
      </c>
      <c r="C87" s="9">
        <f si="2" t="shared"/>
        <v>2.6318979685787682E-3</v>
      </c>
      <c r="E87" s="371">
        <v>76</v>
      </c>
      <c r="F87" s="371" t="n">
        <v>1736.0</v>
      </c>
      <c r="G87" s="9">
        <f si="3" t="shared"/>
        <v>1.2176405831537417E-3</v>
      </c>
    </row>
    <row r="88" spans="1:7" x14ac:dyDescent="0.25">
      <c r="A88">
        <v>77</v>
      </c>
      <c r="B88" s="6" t="n">
        <v>8134.7387629777</v>
      </c>
      <c r="C88" s="9">
        <f si="2" t="shared"/>
        <v>3.5875952856636458E-3</v>
      </c>
      <c r="E88" s="371">
        <v>77</v>
      </c>
      <c r="F88" s="371" t="n">
        <v>1363.0</v>
      </c>
      <c r="G88" s="9">
        <f si="3" t="shared"/>
        <v>1.0436919284174931E-3</v>
      </c>
    </row>
    <row r="89" spans="1:7" x14ac:dyDescent="0.25">
      <c r="A89">
        <v>78</v>
      </c>
      <c r="B89" s="6" t="n">
        <v>2079.23907002</v>
      </c>
      <c r="C89" s="9">
        <f si="2" t="shared"/>
        <v>9.1698928542370247E-4</v>
      </c>
      <c r="E89" s="371">
        <v>78</v>
      </c>
      <c r="F89" s="371" t="n">
        <v>1250.0</v>
      </c>
      <c r="G89" s="9">
        <f si="3" t="shared"/>
        <v>9.2326593667701302E-4</v>
      </c>
    </row>
    <row r="90" spans="1:7" x14ac:dyDescent="0.25">
      <c r="A90">
        <v>79</v>
      </c>
      <c r="B90" s="6" t="n">
        <v>4368.2174773080005</v>
      </c>
      <c r="C90" s="9">
        <f si="2" t="shared"/>
        <v>1.9264781433014637E-3</v>
      </c>
      <c r="E90" s="371">
        <v>79</v>
      </c>
      <c r="F90" s="371" t="n">
        <v>1342.0</v>
      </c>
      <c r="G90" s="9">
        <f si="3" t="shared"/>
        <v>9.2245498723768317E-4</v>
      </c>
    </row>
    <row r="91" spans="1:7" x14ac:dyDescent="0.25">
      <c r="A91">
        <v>80</v>
      </c>
      <c r="B91" s="6" t="n">
        <v>5711.655378544599</v>
      </c>
      <c r="C91" s="9">
        <f si="2" t="shared"/>
        <v>2.5189632398104561E-3</v>
      </c>
      <c r="E91" s="371">
        <v>80</v>
      </c>
      <c r="F91" s="371" t="n">
        <v>1284.0</v>
      </c>
      <c r="G91" s="9">
        <f si="3" t="shared"/>
        <v>8.7014874840090912E-4</v>
      </c>
    </row>
    <row r="92" spans="1:7" x14ac:dyDescent="0.25">
      <c r="A92">
        <v>81</v>
      </c>
      <c r="B92" s="6" t="n">
        <v>2193.4293356089997</v>
      </c>
      <c r="C92" s="9">
        <f si="2" t="shared"/>
        <v>9.6734965598166455E-4</v>
      </c>
      <c r="E92" s="371">
        <v>81</v>
      </c>
      <c r="F92" s="371" t="n">
        <v>1041.0</v>
      </c>
      <c r="G92" s="9">
        <f si="3" t="shared"/>
        <v>6.0740113005804369E-4</v>
      </c>
    </row>
    <row r="93" spans="1:7" x14ac:dyDescent="0.25">
      <c r="A93">
        <v>82</v>
      </c>
      <c r="B93" s="6" t="n">
        <v>9498.3727614091</v>
      </c>
      <c r="C93" s="9">
        <f si="2" t="shared"/>
        <v>4.1889872967271202E-3</v>
      </c>
      <c r="E93" s="371">
        <v>82</v>
      </c>
      <c r="F93" s="371" t="n">
        <v>1050.0</v>
      </c>
      <c r="G93" s="9">
        <f si="3" t="shared"/>
        <v>5.6888103168987667E-4</v>
      </c>
    </row>
    <row r="94" spans="1:7" x14ac:dyDescent="0.25">
      <c r="A94">
        <v>83</v>
      </c>
      <c r="B94" s="6" t="n">
        <v>5403.1790240475</v>
      </c>
      <c r="C94" s="9">
        <f si="2" t="shared"/>
        <v>2.3829185126989735E-3</v>
      </c>
      <c r="E94" s="371">
        <v>83</v>
      </c>
      <c r="F94" s="371" t="n">
        <v>1019.0</v>
      </c>
      <c r="G94" s="9">
        <f si="3" t="shared"/>
        <v>6.9092892230901632E-4</v>
      </c>
    </row>
    <row r="95" spans="1:7" x14ac:dyDescent="0.25">
      <c r="A95">
        <v>84</v>
      </c>
      <c r="B95" s="6" t="n">
        <v>3207.608601018</v>
      </c>
      <c r="C95" s="9">
        <f si="2" t="shared"/>
        <v>1.4146245909750655E-3</v>
      </c>
      <c r="E95" s="371">
        <v>84</v>
      </c>
      <c r="F95" s="371" t="n">
        <v>993.0</v>
      </c>
      <c r="G95" s="9">
        <f si="3" t="shared"/>
        <v>6.009135345434051E-4</v>
      </c>
    </row>
    <row r="96" spans="1:7" x14ac:dyDescent="0.25">
      <c r="A96">
        <v>85</v>
      </c>
      <c r="B96" s="6" t="n">
        <v>3556.3916417300998</v>
      </c>
      <c r="C96" s="9">
        <f si="2" t="shared"/>
        <v>1.5684454362458395E-3</v>
      </c>
      <c r="E96" s="371">
        <v>85</v>
      </c>
      <c r="F96" s="371" t="n">
        <v>968.0</v>
      </c>
      <c r="G96" s="9">
        <f si="3" t="shared"/>
        <v>6.1834894748899645E-4</v>
      </c>
    </row>
    <row r="97" spans="1:7" x14ac:dyDescent="0.25">
      <c r="A97">
        <v>86</v>
      </c>
      <c r="B97" s="6" t="n">
        <v>8154.8321200373</v>
      </c>
      <c r="C97" s="9">
        <f si="2" t="shared"/>
        <v>3.5964568896020848E-3</v>
      </c>
      <c r="E97" s="371">
        <v>86</v>
      </c>
      <c r="F97" s="371" t="n">
        <v>841.0</v>
      </c>
      <c r="G97" s="9">
        <f si="3" t="shared"/>
        <v>4.6791782649331269E-4</v>
      </c>
    </row>
    <row r="98" spans="1:7" x14ac:dyDescent="0.25">
      <c r="A98">
        <v>87</v>
      </c>
      <c r="B98" s="6" t="n">
        <v>1438.7523178411</v>
      </c>
      <c r="C98" s="9">
        <f si="2" t="shared"/>
        <v>6.3452081045500721E-4</v>
      </c>
      <c r="E98" s="371">
        <v>87</v>
      </c>
      <c r="F98" s="371" t="n">
        <v>1050.0</v>
      </c>
      <c r="G98" s="9">
        <f si="3" t="shared"/>
        <v>5.2062954004975176E-4</v>
      </c>
    </row>
    <row r="99" spans="1:7" x14ac:dyDescent="0.25">
      <c r="A99">
        <v>88</v>
      </c>
      <c r="B99" s="6" t="n">
        <v>2191.2054852572</v>
      </c>
      <c r="C99" s="9">
        <f si="2" t="shared"/>
        <v>9.6636889000126854E-4</v>
      </c>
      <c r="E99" s="371">
        <v>88</v>
      </c>
      <c r="F99" s="371" t="n">
        <v>954.0</v>
      </c>
      <c r="G99" s="9">
        <f si="3" t="shared"/>
        <v>4.979229557485165E-4</v>
      </c>
    </row>
    <row r="100" spans="1:7" x14ac:dyDescent="0.25">
      <c r="A100">
        <v>89</v>
      </c>
      <c r="B100" s="6" t="n">
        <v>6096.0213704741</v>
      </c>
      <c r="C100" s="9">
        <f si="2" t="shared"/>
        <v>2.6884769342011717E-3</v>
      </c>
      <c r="E100" s="371">
        <v>89</v>
      </c>
      <c r="F100" s="371" t="n">
        <v>678.0</v>
      </c>
      <c r="G100" s="9">
        <f si="3" t="shared"/>
        <v>3.9128310447664362E-4</v>
      </c>
    </row>
    <row ht="15.75" r="101" spans="1:7" thickBot="1" x14ac:dyDescent="0.3">
      <c r="A101" s="1">
        <v>90</v>
      </c>
      <c r="B101" s="7" t="n">
        <v>54382.1010922642</v>
      </c>
      <c r="C101" s="9">
        <f si="2" t="shared"/>
        <v>2.3983679769905068E-2</v>
      </c>
      <c r="E101" s="372">
        <v>90</v>
      </c>
      <c r="F101" s="372" t="n">
        <v>30938.0</v>
      </c>
      <c r="G101" s="9">
        <f si="3" t="shared"/>
        <v>1.4268249910288718E-2</v>
      </c>
    </row>
    <row r="102" spans="1:7" x14ac:dyDescent="0.25">
      <c r="B102" s="6">
        <f>SUM(B11:B101)</f>
        <v>2267462.7752703461</v>
      </c>
      <c r="C102" s="9">
        <f si="2" t="shared"/>
        <v>1</v>
      </c>
      <c r="F102" s="6">
        <f>SUM(F11:F101)</f>
        <v>2466245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59197.431251041104</v>
      </c>
      <c r="C11" s="9">
        <f>B11/B$102</f>
        <v>6.7908804863944364E-2</v>
      </c>
      <c r="E11" s="371">
        <v>0</v>
      </c>
      <c r="F11" s="371" t="n">
        <v>135994.0</v>
      </c>
      <c r="G11" s="9">
        <f>F11/F$102</f>
        <v>0.16440172919187193</v>
      </c>
      <c r="K11" s="6" t="n">
        <v>6.0348967635956425</v>
      </c>
      <c r="L11" s="6" t="n">
        <v>4.850983842079657</v>
      </c>
    </row>
    <row r="12" spans="1:12" x14ac:dyDescent="0.25">
      <c r="A12">
        <v>1</v>
      </c>
      <c r="B12" s="6" t="n">
        <v>43875.6146879342</v>
      </c>
      <c r="C12" s="9">
        <f>B12/B$102</f>
        <v>5.0332260930260102E-2</v>
      </c>
      <c r="E12" s="371">
        <v>1</v>
      </c>
      <c r="F12" s="371" t="n">
        <v>129155.0</v>
      </c>
      <c r="G12" s="9">
        <f>F12/F$102</f>
        <v>0.15660315143521469</v>
      </c>
      <c r="K12" s="6"/>
      <c r="L12" s="371"/>
    </row>
    <row r="13" spans="1:12" x14ac:dyDescent="0.25">
      <c r="A13">
        <v>2</v>
      </c>
      <c r="B13" s="6" t="n">
        <v>56232.611562098</v>
      </c>
      <c r="C13" s="9">
        <f ref="C13:C76" si="0" t="shared">B13/B$102</f>
        <v>6.4507688338137734E-2</v>
      </c>
      <c r="E13" s="371">
        <v>2</v>
      </c>
      <c r="F13" s="371" t="n">
        <v>73064.0</v>
      </c>
      <c r="G13" s="9">
        <f ref="G13:G76" si="1" t="shared">F13/F$102</f>
        <v>8.8428331397731097E-2</v>
      </c>
    </row>
    <row r="14" spans="1:12" x14ac:dyDescent="0.25">
      <c r="A14">
        <v>3</v>
      </c>
      <c r="B14" s="6" t="n">
        <v>83102.9846085566</v>
      </c>
      <c r="C14" s="9">
        <f si="0" t="shared"/>
        <v>9.5332250844830213E-2</v>
      </c>
      <c r="E14" s="371">
        <v>3</v>
      </c>
      <c r="F14" s="371" t="n">
        <v>43310.0</v>
      </c>
      <c r="G14" s="9">
        <f si="1" t="shared"/>
        <v>5.2274595281333117E-2</v>
      </c>
    </row>
    <row r="15" spans="1:12" x14ac:dyDescent="0.25">
      <c r="A15">
        <v>4</v>
      </c>
      <c r="B15" s="6" t="n">
        <v>176389.9788356086</v>
      </c>
      <c r="C15" s="9">
        <f si="0" t="shared"/>
        <v>0.20234716945580231</v>
      </c>
      <c r="E15" s="371">
        <v>4</v>
      </c>
      <c r="F15" s="371" t="n">
        <v>138360.0</v>
      </c>
      <c r="G15" s="9">
        <f si="1" t="shared"/>
        <v>0.16807129158413081</v>
      </c>
    </row>
    <row r="16" spans="1:12" x14ac:dyDescent="0.25">
      <c r="A16">
        <v>5</v>
      </c>
      <c r="B16" s="6" t="n">
        <v>74454.4172746559</v>
      </c>
      <c r="C16" s="9">
        <f si="0" t="shared"/>
        <v>8.5410977927769027E-2</v>
      </c>
      <c r="E16" s="371">
        <v>5</v>
      </c>
      <c r="F16" s="371" t="n">
        <v>60517.0</v>
      </c>
      <c r="G16" s="9">
        <f si="1" t="shared"/>
        <v>7.4437442871447726E-2</v>
      </c>
    </row>
    <row r="17" spans="1:7" x14ac:dyDescent="0.25">
      <c r="A17">
        <v>6</v>
      </c>
      <c r="B17" s="6" t="n">
        <v>124431.505992334</v>
      </c>
      <c r="C17" s="9">
        <f si="0" t="shared"/>
        <v>0.14274259339946485</v>
      </c>
      <c r="E17" s="371">
        <v>6</v>
      </c>
      <c r="F17" s="371" t="n">
        <v>67303.0</v>
      </c>
      <c r="G17" s="9">
        <f si="1" t="shared"/>
        <v>8.0828567064374329E-2</v>
      </c>
    </row>
    <row r="18" spans="1:7" x14ac:dyDescent="0.25">
      <c r="A18">
        <v>7</v>
      </c>
      <c r="B18" s="6" t="n">
        <v>46721.186487828</v>
      </c>
      <c r="C18" s="9">
        <f si="0" t="shared"/>
        <v>5.3596581290139451E-2</v>
      </c>
      <c r="E18" s="371">
        <v>7</v>
      </c>
      <c r="F18" s="371" t="n">
        <v>37180.0</v>
      </c>
      <c r="G18" s="9">
        <f si="1" t="shared"/>
        <v>4.4965777421098953E-2</v>
      </c>
    </row>
    <row r="19" spans="1:7" x14ac:dyDescent="0.25">
      <c r="A19">
        <v>8</v>
      </c>
      <c r="B19" s="6" t="n">
        <v>39474.5795078497</v>
      </c>
      <c r="C19" s="9">
        <f si="0" t="shared"/>
        <v>4.5283578361986404E-2</v>
      </c>
      <c r="E19" s="371">
        <v>8</v>
      </c>
      <c r="F19" s="371" t="n">
        <v>37248.0</v>
      </c>
      <c r="G19" s="9">
        <f si="1" t="shared"/>
        <v>4.3926856056656978E-2</v>
      </c>
    </row>
    <row r="20" spans="1:7" x14ac:dyDescent="0.25">
      <c r="A20">
        <v>9</v>
      </c>
      <c r="B20" s="6" t="n">
        <v>29773.5607171911</v>
      </c>
      <c r="C20" s="9">
        <f si="0" t="shared"/>
        <v>3.4154977371809031E-2</v>
      </c>
      <c r="E20" s="371">
        <v>9</v>
      </c>
      <c r="F20" s="371" t="n">
        <v>22532.0</v>
      </c>
      <c r="G20" s="9">
        <f si="1" t="shared"/>
        <v>2.7614457130249462E-2</v>
      </c>
    </row>
    <row r="21" spans="1:7" x14ac:dyDescent="0.25">
      <c r="A21">
        <v>10</v>
      </c>
      <c r="B21" s="6" t="n">
        <v>52862.6879539628</v>
      </c>
      <c r="C21" s="9">
        <f si="0" t="shared"/>
        <v>6.0641853624114943E-2</v>
      </c>
      <c r="E21" s="371">
        <v>10</v>
      </c>
      <c r="F21" s="371" t="n">
        <v>14023.0</v>
      </c>
      <c r="G21" s="9">
        <f si="1" t="shared"/>
        <v>1.7498005804382138E-2</v>
      </c>
    </row>
    <row r="22" spans="1:7" x14ac:dyDescent="0.25">
      <c r="A22">
        <v>11</v>
      </c>
      <c r="B22" s="6" t="n">
        <v>10239.009300654</v>
      </c>
      <c r="C22" s="9">
        <f si="0" t="shared"/>
        <v>1.1745761089692474E-2</v>
      </c>
      <c r="E22" s="371">
        <v>11</v>
      </c>
      <c r="F22" s="371" t="n">
        <v>13865.0</v>
      </c>
      <c r="G22" s="9">
        <f si="1" t="shared"/>
        <v>1.6519698288507374E-2</v>
      </c>
    </row>
    <row r="23" spans="1:7" x14ac:dyDescent="0.25">
      <c r="A23">
        <v>12</v>
      </c>
      <c r="B23" s="6" t="n">
        <v>7829.2745191903</v>
      </c>
      <c r="C23" s="9">
        <f si="0" t="shared"/>
        <v>8.9814146376595589E-3</v>
      </c>
      <c r="E23" s="371">
        <v>12</v>
      </c>
      <c r="F23" s="371" t="n">
        <v>8698.0</v>
      </c>
      <c r="G23" s="9">
        <f si="1" t="shared"/>
        <v>1.1568759137537672E-2</v>
      </c>
    </row>
    <row r="24" spans="1:7" x14ac:dyDescent="0.25">
      <c r="A24">
        <v>13</v>
      </c>
      <c r="B24" s="6" t="n">
        <v>5569.2913049226</v>
      </c>
      <c r="C24" s="9">
        <f si="0" t="shared"/>
        <v>6.3888568889515704E-3</v>
      </c>
      <c r="E24" s="371">
        <v>13</v>
      </c>
      <c r="F24" s="371" t="n">
        <v>7892.0</v>
      </c>
      <c r="G24" s="9">
        <f si="1" t="shared"/>
        <v>9.0823790693107236E-3</v>
      </c>
    </row>
    <row r="25" spans="1:7" x14ac:dyDescent="0.25">
      <c r="A25">
        <v>14</v>
      </c>
      <c r="B25" s="6" t="n">
        <v>5428.3616234731</v>
      </c>
      <c r="C25" s="9">
        <f si="0" t="shared"/>
        <v>6.2271882821414793E-3</v>
      </c>
      <c r="E25" s="371">
        <v>14</v>
      </c>
      <c r="F25" s="371" t="n">
        <v>7146.0</v>
      </c>
      <c r="G25" s="9">
        <f si="1" t="shared"/>
        <v>8.6532330214548776E-3</v>
      </c>
    </row>
    <row r="26" spans="1:7" x14ac:dyDescent="0.25">
      <c r="A26">
        <v>15</v>
      </c>
      <c r="B26" s="6" t="n">
        <v>2742.3165746610002</v>
      </c>
      <c r="C26" s="9">
        <f si="0" t="shared"/>
        <v>3.1458703056568694E-3</v>
      </c>
      <c r="E26" s="371">
        <v>15</v>
      </c>
      <c r="F26" s="371" t="n">
        <v>5363.0</v>
      </c>
      <c r="G26" s="9">
        <f si="1" t="shared"/>
        <v>6.0225919936379704E-3</v>
      </c>
    </row>
    <row r="27" spans="1:7" x14ac:dyDescent="0.25">
      <c r="A27">
        <v>16</v>
      </c>
      <c r="B27" s="6" t="n">
        <v>10449.0733677851</v>
      </c>
      <c r="C27" s="9">
        <f si="0" t="shared"/>
        <v>1.1986737757805612E-2</v>
      </c>
      <c r="E27" s="371">
        <v>16</v>
      </c>
      <c r="F27" s="371" t="n">
        <v>4977.0</v>
      </c>
      <c r="G27" s="9">
        <f si="1" t="shared"/>
        <v>5.5728372372692734E-3</v>
      </c>
    </row>
    <row r="28" spans="1:7" x14ac:dyDescent="0.25">
      <c r="A28">
        <v>17</v>
      </c>
      <c r="B28" s="6" t="n">
        <v>6295.3419629264</v>
      </c>
      <c r="C28" s="9">
        <f si="0" t="shared"/>
        <v>7.2217516854610276E-3</v>
      </c>
      <c r="E28" s="371">
        <v>17</v>
      </c>
      <c r="F28" s="371" t="n">
        <v>2733.0</v>
      </c>
      <c r="G28" s="9">
        <f si="1" t="shared"/>
        <v>3.7410867335681917E-3</v>
      </c>
    </row>
    <row r="29" spans="1:7" x14ac:dyDescent="0.25">
      <c r="A29">
        <v>18</v>
      </c>
      <c r="B29" s="6" t="n">
        <v>6140.745494987001</v>
      </c>
      <c r="C29" s="9">
        <f si="0" t="shared"/>
        <v>7.044405115650753E-3</v>
      </c>
      <c r="E29" s="371">
        <v>18</v>
      </c>
      <c r="F29" s="371" t="n">
        <v>2601.0</v>
      </c>
      <c r="G29" s="9">
        <f si="1" t="shared"/>
        <v>3.1737411109791077E-3</v>
      </c>
    </row>
    <row r="30" spans="1:7" x14ac:dyDescent="0.25">
      <c r="A30">
        <v>19</v>
      </c>
      <c r="B30" s="6" t="n">
        <v>1810.597354693</v>
      </c>
      <c r="C30" s="9">
        <f si="0" t="shared"/>
        <v>2.0770411798038684E-3</v>
      </c>
      <c r="E30" s="371">
        <v>19</v>
      </c>
      <c r="F30" s="371" t="n">
        <v>2636.0</v>
      </c>
      <c r="G30" s="9">
        <f si="1" t="shared"/>
        <v>2.5736640101637299E-3</v>
      </c>
    </row>
    <row r="31" spans="1:7" x14ac:dyDescent="0.25">
      <c r="A31">
        <v>20</v>
      </c>
      <c r="B31" s="6" t="n">
        <v>1688.2556964760001</v>
      </c>
      <c r="C31" s="9">
        <f si="0" t="shared"/>
        <v>1.9366959719289319E-3</v>
      </c>
      <c r="E31" s="371">
        <v>20</v>
      </c>
      <c r="F31" s="371" t="n">
        <v>1615.0</v>
      </c>
      <c r="G31" s="9">
        <f si="1" t="shared"/>
        <v>1.9117607838097985E-3</v>
      </c>
    </row>
    <row r="32" spans="1:7" x14ac:dyDescent="0.25">
      <c r="A32">
        <v>21</v>
      </c>
      <c r="B32" s="6" t="n">
        <v>8002.3638754794</v>
      </c>
      <c r="C32" s="9">
        <f si="0" t="shared"/>
        <v>9.1799754716662789E-3</v>
      </c>
      <c r="E32" s="371">
        <v>21</v>
      </c>
      <c r="F32" s="371" t="n">
        <v>1698.0</v>
      </c>
      <c r="G32" s="9">
        <f si="1" t="shared"/>
        <v>2.0839041137406746E-3</v>
      </c>
    </row>
    <row r="33" spans="1:7" x14ac:dyDescent="0.25">
      <c r="A33">
        <v>22</v>
      </c>
      <c r="B33" s="6" t="n">
        <v>2202.724216397</v>
      </c>
      <c r="C33" s="9">
        <f si="0" t="shared"/>
        <v>2.5268726331390923E-3</v>
      </c>
      <c r="E33" s="371">
        <v>22</v>
      </c>
      <c r="F33" s="371" t="n">
        <v>1230.0</v>
      </c>
      <c r="G33" s="9">
        <f si="1" t="shared"/>
        <v>1.3880571321891054E-3</v>
      </c>
    </row>
    <row r="34" spans="1:7" x14ac:dyDescent="0.25">
      <c r="A34">
        <v>23</v>
      </c>
      <c r="B34" s="6" t="n">
        <v>9592.527319451</v>
      </c>
      <c r="C34" s="9">
        <f si="0" t="shared"/>
        <v>1.100414413466964E-2</v>
      </c>
      <c r="E34" s="371">
        <v>23</v>
      </c>
      <c r="F34" s="371" t="n">
        <v>1115.0</v>
      </c>
      <c r="G34" s="9">
        <f si="1" t="shared"/>
        <v>1.4474587037849713E-3</v>
      </c>
    </row>
    <row r="35" spans="1:7" x14ac:dyDescent="0.25">
      <c r="A35">
        <v>24</v>
      </c>
      <c r="B35" s="6" t="n">
        <v>179.297583701</v>
      </c>
      <c r="C35" s="9">
        <f si="0" t="shared"/>
        <v>2.05682651540962E-4</v>
      </c>
      <c r="E35" s="371">
        <v>24</v>
      </c>
      <c r="F35" s="371" t="n">
        <v>795.0</v>
      </c>
      <c r="G35" s="9">
        <f si="1" t="shared"/>
        <v>9.5527425341922721E-4</v>
      </c>
    </row>
    <row r="36" spans="1:7" x14ac:dyDescent="0.25">
      <c r="A36">
        <v>25</v>
      </c>
      <c r="B36" s="6" t="n">
        <v>1088.724914105</v>
      </c>
      <c r="C36" s="9">
        <f si="0" t="shared"/>
        <v>1.2489394586892781E-3</v>
      </c>
      <c r="E36" s="371">
        <v>25</v>
      </c>
      <c r="F36" s="371" t="n">
        <v>635.0</v>
      </c>
      <c r="G36" s="9">
        <f si="1" t="shared"/>
        <v>7.9161686228776059E-4</v>
      </c>
    </row>
    <row r="37" spans="1:7" x14ac:dyDescent="0.25">
      <c r="A37">
        <v>26</v>
      </c>
      <c r="B37" s="6" t="n">
        <v>1057.542875</v>
      </c>
      <c r="C37" s="9">
        <f si="0" t="shared"/>
        <v>1.2131687341140614E-3</v>
      </c>
      <c r="E37" s="371">
        <v>26</v>
      </c>
      <c r="F37" s="371" t="n">
        <v>737.0</v>
      </c>
      <c r="G37" s="9">
        <f si="1" t="shared"/>
        <v>6.7281371909602933E-4</v>
      </c>
    </row>
    <row r="38" spans="1:7" x14ac:dyDescent="0.25">
      <c r="A38">
        <v>27</v>
      </c>
      <c r="B38" s="6" t="n">
        <v>18.23</v>
      </c>
      <c r="C38" s="9">
        <f si="0" t="shared"/>
        <v>2.0912689731751384E-5</v>
      </c>
      <c r="E38" s="371">
        <v>27</v>
      </c>
      <c r="F38" s="371" t="n">
        <v>644.0</v>
      </c>
      <c r="G38" s="9">
        <f si="1" t="shared"/>
        <v>8.158624017146445E-4</v>
      </c>
    </row>
    <row r="39" spans="1:7" x14ac:dyDescent="0.25">
      <c r="A39">
        <v>28</v>
      </c>
      <c r="B39" s="6" t="n">
        <v>1720.55017111</v>
      </c>
      <c r="C39" s="9">
        <f si="0" t="shared"/>
        <v>1.9737428357836087E-3</v>
      </c>
      <c r="E39" s="371">
        <v>28</v>
      </c>
      <c r="F39" s="371" t="n">
        <v>314.0</v>
      </c>
      <c r="G39" s="9">
        <f si="1" t="shared"/>
        <v>4.1702327814240373E-4</v>
      </c>
    </row>
    <row r="40" spans="1:7" x14ac:dyDescent="0.25">
      <c r="A40">
        <v>29</v>
      </c>
      <c r="B40" s="6" t="n">
        <v>308.776770034</v>
      </c>
      <c r="C40" s="9">
        <f si="0" t="shared"/>
        <v>3.5421573165624737E-4</v>
      </c>
      <c r="E40" s="371">
        <v>29</v>
      </c>
      <c r="F40" s="371" t="n">
        <v>439.0</v>
      </c>
      <c r="G40" s="9">
        <f si="1" t="shared"/>
        <v>4.3278287876987831E-4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414.0</v>
      </c>
      <c r="G41" s="9">
        <f si="1" t="shared"/>
        <v>4.6793891093886003E-4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294.0</v>
      </c>
      <c r="G42" s="9">
        <f si="1" t="shared"/>
        <v>2.8973419615126308E-4</v>
      </c>
    </row>
    <row r="43" spans="1:7" x14ac:dyDescent="0.25">
      <c r="A43">
        <v>32</v>
      </c>
      <c r="B43" s="6" t="n">
        <v>15.92375</v>
      </c>
      <c r="C43" s="9">
        <f si="0" t="shared"/>
        <v>1.8267056671200007E-5</v>
      </c>
      <c r="E43" s="371">
        <v>32</v>
      </c>
      <c r="F43" s="371" t="n">
        <v>242.0</v>
      </c>
      <c r="G43" s="9">
        <f si="1" t="shared"/>
        <v>2.9700785797932827E-4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221.0</v>
      </c>
      <c r="G44" s="9">
        <f si="1" t="shared"/>
        <v>2.6427637975303493E-4</v>
      </c>
    </row>
    <row r="45" spans="1:7" x14ac:dyDescent="0.25">
      <c r="A45">
        <v>34</v>
      </c>
      <c r="B45" s="6" t="n">
        <v>596.97480037</v>
      </c>
      <c r="C45" s="9">
        <f si="0" t="shared"/>
        <v>6.8482439812463146E-4</v>
      </c>
      <c r="E45" s="371">
        <v>34</v>
      </c>
      <c r="F45" s="371" t="n">
        <v>208.0</v>
      </c>
      <c r="G45" s="9">
        <f si="1" t="shared"/>
        <v>2.363940094121184E-4</v>
      </c>
    </row>
    <row r="46" spans="1:7" x14ac:dyDescent="0.25">
      <c r="A46">
        <v>35</v>
      </c>
      <c r="B46" s="6" t="n">
        <v>10.1925</v>
      </c>
      <c r="C46" s="9">
        <f si="0" t="shared"/>
        <v>1.169240757492463E-5</v>
      </c>
      <c r="E46" s="371">
        <v>35</v>
      </c>
      <c r="F46" s="371" t="n">
        <v>156.0</v>
      </c>
      <c r="G46" s="9">
        <f si="1" t="shared"/>
        <v>1.7093105295953176E-4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177.0</v>
      </c>
      <c r="G47" s="9">
        <f si="1" t="shared"/>
        <v>3.2246567437755637E-4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247.0</v>
      </c>
      <c r="G48" s="9">
        <f si="1" t="shared"/>
        <v>1.5153462141802461E-4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123.0</v>
      </c>
      <c r="G49" s="9">
        <f si="1" t="shared"/>
        <v>1.2728908199114068E-4</v>
      </c>
    </row>
    <row r="50" spans="1:7" x14ac:dyDescent="0.25">
      <c r="A50">
        <v>39</v>
      </c>
      <c r="B50" s="6" t="n">
        <v>5.16</v>
      </c>
      <c r="C50" s="9">
        <f si="0" t="shared"/>
        <v>5.9193351078352793E-6</v>
      </c>
      <c r="E50" s="371">
        <v>39</v>
      </c>
      <c r="F50" s="371" t="n">
        <v>124.0</v>
      </c>
      <c r="G50" s="9">
        <f si="1" t="shared"/>
        <v>1.3819957473323844E-4</v>
      </c>
    </row>
    <row r="51" spans="1:7" x14ac:dyDescent="0.25">
      <c r="A51">
        <v>40</v>
      </c>
      <c r="B51" s="6" t="n">
        <v>5.51</v>
      </c>
      <c r="C51" s="9">
        <f si="0" t="shared"/>
        <v>6.3208403961574398E-6</v>
      </c>
      <c r="E51" s="371">
        <v>40</v>
      </c>
      <c r="F51" s="371" t="n">
        <v>120.0</v>
      </c>
      <c r="G51" s="9">
        <f si="1" t="shared"/>
        <v>1.248645280484523E-4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61.0</v>
      </c>
      <c r="G52" s="9">
        <f si="1" t="shared"/>
        <v>7.2736618280651817E-5</v>
      </c>
    </row>
    <row r="53" spans="1:7" x14ac:dyDescent="0.25">
      <c r="A53">
        <v>42</v>
      </c>
      <c r="B53" s="6" t="n">
        <v>339.706125</v>
      </c>
      <c r="C53" s="9">
        <f si="0" t="shared"/>
        <v>3.8969658760836819E-4</v>
      </c>
      <c r="E53" s="371">
        <v>42</v>
      </c>
      <c r="F53" s="371" t="n">
        <v>58.0</v>
      </c>
      <c r="G53" s="9">
        <f si="1" t="shared"/>
        <v>6.061384856720985E-5</v>
      </c>
    </row>
    <row r="54" spans="1:7" x14ac:dyDescent="0.25">
      <c r="A54">
        <v>43</v>
      </c>
      <c r="B54" s="6" t="n">
        <v>351.42375</v>
      </c>
      <c r="C54" s="9">
        <f si="0" t="shared"/>
        <v>4.0313855447715661E-4</v>
      </c>
      <c r="E54" s="371">
        <v>43</v>
      </c>
      <c r="F54" s="371" t="n">
        <v>36.0</v>
      </c>
      <c r="G54" s="9">
        <f si="1" t="shared"/>
        <v>7.5161172223340211E-5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59.0</v>
      </c>
      <c r="G55" s="9">
        <f si="1" t="shared"/>
        <v>4.0005140054358499E-5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44.0</v>
      </c>
      <c r="G56" s="9">
        <f si="1" t="shared"/>
        <v>3.1519201254949122E-5</v>
      </c>
    </row>
    <row r="57" spans="1:7" x14ac:dyDescent="0.25">
      <c r="A57">
        <v>46</v>
      </c>
      <c r="B57" s="6" t="n">
        <v>1427.72808527</v>
      </c>
      <c r="C57" s="9">
        <f si="0" t="shared"/>
        <v>1.6378296472056497E-3</v>
      </c>
      <c r="E57" s="371">
        <v>46</v>
      </c>
      <c r="F57" s="371" t="n">
        <v>35.0</v>
      </c>
      <c r="G57" s="9">
        <f si="1" t="shared"/>
        <v>3.7580586111670105E-5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10.0</v>
      </c>
      <c r="G58" s="9">
        <f si="1" t="shared"/>
        <v>3.8792863083014302E-5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24.0</v>
      </c>
      <c r="G59" s="9">
        <f si="1" t="shared"/>
        <v>4.7278801882423679E-5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34.0</v>
      </c>
      <c r="G60" s="9">
        <f si="1" t="shared"/>
        <v>2.6670093369572332E-5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11.0</v>
      </c>
      <c r="G61" s="9">
        <f si="1" t="shared"/>
        <v>7.2736618280651821E-6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32.0</v>
      </c>
      <c r="G62" s="9">
        <f si="1" t="shared"/>
        <v>1.6971877598818758E-5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5.0</v>
      </c>
      <c r="G63" s="9">
        <f si="1" t="shared"/>
        <v>1.5759600627474561E-5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17.0</v>
      </c>
      <c r="G64" s="9">
        <f si="1" t="shared"/>
        <v>8.4859387994093788E-6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7.0</v>
      </c>
      <c r="G65" s="9">
        <f si="1" t="shared"/>
        <v>1.2122769713441969E-6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4.0</v>
      </c>
      <c r="G66" s="9">
        <f si="1" t="shared"/>
        <v>9.6982157707535756E-6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6.0</v>
      </c>
      <c r="G67" s="9">
        <f si="1" t="shared"/>
        <v>2.4245539426883939E-6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2.4245539426883939E-6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3.0</v>
      </c>
      <c r="G69" s="9">
        <f si="1" t="shared"/>
        <v>4.8491078853767878E-6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1.2122769713441969E-6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15.0</v>
      </c>
      <c r="G71" s="9">
        <f si="1" t="shared"/>
        <v>1.9396431541507151E-5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1.2122769713441969E-6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4.8491078853767878E-6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1.2122769713441969E-6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1.2122769713441969E-6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1.2122769713441969E-6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4.8491078853767878E-6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3.0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87.344125</v>
      </c>
      <c r="C101" s="9">
        <f si="2" t="shared"/>
        <v>1.0019750883249092E-4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871719.52693974599</v>
      </c>
      <c r="C102" s="9">
        <f si="2" t="shared"/>
        <v>1</v>
      </c>
      <c r="F102" s="6">
        <f>SUM(F11:F101)</f>
        <v>824894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676.0</v>
      </c>
      <c r="G11" s="9">
        <f>F11/F$102</f>
        <v>8.4132021811287271E-4</v>
      </c>
      <c r="K11" s="6" t="n">
        <v>27.229507297567846</v>
      </c>
      <c r="L11" s="6" t="n">
        <v>21.03125562005878</v>
      </c>
    </row>
    <row r="12" spans="1:12" x14ac:dyDescent="0.25">
      <c r="A12">
        <v>1</v>
      </c>
      <c r="B12" s="6" t="n">
        <v>7110.049809966999</v>
      </c>
      <c r="C12" s="9">
        <f>B12/B$102</f>
        <v>8.156350282673492E-3</v>
      </c>
      <c r="E12" s="371">
        <v>1</v>
      </c>
      <c r="F12" s="371" t="n">
        <v>16243.0</v>
      </c>
      <c r="G12" s="9">
        <f>F12/F$102</f>
        <v>1.9917710639185154E-2</v>
      </c>
      <c r="K12" s="6"/>
      <c r="L12" s="371"/>
    </row>
    <row r="13" spans="1:12" x14ac:dyDescent="0.25">
      <c r="A13">
        <v>2</v>
      </c>
      <c r="B13" s="6" t="n">
        <v>5940.385875</v>
      </c>
      <c r="C13" s="9">
        <f ref="C13:C76" si="0" t="shared">B13/B$102</f>
        <v>6.8145609813907559E-3</v>
      </c>
      <c r="E13" s="371">
        <v>2</v>
      </c>
      <c r="F13" s="371" t="n">
        <v>22863.0</v>
      </c>
      <c r="G13" s="9">
        <f ref="G13:G76" si="1" t="shared">F13/F$102</f>
        <v>2.7764779474696143E-2</v>
      </c>
    </row>
    <row r="14" spans="1:12" x14ac:dyDescent="0.25">
      <c r="A14">
        <v>3</v>
      </c>
      <c r="B14" s="6" t="n">
        <v>12405.263875</v>
      </c>
      <c r="C14" s="9">
        <f si="0" t="shared"/>
        <v>1.4230797282412447E-2</v>
      </c>
      <c r="E14" s="371">
        <v>3</v>
      </c>
      <c r="F14" s="371" t="n">
        <v>26825.0</v>
      </c>
      <c r="G14" s="9">
        <f si="1" t="shared"/>
        <v>3.259327865156008E-2</v>
      </c>
    </row>
    <row r="15" spans="1:12" x14ac:dyDescent="0.25">
      <c r="A15">
        <v>4</v>
      </c>
      <c r="B15" s="6" t="n">
        <v>9398.885019863</v>
      </c>
      <c r="C15" s="9">
        <f si="0" t="shared"/>
        <v>1.0782005828019798E-2</v>
      </c>
      <c r="E15" s="371">
        <v>4</v>
      </c>
      <c r="F15" s="371" t="n">
        <v>28997.0</v>
      </c>
      <c r="G15" s="9">
        <f si="1" t="shared"/>
        <v>3.490145400499943E-2</v>
      </c>
    </row>
    <row r="16" spans="1:12" x14ac:dyDescent="0.25">
      <c r="A16">
        <v>5</v>
      </c>
      <c r="B16" s="6" t="n">
        <v>7768.9418596495</v>
      </c>
      <c r="C16" s="9">
        <f si="0" t="shared"/>
        <v>8.9122035466190682E-3</v>
      </c>
      <c r="E16" s="371">
        <v>5</v>
      </c>
      <c r="F16" s="371" t="n">
        <v>29155.0</v>
      </c>
      <c r="G16" s="9">
        <f si="1" t="shared"/>
        <v>3.5249377495775218E-2</v>
      </c>
    </row>
    <row r="17" spans="1:7" x14ac:dyDescent="0.25">
      <c r="A17">
        <v>6</v>
      </c>
      <c r="B17" s="6" t="n">
        <v>7600.1131034088</v>
      </c>
      <c r="C17" s="9">
        <f si="0" t="shared"/>
        <v>8.7185302939005154E-3</v>
      </c>
      <c r="E17" s="371">
        <v>6</v>
      </c>
      <c r="F17" s="371" t="n">
        <v>28616.0</v>
      </c>
      <c r="G17" s="9">
        <f si="1" t="shared"/>
        <v>3.464202673313177E-2</v>
      </c>
    </row>
    <row r="18" spans="1:7" x14ac:dyDescent="0.25">
      <c r="A18">
        <v>7</v>
      </c>
      <c r="B18" s="6" t="n">
        <v>14197.309744598</v>
      </c>
      <c r="C18" s="9">
        <f si="0" t="shared"/>
        <v>1.628655697829668E-2</v>
      </c>
      <c r="E18" s="371">
        <v>7</v>
      </c>
      <c r="F18" s="371" t="n">
        <v>27416.0</v>
      </c>
      <c r="G18" s="9">
        <f si="1" t="shared"/>
        <v>3.2937565311421828E-2</v>
      </c>
    </row>
    <row r="19" spans="1:7" x14ac:dyDescent="0.25">
      <c r="A19">
        <v>8</v>
      </c>
      <c r="B19" s="6" t="n">
        <v>3404.8727056371</v>
      </c>
      <c r="C19" s="9">
        <f si="0" t="shared"/>
        <v>3.9059268496487954E-3</v>
      </c>
      <c r="E19" s="371">
        <v>8</v>
      </c>
      <c r="F19" s="371" t="n">
        <v>24906.0</v>
      </c>
      <c r="G19" s="9">
        <f si="1" t="shared"/>
        <v>2.9978397224370647E-2</v>
      </c>
    </row>
    <row r="20" spans="1:7" x14ac:dyDescent="0.25">
      <c r="A20">
        <v>9</v>
      </c>
      <c r="B20" s="6" t="n">
        <v>12242.4308221423</v>
      </c>
      <c r="C20" s="9">
        <f si="0" t="shared"/>
        <v>1.404400204859528E-2</v>
      </c>
      <c r="E20" s="371">
        <v>9</v>
      </c>
      <c r="F20" s="371" t="n">
        <v>22802.0</v>
      </c>
      <c r="G20" s="9">
        <f si="1" t="shared"/>
        <v>2.7489592602201011E-2</v>
      </c>
    </row>
    <row r="21" spans="1:7" x14ac:dyDescent="0.25">
      <c r="A21">
        <v>10</v>
      </c>
      <c r="B21" s="6" t="n">
        <v>7303.4503721597</v>
      </c>
      <c r="C21" s="9">
        <f si="0" t="shared"/>
        <v>8.3782112783444881E-3</v>
      </c>
      <c r="E21" s="371">
        <v>10</v>
      </c>
      <c r="F21" s="371" t="n">
        <v>20576.0</v>
      </c>
      <c r="G21" s="9">
        <f si="1" t="shared"/>
        <v>2.4997151149117342E-2</v>
      </c>
    </row>
    <row r="22" spans="1:7" x14ac:dyDescent="0.25">
      <c r="A22">
        <v>11</v>
      </c>
      <c r="B22" s="6" t="n">
        <v>14101.232282578</v>
      </c>
      <c r="C22" s="9">
        <f si="0" t="shared"/>
        <v>1.6176340952326389E-2</v>
      </c>
      <c r="E22" s="371">
        <v>11</v>
      </c>
      <c r="F22" s="371" t="n">
        <v>18062.0</v>
      </c>
      <c r="G22" s="9">
        <f si="1" t="shared"/>
        <v>2.1733701542258763E-2</v>
      </c>
    </row>
    <row r="23" spans="1:7" x14ac:dyDescent="0.25">
      <c r="A23">
        <v>12</v>
      </c>
      <c r="B23" s="6" t="n">
        <v>31133.2469759201</v>
      </c>
      <c r="C23" s="9">
        <f si="0" t="shared"/>
        <v>3.5714752295633805E-2</v>
      </c>
      <c r="E23" s="371">
        <v>12</v>
      </c>
      <c r="F23" s="371" t="n">
        <v>17156.0</v>
      </c>
      <c r="G23" s="9">
        <f si="1" t="shared"/>
        <v>2.0745695810613241E-2</v>
      </c>
    </row>
    <row r="24" spans="1:7" x14ac:dyDescent="0.25">
      <c r="A24">
        <v>13</v>
      </c>
      <c r="B24" s="6" t="n">
        <v>9661.257592661</v>
      </c>
      <c r="C24" s="9">
        <f si="0" t="shared"/>
        <v>1.1082988615131477E-2</v>
      </c>
      <c r="E24" s="371">
        <v>13</v>
      </c>
      <c r="F24" s="371" t="n">
        <v>14473.0</v>
      </c>
      <c r="G24" s="9">
        <f si="1" t="shared"/>
        <v>1.7562256483863382E-2</v>
      </c>
    </row>
    <row r="25" spans="1:7" x14ac:dyDescent="0.25">
      <c r="A25">
        <v>14</v>
      </c>
      <c r="B25" s="6" t="n">
        <v>14519.794074703</v>
      </c>
      <c r="C25" s="9">
        <f si="0" t="shared"/>
        <v>1.6656497446691503E-2</v>
      </c>
      <c r="E25" s="371">
        <v>14</v>
      </c>
      <c r="F25" s="371" t="n">
        <v>13307.0</v>
      </c>
      <c r="G25" s="9">
        <f si="1" t="shared"/>
        <v>1.5882040601580324E-2</v>
      </c>
    </row>
    <row r="26" spans="1:7" x14ac:dyDescent="0.25">
      <c r="A26">
        <v>15</v>
      </c>
      <c r="B26" s="6" t="n">
        <v>3368.3823033959998</v>
      </c>
      <c r="C26" s="9">
        <f si="0" t="shared"/>
        <v>3.8640665940122111E-3</v>
      </c>
      <c r="E26" s="371">
        <v>15</v>
      </c>
      <c r="F26" s="371" t="n">
        <v>12633.0</v>
      </c>
      <c r="G26" s="9">
        <f si="1" t="shared"/>
        <v>1.5506234740463623E-2</v>
      </c>
    </row>
    <row r="27" spans="1:7" x14ac:dyDescent="0.25">
      <c r="A27">
        <v>16</v>
      </c>
      <c r="B27" s="6" t="n">
        <v>34406.9848658459</v>
      </c>
      <c r="C27" s="9">
        <f si="0" t="shared"/>
        <v>3.9470246796736198E-2</v>
      </c>
      <c r="E27" s="371">
        <v>16</v>
      </c>
      <c r="F27" s="371" t="n">
        <v>11846.0</v>
      </c>
      <c r="G27" s="9">
        <f si="1" t="shared"/>
        <v>1.4024832281481015E-2</v>
      </c>
    </row>
    <row r="28" spans="1:7" x14ac:dyDescent="0.25">
      <c r="A28">
        <v>17</v>
      </c>
      <c r="B28" s="6" t="n">
        <v>15814.9717867568</v>
      </c>
      <c r="C28" s="9">
        <f si="0" t="shared"/>
        <v>1.8142270877281777E-2</v>
      </c>
      <c r="E28" s="371">
        <v>17</v>
      </c>
      <c r="F28" s="371" t="n">
        <v>11643.0</v>
      </c>
      <c r="G28" s="9">
        <f si="1" t="shared"/>
        <v>1.3857538059435515E-2</v>
      </c>
    </row>
    <row r="29" spans="1:7" x14ac:dyDescent="0.25">
      <c r="A29">
        <v>18</v>
      </c>
      <c r="B29" s="6" t="n">
        <v>90240.6690296788</v>
      </c>
      <c r="C29" s="9">
        <f si="0" t="shared"/>
        <v>0.10352030239184527</v>
      </c>
      <c r="E29" s="371">
        <v>18</v>
      </c>
      <c r="F29" s="371" t="n">
        <v>101154.0</v>
      </c>
      <c r="G29" s="9">
        <f si="1" t="shared"/>
        <v>0.12356011802728593</v>
      </c>
    </row>
    <row r="30" spans="1:7" x14ac:dyDescent="0.25">
      <c r="A30">
        <v>19</v>
      </c>
      <c r="B30" s="6" t="n">
        <v>32868.7721913293</v>
      </c>
      <c r="C30" s="9">
        <f si="0" t="shared"/>
        <v>3.7705673872785943E-2</v>
      </c>
      <c r="E30" s="371">
        <v>19</v>
      </c>
      <c r="F30" s="371" t="n">
        <v>26969.0</v>
      </c>
      <c r="G30" s="9">
        <f si="1" t="shared"/>
        <v>3.3023636976387272E-2</v>
      </c>
    </row>
    <row r="31" spans="1:7" x14ac:dyDescent="0.25">
      <c r="A31">
        <v>20</v>
      </c>
      <c r="B31" s="6" t="n">
        <v>54635.1204438281</v>
      </c>
      <c r="C31" s="9">
        <f si="0" t="shared"/>
        <v>6.2675113675186189E-2</v>
      </c>
      <c r="E31" s="371">
        <v>20</v>
      </c>
      <c r="F31" s="371" t="n">
        <v>29131.0</v>
      </c>
      <c r="G31" s="9">
        <f si="1" t="shared"/>
        <v>3.5223919679376985E-2</v>
      </c>
    </row>
    <row r="32" spans="1:7" x14ac:dyDescent="0.25">
      <c r="A32">
        <v>21</v>
      </c>
      <c r="B32" s="6" t="n">
        <v>38153.8051073435</v>
      </c>
      <c r="C32" s="9">
        <f si="0" t="shared"/>
        <v>4.3768441486318484E-2</v>
      </c>
      <c r="E32" s="371">
        <v>21</v>
      </c>
      <c r="F32" s="371" t="n">
        <v>31721.0</v>
      </c>
      <c r="G32" s="9">
        <f si="1" t="shared"/>
        <v>3.7048396521250006E-2</v>
      </c>
    </row>
    <row r="33" spans="1:7" x14ac:dyDescent="0.25">
      <c r="A33">
        <v>22</v>
      </c>
      <c r="B33" s="6" t="n">
        <v>32414.434958815</v>
      </c>
      <c r="C33" s="9">
        <f si="0" t="shared"/>
        <v>3.7184477296968381E-2</v>
      </c>
      <c r="E33" s="371">
        <v>22</v>
      </c>
      <c r="F33" s="371" t="n">
        <v>32455.0</v>
      </c>
      <c r="G33" s="9">
        <f si="1" t="shared"/>
        <v>3.8735886065361123E-2</v>
      </c>
    </row>
    <row r="34" spans="1:7" x14ac:dyDescent="0.25">
      <c r="A34">
        <v>23</v>
      </c>
      <c r="B34" s="6" t="n">
        <v>15008.6658807407</v>
      </c>
      <c r="C34" s="9">
        <f si="0" t="shared"/>
        <v>1.7217310633650763E-2</v>
      </c>
      <c r="E34" s="371">
        <v>23</v>
      </c>
      <c r="F34" s="371" t="n">
        <v>30258.0</v>
      </c>
      <c r="G34" s="9">
        <f si="1" t="shared"/>
        <v>3.6771997371783528E-2</v>
      </c>
    </row>
    <row r="35" spans="1:7" x14ac:dyDescent="0.25">
      <c r="A35">
        <v>24</v>
      </c>
      <c r="B35" s="6" t="n">
        <v>31128.0315245751</v>
      </c>
      <c r="C35" s="9">
        <f si="0" t="shared"/>
        <v>3.5708769349073792E-2</v>
      </c>
      <c r="E35" s="371">
        <v>24</v>
      </c>
      <c r="F35" s="371" t="n">
        <v>23606.0</v>
      </c>
      <c r="G35" s="9">
        <f si="1" t="shared"/>
        <v>2.4351007523390884E-2</v>
      </c>
    </row>
    <row r="36" spans="1:7" x14ac:dyDescent="0.25">
      <c r="A36">
        <v>25</v>
      </c>
      <c r="B36" s="6" t="n">
        <v>29682.1350614951</v>
      </c>
      <c r="C36" s="9">
        <f si="0" t="shared"/>
        <v>3.4050097702522569E-2</v>
      </c>
      <c r="E36" s="371">
        <v>25</v>
      </c>
      <c r="F36" s="371" t="n">
        <v>21727.0</v>
      </c>
      <c r="G36" s="9">
        <f si="1" t="shared"/>
        <v>2.7620518515106184E-2</v>
      </c>
    </row>
    <row r="37" spans="1:7" x14ac:dyDescent="0.25">
      <c r="A37">
        <v>26</v>
      </c>
      <c r="B37" s="6" t="n">
        <v>65883.0413735938</v>
      </c>
      <c r="C37" s="9">
        <f si="0" t="shared"/>
        <v>7.5578255777844591E-2</v>
      </c>
      <c r="E37" s="371">
        <v>26</v>
      </c>
      <c r="F37" s="371" t="n">
        <v>14906.0</v>
      </c>
      <c r="G37" s="9">
        <f si="1" t="shared"/>
        <v>1.9733444539540838E-2</v>
      </c>
    </row>
    <row r="38" spans="1:7" x14ac:dyDescent="0.25">
      <c r="A38">
        <v>27</v>
      </c>
      <c r="B38" s="6" t="n">
        <v>10172.155719594699</v>
      </c>
      <c r="C38" s="9">
        <f si="0" t="shared"/>
        <v>1.1669069471582237E-2</v>
      </c>
      <c r="E38" s="371">
        <v>27</v>
      </c>
      <c r="F38" s="371" t="n">
        <v>13030.0</v>
      </c>
      <c r="G38" s="9">
        <f si="1" t="shared"/>
        <v>1.345748665889193E-2</v>
      </c>
    </row>
    <row r="39" spans="1:7" x14ac:dyDescent="0.25">
      <c r="A39">
        <v>28</v>
      </c>
      <c r="B39" s="6" t="n">
        <v>18649.033094828</v>
      </c>
      <c r="C39" s="9">
        <f si="0" t="shared"/>
        <v>2.1393386884766937E-2</v>
      </c>
      <c r="E39" s="371">
        <v>28</v>
      </c>
      <c r="F39" s="371" t="n">
        <v>15267.0</v>
      </c>
      <c r="G39" s="9">
        <f si="1" t="shared"/>
        <v>2.1847655577565118E-2</v>
      </c>
    </row>
    <row r="40" spans="1:7" x14ac:dyDescent="0.25">
      <c r="A40">
        <v>29</v>
      </c>
      <c r="B40" s="6" t="n">
        <v>15265.4231899969</v>
      </c>
      <c r="C40" s="9">
        <f si="0" t="shared"/>
        <v>1.7511851826455715E-2</v>
      </c>
      <c r="E40" s="371">
        <v>29</v>
      </c>
      <c r="F40" s="371" t="n">
        <v>10796.0</v>
      </c>
      <c r="G40" s="9">
        <f si="1" t="shared"/>
        <v>1.1652406248560421E-2</v>
      </c>
    </row>
    <row r="41" spans="1:7" x14ac:dyDescent="0.25">
      <c r="A41">
        <v>30</v>
      </c>
      <c r="B41" s="6" t="n">
        <v>15834.1694981826</v>
      </c>
      <c r="C41" s="9">
        <f si="0" t="shared"/>
        <v>1.8164293684885039E-2</v>
      </c>
      <c r="E41" s="371">
        <v>30</v>
      </c>
      <c r="F41" s="371" t="n">
        <v>8260.0</v>
      </c>
      <c r="G41" s="9">
        <f si="1" t="shared"/>
        <v>1.1719081481984353E-2</v>
      </c>
    </row>
    <row r="42" spans="1:7" x14ac:dyDescent="0.25">
      <c r="A42">
        <v>31</v>
      </c>
      <c r="B42" s="6" t="n">
        <v>13341.339103737</v>
      </c>
      <c r="C42" s="9">
        <f si="0" t="shared"/>
        <v>1.5304623438427537E-2</v>
      </c>
      <c r="E42" s="371">
        <v>31</v>
      </c>
      <c r="F42" s="371" t="n">
        <v>8531.0</v>
      </c>
      <c r="G42" s="9">
        <f si="1" t="shared"/>
        <v>1.2075490911559546E-2</v>
      </c>
    </row>
    <row r="43" spans="1:7" x14ac:dyDescent="0.25">
      <c r="A43">
        <v>32</v>
      </c>
      <c r="B43" s="6" t="n">
        <v>5775.828733145</v>
      </c>
      <c r="C43" s="9">
        <f si="0" t="shared"/>
        <v>6.6257879451451489E-3</v>
      </c>
      <c r="E43" s="371">
        <v>32</v>
      </c>
      <c r="F43" s="371" t="n">
        <v>13241.0</v>
      </c>
      <c r="G43" s="9">
        <f si="1" t="shared"/>
        <v>1.2646473365062662E-2</v>
      </c>
    </row>
    <row r="44" spans="1:7" x14ac:dyDescent="0.25">
      <c r="A44">
        <v>33</v>
      </c>
      <c r="B44" s="6" t="n">
        <v>9175.1486805087</v>
      </c>
      <c r="C44" s="9">
        <f si="0" t="shared"/>
        <v>1.0525344903903817E-2</v>
      </c>
      <c r="E44" s="371">
        <v>33</v>
      </c>
      <c r="F44" s="371" t="n">
        <v>7552.0</v>
      </c>
      <c r="G44" s="9">
        <f si="1" t="shared"/>
        <v>1.1237807524360707E-2</v>
      </c>
    </row>
    <row r="45" spans="1:7" x14ac:dyDescent="0.25">
      <c r="A45">
        <v>34</v>
      </c>
      <c r="B45" s="6" t="n">
        <v>19789.5180472356</v>
      </c>
      <c r="C45" s="9">
        <f si="0" t="shared"/>
        <v>2.2701703283748365E-2</v>
      </c>
      <c r="E45" s="371">
        <v>34</v>
      </c>
      <c r="F45" s="371" t="n">
        <v>9133.0</v>
      </c>
      <c r="G45" s="9">
        <f si="1" t="shared"/>
        <v>9.2205786440439624E-3</v>
      </c>
    </row>
    <row r="46" spans="1:7" x14ac:dyDescent="0.25">
      <c r="A46">
        <v>35</v>
      </c>
      <c r="B46" s="6" t="n">
        <v>4831.111649248101</v>
      </c>
      <c r="C46" s="9">
        <f si="0" t="shared"/>
        <v>5.5420482161368766E-3</v>
      </c>
      <c r="E46" s="371">
        <v>35</v>
      </c>
      <c r="F46" s="371" t="n">
        <v>5601.0</v>
      </c>
      <c r="G46" s="9">
        <f si="1" t="shared"/>
        <v>8.311370915535814E-3</v>
      </c>
    </row>
    <row r="47" spans="1:7" x14ac:dyDescent="0.25">
      <c r="A47">
        <v>36</v>
      </c>
      <c r="B47" s="6" t="n">
        <v>5120.352550202</v>
      </c>
      <c r="C47" s="9">
        <f si="0" t="shared"/>
        <v>5.8738532199427533E-3</v>
      </c>
      <c r="E47" s="371">
        <v>36</v>
      </c>
      <c r="F47" s="371" t="n">
        <v>4555.0</v>
      </c>
      <c r="G47" s="9">
        <f si="1" t="shared"/>
        <v>4.6793891093886006E-3</v>
      </c>
    </row>
    <row r="48" spans="1:7" x14ac:dyDescent="0.25">
      <c r="A48">
        <v>37</v>
      </c>
      <c r="B48" s="6" t="n">
        <v>10341.908245021</v>
      </c>
      <c r="C48" s="9">
        <f si="0" t="shared"/>
        <v>1.1863802433481388E-2</v>
      </c>
      <c r="E48" s="371">
        <v>37</v>
      </c>
      <c r="F48" s="371" t="n">
        <v>3702.0</v>
      </c>
      <c r="G48" s="9">
        <f si="1" t="shared"/>
        <v>4.5302790419132644E-3</v>
      </c>
    </row>
    <row r="49" spans="1:7" x14ac:dyDescent="0.25">
      <c r="A49">
        <v>38</v>
      </c>
      <c r="B49" s="6" t="n">
        <v>14109.4155229302</v>
      </c>
      <c r="C49" s="9">
        <f si="0" t="shared"/>
        <v>1.6185728421689305E-2</v>
      </c>
      <c r="E49" s="371">
        <v>38</v>
      </c>
      <c r="F49" s="371" t="n">
        <v>4489.0</v>
      </c>
      <c r="G49" s="9">
        <f si="1" t="shared"/>
        <v>5.7183104738305771E-3</v>
      </c>
    </row>
    <row r="50" spans="1:7" x14ac:dyDescent="0.25">
      <c r="A50">
        <v>39</v>
      </c>
      <c r="B50" s="6" t="n">
        <v>2853.7853158464</v>
      </c>
      <c r="C50" s="9">
        <f si="0" t="shared"/>
        <v>3.2737425601384474E-3</v>
      </c>
      <c r="E50" s="371">
        <v>39</v>
      </c>
      <c r="F50" s="371" t="n">
        <v>3688.0</v>
      </c>
      <c r="G50" s="9">
        <f si="1" t="shared"/>
        <v>3.7859409815079272E-3</v>
      </c>
    </row>
    <row r="51" spans="1:7" x14ac:dyDescent="0.25">
      <c r="A51">
        <v>40</v>
      </c>
      <c r="B51" s="6" t="n">
        <v>984.8458708764</v>
      </c>
      <c r="C51" s="9">
        <f si="0" t="shared"/>
        <v>1.1297737866831949E-3</v>
      </c>
      <c r="E51" s="371">
        <v>40</v>
      </c>
      <c r="F51" s="371" t="n">
        <v>3374.0</v>
      </c>
      <c r="G51" s="9">
        <f si="1" t="shared"/>
        <v>4.5375527037413294E-3</v>
      </c>
    </row>
    <row r="52" spans="1:7" x14ac:dyDescent="0.25">
      <c r="A52">
        <v>41</v>
      </c>
      <c r="B52" s="6" t="n">
        <v>7230.856374999999</v>
      </c>
      <c r="C52" s="9">
        <f si="0" t="shared"/>
        <v>8.2949344961728774E-3</v>
      </c>
      <c r="E52" s="371">
        <v>41</v>
      </c>
      <c r="F52" s="371" t="n">
        <v>3091.0</v>
      </c>
      <c r="G52" s="9">
        <f si="1" t="shared"/>
        <v>4.1290153643983351E-3</v>
      </c>
    </row>
    <row r="53" spans="1:7" x14ac:dyDescent="0.25">
      <c r="A53">
        <v>42</v>
      </c>
      <c r="B53" s="6" t="n">
        <v>1569.247120981</v>
      </c>
      <c r="C53" s="9">
        <f si="0" t="shared"/>
        <v>1.8001743364519905E-3</v>
      </c>
      <c r="E53" s="371">
        <v>42</v>
      </c>
      <c r="F53" s="371" t="n">
        <v>2732.0</v>
      </c>
      <c r="G53" s="9">
        <f si="1" t="shared"/>
        <v>3.1579815103516332E-3</v>
      </c>
    </row>
    <row r="54" spans="1:7" x14ac:dyDescent="0.25">
      <c r="A54">
        <v>43</v>
      </c>
      <c r="B54" s="6" t="n">
        <v>1173.021376812</v>
      </c>
      <c r="C54" s="9">
        <f si="0" t="shared"/>
        <v>1.3456408174427419E-3</v>
      </c>
      <c r="E54" s="371">
        <v>43</v>
      </c>
      <c r="F54" s="371" t="n">
        <v>2078.0</v>
      </c>
      <c r="G54" s="9">
        <f si="1" t="shared"/>
        <v>2.7530810019226713E-3</v>
      </c>
    </row>
    <row r="55" spans="1:7" x14ac:dyDescent="0.25">
      <c r="A55">
        <v>44</v>
      </c>
      <c r="B55" s="6" t="n">
        <v>1196.801803842</v>
      </c>
      <c r="C55" s="9">
        <f si="0" t="shared"/>
        <v>1.3729207237601828E-3</v>
      </c>
      <c r="E55" s="371">
        <v>44</v>
      </c>
      <c r="F55" s="371" t="n">
        <v>1979.0</v>
      </c>
      <c r="G55" s="9">
        <f si="1" t="shared"/>
        <v>2.5130501615965202E-3</v>
      </c>
    </row>
    <row r="56" spans="1:7" x14ac:dyDescent="0.25">
      <c r="A56">
        <v>45</v>
      </c>
      <c r="B56" s="6" t="n">
        <v>37424.629805929</v>
      </c>
      <c r="C56" s="9">
        <f si="0" t="shared"/>
        <v>4.2931962230227549E-2</v>
      </c>
      <c r="E56" s="371">
        <v>45</v>
      </c>
      <c r="F56" s="371" t="n">
        <v>2101.0</v>
      </c>
      <c r="G56" s="9">
        <f si="1" t="shared"/>
        <v>2.4027329572041982E-3</v>
      </c>
    </row>
    <row r="57" spans="1:7" x14ac:dyDescent="0.25">
      <c r="A57">
        <v>46</v>
      </c>
      <c r="B57" s="6" t="n">
        <v>5549.771822802</v>
      </c>
      <c r="C57" s="9">
        <f si="0" t="shared"/>
        <v>6.3664649595323404E-3</v>
      </c>
      <c r="E57" s="371">
        <v>46</v>
      </c>
      <c r="F57" s="371" t="n">
        <v>1797.0</v>
      </c>
      <c r="G57" s="9">
        <f si="1" t="shared"/>
        <v>2.2718070442990252E-3</v>
      </c>
    </row>
    <row r="58" spans="1:7" x14ac:dyDescent="0.25">
      <c r="A58">
        <v>47</v>
      </c>
      <c r="B58" s="6" t="n">
        <v>4244.099974671</v>
      </c>
      <c r="C58" s="9">
        <f si="0" t="shared"/>
        <v>4.868653097138154E-3</v>
      </c>
      <c r="E58" s="371">
        <v>47</v>
      </c>
      <c r="F58" s="371" t="n">
        <v>1841.0</v>
      </c>
      <c r="G58" s="9">
        <f si="1" t="shared"/>
        <v>2.185735379333587E-3</v>
      </c>
    </row>
    <row r="59" spans="1:7" x14ac:dyDescent="0.25">
      <c r="A59">
        <v>48</v>
      </c>
      <c r="B59" s="6" t="n">
        <v>2507.59786587</v>
      </c>
      <c r="C59" s="9">
        <f si="0" t="shared"/>
        <v>2.8766108689490533E-3</v>
      </c>
      <c r="E59" s="371">
        <v>48</v>
      </c>
      <c r="F59" s="371" t="n">
        <v>1440.0</v>
      </c>
      <c r="G59" s="9">
        <f si="1" t="shared"/>
        <v>1.8196277339876396E-3</v>
      </c>
    </row>
    <row r="60" spans="1:7" x14ac:dyDescent="0.25">
      <c r="A60">
        <v>49</v>
      </c>
      <c r="B60" s="6" t="n">
        <v>1084.341280303</v>
      </c>
      <c r="C60" s="9">
        <f si="0" t="shared"/>
        <v>1.2439107382505048E-3</v>
      </c>
      <c r="E60" s="371">
        <v>49</v>
      </c>
      <c r="F60" s="371" t="n">
        <v>1717.0</v>
      </c>
      <c r="G60" s="9">
        <f si="1" t="shared"/>
        <v>1.9869219560331389E-3</v>
      </c>
    </row>
    <row r="61" spans="1:7" x14ac:dyDescent="0.25">
      <c r="A61">
        <v>50</v>
      </c>
      <c r="B61" s="6" t="n">
        <v>354.408375</v>
      </c>
      <c r="C61" s="9">
        <f si="0" t="shared"/>
        <v>4.0656239082332386E-4</v>
      </c>
      <c r="E61" s="371">
        <v>50</v>
      </c>
      <c r="F61" s="371" t="n">
        <v>1419.0</v>
      </c>
      <c r="G61" s="9">
        <f si="1" t="shared"/>
        <v>2.0560217433997579E-3</v>
      </c>
    </row>
    <row r="62" spans="1:7" x14ac:dyDescent="0.25">
      <c r="A62">
        <v>51</v>
      </c>
      <c r="B62" s="6" t="n">
        <v>1425.581625</v>
      </c>
      <c r="C62" s="9">
        <f si="0" t="shared"/>
        <v>1.6353673182068545E-3</v>
      </c>
      <c r="E62" s="371">
        <v>51</v>
      </c>
      <c r="F62" s="371" t="n">
        <v>1664.0</v>
      </c>
      <c r="G62" s="9">
        <f si="1" t="shared"/>
        <v>1.8584205970706539E-3</v>
      </c>
    </row>
    <row r="63" spans="1:7" x14ac:dyDescent="0.25">
      <c r="A63">
        <v>52</v>
      </c>
      <c r="B63" s="6" t="n">
        <v>1095.81675</v>
      </c>
      <c r="C63" s="9">
        <f si="0" t="shared"/>
        <v>1.2570749147342937E-3</v>
      </c>
      <c r="E63" s="371">
        <v>52</v>
      </c>
      <c r="F63" s="371" t="n">
        <v>995.0</v>
      </c>
      <c r="G63" s="9">
        <f si="1" t="shared"/>
        <v>1.3007731902523233E-3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1172.0</v>
      </c>
      <c r="G64" s="9">
        <f si="1" t="shared"/>
        <v>1.4135149485873337E-3</v>
      </c>
    </row>
    <row r="65" spans="1:7" x14ac:dyDescent="0.25">
      <c r="A65">
        <v>54</v>
      </c>
      <c r="B65" s="6" t="n">
        <v>2105.130729518</v>
      </c>
      <c r="C65" s="9">
        <f si="0" t="shared"/>
        <v>2.4149174871741846E-3</v>
      </c>
      <c r="E65" s="371">
        <v>54</v>
      </c>
      <c r="F65" s="371" t="n">
        <v>1063.0</v>
      </c>
      <c r="G65" s="9">
        <f si="1" t="shared"/>
        <v>1.2547066653412439E-3</v>
      </c>
    </row>
    <row r="66" spans="1:7" x14ac:dyDescent="0.25">
      <c r="A66">
        <v>55</v>
      </c>
      <c r="B66" s="6" t="n">
        <v>3268.71792537</v>
      </c>
      <c r="C66" s="9">
        <f si="0" t="shared"/>
        <v>3.749735808769989E-3</v>
      </c>
      <c r="E66" s="371">
        <v>55</v>
      </c>
      <c r="F66" s="371" t="n">
        <v>964.0</v>
      </c>
      <c r="G66" s="9">
        <f si="1" t="shared"/>
        <v>1.1456017379202661E-3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893.0</v>
      </c>
      <c r="G67" s="9">
        <f si="1" t="shared"/>
        <v>1.0364968104992884E-3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811.0</v>
      </c>
      <c r="G68" s="9">
        <f si="1" t="shared"/>
        <v>1.0304354256425673E-3</v>
      </c>
    </row>
    <row r="69" spans="1:7" x14ac:dyDescent="0.25">
      <c r="A69">
        <v>58</v>
      </c>
      <c r="B69" s="6" t="n">
        <v>15.92375</v>
      </c>
      <c r="C69" s="9">
        <f si="0" t="shared"/>
        <v>1.8267056671200007E-5</v>
      </c>
      <c r="E69" s="371">
        <v>58</v>
      </c>
      <c r="F69" s="371" t="n">
        <v>724.0</v>
      </c>
      <c r="G69" s="9">
        <f si="1" t="shared"/>
        <v>9.4678831461981778E-4</v>
      </c>
    </row>
    <row r="70" spans="1:7" x14ac:dyDescent="0.25">
      <c r="A70">
        <v>59</v>
      </c>
      <c r="B70" s="6" t="n">
        <v>651.2942178769999</v>
      </c>
      <c r="C70" s="9">
        <f si="0" t="shared"/>
        <v>7.4713735066074527E-4</v>
      </c>
      <c r="E70" s="371">
        <v>59</v>
      </c>
      <c r="F70" s="371" t="n">
        <v>807.0</v>
      </c>
      <c r="G70" s="9">
        <f si="1" t="shared"/>
        <v>1.0486195802127303E-3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795.0</v>
      </c>
      <c r="G71" s="9">
        <f si="1" t="shared"/>
        <v>9.4193920673444102E-4</v>
      </c>
    </row>
    <row r="72" spans="1:7" x14ac:dyDescent="0.25">
      <c r="A72">
        <v>61</v>
      </c>
      <c r="B72" s="6" t="n">
        <v>6072.2657120416</v>
      </c>
      <c r="C72" s="9">
        <f si="0" t="shared"/>
        <v>6.9658479870915186E-3</v>
      </c>
      <c r="E72" s="371">
        <v>61</v>
      </c>
      <c r="F72" s="371" t="n">
        <v>671.0</v>
      </c>
      <c r="G72" s="9">
        <f si="1" t="shared"/>
        <v>7.5039944526205792E-4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650.0</v>
      </c>
      <c r="G73" s="9">
        <f si="1" t="shared"/>
        <v>8.3647111022749595E-4</v>
      </c>
    </row>
    <row r="74" spans="1:7" x14ac:dyDescent="0.25">
      <c r="A74">
        <v>63</v>
      </c>
      <c r="B74" s="6" t="n">
        <v>5.16</v>
      </c>
      <c r="C74" s="9">
        <f si="0" t="shared"/>
        <v>5.9193351078352801E-6</v>
      </c>
      <c r="E74" s="371">
        <v>63</v>
      </c>
      <c r="F74" s="371" t="n">
        <v>623.0</v>
      </c>
      <c r="G74" s="9">
        <f si="1" t="shared"/>
        <v>7.2494162886382982E-4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544.0</v>
      </c>
      <c r="G75" s="9">
        <f si="1" t="shared"/>
        <v>7.6130993800415574E-4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532.0</v>
      </c>
      <c r="G76" s="9">
        <f si="1" t="shared"/>
        <v>6.2795947115629398E-4</v>
      </c>
    </row>
    <row r="77" spans="1:7" x14ac:dyDescent="0.25">
      <c r="A77">
        <v>66</v>
      </c>
      <c r="B77" s="6" t="n">
        <v>1427.72808527</v>
      </c>
      <c r="C77" s="9">
        <f ref="C77:C102" si="2" t="shared">B77/B$102</f>
        <v>1.6378296472056499E-3</v>
      </c>
      <c r="E77" s="371">
        <v>66</v>
      </c>
      <c r="F77" s="371" t="n">
        <v>583.0</v>
      </c>
      <c r="G77" s="9">
        <f ref="G77:G102" si="3" t="shared">F77/F$102</f>
        <v>6.7160144212468514E-4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560.0</v>
      </c>
      <c r="G78" s="9">
        <f si="3" t="shared"/>
        <v>6.2068580932822884E-4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503.0</v>
      </c>
      <c r="G79" s="9">
        <f si="3" t="shared"/>
        <v>5.8068066927387035E-4</v>
      </c>
    </row>
    <row r="80" spans="1:7" x14ac:dyDescent="0.25">
      <c r="A80">
        <v>69</v>
      </c>
      <c r="B80" s="6" t="n">
        <v>1036.537015762</v>
      </c>
      <c r="C80" s="9">
        <f si="2" t="shared"/>
        <v>1.1890716953431818E-3</v>
      </c>
      <c r="E80" s="371">
        <v>69</v>
      </c>
      <c r="F80" s="371" t="n">
        <v>503.0</v>
      </c>
      <c r="G80" s="9">
        <f si="3" t="shared"/>
        <v>6.764505500100619E-4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477.0</v>
      </c>
      <c r="G81" s="9">
        <f si="3" t="shared"/>
        <v>6.0613848567209845E-4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485.0</v>
      </c>
      <c r="G82" s="9">
        <f si="3" t="shared"/>
        <v>6.3644540995570341E-4</v>
      </c>
    </row>
    <row r="83" spans="1:7" x14ac:dyDescent="0.25">
      <c r="A83">
        <v>72</v>
      </c>
      <c r="B83" s="6" t="n">
        <v>3300.7833570129</v>
      </c>
      <c r="C83" s="9">
        <f si="2" t="shared"/>
        <v>3.7865199241327234E-3</v>
      </c>
      <c r="E83" s="371">
        <v>72</v>
      </c>
      <c r="F83" s="371" t="n">
        <v>463.0</v>
      </c>
      <c r="G83" s="9">
        <f si="3" t="shared"/>
        <v>5.6977017653177253E-4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395.0</v>
      </c>
      <c r="G84" s="9">
        <f si="3" t="shared"/>
        <v>5.0188266613649757E-4</v>
      </c>
    </row>
    <row r="85" spans="1:7" x14ac:dyDescent="0.25">
      <c r="A85">
        <v>74</v>
      </c>
      <c r="B85" s="6" t="n">
        <v>1126.495875</v>
      </c>
      <c r="C85" s="9">
        <f si="2" t="shared"/>
        <v>1.2922687173874271E-3</v>
      </c>
      <c r="E85" s="371">
        <v>74</v>
      </c>
      <c r="F85" s="371" t="n">
        <v>449.0</v>
      </c>
      <c r="G85" s="9">
        <f si="3" t="shared"/>
        <v>4.8854761945171137E-4</v>
      </c>
    </row>
    <row r="86" spans="1:7" x14ac:dyDescent="0.25">
      <c r="A86">
        <v>75</v>
      </c>
      <c r="B86" s="6" t="n">
        <v>970.9034999999999</v>
      </c>
      <c r="C86" s="9">
        <f si="2" t="shared"/>
        <v>1.1137796848585562E-3</v>
      </c>
      <c r="E86" s="371">
        <v>75</v>
      </c>
      <c r="F86" s="371" t="n">
        <v>305.0</v>
      </c>
      <c r="G86" s="9">
        <f si="3" t="shared"/>
        <v>3.8186724597342206E-4</v>
      </c>
    </row>
    <row r="87" spans="1:7" x14ac:dyDescent="0.25">
      <c r="A87">
        <v>76</v>
      </c>
      <c r="B87" s="6" t="n">
        <v>2431.275216484</v>
      </c>
      <c r="C87" s="9">
        <f si="2" t="shared"/>
        <v>2.789056733671233E-3</v>
      </c>
      <c r="E87" s="371">
        <v>76</v>
      </c>
      <c r="F87" s="371" t="n">
        <v>353.0</v>
      </c>
      <c r="G87" s="9">
        <f si="3" t="shared"/>
        <v>4.5824069516810646E-4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345.0</v>
      </c>
      <c r="G88" s="9">
        <f si="3" t="shared"/>
        <v>4.2429693997046892E-4</v>
      </c>
    </row>
    <row r="89" spans="1:7" x14ac:dyDescent="0.25">
      <c r="A89">
        <v>78</v>
      </c>
      <c r="B89" s="6" t="n">
        <v>265.778875</v>
      </c>
      <c r="C89" s="9">
        <f si="2" t="shared"/>
        <v>3.0489035381946986E-4</v>
      </c>
      <c r="E89" s="371">
        <v>78</v>
      </c>
      <c r="F89" s="371" t="n">
        <v>290.0</v>
      </c>
      <c r="G89" s="9">
        <f si="3" t="shared"/>
        <v>3.4549893683309614E-4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334.0</v>
      </c>
      <c r="G90" s="9">
        <f si="3" t="shared"/>
        <v>5.0794405099321852E-4</v>
      </c>
    </row>
    <row r="91" spans="1:7" x14ac:dyDescent="0.25">
      <c r="A91">
        <v>80</v>
      </c>
      <c r="B91" s="6" t="n">
        <v>8712.436162205</v>
      </c>
      <c r="C91" s="9">
        <f si="2" t="shared"/>
        <v>9.9945405522701026E-3</v>
      </c>
      <c r="E91" s="371">
        <v>80</v>
      </c>
      <c r="F91" s="371" t="n">
        <v>249.0</v>
      </c>
      <c r="G91" s="9">
        <f si="3" t="shared"/>
        <v>2.9700785797932827E-4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267.0</v>
      </c>
      <c r="G92" s="9">
        <f si="3" t="shared"/>
        <v>3.26102505291589E-4</v>
      </c>
    </row>
    <row r="93" spans="1:7" x14ac:dyDescent="0.25">
      <c r="A93">
        <v>82</v>
      </c>
      <c r="B93" s="6" t="n">
        <v>1587.06225</v>
      </c>
      <c r="C93" s="9">
        <f si="2" t="shared"/>
        <v>1.8206111036327621E-3</v>
      </c>
      <c r="E93" s="371">
        <v>82</v>
      </c>
      <c r="F93" s="371" t="n">
        <v>274.0</v>
      </c>
      <c r="G93" s="9">
        <f si="3" t="shared"/>
        <v>2.9822013495067246E-4</v>
      </c>
    </row>
    <row r="94" spans="1:7" x14ac:dyDescent="0.25">
      <c r="A94">
        <v>83</v>
      </c>
      <c r="B94" s="6" t="n">
        <v>21.551250000000003</v>
      </c>
      <c r="C94" s="9">
        <f si="2" t="shared"/>
        <v>2.4722688128437036E-5</v>
      </c>
      <c r="E94" s="371">
        <v>83</v>
      </c>
      <c r="F94" s="371" t="n">
        <v>268.0</v>
      </c>
      <c r="G94" s="9">
        <f si="3" t="shared"/>
        <v>3.6731992231729167E-4</v>
      </c>
    </row>
    <row r="95" spans="1:7" x14ac:dyDescent="0.25">
      <c r="A95">
        <v>84</v>
      </c>
      <c r="B95" s="6" t="n">
        <v>736.1920170764</v>
      </c>
      <c r="C95" s="9">
        <f si="2" t="shared"/>
        <v>8.4452853736209394E-4</v>
      </c>
      <c r="E95" s="371">
        <v>84</v>
      </c>
      <c r="F95" s="371" t="n">
        <v>294.0</v>
      </c>
      <c r="G95" s="9">
        <f si="3" t="shared"/>
        <v>3.1155518163545861E-4</v>
      </c>
    </row>
    <row r="96" spans="1:7" x14ac:dyDescent="0.25">
      <c r="A96">
        <v>85</v>
      </c>
      <c r="B96" s="6" t="n">
        <v>176.449698513</v>
      </c>
      <c r="C96" s="9">
        <f si="2" t="shared"/>
        <v>2.024156773594867E-4</v>
      </c>
      <c r="E96" s="371">
        <v>85</v>
      </c>
      <c r="F96" s="371" t="n">
        <v>270.0</v>
      </c>
      <c r="G96" s="9">
        <f si="3" t="shared"/>
        <v>3.7338130717401267E-4</v>
      </c>
    </row>
    <row r="97" spans="1:7" x14ac:dyDescent="0.25">
      <c r="A97">
        <v>86</v>
      </c>
      <c r="B97" s="6" t="n">
        <v>339.706125</v>
      </c>
      <c r="C97" s="9">
        <f si="2" t="shared"/>
        <v>3.8969658760836824E-4</v>
      </c>
      <c r="E97" s="371">
        <v>86</v>
      </c>
      <c r="F97" s="371" t="n">
        <v>245.0</v>
      </c>
      <c r="G97" s="9">
        <f si="3" t="shared"/>
        <v>2.9943241192201665E-4</v>
      </c>
    </row>
    <row r="98" spans="1:7" x14ac:dyDescent="0.25">
      <c r="A98">
        <v>87</v>
      </c>
      <c r="B98" s="6" t="n">
        <v>143.194</v>
      </c>
      <c r="C98" s="9">
        <f si="2" t="shared"/>
        <v>1.6426613787429555E-4</v>
      </c>
      <c r="E98" s="371">
        <v>87</v>
      </c>
      <c r="F98" s="371" t="n">
        <v>262.0</v>
      </c>
      <c r="G98" s="9">
        <f si="3" t="shared"/>
        <v>3.2125339740621218E-4</v>
      </c>
    </row>
    <row r="99" spans="1:7" x14ac:dyDescent="0.25">
      <c r="A99">
        <v>88</v>
      </c>
      <c r="B99" s="6" t="n">
        <v>195.04500000000002</v>
      </c>
      <c r="C99" s="9">
        <f si="2" t="shared"/>
        <v>2.2374742560227369E-4</v>
      </c>
      <c r="E99" s="371">
        <v>88</v>
      </c>
      <c r="F99" s="371" t="n">
        <v>255.0</v>
      </c>
      <c r="G99" s="9">
        <f si="3" t="shared"/>
        <v>2.5700271792496973E-4</v>
      </c>
    </row>
    <row r="100" spans="1:7" x14ac:dyDescent="0.25">
      <c r="A100">
        <v>89</v>
      </c>
      <c r="B100" s="6" t="n">
        <v>3248.298665265</v>
      </c>
      <c r="C100" s="9">
        <f si="2" t="shared"/>
        <v>3.7263116918677514E-3</v>
      </c>
      <c r="E100" s="371">
        <v>89</v>
      </c>
      <c r="F100" s="371" t="n">
        <v>183.0</v>
      </c>
      <c r="G100" s="9">
        <f si="3" t="shared"/>
        <v>2.0608708512851349E-4</v>
      </c>
    </row>
    <row ht="15.75" r="101" spans="1:7" thickBot="1" x14ac:dyDescent="0.3">
      <c r="A101" s="1">
        <v>90</v>
      </c>
      <c r="B101" s="7" t="n">
        <v>22389.1394741028</v>
      </c>
      <c r="C101" s="9">
        <f si="2" t="shared"/>
        <v>2.5683879713813456E-2</v>
      </c>
      <c r="E101" s="372">
        <v>90</v>
      </c>
      <c r="F101" s="372" t="n">
        <v>13562.0</v>
      </c>
      <c r="G101" s="9">
        <f si="3" t="shared"/>
        <v>1.6404531976229673E-2</v>
      </c>
    </row>
    <row r="102" spans="1:7" x14ac:dyDescent="0.25">
      <c r="B102" s="6">
        <f>SUM(B11:B101)</f>
        <v>871719.52693974588</v>
      </c>
      <c r="C102" s="9">
        <f si="2" t="shared"/>
        <v>1</v>
      </c>
      <c r="F102" s="6">
        <f>SUM(F11:F101)</f>
        <v>824894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41036.6144514812</v>
      </c>
      <c r="C11" s="9">
        <f>B11/B$102</f>
        <v>3.3002917508857768E-2</v>
      </c>
      <c r="E11" s="371">
        <v>0</v>
      </c>
      <c r="F11" s="371" t="n">
        <v>182594.0</v>
      </c>
      <c r="G11" s="9">
        <f>F11/F$102</f>
        <v>0.14991328831467973</v>
      </c>
      <c r="K11" s="6" t="n">
        <v>6.893956947417957</v>
      </c>
      <c r="L11" s="6" t="n">
        <v>5.905995153272239</v>
      </c>
    </row>
    <row r="12" spans="1:12" x14ac:dyDescent="0.25">
      <c r="A12">
        <v>1</v>
      </c>
      <c r="B12" s="6" t="n">
        <v>70014.0946293031</v>
      </c>
      <c r="C12" s="9">
        <f>B12/B$102</f>
        <v>5.6307505392293629E-2</v>
      </c>
      <c r="E12" s="371">
        <v>1</v>
      </c>
      <c r="F12" s="371" t="n">
        <v>163378.0</v>
      </c>
      <c r="G12" s="9">
        <f>F12/F$102</f>
        <v>0.13428426032254068</v>
      </c>
      <c r="K12" s="6"/>
      <c r="L12" s="371"/>
    </row>
    <row r="13" spans="1:12" x14ac:dyDescent="0.25">
      <c r="A13">
        <v>2</v>
      </c>
      <c r="B13" s="6" t="n">
        <v>72983.4245619847</v>
      </c>
      <c r="C13" s="9">
        <f ref="C13:C76" si="0" t="shared">B13/B$102</f>
        <v>5.8695532575694383E-2</v>
      </c>
      <c r="E13" s="371">
        <v>2</v>
      </c>
      <c r="F13" s="371" t="n">
        <v>102643.0</v>
      </c>
      <c r="G13" s="9">
        <f ref="G13:G76" si="1" t="shared">F13/F$102</f>
        <v>8.3894392532751244E-2</v>
      </c>
    </row>
    <row r="14" spans="1:12" x14ac:dyDescent="0.25">
      <c r="A14">
        <v>3</v>
      </c>
      <c r="B14" s="6" t="n">
        <v>120628.8023949881</v>
      </c>
      <c r="C14" s="9">
        <f si="0" t="shared"/>
        <v>9.7013422472779096E-2</v>
      </c>
      <c r="E14" s="371">
        <v>3</v>
      </c>
      <c r="F14" s="371" t="n">
        <v>63110.0</v>
      </c>
      <c r="G14" s="9">
        <f si="1" t="shared"/>
        <v>5.1350727005500668E-2</v>
      </c>
    </row>
    <row r="15" spans="1:12" x14ac:dyDescent="0.25">
      <c r="A15">
        <v>4</v>
      </c>
      <c r="B15" s="6" t="n">
        <v>233807.7245633377</v>
      </c>
      <c r="C15" s="9">
        <f si="0" t="shared"/>
        <v>0.18803542031521206</v>
      </c>
      <c r="E15" s="371">
        <v>4</v>
      </c>
      <c r="F15" s="371" t="n">
        <v>191522.0</v>
      </c>
      <c r="G15" s="9">
        <f si="1" t="shared"/>
        <v>0.15806636289677292</v>
      </c>
    </row>
    <row r="16" spans="1:12" x14ac:dyDescent="0.25">
      <c r="A16">
        <v>5</v>
      </c>
      <c r="B16" s="6" t="n">
        <v>111745.1382012634</v>
      </c>
      <c r="C16" s="9">
        <f si="0" t="shared"/>
        <v>8.9868904327683727E-2</v>
      </c>
      <c r="E16" s="371">
        <v>5</v>
      </c>
      <c r="F16" s="371" t="n">
        <v>89635.0</v>
      </c>
      <c r="G16" s="9">
        <f si="1" t="shared"/>
        <v>7.4431435831678897E-2</v>
      </c>
    </row>
    <row r="17" spans="1:7" x14ac:dyDescent="0.25">
      <c r="A17">
        <v>6</v>
      </c>
      <c r="B17" s="6" t="n">
        <v>133033.0757617559</v>
      </c>
      <c r="C17" s="9">
        <f si="0" t="shared"/>
        <v>0.10698932365645929</v>
      </c>
      <c r="E17" s="371">
        <v>6</v>
      </c>
      <c r="F17" s="371" t="n">
        <v>91230.0</v>
      </c>
      <c r="G17" s="9">
        <f si="1" t="shared"/>
        <v>7.7287229946667285E-2</v>
      </c>
    </row>
    <row r="18" spans="1:7" x14ac:dyDescent="0.25">
      <c r="A18">
        <v>7</v>
      </c>
      <c r="B18" s="6" t="n">
        <v>107861.5911012974</v>
      </c>
      <c r="C18" s="9">
        <f si="0" t="shared"/>
        <v>8.6745635356909379E-2</v>
      </c>
      <c r="E18" s="371">
        <v>7</v>
      </c>
      <c r="F18" s="371" t="n">
        <v>51351.0</v>
      </c>
      <c r="G18" s="9">
        <f si="1" t="shared"/>
        <v>4.2061026277992977E-2</v>
      </c>
    </row>
    <row r="19" spans="1:7" x14ac:dyDescent="0.25">
      <c r="A19">
        <v>8</v>
      </c>
      <c r="B19" s="6" t="n">
        <v>50501.0687918001</v>
      </c>
      <c r="C19" s="9">
        <f si="0" t="shared"/>
        <v>4.0614525094790611E-2</v>
      </c>
      <c r="E19" s="371">
        <v>8</v>
      </c>
      <c r="F19" s="371" t="n">
        <v>46064.0</v>
      </c>
      <c r="G19" s="9">
        <f si="1" t="shared"/>
        <v>3.566980591983019E-2</v>
      </c>
    </row>
    <row r="20" spans="1:7" x14ac:dyDescent="0.25">
      <c r="A20">
        <v>9</v>
      </c>
      <c r="B20" s="6" t="n">
        <v>31816.0735574426</v>
      </c>
      <c r="C20" s="9">
        <f si="0" t="shared"/>
        <v>2.558747267793016E-2</v>
      </c>
      <c r="E20" s="371">
        <v>9</v>
      </c>
      <c r="F20" s="371" t="n">
        <v>26281.0</v>
      </c>
      <c r="G20" s="9">
        <f si="1" t="shared"/>
        <v>2.1646115885647708E-2</v>
      </c>
    </row>
    <row r="21" spans="1:7" x14ac:dyDescent="0.25">
      <c r="A21">
        <v>10</v>
      </c>
      <c r="B21" s="6" t="n">
        <v>86161.2258041164</v>
      </c>
      <c r="C21" s="9">
        <f si="0" t="shared"/>
        <v>6.9293528856708211E-2</v>
      </c>
      <c r="E21" s="371">
        <v>10</v>
      </c>
      <c r="F21" s="371" t="n">
        <v>21480.0</v>
      </c>
      <c r="G21" s="9">
        <f si="1" t="shared"/>
        <v>2.0148749041651742E-2</v>
      </c>
    </row>
    <row r="22" spans="1:7" x14ac:dyDescent="0.25">
      <c r="A22">
        <v>11</v>
      </c>
      <c r="B22" s="6" t="n">
        <v>23471.3984698237</v>
      </c>
      <c r="C22" s="9">
        <f si="0" t="shared"/>
        <v>1.887642628104674E-2</v>
      </c>
      <c r="E22" s="371">
        <v>11</v>
      </c>
      <c r="F22" s="371" t="n">
        <v>24530.0</v>
      </c>
      <c r="G22" s="9">
        <f si="1" t="shared"/>
        <v>2.00098094686482E-2</v>
      </c>
    </row>
    <row r="23" spans="1:7" x14ac:dyDescent="0.25">
      <c r="A23">
        <v>12</v>
      </c>
      <c r="B23" s="6" t="n">
        <v>16892.030641544</v>
      </c>
      <c r="C23" s="9">
        <f si="0" t="shared"/>
        <v>1.358509470802244E-2</v>
      </c>
      <c r="E23" s="371">
        <v>12</v>
      </c>
      <c r="F23" s="371" t="n">
        <v>15826.0</v>
      </c>
      <c r="G23" s="9">
        <f si="1" t="shared"/>
        <v>1.4320819843918966E-2</v>
      </c>
    </row>
    <row r="24" spans="1:7" x14ac:dyDescent="0.25">
      <c r="A24">
        <v>13</v>
      </c>
      <c r="B24" s="6" t="n">
        <v>15943.1519336711</v>
      </c>
      <c r="C24" s="9">
        <f si="0" t="shared"/>
        <v>1.2821977035172835E-2</v>
      </c>
      <c r="E24" s="371">
        <v>13</v>
      </c>
      <c r="F24" s="371" t="n">
        <v>16458.0</v>
      </c>
      <c r="G24" s="9">
        <f si="1" t="shared"/>
        <v>1.3027677432530608E-2</v>
      </c>
    </row>
    <row r="25" spans="1:7" x14ac:dyDescent="0.25">
      <c r="A25">
        <v>14</v>
      </c>
      <c r="B25" s="6" t="n">
        <v>7832.5718147952</v>
      </c>
      <c r="C25" s="9">
        <f si="0" t="shared"/>
        <v>6.2991970692787029E-3</v>
      </c>
      <c r="E25" s="371">
        <v>14</v>
      </c>
      <c r="F25" s="371" t="n">
        <v>14154.0</v>
      </c>
      <c r="G25" s="9">
        <f si="1" t="shared"/>
        <v>1.2081046968271558E-2</v>
      </c>
    </row>
    <row r="26" spans="1:7" x14ac:dyDescent="0.25">
      <c r="A26">
        <v>15</v>
      </c>
      <c r="B26" s="6" t="n">
        <v>12343.4433601623</v>
      </c>
      <c r="C26" s="9">
        <f si="0" t="shared"/>
        <v>9.9269798065905208E-3</v>
      </c>
      <c r="E26" s="371">
        <v>15</v>
      </c>
      <c r="F26" s="371" t="n">
        <v>13679.0</v>
      </c>
      <c r="G26" s="9">
        <f si="1" t="shared"/>
        <v>1.1703566562099293E-2</v>
      </c>
    </row>
    <row r="27" spans="1:7" x14ac:dyDescent="0.25">
      <c r="A27">
        <v>16</v>
      </c>
      <c r="B27" s="6" t="n">
        <v>10817.380646548</v>
      </c>
      <c r="C27" s="9">
        <f si="0" t="shared"/>
        <v>8.6996728631704226E-3</v>
      </c>
      <c r="E27" s="371">
        <v>16</v>
      </c>
      <c r="F27" s="371" t="n">
        <v>14289.0</v>
      </c>
      <c r="G27" s="9">
        <f si="1" t="shared"/>
        <v>1.2182322199195824E-2</v>
      </c>
    </row>
    <row r="28" spans="1:7" x14ac:dyDescent="0.25">
      <c r="A28">
        <v>17</v>
      </c>
      <c r="B28" s="6" t="n">
        <v>17419.7887826173</v>
      </c>
      <c r="C28" s="9">
        <f si="0" t="shared"/>
        <v>1.4009534165986584E-2</v>
      </c>
      <c r="E28" s="371">
        <v>17</v>
      </c>
      <c r="F28" s="371" t="n">
        <v>9652.0</v>
      </c>
      <c r="G28" s="9">
        <f si="1" t="shared"/>
        <v>8.5364138859222415E-3</v>
      </c>
    </row>
    <row r="29" spans="1:7" x14ac:dyDescent="0.25">
      <c r="A29">
        <v>18</v>
      </c>
      <c r="B29" s="6" t="n">
        <v>18966.5703644235</v>
      </c>
      <c r="C29" s="9">
        <f si="0" t="shared"/>
        <v>1.5253503865507643E-2</v>
      </c>
      <c r="E29" s="371">
        <v>18</v>
      </c>
      <c r="F29" s="371" t="n">
        <v>7765.0</v>
      </c>
      <c r="G29" s="9">
        <f si="1" t="shared"/>
        <v>7.049090866480744E-3</v>
      </c>
    </row>
    <row r="30" spans="1:7" x14ac:dyDescent="0.25">
      <c r="A30">
        <v>19</v>
      </c>
      <c r="B30" s="6" t="n">
        <v>5712.8777091771</v>
      </c>
      <c r="C30" s="9">
        <f si="0" t="shared"/>
        <v>4.5944733573741207E-3</v>
      </c>
      <c r="E30" s="371">
        <v>19</v>
      </c>
      <c r="F30" s="371" t="n">
        <v>7450.0</v>
      </c>
      <c r="G30" s="9">
        <f si="1" t="shared"/>
        <v>6.3351423377336442E-3</v>
      </c>
    </row>
    <row r="31" spans="1:7" x14ac:dyDescent="0.25">
      <c r="A31">
        <v>20</v>
      </c>
      <c r="B31" s="6" t="n">
        <v>7905.4607745684</v>
      </c>
      <c r="C31" s="9">
        <f si="0" t="shared"/>
        <v>6.3578166303427741E-3</v>
      </c>
      <c r="E31" s="371">
        <v>20</v>
      </c>
      <c r="F31" s="371" t="n">
        <v>5476.0</v>
      </c>
      <c r="G31" s="9">
        <f si="1" t="shared"/>
        <v>5.0721314000087047E-3</v>
      </c>
    </row>
    <row r="32" spans="1:7" x14ac:dyDescent="0.25">
      <c r="A32">
        <v>21</v>
      </c>
      <c r="B32" s="6" t="n">
        <v>5865.5300556841</v>
      </c>
      <c r="C32" s="9">
        <f si="0" t="shared"/>
        <v>4.7172411067765638E-3</v>
      </c>
      <c r="E32" s="371">
        <v>21</v>
      </c>
      <c r="F32" s="371" t="n">
        <v>5352.0</v>
      </c>
      <c r="G32" s="9">
        <f si="1" t="shared"/>
        <v>4.6929770230773613E-3</v>
      </c>
    </row>
    <row r="33" spans="1:7" x14ac:dyDescent="0.25">
      <c r="A33">
        <v>22</v>
      </c>
      <c r="B33" s="6" t="n">
        <v>5503.4160241288</v>
      </c>
      <c r="C33" s="9">
        <f si="0" t="shared"/>
        <v>4.4260177767830701E-3</v>
      </c>
      <c r="E33" s="371">
        <v>22</v>
      </c>
      <c r="F33" s="371" t="n">
        <v>3985.0</v>
      </c>
      <c r="G33" s="9">
        <f si="1" t="shared"/>
        <v>3.5136646233063602E-3</v>
      </c>
    </row>
    <row r="34" spans="1:7" x14ac:dyDescent="0.25">
      <c r="A34">
        <v>23</v>
      </c>
      <c r="B34" s="6" t="n">
        <v>7207.0823968347</v>
      </c>
      <c r="C34" s="9">
        <f si="0" t="shared"/>
        <v>5.7961590886962486E-3</v>
      </c>
      <c r="E34" s="371">
        <v>23</v>
      </c>
      <c r="F34" s="371" t="n">
        <v>3935.0</v>
      </c>
      <c r="G34" s="9">
        <f si="1" t="shared"/>
        <v>3.8643614973333648E-3</v>
      </c>
    </row>
    <row r="35" spans="1:7" x14ac:dyDescent="0.25">
      <c r="A35">
        <v>24</v>
      </c>
      <c r="B35" s="6" t="n">
        <v>1879.5049007177</v>
      </c>
      <c r="C35" s="9">
        <f si="0" t="shared"/>
        <v>1.5115561072714481E-3</v>
      </c>
      <c r="E35" s="371">
        <v>24</v>
      </c>
      <c r="F35" s="371" t="n">
        <v>3824.0</v>
      </c>
      <c r="G35" s="9">
        <f si="1" t="shared"/>
        <v>3.5036207987518874E-3</v>
      </c>
    </row>
    <row r="36" spans="1:7" x14ac:dyDescent="0.25">
      <c r="A36">
        <v>25</v>
      </c>
      <c r="B36" s="6" t="n">
        <v>1572.4291990000002</v>
      </c>
      <c r="C36" s="9">
        <f si="0" t="shared"/>
        <v>1.2645963083644E-3</v>
      </c>
      <c r="E36" s="371">
        <v>25</v>
      </c>
      <c r="F36" s="371" t="n">
        <v>3686.0</v>
      </c>
      <c r="G36" s="9">
        <f si="1" t="shared"/>
        <v>3.5270563893789902E-3</v>
      </c>
    </row>
    <row r="37" spans="1:7" x14ac:dyDescent="0.25">
      <c r="A37">
        <v>26</v>
      </c>
      <c r="B37" s="6" t="n">
        <v>501.90882972869997</v>
      </c>
      <c r="C37" s="9">
        <f si="0" t="shared"/>
        <v>4.0365064043205301E-4</v>
      </c>
      <c r="E37" s="371">
        <v>26</v>
      </c>
      <c r="F37" s="371" t="n">
        <v>2968.0</v>
      </c>
      <c r="G37" s="9">
        <f si="1" t="shared"/>
        <v>2.7294093226779515E-3</v>
      </c>
    </row>
    <row r="38" spans="1:7" x14ac:dyDescent="0.25">
      <c r="A38">
        <v>27</v>
      </c>
      <c r="B38" s="6" t="n">
        <v>3553.514310411</v>
      </c>
      <c r="C38" s="9">
        <f si="0" t="shared"/>
        <v>2.8578463701409659E-3</v>
      </c>
      <c r="E38" s="371">
        <v>27</v>
      </c>
      <c r="F38" s="371" t="n">
        <v>2536.0</v>
      </c>
      <c r="G38" s="9">
        <f si="1" t="shared"/>
        <v>2.4900315041296857E-3</v>
      </c>
    </row>
    <row r="39" spans="1:7" x14ac:dyDescent="0.25">
      <c r="A39">
        <v>28</v>
      </c>
      <c r="B39" s="6" t="n">
        <v>2277.679470475</v>
      </c>
      <c r="C39" s="9">
        <f si="0" t="shared"/>
        <v>1.8317804399917315E-3</v>
      </c>
      <c r="E39" s="371">
        <v>28</v>
      </c>
      <c r="F39" s="371" t="n">
        <v>2515.0</v>
      </c>
      <c r="G39" s="9">
        <f si="1" t="shared"/>
        <v>2.3318412673967413E-3</v>
      </c>
    </row>
    <row r="40" spans="1:7" x14ac:dyDescent="0.25">
      <c r="A40">
        <v>29</v>
      </c>
      <c r="B40" s="6" t="n">
        <v>1110.185088022</v>
      </c>
      <c r="C40" s="9">
        <f si="0" t="shared"/>
        <v>8.9284526438880216E-4</v>
      </c>
      <c r="E40" s="371">
        <v>29</v>
      </c>
      <c r="F40" s="371" t="n">
        <v>2241.0</v>
      </c>
      <c r="G40" s="9">
        <f si="1" t="shared"/>
        <v>1.9535238758449369E-3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1599.0</v>
      </c>
      <c r="G41" s="9">
        <f si="1" t="shared"/>
        <v>1.5969681041611565E-3</v>
      </c>
    </row>
    <row r="42" spans="1:7" x14ac:dyDescent="0.25">
      <c r="A42">
        <v>31</v>
      </c>
      <c r="B42" s="6" t="n">
        <v>616.4765828231</v>
      </c>
      <c r="C42" s="9">
        <f si="0" t="shared"/>
        <v>4.9578957916005504E-4</v>
      </c>
      <c r="E42" s="371">
        <v>31</v>
      </c>
      <c r="F42" s="371" t="n">
        <v>1405.0</v>
      </c>
      <c r="G42" s="9">
        <f si="1" t="shared"/>
        <v>1.2554780693090854E-3</v>
      </c>
    </row>
    <row r="43" spans="1:7" x14ac:dyDescent="0.25">
      <c r="A43">
        <v>32</v>
      </c>
      <c r="B43" s="6" t="n">
        <v>159.396922991</v>
      </c>
      <c r="C43" s="9">
        <f si="0" t="shared"/>
        <v>1.2819194689799393E-4</v>
      </c>
      <c r="E43" s="371">
        <v>32</v>
      </c>
      <c r="F43" s="371" t="n">
        <v>1157.0</v>
      </c>
      <c r="G43" s="9">
        <f si="1" t="shared"/>
        <v>1.2286945371638247E-3</v>
      </c>
    </row>
    <row r="44" spans="1:7" x14ac:dyDescent="0.25">
      <c r="A44">
        <v>33</v>
      </c>
      <c r="B44" s="6" t="n">
        <v>1202.624334424</v>
      </c>
      <c r="C44" s="9">
        <f si="0" t="shared"/>
        <v>9.6718777203385145E-4</v>
      </c>
      <c r="E44" s="371">
        <v>33</v>
      </c>
      <c r="F44" s="371" t="n">
        <v>841.0</v>
      </c>
      <c r="G44" s="9">
        <f si="1" t="shared"/>
        <v>9.6002223033168053E-4</v>
      </c>
    </row>
    <row r="45" spans="1:7" x14ac:dyDescent="0.25">
      <c r="A45">
        <v>34</v>
      </c>
      <c r="B45" s="6" t="n">
        <v>8406.9105220392</v>
      </c>
      <c r="C45" s="9">
        <f si="0" t="shared"/>
        <v>6.7610980625911164E-3</v>
      </c>
      <c r="E45" s="371">
        <v>34</v>
      </c>
      <c r="F45" s="371" t="n">
        <v>895.0</v>
      </c>
      <c r="G45" s="9">
        <f si="1" t="shared"/>
        <v>8.0601692049643277E-4</v>
      </c>
    </row>
    <row r="46" spans="1:7" x14ac:dyDescent="0.25">
      <c r="A46">
        <v>35</v>
      </c>
      <c r="B46" s="6" t="n">
        <v>760.643560281</v>
      </c>
      <c r="C46" s="9">
        <f si="0" t="shared"/>
        <v>6.1173313172016867E-4</v>
      </c>
      <c r="E46" s="371">
        <v>35</v>
      </c>
      <c r="F46" s="371" t="n">
        <v>728.0</v>
      </c>
      <c r="G46" s="9">
        <f si="1" t="shared"/>
        <v>7.2148139716295438E-4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881.0</v>
      </c>
      <c r="G47" s="9">
        <f si="1" t="shared"/>
        <v>9.3993458122273521E-4</v>
      </c>
    </row>
    <row r="48" spans="1:7" x14ac:dyDescent="0.25">
      <c r="A48">
        <v>37</v>
      </c>
      <c r="B48" s="6" t="n">
        <v>205.011586153</v>
      </c>
      <c r="C48" s="9">
        <f si="0" t="shared"/>
        <v>1.648766731029229E-4</v>
      </c>
      <c r="E48" s="371">
        <v>37</v>
      </c>
      <c r="F48" s="371" t="n">
        <v>595.0</v>
      </c>
      <c r="G48" s="9">
        <f si="1" t="shared"/>
        <v>6.3276094693177898E-4</v>
      </c>
    </row>
    <row r="49" spans="1:7" x14ac:dyDescent="0.25">
      <c r="A49">
        <v>38</v>
      </c>
      <c r="B49" s="6" t="n">
        <v>1198.864695919</v>
      </c>
      <c r="C49" s="9">
        <f si="0" t="shared"/>
        <v>9.6416415419641171E-4</v>
      </c>
      <c r="E49" s="371">
        <v>38</v>
      </c>
      <c r="F49" s="371" t="n">
        <v>623.0</v>
      </c>
      <c r="G49" s="9">
        <f si="1" t="shared"/>
        <v>6.2941300541362148E-4</v>
      </c>
    </row>
    <row r="50" spans="1:7" x14ac:dyDescent="0.25">
      <c r="A50">
        <v>39</v>
      </c>
      <c r="B50" s="6" t="n">
        <v>1778.0579449699999</v>
      </c>
      <c r="C50" s="9">
        <f si="0" t="shared"/>
        <v>1.4299693205245885E-3</v>
      </c>
      <c r="E50" s="371">
        <v>39</v>
      </c>
      <c r="F50" s="371" t="n">
        <v>524.0</v>
      </c>
      <c r="G50" s="9">
        <f si="1" t="shared"/>
        <v>5.3232270138705217E-4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467.0</v>
      </c>
      <c r="G51" s="9">
        <f si="1" t="shared"/>
        <v>4.4276526577633743E-4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359.0</v>
      </c>
      <c r="G52" s="9">
        <f si="1" t="shared"/>
        <v>3.1721745884542889E-4</v>
      </c>
    </row>
    <row r="53" spans="1:7" x14ac:dyDescent="0.25">
      <c r="A53">
        <v>42</v>
      </c>
      <c r="B53" s="6" t="n">
        <v>317.065697077</v>
      </c>
      <c r="C53" s="9">
        <f si="0" t="shared"/>
        <v>2.5499406287262619E-4</v>
      </c>
      <c r="E53" s="371">
        <v>42</v>
      </c>
      <c r="F53" s="371" t="n">
        <v>292.0</v>
      </c>
      <c r="G53" s="9">
        <f si="1" t="shared"/>
        <v>2.8624899980247146E-4</v>
      </c>
    </row>
    <row r="54" spans="1:7" x14ac:dyDescent="0.25">
      <c r="A54">
        <v>43</v>
      </c>
      <c r="B54" s="6" t="n">
        <v>794.0327051950001</v>
      </c>
      <c r="C54" s="9">
        <f si="0" t="shared"/>
        <v>6.3858571714947836E-4</v>
      </c>
      <c r="E54" s="371">
        <v>43</v>
      </c>
      <c r="F54" s="371" t="n">
        <v>281.0</v>
      </c>
      <c r="G54" s="9">
        <f si="1" t="shared"/>
        <v>2.9294488283878657E-4</v>
      </c>
    </row>
    <row r="55" spans="1:7" x14ac:dyDescent="0.25">
      <c r="A55">
        <v>44</v>
      </c>
      <c r="B55" s="6" t="n">
        <v>387.674382174</v>
      </c>
      <c r="C55" s="9">
        <f si="0" t="shared"/>
        <v>3.117797563518088E-4</v>
      </c>
      <c r="E55" s="371">
        <v>44</v>
      </c>
      <c r="F55" s="371" t="n">
        <v>197.0</v>
      </c>
      <c r="G55" s="9">
        <f si="1" t="shared"/>
        <v>2.1343127178254451E-4</v>
      </c>
    </row>
    <row r="56" spans="1:7" x14ac:dyDescent="0.25">
      <c r="A56">
        <v>45</v>
      </c>
      <c r="B56" s="6" t="n">
        <v>343.963060963</v>
      </c>
      <c r="C56" s="9">
        <f si="0" t="shared"/>
        <v>2.766257567489554E-4</v>
      </c>
      <c r="E56" s="371">
        <v>45</v>
      </c>
      <c r="F56" s="371" t="n">
        <v>199.0</v>
      </c>
      <c r="G56" s="9">
        <f si="1" t="shared"/>
        <v>2.4439973082550197E-4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152.0</v>
      </c>
      <c r="G57" s="9">
        <f si="1" t="shared"/>
        <v>1.4814641217847206E-4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172.0</v>
      </c>
      <c r="G58" s="9">
        <f si="1" t="shared"/>
        <v>1.8246281273958707E-4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101.0</v>
      </c>
      <c r="G59" s="9">
        <f si="1" t="shared"/>
        <v>1.1801493851505401E-4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129.0</v>
      </c>
      <c r="G60" s="9">
        <f si="1" t="shared"/>
        <v>1.0880809934012073E-4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86.0</v>
      </c>
      <c r="G61" s="9">
        <f si="1" t="shared"/>
        <v>1.0713412858104194E-4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104.0</v>
      </c>
      <c r="G62" s="9">
        <f si="1" t="shared"/>
        <v>9.0394420990254148E-5</v>
      </c>
    </row>
    <row r="63" spans="1:7" x14ac:dyDescent="0.25">
      <c r="A63">
        <v>52</v>
      </c>
      <c r="B63" s="6" t="n">
        <v>554.661229397</v>
      </c>
      <c r="C63" s="9">
        <f si="0" t="shared"/>
        <v>4.4607575561073375E-4</v>
      </c>
      <c r="E63" s="371">
        <v>52</v>
      </c>
      <c r="F63" s="371" t="n">
        <v>81.0</v>
      </c>
      <c r="G63" s="9">
        <f si="1" t="shared"/>
        <v>7.1980742640387552E-5</v>
      </c>
    </row>
    <row r="64" spans="1:7" x14ac:dyDescent="0.25">
      <c r="A64">
        <v>53</v>
      </c>
      <c r="B64" s="6" t="n">
        <v>4.59375</v>
      </c>
      <c r="C64" s="9">
        <f si="0" t="shared"/>
        <v>3.6944361598241738E-6</v>
      </c>
      <c r="E64" s="371">
        <v>53</v>
      </c>
      <c r="F64" s="371" t="n">
        <v>33.0</v>
      </c>
      <c r="G64" s="9">
        <f si="1" t="shared"/>
        <v>7.2817728019926954E-5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69.0</v>
      </c>
      <c r="G65" s="9">
        <f si="1" t="shared"/>
        <v>5.356706429052097E-5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29.0</v>
      </c>
      <c r="G66" s="9">
        <f si="1" t="shared"/>
        <v>3.3479415181575611E-5</v>
      </c>
    </row>
    <row r="67" spans="1:7" x14ac:dyDescent="0.25">
      <c r="A67">
        <v>56</v>
      </c>
      <c r="B67" s="6" t="n">
        <v>248.013120292</v>
      </c>
      <c r="C67" s="9">
        <f si="0" t="shared"/>
        <v>1.9945983993852241E-4</v>
      </c>
      <c r="E67" s="371">
        <v>56</v>
      </c>
      <c r="F67" s="371" t="n">
        <v>48.0</v>
      </c>
      <c r="G67" s="9">
        <f si="1" t="shared"/>
        <v>3.0131473663418048E-5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25.0</v>
      </c>
      <c r="G68" s="9">
        <f si="1" t="shared"/>
        <v>3.5153385940654388E-5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33.0</v>
      </c>
      <c r="G69" s="9">
        <f si="1" t="shared"/>
        <v>3.4316400561115E-5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27.0</v>
      </c>
      <c r="G70" s="9">
        <f si="1" t="shared"/>
        <v>2.6783532145260485E-5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22.0</v>
      </c>
      <c r="G71" s="9">
        <f si="1" t="shared"/>
        <v>2.3435590627102925E-5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22.0</v>
      </c>
      <c r="G72" s="9">
        <f si="1" t="shared"/>
        <v>1.0043824554472683E-5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9.0</v>
      </c>
      <c r="G73" s="9">
        <f si="1" t="shared"/>
        <v>1.1717795313551463E-5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18.0</v>
      </c>
      <c r="G74" s="9">
        <f si="1" t="shared"/>
        <v>1.0880809934012073E-5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1.0043824554472683E-5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8.0</v>
      </c>
      <c r="G76" s="9">
        <f si="1" t="shared"/>
        <v>4.1849268976969514E-6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5.0</v>
      </c>
      <c r="G77" s="9">
        <f ref="G77:G102" si="3" t="shared">F77/F$102</f>
        <v>1.6739707590787803E-6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4.0</v>
      </c>
      <c r="G78" s="9">
        <f si="3" t="shared"/>
        <v>5.8588976567757313E-6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3.0</v>
      </c>
      <c r="G79" s="9">
        <f si="3" t="shared"/>
        <v>8.3698537953939028E-6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4.0</v>
      </c>
      <c r="G80" s="9">
        <f si="3" t="shared"/>
        <v>4.1849268976969514E-6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4.0</v>
      </c>
      <c r="G81" s="9">
        <f si="3" t="shared"/>
        <v>1.6739707590787803E-6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3.0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5.0</v>
      </c>
      <c r="G83" s="9">
        <f si="3" t="shared"/>
        <v>8.3698537953939016E-7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8.3698537953939016E-7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8.3698537953939016E-7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2.0</v>
      </c>
      <c r="G86" s="9">
        <f si="3" t="shared"/>
        <v>1.6739707590787803E-6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2.5109561386181707E-6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2.5109561386181707E-6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2.5109561386181707E-6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8.3698537953939016E-7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8.3698537953939016E-7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8.3698537953939016E-7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1.6739707590787803E-6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81.0922660552</v>
      </c>
      <c r="C101" s="9">
        <f si="2" t="shared"/>
        <v>6.5216914284933509E-5</v>
      </c>
      <c r="E101" s="372">
        <v>90</v>
      </c>
      <c r="F101" s="372" t="n">
        <v>0.0</v>
      </c>
      <c r="G101" s="9">
        <f si="3" t="shared"/>
        <v>8.3698537953939016E-7</v>
      </c>
    </row>
    <row r="102" spans="1:7" x14ac:dyDescent="0.25">
      <c r="B102" s="6">
        <f>SUM(B11:B101)</f>
        <v>1243423.8409518562</v>
      </c>
      <c r="C102" s="9">
        <f si="2" t="shared"/>
        <v>1</v>
      </c>
      <c r="F102" s="6">
        <f>SUM(F11:F101)</f>
        <v>1194764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L102"/>
  <sheetViews>
    <sheetView workbookViewId="0">
      <selection activeCell="D5" sqref="D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6421.666277464999</v>
      </c>
      <c r="C11" s="9">
        <f>B11/B$102</f>
        <v>5.1645030969883401E-3</v>
      </c>
      <c r="E11" s="371">
        <v>0</v>
      </c>
      <c r="F11" s="371" t="n">
        <v>7808.0</v>
      </c>
      <c r="G11" s="9">
        <f>F11/F$102</f>
        <v>6.440602495555608E-3</v>
      </c>
      <c r="K11" s="6" t="n">
        <v>25.652639512133877</v>
      </c>
      <c r="L11" s="6" t="n">
        <v>19.76163656060332</v>
      </c>
    </row>
    <row r="12" spans="1:12" x14ac:dyDescent="0.25">
      <c r="A12">
        <v>1</v>
      </c>
      <c r="B12" s="6" t="n">
        <v>7648.6649553169</v>
      </c>
      <c r="C12" s="9">
        <f>B12/B$102</f>
        <v>6.1512934716305197E-3</v>
      </c>
      <c r="E12" s="371">
        <v>1</v>
      </c>
      <c r="F12" s="371" t="n">
        <v>28135.0</v>
      </c>
      <c r="G12" s="9">
        <f>F12/F$102</f>
        <v>2.3342685249974054E-2</v>
      </c>
      <c r="K12" s="6"/>
      <c r="L12" s="371"/>
    </row>
    <row r="13" spans="1:12" x14ac:dyDescent="0.25">
      <c r="A13">
        <v>2</v>
      </c>
      <c r="B13" s="6" t="n">
        <v>7659.3953825730005</v>
      </c>
      <c r="C13" s="9">
        <f ref="C13:C76" si="0" t="shared">B13/B$102</f>
        <v>6.1599232138814693E-3</v>
      </c>
      <c r="E13" s="371">
        <v>2</v>
      </c>
      <c r="F13" s="371" t="n">
        <v>36049.0</v>
      </c>
      <c r="G13" s="9">
        <f ref="G13:G76" si="1" t="shared">F13/F$102</f>
        <v>2.9655228982460133E-2</v>
      </c>
    </row>
    <row r="14" spans="1:12" x14ac:dyDescent="0.25">
      <c r="A14">
        <v>3</v>
      </c>
      <c r="B14" s="6" t="n">
        <v>11138.1608098898</v>
      </c>
      <c r="C14" s="9">
        <f si="0" t="shared"/>
        <v>8.9576542149645434E-3</v>
      </c>
      <c r="E14" s="371">
        <v>3</v>
      </c>
      <c r="F14" s="371" t="n">
        <v>41364.0</v>
      </c>
      <c r="G14" s="9">
        <f si="1" t="shared"/>
        <v>3.3918832505833788E-2</v>
      </c>
    </row>
    <row r="15" spans="1:12" x14ac:dyDescent="0.25">
      <c r="A15">
        <v>4</v>
      </c>
      <c r="B15" s="6" t="n">
        <v>15713.2697782597</v>
      </c>
      <c r="C15" s="9">
        <f si="0" t="shared"/>
        <v>1.2637098679265307E-2</v>
      </c>
      <c r="E15" s="371">
        <v>4</v>
      </c>
      <c r="F15" s="371" t="n">
        <v>43704.0</v>
      </c>
      <c r="G15" s="9">
        <f si="1" t="shared"/>
        <v>3.5870682410919646E-2</v>
      </c>
    </row>
    <row r="16" spans="1:12" x14ac:dyDescent="0.25">
      <c r="A16">
        <v>5</v>
      </c>
      <c r="B16" s="6" t="n">
        <v>17497.7260123518</v>
      </c>
      <c r="C16" s="9">
        <f si="0" t="shared"/>
        <v>1.4072213702253828E-2</v>
      </c>
      <c r="E16" s="371">
        <v>5</v>
      </c>
      <c r="F16" s="371" t="n">
        <v>43656.0</v>
      </c>
      <c r="G16" s="9">
        <f si="1" t="shared"/>
        <v>3.579367975600202E-2</v>
      </c>
    </row>
    <row r="17" spans="1:7" x14ac:dyDescent="0.25">
      <c r="A17">
        <v>6</v>
      </c>
      <c r="B17" s="6" t="n">
        <v>17900.7109937355</v>
      </c>
      <c r="C17" s="9">
        <f si="0" t="shared"/>
        <v>1.4396306717130568E-2</v>
      </c>
      <c r="E17" s="371">
        <v>6</v>
      </c>
      <c r="F17" s="371" t="n">
        <v>42160.0</v>
      </c>
      <c r="G17" s="9">
        <f si="1" t="shared"/>
        <v>3.4714805601775749E-2</v>
      </c>
    </row>
    <row r="18" spans="1:7" x14ac:dyDescent="0.25">
      <c r="A18">
        <v>7</v>
      </c>
      <c r="B18" s="6" t="n">
        <v>23731.144678382</v>
      </c>
      <c r="C18" s="9">
        <f si="0" t="shared"/>
        <v>1.908532223430388E-2</v>
      </c>
      <c r="E18" s="371">
        <v>7</v>
      </c>
      <c r="F18" s="371" t="n">
        <v>40225.0</v>
      </c>
      <c r="G18" s="9">
        <f si="1" t="shared"/>
        <v>3.2898547328175272E-2</v>
      </c>
    </row>
    <row r="19" spans="1:7" x14ac:dyDescent="0.25">
      <c r="A19">
        <v>8</v>
      </c>
      <c r="B19" s="6" t="n">
        <v>13210.0662664562</v>
      </c>
      <c r="C19" s="9">
        <f si="0" t="shared"/>
        <v>1.0623944813816446E-2</v>
      </c>
      <c r="E19" s="371">
        <v>8</v>
      </c>
      <c r="F19" s="371" t="n">
        <v>37316.0</v>
      </c>
      <c r="G19" s="9">
        <f si="1" t="shared"/>
        <v>3.0580097826851161E-2</v>
      </c>
    </row>
    <row r="20" spans="1:7" x14ac:dyDescent="0.25">
      <c r="A20">
        <v>9</v>
      </c>
      <c r="B20" s="6" t="n">
        <v>25852.2630383261</v>
      </c>
      <c r="C20" s="9">
        <f si="0" t="shared"/>
        <v>2.0791191375690424E-2</v>
      </c>
      <c r="E20" s="371">
        <v>9</v>
      </c>
      <c r="F20" s="371" t="n">
        <v>33816.0</v>
      </c>
      <c r="G20" s="9">
        <f si="1" t="shared"/>
        <v>2.7661529808397308E-2</v>
      </c>
    </row>
    <row r="21" spans="1:7" x14ac:dyDescent="0.25">
      <c r="A21">
        <v>10</v>
      </c>
      <c r="B21" s="6" t="n">
        <v>13020.6747208126</v>
      </c>
      <c r="C21" s="9">
        <f si="0" t="shared"/>
        <v>1.0471630261524591E-2</v>
      </c>
      <c r="E21" s="371">
        <v>10</v>
      </c>
      <c r="F21" s="371" t="n">
        <v>29795.0</v>
      </c>
      <c r="G21" s="9">
        <f si="1" t="shared"/>
        <v>2.426922806512416E-2</v>
      </c>
    </row>
    <row r="22" spans="1:7" x14ac:dyDescent="0.25">
      <c r="A22">
        <v>11</v>
      </c>
      <c r="B22" s="6" t="n">
        <v>18581.0337230459</v>
      </c>
      <c r="C22" s="9">
        <f si="0" t="shared"/>
        <v>1.4943443346575925E-2</v>
      </c>
      <c r="E22" s="371">
        <v>11</v>
      </c>
      <c r="F22" s="371" t="n">
        <v>26051.0</v>
      </c>
      <c r="G22" s="9">
        <f si="1" t="shared"/>
        <v>2.130127790927748E-2</v>
      </c>
    </row>
    <row r="23" spans="1:7" x14ac:dyDescent="0.25">
      <c r="A23">
        <v>12</v>
      </c>
      <c r="B23" s="6" t="n">
        <v>26721.0186142712</v>
      </c>
      <c r="C23" s="9">
        <f si="0" t="shared"/>
        <v>2.1489871541964266E-2</v>
      </c>
      <c r="E23" s="371">
        <v>12</v>
      </c>
      <c r="F23" s="371" t="n">
        <v>24226.0</v>
      </c>
      <c r="G23" s="9">
        <f si="1" t="shared"/>
        <v>1.9358634843366557E-2</v>
      </c>
    </row>
    <row r="24" spans="1:7" x14ac:dyDescent="0.25">
      <c r="A24">
        <v>13</v>
      </c>
      <c r="B24" s="6" t="n">
        <v>15262.9778604272</v>
      </c>
      <c r="C24" s="9">
        <f si="0" t="shared"/>
        <v>1.2274959959544607E-2</v>
      </c>
      <c r="E24" s="371">
        <v>13</v>
      </c>
      <c r="F24" s="371" t="n">
        <v>20408.0</v>
      </c>
      <c r="G24" s="9">
        <f si="1" t="shared"/>
        <v>1.6520417421348483E-2</v>
      </c>
    </row>
    <row r="25" spans="1:7" x14ac:dyDescent="0.25">
      <c r="A25">
        <v>14</v>
      </c>
      <c r="B25" s="6" t="n">
        <v>19788.6422370046</v>
      </c>
      <c r="C25" s="9">
        <f si="0" t="shared"/>
        <v>1.5914639550305025E-2</v>
      </c>
      <c r="E25" s="371">
        <v>14</v>
      </c>
      <c r="F25" s="371" t="n">
        <v>18089.0</v>
      </c>
      <c r="G25" s="9">
        <f si="1" t="shared"/>
        <v>1.4550990823292299E-2</v>
      </c>
    </row>
    <row r="26" spans="1:7" x14ac:dyDescent="0.25">
      <c r="A26">
        <v>15</v>
      </c>
      <c r="B26" s="6" t="n">
        <v>11436.9077321757</v>
      </c>
      <c r="C26" s="9">
        <f si="0" t="shared"/>
        <v>9.1979157512538951E-3</v>
      </c>
      <c r="E26" s="371">
        <v>15</v>
      </c>
      <c r="F26" s="371" t="n">
        <v>16889.0</v>
      </c>
      <c r="G26" s="9">
        <f si="1" t="shared"/>
        <v>1.3846249133720132E-2</v>
      </c>
    </row>
    <row r="27" spans="1:7" x14ac:dyDescent="0.25">
      <c r="A27">
        <v>16</v>
      </c>
      <c r="B27" s="6" t="n">
        <v>53589.1865883111</v>
      </c>
      <c r="C27" s="9">
        <f si="0" t="shared"/>
        <v>4.309808516079916E-2</v>
      </c>
      <c r="E27" s="371">
        <v>16</v>
      </c>
      <c r="F27" s="371" t="n">
        <v>15081.0</v>
      </c>
      <c r="G27" s="9">
        <f si="1" t="shared"/>
        <v>1.2469408184377835E-2</v>
      </c>
    </row>
    <row r="28" spans="1:7" x14ac:dyDescent="0.25">
      <c r="A28">
        <v>17</v>
      </c>
      <c r="B28" s="6" t="n">
        <v>20646.848872426</v>
      </c>
      <c r="C28" s="9">
        <f si="0" t="shared"/>
        <v>1.6604835931584339E-2</v>
      </c>
      <c r="E28" s="371">
        <v>17</v>
      </c>
      <c r="F28" s="371" t="n">
        <v>13552.0</v>
      </c>
      <c r="G28" s="9">
        <f si="1" t="shared"/>
        <v>1.1083360395860605E-2</v>
      </c>
    </row>
    <row r="29" spans="1:7" x14ac:dyDescent="0.25">
      <c r="A29">
        <v>18</v>
      </c>
      <c r="B29" s="6" t="n">
        <v>103552.3413162795</v>
      </c>
      <c r="C29" s="9">
        <f si="0" t="shared"/>
        <v>8.3280003089701821E-2</v>
      </c>
      <c r="E29" s="371">
        <v>18</v>
      </c>
      <c r="F29" s="371" t="n">
        <v>130791.0</v>
      </c>
      <c r="G29" s="9">
        <f si="1" t="shared"/>
        <v>0.10849171886665483</v>
      </c>
    </row>
    <row r="30" spans="1:7" x14ac:dyDescent="0.25">
      <c r="A30">
        <v>19</v>
      </c>
      <c r="B30" s="6" t="n">
        <v>41570.2531289806</v>
      </c>
      <c r="C30" s="9">
        <f si="0" t="shared"/>
        <v>3.3432086276516983E-2</v>
      </c>
      <c r="E30" s="371">
        <v>19</v>
      </c>
      <c r="F30" s="371" t="n">
        <v>41341.0</v>
      </c>
      <c r="G30" s="9">
        <f si="1" t="shared"/>
        <v>3.3874472280718201E-2</v>
      </c>
    </row>
    <row r="31" spans="1:7" x14ac:dyDescent="0.25">
      <c r="A31">
        <v>20</v>
      </c>
      <c r="B31" s="6" t="n">
        <v>70021.0922291854</v>
      </c>
      <c r="C31" s="9">
        <f si="0" t="shared"/>
        <v>5.6313133079049997E-2</v>
      </c>
      <c r="E31" s="371">
        <v>20</v>
      </c>
      <c r="F31" s="371" t="n">
        <v>43583.0</v>
      </c>
      <c r="G31" s="9">
        <f si="1" t="shared"/>
        <v>3.6270761422339474E-2</v>
      </c>
    </row>
    <row r="32" spans="1:7" x14ac:dyDescent="0.25">
      <c r="A32">
        <v>21</v>
      </c>
      <c r="B32" s="6" t="n">
        <v>71969.4357187571</v>
      </c>
      <c r="C32" s="9">
        <f si="0" t="shared"/>
        <v>5.7880051313527657E-2</v>
      </c>
      <c r="E32" s="371">
        <v>21</v>
      </c>
      <c r="F32" s="371" t="n">
        <v>48962.0</v>
      </c>
      <c r="G32" s="9">
        <f si="1" t="shared"/>
        <v>3.965469331181723E-2</v>
      </c>
    </row>
    <row r="33" spans="1:7" x14ac:dyDescent="0.25">
      <c r="A33">
        <v>22</v>
      </c>
      <c r="B33" s="6" t="n">
        <v>53096.8992932809</v>
      </c>
      <c r="C33" s="9">
        <f si="0" t="shared"/>
        <v>4.2702172456846703E-2</v>
      </c>
      <c r="E33" s="371">
        <v>22</v>
      </c>
      <c r="F33" s="371" t="n">
        <v>45592.0</v>
      </c>
      <c r="G33" s="9">
        <f si="1" t="shared"/>
        <v>3.8236840078877503E-2</v>
      </c>
    </row>
    <row r="34" spans="1:7" x14ac:dyDescent="0.25">
      <c r="A34">
        <v>23</v>
      </c>
      <c r="B34" s="6" t="n">
        <v>30341.0556983332</v>
      </c>
      <c r="C34" s="9">
        <f si="0" t="shared"/>
        <v>2.4401217588933103E-2</v>
      </c>
      <c r="E34" s="371">
        <v>23</v>
      </c>
      <c r="F34" s="371" t="n">
        <v>40908.0</v>
      </c>
      <c r="G34" s="9">
        <f si="1" t="shared"/>
        <v>3.2731987237646934E-2</v>
      </c>
    </row>
    <row r="35" spans="1:7" x14ac:dyDescent="0.25">
      <c r="A35">
        <v>24</v>
      </c>
      <c r="B35" s="6" t="n">
        <v>49422.4163759885</v>
      </c>
      <c r="C35" s="9">
        <f si="0" t="shared"/>
        <v>3.9747039382930782E-2</v>
      </c>
      <c r="E35" s="371">
        <v>24</v>
      </c>
      <c r="F35" s="371" t="n">
        <v>28444.0</v>
      </c>
      <c r="G35" s="9">
        <f si="1" t="shared"/>
        <v>2.1847829362116704E-2</v>
      </c>
    </row>
    <row r="36" spans="1:7" x14ac:dyDescent="0.25">
      <c r="A36">
        <v>25</v>
      </c>
      <c r="B36" s="6" t="n">
        <v>49744.7315411318</v>
      </c>
      <c r="C36" s="9">
        <f si="0" t="shared"/>
        <v>4.0006255230759923E-2</v>
      </c>
      <c r="E36" s="371">
        <v>25</v>
      </c>
      <c r="F36" s="371" t="n">
        <v>26182.0</v>
      </c>
      <c r="G36" s="9">
        <f si="1" t="shared"/>
        <v>2.3297488039478925E-2</v>
      </c>
    </row>
    <row r="37" spans="1:7" x14ac:dyDescent="0.25">
      <c r="A37">
        <v>26</v>
      </c>
      <c r="B37" s="6" t="n">
        <v>68052.1354641265</v>
      </c>
      <c r="C37" s="9">
        <f si="0" t="shared"/>
        <v>5.4729637009397973E-2</v>
      </c>
      <c r="E37" s="371">
        <v>26</v>
      </c>
      <c r="F37" s="371" t="n">
        <v>22668.0</v>
      </c>
      <c r="G37" s="9">
        <f si="1" t="shared"/>
        <v>1.913348577627046E-2</v>
      </c>
    </row>
    <row r="38" spans="1:7" x14ac:dyDescent="0.25">
      <c r="A38">
        <v>27</v>
      </c>
      <c r="B38" s="6" t="n">
        <v>15320.281746426599</v>
      </c>
      <c r="C38" s="9">
        <f si="0" t="shared"/>
        <v>1.2321045521130376E-2</v>
      </c>
      <c r="E38" s="371">
        <v>27</v>
      </c>
      <c r="F38" s="371" t="n">
        <v>21908.0</v>
      </c>
      <c r="G38" s="9">
        <f si="1" t="shared"/>
        <v>1.6890364959104894E-2</v>
      </c>
    </row>
    <row r="39" spans="1:7" x14ac:dyDescent="0.25">
      <c r="A39">
        <v>28</v>
      </c>
      <c r="B39" s="6" t="n">
        <v>36574.7358172345</v>
      </c>
      <c r="C39" s="9">
        <f si="0" t="shared"/>
        <v>2.9414536389487336E-2</v>
      </c>
      <c r="E39" s="371">
        <v>28</v>
      </c>
      <c r="F39" s="371" t="n">
        <v>20691.0</v>
      </c>
      <c r="G39" s="9">
        <f si="1" t="shared"/>
        <v>1.8506583726995457E-2</v>
      </c>
    </row>
    <row r="40" spans="1:7" x14ac:dyDescent="0.25">
      <c r="A40">
        <v>29</v>
      </c>
      <c r="B40" s="6" t="n">
        <v>35161.0764728262</v>
      </c>
      <c r="C40" s="9">
        <f si="0" t="shared"/>
        <v>2.8277627720174611E-2</v>
      </c>
      <c r="E40" s="371">
        <v>29</v>
      </c>
      <c r="F40" s="371" t="n">
        <v>16813.0</v>
      </c>
      <c r="G40" s="9">
        <f si="1" t="shared"/>
        <v>1.3209303259890656E-2</v>
      </c>
    </row>
    <row r="41" spans="1:7" x14ac:dyDescent="0.25">
      <c r="A41">
        <v>30</v>
      </c>
      <c r="B41" s="6" t="n">
        <v>13374.6339022859</v>
      </c>
      <c r="C41" s="9">
        <f si="0" t="shared"/>
        <v>1.0756295208275443E-2</v>
      </c>
      <c r="E41" s="371">
        <v>30</v>
      </c>
      <c r="F41" s="371" t="n">
        <v>15616.0</v>
      </c>
      <c r="G41" s="9">
        <f si="1" t="shared"/>
        <v>1.3949198335403477E-2</v>
      </c>
    </row>
    <row r="42" spans="1:7" x14ac:dyDescent="0.25">
      <c r="A42">
        <v>31</v>
      </c>
      <c r="B42" s="6" t="n">
        <v>15754.3258050098</v>
      </c>
      <c r="C42" s="9">
        <f si="0" t="shared"/>
        <v>1.2670117208746509E-2</v>
      </c>
      <c r="E42" s="371">
        <v>31</v>
      </c>
      <c r="F42" s="371" t="n">
        <v>12363.0</v>
      </c>
      <c r="G42" s="9">
        <f si="1" t="shared"/>
        <v>1.2731384608173664E-2</v>
      </c>
    </row>
    <row r="43" spans="1:7" x14ac:dyDescent="0.25">
      <c r="A43">
        <v>32</v>
      </c>
      <c r="B43" s="6" t="n">
        <v>11668.721304254</v>
      </c>
      <c r="C43" s="9">
        <f si="0" t="shared"/>
        <v>9.3843474123203631E-3</v>
      </c>
      <c r="E43" s="371">
        <v>32</v>
      </c>
      <c r="F43" s="371" t="n">
        <v>17985.0</v>
      </c>
      <c r="G43" s="9">
        <f si="1" t="shared"/>
        <v>1.1531984559293718E-2</v>
      </c>
    </row>
    <row r="44" spans="1:7" x14ac:dyDescent="0.25">
      <c r="A44">
        <v>33</v>
      </c>
      <c r="B44" s="6" t="n">
        <v>11849.0646945744</v>
      </c>
      <c r="C44" s="9">
        <f si="0" t="shared"/>
        <v>9.5293851576014436E-3</v>
      </c>
      <c r="E44" s="371">
        <v>33</v>
      </c>
      <c r="F44" s="371" t="n">
        <v>12813.0</v>
      </c>
      <c r="G44" s="9">
        <f si="1" t="shared"/>
        <v>1.2122059251868988E-2</v>
      </c>
    </row>
    <row r="45" spans="1:7" x14ac:dyDescent="0.25">
      <c r="A45">
        <v>34</v>
      </c>
      <c r="B45" s="6" t="n">
        <v>23530.5115890691</v>
      </c>
      <c r="C45" s="9">
        <f si="0" t="shared"/>
        <v>1.8923966884096578E-2</v>
      </c>
      <c r="E45" s="371">
        <v>34</v>
      </c>
      <c r="F45" s="371" t="n">
        <v>15264.0</v>
      </c>
      <c r="G45" s="9">
        <f si="1" t="shared"/>
        <v>1.2514605394872962E-2</v>
      </c>
    </row>
    <row r="46" spans="1:7" x14ac:dyDescent="0.25">
      <c r="A46">
        <v>35</v>
      </c>
      <c r="B46" s="6" t="n">
        <v>5695.0917906069</v>
      </c>
      <c r="C46" s="9">
        <f si="0" t="shared"/>
        <v>4.5801693702826511E-3</v>
      </c>
      <c r="E46" s="371">
        <v>35</v>
      </c>
      <c r="F46" s="371" t="n">
        <v>9238.0</v>
      </c>
      <c r="G46" s="9">
        <f si="1" t="shared"/>
        <v>9.4185964759567579E-3</v>
      </c>
    </row>
    <row r="47" spans="1:7" x14ac:dyDescent="0.25">
      <c r="A47">
        <v>36</v>
      </c>
      <c r="B47" s="6" t="n">
        <v>8840.319108272899</v>
      </c>
      <c r="C47" s="9">
        <f si="0" t="shared"/>
        <v>7.1096586836436439E-3</v>
      </c>
      <c r="E47" s="371">
        <v>36</v>
      </c>
      <c r="F47" s="371" t="n">
        <v>8966.0</v>
      </c>
      <c r="G47" s="9">
        <f si="1" t="shared"/>
        <v>6.6523597965790736E-3</v>
      </c>
    </row>
    <row r="48" spans="1:7" x14ac:dyDescent="0.25">
      <c r="A48">
        <v>37</v>
      </c>
      <c r="B48" s="6" t="n">
        <v>13417.1450114356</v>
      </c>
      <c r="C48" s="9">
        <f si="0" t="shared"/>
        <v>1.0790483960131091E-2</v>
      </c>
      <c r="E48" s="371">
        <v>37</v>
      </c>
      <c r="F48" s="371" t="n">
        <v>7209.0</v>
      </c>
      <c r="G48" s="9">
        <f si="1" t="shared"/>
        <v>6.527648975027704E-3</v>
      </c>
    </row>
    <row r="49" spans="1:7" x14ac:dyDescent="0.25">
      <c r="A49">
        <v>38</v>
      </c>
      <c r="B49" s="6" t="n">
        <v>10524.5438093544</v>
      </c>
      <c r="C49" s="9">
        <f si="0" t="shared"/>
        <v>8.4641644005295329E-3</v>
      </c>
      <c r="E49" s="371">
        <v>38</v>
      </c>
      <c r="F49" s="371" t="n">
        <v>8279.0</v>
      </c>
      <c r="G49" s="9">
        <f si="1" t="shared"/>
        <v>8.3447442340077206E-3</v>
      </c>
    </row>
    <row r="50" spans="1:7" x14ac:dyDescent="0.25">
      <c r="A50">
        <v>39</v>
      </c>
      <c r="B50" s="6" t="n">
        <v>8018.5525139096</v>
      </c>
      <c r="C50" s="9">
        <f si="0" t="shared"/>
        <v>6.4487685130528768E-3</v>
      </c>
      <c r="E50" s="371">
        <v>39</v>
      </c>
      <c r="F50" s="371" t="n">
        <v>8082.0</v>
      </c>
      <c r="G50" s="9">
        <f si="1" t="shared"/>
        <v>5.2671489934413823E-3</v>
      </c>
    </row>
    <row r="51" spans="1:7" x14ac:dyDescent="0.25">
      <c r="A51">
        <v>40</v>
      </c>
      <c r="B51" s="6" t="n">
        <v>3963.915382048</v>
      </c>
      <c r="C51" s="9">
        <f si="0" t="shared"/>
        <v>3.1879036347039745E-3</v>
      </c>
      <c r="E51" s="371">
        <v>40</v>
      </c>
      <c r="F51" s="371" t="n">
        <v>5399.0</v>
      </c>
      <c r="G51" s="9">
        <f si="1" t="shared"/>
        <v>5.0302821310317354E-3</v>
      </c>
    </row>
    <row r="52" spans="1:7" x14ac:dyDescent="0.25">
      <c r="A52">
        <v>41</v>
      </c>
      <c r="B52" s="6" t="n">
        <v>5150.0373927865</v>
      </c>
      <c r="C52" s="9">
        <f si="0" t="shared"/>
        <v>4.1418197264450731E-3</v>
      </c>
      <c r="E52" s="371">
        <v>41</v>
      </c>
      <c r="F52" s="371" t="n">
        <v>5272.0</v>
      </c>
      <c r="G52" s="9">
        <f si="1" t="shared"/>
        <v>5.4546337184582057E-3</v>
      </c>
    </row>
    <row r="53" spans="1:7" x14ac:dyDescent="0.25">
      <c r="A53">
        <v>42</v>
      </c>
      <c r="B53" s="6" t="n">
        <v>4159.499616987</v>
      </c>
      <c r="C53" s="9">
        <f si="0" t="shared"/>
        <v>3.3451985397053761E-3</v>
      </c>
      <c r="E53" s="371">
        <v>42</v>
      </c>
      <c r="F53" s="371" t="n">
        <v>6004.0</v>
      </c>
      <c r="G53" s="9">
        <f si="1" t="shared"/>
        <v>4.6318770903709854E-3</v>
      </c>
    </row>
    <row r="54" spans="1:7" x14ac:dyDescent="0.25">
      <c r="A54">
        <v>43</v>
      </c>
      <c r="B54" s="6" t="n">
        <v>1974.1526066899</v>
      </c>
      <c r="C54" s="9">
        <f si="0" t="shared"/>
        <v>1.587674726566817E-3</v>
      </c>
      <c r="E54" s="371">
        <v>43</v>
      </c>
      <c r="F54" s="371" t="n">
        <v>4416.0</v>
      </c>
      <c r="G54" s="9">
        <f si="1" t="shared"/>
        <v>4.418445818588441E-3</v>
      </c>
    </row>
    <row r="55" spans="1:7" x14ac:dyDescent="0.25">
      <c r="A55">
        <v>44</v>
      </c>
      <c r="B55" s="6" t="n">
        <v>5666.177239367</v>
      </c>
      <c r="C55" s="9">
        <f si="0" t="shared"/>
        <v>4.556915391801938E-3</v>
      </c>
      <c r="E55" s="371">
        <v>44</v>
      </c>
      <c r="F55" s="371" t="n">
        <v>3907.0</v>
      </c>
      <c r="G55" s="9">
        <f si="1" t="shared"/>
        <v>3.5337522724153054E-3</v>
      </c>
    </row>
    <row r="56" spans="1:7" x14ac:dyDescent="0.25">
      <c r="A56">
        <v>45</v>
      </c>
      <c r="B56" s="6" t="n">
        <v>60805.3532925623</v>
      </c>
      <c r="C56" s="9">
        <f si="0" t="shared"/>
        <v>4.8901550131140357E-2</v>
      </c>
      <c r="E56" s="371">
        <v>45</v>
      </c>
      <c r="F56" s="371" t="n">
        <v>3467.0</v>
      </c>
      <c r="G56" s="9">
        <f si="1" t="shared"/>
        <v>3.7622492810295591E-3</v>
      </c>
    </row>
    <row r="57" spans="1:7" x14ac:dyDescent="0.25">
      <c r="A57">
        <v>46</v>
      </c>
      <c r="B57" s="6" t="n">
        <v>5223.5974528909</v>
      </c>
      <c r="C57" s="9">
        <f si="0" t="shared"/>
        <v>4.2009790072001282E-3</v>
      </c>
      <c r="E57" s="371">
        <v>46</v>
      </c>
      <c r="F57" s="371" t="n">
        <v>4089.0</v>
      </c>
      <c r="G57" s="9">
        <f si="1" t="shared"/>
        <v>3.0784322259458773E-3</v>
      </c>
    </row>
    <row r="58" spans="1:7" x14ac:dyDescent="0.25">
      <c r="A58">
        <v>47</v>
      </c>
      <c r="B58" s="6" t="n">
        <v>1079.5162234178001</v>
      </c>
      <c r="C58" s="9">
        <f si="0" t="shared"/>
        <v>8.6818041271543981E-4</v>
      </c>
      <c r="E58" s="371">
        <v>47</v>
      </c>
      <c r="F58" s="371" t="n">
        <v>3507.0</v>
      </c>
      <c r="G58" s="9">
        <f si="1" t="shared"/>
        <v>3.3897907871345305E-3</v>
      </c>
    </row>
    <row r="59" spans="1:7" x14ac:dyDescent="0.25">
      <c r="A59">
        <v>48</v>
      </c>
      <c r="B59" s="6" t="n">
        <v>7816.9410410554</v>
      </c>
      <c r="C59" s="9">
        <f si="0" t="shared"/>
        <v>6.2866263164710065E-3</v>
      </c>
      <c r="E59" s="371">
        <v>48</v>
      </c>
      <c r="F59" s="371" t="n">
        <v>3534.0</v>
      </c>
      <c r="G59" s="9">
        <f si="1" t="shared"/>
        <v>3.1646417200384344E-3</v>
      </c>
    </row>
    <row r="60" spans="1:7" x14ac:dyDescent="0.25">
      <c r="A60">
        <v>49</v>
      </c>
      <c r="B60" s="6" t="n">
        <v>2959.4788009108</v>
      </c>
      <c r="C60" s="9">
        <f si="0" t="shared"/>
        <v>2.3801045978379199E-3</v>
      </c>
      <c r="E60" s="371">
        <v>49</v>
      </c>
      <c r="F60" s="371" t="n">
        <v>3515.0</v>
      </c>
      <c r="G60" s="9">
        <f si="1" t="shared"/>
        <v>3.0399308984870653E-3</v>
      </c>
    </row>
    <row r="61" spans="1:7" x14ac:dyDescent="0.25">
      <c r="A61">
        <v>50</v>
      </c>
      <c r="B61" s="6" t="n">
        <v>324.775829405</v>
      </c>
      <c r="C61" s="9">
        <f si="0" t="shared"/>
        <v>2.6119479031090485E-4</v>
      </c>
      <c r="E61" s="371">
        <v>50</v>
      </c>
      <c r="F61" s="371" t="n">
        <v>2165.0</v>
      </c>
      <c r="G61" s="9">
        <f si="1" t="shared"/>
        <v>2.3318412673967413E-3</v>
      </c>
    </row>
    <row r="62" spans="1:7" x14ac:dyDescent="0.25">
      <c r="A62">
        <v>51</v>
      </c>
      <c r="B62" s="6" t="n">
        <v>3048.658339682</v>
      </c>
      <c r="C62" s="9">
        <f si="0" t="shared"/>
        <v>2.4518255475528073E-3</v>
      </c>
      <c r="E62" s="371">
        <v>51</v>
      </c>
      <c r="F62" s="371" t="n">
        <v>2477.0</v>
      </c>
      <c r="G62" s="9">
        <f si="1" t="shared"/>
        <v>2.0857675658121602E-3</v>
      </c>
    </row>
    <row r="63" spans="1:7" x14ac:dyDescent="0.25">
      <c r="A63">
        <v>52</v>
      </c>
      <c r="B63" s="6" t="n">
        <v>918.2951712859999</v>
      </c>
      <c r="C63" s="9">
        <f si="0" t="shared"/>
        <v>7.3852144461299173E-4</v>
      </c>
      <c r="E63" s="371">
        <v>52</v>
      </c>
      <c r="F63" s="371" t="n">
        <v>1841.0</v>
      </c>
      <c r="G63" s="9">
        <f si="1" t="shared"/>
        <v>2.1259428640300511E-3</v>
      </c>
    </row>
    <row r="64" spans="1:7" x14ac:dyDescent="0.25">
      <c r="A64">
        <v>53</v>
      </c>
      <c r="B64" s="6" t="n">
        <v>1326.9797182303</v>
      </c>
      <c r="C64" s="9">
        <f si="0" t="shared"/>
        <v>1.0671982268045308E-3</v>
      </c>
      <c r="E64" s="371">
        <v>53</v>
      </c>
      <c r="F64" s="371" t="n">
        <v>1644.0</v>
      </c>
      <c r="G64" s="9">
        <f si="1" t="shared"/>
        <v>1.5952941334020777E-3</v>
      </c>
    </row>
    <row r="65" spans="1:7" x14ac:dyDescent="0.25">
      <c r="A65">
        <v>54</v>
      </c>
      <c r="B65" s="6" t="n">
        <v>1218.2238847201002</v>
      </c>
      <c r="C65" s="9">
        <f si="0" t="shared"/>
        <v>9.7973341398017153E-4</v>
      </c>
      <c r="E65" s="371">
        <v>54</v>
      </c>
      <c r="F65" s="371" t="n">
        <v>1424.0</v>
      </c>
      <c r="G65" s="9">
        <f si="1" t="shared"/>
        <v>1.5090846393095206E-3</v>
      </c>
    </row>
    <row r="66" spans="1:7" x14ac:dyDescent="0.25">
      <c r="A66">
        <v>55</v>
      </c>
      <c r="B66" s="6" t="n">
        <v>2253.5468855520003</v>
      </c>
      <c r="C66" s="9">
        <f si="0" t="shared"/>
        <v>1.8123722670677458E-3</v>
      </c>
      <c r="E66" s="371">
        <v>55</v>
      </c>
      <c r="F66" s="371" t="n">
        <v>1414.0</v>
      </c>
      <c r="G66" s="9">
        <f si="1" t="shared"/>
        <v>1.319088958154079E-3</v>
      </c>
    </row>
    <row r="67" spans="1:7" x14ac:dyDescent="0.25">
      <c r="A67">
        <v>56</v>
      </c>
      <c r="B67" s="6" t="n">
        <v>68.8733229496</v>
      </c>
      <c r="C67" s="9">
        <f si="0" t="shared"/>
        <v>5.5390061442666733E-5</v>
      </c>
      <c r="E67" s="371">
        <v>56</v>
      </c>
      <c r="F67" s="371" t="n">
        <v>1163.0</v>
      </c>
      <c r="G67" s="9">
        <f si="1" t="shared"/>
        <v>1.3877217592763089E-3</v>
      </c>
    </row>
    <row r="68" spans="1:7" x14ac:dyDescent="0.25">
      <c r="A68">
        <v>57</v>
      </c>
      <c r="B68" s="6" t="n">
        <v>5831.556239654</v>
      </c>
      <c r="C68" s="9">
        <f si="0" t="shared"/>
        <v>4.6899183107104257E-3</v>
      </c>
      <c r="E68" s="371">
        <v>57</v>
      </c>
      <c r="F68" s="371" t="n">
        <v>1444.0</v>
      </c>
      <c r="G68" s="9">
        <f si="1" t="shared"/>
        <v>1.3174149873950002E-3</v>
      </c>
    </row>
    <row r="69" spans="1:7" x14ac:dyDescent="0.25">
      <c r="A69">
        <v>58</v>
      </c>
      <c r="B69" s="6" t="n">
        <v>1680.9734764976001</v>
      </c>
      <c r="C69" s="9">
        <f si="0" t="shared"/>
        <v>1.3518909812850251E-3</v>
      </c>
      <c r="E69" s="371">
        <v>58</v>
      </c>
      <c r="F69" s="371" t="n">
        <v>1030.0</v>
      </c>
      <c r="G69" s="9">
        <f si="1" t="shared"/>
        <v>1.0177742215198985E-3</v>
      </c>
    </row>
    <row r="70" spans="1:7" x14ac:dyDescent="0.25">
      <c r="A70">
        <v>59</v>
      </c>
      <c r="B70" s="6" t="n">
        <v>1054.82463615</v>
      </c>
      <c r="C70" s="9">
        <f si="0" t="shared"/>
        <v>8.4832267277625841E-4</v>
      </c>
      <c r="E70" s="371">
        <v>59</v>
      </c>
      <c r="F70" s="371" t="n">
        <v>1186.0</v>
      </c>
      <c r="G70" s="9">
        <f si="1" t="shared"/>
        <v>1.1868452681868553E-3</v>
      </c>
    </row>
    <row r="71" spans="1:7" x14ac:dyDescent="0.25">
      <c r="A71">
        <v>60</v>
      </c>
      <c r="B71" s="6" t="n">
        <v>1759.1357199610002</v>
      </c>
      <c r="C71" s="9">
        <f si="0" t="shared"/>
        <v>1.4147514805686529E-3</v>
      </c>
      <c r="E71" s="371">
        <v>60</v>
      </c>
      <c r="F71" s="371" t="n">
        <v>982.0</v>
      </c>
      <c r="G71" s="9">
        <f si="1" t="shared"/>
        <v>8.6795383858234763E-4</v>
      </c>
    </row>
    <row r="72" spans="1:7" x14ac:dyDescent="0.25">
      <c r="A72">
        <v>61</v>
      </c>
      <c r="B72" s="6" t="n">
        <v>5521.870757824</v>
      </c>
      <c r="C72" s="9">
        <f si="0" t="shared"/>
        <v>4.4408596457318518E-3</v>
      </c>
      <c r="E72" s="371">
        <v>61</v>
      </c>
      <c r="F72" s="371" t="n">
        <v>778.0</v>
      </c>
      <c r="G72" s="9">
        <f si="1" t="shared"/>
        <v>7.5747176848314811E-4</v>
      </c>
    </row>
    <row r="73" spans="1:7" x14ac:dyDescent="0.25">
      <c r="A73">
        <v>62</v>
      </c>
      <c r="B73" s="6" t="n">
        <v>1229.465098057</v>
      </c>
      <c r="C73" s="9">
        <f si="0" t="shared"/>
        <v>9.8877394623206609E-4</v>
      </c>
      <c r="E73" s="371">
        <v>62</v>
      </c>
      <c r="F73" s="371" t="n">
        <v>760.0</v>
      </c>
      <c r="G73" s="9">
        <f si="1" t="shared"/>
        <v>7.3654713399466339E-4</v>
      </c>
    </row>
    <row r="74" spans="1:7" x14ac:dyDescent="0.25">
      <c r="A74">
        <v>63</v>
      </c>
      <c r="B74" s="6" t="n">
        <v>122.959794439</v>
      </c>
      <c r="C74" s="9">
        <f si="0" t="shared"/>
        <v>9.8888078537140447E-5</v>
      </c>
      <c r="E74" s="371">
        <v>63</v>
      </c>
      <c r="F74" s="371" t="n">
        <v>753.0</v>
      </c>
      <c r="G74" s="9">
        <f si="1" t="shared"/>
        <v>6.7042528901105152E-4</v>
      </c>
    </row>
    <row r="75" spans="1:7" x14ac:dyDescent="0.25">
      <c r="A75">
        <v>64</v>
      </c>
      <c r="B75" s="6" t="n">
        <v>1118.42644497</v>
      </c>
      <c r="C75" s="9">
        <f si="0" t="shared"/>
        <v>8.9947321913486111E-4</v>
      </c>
      <c r="E75" s="371">
        <v>64</v>
      </c>
      <c r="F75" s="371" t="n">
        <v>715.0</v>
      </c>
      <c r="G75" s="9">
        <f si="1" t="shared"/>
        <v>6.6791433287243342E-4</v>
      </c>
    </row>
    <row r="76" spans="1:7" x14ac:dyDescent="0.25">
      <c r="A76">
        <v>65</v>
      </c>
      <c r="B76" s="6" t="n">
        <v>400.04927174700003</v>
      </c>
      <c r="C76" s="9">
        <f si="0" t="shared"/>
        <v>3.2173202617762043E-4</v>
      </c>
      <c r="E76" s="371">
        <v>65</v>
      </c>
      <c r="F76" s="371" t="n">
        <v>566.0</v>
      </c>
      <c r="G76" s="9">
        <f si="1" t="shared"/>
        <v>5.8003086802079743E-4</v>
      </c>
    </row>
    <row r="77" spans="1:7" x14ac:dyDescent="0.25">
      <c r="A77">
        <v>66</v>
      </c>
      <c r="B77" s="6" t="n">
        <v>466.560819543</v>
      </c>
      <c r="C77" s="9">
        <f ref="C77:C102" si="2" t="shared">B77/B$102</f>
        <v>3.7522267482489467E-4</v>
      </c>
      <c r="E77" s="371">
        <v>66</v>
      </c>
      <c r="F77" s="371" t="n">
        <v>607.0</v>
      </c>
      <c r="G77" s="9">
        <f ref="G77:G102" si="3" t="shared">F77/F$102</f>
        <v>5.3483365752567038E-4</v>
      </c>
    </row>
    <row r="78" spans="1:7" x14ac:dyDescent="0.25">
      <c r="A78">
        <v>67</v>
      </c>
      <c r="B78" s="6" t="n">
        <v>1515.945734731</v>
      </c>
      <c r="C78" s="9">
        <f si="2" t="shared"/>
        <v>1.2191705553679304E-3</v>
      </c>
      <c r="E78" s="371">
        <v>67</v>
      </c>
      <c r="F78" s="371" t="n">
        <v>696.0</v>
      </c>
      <c r="G78" s="9">
        <f si="3" t="shared"/>
        <v>5.6998704346632471E-4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436.0</v>
      </c>
      <c r="G79" s="9">
        <f si="3" t="shared"/>
        <v>5.8086785340033683E-4</v>
      </c>
    </row>
    <row r="80" spans="1:7" x14ac:dyDescent="0.25">
      <c r="A80">
        <v>69</v>
      </c>
      <c r="B80" s="6" t="n">
        <v>561.315777145</v>
      </c>
      <c r="C80" s="9">
        <f si="2" t="shared"/>
        <v>4.5142754920583295E-4</v>
      </c>
      <c r="E80" s="371">
        <v>69</v>
      </c>
      <c r="F80" s="371" t="n">
        <v>554.0</v>
      </c>
      <c r="G80" s="9">
        <f si="3" t="shared"/>
        <v>5.3232270138705217E-4</v>
      </c>
    </row>
    <row r="81" spans="1:7" x14ac:dyDescent="0.25">
      <c r="A81">
        <v>70</v>
      </c>
      <c r="B81" s="6" t="n">
        <v>636.3466766844</v>
      </c>
      <c r="C81" s="9">
        <f si="2" t="shared"/>
        <v>5.1176972463168205E-4</v>
      </c>
      <c r="E81" s="371">
        <v>70</v>
      </c>
      <c r="F81" s="371" t="n">
        <v>418.0</v>
      </c>
      <c r="G81" s="9">
        <f si="3" t="shared"/>
        <v>3.9170915762443462E-4</v>
      </c>
    </row>
    <row r="82" spans="1:7" x14ac:dyDescent="0.25">
      <c r="A82">
        <v>71</v>
      </c>
      <c r="B82" s="6" t="n">
        <v>422.35595372</v>
      </c>
      <c r="C82" s="9">
        <f si="2" t="shared"/>
        <v>3.3967175134480391E-4</v>
      </c>
      <c r="E82" s="371">
        <v>71</v>
      </c>
      <c r="F82" s="371" t="n">
        <v>475.0</v>
      </c>
      <c r="G82" s="9">
        <f si="3" t="shared"/>
        <v>4.6954879792159791E-4</v>
      </c>
    </row>
    <row r="83" spans="1:7" x14ac:dyDescent="0.25">
      <c r="A83">
        <v>72</v>
      </c>
      <c r="B83" s="6" t="n">
        <v>5978.151532144</v>
      </c>
      <c r="C83" s="9">
        <f si="2" t="shared"/>
        <v>4.8078147894990101E-3</v>
      </c>
      <c r="E83" s="371">
        <v>72</v>
      </c>
      <c r="F83" s="371" t="n">
        <v>419.0</v>
      </c>
      <c r="G83" s="9">
        <f si="3" t="shared"/>
        <v>3.8836121610627707E-4</v>
      </c>
    </row>
    <row r="84" spans="1:7" x14ac:dyDescent="0.25">
      <c r="A84">
        <v>73</v>
      </c>
      <c r="B84" s="6" t="n">
        <v>65.7862003602</v>
      </c>
      <c r="C84" s="9">
        <f si="2" t="shared"/>
        <v>5.2907301753069045E-5</v>
      </c>
      <c r="E84" s="371">
        <v>73</v>
      </c>
      <c r="F84" s="371" t="n">
        <v>298.0</v>
      </c>
      <c r="G84" s="9">
        <f si="3" t="shared"/>
        <v>3.3228319567713791E-4</v>
      </c>
    </row>
    <row r="85" spans="1:7" x14ac:dyDescent="0.25">
      <c r="A85">
        <v>74</v>
      </c>
      <c r="B85" s="6" t="n">
        <v>411.770390229</v>
      </c>
      <c r="C85" s="9">
        <f si="2" t="shared"/>
        <v>3.3115851302463738E-4</v>
      </c>
      <c r="E85" s="371">
        <v>74</v>
      </c>
      <c r="F85" s="371" t="n">
        <v>317.0</v>
      </c>
      <c r="G85" s="9">
        <f si="3" t="shared"/>
        <v>3.230763565022046E-4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296.0</v>
      </c>
      <c r="G86" s="9">
        <f si="3" t="shared"/>
        <v>3.1303253194773194E-4</v>
      </c>
    </row>
    <row r="87" spans="1:7" x14ac:dyDescent="0.25">
      <c r="A87">
        <v>76</v>
      </c>
      <c r="B87" s="6" t="n">
        <v>2655.91924548</v>
      </c>
      <c r="C87" s="9">
        <f si="2" t="shared"/>
        <v>2.1359725927780674E-3</v>
      </c>
      <c r="E87" s="371">
        <v>76</v>
      </c>
      <c r="F87" s="371" t="n">
        <v>274.0</v>
      </c>
      <c r="G87" s="9">
        <f si="3" t="shared"/>
        <v>3.3228319567713791E-4</v>
      </c>
    </row>
    <row r="88" spans="1:7" x14ac:dyDescent="0.25">
      <c r="A88">
        <v>77</v>
      </c>
      <c r="B88" s="6" t="n">
        <v>808.1524794</v>
      </c>
      <c r="C88" s="9">
        <f si="2" t="shared"/>
        <v>6.4994127728912549E-4</v>
      </c>
      <c r="E88" s="371">
        <v>77</v>
      </c>
      <c r="F88" s="371" t="n">
        <v>255.0</v>
      </c>
      <c r="G88" s="9">
        <f si="3" t="shared"/>
        <v>2.4607370158458071E-4</v>
      </c>
    </row>
    <row r="89" spans="1:7" x14ac:dyDescent="0.25">
      <c r="A89">
        <v>78</v>
      </c>
      <c r="B89" s="6" t="n">
        <v>256.371317496</v>
      </c>
      <c r="C89" s="9">
        <f si="2" t="shared"/>
        <v>2.0618176124059562E-4</v>
      </c>
      <c r="E89" s="371">
        <v>78</v>
      </c>
      <c r="F89" s="371" t="n">
        <v>293.0</v>
      </c>
      <c r="G89" s="9">
        <f si="3" t="shared"/>
        <v>2.7285723372984119E-4</v>
      </c>
    </row>
    <row r="90" spans="1:7" x14ac:dyDescent="0.25">
      <c r="A90">
        <v>79</v>
      </c>
      <c r="B90" s="6" t="n">
        <v>256.371317496</v>
      </c>
      <c r="C90" s="9">
        <f si="2" t="shared"/>
        <v>2.0618176124059562E-4</v>
      </c>
      <c r="E90" s="371">
        <v>79</v>
      </c>
      <c r="F90" s="371" t="n">
        <v>253.0</v>
      </c>
      <c r="G90" s="9">
        <f si="3" t="shared"/>
        <v>2.6365039455490794E-4</v>
      </c>
    </row>
    <row r="91" spans="1:7" x14ac:dyDescent="0.25">
      <c r="A91">
        <v>80</v>
      </c>
      <c r="B91" s="6" t="n">
        <v>1593.262710215</v>
      </c>
      <c r="C91" s="9">
        <f si="2" t="shared"/>
        <v>1.2813512639385598E-3</v>
      </c>
      <c r="E91" s="371">
        <v>80</v>
      </c>
      <c r="F91" s="371" t="n">
        <v>253.0</v>
      </c>
      <c r="G91" s="9">
        <f si="3" t="shared"/>
        <v>2.1008333026438695E-4</v>
      </c>
    </row>
    <row r="92" spans="1:7" x14ac:dyDescent="0.25">
      <c r="A92">
        <v>81</v>
      </c>
      <c r="B92" s="6" t="n">
        <v>554.661229397</v>
      </c>
      <c r="C92" s="9">
        <f si="2" t="shared"/>
        <v>4.4607575561073364E-4</v>
      </c>
      <c r="E92" s="371">
        <v>81</v>
      </c>
      <c r="F92" s="371" t="n">
        <v>180.0</v>
      </c>
      <c r="G92" s="9">
        <f si="3" t="shared"/>
        <v>1.6572310514879925E-4</v>
      </c>
    </row>
    <row r="93" spans="1:7" x14ac:dyDescent="0.25">
      <c r="A93">
        <v>82</v>
      </c>
      <c r="B93" s="6" t="n">
        <v>739.676000992</v>
      </c>
      <c r="C93" s="9">
        <f si="2" t="shared"/>
        <v>5.9487037052930304E-4</v>
      </c>
      <c r="E93" s="371">
        <v>82</v>
      </c>
      <c r="F93" s="371" t="n">
        <v>217.0</v>
      </c>
      <c r="G93" s="9">
        <f si="3" t="shared"/>
        <v>1.8664773963728403E-4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172.0</v>
      </c>
      <c r="G94" s="9">
        <f si="3" t="shared"/>
        <v>1.7492994432373256E-4</v>
      </c>
    </row>
    <row r="95" spans="1:7" x14ac:dyDescent="0.25">
      <c r="A95">
        <v>84</v>
      </c>
      <c r="B95" s="6" t="n">
        <v>2404.586148969</v>
      </c>
      <c r="C95" s="9">
        <f si="2" t="shared"/>
        <v>1.9338427250423793E-3</v>
      </c>
      <c r="E95" s="371">
        <v>84</v>
      </c>
      <c r="F95" s="371" t="n">
        <v>184.0</v>
      </c>
      <c r="G95" s="9">
        <f si="3" t="shared"/>
        <v>1.5567928059432657E-4</v>
      </c>
    </row>
    <row r="96" spans="1:7" x14ac:dyDescent="0.25">
      <c r="A96">
        <v>85</v>
      </c>
      <c r="B96" s="6" t="n">
        <v>76.8761145204</v>
      </c>
      <c r="C96" s="9">
        <f si="2" t="shared"/>
        <v>6.1826154516669371E-5</v>
      </c>
      <c r="E96" s="371">
        <v>85</v>
      </c>
      <c r="F96" s="371" t="n">
        <v>195.0</v>
      </c>
      <c r="G96" s="9">
        <f si="3" t="shared"/>
        <v>1.6990803204649621E-4</v>
      </c>
    </row>
    <row r="97" spans="1:7" x14ac:dyDescent="0.25">
      <c r="A97">
        <v>86</v>
      </c>
      <c r="B97" s="6" t="n">
        <v>880.136943483</v>
      </c>
      <c r="C97" s="9">
        <f si="2" t="shared"/>
        <v>7.0783341487906822E-4</v>
      </c>
      <c r="E97" s="371">
        <v>86</v>
      </c>
      <c r="F97" s="371" t="n">
        <v>153.0</v>
      </c>
      <c r="G97" s="9">
        <f si="3" t="shared"/>
        <v>1.5651626597386597E-4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187.0</v>
      </c>
      <c r="G98" s="9">
        <f si="3" t="shared"/>
        <v>1.6739707590787803E-4</v>
      </c>
    </row>
    <row r="99" spans="1:7" x14ac:dyDescent="0.25">
      <c r="A99">
        <v>88</v>
      </c>
      <c r="B99" s="6" t="n">
        <v>300.952409273</v>
      </c>
      <c r="C99" s="9">
        <f si="2" t="shared"/>
        <v>2.4203525729619047E-4</v>
      </c>
      <c r="E99" s="371">
        <v>88</v>
      </c>
      <c r="F99" s="371" t="n">
        <v>194.0</v>
      </c>
      <c r="G99" s="9">
        <f si="3" t="shared"/>
        <v>1.7409295894419316E-4</v>
      </c>
    </row>
    <row r="100" spans="1:7" x14ac:dyDescent="0.25">
      <c r="A100">
        <v>89</v>
      </c>
      <c r="B100" s="6" t="n">
        <v>357.255567611</v>
      </c>
      <c r="C100" s="9">
        <f si="2" t="shared"/>
        <v>2.8731600267332529E-4</v>
      </c>
      <c r="E100" s="371">
        <v>89</v>
      </c>
      <c r="F100" s="371" t="n">
        <v>119.0</v>
      </c>
      <c r="G100" s="9">
        <f si="3" t="shared"/>
        <v>1.0378618706288439E-4</v>
      </c>
    </row>
    <row ht="15.75" r="101" spans="1:7" thickBot="1" x14ac:dyDescent="0.3">
      <c r="A101" s="1">
        <v>90</v>
      </c>
      <c r="B101" s="7" t="n">
        <v>22484.3798705738</v>
      </c>
      <c r="C101" s="9">
        <f si="2" t="shared"/>
        <v>1.8082635325185441E-2</v>
      </c>
      <c r="E101" s="372">
        <v>90</v>
      </c>
      <c r="F101" s="372" t="n">
        <v>8936.0</v>
      </c>
      <c r="G101" s="9">
        <f si="3" t="shared"/>
        <v>7.6416765151946326E-3</v>
      </c>
    </row>
    <row r="102" spans="1:7" x14ac:dyDescent="0.25">
      <c r="B102" s="6">
        <f>SUM(B11:B101)</f>
        <v>1243423.8409518565</v>
      </c>
      <c r="C102" s="9">
        <f si="2" t="shared"/>
        <v>1</v>
      </c>
      <c r="F102" s="6">
        <f>SUM(F11:F101)</f>
        <v>1194764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L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84907.0721932005</v>
      </c>
      <c r="C11" s="9">
        <f>B11/B$102</f>
        <v>4.6236776287227423E-2</v>
      </c>
      <c r="E11" s="371">
        <v>0</v>
      </c>
      <c r="F11" s="371" t="n">
        <v>315076.0</v>
      </c>
      <c r="G11" s="9">
        <f>F11/F$102</f>
        <v>0.17597124225657201</v>
      </c>
      <c r="K11" s="6" t="n">
        <v>7.1866380900758235</v>
      </c>
      <c r="L11" s="6" t="n">
        <v>5.698860540549279</v>
      </c>
    </row>
    <row r="12" spans="1:12" x14ac:dyDescent="0.25">
      <c r="A12">
        <v>1</v>
      </c>
      <c r="B12" s="6" t="n">
        <v>101459.22475387</v>
      </c>
      <c r="C12" s="9">
        <f>B12/B$102</f>
        <v>5.5250373803324829E-2</v>
      </c>
      <c r="E12" s="371">
        <v>1</v>
      </c>
      <c r="F12" s="371" t="n">
        <v>236260.0</v>
      </c>
      <c r="G12" s="9">
        <f>F12/F$102</f>
        <v>0.13210956582423608</v>
      </c>
      <c r="K12" s="6"/>
      <c r="L12" s="371"/>
    </row>
    <row r="13" spans="1:12" x14ac:dyDescent="0.25">
      <c r="A13">
        <v>2</v>
      </c>
      <c r="B13" s="6" t="n">
        <v>100404.4870225725</v>
      </c>
      <c r="C13" s="9">
        <f ref="C13:C76" si="0" t="shared">B13/B$102</f>
        <v>5.4676008544177361E-2</v>
      </c>
      <c r="E13" s="371">
        <v>2</v>
      </c>
      <c r="F13" s="371" t="n">
        <v>143055.0</v>
      </c>
      <c r="G13" s="9">
        <f ref="G13:G76" si="1" t="shared">F13/F$102</f>
        <v>7.9752210304027266E-2</v>
      </c>
    </row>
    <row r="14" spans="1:12" x14ac:dyDescent="0.25">
      <c r="A14">
        <v>3</v>
      </c>
      <c r="B14" s="6" t="n">
        <v>190531.2426494512</v>
      </c>
      <c r="C14" s="9">
        <f si="0" t="shared"/>
        <v>0.10375520218227008</v>
      </c>
      <c r="E14" s="371">
        <v>3</v>
      </c>
      <c r="F14" s="371" t="n">
        <v>85818.0</v>
      </c>
      <c r="G14" s="9">
        <f si="1" t="shared"/>
        <v>4.7860276157718956E-2</v>
      </c>
    </row>
    <row r="15" spans="1:12" x14ac:dyDescent="0.25">
      <c r="A15">
        <v>4</v>
      </c>
      <c r="B15" s="6" t="n">
        <v>307024.78858326</v>
      </c>
      <c r="C15" s="9">
        <f si="0" t="shared"/>
        <v>0.16719262715896963</v>
      </c>
      <c r="E15" s="371">
        <v>4</v>
      </c>
      <c r="F15" s="371" t="n">
        <v>257569.0</v>
      </c>
      <c r="G15" s="9">
        <f si="1" t="shared"/>
        <v>0.14484515409818235</v>
      </c>
    </row>
    <row r="16" spans="1:12" x14ac:dyDescent="0.25">
      <c r="A16">
        <v>5</v>
      </c>
      <c r="B16" s="6" t="n">
        <v>206551.5250263804</v>
      </c>
      <c r="C16" s="9">
        <f si="0" t="shared"/>
        <v>0.11247916584262117</v>
      </c>
      <c r="E16" s="371">
        <v>5</v>
      </c>
      <c r="F16" s="371" t="n">
        <v>135496.0</v>
      </c>
      <c r="G16" s="9">
        <f si="1" t="shared"/>
        <v>7.6091783696090556E-2</v>
      </c>
    </row>
    <row r="17" spans="1:7" x14ac:dyDescent="0.25">
      <c r="A17">
        <v>6</v>
      </c>
      <c r="B17" s="6" t="n">
        <v>195336.4394175845</v>
      </c>
      <c r="C17" s="9">
        <f si="0" t="shared"/>
        <v>0.10637190774336562</v>
      </c>
      <c r="E17" s="371">
        <v>6</v>
      </c>
      <c r="F17" s="371" t="n">
        <v>127328.0</v>
      </c>
      <c r="G17" s="9">
        <f si="1" t="shared"/>
        <v>7.4711901427917574E-2</v>
      </c>
    </row>
    <row r="18" spans="1:7" x14ac:dyDescent="0.25">
      <c r="A18">
        <v>7</v>
      </c>
      <c r="B18" s="6" t="n">
        <v>96019.9389225083</v>
      </c>
      <c r="C18" s="9">
        <f si="0" t="shared"/>
        <v>5.2288370337056474E-2</v>
      </c>
      <c r="E18" s="371">
        <v>7</v>
      </c>
      <c r="F18" s="371" t="n">
        <v>77369.0</v>
      </c>
      <c r="G18" s="9">
        <f si="1" t="shared"/>
        <v>4.3392085956015972E-2</v>
      </c>
    </row>
    <row r="19" spans="1:7" x14ac:dyDescent="0.25">
      <c r="A19">
        <v>8</v>
      </c>
      <c r="B19" s="6" t="n">
        <v>81411.287863505</v>
      </c>
      <c r="C19" s="9">
        <f si="0" t="shared"/>
        <v>4.4333120987080712E-2</v>
      </c>
      <c r="E19" s="371">
        <v>8</v>
      </c>
      <c r="F19" s="371" t="n">
        <v>75218.0</v>
      </c>
      <c r="G19" s="9">
        <f si="1" t="shared"/>
        <v>3.948921697912277E-2</v>
      </c>
    </row>
    <row r="20" spans="1:7" x14ac:dyDescent="0.25">
      <c r="A20">
        <v>9</v>
      </c>
      <c r="B20" s="6" t="n">
        <v>62555.5230922982</v>
      </c>
      <c r="C20" s="9">
        <f si="0" t="shared"/>
        <v>3.4065074345841204E-2</v>
      </c>
      <c r="E20" s="371">
        <v>9</v>
      </c>
      <c r="F20" s="371" t="n">
        <v>41765.0</v>
      </c>
      <c r="G20" s="9">
        <f si="1" t="shared"/>
        <v>2.3299391401679422E-2</v>
      </c>
    </row>
    <row r="21" spans="1:7" x14ac:dyDescent="0.25">
      <c r="A21">
        <v>10</v>
      </c>
      <c r="B21" s="6" t="n">
        <v>119012.2937959228</v>
      </c>
      <c r="C21" s="9">
        <f si="0" t="shared"/>
        <v>6.4809027817503001E-2</v>
      </c>
      <c r="E21" s="371">
        <v>10</v>
      </c>
      <c r="F21" s="371" t="n">
        <v>32204.0</v>
      </c>
      <c r="G21" s="9">
        <f si="1" t="shared"/>
        <v>1.9855350272577729E-2</v>
      </c>
    </row>
    <row r="22" spans="1:7" x14ac:dyDescent="0.25">
      <c r="A22">
        <v>11</v>
      </c>
      <c r="B22" s="6" t="n">
        <v>36479.2789345701</v>
      </c>
      <c r="C22" s="9">
        <f si="0" t="shared"/>
        <v>1.9865062069024664E-2</v>
      </c>
      <c r="E22" s="371">
        <v>11</v>
      </c>
      <c r="F22" s="371" t="n">
        <v>36018.0</v>
      </c>
      <c r="G22" s="9">
        <f si="1" t="shared"/>
        <v>1.9974305640523677E-2</v>
      </c>
    </row>
    <row r="23" spans="1:7" x14ac:dyDescent="0.25">
      <c r="A23">
        <v>12</v>
      </c>
      <c r="B23" s="6" t="n">
        <v>32629.1127797312</v>
      </c>
      <c r="C23" s="9">
        <f si="0" t="shared"/>
        <v>1.7768425516007387E-2</v>
      </c>
      <c r="E23" s="371">
        <v>12</v>
      </c>
      <c r="F23" s="371" t="n">
        <v>24211.0</v>
      </c>
      <c r="G23" s="9">
        <f si="1" t="shared"/>
        <v>1.4121701537583098E-2</v>
      </c>
    </row>
    <row r="24" spans="1:7" x14ac:dyDescent="0.25">
      <c r="A24">
        <v>13</v>
      </c>
      <c r="B24" s="6" t="n">
        <v>17994.8006290605</v>
      </c>
      <c r="C24" s="9">
        <f si="0" t="shared"/>
        <v>9.7992022281244012E-3</v>
      </c>
      <c r="E24" s="371">
        <v>13</v>
      </c>
      <c r="F24" s="371" t="n">
        <v>26104.0</v>
      </c>
      <c r="G24" s="9">
        <f si="1" t="shared"/>
        <v>1.4717044831445909E-2</v>
      </c>
    </row>
    <row r="25" spans="1:7" x14ac:dyDescent="0.25">
      <c r="A25">
        <v>14</v>
      </c>
      <c r="B25" s="6" t="n">
        <v>18414.0822075536</v>
      </c>
      <c r="C25" s="9">
        <f si="0" t="shared"/>
        <v>1.0027525123324804E-2</v>
      </c>
      <c r="E25" s="371">
        <v>14</v>
      </c>
      <c r="F25" s="371" t="n">
        <v>21758.0</v>
      </c>
      <c r="G25" s="9">
        <f si="1" t="shared"/>
        <v>1.2907223876268291E-2</v>
      </c>
    </row>
    <row r="26" spans="1:7" x14ac:dyDescent="0.25">
      <c r="A26">
        <v>15</v>
      </c>
      <c r="B26" s="6" t="n">
        <v>17555.1507469961</v>
      </c>
      <c r="C26" s="9">
        <f si="0" t="shared"/>
        <v>9.5597876220541011E-3</v>
      </c>
      <c r="E26" s="371">
        <v>15</v>
      </c>
      <c r="F26" s="371" t="n">
        <v>20759.0</v>
      </c>
      <c r="G26" s="9">
        <f si="1" t="shared"/>
        <v>1.1591350925132891E-2</v>
      </c>
    </row>
    <row r="27" spans="1:7" x14ac:dyDescent="0.25">
      <c r="A27">
        <v>16</v>
      </c>
      <c r="B27" s="6" t="n">
        <v>30793.3270430476</v>
      </c>
      <c r="C27" s="9">
        <f si="0" t="shared"/>
        <v>1.676873476910256E-2</v>
      </c>
      <c r="E27" s="371">
        <v>16</v>
      </c>
      <c r="F27" s="371" t="n">
        <v>18794.0</v>
      </c>
      <c r="G27" s="9">
        <f si="1" t="shared"/>
        <v>1.1054918861109979E-2</v>
      </c>
    </row>
    <row r="28" spans="1:7" x14ac:dyDescent="0.25">
      <c r="A28">
        <v>17</v>
      </c>
      <c r="B28" s="6" t="n">
        <v>14174.9013813592</v>
      </c>
      <c r="C28" s="9">
        <f si="0" t="shared"/>
        <v>7.719047744009974E-3</v>
      </c>
      <c r="E28" s="371">
        <v>17</v>
      </c>
      <c r="F28" s="371" t="n">
        <v>13394.0</v>
      </c>
      <c r="G28" s="9">
        <f si="1" t="shared"/>
        <v>7.8708801790901388E-3</v>
      </c>
    </row>
    <row r="29" spans="1:7" x14ac:dyDescent="0.25">
      <c r="A29">
        <v>18</v>
      </c>
      <c r="B29" s="6" t="n">
        <v>14542.7372729443</v>
      </c>
      <c r="C29" s="9">
        <f si="0" t="shared"/>
        <v>7.9193555086085887E-3</v>
      </c>
      <c r="E29" s="371">
        <v>18</v>
      </c>
      <c r="F29" s="371" t="n">
        <v>11443.0</v>
      </c>
      <c r="G29" s="9">
        <f si="1" t="shared"/>
        <v>6.7039846649537098E-3</v>
      </c>
    </row>
    <row r="30" spans="1:7" x14ac:dyDescent="0.25">
      <c r="A30">
        <v>19</v>
      </c>
      <c r="B30" s="6" t="n">
        <v>18690.2688199726</v>
      </c>
      <c r="C30" s="9">
        <f si="0" t="shared"/>
        <v>1.0177924592792873E-2</v>
      </c>
      <c r="E30" s="371">
        <v>19</v>
      </c>
      <c r="F30" s="371" t="n">
        <v>10263.0</v>
      </c>
      <c r="G30" s="9">
        <f si="1" t="shared"/>
        <v>5.8322117541498427E-3</v>
      </c>
    </row>
    <row r="31" spans="1:7" x14ac:dyDescent="0.25">
      <c r="A31">
        <v>20</v>
      </c>
      <c r="B31" s="6" t="n">
        <v>8832.9782351174</v>
      </c>
      <c r="C31" s="9">
        <f si="0" t="shared"/>
        <v>4.810063850485451E-3</v>
      </c>
      <c r="E31" s="371">
        <v>20</v>
      </c>
      <c r="F31" s="371" t="n">
        <v>7500.0</v>
      </c>
      <c r="G31" s="9">
        <f si="1" t="shared"/>
        <v>4.6483226160211359E-3</v>
      </c>
    </row>
    <row r="32" spans="1:7" x14ac:dyDescent="0.25">
      <c r="A32">
        <v>21</v>
      </c>
      <c r="B32" s="6" t="n">
        <v>9212.629900026699</v>
      </c>
      <c r="C32" s="9">
        <f si="0" t="shared"/>
        <v>5.0168059821366524E-3</v>
      </c>
      <c r="E32" s="371">
        <v>21</v>
      </c>
      <c r="F32" s="371" t="n">
        <v>7484.0</v>
      </c>
      <c r="G32" s="9">
        <f si="1" t="shared"/>
        <v>4.1832637727657919E-3</v>
      </c>
    </row>
    <row r="33" spans="1:7" x14ac:dyDescent="0.25">
      <c r="A33">
        <v>22</v>
      </c>
      <c r="B33" s="6" t="n">
        <v>12829.9965571878</v>
      </c>
      <c r="C33" s="9">
        <f si="0" t="shared"/>
        <v>6.9866698410087948E-3</v>
      </c>
      <c r="E33" s="371">
        <v>22</v>
      </c>
      <c r="F33" s="371" t="n">
        <v>5536.0</v>
      </c>
      <c r="G33" s="9">
        <f si="1" t="shared"/>
        <v>3.3987247984556194E-3</v>
      </c>
    </row>
    <row r="34" spans="1:7" x14ac:dyDescent="0.25">
      <c r="A34">
        <v>23</v>
      </c>
      <c r="B34" s="6" t="n">
        <v>14398.7517202314</v>
      </c>
      <c r="C34" s="9">
        <f si="0" t="shared"/>
        <v>7.8409471073127499E-3</v>
      </c>
      <c r="E34" s="371">
        <v>23</v>
      </c>
      <c r="F34" s="371" t="n">
        <v>5245.0</v>
      </c>
      <c r="G34" s="9">
        <f si="1" t="shared"/>
        <v>3.2554119027874075E-3</v>
      </c>
    </row>
    <row r="35" spans="1:7" x14ac:dyDescent="0.25">
      <c r="A35">
        <v>24</v>
      </c>
      <c r="B35" s="6" t="n">
        <v>1073.090578754</v>
      </c>
      <c r="C35" s="9">
        <f si="0" t="shared"/>
        <v>5.843594384326616E-4</v>
      </c>
      <c r="E35" s="371">
        <v>24</v>
      </c>
      <c r="F35" s="371" t="n">
        <v>4989.0</v>
      </c>
      <c r="G35" s="9">
        <f si="1" t="shared"/>
        <v>2.9812481023786543E-3</v>
      </c>
    </row>
    <row r="36" spans="1:7" x14ac:dyDescent="0.25">
      <c r="A36">
        <v>25</v>
      </c>
      <c r="B36" s="6" t="n">
        <v>1734.2051272889998</v>
      </c>
      <c r="C36" s="9">
        <f si="0" t="shared"/>
        <v>9.4437427219455487E-4</v>
      </c>
      <c r="E36" s="371">
        <v>25</v>
      </c>
      <c r="F36" s="371" t="n">
        <v>4409.0</v>
      </c>
      <c r="G36" s="9">
        <f si="1" t="shared"/>
        <v>2.7790239768705448E-3</v>
      </c>
    </row>
    <row r="37" spans="1:7" x14ac:dyDescent="0.25">
      <c r="A37">
        <v>26</v>
      </c>
      <c r="B37" s="6" t="n">
        <v>1382.3037132361</v>
      </c>
      <c r="C37" s="9">
        <f si="0" t="shared"/>
        <v>7.5274374559130793E-4</v>
      </c>
      <c r="E37" s="371">
        <v>26</v>
      </c>
      <c r="F37" s="371" t="n">
        <v>4026.0</v>
      </c>
      <c r="G37" s="9">
        <f si="1" t="shared"/>
        <v>2.3445536568013014E-3</v>
      </c>
    </row>
    <row r="38" spans="1:7" x14ac:dyDescent="0.25">
      <c r="A38">
        <v>27</v>
      </c>
      <c r="B38" s="6" t="n">
        <v>2415.69175757</v>
      </c>
      <c r="C38" s="9">
        <f si="0" t="shared"/>
        <v>1.3154828742594183E-3</v>
      </c>
      <c r="E38" s="371">
        <v>27</v>
      </c>
      <c r="F38" s="371" t="n">
        <v>3106.0</v>
      </c>
      <c r="G38" s="9">
        <f si="1" t="shared"/>
        <v>1.8160519506414527E-3</v>
      </c>
    </row>
    <row r="39" spans="1:7" x14ac:dyDescent="0.25">
      <c r="A39">
        <v>28</v>
      </c>
      <c r="B39" s="6" t="n">
        <v>3355.6392179848</v>
      </c>
      <c r="C39" s="9">
        <f si="0" t="shared"/>
        <v>1.8273382394998537E-3</v>
      </c>
      <c r="E39" s="371">
        <v>28</v>
      </c>
      <c r="F39" s="371" t="n">
        <v>3361.0</v>
      </c>
      <c r="G39" s="9">
        <f si="1" t="shared"/>
        <v>2.0029818145565117E-3</v>
      </c>
    </row>
    <row r="40" spans="1:7" x14ac:dyDescent="0.25">
      <c r="A40">
        <v>29</v>
      </c>
      <c r="B40" s="6" t="n">
        <v>1049.6642425372</v>
      </c>
      <c r="C40" s="9">
        <f si="0" t="shared"/>
        <v>5.7160245319095053E-4</v>
      </c>
      <c r="E40" s="371">
        <v>29</v>
      </c>
      <c r="F40" s="371" t="n">
        <v>2609.0</v>
      </c>
      <c r="G40" s="9">
        <f si="1" t="shared"/>
        <v>1.5039357233166115E-3</v>
      </c>
    </row>
    <row r="41" spans="1:7" x14ac:dyDescent="0.25">
      <c r="A41">
        <v>30</v>
      </c>
      <c r="B41" s="6" t="n">
        <v>1586.4049019792</v>
      </c>
      <c r="C41" s="9">
        <f si="0" t="shared"/>
        <v>8.638885626260852E-4</v>
      </c>
      <c r="E41" s="371">
        <v>30</v>
      </c>
      <c r="F41" s="371" t="n">
        <v>1843.0</v>
      </c>
      <c r="G41" s="9">
        <f si="1" t="shared"/>
        <v>1.2524300882308958E-3</v>
      </c>
    </row>
    <row r="42" spans="1:7" x14ac:dyDescent="0.25">
      <c r="A42">
        <v>31</v>
      </c>
      <c r="B42" s="6" t="n">
        <v>2692.10237777</v>
      </c>
      <c r="C42" s="9">
        <f si="0" t="shared"/>
        <v>1.4660043288270705E-3</v>
      </c>
      <c r="E42" s="371">
        <v>31</v>
      </c>
      <c r="F42" s="371" t="n">
        <v>1614.0</v>
      </c>
      <c r="G42" s="9">
        <f si="1" t="shared"/>
        <v>9.9639282008057248E-4</v>
      </c>
    </row>
    <row r="43" spans="1:7" x14ac:dyDescent="0.25">
      <c r="A43">
        <v>32</v>
      </c>
      <c r="B43" s="6" t="n">
        <v>1018.187280604</v>
      </c>
      <c r="C43" s="9">
        <f si="0" t="shared"/>
        <v>5.5446143996892719E-4</v>
      </c>
      <c r="E43" s="371">
        <v>32</v>
      </c>
      <c r="F43" s="371" t="n">
        <v>1432.0</v>
      </c>
      <c r="G43" s="9">
        <f si="1" t="shared"/>
        <v>8.6497546120695515E-4</v>
      </c>
    </row>
    <row r="44" spans="1:7" x14ac:dyDescent="0.25">
      <c r="A44">
        <v>33</v>
      </c>
      <c r="B44" s="6" t="n">
        <v>1938.450463821</v>
      </c>
      <c r="C44" s="9">
        <f si="0" t="shared"/>
        <v>1.0555975859775479E-3</v>
      </c>
      <c r="E44" s="371">
        <v>33</v>
      </c>
      <c r="F44" s="371" t="n">
        <v>1152.0</v>
      </c>
      <c r="G44" s="9">
        <f si="1" t="shared"/>
        <v>7.7717507058018499E-4</v>
      </c>
    </row>
    <row r="45" spans="1:7" x14ac:dyDescent="0.25">
      <c r="A45">
        <v>34</v>
      </c>
      <c r="B45" s="6" t="n">
        <v>1449.092665293</v>
      </c>
      <c r="C45" s="9">
        <f si="0" t="shared"/>
        <v>7.8911416509754712E-4</v>
      </c>
      <c r="E45" s="371">
        <v>34</v>
      </c>
      <c r="F45" s="371" t="n">
        <v>1089.0</v>
      </c>
      <c r="G45" s="9">
        <f si="1" t="shared"/>
        <v>6.3556153731120083E-4</v>
      </c>
    </row>
    <row r="46" spans="1:7" x14ac:dyDescent="0.25">
      <c r="A46">
        <v>35</v>
      </c>
      <c r="B46" s="6" t="n">
        <v>1498.404540075</v>
      </c>
      <c r="C46" s="9">
        <f si="0" t="shared"/>
        <v>8.1596731247037218E-4</v>
      </c>
      <c r="E46" s="371">
        <v>35</v>
      </c>
      <c r="F46" s="371" t="n">
        <v>807.0</v>
      </c>
      <c r="G46" s="9">
        <f si="1" t="shared"/>
        <v>5.3699851815598785E-4</v>
      </c>
    </row>
    <row r="47" spans="1:7" x14ac:dyDescent="0.25">
      <c r="A47">
        <v>36</v>
      </c>
      <c r="B47" s="6" t="n">
        <v>1085.2722949449999</v>
      </c>
      <c r="C47" s="9">
        <f si="0" t="shared"/>
        <v>5.9099308238915252E-4</v>
      </c>
      <c r="E47" s="371">
        <v>36</v>
      </c>
      <c r="F47" s="371" t="n">
        <v>1073.0</v>
      </c>
      <c r="G47" s="9">
        <f si="1" t="shared"/>
        <v>6.9277340475187041E-4</v>
      </c>
    </row>
    <row r="48" spans="1:7" x14ac:dyDescent="0.25">
      <c r="A48">
        <v>37</v>
      </c>
      <c r="B48" s="6" t="n">
        <v>570.856988644</v>
      </c>
      <c r="C48" s="9">
        <f si="0" t="shared"/>
        <v>3.1086440969103018E-4</v>
      </c>
      <c r="E48" s="371">
        <v>37</v>
      </c>
      <c r="F48" s="371" t="n">
        <v>687.0</v>
      </c>
      <c r="G48" s="9">
        <f si="1" t="shared"/>
        <v>4.5939430192458458E-4</v>
      </c>
    </row>
    <row r="49" spans="1:7" x14ac:dyDescent="0.25">
      <c r="A49">
        <v>38</v>
      </c>
      <c r="B49" s="6" t="n">
        <v>4.59375</v>
      </c>
      <c r="C49" s="9">
        <f si="0" t="shared"/>
        <v>2.5015606542897654E-6</v>
      </c>
      <c r="E49" s="371">
        <v>38</v>
      </c>
      <c r="F49" s="371" t="n">
        <v>708.0</v>
      </c>
      <c r="G49" s="9">
        <f si="1" t="shared"/>
        <v>4.831853755137739E-4</v>
      </c>
    </row>
    <row r="50" spans="1:7" x14ac:dyDescent="0.25">
      <c r="A50">
        <v>39</v>
      </c>
      <c r="B50" s="6" t="n">
        <v>396.0371562029</v>
      </c>
      <c r="C50" s="9">
        <f si="0" t="shared"/>
        <v>2.1566497253746605E-4</v>
      </c>
      <c r="E50" s="371">
        <v>39</v>
      </c>
      <c r="F50" s="371" t="n">
        <v>661.0</v>
      </c>
      <c r="G50" s="9">
        <f si="1" t="shared"/>
        <v>3.7895781502780157E-4</v>
      </c>
    </row>
    <row r="51" spans="1:7" x14ac:dyDescent="0.25">
      <c r="A51">
        <v>40</v>
      </c>
      <c r="B51" s="6" t="n">
        <v>2029.291388077</v>
      </c>
      <c r="C51" s="9">
        <f si="0" t="shared"/>
        <v>1.1050656854427181E-3</v>
      </c>
      <c r="E51" s="371">
        <v>40</v>
      </c>
      <c r="F51" s="371" t="n">
        <v>449.0</v>
      </c>
      <c r="G51" s="9">
        <f si="1" t="shared"/>
        <v>3.0192005292947418E-4</v>
      </c>
    </row>
    <row r="52" spans="1:7" x14ac:dyDescent="0.25">
      <c r="A52">
        <v>41</v>
      </c>
      <c r="B52" s="6" t="n">
        <v>2470.933528429</v>
      </c>
      <c r="C52" s="9">
        <f si="0" t="shared"/>
        <v>1.3455651905487605E-3</v>
      </c>
      <c r="E52" s="371">
        <v>41</v>
      </c>
      <c r="F52" s="371" t="n">
        <v>406.0</v>
      </c>
      <c r="G52" s="9">
        <f si="1" t="shared"/>
        <v>2.447081854888046E-4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305.0</v>
      </c>
      <c r="G53" s="9">
        <f si="1" t="shared"/>
        <v>1.8636340978198313E-4</v>
      </c>
    </row>
    <row r="54" spans="1:7" x14ac:dyDescent="0.25">
      <c r="A54">
        <v>43</v>
      </c>
      <c r="B54" s="6" t="n">
        <v>143.589273955</v>
      </c>
      <c r="C54" s="9">
        <f si="0" t="shared"/>
        <v>7.8192604757303344E-5</v>
      </c>
      <c r="E54" s="371">
        <v>43</v>
      </c>
      <c r="F54" s="371" t="n">
        <v>284.0</v>
      </c>
      <c r="G54" s="9">
        <f si="1" t="shared"/>
        <v>1.5860715726126223E-4</v>
      </c>
    </row>
    <row r="55" spans="1:7" x14ac:dyDescent="0.25">
      <c r="A55">
        <v>44</v>
      </c>
      <c r="B55" s="6" t="n">
        <v>1125.3988481578</v>
      </c>
      <c r="C55" s="9">
        <f si="0" t="shared"/>
        <v>6.1284429473405712E-4</v>
      </c>
      <c r="E55" s="371">
        <v>44</v>
      </c>
      <c r="F55" s="371" t="n">
        <v>216.0</v>
      </c>
      <c r="G55" s="9">
        <f si="1" t="shared"/>
        <v>1.3368317540592104E-4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225.0</v>
      </c>
      <c r="G56" s="9">
        <f si="1" t="shared"/>
        <v>1.2065473034517449E-4</v>
      </c>
    </row>
    <row r="57" spans="1:7" x14ac:dyDescent="0.25">
      <c r="A57">
        <v>46</v>
      </c>
      <c r="B57" s="6" t="n">
        <v>1531.936598843</v>
      </c>
      <c r="C57" s="9">
        <f si="0" t="shared"/>
        <v>8.3422744392536228E-4</v>
      </c>
      <c r="E57" s="371">
        <v>46</v>
      </c>
      <c r="F57" s="371" t="n">
        <v>184.0</v>
      </c>
      <c r="G57" s="9">
        <f si="1" t="shared"/>
        <v>1.0819273941750388E-4</v>
      </c>
    </row>
    <row r="58" spans="1:7" x14ac:dyDescent="0.25">
      <c r="A58">
        <v>47</v>
      </c>
      <c r="B58" s="6" t="n">
        <v>5149.1823438</v>
      </c>
      <c r="C58" s="9">
        <f si="0" t="shared"/>
        <v>2.8040254591594309E-3</v>
      </c>
      <c r="E58" s="371">
        <v>47</v>
      </c>
      <c r="F58" s="371" t="n">
        <v>163.0</v>
      </c>
      <c r="G58" s="9">
        <f si="1" t="shared"/>
        <v>1.1499018901441513E-4</v>
      </c>
    </row>
    <row r="59" spans="1:7" x14ac:dyDescent="0.25">
      <c r="A59">
        <v>48</v>
      </c>
      <c r="B59" s="6" t="n">
        <v>213.886510635</v>
      </c>
      <c r="C59" s="9">
        <f si="0" t="shared"/>
        <v>1.1647348669123168E-4</v>
      </c>
      <c r="E59" s="371">
        <v>48</v>
      </c>
      <c r="F59" s="371" t="n">
        <v>126.0</v>
      </c>
      <c r="G59" s="9">
        <f si="1" t="shared"/>
        <v>7.9870032763707064E-5</v>
      </c>
    </row>
    <row r="60" spans="1:7" x14ac:dyDescent="0.25">
      <c r="A60">
        <v>49</v>
      </c>
      <c r="B60" s="6" t="n">
        <v>406.812011884</v>
      </c>
      <c r="C60" s="9">
        <f si="0" t="shared"/>
        <v>2.2153250016249796E-4</v>
      </c>
      <c r="E60" s="371">
        <v>49</v>
      </c>
      <c r="F60" s="371" t="n">
        <v>141.0</v>
      </c>
      <c r="G60" s="9">
        <f si="1" t="shared"/>
        <v>5.9477683972973338E-5</v>
      </c>
    </row>
    <row r="61" spans="1:7" x14ac:dyDescent="0.25">
      <c r="A61">
        <v>50</v>
      </c>
      <c r="B61" s="6" t="n">
        <v>454.367233631</v>
      </c>
      <c r="C61" s="9">
        <f si="0" t="shared"/>
        <v>2.4742904908839076E-4</v>
      </c>
      <c r="E61" s="371">
        <v>50</v>
      </c>
      <c r="F61" s="371" t="n">
        <v>80.0</v>
      </c>
      <c r="G61" s="9">
        <f si="1" t="shared"/>
        <v>5.8344775706821465E-5</v>
      </c>
    </row>
    <row r="62" spans="1:7" x14ac:dyDescent="0.25">
      <c r="A62">
        <v>51</v>
      </c>
      <c r="B62" s="6" t="n">
        <v>94.7244864348</v>
      </c>
      <c r="C62" s="9">
        <f si="0" t="shared"/>
        <v>5.1582922070878976E-5</v>
      </c>
      <c r="E62" s="371">
        <v>51</v>
      </c>
      <c r="F62" s="371" t="n">
        <v>83.0</v>
      </c>
      <c r="G62" s="9">
        <f si="1" t="shared"/>
        <v>4.5316330646074923E-5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54.0</v>
      </c>
      <c r="G63" s="9">
        <f si="1" t="shared"/>
        <v>3.7385972783011813E-5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35.0</v>
      </c>
      <c r="G64" s="9">
        <f si="1" t="shared"/>
        <v>2.7756252520720893E-5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40.0</v>
      </c>
      <c r="G65" s="9">
        <f si="1" t="shared"/>
        <v>2.4923981855341211E-5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40.0</v>
      </c>
      <c r="G66" s="9">
        <f si="1" t="shared"/>
        <v>2.8889160786872766E-5</v>
      </c>
    </row>
    <row r="67" spans="1:7" x14ac:dyDescent="0.25">
      <c r="A67">
        <v>56</v>
      </c>
      <c r="B67" s="6" t="n">
        <v>767.701778901</v>
      </c>
      <c r="C67" s="9">
        <f si="0" t="shared"/>
        <v>4.1805770107798695E-4</v>
      </c>
      <c r="E67" s="371">
        <v>56</v>
      </c>
      <c r="F67" s="371" t="n">
        <v>38.0</v>
      </c>
      <c r="G67" s="9">
        <f si="1" t="shared"/>
        <v>1.9825894657657779E-5</v>
      </c>
    </row>
    <row r="68" spans="1:7" x14ac:dyDescent="0.25">
      <c r="A68">
        <v>57</v>
      </c>
      <c r="B68" s="6" t="n">
        <v>654.907218069</v>
      </c>
      <c r="C68" s="9">
        <f si="0" t="shared"/>
        <v>3.5663458588991079E-4</v>
      </c>
      <c r="E68" s="371">
        <v>57</v>
      </c>
      <c r="F68" s="371" t="n">
        <v>20.0</v>
      </c>
      <c r="G68" s="9">
        <f si="1" t="shared"/>
        <v>1.5860715726126224E-5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16.0</v>
      </c>
      <c r="G69" s="9">
        <f si="1" t="shared"/>
        <v>2.0958802923809652E-5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13.0</v>
      </c>
      <c r="G70" s="9">
        <f si="1" t="shared"/>
        <v>1.0762628528442794E-5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9.0</v>
      </c>
      <c r="G71" s="9">
        <f si="1" t="shared"/>
        <v>1.3594899193822478E-5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5.0</v>
      </c>
      <c r="G72" s="9">
        <f si="1" t="shared"/>
        <v>7.3639037299871756E-6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12.0</v>
      </c>
      <c r="G73" s="9">
        <f si="1" t="shared"/>
        <v>1.1895536794594667E-5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11.0</v>
      </c>
      <c r="G74" s="9">
        <f si="1" t="shared"/>
        <v>3.3987247984556196E-6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1.6993623992278098E-6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7.0</v>
      </c>
      <c r="G76" s="9">
        <f si="1" t="shared"/>
        <v>2.2658165323037462E-6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2.2658165323037462E-6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2.2658165323037462E-6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1.6993623992278098E-6</v>
      </c>
    </row>
    <row r="80" spans="1:7" x14ac:dyDescent="0.25">
      <c r="A80">
        <v>69</v>
      </c>
      <c r="B80" s="6" t="n">
        <v>376.597523036</v>
      </c>
      <c r="C80" s="9">
        <f si="2" t="shared"/>
        <v>2.0507897602826475E-4</v>
      </c>
      <c r="E80" s="371">
        <v>69</v>
      </c>
      <c r="F80" s="371" t="n">
        <v>3.0</v>
      </c>
      <c r="G80" s="9">
        <f si="3" t="shared"/>
        <v>2.8322706653796827E-6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2.8322706653796827E-6</v>
      </c>
    </row>
    <row r="82" spans="1:7" x14ac:dyDescent="0.25">
      <c r="A82">
        <v>71</v>
      </c>
      <c r="B82" s="6" t="n">
        <v>5138.639889169</v>
      </c>
      <c r="C82" s="9">
        <f si="2" t="shared"/>
        <v>2.7982844872509586E-3</v>
      </c>
      <c r="E82" s="371">
        <v>71</v>
      </c>
      <c r="F82" s="371" t="n">
        <v>2.0</v>
      </c>
      <c r="G82" s="9">
        <f si="3" t="shared"/>
        <v>1.6993623992278098E-6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2.0</v>
      </c>
      <c r="G83" s="9">
        <f si="3" t="shared"/>
        <v>1.6993623992278098E-6</v>
      </c>
    </row>
    <row r="84" spans="1:7" x14ac:dyDescent="0.25">
      <c r="A84">
        <v>73</v>
      </c>
      <c r="B84" s="6" t="n">
        <v>224.140299381</v>
      </c>
      <c r="C84" s="9">
        <f si="2" t="shared"/>
        <v>1.2205726344973895E-4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5.6645413307593656E-7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5.6645413307593656E-7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5.6645413307593656E-7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5.6645413307593656E-7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85.7260115733</v>
      </c>
      <c r="C93" s="9">
        <f si="2" t="shared"/>
        <v>4.6682735804289817E-5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297.868494818</v>
      </c>
      <c r="C95" s="9">
        <f si="2" t="shared"/>
        <v>1.6220649943710991E-4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5.6645413307593656E-7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176.0946851223</v>
      </c>
      <c r="C101" s="9">
        <f si="2" t="shared"/>
        <v>9.5893667642229342E-5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1836353.6347289735</v>
      </c>
      <c r="C102" s="9">
        <f si="2" t="shared"/>
        <v>1</v>
      </c>
      <c r="F102" s="6">
        <f>SUM(F11:F101)</f>
        <v>1765368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14132.0</v>
      </c>
      <c r="G11" s="9">
        <f>F11/F$102</f>
        <v>7.8822092617516579E-3</v>
      </c>
      <c r="K11" s="6" t="n">
        <v>28.84352924141742</v>
      </c>
      <c r="L11" s="6" t="n">
        <v>20.45887965824542</v>
      </c>
    </row>
    <row r="12" spans="1:12" x14ac:dyDescent="0.25">
      <c r="A12">
        <v>1</v>
      </c>
      <c r="B12" s="6" t="n">
        <v>5313.254217762</v>
      </c>
      <c r="C12" s="9">
        <f>B12/B$102</f>
        <v>2.8933720157589254E-3</v>
      </c>
      <c r="E12" s="371">
        <v>1</v>
      </c>
      <c r="F12" s="371" t="n">
        <v>46971.0</v>
      </c>
      <c r="G12" s="9">
        <f>F12/F$102</f>
        <v>2.632085774750647E-2</v>
      </c>
      <c r="K12" s="6"/>
      <c r="L12" s="371"/>
    </row>
    <row r="13" spans="1:12" x14ac:dyDescent="0.25">
      <c r="A13">
        <v>2</v>
      </c>
      <c r="B13" s="6" t="n">
        <v>6389.6046907162</v>
      </c>
      <c r="C13" s="9">
        <f ref="C13:C76" si="0" t="shared">B13/B$102</f>
        <v>3.4795066537710953E-3</v>
      </c>
      <c r="E13" s="371">
        <v>2</v>
      </c>
      <c r="F13" s="371" t="n">
        <v>55578.0</v>
      </c>
      <c r="G13" s="9">
        <f ref="G13:G76" si="1" t="shared">F13/F$102</f>
        <v>3.1191230383693373E-2</v>
      </c>
    </row>
    <row r="14" spans="1:12" x14ac:dyDescent="0.25">
      <c r="A14">
        <v>3</v>
      </c>
      <c r="B14" s="6" t="n">
        <v>13973.773785649</v>
      </c>
      <c r="C14" s="9">
        <f si="0" t="shared"/>
        <v>7.6095222191293133E-3</v>
      </c>
      <c r="E14" s="371">
        <v>3</v>
      </c>
      <c r="F14" s="371" t="n">
        <v>61357.0</v>
      </c>
      <c r="G14" s="9">
        <f si="1" t="shared"/>
        <v>3.4358275441720931E-2</v>
      </c>
    </row>
    <row r="15" spans="1:12" x14ac:dyDescent="0.25">
      <c r="A15">
        <v>4</v>
      </c>
      <c r="B15" s="6" t="n">
        <v>13800.1013854615</v>
      </c>
      <c r="C15" s="9">
        <f si="0" t="shared"/>
        <v>7.5149476247249334E-3</v>
      </c>
      <c r="E15" s="371">
        <v>4</v>
      </c>
      <c r="F15" s="371" t="n">
        <v>63824.0</v>
      </c>
      <c r="G15" s="9">
        <f si="1" t="shared"/>
        <v>3.5695673649913218E-2</v>
      </c>
    </row>
    <row r="16" spans="1:12" x14ac:dyDescent="0.25">
      <c r="A16">
        <v>5</v>
      </c>
      <c r="B16" s="6" t="n">
        <v>34458.8167548928</v>
      </c>
      <c r="C16" s="9">
        <f si="0" t="shared"/>
        <v>1.8764804394540573E-2</v>
      </c>
      <c r="E16" s="371">
        <v>5</v>
      </c>
      <c r="F16" s="371" t="n">
        <v>63490.0</v>
      </c>
      <c r="G16" s="9">
        <f si="1" t="shared"/>
        <v>3.5207956641334838E-2</v>
      </c>
    </row>
    <row r="17" spans="1:7" x14ac:dyDescent="0.25">
      <c r="A17">
        <v>6</v>
      </c>
      <c r="B17" s="6" t="n">
        <v>28394.946194512</v>
      </c>
      <c r="C17" s="9">
        <f si="0" t="shared"/>
        <v>1.5462678678827998E-2</v>
      </c>
      <c r="E17" s="371">
        <v>6</v>
      </c>
      <c r="F17" s="371" t="n">
        <v>60431.0</v>
      </c>
      <c r="G17" s="9">
        <f si="1" t="shared"/>
        <v>3.3787289675580388E-2</v>
      </c>
    </row>
    <row r="18" spans="1:7" x14ac:dyDescent="0.25">
      <c r="A18">
        <v>7</v>
      </c>
      <c r="B18" s="6" t="n">
        <v>26352.3672654389</v>
      </c>
      <c r="C18" s="9">
        <f si="0" t="shared"/>
        <v>1.4350377164324468E-2</v>
      </c>
      <c r="E18" s="371">
        <v>7</v>
      </c>
      <c r="F18" s="371" t="n">
        <v>57263.0</v>
      </c>
      <c r="G18" s="9">
        <f si="1" t="shared"/>
        <v>3.1885136696711391E-2</v>
      </c>
    </row>
    <row r="19" spans="1:7" x14ac:dyDescent="0.25">
      <c r="A19">
        <v>8</v>
      </c>
      <c r="B19" s="6" t="n">
        <v>16526.9496719312</v>
      </c>
      <c r="C19" s="9">
        <f si="0" t="shared"/>
        <v>8.9998730959956977E-3</v>
      </c>
      <c r="E19" s="371">
        <v>8</v>
      </c>
      <c r="F19" s="371" t="n">
        <v>52474.0</v>
      </c>
      <c r="G19" s="9">
        <f si="1" t="shared"/>
        <v>2.9209207372060668E-2</v>
      </c>
    </row>
    <row r="20" spans="1:7" x14ac:dyDescent="0.25">
      <c r="A20">
        <v>9</v>
      </c>
      <c r="B20" s="6" t="n">
        <v>26699.4299645152</v>
      </c>
      <c r="C20" s="9">
        <f si="0" t="shared"/>
        <v>1.4539372732777448E-2</v>
      </c>
      <c r="E20" s="371">
        <v>9</v>
      </c>
      <c r="F20" s="371" t="n">
        <v>46825.0</v>
      </c>
      <c r="G20" s="9">
        <f si="1" t="shared"/>
        <v>2.6191139751032079E-2</v>
      </c>
    </row>
    <row r="21" spans="1:7" x14ac:dyDescent="0.25">
      <c r="A21">
        <v>10</v>
      </c>
      <c r="B21" s="6" t="n">
        <v>12987.020080087</v>
      </c>
      <c r="C21" s="9">
        <f si="0" t="shared"/>
        <v>7.072178165728818E-3</v>
      </c>
      <c r="E21" s="371">
        <v>10</v>
      </c>
      <c r="F21" s="371" t="n">
        <v>42216.0</v>
      </c>
      <c r="G21" s="9">
        <f si="1" t="shared"/>
        <v>2.35729887479551E-2</v>
      </c>
    </row>
    <row r="22" spans="1:7" x14ac:dyDescent="0.25">
      <c r="A22">
        <v>11</v>
      </c>
      <c r="B22" s="6" t="n">
        <v>30669.6281921</v>
      </c>
      <c r="C22" s="9">
        <f si="0" t="shared"/>
        <v>1.6701373641807567E-2</v>
      </c>
      <c r="E22" s="371">
        <v>11</v>
      </c>
      <c r="F22" s="371" t="n">
        <v>37599.0</v>
      </c>
      <c r="G22" s="9">
        <f si="1" t="shared"/>
        <v>2.08517430926583E-2</v>
      </c>
    </row>
    <row r="23" spans="1:7" x14ac:dyDescent="0.25">
      <c r="A23">
        <v>12</v>
      </c>
      <c r="B23" s="6" t="n">
        <v>20330.218013868</v>
      </c>
      <c r="C23" s="9">
        <f si="0" t="shared"/>
        <v>1.1070971096952426E-2</v>
      </c>
      <c r="E23" s="371">
        <v>12</v>
      </c>
      <c r="F23" s="371" t="n">
        <v>34471.0</v>
      </c>
      <c r="G23" s="9">
        <f si="1" t="shared"/>
        <v>1.9025494967621483E-2</v>
      </c>
    </row>
    <row r="24" spans="1:7" x14ac:dyDescent="0.25">
      <c r="A24">
        <v>13</v>
      </c>
      <c r="B24" s="6" t="n">
        <v>41291.8230397567</v>
      </c>
      <c r="C24" s="9">
        <f si="0" t="shared"/>
        <v>2.2485768677039667E-2</v>
      </c>
      <c r="E24" s="371">
        <v>13</v>
      </c>
      <c r="F24" s="371" t="n">
        <v>29598.0</v>
      </c>
      <c r="G24" s="9">
        <f si="1" t="shared"/>
        <v>1.6470786827449006E-2</v>
      </c>
    </row>
    <row r="25" spans="1:7" x14ac:dyDescent="0.25">
      <c r="A25">
        <v>14</v>
      </c>
      <c r="B25" s="6" t="n">
        <v>29980.0848011551</v>
      </c>
      <c r="C25" s="9">
        <f si="0" t="shared"/>
        <v>1.6325877670931199E-2</v>
      </c>
      <c r="E25" s="371">
        <v>14</v>
      </c>
      <c r="F25" s="371" t="n">
        <v>26519.0</v>
      </c>
      <c r="G25" s="9">
        <f si="1" t="shared"/>
        <v>1.4708548019449768E-2</v>
      </c>
    </row>
    <row r="26" spans="1:7" x14ac:dyDescent="0.25">
      <c r="A26">
        <v>15</v>
      </c>
      <c r="B26" s="6" t="n">
        <v>17899.9419861152</v>
      </c>
      <c r="C26" s="9">
        <f si="0" t="shared"/>
        <v>9.7475462501301052E-3</v>
      </c>
      <c r="E26" s="371">
        <v>15</v>
      </c>
      <c r="F26" s="371" t="n">
        <v>24668.0</v>
      </c>
      <c r="G26" s="9">
        <f si="1" t="shared"/>
        <v>1.3717819740699955E-2</v>
      </c>
    </row>
    <row r="27" spans="1:7" x14ac:dyDescent="0.25">
      <c r="A27">
        <v>16</v>
      </c>
      <c r="B27" s="6" t="n">
        <v>72842.591019337</v>
      </c>
      <c r="C27" s="9">
        <f si="0" t="shared"/>
        <v>3.9666973529359328E-2</v>
      </c>
      <c r="E27" s="371">
        <v>16</v>
      </c>
      <c r="F27" s="371" t="n">
        <v>22634.0</v>
      </c>
      <c r="G27" s="9">
        <f si="1" t="shared"/>
        <v>1.2534497056704324E-2</v>
      </c>
    </row>
    <row r="28" spans="1:7" x14ac:dyDescent="0.25">
      <c r="A28">
        <v>17</v>
      </c>
      <c r="B28" s="6" t="n">
        <v>46574.5812964009</v>
      </c>
      <c r="C28" s="9">
        <f si="0" t="shared"/>
        <v>2.5362533890850938E-2</v>
      </c>
      <c r="E28" s="371">
        <v>17</v>
      </c>
      <c r="F28" s="371" t="n">
        <v>19899.0</v>
      </c>
      <c r="G28" s="9">
        <f si="1" t="shared"/>
        <v>1.1368167996700972E-2</v>
      </c>
    </row>
    <row r="29" spans="1:7" x14ac:dyDescent="0.25">
      <c r="A29">
        <v>18</v>
      </c>
      <c r="B29" s="6" t="n">
        <v>113264.1225477295</v>
      </c>
      <c r="C29" s="9">
        <f si="0" t="shared"/>
        <v>6.1678818505154685E-2</v>
      </c>
      <c r="E29" s="371">
        <v>18</v>
      </c>
      <c r="F29" s="371" t="n">
        <v>174216.0</v>
      </c>
      <c r="G29" s="9">
        <f si="1" t="shared"/>
        <v>9.8889296735864704E-2</v>
      </c>
    </row>
    <row r="30" spans="1:7" x14ac:dyDescent="0.25">
      <c r="A30">
        <v>19</v>
      </c>
      <c r="B30" s="6" t="n">
        <v>83456.4227470186</v>
      </c>
      <c r="C30" s="9">
        <f si="0" t="shared"/>
        <v>4.5446814365543424E-2</v>
      </c>
      <c r="E30" s="371">
        <v>19</v>
      </c>
      <c r="F30" s="371" t="n">
        <v>60323.0</v>
      </c>
      <c r="G30" s="9">
        <f si="1" t="shared"/>
        <v>3.3139832601474593E-2</v>
      </c>
    </row>
    <row r="31" spans="1:7" x14ac:dyDescent="0.25">
      <c r="A31">
        <v>20</v>
      </c>
      <c r="B31" s="6" t="n">
        <v>112739.6663888013</v>
      </c>
      <c r="C31" s="9">
        <f si="0" t="shared"/>
        <v>6.1393222011641824E-2</v>
      </c>
      <c r="E31" s="371">
        <v>20</v>
      </c>
      <c r="F31" s="371" t="n">
        <v>63199.0</v>
      </c>
      <c r="G31" s="9">
        <f si="1" t="shared"/>
        <v>3.6127311699317086E-2</v>
      </c>
    </row>
    <row r="32" spans="1:7" x14ac:dyDescent="0.25">
      <c r="A32">
        <v>21</v>
      </c>
      <c r="B32" s="6" t="n">
        <v>116179.21893637891</v>
      </c>
      <c r="C32" s="9">
        <f si="0" t="shared"/>
        <v>6.3266255877520952E-2</v>
      </c>
      <c r="E32" s="371">
        <v>21</v>
      </c>
      <c r="F32" s="371" t="n">
        <v>71529.0</v>
      </c>
      <c r="G32" s="9">
        <f si="1" t="shared"/>
        <v>3.8557966384345929E-2</v>
      </c>
    </row>
    <row r="33" spans="1:7" x14ac:dyDescent="0.25">
      <c r="A33">
        <v>22</v>
      </c>
      <c r="B33" s="6" t="n">
        <v>67523.3369071275</v>
      </c>
      <c r="C33" s="9">
        <f si="0" t="shared"/>
        <v>3.6770334226551751E-2</v>
      </c>
      <c r="E33" s="371">
        <v>22</v>
      </c>
      <c r="F33" s="371" t="n">
        <v>67642.0</v>
      </c>
      <c r="G33" s="9">
        <f si="1" t="shared"/>
        <v>3.8744896248260989E-2</v>
      </c>
    </row>
    <row r="34" spans="1:7" x14ac:dyDescent="0.25">
      <c r="A34">
        <v>23</v>
      </c>
      <c r="B34" s="6" t="n">
        <v>50583.3154186086</v>
      </c>
      <c r="C34" s="9">
        <f si="0" t="shared"/>
        <v>2.754551980728601E-2</v>
      </c>
      <c r="E34" s="371">
        <v>23</v>
      </c>
      <c r="F34" s="371" t="n">
        <v>59688.0</v>
      </c>
      <c r="G34" s="9">
        <f si="1" t="shared"/>
        <v>3.2656080771827745E-2</v>
      </c>
    </row>
    <row r="35" spans="1:7" x14ac:dyDescent="0.25">
      <c r="A35">
        <v>24</v>
      </c>
      <c r="B35" s="6" t="n">
        <v>80460.4084551868</v>
      </c>
      <c r="C35" s="9">
        <f si="0" t="shared"/>
        <v>4.381531254847975E-2</v>
      </c>
      <c r="E35" s="371">
        <v>24</v>
      </c>
      <c r="F35" s="371" t="n">
        <v>41779.0</v>
      </c>
      <c r="G35" s="9">
        <f si="1" t="shared"/>
        <v>2.2632674887049047E-2</v>
      </c>
    </row>
    <row r="36" spans="1:7" x14ac:dyDescent="0.25">
      <c r="A36">
        <v>25</v>
      </c>
      <c r="B36" s="6" t="n">
        <v>35770.8225262329</v>
      </c>
      <c r="C36" s="9">
        <f si="0" t="shared"/>
        <v>1.9479266874167345E-2</v>
      </c>
      <c r="E36" s="371">
        <v>25</v>
      </c>
      <c r="F36" s="371" t="n">
        <v>40830.0</v>
      </c>
      <c r="G36" s="9">
        <f si="1" t="shared"/>
        <v>2.3775212873463208E-2</v>
      </c>
    </row>
    <row r="37" spans="1:7" x14ac:dyDescent="0.25">
      <c r="A37">
        <v>26</v>
      </c>
      <c r="B37" s="6" t="n">
        <v>112389.3691747498</v>
      </c>
      <c r="C37" s="9">
        <f si="0" t="shared"/>
        <v>6.1202465064054655E-2</v>
      </c>
      <c r="E37" s="371">
        <v>26</v>
      </c>
      <c r="F37" s="371" t="n">
        <v>34169.0</v>
      </c>
      <c r="G37" s="9">
        <f si="1" t="shared"/>
        <v>1.9585151651100505E-2</v>
      </c>
    </row>
    <row r="38" spans="1:7" x14ac:dyDescent="0.25">
      <c r="A38">
        <v>27</v>
      </c>
      <c r="B38" s="6" t="n">
        <v>24031.5465713304</v>
      </c>
      <c r="C38" s="9">
        <f si="0" t="shared"/>
        <v>1.3086557031743617E-2</v>
      </c>
      <c r="E38" s="371">
        <v>27</v>
      </c>
      <c r="F38" s="371" t="n">
        <v>35775.0</v>
      </c>
      <c r="G38" s="9">
        <f si="1" t="shared"/>
        <v>1.8703749020034351E-2</v>
      </c>
    </row>
    <row r="39" spans="1:7" x14ac:dyDescent="0.25">
      <c r="A39">
        <v>28</v>
      </c>
      <c r="B39" s="6" t="n">
        <v>33903.287707423</v>
      </c>
      <c r="C39" s="9">
        <f si="0" t="shared"/>
        <v>1.8462286928969847E-2</v>
      </c>
      <c r="E39" s="371">
        <v>28</v>
      </c>
      <c r="F39" s="371" t="n">
        <v>32511.0</v>
      </c>
      <c r="G39" s="9">
        <f si="1" t="shared"/>
        <v>1.9570423843640532E-2</v>
      </c>
    </row>
    <row r="40" spans="1:7" x14ac:dyDescent="0.25">
      <c r="A40">
        <v>29</v>
      </c>
      <c r="B40" s="6" t="n">
        <v>33390.5943867468</v>
      </c>
      <c r="C40" s="9">
        <f si="0" t="shared"/>
        <v>1.8183095976323154E-2</v>
      </c>
      <c r="E40" s="371">
        <v>29</v>
      </c>
      <c r="F40" s="371" t="n">
        <v>26759.0</v>
      </c>
      <c r="G40" s="9">
        <f si="1" t="shared"/>
        <v>1.4449112026500991E-2</v>
      </c>
    </row>
    <row r="41" spans="1:7" x14ac:dyDescent="0.25">
      <c r="A41">
        <v>30</v>
      </c>
      <c r="B41" s="6" t="n">
        <v>12524.7176558547</v>
      </c>
      <c r="C41" s="9">
        <f si="0" t="shared"/>
        <v>6.8204279497087253E-3</v>
      </c>
      <c r="E41" s="371">
        <v>30</v>
      </c>
      <c r="F41" s="371" t="n">
        <v>23530.0</v>
      </c>
      <c r="G41" s="9">
        <f si="1" t="shared"/>
        <v>1.4127366078913859E-2</v>
      </c>
    </row>
    <row r="42" spans="1:7" x14ac:dyDescent="0.25">
      <c r="A42">
        <v>31</v>
      </c>
      <c r="B42" s="6" t="n">
        <v>25089.3246470452</v>
      </c>
      <c r="C42" s="9">
        <f si="0" t="shared"/>
        <v>1.366257793300696E-2</v>
      </c>
      <c r="E42" s="371">
        <v>31</v>
      </c>
      <c r="F42" s="371" t="n">
        <v>19174.0</v>
      </c>
      <c r="G42" s="9">
        <f si="1" t="shared"/>
        <v>1.4004445532036379E-2</v>
      </c>
    </row>
    <row r="43" spans="1:7" x14ac:dyDescent="0.25">
      <c r="A43">
        <v>32</v>
      </c>
      <c r="B43" s="6" t="n">
        <v>14873.1976608673</v>
      </c>
      <c r="C43" s="9">
        <f si="0" t="shared"/>
        <v>8.0993101653116101E-3</v>
      </c>
      <c r="E43" s="371">
        <v>32</v>
      </c>
      <c r="F43" s="371" t="n">
        <v>26979.0</v>
      </c>
      <c r="G43" s="9">
        <f si="1" t="shared"/>
        <v>1.1898935519393123E-2</v>
      </c>
    </row>
    <row r="44" spans="1:7" x14ac:dyDescent="0.25">
      <c r="A44">
        <v>33</v>
      </c>
      <c r="B44" s="6" t="n">
        <v>27548.4082023621</v>
      </c>
      <c r="C44" s="9">
        <f si="0" t="shared"/>
        <v>1.5001690132754824E-2</v>
      </c>
      <c r="E44" s="371">
        <v>33</v>
      </c>
      <c r="F44" s="371" t="n">
        <v>20112.0</v>
      </c>
      <c r="G44" s="9">
        <f si="1" t="shared"/>
        <v>1.2691971305699434E-2</v>
      </c>
    </row>
    <row r="45" spans="1:7" x14ac:dyDescent="0.25">
      <c r="A45">
        <v>34</v>
      </c>
      <c r="B45" s="6" t="n">
        <v>37714.2587981178</v>
      </c>
      <c r="C45" s="9">
        <f si="0" t="shared"/>
        <v>2.0537579518927478E-2</v>
      </c>
      <c r="E45" s="371">
        <v>34</v>
      </c>
      <c r="F45" s="371" t="n">
        <v>23224.0</v>
      </c>
      <c r="G45" s="9">
        <f si="1" t="shared"/>
        <v>1.2818857031508445E-2</v>
      </c>
    </row>
    <row r="46" spans="1:7" x14ac:dyDescent="0.25">
      <c r="A46">
        <v>35</v>
      </c>
      <c r="B46" s="6" t="n">
        <v>24955.9714428659</v>
      </c>
      <c r="C46" s="9">
        <f si="0" t="shared"/>
        <v>1.3589959456011389E-2</v>
      </c>
      <c r="E46" s="371">
        <v>35</v>
      </c>
      <c r="F46" s="371" t="n">
        <v>14272.0</v>
      </c>
      <c r="G46" s="9">
        <f si="1" t="shared"/>
        <v>9.3895437098667246E-3</v>
      </c>
    </row>
    <row r="47" spans="1:7" x14ac:dyDescent="0.25">
      <c r="A47">
        <v>36</v>
      </c>
      <c r="B47" s="6" t="n">
        <v>11672.6343034436</v>
      </c>
      <c r="C47" s="9">
        <f si="0" t="shared"/>
        <v>6.356419636551299E-3</v>
      </c>
      <c r="E47" s="371">
        <v>36</v>
      </c>
      <c r="F47" s="371" t="n">
        <v>14131.0</v>
      </c>
      <c r="G47" s="9">
        <f si="1" t="shared"/>
        <v>7.1293917188937376E-3</v>
      </c>
    </row>
    <row r="48" spans="1:7" x14ac:dyDescent="0.25">
      <c r="A48">
        <v>37</v>
      </c>
      <c r="B48" s="6" t="n">
        <v>24737.8694603382</v>
      </c>
      <c r="C48" s="9">
        <f si="0" t="shared"/>
        <v>1.3471190402816528E-2</v>
      </c>
      <c r="E48" s="371">
        <v>37</v>
      </c>
      <c r="F48" s="371" t="n">
        <v>11287.0</v>
      </c>
      <c r="G48" s="9">
        <f si="1" t="shared"/>
        <v>6.95209157524097E-3</v>
      </c>
    </row>
    <row r="49" spans="1:7" x14ac:dyDescent="0.25">
      <c r="A49">
        <v>38</v>
      </c>
      <c r="B49" s="6" t="n">
        <v>22185.304254814</v>
      </c>
      <c r="C49" s="9">
        <f si="0" t="shared"/>
        <v>1.2081172076688984E-2</v>
      </c>
      <c r="E49" s="371">
        <v>38</v>
      </c>
      <c r="F49" s="371" t="n">
        <v>12907.0</v>
      </c>
      <c r="G49" s="9">
        <f si="1" t="shared"/>
        <v>8.4192077799076451E-3</v>
      </c>
    </row>
    <row r="50" spans="1:7" x14ac:dyDescent="0.25">
      <c r="A50">
        <v>39</v>
      </c>
      <c r="B50" s="6" t="n">
        <v>10317.9096040444</v>
      </c>
      <c r="C50" s="9">
        <f si="0" t="shared"/>
        <v>5.6186942476181686E-3</v>
      </c>
      <c r="E50" s="371">
        <v>39</v>
      </c>
      <c r="F50" s="371" t="n">
        <v>11611.0</v>
      </c>
      <c r="G50" s="9">
        <f si="1" t="shared"/>
        <v>5.276520249602349E-3</v>
      </c>
    </row>
    <row r="51" spans="1:7" x14ac:dyDescent="0.25">
      <c r="A51">
        <v>40</v>
      </c>
      <c r="B51" s="6" t="n">
        <v>17700.9045033165</v>
      </c>
      <c r="C51" s="9">
        <f si="0" t="shared"/>
        <v>9.6391589117468448E-3</v>
      </c>
      <c r="E51" s="371">
        <v>40</v>
      </c>
      <c r="F51" s="371" t="n">
        <v>7862.0</v>
      </c>
      <c r="G51" s="9">
        <f si="1" t="shared"/>
        <v>4.8511131956623212E-3</v>
      </c>
    </row>
    <row r="52" spans="1:7" x14ac:dyDescent="0.25">
      <c r="A52">
        <v>41</v>
      </c>
      <c r="B52" s="6" t="n">
        <v>17719.2764140243</v>
      </c>
      <c r="C52" s="9">
        <f si="0" t="shared"/>
        <v>9.6491634720670127E-3</v>
      </c>
      <c r="E52" s="371">
        <v>41</v>
      </c>
      <c r="F52" s="371" t="n">
        <v>7799.0</v>
      </c>
      <c r="G52" s="9">
        <f si="1" t="shared"/>
        <v>5.1366060787325927E-3</v>
      </c>
    </row>
    <row r="53" spans="1:7" x14ac:dyDescent="0.25">
      <c r="A53">
        <v>42</v>
      </c>
      <c r="B53" s="6" t="n">
        <v>4971.9996765032</v>
      </c>
      <c r="C53" s="9">
        <f si="0" t="shared"/>
        <v>2.7075393227497897E-3</v>
      </c>
      <c r="E53" s="371">
        <v>42</v>
      </c>
      <c r="F53" s="371" t="n">
        <v>8595.0</v>
      </c>
      <c r="G53" s="9">
        <f si="1" t="shared"/>
        <v>4.4149435131938496E-3</v>
      </c>
    </row>
    <row r="54" spans="1:7" x14ac:dyDescent="0.25">
      <c r="A54">
        <v>43</v>
      </c>
      <c r="B54" s="6" t="n">
        <v>4521.353864761</v>
      </c>
      <c r="C54" s="9">
        <f si="0" t="shared"/>
        <v>2.4621368015688896E-3</v>
      </c>
      <c r="E54" s="371">
        <v>43</v>
      </c>
      <c r="F54" s="371" t="n">
        <v>6264.0</v>
      </c>
      <c r="G54" s="9">
        <f si="1" t="shared"/>
        <v>4.2030896674234491E-3</v>
      </c>
    </row>
    <row r="55" spans="1:7" x14ac:dyDescent="0.25">
      <c r="A55">
        <v>44</v>
      </c>
      <c r="B55" s="6" t="n">
        <v>5576.0734471752</v>
      </c>
      <c r="C55" s="9">
        <f si="0" t="shared"/>
        <v>3.0364921776072666E-3</v>
      </c>
      <c r="E55" s="371">
        <v>44</v>
      </c>
      <c r="F55" s="371" t="n">
        <v>5750.0</v>
      </c>
      <c r="G55" s="9">
        <f si="1" t="shared"/>
        <v>3.3975918901894674E-3</v>
      </c>
    </row>
    <row r="56" spans="1:7" x14ac:dyDescent="0.25">
      <c r="A56">
        <v>45</v>
      </c>
      <c r="B56" s="6" t="n">
        <v>97690.7346128137</v>
      </c>
      <c r="C56" s="9">
        <f si="0" t="shared"/>
        <v>5.3198214529758488E-2</v>
      </c>
      <c r="E56" s="371">
        <v>45</v>
      </c>
      <c r="F56" s="371" t="n">
        <v>5352.0</v>
      </c>
      <c r="G56" s="9">
        <f si="1" t="shared"/>
        <v>3.7091416633812328E-3</v>
      </c>
    </row>
    <row r="57" spans="1:7" x14ac:dyDescent="0.25">
      <c r="A57">
        <v>46</v>
      </c>
      <c r="B57" s="6" t="n">
        <v>6548.0381223014</v>
      </c>
      <c r="C57" s="9">
        <f si="0" t="shared"/>
        <v>3.5657827547294946E-3</v>
      </c>
      <c r="E57" s="371">
        <v>46</v>
      </c>
      <c r="F57" s="371" t="n">
        <v>6082.0</v>
      </c>
      <c r="G57" s="9">
        <f si="1" t="shared"/>
        <v>3.0503555066139186E-3</v>
      </c>
    </row>
    <row r="58" spans="1:7" x14ac:dyDescent="0.25">
      <c r="A58">
        <v>47</v>
      </c>
      <c r="B58" s="6" t="n">
        <v>5066.7335276113</v>
      </c>
      <c r="C58" s="9">
        <f si="0" t="shared"/>
        <v>2.7591273444230124E-3</v>
      </c>
      <c r="E58" s="371">
        <v>47</v>
      </c>
      <c r="F58" s="371" t="n">
        <v>5542.0</v>
      </c>
      <c r="G58" s="9">
        <f si="1" t="shared"/>
        <v>3.3709685459348986E-3</v>
      </c>
    </row>
    <row r="59" spans="1:7" x14ac:dyDescent="0.25">
      <c r="A59">
        <v>48</v>
      </c>
      <c r="B59" s="6" t="n">
        <v>1103.2167900027</v>
      </c>
      <c r="C59" s="9">
        <f si="0" t="shared"/>
        <v>6.0076489034505771E-4</v>
      </c>
      <c r="E59" s="371">
        <v>48</v>
      </c>
      <c r="F59" s="371" t="n">
        <v>4938.0</v>
      </c>
      <c r="G59" s="9">
        <f si="1" t="shared"/>
        <v>2.9988081805040084E-3</v>
      </c>
    </row>
    <row r="60" spans="1:7" x14ac:dyDescent="0.25">
      <c r="A60">
        <v>49</v>
      </c>
      <c r="B60" s="6" t="n">
        <v>3178.6539217439</v>
      </c>
      <c r="C60" s="9">
        <f si="0" t="shared"/>
        <v>1.7309595829634609E-3</v>
      </c>
      <c r="E60" s="371">
        <v>49</v>
      </c>
      <c r="F60" s="371" t="n">
        <v>4571.0</v>
      </c>
      <c r="G60" s="9">
        <f si="1" t="shared"/>
        <v>2.6096541910808398E-3</v>
      </c>
    </row>
    <row r="61" spans="1:7" x14ac:dyDescent="0.25">
      <c r="A61">
        <v>50</v>
      </c>
      <c r="B61" s="6" t="n">
        <v>2798.5643410527</v>
      </c>
      <c r="C61" s="9">
        <f si="0" t="shared"/>
        <v>1.523978981023303E-3</v>
      </c>
      <c r="E61" s="371">
        <v>50</v>
      </c>
      <c r="F61" s="371" t="n">
        <v>3130.0</v>
      </c>
      <c r="G61" s="9">
        <f si="1" t="shared"/>
        <v>2.1921774950038747E-3</v>
      </c>
    </row>
    <row r="62" spans="1:7" x14ac:dyDescent="0.25">
      <c r="A62">
        <v>51</v>
      </c>
      <c r="B62" s="6" t="n">
        <v>1402.4920803706</v>
      </c>
      <c r="C62" s="9">
        <f si="0" t="shared"/>
        <v>7.6373747073917649E-4</v>
      </c>
      <c r="E62" s="371">
        <v>51</v>
      </c>
      <c r="F62" s="371" t="n">
        <v>3438.0</v>
      </c>
      <c r="G62" s="9">
        <f si="1" t="shared"/>
        <v>1.8959219834051597E-3</v>
      </c>
    </row>
    <row r="63" spans="1:7" x14ac:dyDescent="0.25">
      <c r="A63">
        <v>52</v>
      </c>
      <c r="B63" s="6" t="n">
        <v>1700.5931489561</v>
      </c>
      <c r="C63" s="9">
        <f si="0" t="shared"/>
        <v>9.260706199473881E-4</v>
      </c>
      <c r="E63" s="371">
        <v>52</v>
      </c>
      <c r="F63" s="371" t="n">
        <v>2591.0</v>
      </c>
      <c r="G63" s="9">
        <f si="1" t="shared"/>
        <v>1.7962260559837948E-3</v>
      </c>
    </row>
    <row r="64" spans="1:7" x14ac:dyDescent="0.25">
      <c r="A64">
        <v>53</v>
      </c>
      <c r="B64" s="6" t="n">
        <v>3572.4721361389998</v>
      </c>
      <c r="C64" s="9">
        <f si="0" t="shared"/>
        <v>1.9454162142719632E-3</v>
      </c>
      <c r="E64" s="371">
        <v>53</v>
      </c>
      <c r="F64" s="371" t="n">
        <v>2651.0</v>
      </c>
      <c r="G64" s="9">
        <f si="1" t="shared"/>
        <v>1.5622804990234331E-3</v>
      </c>
    </row>
    <row r="65" spans="1:7" x14ac:dyDescent="0.25">
      <c r="A65">
        <v>54</v>
      </c>
      <c r="B65" s="6" t="n">
        <v>6716.766130417</v>
      </c>
      <c r="C65" s="9">
        <f si="0" t="shared"/>
        <v>3.657664843737096E-3</v>
      </c>
      <c r="E65" s="371">
        <v>54</v>
      </c>
      <c r="F65" s="371" t="n">
        <v>2209.0</v>
      </c>
      <c r="G65" s="9">
        <f si="1" t="shared"/>
        <v>1.5107331729135229E-3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2118.0</v>
      </c>
      <c r="G66" s="9">
        <f si="1" t="shared"/>
        <v>1.2280725605086306E-3</v>
      </c>
    </row>
    <row r="67" spans="1:7" x14ac:dyDescent="0.25">
      <c r="A67">
        <v>56</v>
      </c>
      <c r="B67" s="6" t="n">
        <v>1908.1655340476</v>
      </c>
      <c r="C67" s="9">
        <f si="0" t="shared"/>
        <v>1.0391057027146218E-3</v>
      </c>
      <c r="E67" s="371">
        <v>56</v>
      </c>
      <c r="F67" s="371" t="n">
        <v>1921.0</v>
      </c>
      <c r="G67" s="9">
        <f si="1" t="shared"/>
        <v>1.2881166986146797E-3</v>
      </c>
    </row>
    <row r="68" spans="1:7" x14ac:dyDescent="0.25">
      <c r="A68">
        <v>57</v>
      </c>
      <c r="B68" s="6" t="n">
        <v>1557.3016408869998</v>
      </c>
      <c r="C68" s="9">
        <f si="0" t="shared"/>
        <v>8.4804016581307388E-4</v>
      </c>
      <c r="E68" s="371">
        <v>57</v>
      </c>
      <c r="F68" s="371" t="n">
        <v>2016.0</v>
      </c>
      <c r="G68" s="9">
        <f si="1" t="shared"/>
        <v>1.1855885005279353E-3</v>
      </c>
    </row>
    <row r="69" spans="1:7" x14ac:dyDescent="0.25">
      <c r="A69">
        <v>58</v>
      </c>
      <c r="B69" s="6" t="n">
        <v>5955.264272062</v>
      </c>
      <c r="C69" s="9">
        <f si="0" t="shared"/>
        <v>3.2429833554041641E-3</v>
      </c>
      <c r="E69" s="371">
        <v>58</v>
      </c>
      <c r="F69" s="371" t="n">
        <v>1540.0</v>
      </c>
      <c r="G69" s="9">
        <f si="1" t="shared"/>
        <v>9.7486756302368684E-4</v>
      </c>
    </row>
    <row r="70" spans="1:7" x14ac:dyDescent="0.25">
      <c r="A70">
        <v>59</v>
      </c>
      <c r="B70" s="6" t="n">
        <v>5238.3987727063</v>
      </c>
      <c r="C70" s="9">
        <f si="0" t="shared"/>
        <v>2.8526089276259864E-3</v>
      </c>
      <c r="E70" s="371">
        <v>59</v>
      </c>
      <c r="F70" s="371" t="n">
        <v>1775.0</v>
      </c>
      <c r="G70" s="9">
        <f si="1" t="shared"/>
        <v>1.1465031653456956E-3</v>
      </c>
    </row>
    <row r="71" spans="1:7" x14ac:dyDescent="0.25">
      <c r="A71">
        <v>60</v>
      </c>
      <c r="B71" s="6" t="n">
        <v>4981.3137635427</v>
      </c>
      <c r="C71" s="9">
        <f si="0" t="shared"/>
        <v>2.7126113779701744E-3</v>
      </c>
      <c r="E71" s="371">
        <v>60</v>
      </c>
      <c r="F71" s="371" t="n">
        <v>1488.0</v>
      </c>
      <c r="G71" s="9">
        <f si="1" t="shared"/>
        <v>8.6667482360618293E-4</v>
      </c>
    </row>
    <row r="72" spans="1:7" x14ac:dyDescent="0.25">
      <c r="A72">
        <v>61</v>
      </c>
      <c r="B72" s="6" t="n">
        <v>6562.2558684261</v>
      </c>
      <c r="C72" s="9">
        <f si="0" t="shared"/>
        <v>3.5735251338964566E-3</v>
      </c>
      <c r="E72" s="371">
        <v>61</v>
      </c>
      <c r="F72" s="371" t="n">
        <v>1219.0</v>
      </c>
      <c r="G72" s="9">
        <f si="1" t="shared"/>
        <v>7.2902646926873034E-4</v>
      </c>
    </row>
    <row r="73" spans="1:7" x14ac:dyDescent="0.25">
      <c r="A73">
        <v>62</v>
      </c>
      <c r="B73" s="6" t="n">
        <v>249.386870068</v>
      </c>
      <c r="C73" s="9">
        <f si="0" t="shared"/>
        <v>1.3580547088077992E-4</v>
      </c>
      <c r="E73" s="371">
        <v>62</v>
      </c>
      <c r="F73" s="371" t="n">
        <v>1190.0</v>
      </c>
      <c r="G73" s="9">
        <f si="1" t="shared"/>
        <v>7.7094407511634963E-4</v>
      </c>
    </row>
    <row r="74" spans="1:7" x14ac:dyDescent="0.25">
      <c r="A74">
        <v>63</v>
      </c>
      <c r="B74" s="6" t="n">
        <v>803.2207739549999</v>
      </c>
      <c r="C74" s="9">
        <f si="0" t="shared"/>
        <v>4.3739983343325198E-4</v>
      </c>
      <c r="E74" s="371">
        <v>63</v>
      </c>
      <c r="F74" s="371" t="n">
        <v>1229.0</v>
      </c>
      <c r="G74" s="9">
        <f si="1" t="shared"/>
        <v>7.080676663449207E-4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999.0</v>
      </c>
      <c r="G75" s="9">
        <f si="1" t="shared"/>
        <v>6.808778679572758E-4</v>
      </c>
    </row>
    <row r="76" spans="1:7" x14ac:dyDescent="0.25">
      <c r="A76">
        <v>65</v>
      </c>
      <c r="B76" s="6" t="n">
        <v>2021.7684500008</v>
      </c>
      <c r="C76" s="9">
        <f si="0" t="shared"/>
        <v>1.100969013683027E-3</v>
      </c>
      <c r="E76" s="371">
        <v>65</v>
      </c>
      <c r="F76" s="371" t="n">
        <v>967.0</v>
      </c>
      <c r="G76" s="9">
        <f si="1" t="shared"/>
        <v>5.9024520666512586E-4</v>
      </c>
    </row>
    <row r="77" spans="1:7" x14ac:dyDescent="0.25">
      <c r="A77">
        <v>66</v>
      </c>
      <c r="B77" s="6" t="n">
        <v>915.373954487</v>
      </c>
      <c r="C77" s="9">
        <f ref="C77:C102" si="2" t="shared">B77/B$102</f>
        <v>4.9847368021906059E-4</v>
      </c>
      <c r="E77" s="371">
        <v>66</v>
      </c>
      <c r="F77" s="371" t="n">
        <v>1043.0</v>
      </c>
      <c r="G77" s="9">
        <f ref="G77:G102" si="3" t="shared">F77/F$102</f>
        <v>5.9421038559665743E-4</v>
      </c>
    </row>
    <row r="78" spans="1:7" x14ac:dyDescent="0.25">
      <c r="A78">
        <v>67</v>
      </c>
      <c r="B78" s="6" t="n">
        <v>6064.041144876</v>
      </c>
      <c r="C78" s="9">
        <f si="2" t="shared"/>
        <v>3.3022186087654014E-3</v>
      </c>
      <c r="E78" s="371">
        <v>67</v>
      </c>
      <c r="F78" s="371" t="n">
        <v>1030.0</v>
      </c>
      <c r="G78" s="9">
        <f si="3" t="shared"/>
        <v>5.4322951361982321E-4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775.0</v>
      </c>
      <c r="G79" s="9">
        <f si="3" t="shared"/>
        <v>5.8684648186667029E-4</v>
      </c>
    </row>
    <row r="80" spans="1:7" x14ac:dyDescent="0.25">
      <c r="A80">
        <v>69</v>
      </c>
      <c r="B80" s="6" t="n">
        <v>2099.717678017</v>
      </c>
      <c r="C80" s="9">
        <f si="2" t="shared"/>
        <v>1.1434168442871276E-3</v>
      </c>
      <c r="E80" s="371">
        <v>69</v>
      </c>
      <c r="F80" s="371" t="n">
        <v>895.0</v>
      </c>
      <c r="G80" s="9">
        <f si="3" t="shared"/>
        <v>5.1547326109910232E-4</v>
      </c>
    </row>
    <row r="81" spans="1:7" x14ac:dyDescent="0.25">
      <c r="A81">
        <v>70</v>
      </c>
      <c r="B81" s="6" t="n">
        <v>4.59375</v>
      </c>
      <c r="C81" s="9">
        <f si="2" t="shared"/>
        <v>2.501560654289765E-6</v>
      </c>
      <c r="E81" s="371">
        <v>70</v>
      </c>
      <c r="F81" s="371" t="n">
        <v>723.0</v>
      </c>
      <c r="G81" s="9">
        <f si="3" t="shared"/>
        <v>4.7072338458610329E-4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826.0</v>
      </c>
      <c r="G82" s="9">
        <f si="3" t="shared"/>
        <v>4.6675820565457172E-4</v>
      </c>
    </row>
    <row r="83" spans="1:7" x14ac:dyDescent="0.25">
      <c r="A83">
        <v>72</v>
      </c>
      <c r="B83" s="6" t="n">
        <v>16235.1886455532</v>
      </c>
      <c r="C83" s="9">
        <f si="2" t="shared"/>
        <v>8.840992463823201E-3</v>
      </c>
      <c r="E83" s="371">
        <v>72</v>
      </c>
      <c r="F83" s="371" t="n">
        <v>778.0</v>
      </c>
      <c r="G83" s="9">
        <f si="3" t="shared"/>
        <v>4.8828346271145731E-4</v>
      </c>
    </row>
    <row r="84" spans="1:7" x14ac:dyDescent="0.25">
      <c r="A84">
        <v>73</v>
      </c>
      <c r="B84" s="6" t="n">
        <v>1610.438278859</v>
      </c>
      <c r="C84" s="9">
        <f si="2" t="shared"/>
        <v>8.7697611636588927E-4</v>
      </c>
      <c r="E84" s="371">
        <v>73</v>
      </c>
      <c r="F84" s="371" t="n">
        <v>553.0</v>
      </c>
      <c r="G84" s="9">
        <f si="3" t="shared"/>
        <v>3.7839136089472562E-4</v>
      </c>
    </row>
    <row r="85" spans="1:7" x14ac:dyDescent="0.25">
      <c r="A85">
        <v>74</v>
      </c>
      <c r="B85" s="6" t="n">
        <v>3050.173453257</v>
      </c>
      <c r="C85" s="9">
        <f si="2" t="shared"/>
        <v>1.6609945903514238E-3</v>
      </c>
      <c r="E85" s="371">
        <v>74</v>
      </c>
      <c r="F85" s="371" t="n">
        <v>560.0</v>
      </c>
      <c r="G85" s="9">
        <f si="3" t="shared"/>
        <v>3.2627758065173945E-4</v>
      </c>
    </row>
    <row r="86" spans="1:7" x14ac:dyDescent="0.25">
      <c r="A86">
        <v>75</v>
      </c>
      <c r="B86" s="6" t="n">
        <v>876.744893286</v>
      </c>
      <c r="C86" s="9">
        <f si="2" t="shared"/>
        <v>4.7743793826258209E-4</v>
      </c>
      <c r="E86" s="371">
        <v>75</v>
      </c>
      <c r="F86" s="371" t="n">
        <v>557.0</v>
      </c>
      <c r="G86" s="9">
        <f si="3" t="shared"/>
        <v>3.3024275958327102E-4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493.0</v>
      </c>
      <c r="G87" s="9">
        <f si="3" t="shared"/>
        <v>3.2854339718404324E-4</v>
      </c>
    </row>
    <row r="88" spans="1:7" x14ac:dyDescent="0.25">
      <c r="A88">
        <v>77</v>
      </c>
      <c r="B88" s="6" t="n">
        <v>103.884081167</v>
      </c>
      <c r="C88" s="9">
        <f si="2" t="shared"/>
        <v>5.6570847358783477E-5</v>
      </c>
      <c r="E88" s="371">
        <v>77</v>
      </c>
      <c r="F88" s="371" t="n">
        <v>478.0</v>
      </c>
      <c r="G88" s="9">
        <f si="3" t="shared"/>
        <v>2.9172387853410736E-4</v>
      </c>
    </row>
    <row r="89" spans="1:7" x14ac:dyDescent="0.25">
      <c r="A89">
        <v>78</v>
      </c>
      <c r="B89" s="6" t="n">
        <v>552.1879851022</v>
      </c>
      <c r="C89" s="9">
        <f si="2" t="shared"/>
        <v>3.0069806526328302E-4</v>
      </c>
      <c r="E89" s="371">
        <v>78</v>
      </c>
      <c r="F89" s="371" t="n">
        <v>488.0</v>
      </c>
      <c r="G89" s="9">
        <f si="3" t="shared"/>
        <v>2.9682196573179077E-4</v>
      </c>
    </row>
    <row r="90" spans="1:7" x14ac:dyDescent="0.25">
      <c r="A90">
        <v>79</v>
      </c>
      <c r="B90" s="6" t="n">
        <v>3617.977487135</v>
      </c>
      <c r="C90" s="9">
        <f si="2" t="shared"/>
        <v>1.9701964908676074E-3</v>
      </c>
      <c r="E90" s="371">
        <v>79</v>
      </c>
      <c r="F90" s="371" t="n">
        <v>467.0</v>
      </c>
      <c r="G90" s="9">
        <f si="3" t="shared"/>
        <v>3.1891367692175231E-4</v>
      </c>
    </row>
    <row r="91" spans="1:7" x14ac:dyDescent="0.25">
      <c r="A91">
        <v>80</v>
      </c>
      <c r="B91" s="6" t="n">
        <v>2416.7367966575</v>
      </c>
      <c r="C91" s="9">
        <f si="2" t="shared"/>
        <v>1.3160519580501086E-3</v>
      </c>
      <c r="E91" s="371">
        <v>80</v>
      </c>
      <c r="F91" s="371" t="n">
        <v>438.0</v>
      </c>
      <c r="G91" s="9">
        <f si="3" t="shared"/>
        <v>2.6226826361415862E-4</v>
      </c>
    </row>
    <row r="92" spans="1:7" x14ac:dyDescent="0.25">
      <c r="A92">
        <v>81</v>
      </c>
      <c r="B92" s="6" t="n">
        <v>761.4660318990001</v>
      </c>
      <c r="C92" s="9">
        <f si="2" t="shared"/>
        <v>4.1466197877043675E-4</v>
      </c>
      <c r="E92" s="371">
        <v>81</v>
      </c>
      <c r="F92" s="371" t="n">
        <v>328.0</v>
      </c>
      <c r="G92" s="9">
        <f si="3" t="shared"/>
        <v>1.9995830897580561E-4</v>
      </c>
    </row>
    <row r="93" spans="1:7" x14ac:dyDescent="0.25">
      <c r="A93">
        <v>82</v>
      </c>
      <c r="B93" s="6" t="n">
        <v>3526.6496723439</v>
      </c>
      <c r="C93" s="9">
        <f si="2" t="shared"/>
        <v>1.9204632515481671E-3</v>
      </c>
      <c r="E93" s="371">
        <v>82</v>
      </c>
      <c r="F93" s="371" t="n">
        <v>372.0</v>
      </c>
      <c r="G93" s="9">
        <f si="3" t="shared"/>
        <v>2.3054683216190618E-4</v>
      </c>
    </row>
    <row r="94" spans="1:7" x14ac:dyDescent="0.25">
      <c r="A94">
        <v>83</v>
      </c>
      <c r="B94" s="6" t="n">
        <v>820.3342852221</v>
      </c>
      <c r="C94" s="9">
        <f si="2" t="shared"/>
        <v>4.4671912299897108E-4</v>
      </c>
      <c r="E94" s="371">
        <v>83</v>
      </c>
      <c r="F94" s="371" t="n">
        <v>360.0</v>
      </c>
      <c r="G94" s="9">
        <f si="3" t="shared"/>
        <v>2.0562285030656496E-4</v>
      </c>
    </row>
    <row r="95" spans="1:7" x14ac:dyDescent="0.25">
      <c r="A95">
        <v>84</v>
      </c>
      <c r="B95" s="6" t="n">
        <v>2873.8604379418</v>
      </c>
      <c r="C95" s="9">
        <f si="2" t="shared"/>
        <v>1.5649820293823476E-3</v>
      </c>
      <c r="E95" s="371">
        <v>84</v>
      </c>
      <c r="F95" s="371" t="n">
        <v>318.0</v>
      </c>
      <c r="G95" s="9">
        <f si="3" t="shared"/>
        <v>2.1015448337117248E-4</v>
      </c>
    </row>
    <row r="96" spans="1:7" x14ac:dyDescent="0.25">
      <c r="A96">
        <v>85</v>
      </c>
      <c r="B96" s="6" t="n">
        <v>1261.1307661893</v>
      </c>
      <c r="C96" s="9">
        <f si="2" t="shared"/>
        <v>6.8675811801109296E-4</v>
      </c>
      <c r="E96" s="371">
        <v>85</v>
      </c>
      <c r="F96" s="371" t="n">
        <v>389.0</v>
      </c>
      <c r="G96" s="9">
        <f si="3" t="shared"/>
        <v>2.2601519909729869E-4</v>
      </c>
    </row>
    <row r="97" spans="1:7" x14ac:dyDescent="0.25">
      <c r="A97">
        <v>86</v>
      </c>
      <c r="B97" s="6" t="n">
        <v>2109.970783763</v>
      </c>
      <c r="C97" s="9">
        <f si="2" t="shared"/>
        <v>1.1490002491129161E-3</v>
      </c>
      <c r="E97" s="371">
        <v>86</v>
      </c>
      <c r="F97" s="371" t="n">
        <v>311.0</v>
      </c>
      <c r="G97" s="9">
        <f si="3" t="shared"/>
        <v>1.7276851058816066E-4</v>
      </c>
    </row>
    <row r="98" spans="1:7" x14ac:dyDescent="0.25">
      <c r="A98">
        <v>87</v>
      </c>
      <c r="B98" s="6" t="n">
        <v>388.0936255263</v>
      </c>
      <c r="C98" s="9">
        <f si="2" t="shared"/>
        <v>2.1133926395586571E-4</v>
      </c>
      <c r="E98" s="371">
        <v>87</v>
      </c>
      <c r="F98" s="371" t="n">
        <v>346.0</v>
      </c>
      <c r="G98" s="9">
        <f si="3" t="shared"/>
        <v>2.0392348790733718E-4</v>
      </c>
    </row>
    <row r="99" spans="1:7" x14ac:dyDescent="0.25">
      <c r="A99">
        <v>88</v>
      </c>
      <c r="B99" s="6" t="n">
        <v>1669.1180393491</v>
      </c>
      <c r="C99" s="9">
        <f si="2" t="shared"/>
        <v>9.0893061542334354E-4</v>
      </c>
      <c r="E99" s="371">
        <v>88</v>
      </c>
      <c r="F99" s="371" t="n">
        <v>334.0</v>
      </c>
      <c r="G99" s="9">
        <f si="3" t="shared"/>
        <v>1.9259440524581844E-4</v>
      </c>
    </row>
    <row r="100" spans="1:7" x14ac:dyDescent="0.25">
      <c r="A100">
        <v>89</v>
      </c>
      <c r="B100" s="6" t="n">
        <v>2315.2432777259</v>
      </c>
      <c r="C100" s="9">
        <f si="2" t="shared"/>
        <v>1.2607829090977923E-3</v>
      </c>
      <c r="E100" s="371">
        <v>89</v>
      </c>
      <c r="F100" s="371" t="n">
        <v>290.0</v>
      </c>
      <c r="G100" s="9">
        <f si="3" t="shared"/>
        <v>1.6767042339047722E-4</v>
      </c>
    </row>
    <row ht="15.75" r="101" spans="1:7" thickBot="1" x14ac:dyDescent="0.3">
      <c r="A101" s="1">
        <v>90</v>
      </c>
      <c r="B101" s="7" t="n">
        <v>53738.9208409459</v>
      </c>
      <c r="C101" s="9">
        <f si="2" t="shared"/>
        <v>2.9263928158846809E-2</v>
      </c>
      <c r="E101" s="372">
        <v>90</v>
      </c>
      <c r="F101" s="372" t="n">
        <v>20231.0</v>
      </c>
      <c r="G101" s="9">
        <f si="3" t="shared"/>
        <v>1.1604379370193636E-2</v>
      </c>
    </row>
    <row r="102" spans="1:7" x14ac:dyDescent="0.25">
      <c r="B102" s="6">
        <f>SUM(B11:B101)</f>
        <v>1836353.6347289737</v>
      </c>
      <c r="C102" s="9">
        <f si="2" t="shared"/>
        <v>1</v>
      </c>
      <c r="F102" s="6">
        <f>SUM(F11:F101)</f>
        <v>1765368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113359.6166626039</v>
      </c>
      <c r="C11" s="9">
        <f>B11/B$102</f>
        <v>5.5843831184551433E-2</v>
      </c>
      <c r="E11" s="371">
        <v>0</v>
      </c>
      <c r="F11" s="371" t="n">
        <v>407729.0</v>
      </c>
      <c r="G11" s="9">
        <f>F11/F$102</f>
        <v>0.20228281353561209</v>
      </c>
      <c r="K11" s="6" t="n">
        <v>5.915546454757694</v>
      </c>
      <c r="L11" s="6" t="n">
        <v>5.2427078783371375</v>
      </c>
    </row>
    <row r="12" spans="1:12" x14ac:dyDescent="0.25">
      <c r="A12">
        <v>1</v>
      </c>
      <c r="B12" s="6" t="n">
        <v>126795.2627680881</v>
      </c>
      <c r="C12" s="9">
        <f>B12/B$102</f>
        <v>6.2462572276479902E-2</v>
      </c>
      <c r="E12" s="371">
        <v>1</v>
      </c>
      <c r="F12" s="371" t="n">
        <v>265526.0</v>
      </c>
      <c r="G12" s="9">
        <f>F12/F$102</f>
        <v>0.13317124970347452</v>
      </c>
      <c r="K12" s="6"/>
      <c r="L12" s="371"/>
    </row>
    <row r="13" spans="1:12" x14ac:dyDescent="0.25">
      <c r="A13">
        <v>2</v>
      </c>
      <c r="B13" s="6" t="n">
        <v>141891.8256687545</v>
      </c>
      <c r="C13" s="9">
        <f ref="C13:C76" si="0" t="shared">B13/B$102</f>
        <v>6.9899523237605454E-2</v>
      </c>
      <c r="E13" s="371">
        <v>2</v>
      </c>
      <c r="F13" s="371" t="n">
        <v>160796.0</v>
      </c>
      <c r="G13" s="9">
        <f ref="G13:G76" si="1" t="shared">F13/F$102</f>
        <v>8.0544466605376244E-2</v>
      </c>
    </row>
    <row r="14" spans="1:12" x14ac:dyDescent="0.25">
      <c r="A14">
        <v>3</v>
      </c>
      <c r="B14" s="6" t="n">
        <v>225607.7176510919</v>
      </c>
      <c r="C14" s="9">
        <f si="0" t="shared"/>
        <v>0.11114010146962439</v>
      </c>
      <c r="E14" s="371">
        <v>3</v>
      </c>
      <c r="F14" s="371" t="n">
        <v>97311.0</v>
      </c>
      <c r="G14" s="9">
        <f si="1" t="shared"/>
        <v>4.9003318031091141E-2</v>
      </c>
    </row>
    <row r="15" spans="1:12" x14ac:dyDescent="0.25">
      <c r="A15">
        <v>4</v>
      </c>
      <c r="B15" s="6" t="n">
        <v>413747.1636875012</v>
      </c>
      <c r="C15" s="9">
        <f si="0" t="shared"/>
        <v>0.20382237910013989</v>
      </c>
      <c r="E15" s="371">
        <v>4</v>
      </c>
      <c r="F15" s="371" t="n">
        <v>269601.0</v>
      </c>
      <c r="G15" s="9">
        <f si="1" t="shared"/>
        <v>0.13550272905257435</v>
      </c>
    </row>
    <row r="16" spans="1:12" x14ac:dyDescent="0.25">
      <c r="A16">
        <v>5</v>
      </c>
      <c r="B16" s="6" t="n">
        <v>230209.7423684467</v>
      </c>
      <c r="C16" s="9">
        <f si="0" t="shared"/>
        <v>0.11340717592690662</v>
      </c>
      <c r="E16" s="371">
        <v>5</v>
      </c>
      <c r="F16" s="371" t="n">
        <v>143873.0</v>
      </c>
      <c r="G16" s="9">
        <f si="1" t="shared"/>
        <v>7.2299785483537618E-2</v>
      </c>
    </row>
    <row r="17" spans="1:7" x14ac:dyDescent="0.25">
      <c r="A17">
        <v>6</v>
      </c>
      <c r="B17" s="6" t="n">
        <v>235618.4631274111</v>
      </c>
      <c r="C17" s="9">
        <f si="0" t="shared"/>
        <v>0.11607164937768556</v>
      </c>
      <c r="E17" s="371">
        <v>6</v>
      </c>
      <c r="F17" s="371" t="n">
        <v>140138.0</v>
      </c>
      <c r="G17" s="9">
        <f si="1" t="shared"/>
        <v>7.3687982903842264E-2</v>
      </c>
    </row>
    <row r="18" spans="1:7" x14ac:dyDescent="0.25">
      <c r="A18">
        <v>7</v>
      </c>
      <c r="B18" s="6" t="n">
        <v>107183.5989000451</v>
      </c>
      <c r="C18" s="9">
        <f si="0" t="shared"/>
        <v>5.2801367708764986E-2</v>
      </c>
      <c r="E18" s="371">
        <v>7</v>
      </c>
      <c r="F18" s="371" t="n">
        <v>83234.0</v>
      </c>
      <c r="G18" s="9">
        <f si="1" t="shared"/>
        <v>4.2262390183759262E-2</v>
      </c>
    </row>
    <row r="19" spans="1:7" x14ac:dyDescent="0.25">
      <c r="A19">
        <v>8</v>
      </c>
      <c r="B19" s="6" t="n">
        <v>82252.6269932652</v>
      </c>
      <c r="C19" s="9">
        <f si="0" t="shared"/>
        <v>4.051973667103146E-2</v>
      </c>
      <c r="E19" s="371">
        <v>8</v>
      </c>
      <c r="F19" s="371" t="n">
        <v>88406.0</v>
      </c>
      <c r="G19" s="9">
        <f si="1" t="shared"/>
        <v>4.0369717646651579E-2</v>
      </c>
    </row>
    <row r="20" spans="1:7" x14ac:dyDescent="0.25">
      <c r="A20">
        <v>9</v>
      </c>
      <c r="B20" s="6" t="n">
        <v>46588.5628611997</v>
      </c>
      <c r="C20" s="9">
        <f si="0" t="shared"/>
        <v>2.2950711339252135E-2</v>
      </c>
      <c r="E20" s="371">
        <v>9</v>
      </c>
      <c r="F20" s="371" t="n">
        <v>47689.0</v>
      </c>
      <c r="G20" s="9">
        <f si="1" t="shared"/>
        <v>2.3375371229544833E-2</v>
      </c>
    </row>
    <row r="21" spans="1:7" x14ac:dyDescent="0.25">
      <c r="A21">
        <v>10</v>
      </c>
      <c r="B21" s="6" t="n">
        <v>115326.1530039552</v>
      </c>
      <c r="C21" s="9">
        <f si="0" t="shared"/>
        <v>5.6812597017551425E-2</v>
      </c>
      <c r="E21" s="371">
        <v>10</v>
      </c>
      <c r="F21" s="371" t="n">
        <v>38620.0</v>
      </c>
      <c r="G21" s="9">
        <f si="1" t="shared"/>
        <v>2.08341605503513E-2</v>
      </c>
    </row>
    <row r="22" spans="1:7" x14ac:dyDescent="0.25">
      <c r="A22">
        <v>11</v>
      </c>
      <c r="B22" s="6" t="n">
        <v>15341.0399911743</v>
      </c>
      <c r="C22" s="9">
        <f si="0" t="shared"/>
        <v>7.5573865957259088E-3</v>
      </c>
      <c r="E22" s="371">
        <v>11</v>
      </c>
      <c r="F22" s="371" t="n">
        <v>40864.0</v>
      </c>
      <c r="G22" s="9">
        <f si="1" t="shared"/>
        <v>2.0501237516658877E-2</v>
      </c>
    </row>
    <row r="23" spans="1:7" x14ac:dyDescent="0.25">
      <c r="A23">
        <v>12</v>
      </c>
      <c r="B23" s="6" t="n">
        <v>22383.8945055376</v>
      </c>
      <c r="C23" s="9">
        <f si="0" t="shared"/>
        <v>1.102687590890921E-2</v>
      </c>
      <c r="E23" s="371">
        <v>12</v>
      </c>
      <c r="F23" s="371" t="n">
        <v>23307.0</v>
      </c>
      <c r="G23" s="9">
        <f si="1" t="shared"/>
        <v>1.3118898320011322E-2</v>
      </c>
    </row>
    <row r="24" spans="1:7" x14ac:dyDescent="0.25">
      <c r="A24">
        <v>13</v>
      </c>
      <c r="B24" s="6" t="n">
        <v>14197.5271913507</v>
      </c>
      <c r="C24" s="9">
        <f si="0" t="shared"/>
        <v>6.9940630980751886E-3</v>
      </c>
      <c r="E24" s="371">
        <v>13</v>
      </c>
      <c r="F24" s="371" t="n">
        <v>28324.0</v>
      </c>
      <c r="G24" s="9">
        <f si="1" t="shared"/>
        <v>1.3765400235591406E-2</v>
      </c>
    </row>
    <row r="25" spans="1:7" x14ac:dyDescent="0.25">
      <c r="A25">
        <v>14</v>
      </c>
      <c r="B25" s="6" t="n">
        <v>19465.1021855141</v>
      </c>
      <c r="C25" s="9">
        <f si="0" t="shared"/>
        <v>9.5890045541807481E-3</v>
      </c>
      <c r="E25" s="371">
        <v>14</v>
      </c>
      <c r="F25" s="371" t="n">
        <v>22183.0</v>
      </c>
      <c r="G25" s="9">
        <f si="1" t="shared"/>
        <v>1.1832003168368443E-2</v>
      </c>
    </row>
    <row r="26" spans="1:7" x14ac:dyDescent="0.25">
      <c r="A26">
        <v>15</v>
      </c>
      <c r="B26" s="6" t="n">
        <v>18287.4398454624</v>
      </c>
      <c r="C26" s="9">
        <f si="0" t="shared"/>
        <v>9.008858124204806E-3</v>
      </c>
      <c r="E26" s="371">
        <v>15</v>
      </c>
      <c r="F26" s="371" t="n">
        <v>22700.0</v>
      </c>
      <c r="G26" s="9">
        <f si="1" t="shared"/>
        <v>1.1217571820254141E-2</v>
      </c>
    </row>
    <row r="27" spans="1:7" x14ac:dyDescent="0.25">
      <c r="A27">
        <v>16</v>
      </c>
      <c r="B27" s="6" t="n">
        <v>25028.252289859698</v>
      </c>
      <c r="C27" s="9">
        <f si="0" t="shared"/>
        <v>1.232955382937851E-2</v>
      </c>
      <c r="E27" s="371">
        <v>16</v>
      </c>
      <c r="F27" s="371" t="n">
        <v>19185.0</v>
      </c>
      <c r="G27" s="9">
        <f si="1" t="shared"/>
        <v>1.0151607244486662E-2</v>
      </c>
    </row>
    <row r="28" spans="1:7" x14ac:dyDescent="0.25">
      <c r="A28">
        <v>17</v>
      </c>
      <c r="B28" s="6" t="n">
        <v>8823.2339609629</v>
      </c>
      <c r="C28" s="9">
        <f si="0" t="shared"/>
        <v>4.3465495237543202E-3</v>
      </c>
      <c r="E28" s="371">
        <v>17</v>
      </c>
      <c r="F28" s="371" t="n">
        <v>14371.0</v>
      </c>
      <c r="G28" s="9">
        <f si="1" t="shared"/>
        <v>7.2978357966583486E-3</v>
      </c>
    </row>
    <row r="29" spans="1:7" x14ac:dyDescent="0.25">
      <c r="A29">
        <v>18</v>
      </c>
      <c r="B29" s="6" t="n">
        <v>9997.9429724638</v>
      </c>
      <c r="C29" s="9">
        <f si="0" t="shared"/>
        <v>4.9252410689496059E-3</v>
      </c>
      <c r="E29" s="371">
        <v>18</v>
      </c>
      <c r="F29" s="371" t="n">
        <v>9619.0</v>
      </c>
      <c r="G29" s="9">
        <f si="1" t="shared"/>
        <v>5.2666998571587109E-3</v>
      </c>
    </row>
    <row r="30" spans="1:7" x14ac:dyDescent="0.25">
      <c r="A30">
        <v>19</v>
      </c>
      <c r="B30" s="6" t="n">
        <v>5777.0382751024</v>
      </c>
      <c r="C30" s="9">
        <f si="0" t="shared"/>
        <v>2.8459160297066954E-3</v>
      </c>
      <c r="E30" s="371">
        <v>19</v>
      </c>
      <c r="F30" s="371" t="n">
        <v>9321.0</v>
      </c>
      <c r="G30" s="9">
        <f si="1" t="shared"/>
        <v>4.8090579499882411E-3</v>
      </c>
    </row>
    <row r="31" spans="1:7" x14ac:dyDescent="0.25">
      <c r="A31">
        <v>20</v>
      </c>
      <c r="B31" s="6" t="n">
        <v>8041.7737813974</v>
      </c>
      <c r="C31" s="9">
        <f si="0" t="shared"/>
        <v>3.9615823579337841E-3</v>
      </c>
      <c r="E31" s="371">
        <v>20</v>
      </c>
      <c r="F31" s="371" t="n">
        <v>6289.0</v>
      </c>
      <c r="G31" s="9">
        <f si="1" t="shared"/>
        <v>3.6361914826681489E-3</v>
      </c>
    </row>
    <row r="32" spans="1:7" x14ac:dyDescent="0.25">
      <c r="A32">
        <v>21</v>
      </c>
      <c r="B32" s="6" t="n">
        <v>3325.8476424468</v>
      </c>
      <c r="C32" s="9">
        <f si="0" t="shared"/>
        <v>1.6383971625726849E-3</v>
      </c>
      <c r="E32" s="371">
        <v>21</v>
      </c>
      <c r="F32" s="371" t="n">
        <v>6530.0</v>
      </c>
      <c r="G32" s="9">
        <f si="1" t="shared"/>
        <v>3.5231809115982443E-3</v>
      </c>
    </row>
    <row r="33" spans="1:7" x14ac:dyDescent="0.25">
      <c r="A33">
        <v>22</v>
      </c>
      <c r="B33" s="6" t="n">
        <v>5474.0762088095</v>
      </c>
      <c r="C33" s="9">
        <f si="0" t="shared"/>
        <v>2.6966692081005594E-3</v>
      </c>
      <c r="E33" s="371">
        <v>22</v>
      </c>
      <c r="F33" s="371" t="n">
        <v>4530.0</v>
      </c>
      <c r="G33" s="9">
        <f si="1" t="shared"/>
        <v>2.6404767213495297E-3</v>
      </c>
    </row>
    <row r="34" spans="1:7" x14ac:dyDescent="0.25">
      <c r="A34">
        <v>23</v>
      </c>
      <c r="B34" s="6" t="n">
        <v>2761.1998975502</v>
      </c>
      <c r="C34" s="9">
        <f si="0" t="shared"/>
        <v>1.3602373180612709E-3</v>
      </c>
      <c r="E34" s="371">
        <v>23</v>
      </c>
      <c r="F34" s="371" t="n">
        <v>4315.0</v>
      </c>
      <c r="G34" s="9">
        <f si="1" t="shared"/>
        <v>2.4785967141412878E-3</v>
      </c>
    </row>
    <row r="35" spans="1:7" x14ac:dyDescent="0.25">
      <c r="A35">
        <v>24</v>
      </c>
      <c r="B35" s="6" t="n">
        <v>2493.0056068305</v>
      </c>
      <c r="C35" s="9">
        <f si="0" t="shared"/>
        <v>1.2281179872400667E-3</v>
      </c>
      <c r="E35" s="371">
        <v>24</v>
      </c>
      <c r="F35" s="371" t="n">
        <v>4025.0</v>
      </c>
      <c r="G35" s="9">
        <f si="1" t="shared"/>
        <v>2.3905299177669924E-3</v>
      </c>
    </row>
    <row r="36" spans="1:7" x14ac:dyDescent="0.25">
      <c r="A36">
        <v>25</v>
      </c>
      <c r="B36" s="6" t="n">
        <v>4345.189184787</v>
      </c>
      <c r="C36" s="9">
        <f si="0" t="shared"/>
        <v>2.1405507397082805E-3</v>
      </c>
      <c r="E36" s="371">
        <v>25</v>
      </c>
      <c r="F36" s="371" t="n">
        <v>3536.0</v>
      </c>
      <c r="G36" s="9">
        <f si="1" t="shared"/>
        <v>2.109021603345113E-3</v>
      </c>
    </row>
    <row r="37" spans="1:7" x14ac:dyDescent="0.25">
      <c r="A37">
        <v>26</v>
      </c>
      <c r="B37" s="6" t="n">
        <v>2761.0880822100003</v>
      </c>
      <c r="C37" s="9">
        <f si="0" t="shared"/>
        <v>1.3601822349799603E-3</v>
      </c>
      <c r="E37" s="371">
        <v>26</v>
      </c>
      <c r="F37" s="371" t="n">
        <v>2812.0</v>
      </c>
      <c r="G37" s="9">
        <f si="1" t="shared"/>
        <v>1.523097426311508E-3</v>
      </c>
    </row>
    <row r="38" spans="1:7" x14ac:dyDescent="0.25">
      <c r="A38">
        <v>27</v>
      </c>
      <c r="B38" s="6" t="n">
        <v>1627.630489631</v>
      </c>
      <c r="C38" s="9">
        <f si="0" t="shared"/>
        <v>8.0181218823552184E-4</v>
      </c>
      <c r="E38" s="371">
        <v>27</v>
      </c>
      <c r="F38" s="371" t="n">
        <v>2043.0</v>
      </c>
      <c r="G38" s="9">
        <f si="1" t="shared"/>
        <v>1.2278445829757212E-3</v>
      </c>
    </row>
    <row r="39" spans="1:7" x14ac:dyDescent="0.25">
      <c r="A39">
        <v>28</v>
      </c>
      <c r="B39" s="6" t="n">
        <v>719.280889893</v>
      </c>
      <c r="C39" s="9">
        <f si="0" t="shared"/>
        <v>3.5433606580560539E-4</v>
      </c>
      <c r="E39" s="371">
        <v>28</v>
      </c>
      <c r="F39" s="371" t="n">
        <v>2425.0</v>
      </c>
      <c r="G39" s="9">
        <f si="1" t="shared"/>
        <v>1.6086189395535981E-3</v>
      </c>
    </row>
    <row r="40" spans="1:7" x14ac:dyDescent="0.25">
      <c r="A40">
        <v>29</v>
      </c>
      <c r="B40" s="6" t="n">
        <v>433.333643768</v>
      </c>
      <c r="C40" s="9">
        <f si="0" t="shared"/>
        <v>2.134711774934021E-4</v>
      </c>
      <c r="E40" s="371">
        <v>29</v>
      </c>
      <c r="F40" s="371" t="n">
        <v>2077.0</v>
      </c>
      <c r="G40" s="9">
        <f si="1" t="shared"/>
        <v>1.221735903458429E-3</v>
      </c>
    </row>
    <row r="41" spans="1:7" x14ac:dyDescent="0.25">
      <c r="A41">
        <v>30</v>
      </c>
      <c r="B41" s="6" t="n">
        <v>532.239404069</v>
      </c>
      <c r="C41" s="9">
        <f si="0" t="shared"/>
        <v>2.6219467130926311E-4</v>
      </c>
      <c r="E41" s="371">
        <v>30</v>
      </c>
      <c r="F41" s="371" t="n">
        <v>1364.0</v>
      </c>
      <c r="G41" s="9">
        <f si="1" t="shared"/>
        <v>9.2953739988128794E-4</v>
      </c>
    </row>
    <row r="42" spans="1:7" x14ac:dyDescent="0.25">
      <c r="A42">
        <v>31</v>
      </c>
      <c r="B42" s="6" t="n">
        <v>2253.359654918</v>
      </c>
      <c r="C42" s="9">
        <f si="0" t="shared"/>
        <v>1.1100622944222771E-3</v>
      </c>
      <c r="E42" s="371">
        <v>31</v>
      </c>
      <c r="F42" s="371" t="n">
        <v>1191.0</v>
      </c>
      <c r="G42" s="9">
        <f si="1" t="shared"/>
        <v>6.8569927581604319E-4</v>
      </c>
    </row>
    <row r="43" spans="1:7" x14ac:dyDescent="0.25">
      <c r="A43">
        <v>32</v>
      </c>
      <c r="B43" s="6" t="n">
        <v>2598.271736033</v>
      </c>
      <c r="C43" s="9">
        <f si="0" t="shared"/>
        <v>1.27997476059289E-3</v>
      </c>
      <c r="E43" s="371">
        <v>32</v>
      </c>
      <c r="F43" s="371" t="n">
        <v>1021.0</v>
      </c>
      <c r="G43" s="9">
        <f si="1" t="shared"/>
        <v>6.9129889870689441E-4</v>
      </c>
    </row>
    <row r="44" spans="1:7" x14ac:dyDescent="0.25">
      <c r="A44">
        <v>33</v>
      </c>
      <c r="B44" s="6" t="n">
        <v>282.2315825548</v>
      </c>
      <c r="C44" s="9">
        <f si="0" t="shared"/>
        <v>1.3903445790619358E-4</v>
      </c>
      <c r="E44" s="371">
        <v>33</v>
      </c>
      <c r="F44" s="371" t="n">
        <v>731.0</v>
      </c>
      <c r="G44" s="9">
        <f si="1" t="shared"/>
        <v>5.1211096619965812E-4</v>
      </c>
    </row>
    <row r="45" spans="1:7" x14ac:dyDescent="0.25">
      <c r="A45">
        <v>34</v>
      </c>
      <c r="B45" s="6" t="n">
        <v>251.017759731</v>
      </c>
      <c r="C45" s="9">
        <f si="0" t="shared"/>
        <v>1.2365773466281113E-4</v>
      </c>
      <c r="E45" s="371">
        <v>34</v>
      </c>
      <c r="F45" s="371" t="n">
        <v>641.0</v>
      </c>
      <c r="G45" s="9">
        <f si="1" t="shared"/>
        <v>4.5458756741182375E-4</v>
      </c>
    </row>
    <row r="46" spans="1:7" x14ac:dyDescent="0.25">
      <c r="A46">
        <v>35</v>
      </c>
      <c r="B46" s="6" t="n">
        <v>1001.676862693</v>
      </c>
      <c r="C46" s="9">
        <f si="0" t="shared"/>
        <v>4.9345150652888687E-4</v>
      </c>
      <c r="E46" s="371">
        <v>35</v>
      </c>
      <c r="F46" s="371" t="n">
        <v>585.0</v>
      </c>
      <c r="G46" s="9">
        <f si="1" t="shared"/>
        <v>3.3088680718665781E-4</v>
      </c>
    </row>
    <row r="47" spans="1:7" x14ac:dyDescent="0.25">
      <c r="A47">
        <v>36</v>
      </c>
      <c r="B47" s="6" t="n">
        <v>636.756808327</v>
      </c>
      <c r="C47" s="9">
        <f si="0" t="shared"/>
        <v>3.136826037058863E-4</v>
      </c>
      <c r="E47" s="371">
        <v>36</v>
      </c>
      <c r="F47" s="371" t="n">
        <v>771.0</v>
      </c>
      <c r="G47" s="9">
        <f si="1" t="shared"/>
        <v>5.3552757101594465E-4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427.0</v>
      </c>
      <c r="G48" s="9">
        <f si="1" t="shared"/>
        <v>3.3343209031886289E-4</v>
      </c>
    </row>
    <row r="49" spans="1:7" x14ac:dyDescent="0.25">
      <c r="A49">
        <v>38</v>
      </c>
      <c r="B49" s="6" t="n">
        <v>650.237482382</v>
      </c>
      <c r="C49" s="9">
        <f si="0" t="shared"/>
        <v>3.2032352671131607E-4</v>
      </c>
      <c r="E49" s="371">
        <v>38</v>
      </c>
      <c r="F49" s="371" t="n">
        <v>482.0</v>
      </c>
      <c r="G49" s="9">
        <f si="1" t="shared"/>
        <v>3.4055888308903704E-4</v>
      </c>
    </row>
    <row r="50" spans="1:7" x14ac:dyDescent="0.25">
      <c r="A50">
        <v>39</v>
      </c>
      <c r="B50" s="6" t="n">
        <v>664.0014366752</v>
      </c>
      <c r="C50" s="9">
        <f si="0" t="shared"/>
        <v>3.2710400076910195E-4</v>
      </c>
      <c r="E50" s="371">
        <v>39</v>
      </c>
      <c r="F50" s="371" t="n">
        <v>382.0</v>
      </c>
      <c r="G50" s="9">
        <f si="1" t="shared"/>
        <v>2.784539746632336E-4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279.0</v>
      </c>
      <c r="G51" s="9">
        <f si="1" t="shared"/>
        <v>2.0464076382928684E-4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214.0</v>
      </c>
      <c r="G52" s="9">
        <f si="1" t="shared"/>
        <v>1.5984378070247777E-4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172.0</v>
      </c>
      <c r="G53" s="9">
        <f si="1" t="shared"/>
        <v>1.3642717588619122E-4</v>
      </c>
    </row>
    <row r="54" spans="1:7" x14ac:dyDescent="0.25">
      <c r="A54">
        <v>43</v>
      </c>
      <c r="B54" s="6" t="n">
        <v>4.59375</v>
      </c>
      <c r="C54" s="9">
        <f si="0" t="shared"/>
        <v>2.2629981209936507E-6</v>
      </c>
      <c r="E54" s="371">
        <v>43</v>
      </c>
      <c r="F54" s="371" t="n">
        <v>180.0</v>
      </c>
      <c r="G54" s="9">
        <f si="1" t="shared"/>
        <v>1.0079321203532038E-4</v>
      </c>
    </row>
    <row r="55" spans="1:7" x14ac:dyDescent="0.25">
      <c r="A55">
        <v>44</v>
      </c>
      <c r="B55" s="6" t="n">
        <v>5084.525540346</v>
      </c>
      <c r="C55" s="9">
        <f si="0" t="shared"/>
        <v>2.5047666381381711E-3</v>
      </c>
      <c r="E55" s="371">
        <v>44</v>
      </c>
      <c r="F55" s="371" t="n">
        <v>113.0</v>
      </c>
      <c r="G55" s="9">
        <f si="1" t="shared"/>
        <v>8.2467173483443955E-5</v>
      </c>
    </row>
    <row r="56" spans="1:7" x14ac:dyDescent="0.25">
      <c r="A56">
        <v>45</v>
      </c>
      <c r="B56" s="6" t="n">
        <v>250.40304101</v>
      </c>
      <c r="C56" s="9">
        <f si="0" t="shared"/>
        <v>1.2335490858160023E-4</v>
      </c>
      <c r="E56" s="371">
        <v>45</v>
      </c>
      <c r="F56" s="371" t="n">
        <v>108.0</v>
      </c>
      <c r="G56" s="9">
        <f si="1" t="shared"/>
        <v>8.7048683121413058E-5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84.0</v>
      </c>
      <c r="G57" s="9">
        <f si="1" t="shared"/>
        <v>7.4322267460387765E-5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59.0</v>
      </c>
      <c r="G58" s="9">
        <f si="1" t="shared"/>
        <v>7.0249814448859657E-5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67.0</v>
      </c>
      <c r="G59" s="9">
        <f si="1" t="shared"/>
        <v>5.4978115655629301E-5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64.0</v>
      </c>
      <c r="G60" s="9">
        <f si="1" t="shared"/>
        <v>4.5306039753250072E-5</v>
      </c>
    </row>
    <row r="61" spans="1:7" x14ac:dyDescent="0.25">
      <c r="A61">
        <v>50</v>
      </c>
      <c r="B61" s="6" t="n">
        <v>1172.30496159</v>
      </c>
      <c r="C61" s="9">
        <f si="0" t="shared"/>
        <v>5.7750724904701034E-4</v>
      </c>
      <c r="E61" s="371">
        <v>50</v>
      </c>
      <c r="F61" s="371" t="n">
        <v>38.0</v>
      </c>
      <c r="G61" s="9">
        <f si="1" t="shared"/>
        <v>3.2070567465783757E-5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50.0</v>
      </c>
      <c r="G62" s="9">
        <f si="1" t="shared"/>
        <v>4.3269813247486025E-5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19.0</v>
      </c>
      <c r="G63" s="9">
        <f si="1" t="shared"/>
        <v>2.1889434936963517E-5</v>
      </c>
    </row>
    <row r="64" spans="1:7" x14ac:dyDescent="0.25">
      <c r="A64">
        <v>53</v>
      </c>
      <c r="B64" s="6" t="n">
        <v>523.299985488</v>
      </c>
      <c r="C64" s="9">
        <f si="0" t="shared"/>
        <v>2.5779088628579013E-4</v>
      </c>
      <c r="E64" s="371">
        <v>53</v>
      </c>
      <c r="F64" s="371" t="n">
        <v>19.0</v>
      </c>
      <c r="G64" s="9">
        <f si="1" t="shared"/>
        <v>2.3925661442727567E-5</v>
      </c>
    </row>
    <row r="65" spans="1:7" x14ac:dyDescent="0.25">
      <c r="A65">
        <v>54</v>
      </c>
      <c r="B65" s="6" t="n">
        <v>1866.478794016</v>
      </c>
      <c r="C65" s="9">
        <f si="0" t="shared"/>
        <v>9.194749395880714E-4</v>
      </c>
      <c r="E65" s="371">
        <v>54</v>
      </c>
      <c r="F65" s="371" t="n">
        <v>25.0</v>
      </c>
      <c r="G65" s="9">
        <f si="1" t="shared"/>
        <v>1.6289812046112386E-5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14.0</v>
      </c>
      <c r="G66" s="9">
        <f si="1" t="shared"/>
        <v>1.1708302408143278E-5</v>
      </c>
    </row>
    <row r="67" spans="1:7" x14ac:dyDescent="0.25">
      <c r="A67">
        <v>56</v>
      </c>
      <c r="B67" s="6" t="n">
        <v>668.711535771</v>
      </c>
      <c r="C67" s="9">
        <f si="0" t="shared"/>
        <v>3.2942431541475945E-4</v>
      </c>
      <c r="E67" s="371">
        <v>56</v>
      </c>
      <c r="F67" s="371" t="n">
        <v>9.0</v>
      </c>
      <c r="G67" s="9">
        <f si="1" t="shared"/>
        <v>1.221735903458429E-5</v>
      </c>
    </row>
    <row r="68" spans="1:7" x14ac:dyDescent="0.25">
      <c r="A68">
        <v>57</v>
      </c>
      <c r="B68" s="6" t="n">
        <v>569.501209051</v>
      </c>
      <c r="C68" s="9">
        <f si="0" t="shared"/>
        <v>2.8055078443233204E-4</v>
      </c>
      <c r="E68" s="371">
        <v>57</v>
      </c>
      <c r="F68" s="371" t="n">
        <v>9.0</v>
      </c>
      <c r="G68" s="9">
        <f si="1" t="shared"/>
        <v>9.1630192759382168E-6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15.0</v>
      </c>
      <c r="G69" s="9">
        <f si="1" t="shared"/>
        <v>1.4253585540348337E-5</v>
      </c>
    </row>
    <row r="70" spans="1:7" x14ac:dyDescent="0.25">
      <c r="A70">
        <v>59</v>
      </c>
      <c r="B70" s="6" t="n">
        <v>224.682816265</v>
      </c>
      <c r="C70" s="9">
        <f si="0" t="shared"/>
        <v>1.1068447151613751E-4</v>
      </c>
      <c r="E70" s="371">
        <v>59</v>
      </c>
      <c r="F70" s="371" t="n">
        <v>8.0</v>
      </c>
      <c r="G70" s="9">
        <f si="1" t="shared"/>
        <v>1.0181132528820241E-5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13.0</v>
      </c>
      <c r="G71" s="9">
        <f si="1" t="shared"/>
        <v>5.0905662644101203E-6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2.5452831322050601E-6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3.0</v>
      </c>
      <c r="G73" s="9">
        <f si="1" t="shared"/>
        <v>6.6177361437331567E-6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4.0</v>
      </c>
      <c r="G74" s="9">
        <f si="1" t="shared"/>
        <v>3.5633963850870843E-6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5.5996228908511321E-6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3.0543397586460724E-6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4.0</v>
      </c>
      <c r="G77" s="9">
        <f ref="G77:G102" si="3" t="shared">F77/F$102</f>
        <v>2.5452831322050601E-6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4.5815096379691084E-6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5.0</v>
      </c>
      <c r="G79" s="9">
        <f si="3" t="shared"/>
        <v>1.5271698793230362E-6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5.0905662644101207E-7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1.5271698793230362E-6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5.0905662644101207E-7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1.0181132528820241E-6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1.5271698793230362E-6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1.5271698793230362E-6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5.0905662644101207E-7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5.0905662644101207E-7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598.2158718779999</v>
      </c>
      <c r="C100" s="9">
        <f si="2" t="shared"/>
        <v>2.9469635787939967E-4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242.68014145</v>
      </c>
      <c r="C101" s="9">
        <f si="2" t="shared"/>
        <v>1.1955041177770305E-4</v>
      </c>
      <c r="E101" s="372">
        <v>90</v>
      </c>
      <c r="F101" s="372" t="n">
        <v>0.0</v>
      </c>
      <c r="G101" s="9">
        <f si="3" t="shared"/>
        <v>5.0905662644101207E-7</v>
      </c>
    </row>
    <row r="102" spans="1:7" x14ac:dyDescent="0.25">
      <c r="B102" s="6">
        <f>SUM(B11:B101)</f>
        <v>2029939.8207113619</v>
      </c>
      <c r="C102" s="9">
        <f si="2" t="shared"/>
        <v>1</v>
      </c>
      <c r="F102" s="6">
        <f>SUM(F11:F101)</f>
        <v>1964418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1928.2538946519999</v>
      </c>
      <c r="C11" s="9">
        <f>B11/B$102</f>
        <v>9.4990692580052547E-4</v>
      </c>
      <c r="E11" s="371">
        <v>0</v>
      </c>
      <c r="F11" s="371" t="n">
        <v>24464.0</v>
      </c>
      <c r="G11" s="9">
        <f>F11/F$102</f>
        <v>1.2089076764721153E-2</v>
      </c>
      <c r="K11" s="6" t="n">
        <v>26.420330496551912</v>
      </c>
      <c r="L11" s="6" t="n">
        <v>19.951056795727027</v>
      </c>
    </row>
    <row r="12" spans="1:12" x14ac:dyDescent="0.25">
      <c r="A12">
        <v>1</v>
      </c>
      <c r="B12" s="6" t="n">
        <v>1838.9710621157</v>
      </c>
      <c r="C12" s="9">
        <f>B12/B$102</f>
        <v>9.0592393102139354E-4</v>
      </c>
      <c r="E12" s="371">
        <v>1</v>
      </c>
      <c r="F12" s="371" t="n">
        <v>63964.0</v>
      </c>
      <c r="G12" s="9">
        <f>F12/F$102</f>
        <v>3.1621579521262787E-2</v>
      </c>
      <c r="K12" s="6"/>
      <c r="L12" s="371"/>
    </row>
    <row r="13" spans="1:12" x14ac:dyDescent="0.25">
      <c r="A13">
        <v>2</v>
      </c>
      <c r="B13" s="6" t="n">
        <v>7623.5141350644</v>
      </c>
      <c r="C13" s="9">
        <f ref="C13:C76" si="0" t="shared">B13/B$102</f>
        <v>3.7555370150790246E-3</v>
      </c>
      <c r="E13" s="371">
        <v>2</v>
      </c>
      <c r="F13" s="371" t="n">
        <v>68116.0</v>
      </c>
      <c r="G13" s="9">
        <f ref="G13:G76" si="1" t="shared">F13/F$102</f>
        <v>3.4060978875168117E-2</v>
      </c>
    </row>
    <row r="14" spans="1:12" x14ac:dyDescent="0.25">
      <c r="A14">
        <v>3</v>
      </c>
      <c r="B14" s="6" t="n">
        <v>18870.8449381437</v>
      </c>
      <c r="C14" s="9">
        <f si="0" t="shared"/>
        <v>9.2962583154463617E-3</v>
      </c>
      <c r="E14" s="371">
        <v>3</v>
      </c>
      <c r="F14" s="371" t="n">
        <v>72682.0</v>
      </c>
      <c r="G14" s="9">
        <f si="1" t="shared"/>
        <v>3.6384313318244897E-2</v>
      </c>
    </row>
    <row r="15" spans="1:12" x14ac:dyDescent="0.25">
      <c r="A15">
        <v>4</v>
      </c>
      <c r="B15" s="6" t="n">
        <v>25029.602429171</v>
      </c>
      <c r="C15" s="9">
        <f si="0" t="shared"/>
        <v>1.2330218942352561E-2</v>
      </c>
      <c r="E15" s="371">
        <v>4</v>
      </c>
      <c r="F15" s="371" t="n">
        <v>75565.0</v>
      </c>
      <c r="G15" s="9">
        <f si="1" t="shared"/>
        <v>3.757906922050195E-2</v>
      </c>
    </row>
    <row r="16" spans="1:12" x14ac:dyDescent="0.25">
      <c r="A16">
        <v>5</v>
      </c>
      <c r="B16" s="6" t="n">
        <v>53986.3758109383</v>
      </c>
      <c r="C16" s="9">
        <f si="0" t="shared"/>
        <v>2.6595062208307031E-2</v>
      </c>
      <c r="E16" s="371">
        <v>5</v>
      </c>
      <c r="F16" s="371" t="n">
        <v>74220.0</v>
      </c>
      <c r="G16" s="9">
        <f si="1" t="shared"/>
        <v>3.711022806754978E-2</v>
      </c>
    </row>
    <row r="17" spans="1:7" x14ac:dyDescent="0.25">
      <c r="A17">
        <v>6</v>
      </c>
      <c r="B17" s="6" t="n">
        <v>24084.6150984608</v>
      </c>
      <c r="C17" s="9">
        <f si="0" t="shared"/>
        <v>1.1864694141534061E-2</v>
      </c>
      <c r="E17" s="371">
        <v>6</v>
      </c>
      <c r="F17" s="371" t="n">
        <v>69791.0</v>
      </c>
      <c r="G17" s="9">
        <f si="1" t="shared"/>
        <v>3.4927902309997157E-2</v>
      </c>
    </row>
    <row r="18" spans="1:7" x14ac:dyDescent="0.25">
      <c r="A18">
        <v>7</v>
      </c>
      <c r="B18" s="6" t="n">
        <v>39960.7998382585</v>
      </c>
      <c r="C18" s="9">
        <f si="0" t="shared"/>
        <v>1.9685706655212486E-2</v>
      </c>
      <c r="E18" s="371">
        <v>7</v>
      </c>
      <c r="F18" s="371" t="n">
        <v>65765.0</v>
      </c>
      <c r="G18" s="9">
        <f si="1" t="shared"/>
        <v>3.2726232400639779E-2</v>
      </c>
    </row>
    <row r="19" spans="1:7" x14ac:dyDescent="0.25">
      <c r="A19">
        <v>8</v>
      </c>
      <c r="B19" s="6" t="n">
        <v>16572.5700703421</v>
      </c>
      <c r="C19" s="9">
        <f si="0" t="shared"/>
        <v>8.1640696444560054E-3</v>
      </c>
      <c r="E19" s="371">
        <v>8</v>
      </c>
      <c r="F19" s="371" t="n">
        <v>59758.0</v>
      </c>
      <c r="G19" s="9">
        <f si="1" t="shared"/>
        <v>2.9664256792597096E-2</v>
      </c>
    </row>
    <row r="20" spans="1:7" x14ac:dyDescent="0.25">
      <c r="A20">
        <v>9</v>
      </c>
      <c r="B20" s="6" t="n">
        <v>41901.0024359184</v>
      </c>
      <c r="C20" s="9">
        <f si="0" t="shared"/>
        <v>2.0641499816105299E-2</v>
      </c>
      <c r="E20" s="371">
        <v>9</v>
      </c>
      <c r="F20" s="371" t="n">
        <v>52739.0</v>
      </c>
      <c r="G20" s="9">
        <f si="1" t="shared"/>
        <v>2.6623661562864932E-2</v>
      </c>
    </row>
    <row r="21" spans="1:7" x14ac:dyDescent="0.25">
      <c r="A21">
        <v>10</v>
      </c>
      <c r="B21" s="6" t="n">
        <v>14290.6902735547</v>
      </c>
      <c r="C21" s="9">
        <f si="0" t="shared"/>
        <v>7.0399576025592424E-3</v>
      </c>
      <c r="E21" s="371">
        <v>10</v>
      </c>
      <c r="F21" s="371" t="n">
        <v>48051.0</v>
      </c>
      <c r="G21" s="9">
        <f si="1" t="shared"/>
        <v>2.3879337289721435E-2</v>
      </c>
    </row>
    <row r="22" spans="1:7" x14ac:dyDescent="0.25">
      <c r="A22">
        <v>11</v>
      </c>
      <c r="B22" s="6" t="n">
        <v>19308.9802986893</v>
      </c>
      <c r="C22" s="9">
        <f si="0" t="shared"/>
        <v>9.5120949407863521E-3</v>
      </c>
      <c r="E22" s="371">
        <v>11</v>
      </c>
      <c r="F22" s="371" t="n">
        <v>42477.0</v>
      </c>
      <c r="G22" s="9">
        <f si="1" t="shared"/>
        <v>2.1412957934614729E-2</v>
      </c>
    </row>
    <row r="23" spans="1:7" x14ac:dyDescent="0.25">
      <c r="A23">
        <v>12</v>
      </c>
      <c r="B23" s="6" t="n">
        <v>43500.6364308009</v>
      </c>
      <c r="C23" s="9">
        <f si="0" t="shared"/>
        <v>2.1429520218760351E-2</v>
      </c>
      <c r="E23" s="371">
        <v>12</v>
      </c>
      <c r="F23" s="371" t="n">
        <v>39408.0</v>
      </c>
      <c r="G23" s="9">
        <f si="1" t="shared"/>
        <v>1.9530975586662308E-2</v>
      </c>
    </row>
    <row r="24" spans="1:7" x14ac:dyDescent="0.25">
      <c r="A24">
        <v>13</v>
      </c>
      <c r="B24" s="6" t="n">
        <v>52407.6470557855</v>
      </c>
      <c r="C24" s="9">
        <f si="0" t="shared"/>
        <v>2.58173402585994E-2</v>
      </c>
      <c r="E24" s="371">
        <v>13</v>
      </c>
      <c r="F24" s="371" t="n">
        <v>34641.0</v>
      </c>
      <c r="G24" s="9">
        <f si="1" t="shared"/>
        <v>1.7408718511029729E-2</v>
      </c>
    </row>
    <row r="25" spans="1:7" x14ac:dyDescent="0.25">
      <c r="A25">
        <v>14</v>
      </c>
      <c r="B25" s="6" t="n">
        <v>27859.4381014104</v>
      </c>
      <c r="C25" s="9">
        <f si="0" t="shared"/>
        <v>1.3724267989209392E-2</v>
      </c>
      <c r="E25" s="371">
        <v>14</v>
      </c>
      <c r="F25" s="371" t="n">
        <v>30595.0</v>
      </c>
      <c r="G25" s="9">
        <f si="1" t="shared"/>
        <v>1.5213666337816087E-2</v>
      </c>
    </row>
    <row r="26" spans="1:7" x14ac:dyDescent="0.25">
      <c r="A26">
        <v>15</v>
      </c>
      <c r="B26" s="6" t="n">
        <v>25657.6589039263</v>
      </c>
      <c r="C26" s="9">
        <f si="0" t="shared"/>
        <v>1.2639615540393192E-2</v>
      </c>
      <c r="E26" s="371">
        <v>15</v>
      </c>
      <c r="F26" s="371" t="n">
        <v>27851.0</v>
      </c>
      <c r="G26" s="9">
        <f si="1" t="shared"/>
        <v>1.3891137222322337E-2</v>
      </c>
    </row>
    <row r="27" spans="1:7" x14ac:dyDescent="0.25">
      <c r="A27">
        <v>16</v>
      </c>
      <c r="B27" s="6" t="n">
        <v>82814.1721389969</v>
      </c>
      <c r="C27" s="9">
        <f si="0" t="shared"/>
        <v>4.0796368096260069E-2</v>
      </c>
      <c r="E27" s="371">
        <v>16</v>
      </c>
      <c r="F27" s="371" t="n">
        <v>25452.0</v>
      </c>
      <c r="G27" s="9">
        <f si="1" t="shared"/>
        <v>1.2487159046598025E-2</v>
      </c>
    </row>
    <row r="28" spans="1:7" x14ac:dyDescent="0.25">
      <c r="A28">
        <v>17</v>
      </c>
      <c r="B28" s="6" t="n">
        <v>59076.6278002357</v>
      </c>
      <c r="C28" s="9">
        <f si="0" t="shared"/>
        <v>2.9102649840886993E-2</v>
      </c>
      <c r="E28" s="371">
        <v>17</v>
      </c>
      <c r="F28" s="371" t="n">
        <v>23102.0</v>
      </c>
      <c r="G28" s="9">
        <f si="1" t="shared"/>
        <v>1.1464464284078033E-2</v>
      </c>
    </row>
    <row r="29" spans="1:7" x14ac:dyDescent="0.25">
      <c r="A29">
        <v>18</v>
      </c>
      <c r="B29" s="6" t="n">
        <v>181156.8419824206</v>
      </c>
      <c r="C29" s="9">
        <f si="0" t="shared"/>
        <v>8.9242469226963037E-2</v>
      </c>
      <c r="E29" s="371">
        <v>18</v>
      </c>
      <c r="F29" s="371" t="n">
        <v>177724.0</v>
      </c>
      <c r="G29" s="9">
        <f si="1" t="shared"/>
        <v>9.0076551935484195E-2</v>
      </c>
    </row>
    <row r="30" spans="1:7" x14ac:dyDescent="0.25">
      <c r="A30">
        <v>19</v>
      </c>
      <c r="B30" s="6" t="n">
        <v>90493.5241566084</v>
      </c>
      <c r="C30" s="9">
        <f si="0" t="shared"/>
        <v>4.4579412272870385E-2</v>
      </c>
      <c r="E30" s="371">
        <v>19</v>
      </c>
      <c r="F30" s="371" t="n">
        <v>66633.0</v>
      </c>
      <c r="G30" s="9">
        <f si="1" t="shared"/>
        <v>3.320118223310925E-2</v>
      </c>
    </row>
    <row r="31" spans="1:7" x14ac:dyDescent="0.25">
      <c r="A31">
        <v>20</v>
      </c>
      <c r="B31" s="6" t="n">
        <v>146330.04576865849</v>
      </c>
      <c r="C31" s="9">
        <f si="0" t="shared"/>
        <v>7.2085903372928223E-2</v>
      </c>
      <c r="E31" s="371">
        <v>20</v>
      </c>
      <c r="F31" s="371" t="n">
        <v>67799.0</v>
      </c>
      <c r="G31" s="9">
        <f si="1" t="shared"/>
        <v>3.4594979276304741E-2</v>
      </c>
    </row>
    <row r="32" spans="1:7" x14ac:dyDescent="0.25">
      <c r="A32">
        <v>21</v>
      </c>
      <c r="B32" s="6" t="n">
        <v>133058.12729116261</v>
      </c>
      <c r="C32" s="9">
        <f si="0" t="shared"/>
        <v>6.5547818675991285E-2</v>
      </c>
      <c r="E32" s="371">
        <v>21</v>
      </c>
      <c r="F32" s="371" t="n">
        <v>75418.0</v>
      </c>
      <c r="G32" s="9">
        <f si="1" t="shared"/>
        <v>3.6858245037461476E-2</v>
      </c>
    </row>
    <row r="33" spans="1:7" x14ac:dyDescent="0.25">
      <c r="A33">
        <v>22</v>
      </c>
      <c r="B33" s="6" t="n">
        <v>83422.5215521091</v>
      </c>
      <c r="C33" s="9">
        <f si="0" t="shared"/>
        <v>4.1096056494361946E-2</v>
      </c>
      <c r="E33" s="371">
        <v>22</v>
      </c>
      <c r="F33" s="371" t="n">
        <v>72273.0</v>
      </c>
      <c r="G33" s="9">
        <f si="1" t="shared"/>
        <v>3.7142807691642001E-2</v>
      </c>
    </row>
    <row r="34" spans="1:7" x14ac:dyDescent="0.25">
      <c r="A34">
        <v>23</v>
      </c>
      <c r="B34" s="6" t="n">
        <v>64787.7067685242</v>
      </c>
      <c r="C34" s="9">
        <f si="0" t="shared"/>
        <v>3.1916072637966336E-2</v>
      </c>
      <c r="E34" s="371">
        <v>23</v>
      </c>
      <c r="F34" s="371" t="n">
        <v>64621.0</v>
      </c>
      <c r="G34" s="9">
        <f si="1" t="shared"/>
        <v>3.1244877617696436E-2</v>
      </c>
    </row>
    <row r="35" spans="1:7" x14ac:dyDescent="0.25">
      <c r="A35">
        <v>24</v>
      </c>
      <c r="B35" s="6" t="n">
        <v>78852.7448294897</v>
      </c>
      <c r="C35" s="9">
        <f si="0" t="shared"/>
        <v>3.8844868219717436E-2</v>
      </c>
      <c r="E35" s="371">
        <v>24</v>
      </c>
      <c r="F35" s="371" t="n">
        <v>44250.0</v>
      </c>
      <c r="G35" s="9">
        <f si="1" t="shared"/>
        <v>2.1159447734647108E-2</v>
      </c>
    </row>
    <row r="36" spans="1:7" x14ac:dyDescent="0.25">
      <c r="A36">
        <v>25</v>
      </c>
      <c r="B36" s="6" t="n">
        <v>31363.9415121713</v>
      </c>
      <c r="C36" s="9">
        <f si="0" t="shared"/>
        <v>1.5450675528489447E-2</v>
      </c>
      <c r="E36" s="371">
        <v>25</v>
      </c>
      <c r="F36" s="371" t="n">
        <v>41723.0</v>
      </c>
      <c r="G36" s="9">
        <f si="1" t="shared"/>
        <v>2.3069937253680225E-2</v>
      </c>
    </row>
    <row r="37" spans="1:7" x14ac:dyDescent="0.25">
      <c r="A37">
        <v>26</v>
      </c>
      <c r="B37" s="6" t="n">
        <v>121371.7756253273</v>
      </c>
      <c r="C37" s="9">
        <f si="0" t="shared"/>
        <v>5.9790824529366772E-2</v>
      </c>
      <c r="E37" s="371">
        <v>26</v>
      </c>
      <c r="F37" s="371" t="n">
        <v>40129.0</v>
      </c>
      <c r="G37" s="9">
        <f si="1" t="shared"/>
        <v>1.9852190317946588E-2</v>
      </c>
    </row>
    <row r="38" spans="1:7" x14ac:dyDescent="0.25">
      <c r="A38">
        <v>27</v>
      </c>
      <c r="B38" s="6" t="n">
        <v>17466.8171904011</v>
      </c>
      <c r="C38" s="9">
        <f si="0" t="shared"/>
        <v>8.6045985266105639E-3</v>
      </c>
      <c r="E38" s="371">
        <v>27</v>
      </c>
      <c r="F38" s="371" t="n">
        <v>39336.0</v>
      </c>
      <c r="G38" s="9">
        <f si="1" t="shared"/>
        <v>1.7813418529050336E-2</v>
      </c>
    </row>
    <row r="39" spans="1:7" x14ac:dyDescent="0.25">
      <c r="A39">
        <v>28</v>
      </c>
      <c r="B39" s="6" t="n">
        <v>35901.7130316506</v>
      </c>
      <c r="C39" s="9">
        <f si="0" t="shared"/>
        <v>1.7686097225813019E-2</v>
      </c>
      <c r="E39" s="371">
        <v>28</v>
      </c>
      <c r="F39" s="371" t="n">
        <v>35375.0</v>
      </c>
      <c r="G39" s="9">
        <f si="1" t="shared"/>
        <v>1.8686959700023112E-2</v>
      </c>
    </row>
    <row r="40" spans="1:7" x14ac:dyDescent="0.25">
      <c r="A40">
        <v>29</v>
      </c>
      <c r="B40" s="6" t="n">
        <v>18995.8431028642</v>
      </c>
      <c r="C40" s="9">
        <f si="0" t="shared"/>
        <v>9.3578355915040819E-3</v>
      </c>
      <c r="E40" s="371">
        <v>29</v>
      </c>
      <c r="F40" s="371" t="n">
        <v>28612.0</v>
      </c>
      <c r="G40" s="9">
        <f si="1" t="shared"/>
        <v>1.3870774957264697E-2</v>
      </c>
    </row>
    <row r="41" spans="1:7" x14ac:dyDescent="0.25">
      <c r="A41">
        <v>30</v>
      </c>
      <c r="B41" s="6" t="n">
        <v>19495.6622964483</v>
      </c>
      <c r="C41" s="9">
        <f si="0" t="shared"/>
        <v>9.6040592423160282E-3</v>
      </c>
      <c r="E41" s="371">
        <v>30</v>
      </c>
      <c r="F41" s="371" t="n">
        <v>26891.0</v>
      </c>
      <c r="G41" s="9">
        <f si="1" t="shared"/>
        <v>1.4793694621002251E-2</v>
      </c>
    </row>
    <row r="42" spans="1:7" x14ac:dyDescent="0.25">
      <c r="A42">
        <v>31</v>
      </c>
      <c r="B42" s="6" t="n">
        <v>11200.6386329483</v>
      </c>
      <c r="C42" s="9">
        <f si="0" t="shared"/>
        <v>5.5177195494510783E-3</v>
      </c>
      <c r="E42" s="371">
        <v>31</v>
      </c>
      <c r="F42" s="371" t="n">
        <v>18998.0</v>
      </c>
      <c r="G42" s="9">
        <f si="1" t="shared"/>
        <v>1.3313357951311788E-2</v>
      </c>
    </row>
    <row r="43" spans="1:7" x14ac:dyDescent="0.25">
      <c r="A43">
        <v>32</v>
      </c>
      <c r="B43" s="6" t="n">
        <v>26368.5448227949</v>
      </c>
      <c r="C43" s="9">
        <f si="0" t="shared"/>
        <v>1.2989816029893159E-2</v>
      </c>
      <c r="E43" s="371">
        <v>32</v>
      </c>
      <c r="F43" s="371" t="n">
        <v>35489.0</v>
      </c>
      <c r="G43" s="9">
        <f si="1" t="shared"/>
        <v>1.3911499487379977E-2</v>
      </c>
    </row>
    <row r="44" spans="1:7" x14ac:dyDescent="0.25">
      <c r="A44">
        <v>33</v>
      </c>
      <c r="B44" s="6" t="n">
        <v>11368.8734499698</v>
      </c>
      <c r="C44" s="9">
        <f si="0" t="shared"/>
        <v>5.6005963004291167E-3</v>
      </c>
      <c r="E44" s="371">
        <v>33</v>
      </c>
      <c r="F44" s="371" t="n">
        <v>21087.0</v>
      </c>
      <c r="G44" s="9">
        <f si="1" t="shared"/>
        <v>1.2082968085203863E-2</v>
      </c>
    </row>
    <row r="45" spans="1:7" x14ac:dyDescent="0.25">
      <c r="A45">
        <v>34</v>
      </c>
      <c r="B45" s="6" t="n">
        <v>23643.2902777245</v>
      </c>
      <c r="C45" s="9">
        <f si="0" t="shared"/>
        <v>1.1647286306960105E-2</v>
      </c>
      <c r="E45" s="371">
        <v>34</v>
      </c>
      <c r="F45" s="371" t="n">
        <v>27372.0</v>
      </c>
      <c r="G45" s="9">
        <f si="1" t="shared"/>
        <v>1.3676315325964229E-2</v>
      </c>
    </row>
    <row r="46" spans="1:7" x14ac:dyDescent="0.25">
      <c r="A46">
        <v>35</v>
      </c>
      <c r="B46" s="6" t="n">
        <v>17759.4390997597</v>
      </c>
      <c r="C46" s="9">
        <f si="0" t="shared"/>
        <v>8.7487515238437799E-3</v>
      </c>
      <c r="E46" s="371">
        <v>35</v>
      </c>
      <c r="F46" s="371" t="n">
        <v>13589.0</v>
      </c>
      <c r="G46" s="9">
        <f si="1" t="shared"/>
        <v>8.1403245134182237E-3</v>
      </c>
    </row>
    <row r="47" spans="1:7" x14ac:dyDescent="0.25">
      <c r="A47">
        <v>36</v>
      </c>
      <c r="B47" s="6" t="n">
        <v>8793.5905390019</v>
      </c>
      <c r="C47" s="9">
        <f si="0" t="shared"/>
        <v>4.3319464199289993E-3</v>
      </c>
      <c r="E47" s="371">
        <v>36</v>
      </c>
      <c r="F47" s="371" t="n">
        <v>14916.0</v>
      </c>
      <c r="G47" s="9">
        <f si="1" t="shared"/>
        <v>6.494544440134432E-3</v>
      </c>
    </row>
    <row r="48" spans="1:7" x14ac:dyDescent="0.25">
      <c r="A48">
        <v>37</v>
      </c>
      <c r="B48" s="6" t="n">
        <v>26363.6880420618</v>
      </c>
      <c r="C48" s="9">
        <f si="0" t="shared"/>
        <v>1.2987423456141196E-2</v>
      </c>
      <c r="E48" s="371">
        <v>37</v>
      </c>
      <c r="F48" s="371" t="n">
        <v>11565.0</v>
      </c>
      <c r="G48" s="9">
        <f si="1" t="shared"/>
        <v>6.1366776317464001E-3</v>
      </c>
    </row>
    <row r="49" spans="1:7" x14ac:dyDescent="0.25">
      <c r="A49">
        <v>38</v>
      </c>
      <c r="B49" s="6" t="n">
        <v>17597.9342190206</v>
      </c>
      <c r="C49" s="9">
        <f si="0" t="shared"/>
        <v>8.6691901106968113E-3</v>
      </c>
      <c r="E49" s="371">
        <v>38</v>
      </c>
      <c r="F49" s="371" t="n">
        <v>12291.0</v>
      </c>
      <c r="G49" s="9">
        <f si="1" t="shared"/>
        <v>7.5223297689188352E-3</v>
      </c>
    </row>
    <row r="50" spans="1:7" x14ac:dyDescent="0.25">
      <c r="A50">
        <v>39</v>
      </c>
      <c r="B50" s="6" t="n">
        <v>3866.5482941869</v>
      </c>
      <c r="C50" s="9">
        <f si="0" t="shared"/>
        <v>1.904760059749912E-3</v>
      </c>
      <c r="E50" s="371">
        <v>39</v>
      </c>
      <c r="F50" s="371" t="n">
        <v>12224.0</v>
      </c>
      <c r="G50" s="9">
        <f si="1" t="shared"/>
        <v>4.7596794572234624E-3</v>
      </c>
    </row>
    <row r="51" spans="1:7" x14ac:dyDescent="0.25">
      <c r="A51">
        <v>40</v>
      </c>
      <c r="B51" s="6" t="n">
        <v>6005.4311671088</v>
      </c>
      <c r="C51" s="9">
        <f si="0" t="shared"/>
        <v>2.9584281789222133E-3</v>
      </c>
      <c r="E51" s="371">
        <v>40</v>
      </c>
      <c r="F51" s="371" t="n">
        <v>7361.0</v>
      </c>
      <c r="G51" s="9">
        <f si="1" t="shared"/>
        <v>4.2577496235526244E-3</v>
      </c>
    </row>
    <row r="52" spans="1:7" x14ac:dyDescent="0.25">
      <c r="A52">
        <v>41</v>
      </c>
      <c r="B52" s="6" t="n">
        <v>6949.9674741894005</v>
      </c>
      <c r="C52" s="9">
        <f si="0" t="shared"/>
        <v>3.4237307940261441E-3</v>
      </c>
      <c r="E52" s="371">
        <v>41</v>
      </c>
      <c r="F52" s="371" t="n">
        <v>7358.0</v>
      </c>
      <c r="G52" s="9">
        <f si="1" t="shared"/>
        <v>4.9276681439489965E-3</v>
      </c>
    </row>
    <row r="53" spans="1:7" x14ac:dyDescent="0.25">
      <c r="A53">
        <v>42</v>
      </c>
      <c r="B53" s="6" t="n">
        <v>2822.718397943</v>
      </c>
      <c r="C53" s="9">
        <f si="0" t="shared"/>
        <v>1.3905428964656797E-3</v>
      </c>
      <c r="E53" s="371">
        <v>42</v>
      </c>
      <c r="F53" s="371" t="n">
        <v>9050.0</v>
      </c>
      <c r="G53" s="9">
        <f si="1" t="shared"/>
        <v>3.9176997970900287E-3</v>
      </c>
    </row>
    <row r="54" spans="1:7" x14ac:dyDescent="0.25">
      <c r="A54">
        <v>43</v>
      </c>
      <c r="B54" s="6" t="n">
        <v>2693.4751585069</v>
      </c>
      <c r="C54" s="9">
        <f si="0" t="shared"/>
        <v>1.3268743886028166E-3</v>
      </c>
      <c r="E54" s="371">
        <v>43</v>
      </c>
      <c r="F54" s="371" t="n">
        <v>8212.0</v>
      </c>
      <c r="G54" s="9">
        <f si="1" t="shared"/>
        <v>5.1068560764562327E-3</v>
      </c>
    </row>
    <row r="55" spans="1:7" x14ac:dyDescent="0.25">
      <c r="A55">
        <v>44</v>
      </c>
      <c r="B55" s="6" t="n">
        <v>3335.7432707195</v>
      </c>
      <c r="C55" s="9">
        <f si="0" t="shared"/>
        <v>1.6432720008175111E-3</v>
      </c>
      <c r="E55" s="371">
        <v>44</v>
      </c>
      <c r="F55" s="371" t="n">
        <v>6510.0</v>
      </c>
      <c r="G55" s="9">
        <f si="1" t="shared"/>
        <v>3.1362978755030751E-3</v>
      </c>
    </row>
    <row r="56" spans="1:7" x14ac:dyDescent="0.25">
      <c r="A56">
        <v>45</v>
      </c>
      <c r="B56" s="6" t="n">
        <v>100623.4744096711</v>
      </c>
      <c r="C56" s="9">
        <f si="0" t="shared"/>
        <v>4.9569683486680456E-2</v>
      </c>
      <c r="E56" s="371">
        <v>45</v>
      </c>
      <c r="F56" s="371" t="n">
        <v>4841.0</v>
      </c>
      <c r="G56" s="9">
        <f si="1" t="shared"/>
        <v>3.5959760091793091E-3</v>
      </c>
    </row>
    <row r="57" spans="1:7" x14ac:dyDescent="0.25">
      <c r="A57">
        <v>46</v>
      </c>
      <c r="B57" s="6" t="n">
        <v>9429.771808621499</v>
      </c>
      <c r="C57" s="9">
        <f si="0" t="shared"/>
        <v>4.6453454986251641E-3</v>
      </c>
      <c r="E57" s="371">
        <v>46</v>
      </c>
      <c r="F57" s="371" t="n">
        <v>6864.0</v>
      </c>
      <c r="G57" s="9">
        <f si="1" t="shared"/>
        <v>2.7300706876031474E-3</v>
      </c>
    </row>
    <row r="58" spans="1:7" x14ac:dyDescent="0.25">
      <c r="A58">
        <v>47</v>
      </c>
      <c r="B58" s="6" t="n">
        <v>2893.2146146180003</v>
      </c>
      <c r="C58" s="9">
        <f si="0" t="shared"/>
        <v>1.4252711263155163E-3</v>
      </c>
      <c r="E58" s="371">
        <v>47</v>
      </c>
      <c r="F58" s="371" t="n">
        <v>5040.0</v>
      </c>
      <c r="G58" s="9">
        <f si="1" t="shared"/>
        <v>2.8614072972249285E-3</v>
      </c>
    </row>
    <row r="59" spans="1:7" x14ac:dyDescent="0.25">
      <c r="A59">
        <v>48</v>
      </c>
      <c r="B59" s="6" t="n">
        <v>1856.3849775777</v>
      </c>
      <c r="C59" s="9">
        <f si="0" t="shared"/>
        <v>9.1450246881070475E-4</v>
      </c>
      <c r="E59" s="371">
        <v>48</v>
      </c>
      <c r="F59" s="371" t="n">
        <v>5373.0</v>
      </c>
      <c r="G59" s="9">
        <f si="1" t="shared"/>
        <v>2.875151826138836E-3</v>
      </c>
    </row>
    <row r="60" spans="1:7" x14ac:dyDescent="0.25">
      <c r="A60">
        <v>49</v>
      </c>
      <c r="B60" s="6" t="n">
        <v>3974.9595683289</v>
      </c>
      <c r="C60" s="9">
        <f si="0" t="shared"/>
        <v>1.9581662115165238E-3</v>
      </c>
      <c r="E60" s="371">
        <v>49</v>
      </c>
      <c r="F60" s="371" t="n">
        <v>5534.0</v>
      </c>
      <c r="G60" s="9">
        <f si="1" t="shared"/>
        <v>2.8507171080696674E-3</v>
      </c>
    </row>
    <row r="61" spans="1:7" x14ac:dyDescent="0.25">
      <c r="A61">
        <v>50</v>
      </c>
      <c r="B61" s="6" t="n">
        <v>1058.475504325</v>
      </c>
      <c r="C61" s="9">
        <f si="0" t="shared"/>
        <v>5.2143196242836057E-4</v>
      </c>
      <c r="E61" s="371">
        <v>50</v>
      </c>
      <c r="F61" s="371" t="n">
        <v>2875.0</v>
      </c>
      <c r="G61" s="9">
        <f si="1" t="shared"/>
        <v>1.9975382021545311E-3</v>
      </c>
    </row>
    <row r="62" spans="1:7" x14ac:dyDescent="0.25">
      <c r="A62">
        <v>51</v>
      </c>
      <c r="B62" s="6" t="n">
        <v>814.0671532819</v>
      </c>
      <c r="C62" s="9">
        <f si="0" t="shared"/>
        <v>4.010301906371896E-4</v>
      </c>
      <c r="E62" s="371">
        <v>51</v>
      </c>
      <c r="F62" s="371" t="n">
        <v>3302.0</v>
      </c>
      <c r="G62" s="9">
        <f si="1" t="shared"/>
        <v>1.6223634684675054E-3</v>
      </c>
    </row>
    <row r="63" spans="1:7" x14ac:dyDescent="0.25">
      <c r="A63">
        <v>52</v>
      </c>
      <c r="B63" s="6" t="n">
        <v>12823.199834345</v>
      </c>
      <c r="C63" s="9">
        <f si="0" t="shared"/>
        <v>6.3170344773330767E-3</v>
      </c>
      <c r="E63" s="371">
        <v>52</v>
      </c>
      <c r="F63" s="371" t="n">
        <v>2427.0</v>
      </c>
      <c r="G63" s="9">
        <f si="1" t="shared"/>
        <v>1.6188000720824183E-3</v>
      </c>
    </row>
    <row r="64" spans="1:7" x14ac:dyDescent="0.25">
      <c r="A64">
        <v>53</v>
      </c>
      <c r="B64" s="6" t="n">
        <v>1475.37451594</v>
      </c>
      <c r="C64" s="9">
        <f si="0" t="shared"/>
        <v>7.2680702200471001E-4</v>
      </c>
      <c r="E64" s="371">
        <v>53</v>
      </c>
      <c r="F64" s="371" t="n">
        <v>2333.0</v>
      </c>
      <c r="G64" s="9">
        <f si="1" t="shared"/>
        <v>1.3719076082585274E-3</v>
      </c>
    </row>
    <row r="65" spans="1:7" x14ac:dyDescent="0.25">
      <c r="A65">
        <v>54</v>
      </c>
      <c r="B65" s="6" t="n">
        <v>5816.0031152033</v>
      </c>
      <c r="C65" s="9">
        <f si="0" t="shared"/>
        <v>2.8651111012567695E-3</v>
      </c>
      <c r="E65" s="371">
        <v>54</v>
      </c>
      <c r="F65" s="371" t="n">
        <v>2096.0</v>
      </c>
      <c r="G65" s="9">
        <f si="1" t="shared"/>
        <v>1.2487159046598026E-3</v>
      </c>
    </row>
    <row r="66" spans="1:7" x14ac:dyDescent="0.25">
      <c r="A66">
        <v>55</v>
      </c>
      <c r="B66" s="6" t="n">
        <v>662.957073809</v>
      </c>
      <c r="C66" s="9">
        <f si="0" t="shared"/>
        <v>3.2658952105125787E-4</v>
      </c>
      <c r="E66" s="371">
        <v>55</v>
      </c>
      <c r="F66" s="371" t="n">
        <v>2049.0</v>
      </c>
      <c r="G66" s="9">
        <f si="1" t="shared"/>
        <v>1.0858177841986786E-3</v>
      </c>
    </row>
    <row r="67" spans="1:7" x14ac:dyDescent="0.25">
      <c r="A67">
        <v>56</v>
      </c>
      <c r="B67" s="6" t="n">
        <v>106.37362877</v>
      </c>
      <c r="C67" s="9">
        <f si="0" t="shared"/>
        <v>5.240235581600786E-5</v>
      </c>
      <c r="E67" s="371">
        <v>56</v>
      </c>
      <c r="F67" s="371" t="n">
        <v>1732.0</v>
      </c>
      <c r="G67" s="9">
        <f si="1" t="shared"/>
        <v>1.184065713101794E-3</v>
      </c>
    </row>
    <row r="68" spans="1:7" x14ac:dyDescent="0.25">
      <c r="A68">
        <v>57</v>
      </c>
      <c r="B68" s="6" t="n">
        <v>1576.926795032</v>
      </c>
      <c r="C68" s="9">
        <f si="0" t="shared"/>
        <v>7.768342583079086E-4</v>
      </c>
      <c r="E68" s="371">
        <v>57</v>
      </c>
      <c r="F68" s="371" t="n">
        <v>1984.0</v>
      </c>
      <c r="G68" s="9">
        <f si="1" t="shared"/>
        <v>1.0873449540780018E-3</v>
      </c>
    </row>
    <row r="69" spans="1:7" x14ac:dyDescent="0.25">
      <c r="A69">
        <v>58</v>
      </c>
      <c r="B69" s="6" t="n">
        <v>4885.84852718</v>
      </c>
      <c r="C69" s="9">
        <f si="0" t="shared"/>
        <v>2.4068932868501623E-3</v>
      </c>
      <c r="E69" s="371">
        <v>58</v>
      </c>
      <c r="F69" s="371" t="n">
        <v>1519.0</v>
      </c>
      <c r="G69" s="9">
        <f si="1" t="shared"/>
        <v>8.7914079386362776E-4</v>
      </c>
    </row>
    <row r="70" spans="1:7" x14ac:dyDescent="0.25">
      <c r="A70">
        <v>59</v>
      </c>
      <c r="B70" s="6" t="n">
        <v>1504.4063101476</v>
      </c>
      <c r="C70" s="9">
        <f si="0" t="shared"/>
        <v>7.4110882243809731E-4</v>
      </c>
      <c r="E70" s="371">
        <v>59</v>
      </c>
      <c r="F70" s="371" t="n">
        <v>1656.0</v>
      </c>
      <c r="G70" s="9">
        <f si="1" t="shared"/>
        <v>1.0043687239681169E-3</v>
      </c>
    </row>
    <row r="71" spans="1:7" x14ac:dyDescent="0.25">
      <c r="A71">
        <v>60</v>
      </c>
      <c r="B71" s="6" t="n">
        <v>6053.1094642147</v>
      </c>
      <c r="C71" s="9">
        <f si="0" t="shared"/>
        <v>2.981915721074666E-3</v>
      </c>
      <c r="E71" s="371">
        <v>60</v>
      </c>
      <c r="F71" s="371" t="n">
        <v>1501.0</v>
      </c>
      <c r="G71" s="9">
        <f si="1" t="shared"/>
        <v>7.7020267580525127E-4</v>
      </c>
    </row>
    <row r="72" spans="1:7" x14ac:dyDescent="0.25">
      <c r="A72">
        <v>61</v>
      </c>
      <c r="B72" s="6" t="n">
        <v>6516.230696508</v>
      </c>
      <c r="C72" s="9">
        <f si="0" t="shared"/>
        <v>3.2100610225107478E-3</v>
      </c>
      <c r="E72" s="371">
        <v>61</v>
      </c>
      <c r="F72" s="371" t="n">
        <v>1170.0</v>
      </c>
      <c r="G72" s="9">
        <f si="1" t="shared"/>
        <v>7.0504342762080165E-4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1227.0</v>
      </c>
      <c r="G73" s="9">
        <f si="1" t="shared"/>
        <v>7.1013399388521181E-4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1165.0</v>
      </c>
      <c r="G74" s="9">
        <f si="1" t="shared"/>
        <v>6.36320783051265E-4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1116.0</v>
      </c>
      <c r="G75" s="9">
        <f si="1" t="shared"/>
        <v>6.582102179882286E-4</v>
      </c>
    </row>
    <row r="76" spans="1:7" x14ac:dyDescent="0.25">
      <c r="A76">
        <v>65</v>
      </c>
      <c r="B76" s="6" t="n">
        <v>6039.223909766</v>
      </c>
      <c r="C76" s="9">
        <f si="0" t="shared"/>
        <v>2.9750753436866145E-3</v>
      </c>
      <c r="E76" s="371">
        <v>65</v>
      </c>
      <c r="F76" s="371" t="n">
        <v>1016.0</v>
      </c>
      <c r="G76" s="9">
        <f si="1" t="shared"/>
        <v>5.7421587462546156E-4</v>
      </c>
    </row>
    <row r="77" spans="1:7" x14ac:dyDescent="0.25">
      <c r="A77">
        <v>66</v>
      </c>
      <c r="B77" s="6" t="n">
        <v>1262.824399592</v>
      </c>
      <c r="C77" s="9">
        <f ref="C77:C102" si="2" t="shared">B77/B$102</f>
        <v>6.220994271394026E-4</v>
      </c>
      <c r="E77" s="371">
        <v>66</v>
      </c>
      <c r="F77" s="371" t="n">
        <v>987.0</v>
      </c>
      <c r="G77" s="9">
        <f ref="G77:G102" si="3" t="shared">F77/F$102</f>
        <v>5.3807285414814968E-4</v>
      </c>
    </row>
    <row r="78" spans="1:7" x14ac:dyDescent="0.25">
      <c r="A78">
        <v>67</v>
      </c>
      <c r="B78" s="6" t="n">
        <v>2362.394573078</v>
      </c>
      <c r="C78" s="9">
        <f si="2" t="shared"/>
        <v>1.1637756690984732E-3</v>
      </c>
      <c r="E78" s="371">
        <v>67</v>
      </c>
      <c r="F78" s="371" t="n">
        <v>1189.0</v>
      </c>
      <c r="G78" s="9">
        <f si="3" t="shared"/>
        <v>5.1109285294677613E-4</v>
      </c>
    </row>
    <row r="79" spans="1:7" x14ac:dyDescent="0.25">
      <c r="A79">
        <v>68</v>
      </c>
      <c r="B79" s="6" t="n">
        <v>385.51800510500004</v>
      </c>
      <c r="C79" s="9">
        <f si="2" t="shared"/>
        <v>1.8991597739577375E-4</v>
      </c>
      <c r="E79" s="371">
        <v>68</v>
      </c>
      <c r="F79" s="371" t="n">
        <v>784.0</v>
      </c>
      <c r="G79" s="9">
        <f si="3" t="shared"/>
        <v>5.9203285655089698E-4</v>
      </c>
    </row>
    <row r="80" spans="1:7" x14ac:dyDescent="0.25">
      <c r="A80">
        <v>69</v>
      </c>
      <c r="B80" s="6" t="n">
        <v>2700.8750317959</v>
      </c>
      <c r="C80" s="9">
        <f si="2" t="shared"/>
        <v>1.3305197544474096E-3</v>
      </c>
      <c r="E80" s="371">
        <v>69</v>
      </c>
      <c r="F80" s="371" t="n">
        <v>1078.0</v>
      </c>
      <c r="G80" s="9">
        <f si="3" t="shared"/>
        <v>5.3094606137797553E-4</v>
      </c>
    </row>
    <row r="81" spans="1:7" x14ac:dyDescent="0.25">
      <c r="A81">
        <v>70</v>
      </c>
      <c r="B81" s="6" t="n">
        <v>3317.574433313</v>
      </c>
      <c r="C81" s="9">
        <f si="2" t="shared"/>
        <v>1.6343215692721401E-3</v>
      </c>
      <c r="E81" s="371">
        <v>70</v>
      </c>
      <c r="F81" s="371" t="n">
        <v>805.0</v>
      </c>
      <c r="G81" s="9">
        <f si="3" t="shared"/>
        <v>4.5407851078538275E-4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827.0</v>
      </c>
      <c r="G82" s="9">
        <f si="3" t="shared"/>
        <v>4.3473435898062429E-4</v>
      </c>
    </row>
    <row r="83" spans="1:7" x14ac:dyDescent="0.25">
      <c r="A83">
        <v>72</v>
      </c>
      <c r="B83" s="6" t="n">
        <v>10258.7789274218</v>
      </c>
      <c r="C83" s="9">
        <f si="2" t="shared"/>
        <v>5.0537354963689331E-3</v>
      </c>
      <c r="E83" s="371">
        <v>72</v>
      </c>
      <c r="F83" s="371" t="n">
        <v>752.0</v>
      </c>
      <c r="G83" s="9">
        <f si="3" t="shared"/>
        <v>4.270985095840091E-4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583.0</v>
      </c>
      <c r="G84" s="9">
        <f si="3" t="shared"/>
        <v>3.456494493534472E-4</v>
      </c>
    </row>
    <row r="85" spans="1:7" x14ac:dyDescent="0.25">
      <c r="A85">
        <v>74</v>
      </c>
      <c r="B85" s="6" t="n">
        <v>3967.364534988</v>
      </c>
      <c r="C85" s="9">
        <f si="2" t="shared"/>
        <v>1.9544247048652388E-3</v>
      </c>
      <c r="E85" s="371">
        <v>74</v>
      </c>
      <c r="F85" s="371" t="n">
        <v>653.0</v>
      </c>
      <c r="G85" s="9">
        <f si="3" t="shared"/>
        <v>3.4004982646259604E-4</v>
      </c>
    </row>
    <row r="86" spans="1:7" x14ac:dyDescent="0.25">
      <c r="A86">
        <v>75</v>
      </c>
      <c r="B86" s="6" t="n">
        <v>5834.957319452</v>
      </c>
      <c r="C86" s="9">
        <f si="2" t="shared"/>
        <v>2.8744484244893655E-3</v>
      </c>
      <c r="E86" s="371">
        <v>75</v>
      </c>
      <c r="F86" s="371" t="n">
        <v>619.0</v>
      </c>
      <c r="G86" s="9">
        <f si="3" t="shared"/>
        <v>3.5786680838803146E-4</v>
      </c>
    </row>
    <row r="87" spans="1:7" x14ac:dyDescent="0.25">
      <c r="A87">
        <v>76</v>
      </c>
      <c r="B87" s="6" t="n">
        <v>3993.8384281549997</v>
      </c>
      <c r="C87" s="9">
        <f si="2" t="shared"/>
        <v>1.9674664181696866E-3</v>
      </c>
      <c r="E87" s="371">
        <v>76</v>
      </c>
      <c r="F87" s="371" t="n">
        <v>541.0</v>
      </c>
      <c r="G87" s="9">
        <f si="3" t="shared"/>
        <v>3.1001548550257631E-4</v>
      </c>
    </row>
    <row r="88" spans="1:7" x14ac:dyDescent="0.25">
      <c r="A88">
        <v>77</v>
      </c>
      <c r="B88" s="6" t="n">
        <v>1083.714443592</v>
      </c>
      <c r="C88" s="9">
        <f si="2" t="shared"/>
        <v>5.3386530602282992E-4</v>
      </c>
      <c r="E88" s="371">
        <v>77</v>
      </c>
      <c r="F88" s="371" t="n">
        <v>502.0</v>
      </c>
      <c r="G88" s="9">
        <f si="3" t="shared"/>
        <v>2.8150831442187968E-4</v>
      </c>
    </row>
    <row r="89" spans="1:7" x14ac:dyDescent="0.25">
      <c r="A89">
        <v>78</v>
      </c>
      <c r="B89" s="6" t="n">
        <v>523.299985488</v>
      </c>
      <c r="C89" s="9">
        <f si="2" t="shared"/>
        <v>2.5779088628579013E-4</v>
      </c>
      <c r="E89" s="371">
        <v>78</v>
      </c>
      <c r="F89" s="371" t="n">
        <v>579.0</v>
      </c>
      <c r="G89" s="9">
        <f si="3" t="shared"/>
        <v>3.1663322164630952E-4</v>
      </c>
    </row>
    <row r="90" spans="1:7" x14ac:dyDescent="0.25">
      <c r="A90">
        <v>79</v>
      </c>
      <c r="B90" s="6" t="n">
        <v>649.4609449740001</v>
      </c>
      <c r="C90" s="9">
        <f si="2" t="shared"/>
        <v>3.1994098462801037E-4</v>
      </c>
      <c r="E90" s="371">
        <v>79</v>
      </c>
      <c r="F90" s="371" t="n">
        <v>473.0</v>
      </c>
      <c r="G90" s="9">
        <f si="3" t="shared"/>
        <v>3.6397548790532362E-4</v>
      </c>
    </row>
    <row r="91" spans="1:7" x14ac:dyDescent="0.25">
      <c r="A91">
        <v>80</v>
      </c>
      <c r="B91" s="6" t="n">
        <v>5404.0538728265</v>
      </c>
      <c r="C91" s="9">
        <f si="2" t="shared"/>
        <v>2.6621744239357448E-3</v>
      </c>
      <c r="E91" s="371">
        <v>80</v>
      </c>
      <c r="F91" s="371" t="n">
        <v>541.0</v>
      </c>
      <c r="G91" s="9">
        <f si="3" t="shared"/>
        <v>2.7030906864017741E-4</v>
      </c>
    </row>
    <row r="92" spans="1:7" x14ac:dyDescent="0.25">
      <c r="A92">
        <v>81</v>
      </c>
      <c r="B92" s="6" t="n">
        <v>668.711535771</v>
      </c>
      <c r="C92" s="9">
        <f si="2" t="shared"/>
        <v>3.294243154147594E-4</v>
      </c>
      <c r="E92" s="371">
        <v>81</v>
      </c>
      <c r="F92" s="371" t="n">
        <v>404.0</v>
      </c>
      <c r="G92" s="9">
        <f si="3" t="shared"/>
        <v>2.2958453852489643E-4</v>
      </c>
    </row>
    <row r="93" spans="1:7" x14ac:dyDescent="0.25">
      <c r="A93">
        <v>82</v>
      </c>
      <c r="B93" s="6" t="n">
        <v>3436.0861575477</v>
      </c>
      <c r="C93" s="9">
        <f si="2" t="shared"/>
        <v>1.6927034597230448E-3</v>
      </c>
      <c r="E93" s="371">
        <v>82</v>
      </c>
      <c r="F93" s="371" t="n">
        <v>440.0</v>
      </c>
      <c r="G93" s="9">
        <f si="3" t="shared"/>
        <v>2.2703925539269138E-4</v>
      </c>
    </row>
    <row r="94" spans="1:7" x14ac:dyDescent="0.25">
      <c r="A94">
        <v>83</v>
      </c>
      <c r="B94" s="6" t="n">
        <v>4707.4822341093995</v>
      </c>
      <c r="C94" s="9">
        <f si="2" t="shared"/>
        <v>2.3190255130123671E-3</v>
      </c>
      <c r="E94" s="371">
        <v>83</v>
      </c>
      <c r="F94" s="371" t="n">
        <v>393.0</v>
      </c>
      <c r="G94" s="9">
        <f si="3" t="shared"/>
        <v>1.8784189515673344E-4</v>
      </c>
    </row>
    <row r="95" spans="1:7" x14ac:dyDescent="0.25">
      <c r="A95">
        <v>84</v>
      </c>
      <c r="B95" s="6" t="n">
        <v>4050.4151157999</v>
      </c>
      <c r="C95" s="9">
        <f si="2" t="shared"/>
        <v>1.9953375338883162E-3</v>
      </c>
      <c r="E95" s="371">
        <v>84</v>
      </c>
      <c r="F95" s="371" t="n">
        <v>368.0</v>
      </c>
      <c r="G95" s="9">
        <f si="3" t="shared"/>
        <v>1.9293246142114358E-4</v>
      </c>
    </row>
    <row r="96" spans="1:7" x14ac:dyDescent="0.25">
      <c r="A96">
        <v>85</v>
      </c>
      <c r="B96" s="6" t="n">
        <v>745.6925231339001</v>
      </c>
      <c r="C96" s="9">
        <f si="2" t="shared"/>
        <v>3.6734710828648272E-4</v>
      </c>
      <c r="E96" s="371">
        <v>85</v>
      </c>
      <c r="F96" s="371" t="n">
        <v>411.0</v>
      </c>
      <c r="G96" s="9">
        <f si="3" t="shared"/>
        <v>2.2449397226048632E-4</v>
      </c>
    </row>
    <row r="97" spans="1:7" x14ac:dyDescent="0.25">
      <c r="A97">
        <v>86</v>
      </c>
      <c r="B97" s="6" t="n">
        <v>2097.1040707583998</v>
      </c>
      <c r="C97" s="9">
        <f si="2" t="shared"/>
        <v>1.0330868183193239E-3</v>
      </c>
      <c r="E97" s="371">
        <v>86</v>
      </c>
      <c r="F97" s="371" t="n">
        <v>369.0</v>
      </c>
      <c r="G97" s="9">
        <f si="3" t="shared"/>
        <v>1.903871782889385E-4</v>
      </c>
    </row>
    <row r="98" spans="1:7" x14ac:dyDescent="0.25">
      <c r="A98">
        <v>87</v>
      </c>
      <c r="B98" s="6" t="n">
        <v>2490.6570966944</v>
      </c>
      <c r="C98" s="9">
        <f si="2" t="shared"/>
        <v>1.2269610513978618E-3</v>
      </c>
      <c r="E98" s="371">
        <v>87</v>
      </c>
      <c r="F98" s="371" t="n">
        <v>385.0</v>
      </c>
      <c r="G98" s="9">
        <f si="3" t="shared"/>
        <v>1.9496868792690761E-4</v>
      </c>
    </row>
    <row r="99" spans="1:7" x14ac:dyDescent="0.25">
      <c r="A99">
        <v>88</v>
      </c>
      <c r="B99" s="6" t="n">
        <v>289.143108231</v>
      </c>
      <c r="C99" s="9">
        <f si="2" t="shared"/>
        <v>1.4243925129252063E-4</v>
      </c>
      <c r="E99" s="371">
        <v>88</v>
      </c>
      <c r="F99" s="371" t="n">
        <v>398.0</v>
      </c>
      <c r="G99" s="9">
        <f si="3" t="shared"/>
        <v>1.939505746740256E-4</v>
      </c>
    </row>
    <row r="100" spans="1:7" x14ac:dyDescent="0.25">
      <c r="A100">
        <v>89</v>
      </c>
      <c r="B100" s="6" t="n">
        <v>2614.6389136738</v>
      </c>
      <c r="C100" s="9">
        <f si="2" t="shared"/>
        <v>1.2880376487011021E-3</v>
      </c>
      <c r="E100" s="371">
        <v>89</v>
      </c>
      <c r="F100" s="371" t="n">
        <v>336.0</v>
      </c>
      <c r="G100" s="9">
        <f si="3" t="shared"/>
        <v>1.7562453612214915E-4</v>
      </c>
    </row>
    <row ht="15.75" r="101" spans="1:7" thickBot="1" x14ac:dyDescent="0.3">
      <c r="A101" s="1">
        <v>90</v>
      </c>
      <c r="B101" s="7" t="n">
        <v>50805.684478285</v>
      </c>
      <c r="C101" s="9">
        <f si="2" t="shared"/>
        <v>2.5028172736904539E-2</v>
      </c>
      <c r="E101" s="372">
        <v>90</v>
      </c>
      <c r="F101" s="372" t="n">
        <v>23878.0</v>
      </c>
      <c r="G101" s="9">
        <f si="3" t="shared"/>
        <v>1.2216849977957848E-2</v>
      </c>
    </row>
    <row r="102" spans="1:7" x14ac:dyDescent="0.25">
      <c r="B102" s="6">
        <f>SUM(B11:B101)</f>
        <v>2029939.8207113622</v>
      </c>
      <c r="C102" s="9">
        <f si="2" t="shared"/>
        <v>1</v>
      </c>
      <c r="F102" s="6">
        <f>SUM(F11:F101)</f>
        <v>1964418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L102"/>
  <sheetViews>
    <sheetView workbookViewId="0">
      <selection activeCell="A6" sqref="A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99734.6244811823</v>
      </c>
      <c r="C11" s="9">
        <f>B11/B$102</f>
        <v>0.12049175269376761</v>
      </c>
      <c r="E11" s="371">
        <v>0</v>
      </c>
      <c r="F11" s="371" t="n">
        <v>204065.0</v>
      </c>
      <c r="G11" s="9">
        <f>F11/F$102</f>
        <v>0.24101112530863605</v>
      </c>
      <c r="K11" s="6" t="n">
        <v>5.133613232373561</v>
      </c>
      <c r="L11" s="6" t="n">
        <v>4.963033038192764</v>
      </c>
    </row>
    <row r="12" spans="1:12" x14ac:dyDescent="0.25">
      <c r="A12">
        <v>1</v>
      </c>
      <c r="B12" s="6" t="n">
        <v>66863.8188759884</v>
      </c>
      <c r="C12" s="9">
        <f>B12/B$102</f>
        <v>8.0779756980852269E-2</v>
      </c>
      <c r="E12" s="371">
        <v>1</v>
      </c>
      <c r="F12" s="371" t="n">
        <v>115587.0</v>
      </c>
      <c r="G12" s="9">
        <f>F12/F$102</f>
        <v>0.13662248887949505</v>
      </c>
      <c r="K12" s="6"/>
      <c r="L12" s="371"/>
    </row>
    <row r="13" spans="1:12" x14ac:dyDescent="0.25">
      <c r="A13">
        <v>2</v>
      </c>
      <c r="B13" s="6" t="n">
        <v>56287.0601906336</v>
      </c>
      <c r="C13" s="9">
        <f ref="C13:C76" si="0" t="shared">B13/B$102</f>
        <v>6.8001725294796408E-2</v>
      </c>
      <c r="E13" s="371">
        <v>2</v>
      </c>
      <c r="F13" s="371" t="n">
        <v>66672.0</v>
      </c>
      <c r="G13" s="9">
        <f ref="G13:G76" si="1" t="shared">F13/F$102</f>
        <v>7.8875123694601632E-2</v>
      </c>
    </row>
    <row r="14" spans="1:12" x14ac:dyDescent="0.25">
      <c r="A14">
        <v>3</v>
      </c>
      <c r="B14" s="6" t="n">
        <v>110832.9786498835</v>
      </c>
      <c r="C14" s="9">
        <f si="0" t="shared"/>
        <v>0.13389993618831017</v>
      </c>
      <c r="E14" s="371">
        <v>3</v>
      </c>
      <c r="F14" s="371" t="n">
        <v>38159.0</v>
      </c>
      <c r="G14" s="9">
        <f si="1" t="shared"/>
        <v>4.4793057730552324E-2</v>
      </c>
    </row>
    <row r="15" spans="1:12" x14ac:dyDescent="0.25">
      <c r="A15">
        <v>4</v>
      </c>
      <c r="B15" s="6" t="n">
        <v>158008.07101755</v>
      </c>
      <c r="C15" s="9">
        <f si="0" t="shared"/>
        <v>0.19089327819405463</v>
      </c>
      <c r="E15" s="371">
        <v>4</v>
      </c>
      <c r="F15" s="371" t="n">
        <v>109571.0</v>
      </c>
      <c r="G15" s="9">
        <f si="1" t="shared"/>
        <v>0.1299718024345019</v>
      </c>
    </row>
    <row r="16" spans="1:12" x14ac:dyDescent="0.25">
      <c r="A16">
        <v>5</v>
      </c>
      <c r="B16" s="6" t="n">
        <v>97161.1988953487</v>
      </c>
      <c r="C16" s="9">
        <f si="0" t="shared"/>
        <v>0.11738273653336104</v>
      </c>
      <c r="E16" s="371">
        <v>5</v>
      </c>
      <c r="F16" s="371" t="n">
        <v>58989.0</v>
      </c>
      <c r="G16" s="9">
        <f si="1" t="shared"/>
        <v>7.0693266209997413E-2</v>
      </c>
    </row>
    <row r="17" spans="1:7" x14ac:dyDescent="0.25">
      <c r="A17">
        <v>6</v>
      </c>
      <c r="B17" s="6" t="n">
        <v>63476.4891383036</v>
      </c>
      <c r="C17" s="9">
        <f si="0" t="shared"/>
        <v>7.6687444013630229E-2</v>
      </c>
      <c r="E17" s="371">
        <v>6</v>
      </c>
      <c r="F17" s="371" t="n">
        <v>54659.0</v>
      </c>
      <c r="G17" s="9">
        <f si="1" t="shared"/>
        <v>6.6021693391105515E-2</v>
      </c>
    </row>
    <row r="18" spans="1:7" x14ac:dyDescent="0.25">
      <c r="A18">
        <v>7</v>
      </c>
      <c r="B18" s="6" t="n">
        <v>20608.0840047582</v>
      </c>
      <c r="C18" s="9">
        <f si="0" t="shared"/>
        <v>2.4897112455285968E-2</v>
      </c>
      <c r="E18" s="371">
        <v>7</v>
      </c>
      <c r="F18" s="371" t="n">
        <v>31999.0</v>
      </c>
      <c r="G18" s="9">
        <f si="1" t="shared"/>
        <v>3.7985050966979544E-2</v>
      </c>
    </row>
    <row r="19" spans="1:7" x14ac:dyDescent="0.25">
      <c r="A19">
        <v>8</v>
      </c>
      <c r="B19" s="6" t="n">
        <v>28640.0076767817</v>
      </c>
      <c r="C19" s="9">
        <f si="0" t="shared"/>
        <v>3.4600668926060792E-2</v>
      </c>
      <c r="E19" s="371">
        <v>8</v>
      </c>
      <c r="F19" s="371" t="n">
        <v>31233.0</v>
      </c>
      <c r="G19" s="9">
        <f si="1" t="shared"/>
        <v>3.5712913236042927E-2</v>
      </c>
    </row>
    <row r="20" spans="1:7" x14ac:dyDescent="0.25">
      <c r="A20">
        <v>9</v>
      </c>
      <c r="B20" s="6" t="n">
        <v>12865.8674469713</v>
      </c>
      <c r="C20" s="9">
        <f si="0" t="shared"/>
        <v>1.554355798375473E-2</v>
      </c>
      <c r="E20" s="371">
        <v>9</v>
      </c>
      <c r="F20" s="371" t="n">
        <v>17489.0</v>
      </c>
      <c r="G20" s="9">
        <f si="1" t="shared"/>
        <v>2.0565728669286271E-2</v>
      </c>
    </row>
    <row r="21" spans="1:7" x14ac:dyDescent="0.25">
      <c r="A21">
        <v>10</v>
      </c>
      <c r="B21" s="6" t="n">
        <v>38226.1467989727</v>
      </c>
      <c r="C21" s="9">
        <f si="0" t="shared"/>
        <v>4.618190974796834E-2</v>
      </c>
      <c r="E21" s="371">
        <v>10</v>
      </c>
      <c r="F21" s="371" t="n">
        <v>14221.0</v>
      </c>
      <c r="G21" s="9">
        <f si="1" t="shared"/>
        <v>1.796213744271619E-2</v>
      </c>
    </row>
    <row r="22" spans="1:7" x14ac:dyDescent="0.25">
      <c r="A22">
        <v>11</v>
      </c>
      <c r="B22" s="6" t="n">
        <v>7826.5269435087</v>
      </c>
      <c r="C22" s="9">
        <f si="0" t="shared"/>
        <v>9.4554118375037178E-3</v>
      </c>
      <c r="E22" s="371">
        <v>11</v>
      </c>
      <c r="F22" s="371" t="n">
        <v>13703.0</v>
      </c>
      <c r="G22" s="9">
        <f si="1" t="shared"/>
        <v>1.6414153544630935E-2</v>
      </c>
    </row>
    <row r="23" spans="1:7" x14ac:dyDescent="0.25">
      <c r="A23">
        <v>12</v>
      </c>
      <c r="B23" s="6" t="n">
        <v>6689.1261270045</v>
      </c>
      <c r="C23" s="9">
        <f si="0" t="shared"/>
        <v>8.0812910784510642E-3</v>
      </c>
      <c r="E23" s="371">
        <v>12</v>
      </c>
      <c r="F23" s="371" t="n">
        <v>10176.0</v>
      </c>
      <c r="G23" s="9">
        <f si="1" t="shared"/>
        <v>1.2182116882992113E-2</v>
      </c>
    </row>
    <row r="24" spans="1:7" x14ac:dyDescent="0.25">
      <c r="A24">
        <v>13</v>
      </c>
      <c r="B24" s="6" t="n">
        <v>13864.623215797401</v>
      </c>
      <c r="C24" s="9">
        <f si="0" t="shared"/>
        <v>1.6750178389906396E-2</v>
      </c>
      <c r="E24" s="371">
        <v>13</v>
      </c>
      <c r="F24" s="371" t="n">
        <v>9601.0</v>
      </c>
      <c r="G24" s="9">
        <f si="1" t="shared"/>
        <v>1.2364656489283003E-2</v>
      </c>
    </row>
    <row r="25" spans="1:7" x14ac:dyDescent="0.25">
      <c r="A25">
        <v>14</v>
      </c>
      <c r="B25" s="6" t="n">
        <v>3916.866872967</v>
      </c>
      <c r="C25" s="9">
        <f si="0" t="shared"/>
        <v>4.7320592727653678E-3</v>
      </c>
      <c r="E25" s="371">
        <v>14</v>
      </c>
      <c r="F25" s="371" t="n">
        <v>8380.0</v>
      </c>
      <c r="G25" s="9">
        <f si="1" t="shared"/>
        <v>1.0732608298826943E-2</v>
      </c>
    </row>
    <row r="26" spans="1:7" x14ac:dyDescent="0.25">
      <c r="A26">
        <v>15</v>
      </c>
      <c r="B26" s="6" t="n">
        <v>10321.8034266164</v>
      </c>
      <c r="C26" s="9">
        <f si="0" t="shared"/>
        <v>1.2470014223277126E-2</v>
      </c>
      <c r="E26" s="371">
        <v>15</v>
      </c>
      <c r="F26" s="371" t="n">
        <v>7339.0</v>
      </c>
      <c r="G26" s="9">
        <f si="1" t="shared"/>
        <v>9.1401904176314046E-3</v>
      </c>
    </row>
    <row r="27" spans="1:7" x14ac:dyDescent="0.25">
      <c r="A27">
        <v>16</v>
      </c>
      <c r="B27" s="6" t="n">
        <v>7911.9769347471</v>
      </c>
      <c r="C27" s="9">
        <f si="0" t="shared"/>
        <v>9.558645987785443E-3</v>
      </c>
      <c r="E27" s="371">
        <v>16</v>
      </c>
      <c r="F27" s="371" t="n">
        <v>7131.0</v>
      </c>
      <c r="G27" s="9">
        <f si="1" t="shared"/>
        <v>9.1906289930538884E-3</v>
      </c>
    </row>
    <row r="28" spans="1:7" x14ac:dyDescent="0.25">
      <c r="A28">
        <v>17</v>
      </c>
      <c r="B28" s="6" t="n">
        <v>2591.5978135515998</v>
      </c>
      <c r="C28" s="9">
        <f si="0" t="shared"/>
        <v>3.1309704574170815E-3</v>
      </c>
      <c r="E28" s="371">
        <v>17</v>
      </c>
      <c r="F28" s="371" t="n">
        <v>4916.0</v>
      </c>
      <c r="G28" s="9">
        <f si="1" t="shared"/>
        <v>6.5498092941481643E-3</v>
      </c>
    </row>
    <row r="29" spans="1:7" x14ac:dyDescent="0.25">
      <c r="A29">
        <v>18</v>
      </c>
      <c r="B29" s="6" t="n">
        <v>4600.4915824173</v>
      </c>
      <c r="C29" s="9">
        <f si="0" t="shared"/>
        <v>5.5579624117697759E-3</v>
      </c>
      <c r="E29" s="371">
        <v>18</v>
      </c>
      <c r="F29" s="371" t="n">
        <v>4396.0</v>
      </c>
      <c r="G29" s="9">
        <f si="1" t="shared"/>
        <v>5.946948226003247E-3</v>
      </c>
    </row>
    <row r="30" spans="1:7" x14ac:dyDescent="0.25">
      <c r="A30">
        <v>19</v>
      </c>
      <c r="B30" s="6" t="n">
        <v>402.0374973392</v>
      </c>
      <c r="C30" s="9">
        <f si="0" t="shared"/>
        <v>4.8571098507676342E-4</v>
      </c>
      <c r="E30" s="371">
        <v>19</v>
      </c>
      <c r="F30" s="371" t="n">
        <v>4258.0</v>
      </c>
      <c r="G30" s="9">
        <f si="1" t="shared"/>
        <v>5.2972513378231672E-3</v>
      </c>
    </row>
    <row r="31" spans="1:7" x14ac:dyDescent="0.25">
      <c r="A31">
        <v>20</v>
      </c>
      <c r="B31" s="6" t="n">
        <v>1086.216272507</v>
      </c>
      <c r="C31" s="9">
        <f si="0" t="shared"/>
        <v>1.3122835039455498E-3</v>
      </c>
      <c r="E31" s="371">
        <v>20</v>
      </c>
      <c r="F31" s="371" t="n">
        <v>2913.0</v>
      </c>
      <c r="G31" s="9">
        <f si="1" t="shared"/>
        <v>4.012268583012288E-3</v>
      </c>
    </row>
    <row r="32" spans="1:7" x14ac:dyDescent="0.25">
      <c r="A32">
        <v>21</v>
      </c>
      <c r="B32" s="6" t="n">
        <v>2507.3412075616</v>
      </c>
      <c r="C32" s="9">
        <f si="0" t="shared"/>
        <v>3.0291780640073211E-3</v>
      </c>
      <c r="E32" s="371">
        <v>21</v>
      </c>
      <c r="F32" s="371" t="n">
        <v>2658.0</v>
      </c>
      <c r="G32" s="9">
        <f si="1" t="shared"/>
        <v>3.4118093517922507E-3</v>
      </c>
    </row>
    <row r="33" spans="1:7" x14ac:dyDescent="0.25">
      <c r="A33">
        <v>22</v>
      </c>
      <c r="B33" s="6" t="n">
        <v>2371.829540066</v>
      </c>
      <c r="C33" s="9">
        <f si="0" t="shared"/>
        <v>2.8654632216249679E-3</v>
      </c>
      <c r="E33" s="371">
        <v>22</v>
      </c>
      <c r="F33" s="371" t="n">
        <v>2442.0</v>
      </c>
      <c r="G33" s="9">
        <f si="1" t="shared"/>
        <v>3.2448816855130806E-3</v>
      </c>
    </row>
    <row r="34" spans="1:7" x14ac:dyDescent="0.25">
      <c r="A34">
        <v>23</v>
      </c>
      <c r="B34" s="6" t="n">
        <v>1770.2506230066</v>
      </c>
      <c r="C34" s="9">
        <f si="0" t="shared"/>
        <v>2.1386815399655349E-3</v>
      </c>
      <c r="E34" s="371">
        <v>23</v>
      </c>
      <c r="F34" s="371" t="n">
        <v>2022.0</v>
      </c>
      <c r="G34" s="9">
        <f si="1" t="shared"/>
        <v>2.8305648159712548E-3</v>
      </c>
    </row>
    <row r="35" spans="1:7" x14ac:dyDescent="0.25">
      <c r="A35">
        <v>24</v>
      </c>
      <c r="B35" s="6" t="n">
        <v>736.563073278</v>
      </c>
      <c r="C35" s="9">
        <f si="0" t="shared"/>
        <v>8.8985922522342585E-4</v>
      </c>
      <c r="E35" s="371">
        <v>24</v>
      </c>
      <c r="F35" s="371" t="n">
        <v>1852.0</v>
      </c>
      <c r="G35" s="9">
        <f si="1" t="shared"/>
        <v>2.525531526511476E-3</v>
      </c>
    </row>
    <row r="36" spans="1:7" x14ac:dyDescent="0.25">
      <c r="A36">
        <v>25</v>
      </c>
      <c r="B36" s="6" t="n">
        <v>1160.436957656</v>
      </c>
      <c r="C36" s="9">
        <f si="0" t="shared"/>
        <v>1.4019512646280261E-3</v>
      </c>
      <c r="E36" s="371">
        <v>25</v>
      </c>
      <c r="F36" s="371" t="n">
        <v>1740.0</v>
      </c>
      <c r="G36" s="9">
        <f si="1" t="shared"/>
        <v>2.4750929510889931E-3</v>
      </c>
    </row>
    <row r="37" spans="1:7" x14ac:dyDescent="0.25">
      <c r="A37">
        <v>26</v>
      </c>
      <c r="B37" s="6" t="n">
        <v>1124.4476883681</v>
      </c>
      <c r="C37" s="9">
        <f si="0" t="shared"/>
        <v>1.3584717793717776E-3</v>
      </c>
      <c r="E37" s="371">
        <v>26</v>
      </c>
      <c r="F37" s="371" t="n">
        <v>1364.0</v>
      </c>
      <c r="G37" s="9">
        <f si="1" t="shared"/>
        <v>1.9190677029792386E-3</v>
      </c>
    </row>
    <row r="38" spans="1:7" x14ac:dyDescent="0.25">
      <c r="A38">
        <v>27</v>
      </c>
      <c r="B38" s="6" t="n">
        <v>306.240016457</v>
      </c>
      <c r="C38" s="9">
        <f si="0" t="shared"/>
        <v>3.6997578844681227E-4</v>
      </c>
      <c r="E38" s="371">
        <v>27</v>
      </c>
      <c r="F38" s="371" t="n">
        <v>1022.0</v>
      </c>
      <c r="G38" s="9">
        <f si="1" t="shared"/>
        <v>1.4182847041417277E-3</v>
      </c>
    </row>
    <row r="39" spans="1:7" x14ac:dyDescent="0.25">
      <c r="A39">
        <v>28</v>
      </c>
      <c r="B39" s="6" t="n">
        <v>948.557181251</v>
      </c>
      <c r="C39" s="9">
        <f si="0" t="shared"/>
        <v>1.145974308257985E-3</v>
      </c>
      <c r="E39" s="371">
        <v>28</v>
      </c>
      <c r="F39" s="371" t="n">
        <v>935.0</v>
      </c>
      <c r="G39" s="9">
        <f si="1" t="shared"/>
        <v>1.4459058287778492E-3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774.0</v>
      </c>
      <c r="G40" s="9">
        <f si="1" t="shared"/>
        <v>1.0928358008204676E-3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553.0</v>
      </c>
      <c r="G41" s="9">
        <f si="1" t="shared"/>
        <v>8.4904935294513248E-4</v>
      </c>
    </row>
    <row r="42" spans="1:7" x14ac:dyDescent="0.25">
      <c r="A42">
        <v>31</v>
      </c>
      <c r="B42" s="6" t="n">
        <v>61.6654467019</v>
      </c>
      <c r="C42" s="9">
        <f si="0" t="shared"/>
        <v>7.4499480921572537E-5</v>
      </c>
      <c r="E42" s="371">
        <v>31</v>
      </c>
      <c r="F42" s="371" t="n">
        <v>629.0</v>
      </c>
      <c r="G42" s="9">
        <f si="1" t="shared"/>
        <v>8.2743282062121108E-4</v>
      </c>
    </row>
    <row r="43" spans="1:7" x14ac:dyDescent="0.25">
      <c r="A43">
        <v>32</v>
      </c>
      <c r="B43" s="6" t="n">
        <v>290.873582631</v>
      </c>
      <c r="C43" s="9">
        <f si="0" t="shared"/>
        <v>3.5141123722922703E-4</v>
      </c>
      <c r="E43" s="371">
        <v>32</v>
      </c>
      <c r="F43" s="371" t="n">
        <v>463.0</v>
      </c>
      <c r="G43" s="9">
        <f si="1" t="shared"/>
        <v>7.4216760978796585E-4</v>
      </c>
    </row>
    <row r="44" spans="1:7" x14ac:dyDescent="0.25">
      <c r="A44">
        <v>33</v>
      </c>
      <c r="B44" s="6" t="n">
        <v>139.99557747</v>
      </c>
      <c r="C44" s="9">
        <f si="0" t="shared"/>
        <v>1.6913195980317847E-4</v>
      </c>
      <c r="E44" s="371">
        <v>33</v>
      </c>
      <c r="F44" s="371" t="n">
        <v>415.0</v>
      </c>
      <c r="G44" s="9">
        <f si="1" t="shared"/>
        <v>6.7251433896644154E-4</v>
      </c>
    </row>
    <row r="45" spans="1:7" x14ac:dyDescent="0.25">
      <c r="A45">
        <v>34</v>
      </c>
      <c r="B45" s="6" t="n">
        <v>1343.61970522</v>
      </c>
      <c r="C45" s="9">
        <f si="0" t="shared"/>
        <v>1.6232586634583174E-3</v>
      </c>
      <c r="E45" s="371">
        <v>34</v>
      </c>
      <c r="F45" s="371" t="n">
        <v>425.0</v>
      </c>
      <c r="G45" s="9">
        <f si="1" t="shared"/>
        <v>5.7403902504635544E-4</v>
      </c>
    </row>
    <row r="46" spans="1:7" x14ac:dyDescent="0.25">
      <c r="A46">
        <v>35</v>
      </c>
      <c r="B46" s="6" t="n">
        <v>342.481278879</v>
      </c>
      <c r="C46" s="9">
        <f si="0" t="shared"/>
        <v>4.1375971255318386E-4</v>
      </c>
      <c r="E46" s="371">
        <v>35</v>
      </c>
      <c r="F46" s="371" t="n">
        <v>343.0</v>
      </c>
      <c r="G46" s="9">
        <f si="1" t="shared"/>
        <v>4.3353156494086679E-4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444.0</v>
      </c>
      <c r="G47" s="9">
        <f si="1" t="shared"/>
        <v>6.3648678509323935E-4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295.0</v>
      </c>
      <c r="G48" s="9">
        <f si="1" t="shared"/>
        <v>4.2392421724134617E-4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291.0</v>
      </c>
      <c r="G49" s="9">
        <f si="1" t="shared"/>
        <v>4.4794258649014768E-4</v>
      </c>
    </row>
    <row r="50" spans="1:7" x14ac:dyDescent="0.25">
      <c r="A50">
        <v>39</v>
      </c>
      <c r="B50" s="6" t="n">
        <v>357.9078832048</v>
      </c>
      <c r="C50" s="9">
        <f si="0" t="shared"/>
        <v>4.3239695717107085E-4</v>
      </c>
      <c r="E50" s="371">
        <v>39</v>
      </c>
      <c r="F50" s="371" t="n">
        <v>241.0</v>
      </c>
      <c r="G50" s="9">
        <f si="1" t="shared"/>
        <v>3.7949023413106345E-4</v>
      </c>
    </row>
    <row r="51" spans="1:7" x14ac:dyDescent="0.25">
      <c r="A51">
        <v>40</v>
      </c>
      <c r="B51" s="6" t="n">
        <v>417.967608267</v>
      </c>
      <c r="C51" s="9">
        <f si="0" t="shared"/>
        <v>5.0495652789884441E-4</v>
      </c>
      <c r="E51" s="371">
        <v>40</v>
      </c>
      <c r="F51" s="371" t="n">
        <v>240.0</v>
      </c>
      <c r="G51" s="9">
        <f si="1" t="shared"/>
        <v>3.2304706639637996E-4</v>
      </c>
    </row>
    <row r="52" spans="1:7" x14ac:dyDescent="0.25">
      <c r="A52">
        <v>41</v>
      </c>
      <c r="B52" s="6" t="n">
        <v>1433.5707232769998</v>
      </c>
      <c r="C52" s="9">
        <f si="0" t="shared"/>
        <v>1.7319306104241537E-3</v>
      </c>
      <c r="E52" s="371">
        <v>41</v>
      </c>
      <c r="F52" s="371" t="n">
        <v>182.0</v>
      </c>
      <c r="G52" s="9">
        <f si="1" t="shared"/>
        <v>2.4018369248801483E-4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98.0</v>
      </c>
      <c r="G53" s="9">
        <f si="1" t="shared"/>
        <v>1.585212370420898E-4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74.0</v>
      </c>
      <c r="G54" s="9">
        <f si="1" t="shared"/>
        <v>1.4891388934256921E-4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40.0</v>
      </c>
      <c r="G55" s="9">
        <f si="1" t="shared"/>
        <v>1.1889092778156735E-4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59.0</v>
      </c>
      <c r="G56" s="9">
        <f si="1" t="shared"/>
        <v>1.1048449854448683E-4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37.0</v>
      </c>
      <c r="G57" s="9">
        <f si="1" t="shared"/>
        <v>7.4456944671284604E-5</v>
      </c>
    </row>
    <row r="58" spans="1:7" x14ac:dyDescent="0.25">
      <c r="A58">
        <v>47</v>
      </c>
      <c r="B58" s="6" t="n">
        <v>381.900134436</v>
      </c>
      <c r="C58" s="9">
        <f si="0" t="shared"/>
        <v>4.6138256188913877E-4</v>
      </c>
      <c r="E58" s="371">
        <v>47</v>
      </c>
      <c r="F58" s="371" t="n">
        <v>56.0</v>
      </c>
      <c r="G58" s="9">
        <f si="1" t="shared"/>
        <v>6.2447760046883862E-5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37.0</v>
      </c>
      <c r="G59" s="9">
        <f si="1" t="shared"/>
        <v>4.8036738497602967E-5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43.0</v>
      </c>
      <c r="G60" s="9">
        <f si="1" t="shared"/>
        <v>6.3648678509323933E-5</v>
      </c>
    </row>
    <row r="61" spans="1:7" x14ac:dyDescent="0.25">
      <c r="A61">
        <v>50</v>
      </c>
      <c r="B61" s="6" t="n">
        <v>14.08625</v>
      </c>
      <c r="C61" s="9">
        <f si="0" t="shared"/>
        <v>1.7017930936340188E-5</v>
      </c>
      <c r="E61" s="371">
        <v>50</v>
      </c>
      <c r="F61" s="371" t="n">
        <v>28.0</v>
      </c>
      <c r="G61" s="9">
        <f si="1" t="shared"/>
        <v>4.9237656960043044E-5</v>
      </c>
    </row>
    <row r="62" spans="1:7" x14ac:dyDescent="0.25">
      <c r="A62">
        <v>51</v>
      </c>
      <c r="B62" s="6" t="n">
        <v>41.7609222283</v>
      </c>
      <c r="C62" s="9">
        <f si="0" t="shared"/>
        <v>5.0452355333682363E-5</v>
      </c>
      <c r="E62" s="371">
        <v>51</v>
      </c>
      <c r="F62" s="371" t="n">
        <v>32.0</v>
      </c>
      <c r="G62" s="9">
        <f si="1" t="shared"/>
        <v>3.7228472335642302E-5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23.0</v>
      </c>
      <c r="G63" s="9">
        <f si="1" t="shared"/>
        <v>3.2424798485882001E-5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16.0</v>
      </c>
      <c r="G64" s="9">
        <f si="1" t="shared"/>
        <v>2.4018369248801483E-5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13.0</v>
      </c>
      <c r="G65" s="9">
        <f si="1" t="shared"/>
        <v>1.441102154928089E-5</v>
      </c>
    </row>
    <row r="66" spans="1:7" x14ac:dyDescent="0.25">
      <c r="A66">
        <v>55</v>
      </c>
      <c r="B66" s="6" t="n">
        <v>4.59375</v>
      </c>
      <c r="C66" s="9">
        <f si="0" t="shared"/>
        <v>5.5498177470095129E-6</v>
      </c>
      <c r="E66" s="371">
        <v>55</v>
      </c>
      <c r="F66" s="371" t="n">
        <v>4.0</v>
      </c>
      <c r="G66" s="9">
        <f si="1" t="shared"/>
        <v>1.9214695399041186E-5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4.0</v>
      </c>
      <c r="G67" s="9">
        <f si="1" t="shared"/>
        <v>1.6812858474161039E-5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7.0</v>
      </c>
      <c r="G68" s="9">
        <f si="1" t="shared"/>
        <v>1.0808266161960668E-5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1.0</v>
      </c>
      <c r="G69" s="9">
        <f si="1" t="shared"/>
        <v>6.0045923122003709E-6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1.0</v>
      </c>
      <c r="G70" s="9">
        <f si="1" t="shared"/>
        <v>2.4018369248801483E-6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3.0</v>
      </c>
      <c r="G71" s="9">
        <f si="1" t="shared"/>
        <v>1.0808266161960668E-5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3.6027553873202226E-6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3.6027553873202226E-6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3.0</v>
      </c>
      <c r="G74" s="9">
        <f si="1" t="shared"/>
        <v>4.8036738497602965E-6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4.8036738497602965E-6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4.8036738497602965E-6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2.4018369248801483E-6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1.2009184624400741E-6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2.4018369248801483E-6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1.2009184624400741E-6</v>
      </c>
    </row>
    <row r="82" spans="1:7" x14ac:dyDescent="0.25">
      <c r="A82">
        <v>71</v>
      </c>
      <c r="B82" s="6" t="n">
        <v>58.1809956208</v>
      </c>
      <c r="C82" s="9">
        <f si="2" t="shared"/>
        <v>7.0289833368162948E-5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2.4018369248801483E-6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2.0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1.2009184624400741E-6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827729.88400841015</v>
      </c>
      <c r="C102" s="9">
        <f si="2" t="shared"/>
        <v>1</v>
      </c>
      <c r="F102" s="6">
        <f>SUM(F11:F101)</f>
        <v>832696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L102"/>
  <sheetViews>
    <sheetView workbookViewId="0">
      <selection activeCell="A4" sqref="A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8705.0</v>
      </c>
      <c r="G11" s="9">
        <f>F11/F$102</f>
        <v>1.0128546312219586E-2</v>
      </c>
      <c r="K11" s="6" t="n">
        <v>27.432840636719497</v>
      </c>
      <c r="L11" s="6" t="n">
        <v>19.088007850802562</v>
      </c>
    </row>
    <row r="12" spans="1:12" x14ac:dyDescent="0.25">
      <c r="A12">
        <v>1</v>
      </c>
      <c r="B12" s="6" t="n">
        <v>193.998839214</v>
      </c>
      <c r="C12" s="9">
        <f>B12/B$102</f>
        <v>2.3437457431708345E-4</v>
      </c>
      <c r="E12" s="371">
        <v>1</v>
      </c>
      <c r="F12" s="371" t="n">
        <v>29319.0</v>
      </c>
      <c r="G12" s="9">
        <f>F12/F$102</f>
        <v>3.4457953442793045E-2</v>
      </c>
      <c r="K12" s="6"/>
      <c r="L12" s="371"/>
    </row>
    <row r="13" spans="1:12" x14ac:dyDescent="0.25">
      <c r="A13">
        <v>2</v>
      </c>
      <c r="B13" s="6" t="n">
        <v>1261.3043626441001</v>
      </c>
      <c r="C13" s="9">
        <f ref="C13:C76" si="0" t="shared">B13/B$102</f>
        <v>1.5238115561758364E-3</v>
      </c>
      <c r="E13" s="371">
        <v>2</v>
      </c>
      <c r="F13" s="371" t="n">
        <v>31820.0</v>
      </c>
      <c r="G13" s="9">
        <f ref="G13:G76" si="1" t="shared">F13/F$102</f>
        <v>3.7322143975712624E-2</v>
      </c>
    </row>
    <row r="14" spans="1:12" x14ac:dyDescent="0.25">
      <c r="A14">
        <v>3</v>
      </c>
      <c r="B14" s="6" t="n">
        <v>10100.747637068</v>
      </c>
      <c r="C14" s="9">
        <f si="0" t="shared"/>
        <v>1.2202951508955511E-2</v>
      </c>
      <c r="E14" s="371">
        <v>3</v>
      </c>
      <c r="F14" s="371" t="n">
        <v>33897.0</v>
      </c>
      <c r="G14" s="9">
        <f si="1" t="shared"/>
        <v>3.9878899382247542E-2</v>
      </c>
    </row>
    <row r="15" spans="1:12" x14ac:dyDescent="0.25">
      <c r="A15">
        <v>4</v>
      </c>
      <c r="B15" s="6" t="n">
        <v>8791.3304586005</v>
      </c>
      <c r="C15" s="9">
        <f si="0" t="shared"/>
        <v>1.0621013724945052E-2</v>
      </c>
      <c r="E15" s="371">
        <v>4</v>
      </c>
      <c r="F15" s="371" t="n">
        <v>34261.0</v>
      </c>
      <c r="G15" s="9">
        <f si="1" t="shared"/>
        <v>4.1041388453889535E-2</v>
      </c>
    </row>
    <row r="16" spans="1:12" x14ac:dyDescent="0.25">
      <c r="A16">
        <v>5</v>
      </c>
      <c r="B16" s="6" t="n">
        <v>21057.7362336818</v>
      </c>
      <c r="C16" s="9">
        <f si="0" t="shared"/>
        <v>2.5440347920877824E-2</v>
      </c>
      <c r="E16" s="371">
        <v>5</v>
      </c>
      <c r="F16" s="371" t="n">
        <v>34154.0</v>
      </c>
      <c r="G16" s="9">
        <f si="1" t="shared"/>
        <v>4.0523792596577859E-2</v>
      </c>
    </row>
    <row r="17" spans="1:7" x14ac:dyDescent="0.25">
      <c r="A17">
        <v>6</v>
      </c>
      <c r="B17" s="6" t="n">
        <v>16944.011316876</v>
      </c>
      <c r="C17" s="9">
        <f si="0" t="shared"/>
        <v>2.0470459801236126E-2</v>
      </c>
      <c r="E17" s="371">
        <v>6</v>
      </c>
      <c r="F17" s="371" t="n">
        <v>32172.0</v>
      </c>
      <c r="G17" s="9">
        <f si="1" t="shared"/>
        <v>3.8264864968728086E-2</v>
      </c>
    </row>
    <row r="18" spans="1:7" x14ac:dyDescent="0.25">
      <c r="A18">
        <v>7</v>
      </c>
      <c r="B18" s="6" t="n">
        <v>19388.4705215282</v>
      </c>
      <c r="C18" s="9">
        <f si="0" t="shared"/>
        <v>2.3423668634067588E-2</v>
      </c>
      <c r="E18" s="371">
        <v>7</v>
      </c>
      <c r="F18" s="371" t="n">
        <v>30235.0</v>
      </c>
      <c r="G18" s="9">
        <f si="1" t="shared"/>
        <v>3.5264970649552779E-2</v>
      </c>
    </row>
    <row r="19" spans="1:7" x14ac:dyDescent="0.25">
      <c r="A19">
        <v>8</v>
      </c>
      <c r="B19" s="6" t="n">
        <v>11538.2597059862</v>
      </c>
      <c r="C19" s="9">
        <f si="0" t="shared"/>
        <v>1.3939643752029817E-2</v>
      </c>
      <c r="E19" s="371">
        <v>8</v>
      </c>
      <c r="F19" s="371" t="n">
        <v>27106.0</v>
      </c>
      <c r="G19" s="9">
        <f si="1" t="shared"/>
        <v>3.2004477024027977E-2</v>
      </c>
    </row>
    <row r="20" spans="1:7" x14ac:dyDescent="0.25">
      <c r="A20">
        <v>9</v>
      </c>
      <c r="B20" s="6" t="n">
        <v>27215.8770255288</v>
      </c>
      <c r="C20" s="9">
        <f si="0" t="shared"/>
        <v>3.2880143089351443E-2</v>
      </c>
      <c r="E20" s="371">
        <v>9</v>
      </c>
      <c r="F20" s="371" t="n">
        <v>23671.0</v>
      </c>
      <c r="G20" s="9">
        <f si="1" t="shared"/>
        <v>2.8073870896461614E-2</v>
      </c>
    </row>
    <row r="21" spans="1:7" x14ac:dyDescent="0.25">
      <c r="A21">
        <v>10</v>
      </c>
      <c r="B21" s="6" t="n">
        <v>8595.7013775267</v>
      </c>
      <c r="C21" s="9">
        <f si="0" t="shared"/>
        <v>1.0384669616977807E-2</v>
      </c>
      <c r="E21" s="371">
        <v>10</v>
      </c>
      <c r="F21" s="371" t="n">
        <v>21302.0</v>
      </c>
      <c r="G21" s="9">
        <f si="1" t="shared"/>
        <v>2.5099195864997551E-2</v>
      </c>
    </row>
    <row r="22" spans="1:7" x14ac:dyDescent="0.25">
      <c r="A22">
        <v>11</v>
      </c>
      <c r="B22" s="6" t="n">
        <v>12579.7285983122</v>
      </c>
      <c r="C22" s="9">
        <f si="0" t="shared"/>
        <v>1.5197866890334944E-2</v>
      </c>
      <c r="E22" s="371">
        <v>11</v>
      </c>
      <c r="F22" s="371" t="n">
        <v>18593.0</v>
      </c>
      <c r="G22" s="9">
        <f si="1" t="shared"/>
        <v>2.1884337141045471E-2</v>
      </c>
    </row>
    <row r="23" spans="1:7" x14ac:dyDescent="0.25">
      <c r="A23">
        <v>12</v>
      </c>
      <c r="B23" s="6" t="n">
        <v>12466.883373857001</v>
      </c>
      <c r="C23" s="9">
        <f si="0" t="shared"/>
        <v>1.5061535912517967E-2</v>
      </c>
      <c r="E23" s="371">
        <v>12</v>
      </c>
      <c r="F23" s="371" t="n">
        <v>17056.0</v>
      </c>
      <c r="G23" s="9">
        <f si="1" t="shared"/>
        <v>2.0155014555131766E-2</v>
      </c>
    </row>
    <row r="24" spans="1:7" x14ac:dyDescent="0.25">
      <c r="A24">
        <v>13</v>
      </c>
      <c r="B24" s="6" t="n">
        <v>23774.6987384881</v>
      </c>
      <c r="C24" s="9">
        <f si="0" t="shared"/>
        <v>2.8722774419301426E-2</v>
      </c>
      <c r="E24" s="371">
        <v>13</v>
      </c>
      <c r="F24" s="371" t="n">
        <v>15177.0</v>
      </c>
      <c r="G24" s="9">
        <f si="1" t="shared"/>
        <v>1.8095439392047039E-2</v>
      </c>
    </row>
    <row r="25" spans="1:7" x14ac:dyDescent="0.25">
      <c r="A25">
        <v>14</v>
      </c>
      <c r="B25" s="6" t="n">
        <v>24776.0882145826</v>
      </c>
      <c r="C25" s="9">
        <f si="0" t="shared"/>
        <v>2.9932576669336325E-2</v>
      </c>
      <c r="E25" s="371">
        <v>14</v>
      </c>
      <c r="F25" s="371" t="n">
        <v>13043.0</v>
      </c>
      <c r="G25" s="9">
        <f si="1" t="shared"/>
        <v>1.5424596731580312E-2</v>
      </c>
    </row>
    <row r="26" spans="1:7" x14ac:dyDescent="0.25">
      <c r="A26">
        <v>15</v>
      </c>
      <c r="B26" s="6" t="n">
        <v>19898.5972249723</v>
      </c>
      <c r="C26" s="9">
        <f si="0" t="shared"/>
        <v>2.4039964738992222E-2</v>
      </c>
      <c r="E26" s="371">
        <v>15</v>
      </c>
      <c r="F26" s="371" t="n">
        <v>11939.0</v>
      </c>
      <c r="G26" s="9">
        <f si="1" t="shared"/>
        <v>1.4151623161393834E-2</v>
      </c>
    </row>
    <row r="27" spans="1:7" x14ac:dyDescent="0.25">
      <c r="A27">
        <v>16</v>
      </c>
      <c r="B27" s="6" t="n">
        <v>29893.4061617485</v>
      </c>
      <c r="C27" s="9">
        <f si="0" t="shared"/>
        <v>3.6114929204905652E-2</v>
      </c>
      <c r="E27" s="371">
        <v>16</v>
      </c>
      <c r="F27" s="371" t="n">
        <v>10788.0</v>
      </c>
      <c r="G27" s="9">
        <f si="1" t="shared"/>
        <v>1.2674493452592544E-2</v>
      </c>
    </row>
    <row r="28" spans="1:7" x14ac:dyDescent="0.25">
      <c r="A28">
        <v>17</v>
      </c>
      <c r="B28" s="6" t="n">
        <v>18307.9495975561</v>
      </c>
      <c r="C28" s="9">
        <f si="0" t="shared"/>
        <v>2.2118265815047077E-2</v>
      </c>
      <c r="E28" s="371">
        <v>17</v>
      </c>
      <c r="F28" s="371" t="n">
        <v>9727.0</v>
      </c>
      <c r="G28" s="9">
        <f si="1" t="shared"/>
        <v>1.1562442956373034E-2</v>
      </c>
    </row>
    <row r="29" spans="1:7" x14ac:dyDescent="0.25">
      <c r="A29">
        <v>18</v>
      </c>
      <c r="B29" s="6" t="n">
        <v>64111.6141650007</v>
      </c>
      <c r="C29" s="9">
        <f si="0" t="shared"/>
        <v>7.7454753541735477E-2</v>
      </c>
      <c r="E29" s="371">
        <v>18</v>
      </c>
      <c r="F29" s="371" t="n">
        <v>73863.0</v>
      </c>
      <c r="G29" s="9">
        <f si="1" t="shared"/>
        <v>8.8164228001575612E-2</v>
      </c>
    </row>
    <row r="30" spans="1:7" x14ac:dyDescent="0.25">
      <c r="A30">
        <v>19</v>
      </c>
      <c r="B30" s="6" t="n">
        <v>34934.0342878927</v>
      </c>
      <c r="C30" s="9">
        <f si="0" t="shared"/>
        <v>4.2204630958494846E-2</v>
      </c>
      <c r="E30" s="371">
        <v>19</v>
      </c>
      <c r="F30" s="371" t="n">
        <v>27513.0</v>
      </c>
      <c r="G30" s="9">
        <f si="1" t="shared"/>
        <v>3.2108956930260266E-2</v>
      </c>
    </row>
    <row r="31" spans="1:7" x14ac:dyDescent="0.25">
      <c r="A31">
        <v>20</v>
      </c>
      <c r="B31" s="6" t="n">
        <v>67232.0745934324</v>
      </c>
      <c r="C31" s="9">
        <f si="0" t="shared"/>
        <v>8.122465540068538E-2</v>
      </c>
      <c r="E31" s="371">
        <v>20</v>
      </c>
      <c r="F31" s="371" t="n">
        <v>28967.0</v>
      </c>
      <c r="G31" s="9">
        <f si="1" t="shared"/>
        <v>3.4943124501618836E-2</v>
      </c>
    </row>
    <row r="32" spans="1:7" x14ac:dyDescent="0.25">
      <c r="A32">
        <v>21</v>
      </c>
      <c r="B32" s="6" t="n">
        <v>39999.7503910708</v>
      </c>
      <c r="C32" s="9">
        <f si="0" t="shared"/>
        <v>4.8324642088993827E-2</v>
      </c>
      <c r="E32" s="371">
        <v>21</v>
      </c>
      <c r="F32" s="371" t="n">
        <v>32657.0</v>
      </c>
      <c r="G32" s="9">
        <f si="1" t="shared"/>
        <v>3.8130362100934796E-2</v>
      </c>
    </row>
    <row r="33" spans="1:7" x14ac:dyDescent="0.25">
      <c r="A33">
        <v>22</v>
      </c>
      <c r="B33" s="6" t="n">
        <v>31371.3109664737</v>
      </c>
      <c r="C33" s="9">
        <f si="0" t="shared"/>
        <v>3.7900420865020927E-2</v>
      </c>
      <c r="E33" s="371">
        <v>22</v>
      </c>
      <c r="F33" s="371" t="n">
        <v>29641.0</v>
      </c>
      <c r="G33" s="9">
        <f si="1" t="shared"/>
        <v>3.5591620471336481E-2</v>
      </c>
    </row>
    <row r="34" spans="1:7" x14ac:dyDescent="0.25">
      <c r="A34">
        <v>23</v>
      </c>
      <c r="B34" s="6" t="n">
        <v>14483.9621031227</v>
      </c>
      <c r="C34" s="9">
        <f si="0" t="shared"/>
        <v>1.7498416310622822E-2</v>
      </c>
      <c r="E34" s="371">
        <v>23</v>
      </c>
      <c r="F34" s="371" t="n">
        <v>26291.0</v>
      </c>
      <c r="G34" s="9">
        <f si="1" t="shared"/>
        <v>3.0408456387445118E-2</v>
      </c>
    </row>
    <row r="35" spans="1:7" x14ac:dyDescent="0.25">
      <c r="A35">
        <v>24</v>
      </c>
      <c r="B35" s="6" t="n">
        <v>21641.0403248742</v>
      </c>
      <c r="C35" s="9">
        <f si="0" t="shared"/>
        <v>2.6145051354282522E-2</v>
      </c>
      <c r="E35" s="371">
        <v>24</v>
      </c>
      <c r="F35" s="371" t="n">
        <v>18939.0</v>
      </c>
      <c r="G35" s="9">
        <f si="1" t="shared"/>
        <v>2.1449604657642164E-2</v>
      </c>
    </row>
    <row r="36" spans="1:7" x14ac:dyDescent="0.25">
      <c r="A36">
        <v>25</v>
      </c>
      <c r="B36" s="6" t="n">
        <v>18315.0773149931</v>
      </c>
      <c r="C36" s="9">
        <f si="0" t="shared"/>
        <v>2.2126876978634025E-2</v>
      </c>
      <c r="E36" s="371">
        <v>25</v>
      </c>
      <c r="F36" s="371" t="n">
        <v>17882.0</v>
      </c>
      <c r="G36" s="9">
        <f si="1" t="shared"/>
        <v>2.1713806719378982E-2</v>
      </c>
    </row>
    <row r="37" spans="1:7" x14ac:dyDescent="0.25">
      <c r="A37">
        <v>26</v>
      </c>
      <c r="B37" s="6" t="n">
        <v>27253.7314687657</v>
      </c>
      <c r="C37" s="9">
        <f si="0" t="shared"/>
        <v>3.292587593525715E-2</v>
      </c>
      <c r="E37" s="371">
        <v>26</v>
      </c>
      <c r="F37" s="371" t="n">
        <v>14888.0</v>
      </c>
      <c r="G37" s="9">
        <f si="1" t="shared"/>
        <v>1.8380057067645336E-2</v>
      </c>
    </row>
    <row r="38" spans="1:7" x14ac:dyDescent="0.25">
      <c r="A38">
        <v>27</v>
      </c>
      <c r="B38" s="6" t="n">
        <v>13933.790947589</v>
      </c>
      <c r="C38" s="9">
        <f si="0" t="shared"/>
        <v>1.6833741558432636E-2</v>
      </c>
      <c r="E38" s="371">
        <v>27</v>
      </c>
      <c r="F38" s="371" t="n">
        <v>14222.0</v>
      </c>
      <c r="G38" s="9">
        <f si="1" t="shared"/>
        <v>1.5801685128786495E-2</v>
      </c>
    </row>
    <row r="39" spans="1:7" x14ac:dyDescent="0.25">
      <c r="A39">
        <v>28</v>
      </c>
      <c r="B39" s="6" t="n">
        <v>13873.6430692714</v>
      </c>
      <c r="C39" s="9">
        <f si="0" t="shared"/>
        <v>1.6761075487677374E-2</v>
      </c>
      <c r="E39" s="371">
        <v>28</v>
      </c>
      <c r="F39" s="371" t="n">
        <v>13242.0</v>
      </c>
      <c r="G39" s="9">
        <f si="1" t="shared"/>
        <v>1.6422559973868014E-2</v>
      </c>
    </row>
    <row r="40" spans="1:7" x14ac:dyDescent="0.25">
      <c r="A40">
        <v>29</v>
      </c>
      <c r="B40" s="6" t="n">
        <v>10175.7087463841</v>
      </c>
      <c r="C40" s="9">
        <f si="0" t="shared"/>
        <v>1.2293513793541747E-2</v>
      </c>
      <c r="E40" s="371">
        <v>29</v>
      </c>
      <c r="F40" s="371" t="n">
        <v>11277.0</v>
      </c>
      <c r="G40" s="9">
        <f si="1" t="shared"/>
        <v>1.3198093902216415E-2</v>
      </c>
    </row>
    <row r="41" spans="1:7" x14ac:dyDescent="0.25">
      <c r="A41">
        <v>30</v>
      </c>
      <c r="B41" s="6" t="n">
        <v>9297.3868442496</v>
      </c>
      <c r="C41" s="9">
        <f si="0" t="shared"/>
        <v>1.123239238291792E-2</v>
      </c>
      <c r="E41" s="371">
        <v>30</v>
      </c>
      <c r="F41" s="371" t="n">
        <v>9738.0</v>
      </c>
      <c r="G41" s="9">
        <f si="1" t="shared"/>
        <v>1.2433108841642088E-2</v>
      </c>
    </row>
    <row r="42" spans="1:7" x14ac:dyDescent="0.25">
      <c r="A42">
        <v>31</v>
      </c>
      <c r="B42" s="6" t="n">
        <v>5360.1951048411</v>
      </c>
      <c r="C42" s="9">
        <f si="0" t="shared"/>
        <v>6.4757781595168769E-3</v>
      </c>
      <c r="E42" s="371">
        <v>31</v>
      </c>
      <c r="F42" s="371" t="n">
        <v>8073.0</v>
      </c>
      <c r="G42" s="9">
        <f si="1" t="shared"/>
        <v>1.1162537108380489E-2</v>
      </c>
    </row>
    <row r="43" spans="1:7" x14ac:dyDescent="0.25">
      <c r="A43">
        <v>32</v>
      </c>
      <c r="B43" s="6" t="n">
        <v>2913.8867434077</v>
      </c>
      <c r="C43" s="9">
        <f si="0" t="shared"/>
        <v>3.5203353167542438E-3</v>
      </c>
      <c r="E43" s="371">
        <v>32</v>
      </c>
      <c r="F43" s="371" t="n">
        <v>10351.0</v>
      </c>
      <c r="G43" s="9">
        <f si="1" t="shared"/>
        <v>1.0924755252817355E-2</v>
      </c>
    </row>
    <row r="44" spans="1:7" x14ac:dyDescent="0.25">
      <c r="A44">
        <v>33</v>
      </c>
      <c r="B44" s="6" t="n">
        <v>8293.4907287759</v>
      </c>
      <c r="C44" s="9">
        <f si="0" t="shared"/>
        <v>1.0019561802714416E-2</v>
      </c>
      <c r="E44" s="371">
        <v>33</v>
      </c>
      <c r="F44" s="371" t="n">
        <v>7525.0</v>
      </c>
      <c r="G44" s="9">
        <f si="1" t="shared"/>
        <v>1.0139354578381546E-2</v>
      </c>
    </row>
    <row r="45" spans="1:7" x14ac:dyDescent="0.25">
      <c r="A45">
        <v>34</v>
      </c>
      <c r="B45" s="6" t="n">
        <v>11042.4657995426</v>
      </c>
      <c r="C45" s="9">
        <f si="0" t="shared"/>
        <v>1.3340663437289168E-2</v>
      </c>
      <c r="E45" s="371">
        <v>34</v>
      </c>
      <c r="F45" s="371" t="n">
        <v>8890.0</v>
      </c>
      <c r="G45" s="9">
        <f si="1" t="shared"/>
        <v>1.0620922881820016E-2</v>
      </c>
    </row>
    <row r="46" spans="1:7" x14ac:dyDescent="0.25">
      <c r="A46">
        <v>35</v>
      </c>
      <c r="B46" s="6" t="n">
        <v>2890.6258853281</v>
      </c>
      <c r="C46" s="9">
        <f si="0" t="shared"/>
        <v>3.4922333253570555E-3</v>
      </c>
      <c r="E46" s="371">
        <v>35</v>
      </c>
      <c r="F46" s="371" t="n">
        <v>5842.0</v>
      </c>
      <c r="G46" s="9">
        <f si="1" t="shared"/>
        <v>8.0785784968343786E-3</v>
      </c>
    </row>
    <row r="47" spans="1:7" x14ac:dyDescent="0.25">
      <c r="A47">
        <v>36</v>
      </c>
      <c r="B47" s="6" t="n">
        <v>3595.7369614325003</v>
      </c>
      <c r="C47" s="9">
        <f si="0" t="shared"/>
        <v>4.3440946508051482E-3</v>
      </c>
      <c r="E47" s="371">
        <v>36</v>
      </c>
      <c r="F47" s="371" t="n">
        <v>5403.0</v>
      </c>
      <c r="G47" s="9">
        <f si="1" t="shared"/>
        <v>6.2988173354981891E-3</v>
      </c>
    </row>
    <row r="48" spans="1:7" x14ac:dyDescent="0.25">
      <c r="A48">
        <v>37</v>
      </c>
      <c r="B48" s="6" t="n">
        <v>4397.7934521712</v>
      </c>
      <c r="C48" s="9">
        <f si="0" t="shared"/>
        <v>5.313078018730222E-3</v>
      </c>
      <c r="E48" s="371">
        <v>37</v>
      </c>
      <c r="F48" s="371" t="n">
        <v>4707.0</v>
      </c>
      <c r="G48" s="9">
        <f si="1" t="shared"/>
        <v>6.0141996598998913E-3</v>
      </c>
    </row>
    <row r="49" spans="1:7" x14ac:dyDescent="0.25">
      <c r="A49">
        <v>38</v>
      </c>
      <c r="B49" s="6" t="n">
        <v>7401.8104657561</v>
      </c>
      <c r="C49" s="9">
        <f si="0" t="shared"/>
        <v>8.9423018411654859E-3</v>
      </c>
      <c r="E49" s="371">
        <v>38</v>
      </c>
      <c r="F49" s="371" t="n">
        <v>4512.0</v>
      </c>
      <c r="G49" s="9">
        <f si="1" t="shared"/>
        <v>6.4237128555919565E-3</v>
      </c>
    </row>
    <row r="50" spans="1:7" x14ac:dyDescent="0.25">
      <c r="A50">
        <v>39</v>
      </c>
      <c r="B50" s="6" t="n">
        <v>7257.3489524035</v>
      </c>
      <c r="C50" s="9">
        <f si="0" t="shared"/>
        <v>8.7677744788658158E-3</v>
      </c>
      <c r="E50" s="371">
        <v>39</v>
      </c>
      <c r="F50" s="371" t="n">
        <v>4469.0</v>
      </c>
      <c r="G50" s="9">
        <f si="1" t="shared"/>
        <v>5.0066290699126688E-3</v>
      </c>
    </row>
    <row r="51" spans="1:7" x14ac:dyDescent="0.25">
      <c r="A51">
        <v>40</v>
      </c>
      <c r="B51" s="6" t="n">
        <v>2179.8435373172</v>
      </c>
      <c r="C51" s="9">
        <f si="0" t="shared"/>
        <v>2.6335204025266915E-3</v>
      </c>
      <c r="E51" s="371">
        <v>40</v>
      </c>
      <c r="F51" s="371" t="n">
        <v>3238.0</v>
      </c>
      <c r="G51" s="9">
        <f si="1" t="shared"/>
        <v>4.3497266709579489E-3</v>
      </c>
    </row>
    <row r="52" spans="1:7" x14ac:dyDescent="0.25">
      <c r="A52">
        <v>41</v>
      </c>
      <c r="B52" s="6" t="n">
        <v>1361.2943780764</v>
      </c>
      <c r="C52" s="9">
        <f si="0" t="shared"/>
        <v>1.6446118527026247E-3</v>
      </c>
      <c r="E52" s="371">
        <v>41</v>
      </c>
      <c r="F52" s="371" t="n">
        <v>3155.0</v>
      </c>
      <c r="G52" s="9">
        <f si="1" t="shared"/>
        <v>4.4830286202887969E-3</v>
      </c>
    </row>
    <row r="53" spans="1:7" x14ac:dyDescent="0.25">
      <c r="A53">
        <v>42</v>
      </c>
      <c r="B53" s="6" t="n">
        <v>1570.429064819</v>
      </c>
      <c r="C53" s="9">
        <f si="0" t="shared"/>
        <v>1.8972724014916001E-3</v>
      </c>
      <c r="E53" s="371">
        <v>42</v>
      </c>
      <c r="F53" s="371" t="n">
        <v>3229.0</v>
      </c>
      <c r="G53" s="9">
        <f si="1" t="shared"/>
        <v>3.8441399982706774E-3</v>
      </c>
    </row>
    <row r="54" spans="1:7" x14ac:dyDescent="0.25">
      <c r="A54">
        <v>43</v>
      </c>
      <c r="B54" s="6" t="n">
        <v>166.816897117</v>
      </c>
      <c r="C54" s="9">
        <f si="0" t="shared"/>
        <v>2.0153542881545285E-4</v>
      </c>
      <c r="E54" s="371">
        <v>43</v>
      </c>
      <c r="F54" s="371" t="n">
        <v>2696.0</v>
      </c>
      <c r="G54" s="9">
        <f si="1" t="shared"/>
        <v>4.090328283070893E-3</v>
      </c>
    </row>
    <row r="55" spans="1:7" x14ac:dyDescent="0.25">
      <c r="A55">
        <v>44</v>
      </c>
      <c r="B55" s="6" t="n">
        <v>1677.879461423</v>
      </c>
      <c r="C55" s="9">
        <f si="0" t="shared"/>
        <v>2.0270857605111572E-3</v>
      </c>
      <c r="E55" s="371">
        <v>44</v>
      </c>
      <c r="F55" s="371" t="n">
        <v>2665.0</v>
      </c>
      <c r="G55" s="9">
        <f si="1" t="shared"/>
        <v>3.2472835224379606E-3</v>
      </c>
    </row>
    <row r="56" spans="1:7" x14ac:dyDescent="0.25">
      <c r="A56">
        <v>45</v>
      </c>
      <c r="B56" s="6" t="n">
        <v>34981.9315860991</v>
      </c>
      <c r="C56" s="9">
        <f si="0" t="shared"/>
        <v>4.2262496814412062E-2</v>
      </c>
      <c r="E56" s="371">
        <v>45</v>
      </c>
      <c r="F56" s="371" t="n">
        <v>2331.0</v>
      </c>
      <c r="G56" s="9">
        <f si="1" t="shared"/>
        <v>3.3673753686819679E-3</v>
      </c>
    </row>
    <row r="57" spans="1:7" x14ac:dyDescent="0.25">
      <c r="A57">
        <v>46</v>
      </c>
      <c r="B57" s="6" t="n">
        <v>2656.6600039386</v>
      </c>
      <c r="C57" s="9">
        <f si="0" t="shared"/>
        <v>3.2095736245178349E-3</v>
      </c>
      <c r="E57" s="371">
        <v>46</v>
      </c>
      <c r="F57" s="371" t="n">
        <v>2506.0</v>
      </c>
      <c r="G57" s="9">
        <f si="1" t="shared"/>
        <v>2.947053906827942E-3</v>
      </c>
    </row>
    <row r="58" spans="1:7" x14ac:dyDescent="0.25">
      <c r="A58">
        <v>47</v>
      </c>
      <c r="B58" s="6" t="n">
        <v>918.5879227810001</v>
      </c>
      <c r="C58" s="9">
        <f si="0" t="shared"/>
        <v>1.109767740090035E-3</v>
      </c>
      <c r="E58" s="371">
        <v>47</v>
      </c>
      <c r="F58" s="371" t="n">
        <v>2004.0</v>
      </c>
      <c r="G58" s="9">
        <f si="1" t="shared"/>
        <v>2.7933363436356126E-3</v>
      </c>
    </row>
    <row r="59" spans="1:7" x14ac:dyDescent="0.25">
      <c r="A59">
        <v>48</v>
      </c>
      <c r="B59" s="6" t="n">
        <v>1523.3438377319999</v>
      </c>
      <c r="C59" s="9">
        <f si="0" t="shared"/>
        <v>1.8403876278514574E-3</v>
      </c>
      <c r="E59" s="371">
        <v>48</v>
      </c>
      <c r="F59" s="371" t="n">
        <v>1757.0</v>
      </c>
      <c r="G59" s="9">
        <f si="1" t="shared"/>
        <v>2.3778185556313468E-3</v>
      </c>
    </row>
    <row r="60" spans="1:7" x14ac:dyDescent="0.25">
      <c r="A60">
        <v>49</v>
      </c>
      <c r="B60" s="6" t="n">
        <v>1317.0669416869</v>
      </c>
      <c r="C60" s="9">
        <f si="0" t="shared"/>
        <v>1.5911796434228027E-3</v>
      </c>
      <c r="E60" s="371">
        <v>49</v>
      </c>
      <c r="F60" s="371" t="n">
        <v>1891.0</v>
      </c>
      <c r="G60" s="9">
        <f si="1" t="shared"/>
        <v>2.3946314141055081E-3</v>
      </c>
    </row>
    <row r="61" spans="1:7" x14ac:dyDescent="0.25">
      <c r="A61">
        <v>50</v>
      </c>
      <c r="B61" s="6" t="n">
        <v>576.395338841</v>
      </c>
      <c r="C61" s="9">
        <f si="0" t="shared"/>
        <v>6.9635680670331285E-4</v>
      </c>
      <c r="E61" s="371">
        <v>50</v>
      </c>
      <c r="F61" s="371" t="n">
        <v>1392.0</v>
      </c>
      <c r="G61" s="9">
        <f si="1" t="shared"/>
        <v>1.926273213753879E-3</v>
      </c>
    </row>
    <row r="62" spans="1:7" x14ac:dyDescent="0.25">
      <c r="A62">
        <v>51</v>
      </c>
      <c r="B62" s="6" t="n">
        <v>1820.3334592241001</v>
      </c>
      <c r="C62" s="9">
        <f si="0" t="shared"/>
        <v>2.1991877959133882E-3</v>
      </c>
      <c r="E62" s="371">
        <v>51</v>
      </c>
      <c r="F62" s="371" t="n">
        <v>1303.0</v>
      </c>
      <c r="G62" s="9">
        <f si="1" t="shared"/>
        <v>1.7593455474747086E-3</v>
      </c>
    </row>
    <row r="63" spans="1:7" x14ac:dyDescent="0.25">
      <c r="A63">
        <v>52</v>
      </c>
      <c r="B63" s="6" t="n">
        <v>2367.273756757</v>
      </c>
      <c r="C63" s="9">
        <f si="0" t="shared"/>
        <v>2.8599592723330346E-3</v>
      </c>
      <c r="E63" s="371">
        <v>52</v>
      </c>
      <c r="F63" s="371" t="n">
        <v>1133.0</v>
      </c>
      <c r="G63" s="9">
        <f si="1" t="shared"/>
        <v>1.6104316581321396E-3</v>
      </c>
    </row>
    <row r="64" spans="1:7" x14ac:dyDescent="0.25">
      <c r="A64">
        <v>53</v>
      </c>
      <c r="B64" s="6" t="n">
        <v>1634.4932878509999</v>
      </c>
      <c r="C64" s="9">
        <f si="0" t="shared"/>
        <v>1.9746699006875442E-3</v>
      </c>
      <c r="E64" s="371">
        <v>53</v>
      </c>
      <c r="F64" s="371" t="n">
        <v>1057.0</v>
      </c>
      <c r="G64" s="9">
        <f si="1" t="shared"/>
        <v>1.4687232795642107E-3</v>
      </c>
    </row>
    <row r="65" spans="1:7" x14ac:dyDescent="0.25">
      <c r="A65">
        <v>54</v>
      </c>
      <c r="B65" s="6" t="n">
        <v>497.294945861</v>
      </c>
      <c r="C65" s="9">
        <f si="0" t="shared"/>
        <v>6.007937558721115E-4</v>
      </c>
      <c r="E65" s="371">
        <v>54</v>
      </c>
      <c r="F65" s="371" t="n">
        <v>928.0</v>
      </c>
      <c r="G65" s="9">
        <f si="1" t="shared"/>
        <v>1.3162066348343213E-3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879.0</v>
      </c>
      <c r="G66" s="9">
        <f si="1" t="shared"/>
        <v>1.1708955008790723E-3</v>
      </c>
    </row>
    <row r="67" spans="1:7" x14ac:dyDescent="0.25">
      <c r="A67">
        <v>56</v>
      </c>
      <c r="B67" s="6" t="n">
        <v>1411.82231242</v>
      </c>
      <c r="C67" s="9">
        <f si="0" t="shared"/>
        <v>1.7056558421970119E-3</v>
      </c>
      <c r="E67" s="371">
        <v>56</v>
      </c>
      <c r="F67" s="371" t="n">
        <v>851.0</v>
      </c>
      <c r="G67" s="9">
        <f si="1" t="shared"/>
        <v>1.1708955008790723E-3</v>
      </c>
    </row>
    <row r="68" spans="1:7" x14ac:dyDescent="0.25">
      <c r="A68">
        <v>57</v>
      </c>
      <c r="B68" s="6" t="n">
        <v>407.7075447018</v>
      </c>
      <c r="C68" s="9">
        <f si="0" t="shared"/>
        <v>4.9256110305866097E-4</v>
      </c>
      <c r="E68" s="371">
        <v>57</v>
      </c>
      <c r="F68" s="371" t="n">
        <v>822.0</v>
      </c>
      <c r="G68" s="9">
        <f si="1" t="shared"/>
        <v>1.1600872347171116E-3</v>
      </c>
    </row>
    <row r="69" spans="1:7" x14ac:dyDescent="0.25">
      <c r="A69">
        <v>58</v>
      </c>
      <c r="B69" s="6" t="n">
        <v>401.236422482</v>
      </c>
      <c r="C69" s="9">
        <f si="0" t="shared"/>
        <v>4.8474318764347437E-4</v>
      </c>
      <c r="E69" s="371">
        <v>58</v>
      </c>
      <c r="F69" s="371" t="n">
        <v>678.0</v>
      </c>
      <c r="G69" s="9">
        <f si="1" t="shared"/>
        <v>9.5112742225253878E-4</v>
      </c>
    </row>
    <row r="70" spans="1:7" x14ac:dyDescent="0.25">
      <c r="A70">
        <v>59</v>
      </c>
      <c r="B70" s="6" t="n">
        <v>5013.6074087342995</v>
      </c>
      <c r="C70" s="9">
        <f si="0" t="shared"/>
        <v>6.0570573874355353E-3</v>
      </c>
      <c r="E70" s="371">
        <v>59</v>
      </c>
      <c r="F70" s="371" t="n">
        <v>756.0</v>
      </c>
      <c r="G70" s="9">
        <f si="1" t="shared"/>
        <v>1.0844293715833869E-3</v>
      </c>
    </row>
    <row r="71" spans="1:7" x14ac:dyDescent="0.25">
      <c r="A71">
        <v>60</v>
      </c>
      <c r="B71" s="6" t="n">
        <v>4757.6773804485</v>
      </c>
      <c r="C71" s="9">
        <f si="0" t="shared"/>
        <v>5.747862282570626E-3</v>
      </c>
      <c r="E71" s="371">
        <v>60</v>
      </c>
      <c r="F71" s="371" t="n">
        <v>703.0</v>
      </c>
      <c r="G71" s="9">
        <f si="1" t="shared"/>
        <v>8.3583924985829161E-4</v>
      </c>
    </row>
    <row r="72" spans="1:7" x14ac:dyDescent="0.25">
      <c r="A72">
        <v>61</v>
      </c>
      <c r="B72" s="6" t="n">
        <v>5067.707759863</v>
      </c>
      <c r="C72" s="9">
        <f si="0" t="shared"/>
        <v>6.1224172979255512E-3</v>
      </c>
      <c r="E72" s="371">
        <v>61</v>
      </c>
      <c r="F72" s="371" t="n">
        <v>551.0</v>
      </c>
      <c r="G72" s="9">
        <f si="1" t="shared"/>
        <v>7.6018138672456694E-4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542.0</v>
      </c>
      <c r="G73" s="9">
        <f si="1" t="shared"/>
        <v>7.7219057134896767E-4</v>
      </c>
    </row>
    <row r="74" spans="1:7" x14ac:dyDescent="0.25">
      <c r="A74">
        <v>63</v>
      </c>
      <c r="B74" s="6" t="n">
        <v>292.681617382</v>
      </c>
      <c r="C74" s="9">
        <f si="0" t="shared"/>
        <v>3.5359556666559379E-4</v>
      </c>
      <c r="E74" s="371">
        <v>63</v>
      </c>
      <c r="F74" s="371" t="n">
        <v>541.0</v>
      </c>
      <c r="G74" s="9">
        <f si="1" t="shared"/>
        <v>6.7131342050400151E-4</v>
      </c>
    </row>
    <row r="75" spans="1:7" x14ac:dyDescent="0.25">
      <c r="A75">
        <v>64</v>
      </c>
      <c r="B75" s="6" t="n">
        <v>139.99557747</v>
      </c>
      <c r="C75" s="9">
        <f si="0" t="shared"/>
        <v>1.6913195980317847E-4</v>
      </c>
      <c r="E75" s="371">
        <v>64</v>
      </c>
      <c r="F75" s="371" t="n">
        <v>465.0</v>
      </c>
      <c r="G75" s="9">
        <f si="1" t="shared"/>
        <v>6.4969688818008011E-4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453.0</v>
      </c>
      <c r="G76" s="9">
        <f si="1" t="shared"/>
        <v>5.7403902504635544E-4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451.0</v>
      </c>
      <c r="G77" s="9">
        <f ref="G77:G102" si="3" t="shared">F77/F$102</f>
        <v>5.8124453582099594E-4</v>
      </c>
    </row>
    <row r="78" spans="1:7" x14ac:dyDescent="0.25">
      <c r="A78">
        <v>67</v>
      </c>
      <c r="B78" s="6" t="n">
        <v>572.780526274</v>
      </c>
      <c r="C78" s="9">
        <f si="2" t="shared"/>
        <v>6.9198966636340538E-4</v>
      </c>
      <c r="E78" s="371">
        <v>67</v>
      </c>
      <c r="F78" s="371" t="n">
        <v>433.0</v>
      </c>
      <c r="G78" s="9">
        <f si="3" t="shared"/>
        <v>5.2840412347363258E-4</v>
      </c>
    </row>
    <row r="79" spans="1:7" x14ac:dyDescent="0.25">
      <c r="A79">
        <v>68</v>
      </c>
      <c r="B79" s="6" t="n">
        <v>417.967608267</v>
      </c>
      <c r="C79" s="9">
        <f si="2" t="shared"/>
        <v>5.0495652789884441E-4</v>
      </c>
      <c r="E79" s="371">
        <v>68</v>
      </c>
      <c r="F79" s="371" t="n">
        <v>344.0</v>
      </c>
      <c r="G79" s="9">
        <f si="3" t="shared"/>
        <v>5.6923535119659521E-4</v>
      </c>
    </row>
    <row r="80" spans="1:7" x14ac:dyDescent="0.25">
      <c r="A80">
        <v>69</v>
      </c>
      <c r="B80" s="6" t="n">
        <v>1800.3456108754</v>
      </c>
      <c r="C80" s="9">
        <f si="2" t="shared"/>
        <v>2.1750400047862808E-3</v>
      </c>
      <c r="E80" s="371">
        <v>69</v>
      </c>
      <c r="F80" s="371" t="n">
        <v>411.0</v>
      </c>
      <c r="G80" s="9">
        <f si="3" t="shared"/>
        <v>5.1279218346191166E-4</v>
      </c>
    </row>
    <row r="81" spans="1:7" x14ac:dyDescent="0.25">
      <c r="A81">
        <v>70</v>
      </c>
      <c r="B81" s="6" t="n">
        <v>447.66186162099996</v>
      </c>
      <c r="C81" s="9">
        <f si="2" t="shared"/>
        <v>5.4083085589845818E-4</v>
      </c>
      <c r="E81" s="371">
        <v>70</v>
      </c>
      <c r="F81" s="371" t="n">
        <v>327.0</v>
      </c>
      <c r="G81" s="9">
        <f si="3" t="shared"/>
        <v>4.5034442341502779E-4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356.0</v>
      </c>
      <c r="G82" s="9">
        <f si="3" t="shared"/>
        <v>4.7676462958870942E-4</v>
      </c>
    </row>
    <row r="83" spans="1:7" x14ac:dyDescent="0.25">
      <c r="A83">
        <v>72</v>
      </c>
      <c r="B83" s="6" t="n">
        <v>5043.1483091938</v>
      </c>
      <c r="C83" s="9">
        <f si="2" t="shared"/>
        <v>6.0927464461855273E-3</v>
      </c>
      <c r="E83" s="371">
        <v>72</v>
      </c>
      <c r="F83" s="371" t="n">
        <v>358.0</v>
      </c>
      <c r="G83" s="9">
        <f si="3" t="shared"/>
        <v>4.4313891264038735E-4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255.0</v>
      </c>
      <c r="G84" s="9">
        <f si="3" t="shared"/>
        <v>3.8309298951838365E-4</v>
      </c>
    </row>
    <row r="85" spans="1:7" x14ac:dyDescent="0.25">
      <c r="A85">
        <v>74</v>
      </c>
      <c r="B85" s="6" t="n">
        <v>1148.663232487</v>
      </c>
      <c r="C85" s="9">
        <f si="2" t="shared"/>
        <v>1.3877271494952199E-3</v>
      </c>
      <c r="E85" s="371">
        <v>74</v>
      </c>
      <c r="F85" s="371" t="n">
        <v>257.0</v>
      </c>
      <c r="G85" s="9">
        <f si="3" t="shared"/>
        <v>3.482663541076215E-4</v>
      </c>
    </row>
    <row r="86" spans="1:7" x14ac:dyDescent="0.25">
      <c r="A86">
        <v>75</v>
      </c>
      <c r="B86" s="6" t="n">
        <v>163.60110245</v>
      </c>
      <c r="C86" s="9">
        <f si="2" t="shared"/>
        <v>1.9765035141384088E-4</v>
      </c>
      <c r="E86" s="371">
        <v>75</v>
      </c>
      <c r="F86" s="371" t="n">
        <v>230.0</v>
      </c>
      <c r="G86" s="9">
        <f si="3" t="shared"/>
        <v>3.026314525348987E-4</v>
      </c>
    </row>
    <row r="87" spans="1:7" x14ac:dyDescent="0.25">
      <c r="A87">
        <v>76</v>
      </c>
      <c r="B87" s="6" t="n">
        <v>389.7060896903</v>
      </c>
      <c r="C87" s="9">
        <f si="2" t="shared"/>
        <v>4.7081312058359898E-4</v>
      </c>
      <c r="E87" s="371">
        <v>76</v>
      </c>
      <c r="F87" s="371" t="n">
        <v>260.0</v>
      </c>
      <c r="G87" s="9">
        <f si="3" t="shared"/>
        <v>3.4586451718274138E-4</v>
      </c>
    </row>
    <row r="88" spans="1:7" x14ac:dyDescent="0.25">
      <c r="A88">
        <v>77</v>
      </c>
      <c r="B88" s="6" t="n">
        <v>675.1977254860001</v>
      </c>
      <c r="C88" s="9">
        <f si="2" t="shared"/>
        <v>8.1572230087459277E-4</v>
      </c>
      <c r="E88" s="371">
        <v>77</v>
      </c>
      <c r="F88" s="371" t="n">
        <v>228.0</v>
      </c>
      <c r="G88" s="9">
        <f si="3" t="shared"/>
        <v>2.91823186372938E-4</v>
      </c>
    </row>
    <row r="89" spans="1:7" x14ac:dyDescent="0.25">
      <c r="A89">
        <v>78</v>
      </c>
      <c r="B89" s="6" t="n">
        <v>396.701349191</v>
      </c>
      <c r="C89" s="9">
        <f si="2" t="shared"/>
        <v>4.7926425861286086E-4</v>
      </c>
      <c r="E89" s="371">
        <v>78</v>
      </c>
      <c r="F89" s="371" t="n">
        <v>237.0</v>
      </c>
      <c r="G89" s="9">
        <f si="3" t="shared"/>
        <v>3.1464063715929943E-4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214.0</v>
      </c>
      <c r="G90" s="9">
        <f si="3" t="shared"/>
        <v>3.446635987203013E-4</v>
      </c>
    </row>
    <row r="91" spans="1:7" x14ac:dyDescent="0.25">
      <c r="A91">
        <v>80</v>
      </c>
      <c r="B91" s="6" t="n">
        <v>5233.4319689765</v>
      </c>
      <c r="C91" s="9">
        <f si="2" t="shared"/>
        <v>6.3226326245861691E-3</v>
      </c>
      <c r="E91" s="371">
        <v>80</v>
      </c>
      <c r="F91" s="371" t="n">
        <v>208.0</v>
      </c>
      <c r="G91" s="9">
        <f si="3" t="shared"/>
        <v>2.5339379557485565E-4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174.0</v>
      </c>
      <c r="G92" s="9">
        <f si="3" t="shared"/>
        <v>2.3057634478849425E-4</v>
      </c>
    </row>
    <row r="93" spans="1:7" x14ac:dyDescent="0.25">
      <c r="A93">
        <v>82</v>
      </c>
      <c r="B93" s="6" t="n">
        <v>5586.8327977748</v>
      </c>
      <c r="C93" s="9">
        <f si="2" t="shared"/>
        <v>6.7495845030019902E-3</v>
      </c>
      <c r="E93" s="371">
        <v>82</v>
      </c>
      <c r="F93" s="371" t="n">
        <v>183.0</v>
      </c>
      <c r="G93" s="9">
        <f si="3" t="shared"/>
        <v>2.2817450786361408E-4</v>
      </c>
    </row>
    <row r="94" spans="1:7" x14ac:dyDescent="0.25">
      <c r="A94">
        <v>83</v>
      </c>
      <c r="B94" s="6" t="n">
        <v>4737.5454665157</v>
      </c>
      <c r="C94" s="9">
        <f si="2" t="shared"/>
        <v>5.7235404424126899E-3</v>
      </c>
      <c r="E94" s="371">
        <v>83</v>
      </c>
      <c r="F94" s="371" t="n">
        <v>190.0</v>
      </c>
      <c r="G94" s="9">
        <f si="3" t="shared"/>
        <v>2.6059930634949609E-4</v>
      </c>
    </row>
    <row r="95" spans="1:7" x14ac:dyDescent="0.25">
      <c r="A95">
        <v>84</v>
      </c>
      <c r="B95" s="6" t="n">
        <v>1122.5382264593</v>
      </c>
      <c r="C95" s="9">
        <f si="2" t="shared"/>
        <v>1.3561649133932857E-3</v>
      </c>
      <c r="E95" s="371">
        <v>84</v>
      </c>
      <c r="F95" s="371" t="n">
        <v>141.0</v>
      </c>
      <c r="G95" s="9">
        <f si="3" t="shared"/>
        <v>1.9214695399041187E-4</v>
      </c>
    </row>
    <row r="96" spans="1:7" x14ac:dyDescent="0.25">
      <c r="A96">
        <v>85</v>
      </c>
      <c r="B96" s="6" t="n">
        <v>2026.8807861107</v>
      </c>
      <c r="C96" s="9">
        <f si="2" t="shared"/>
        <v>2.4487224942214432E-3</v>
      </c>
      <c r="E96" s="371">
        <v>85</v>
      </c>
      <c r="F96" s="371" t="n">
        <v>191.0</v>
      </c>
      <c r="G96" s="9">
        <f si="3" t="shared"/>
        <v>2.4138461095045492E-4</v>
      </c>
    </row>
    <row r="97" spans="1:7" x14ac:dyDescent="0.25">
      <c r="A97">
        <v>86</v>
      </c>
      <c r="B97" s="6" t="n">
        <v>4191.5226006486</v>
      </c>
      <c r="C97" s="9">
        <f si="2" t="shared"/>
        <v>5.0638773368317964E-3</v>
      </c>
      <c r="E97" s="371">
        <v>86</v>
      </c>
      <c r="F97" s="371" t="n">
        <v>168.0</v>
      </c>
      <c r="G97" s="9">
        <f si="3" t="shared"/>
        <v>2.0295522015237254E-4</v>
      </c>
    </row>
    <row r="98" spans="1:7" x14ac:dyDescent="0.25">
      <c r="A98">
        <v>87</v>
      </c>
      <c r="B98" s="6" t="n">
        <v>180.749366264</v>
      </c>
      <c r="C98" s="9">
        <f si="2" t="shared"/>
        <v>2.1836757347541108E-4</v>
      </c>
      <c r="E98" s="371">
        <v>87</v>
      </c>
      <c r="F98" s="371" t="n">
        <v>153.0</v>
      </c>
      <c r="G98" s="9">
        <f si="3" t="shared"/>
        <v>1.7173134012893061E-4</v>
      </c>
    </row>
    <row r="99" spans="1:7" x14ac:dyDescent="0.25">
      <c r="A99">
        <v>88</v>
      </c>
      <c r="B99" s="6" t="n">
        <v>418.0378414412</v>
      </c>
      <c r="C99" s="9">
        <f si="2" t="shared"/>
        <v>5.0504137825347923E-4</v>
      </c>
      <c r="E99" s="371">
        <v>88</v>
      </c>
      <c r="F99" s="371" t="n">
        <v>141.0</v>
      </c>
      <c r="G99" s="9">
        <f si="3" t="shared"/>
        <v>1.5371756319232949E-4</v>
      </c>
    </row>
    <row r="100" spans="1:7" x14ac:dyDescent="0.25">
      <c r="A100">
        <v>89</v>
      </c>
      <c r="B100" s="6" t="n">
        <v>3949.6120293596</v>
      </c>
      <c r="C100" s="9">
        <f si="2" t="shared"/>
        <v>4.771619468700335E-3</v>
      </c>
      <c r="E100" s="371">
        <v>89</v>
      </c>
      <c r="F100" s="371" t="n">
        <v>113.0</v>
      </c>
      <c r="G100" s="9">
        <f si="3" t="shared"/>
        <v>1.5611940011720963E-4</v>
      </c>
    </row>
    <row ht="15.75" r="101" spans="1:7" thickBot="1" x14ac:dyDescent="0.3">
      <c r="A101" s="1">
        <v>90</v>
      </c>
      <c r="B101" s="7" t="n">
        <v>29923.6103613486</v>
      </c>
      <c r="C101" s="9">
        <f si="2" t="shared"/>
        <v>3.6151419610995418E-2</v>
      </c>
      <c r="E101" s="372">
        <v>90</v>
      </c>
      <c r="F101" s="372" t="n">
        <v>8973.0</v>
      </c>
      <c r="G101" s="9">
        <f si="3" t="shared"/>
        <v>1.0816672591197748E-2</v>
      </c>
    </row>
    <row r="102" spans="1:7" x14ac:dyDescent="0.25">
      <c r="B102" s="6">
        <f>SUM(B11:B101)</f>
        <v>827729.88400841015</v>
      </c>
      <c r="C102" s="9">
        <f si="2" t="shared"/>
        <v>1</v>
      </c>
      <c r="F102" s="6">
        <f>SUM(F11:F101)</f>
        <v>832696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L102"/>
  <sheetViews>
    <sheetView workbookViewId="0">
      <selection activeCell="H11" sqref="H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88989.0822894533</v>
      </c>
      <c r="C11" s="9">
        <f>B11/B$102</f>
        <v>5.2146290719061919E-2</v>
      </c>
      <c r="E11" s="371">
        <v>0</v>
      </c>
      <c r="F11" s="371" t="n">
        <v>170389.0</v>
      </c>
      <c r="G11" s="9">
        <f>F11/F$102</f>
        <v>0.10168979957996051</v>
      </c>
      <c r="K11" s="6" t="n">
        <v>6.8425498388975505</v>
      </c>
      <c r="L11" s="6" t="n">
        <v>6.3010540336640535</v>
      </c>
    </row>
    <row r="12" spans="1:12" x14ac:dyDescent="0.25">
      <c r="A12">
        <v>1</v>
      </c>
      <c r="B12" s="6" t="n">
        <v>144351.9775061903</v>
      </c>
      <c r="C12" s="9">
        <f>B12/B$102</f>
        <v>8.4588131389252585E-2</v>
      </c>
      <c r="E12" s="371">
        <v>1</v>
      </c>
      <c r="F12" s="371" t="n">
        <v>162209.0</v>
      </c>
      <c r="G12" s="9">
        <f>F12/F$102</f>
        <v>9.6705498660652534E-2</v>
      </c>
      <c r="K12" s="6"/>
      <c r="L12" s="371"/>
    </row>
    <row r="13" spans="1:12" x14ac:dyDescent="0.25">
      <c r="A13">
        <v>2</v>
      </c>
      <c r="B13" s="6" t="n">
        <v>158978.2238425212</v>
      </c>
      <c r="C13" s="9">
        <f ref="C13:C76" si="0" t="shared">B13/B$102</f>
        <v>9.3158896183770726E-2</v>
      </c>
      <c r="E13" s="371">
        <v>2</v>
      </c>
      <c r="F13" s="371" t="n">
        <v>113062.0</v>
      </c>
      <c r="G13" s="9">
        <f ref="G13:G76" si="1" t="shared">F13/F$102</f>
        <v>6.7049417220660865E-2</v>
      </c>
    </row>
    <row r="14" spans="1:12" x14ac:dyDescent="0.25">
      <c r="A14">
        <v>3</v>
      </c>
      <c r="B14" s="6" t="n">
        <v>169110.3044010722</v>
      </c>
      <c r="C14" s="9">
        <f si="0" t="shared"/>
        <v>9.9096146066588939E-2</v>
      </c>
      <c r="E14" s="371">
        <v>3</v>
      </c>
      <c r="F14" s="371" t="n">
        <v>78466.0</v>
      </c>
      <c r="G14" s="9">
        <f si="1" t="shared"/>
        <v>4.6071995990042178E-2</v>
      </c>
    </row>
    <row r="15" spans="1:12" x14ac:dyDescent="0.25">
      <c r="A15">
        <v>4</v>
      </c>
      <c r="B15" s="6" t="n">
        <v>268965.1926010485</v>
      </c>
      <c r="C15" s="9">
        <f si="0" t="shared"/>
        <v>0.15760963891123325</v>
      </c>
      <c r="E15" s="371">
        <v>4</v>
      </c>
      <c r="F15" s="371" t="n">
        <v>276641.0</v>
      </c>
      <c r="G15" s="9">
        <f si="1" t="shared"/>
        <v>0.16452145501103996</v>
      </c>
    </row>
    <row r="16" spans="1:12" x14ac:dyDescent="0.25">
      <c r="A16">
        <v>5</v>
      </c>
      <c r="B16" s="6" t="n">
        <v>180812.668571439</v>
      </c>
      <c r="C16" s="9">
        <f si="0" t="shared"/>
        <v>0.10595355900341841</v>
      </c>
      <c r="E16" s="371">
        <v>5</v>
      </c>
      <c r="F16" s="371" t="n">
        <v>154251.0</v>
      </c>
      <c r="G16" s="9">
        <f si="1" t="shared"/>
        <v>9.2430845295036715E-2</v>
      </c>
    </row>
    <row r="17" spans="1:7" x14ac:dyDescent="0.25">
      <c r="A17">
        <v>6</v>
      </c>
      <c r="B17" s="6" t="n">
        <v>169934.7394024362</v>
      </c>
      <c r="C17" s="9">
        <f si="0" t="shared"/>
        <v>9.9579252827036918E-2</v>
      </c>
      <c r="E17" s="371">
        <v>6</v>
      </c>
      <c r="F17" s="371" t="n">
        <v>164473.0</v>
      </c>
      <c r="G17" s="9">
        <f si="1" t="shared"/>
        <v>9.8347569202613658E-2</v>
      </c>
    </row>
    <row r="18" spans="1:7" x14ac:dyDescent="0.25">
      <c r="A18">
        <v>7</v>
      </c>
      <c r="B18" s="6" t="n">
        <v>79434.4889136263</v>
      </c>
      <c r="C18" s="9">
        <f si="0" t="shared"/>
        <v>4.6547439814434169E-2</v>
      </c>
      <c r="E18" s="371">
        <v>7</v>
      </c>
      <c r="F18" s="371" t="n">
        <v>99784.0</v>
      </c>
      <c r="G18" s="9">
        <f si="1" t="shared"/>
        <v>6.1841143149385901E-2</v>
      </c>
    </row>
    <row r="19" spans="1:7" x14ac:dyDescent="0.25">
      <c r="A19">
        <v>8</v>
      </c>
      <c r="B19" s="6" t="n">
        <v>65695.4420657575</v>
      </c>
      <c r="C19" s="9">
        <f si="0" t="shared"/>
        <v>3.8496560844793561E-2</v>
      </c>
      <c r="E19" s="371">
        <v>8</v>
      </c>
      <c r="F19" s="371" t="n">
        <v>119192.0</v>
      </c>
      <c r="G19" s="9">
        <f si="1" t="shared"/>
        <v>6.6687107710126037E-2</v>
      </c>
    </row>
    <row r="20" spans="1:7" x14ac:dyDescent="0.25">
      <c r="A20">
        <v>9</v>
      </c>
      <c r="B20" s="6" t="n">
        <v>52864.0558629907</v>
      </c>
      <c r="C20" s="9">
        <f si="0" t="shared"/>
        <v>3.0977557636269203E-2</v>
      </c>
      <c r="E20" s="371">
        <v>9</v>
      </c>
      <c r="F20" s="371" t="n">
        <v>52470.0</v>
      </c>
      <c r="G20" s="9">
        <f si="1" t="shared"/>
        <v>3.0245957254664061E-2</v>
      </c>
    </row>
    <row r="21" spans="1:7" x14ac:dyDescent="0.25">
      <c r="A21">
        <v>10</v>
      </c>
      <c r="B21" s="6" t="n">
        <v>69887.9369850826</v>
      </c>
      <c r="C21" s="9">
        <f si="0" t="shared"/>
        <v>4.0953301079401275E-2</v>
      </c>
      <c r="E21" s="371">
        <v>10</v>
      </c>
      <c r="F21" s="371" t="n">
        <v>40013.0</v>
      </c>
      <c r="G21" s="9">
        <f si="1" t="shared"/>
        <v>2.6006037693363987E-2</v>
      </c>
    </row>
    <row r="22" spans="1:7" x14ac:dyDescent="0.25">
      <c r="A22">
        <v>11</v>
      </c>
      <c r="B22" s="6" t="n">
        <v>20370.3425742806</v>
      </c>
      <c r="C22" s="9">
        <f si="0" t="shared"/>
        <v>1.1936720534662859E-2</v>
      </c>
      <c r="E22" s="371">
        <v>11</v>
      </c>
      <c r="F22" s="371" t="n">
        <v>45527.0</v>
      </c>
      <c r="G22" s="9">
        <f si="1" t="shared"/>
        <v>2.7762490246089004E-2</v>
      </c>
    </row>
    <row r="23" spans="1:7" x14ac:dyDescent="0.25">
      <c r="A23">
        <v>12</v>
      </c>
      <c r="B23" s="6" t="n">
        <v>40885.8840611204</v>
      </c>
      <c r="C23" s="9">
        <f si="0" t="shared"/>
        <v>2.3958525492174084E-2</v>
      </c>
      <c r="E23" s="371">
        <v>12</v>
      </c>
      <c r="F23" s="371" t="n">
        <v>28872.0</v>
      </c>
      <c r="G23" s="9">
        <f si="1" t="shared"/>
        <v>1.7900485255200639E-2</v>
      </c>
    </row>
    <row r="24" spans="1:7" x14ac:dyDescent="0.25">
      <c r="A24">
        <v>13</v>
      </c>
      <c r="B24" s="6" t="n">
        <v>18813.9798094492</v>
      </c>
      <c r="C24" s="9">
        <f si="0" t="shared"/>
        <v>1.1024714891821885E-2</v>
      </c>
      <c r="E24" s="371">
        <v>13</v>
      </c>
      <c r="F24" s="371" t="n">
        <v>30507.0</v>
      </c>
      <c r="G24" s="9">
        <f si="1" t="shared"/>
        <v>1.7295637973150771E-2</v>
      </c>
    </row>
    <row r="25" spans="1:7" x14ac:dyDescent="0.25">
      <c r="A25">
        <v>14</v>
      </c>
      <c r="B25" s="6" t="n">
        <v>16201.9636071072</v>
      </c>
      <c r="C25" s="9">
        <f si="0" t="shared"/>
        <v>9.4941118926001617E-3</v>
      </c>
      <c r="E25" s="371">
        <v>14</v>
      </c>
      <c r="F25" s="371" t="n">
        <v>22790.0</v>
      </c>
      <c r="G25" s="9">
        <f si="1" t="shared"/>
        <v>1.4183369334721887E-2</v>
      </c>
    </row>
    <row r="26" spans="1:7" x14ac:dyDescent="0.25">
      <c r="A26">
        <v>15</v>
      </c>
      <c r="B26" s="6" t="n">
        <v>24241.415518187998</v>
      </c>
      <c r="C26" s="9">
        <f si="0" t="shared"/>
        <v>1.4205112228725919E-2</v>
      </c>
      <c r="E26" s="371">
        <v>15</v>
      </c>
      <c r="F26" s="371" t="n">
        <v>22085.0</v>
      </c>
      <c r="G26" s="9">
        <f si="1" t="shared"/>
        <v>1.3123988303091968E-2</v>
      </c>
    </row>
    <row r="27" spans="1:7" x14ac:dyDescent="0.25">
      <c r="A27">
        <v>16</v>
      </c>
      <c r="B27" s="6" t="n">
        <v>22263.991603392602</v>
      </c>
      <c r="C27" s="9">
        <f si="0" t="shared"/>
        <v>1.3046370957517563E-2</v>
      </c>
      <c r="E27" s="371">
        <v>16</v>
      </c>
      <c r="F27" s="371" t="n">
        <v>19994.0</v>
      </c>
      <c r="G27" s="9">
        <f si="1" t="shared"/>
        <v>1.202029172802473E-2</v>
      </c>
    </row>
    <row r="28" spans="1:7" x14ac:dyDescent="0.25">
      <c r="A28">
        <v>17</v>
      </c>
      <c r="B28" s="6" t="n">
        <v>13011.9076555398</v>
      </c>
      <c r="C28" s="9">
        <f si="0" t="shared"/>
        <v>7.6247861193617693E-3</v>
      </c>
      <c r="E28" s="371">
        <v>17</v>
      </c>
      <c r="F28" s="371" t="n">
        <v>15579.0</v>
      </c>
      <c r="G28" s="9">
        <f si="1" t="shared"/>
        <v>9.291891513154231E-3</v>
      </c>
    </row>
    <row r="29" spans="1:7" x14ac:dyDescent="0.25">
      <c r="A29">
        <v>18</v>
      </c>
      <c r="B29" s="6" t="n">
        <v>10901.8437191889</v>
      </c>
      <c r="C29" s="9">
        <f si="0" t="shared"/>
        <v>6.3883197503428945E-3</v>
      </c>
      <c r="E29" s="371">
        <v>18</v>
      </c>
      <c r="F29" s="371" t="n">
        <v>12122.0</v>
      </c>
      <c r="G29" s="9">
        <f si="1" t="shared"/>
        <v>7.2408004824405644E-3</v>
      </c>
    </row>
    <row r="30" spans="1:7" x14ac:dyDescent="0.25">
      <c r="A30">
        <v>19</v>
      </c>
      <c r="B30" s="6" t="n">
        <v>5698.4546146293005</v>
      </c>
      <c r="C30" s="9">
        <f si="0" t="shared"/>
        <v>3.3392104215356887E-3</v>
      </c>
      <c r="E30" s="371">
        <v>19</v>
      </c>
      <c r="F30" s="371" t="n">
        <v>8487.0</v>
      </c>
      <c r="G30" s="9">
        <f si="1" t="shared"/>
        <v>4.9998712453805539E-3</v>
      </c>
    </row>
    <row r="31" spans="1:7" x14ac:dyDescent="0.25">
      <c r="A31">
        <v>20</v>
      </c>
      <c r="B31" s="6" t="n">
        <v>6297.8179559432</v>
      </c>
      <c r="C31" s="9">
        <f si="0" t="shared"/>
        <v>3.6904285062535611E-3</v>
      </c>
      <c r="E31" s="371">
        <v>20</v>
      </c>
      <c r="F31" s="371" t="n">
        <v>6396.0</v>
      </c>
      <c r="G31" s="9">
        <f si="1" t="shared"/>
        <v>4.200993746118647E-3</v>
      </c>
    </row>
    <row r="32" spans="1:7" x14ac:dyDescent="0.25">
      <c r="A32">
        <v>21</v>
      </c>
      <c r="B32" s="6" t="n">
        <v>4027.3734591741</v>
      </c>
      <c r="C32" s="9">
        <f si="0" t="shared"/>
        <v>2.3599814924849119E-3</v>
      </c>
      <c r="E32" s="371">
        <v>21</v>
      </c>
      <c r="F32" s="371" t="n">
        <v>5321.0</v>
      </c>
      <c r="G32" s="9">
        <f si="1" t="shared"/>
        <v>3.2907285295683485E-3</v>
      </c>
    </row>
    <row r="33" spans="1:7" x14ac:dyDescent="0.25">
      <c r="A33">
        <v>22</v>
      </c>
      <c r="B33" s="6" t="n">
        <v>4862.7571396641</v>
      </c>
      <c r="C33" s="9">
        <f si="0" t="shared"/>
        <v>2.8495040175413851E-3</v>
      </c>
      <c r="E33" s="371">
        <v>22</v>
      </c>
      <c r="F33" s="371" t="n">
        <v>3962.0</v>
      </c>
      <c r="G33" s="9">
        <f si="1" t="shared"/>
        <v>2.4379537477475428E-3</v>
      </c>
    </row>
    <row r="34" spans="1:7" x14ac:dyDescent="0.25">
      <c r="A34">
        <v>23</v>
      </c>
      <c r="B34" s="6" t="n">
        <v>10382.7599595237</v>
      </c>
      <c r="C34" s="9">
        <f si="0" t="shared"/>
        <v>6.0841443173274079E-3</v>
      </c>
      <c r="E34" s="371">
        <v>23</v>
      </c>
      <c r="F34" s="371" t="n">
        <v>3925.0</v>
      </c>
      <c r="G34" s="9">
        <f si="1" t="shared"/>
        <v>2.5661095084987032E-3</v>
      </c>
    </row>
    <row r="35" spans="1:7" x14ac:dyDescent="0.25">
      <c r="A35">
        <v>24</v>
      </c>
      <c r="B35" s="6" t="n">
        <v>9946.7736566009</v>
      </c>
      <c r="C35" s="9">
        <f si="0" t="shared"/>
        <v>5.8286627692899608E-3</v>
      </c>
      <c r="E35" s="371">
        <v>24</v>
      </c>
      <c r="F35" s="371" t="n">
        <v>2939.0</v>
      </c>
      <c r="G35" s="9">
        <f si="1" t="shared"/>
        <v>1.9133535308409233E-3</v>
      </c>
    </row>
    <row r="36" spans="1:7" x14ac:dyDescent="0.25">
      <c r="A36">
        <v>25</v>
      </c>
      <c r="B36" s="6" t="n">
        <v>3525.9640481339998</v>
      </c>
      <c r="C36" s="9">
        <f si="0" t="shared"/>
        <v>2.0661629672828661E-3</v>
      </c>
      <c r="E36" s="371">
        <v>25</v>
      </c>
      <c r="F36" s="371" t="n">
        <v>3345.0</v>
      </c>
      <c r="G36" s="9">
        <f si="1" t="shared"/>
        <v>2.0433058676773805E-3</v>
      </c>
    </row>
    <row r="37" spans="1:7" x14ac:dyDescent="0.25">
      <c r="A37">
        <v>26</v>
      </c>
      <c r="B37" s="6" t="n">
        <v>9469.253023868</v>
      </c>
      <c r="C37" s="9">
        <f si="0" t="shared"/>
        <v>5.5488427161080947E-3</v>
      </c>
      <c r="E37" s="371">
        <v>26</v>
      </c>
      <c r="F37" s="371" t="n">
        <v>2480.0</v>
      </c>
      <c r="G37" s="9">
        <f si="1" t="shared"/>
        <v>1.4905592921011137E-3</v>
      </c>
    </row>
    <row r="38" spans="1:7" x14ac:dyDescent="0.25">
      <c r="A38">
        <v>27</v>
      </c>
      <c r="B38" s="6" t="n">
        <v>2080.830879692</v>
      </c>
      <c r="C38" s="9">
        <f si="0" t="shared"/>
        <v>1.2193362286474592E-3</v>
      </c>
      <c r="E38" s="371">
        <v>27</v>
      </c>
      <c r="F38" s="371" t="n">
        <v>1523.0</v>
      </c>
      <c r="G38" s="9">
        <f si="1" t="shared"/>
        <v>1.0444095642524478E-3</v>
      </c>
    </row>
    <row r="39" spans="1:7" x14ac:dyDescent="0.25">
      <c r="A39">
        <v>28</v>
      </c>
      <c r="B39" s="6" t="n">
        <v>638.5252072000001</v>
      </c>
      <c r="C39" s="9">
        <f si="0" t="shared"/>
        <v>3.741663609677057E-4</v>
      </c>
      <c r="E39" s="371">
        <v>28</v>
      </c>
      <c r="F39" s="371" t="n">
        <v>1279.0</v>
      </c>
      <c r="G39" s="9">
        <f si="1" t="shared"/>
        <v>9.1266065133069395E-4</v>
      </c>
    </row>
    <row r="40" spans="1:7" x14ac:dyDescent="0.25">
      <c r="A40">
        <v>29</v>
      </c>
      <c r="B40" s="6" t="n">
        <v>1162.7322729418</v>
      </c>
      <c r="C40" s="9">
        <f si="0" t="shared"/>
        <v>6.8134397583786163E-4</v>
      </c>
      <c r="E40" s="371">
        <v>29</v>
      </c>
      <c r="F40" s="371" t="n">
        <v>1041.0</v>
      </c>
      <c r="G40" s="9">
        <f si="1" t="shared"/>
        <v>6.6952402112054846E-4</v>
      </c>
    </row>
    <row r="41" spans="1:7" x14ac:dyDescent="0.25">
      <c r="A41">
        <v>30</v>
      </c>
      <c r="B41" s="6" t="n">
        <v>367.060631163</v>
      </c>
      <c r="C41" s="9">
        <f si="0" t="shared"/>
        <v>2.1509212019839728E-4</v>
      </c>
      <c r="E41" s="371">
        <v>30</v>
      </c>
      <c r="F41" s="371" t="n">
        <v>843.0</v>
      </c>
      <c r="G41" s="9">
        <f si="1" t="shared"/>
        <v>5.982598364037817E-4</v>
      </c>
    </row>
    <row r="42" spans="1:7" x14ac:dyDescent="0.25">
      <c r="A42">
        <v>31</v>
      </c>
      <c r="B42" s="6" t="n">
        <v>1676.031328635</v>
      </c>
      <c r="C42" s="9">
        <f si="0" t="shared"/>
        <v>9.8212965757951774E-4</v>
      </c>
      <c r="E42" s="371">
        <v>31</v>
      </c>
      <c r="F42" s="371" t="n">
        <v>820.0</v>
      </c>
      <c r="G42" s="9">
        <f si="1" t="shared"/>
        <v>5.3657739080859696E-4</v>
      </c>
    </row>
    <row r="43" spans="1:7" x14ac:dyDescent="0.25">
      <c r="A43">
        <v>32</v>
      </c>
      <c r="B43" s="6" t="n">
        <v>1387.7529686497</v>
      </c>
      <c r="C43" s="9">
        <f si="0" t="shared"/>
        <v>8.132027872145511E-4</v>
      </c>
      <c r="E43" s="371">
        <v>32</v>
      </c>
      <c r="F43" s="371" t="n">
        <v>521.0</v>
      </c>
      <c r="G43" s="9">
        <f si="1" t="shared"/>
        <v>4.3237597786139177E-4</v>
      </c>
    </row>
    <row r="44" spans="1:7" x14ac:dyDescent="0.25">
      <c r="A44">
        <v>33</v>
      </c>
      <c r="B44" s="6" t="n">
        <v>1376.858994262</v>
      </c>
      <c r="C44" s="9">
        <f si="0" t="shared"/>
        <v>8.068190787764841E-4</v>
      </c>
      <c r="E44" s="371">
        <v>33</v>
      </c>
      <c r="F44" s="371" t="n">
        <v>486.0</v>
      </c>
      <c r="G44" s="9">
        <f si="1" t="shared"/>
        <v>3.4733804315735073E-4</v>
      </c>
    </row>
    <row r="45" spans="1:7" x14ac:dyDescent="0.25">
      <c r="A45">
        <v>34</v>
      </c>
      <c r="B45" s="6" t="n">
        <v>2187.712304919</v>
      </c>
      <c r="C45" s="9">
        <f si="0" t="shared"/>
        <v>1.2819671686343003E-3</v>
      </c>
      <c r="E45" s="371">
        <v>34</v>
      </c>
      <c r="F45" s="371" t="n">
        <v>377.0</v>
      </c>
      <c r="G45" s="9">
        <f si="1" t="shared"/>
        <v>2.8685331495236378E-4</v>
      </c>
    </row>
    <row r="46" spans="1:7" x14ac:dyDescent="0.25">
      <c r="A46">
        <v>35</v>
      </c>
      <c r="B46" s="6" t="n">
        <v>1254.4259388314</v>
      </c>
      <c r="C46" s="9">
        <f si="0" t="shared"/>
        <v>7.3507511268701973E-4</v>
      </c>
      <c r="E46" s="371">
        <v>35</v>
      </c>
      <c r="F46" s="371" t="n">
        <v>303.0</v>
      </c>
      <c r="G46" s="9">
        <f si="1" t="shared"/>
        <v>2.4134005412484885E-4</v>
      </c>
    </row>
    <row r="47" spans="1:7" x14ac:dyDescent="0.25">
      <c r="A47">
        <v>36</v>
      </c>
      <c r="B47" s="6" t="n">
        <v>2138.139549584</v>
      </c>
      <c r="C47" s="9">
        <f si="0" t="shared"/>
        <v>1.2529182646009321E-3</v>
      </c>
      <c r="E47" s="371">
        <v>36</v>
      </c>
      <c r="F47" s="371" t="n">
        <v>346.0</v>
      </c>
      <c r="G47" s="9">
        <f si="1" t="shared"/>
        <v>2.5152065194152982E-4</v>
      </c>
    </row>
    <row r="48" spans="1:7" x14ac:dyDescent="0.25">
      <c r="A48">
        <v>37</v>
      </c>
      <c r="B48" s="6" t="n">
        <v>435.6266693499</v>
      </c>
      <c r="C48" s="9">
        <f si="0" t="shared"/>
        <v>2.5527080806393265E-4</v>
      </c>
      <c r="E48" s="371">
        <v>37</v>
      </c>
      <c r="F48" s="371" t="n">
        <v>215.0</v>
      </c>
      <c r="G48" s="9">
        <f si="1" t="shared"/>
        <v>1.9043706504144403E-4</v>
      </c>
    </row>
    <row r="49" spans="1:7" x14ac:dyDescent="0.25">
      <c r="A49">
        <v>38</v>
      </c>
      <c r="B49" s="6" t="n">
        <v>697.23633098</v>
      </c>
      <c r="C49" s="9">
        <f si="0" t="shared"/>
        <v>4.0857021423047334E-4</v>
      </c>
      <c r="E49" s="371">
        <v>38</v>
      </c>
      <c r="F49" s="371" t="n">
        <v>268.0</v>
      </c>
      <c r="G49" s="9">
        <f si="1" t="shared"/>
        <v>2.0181538024832276E-4</v>
      </c>
    </row>
    <row r="50" spans="1:7" x14ac:dyDescent="0.25">
      <c r="A50">
        <v>39</v>
      </c>
      <c r="B50" s="6" t="n">
        <v>1276.819868687</v>
      </c>
      <c r="C50" s="9">
        <f si="0" t="shared"/>
        <v>7.4819762554532803E-4</v>
      </c>
      <c r="E50" s="371">
        <v>39</v>
      </c>
      <c r="F50" s="371" t="n">
        <v>169.0</v>
      </c>
      <c r="G50" s="9">
        <f si="1" t="shared"/>
        <v>1.6229070637179663E-4</v>
      </c>
    </row>
    <row r="51" spans="1:7" x14ac:dyDescent="0.25">
      <c r="A51">
        <v>40</v>
      </c>
      <c r="B51" s="6" t="n">
        <v>336.097862622</v>
      </c>
      <c r="C51" s="9">
        <f si="0" t="shared"/>
        <v>1.9694839415620424E-4</v>
      </c>
      <c r="E51" s="371">
        <v>40</v>
      </c>
      <c r="F51" s="371" t="n">
        <v>146.0</v>
      </c>
      <c r="G51" s="9">
        <f si="1" t="shared"/>
        <v>1.1498086945898506E-4</v>
      </c>
    </row>
    <row r="52" spans="1:7" x14ac:dyDescent="0.25">
      <c r="A52">
        <v>41</v>
      </c>
      <c r="B52" s="6" t="n">
        <v>1460.3671165790001</v>
      </c>
      <c r="C52" s="9">
        <f si="0" t="shared"/>
        <v>8.5575360772893489E-4</v>
      </c>
      <c r="E52" s="371">
        <v>41</v>
      </c>
      <c r="F52" s="371" t="n">
        <v>89.0</v>
      </c>
      <c r="G52" s="9">
        <f si="1" t="shared"/>
        <v>9.7015108606018647E-5</v>
      </c>
    </row>
    <row r="53" spans="1:7" x14ac:dyDescent="0.25">
      <c r="A53">
        <v>42</v>
      </c>
      <c r="B53" s="6" t="n">
        <v>435.7994321551</v>
      </c>
      <c r="C53" s="9">
        <f si="0" t="shared"/>
        <v>2.5537204452163765E-4</v>
      </c>
      <c r="E53" s="371">
        <v>42</v>
      </c>
      <c r="F53" s="371" t="n">
        <v>123.0</v>
      </c>
      <c r="G53" s="9">
        <f si="1" t="shared"/>
        <v>8.2043641228546634E-5</v>
      </c>
    </row>
    <row r="54" spans="1:7" x14ac:dyDescent="0.25">
      <c r="A54">
        <v>43</v>
      </c>
      <c r="B54" s="6" t="n">
        <v>1712.091986692</v>
      </c>
      <c r="C54" s="9">
        <f si="0" t="shared"/>
        <v>1.0032606717464531E-3</v>
      </c>
      <c r="E54" s="371">
        <v>43</v>
      </c>
      <c r="F54" s="371" t="n">
        <v>63.0</v>
      </c>
      <c r="G54" s="9">
        <f si="1" t="shared"/>
        <v>9.2823097740326482E-5</v>
      </c>
    </row>
    <row r="55" spans="1:7" x14ac:dyDescent="0.25">
      <c r="A55">
        <v>44</v>
      </c>
      <c r="B55" s="6" t="n">
        <v>4102.962444131</v>
      </c>
      <c r="C55" s="9">
        <f si="0" t="shared"/>
        <v>2.4042755236549406E-3</v>
      </c>
      <c r="E55" s="371">
        <v>44</v>
      </c>
      <c r="F55" s="371" t="n">
        <v>51.0</v>
      </c>
      <c r="G55" s="9">
        <f si="1" t="shared"/>
        <v>6.0484728204986937E-5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63.0</v>
      </c>
      <c r="G56" s="9">
        <f si="1" t="shared"/>
        <v>5.0902989083404848E-5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36.0</v>
      </c>
      <c r="G57" s="9">
        <f si="1" t="shared"/>
        <v>4.2518967352020517E-5</v>
      </c>
    </row>
    <row r="58" spans="1:7" x14ac:dyDescent="0.25">
      <c r="A58">
        <v>47</v>
      </c>
      <c r="B58" s="6" t="n">
        <v>803.505355967</v>
      </c>
      <c r="C58" s="9">
        <f si="0" t="shared"/>
        <v>4.7084229670210171E-4</v>
      </c>
      <c r="E58" s="371">
        <v>47</v>
      </c>
      <c r="F58" s="371" t="n">
        <v>37.0</v>
      </c>
      <c r="G58" s="9">
        <f si="1" t="shared"/>
        <v>3.1140652145141786E-5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27.0</v>
      </c>
      <c r="G59" s="9">
        <f si="1" t="shared"/>
        <v>2.3355489108856341E-5</v>
      </c>
    </row>
    <row r="60" spans="1:7" x14ac:dyDescent="0.25">
      <c r="A60">
        <v>49</v>
      </c>
      <c r="B60" s="6" t="n">
        <v>667.99538554</v>
      </c>
      <c r="C60" s="9">
        <f si="0" t="shared"/>
        <v>3.9143545114959612E-4</v>
      </c>
      <c r="E60" s="371">
        <v>49</v>
      </c>
      <c r="F60" s="371" t="n">
        <v>27.0</v>
      </c>
      <c r="G60" s="9">
        <f si="1" t="shared"/>
        <v>2.3355489108856341E-5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19.0</v>
      </c>
      <c r="G61" s="9">
        <f si="1" t="shared"/>
        <v>1.6768043462768655E-5</v>
      </c>
    </row>
    <row r="62" spans="1:7" x14ac:dyDescent="0.25">
      <c r="A62">
        <v>51</v>
      </c>
      <c r="B62" s="6" t="n">
        <v>387.674382174</v>
      </c>
      <c r="C62" s="9">
        <f si="0" t="shared"/>
        <v>2.2717147448967487E-4</v>
      </c>
      <c r="E62" s="371">
        <v>51</v>
      </c>
      <c r="F62" s="371" t="n">
        <v>16.0</v>
      </c>
      <c r="G62" s="9">
        <f si="1" t="shared"/>
        <v>1.9163478243164179E-5</v>
      </c>
    </row>
    <row r="63" spans="1:7" x14ac:dyDescent="0.25">
      <c r="A63">
        <v>52</v>
      </c>
      <c r="B63" s="6" t="n">
        <v>181.031838601</v>
      </c>
      <c r="C63" s="9">
        <f si="0" t="shared"/>
        <v>1.0608198941065893E-4</v>
      </c>
      <c r="E63" s="371">
        <v>52</v>
      </c>
      <c r="F63" s="371" t="n">
        <v>24.0</v>
      </c>
      <c r="G63" s="9">
        <f si="1" t="shared"/>
        <v>1.8564619548065296E-5</v>
      </c>
    </row>
    <row r="64" spans="1:7" x14ac:dyDescent="0.25">
      <c r="A64">
        <v>53</v>
      </c>
      <c r="B64" s="6" t="n">
        <v>706.8156593735</v>
      </c>
      <c r="C64" s="9">
        <f si="0" t="shared"/>
        <v>4.1418355949091794E-4</v>
      </c>
      <c r="E64" s="371">
        <v>53</v>
      </c>
      <c r="F64" s="371" t="n">
        <v>14.0</v>
      </c>
      <c r="G64" s="9">
        <f si="1" t="shared"/>
        <v>1.3773749987274253E-5</v>
      </c>
    </row>
    <row r="65" spans="1:7" x14ac:dyDescent="0.25">
      <c r="A65">
        <v>54</v>
      </c>
      <c r="B65" s="6" t="n">
        <v>1175.904314993</v>
      </c>
      <c r="C65" s="9">
        <f si="0" t="shared"/>
        <v>6.8906259835305292E-4</v>
      </c>
      <c r="E65" s="371">
        <v>54</v>
      </c>
      <c r="F65" s="371" t="n">
        <v>12.0</v>
      </c>
      <c r="G65" s="9">
        <f si="1" t="shared"/>
        <v>1.8564619548065296E-5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5.0</v>
      </c>
      <c r="G66" s="9">
        <f si="1" t="shared"/>
        <v>5.3897282558899249E-6</v>
      </c>
    </row>
    <row r="67" spans="1:7" x14ac:dyDescent="0.25">
      <c r="A67">
        <v>56</v>
      </c>
      <c r="B67" s="6" t="n">
        <v>1829.478686078</v>
      </c>
      <c r="C67" s="9">
        <f si="0" t="shared"/>
        <v>1.072047547565926E-3</v>
      </c>
      <c r="E67" s="371">
        <v>56</v>
      </c>
      <c r="F67" s="371" t="n">
        <v>8.0</v>
      </c>
      <c r="G67" s="9">
        <f si="1" t="shared"/>
        <v>9.5817391215820895E-6</v>
      </c>
    </row>
    <row r="68" spans="1:7" x14ac:dyDescent="0.25">
      <c r="A68">
        <v>57</v>
      </c>
      <c r="B68" s="6" t="n">
        <v>542.140045727</v>
      </c>
      <c r="C68" s="9">
        <f si="0" t="shared"/>
        <v>3.1768607684895973E-4</v>
      </c>
      <c r="E68" s="371">
        <v>57</v>
      </c>
      <c r="F68" s="371" t="n">
        <v>4.0</v>
      </c>
      <c r="G68" s="9">
        <f si="1" t="shared"/>
        <v>8.3840217313843275E-6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9.0</v>
      </c>
      <c r="G69" s="9">
        <f si="1" t="shared"/>
        <v>7.7851630362854465E-6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8.0</v>
      </c>
      <c r="G70" s="9">
        <f si="1" t="shared"/>
        <v>5.3897282558899249E-6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3.0</v>
      </c>
      <c r="G71" s="9">
        <f si="1" t="shared"/>
        <v>4.7908695607910448E-6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2.0</v>
      </c>
      <c r="G72" s="9">
        <f si="1" t="shared"/>
        <v>5.988586950988806E-7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2.9942934754944026E-6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1.1977173901977612E-6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3.0</v>
      </c>
      <c r="G75" s="9">
        <f si="1" t="shared"/>
        <v>1.7965760852966416E-6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2.9942934754944026E-6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1.7965760852966416E-6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3.0</v>
      </c>
      <c r="G79" s="9">
        <f si="3" t="shared"/>
        <v>1.1977173901977612E-6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1.1977173901977612E-6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2.3954347803955224E-6</v>
      </c>
    </row>
    <row r="82" spans="1:7" x14ac:dyDescent="0.25">
      <c r="A82">
        <v>71</v>
      </c>
      <c r="B82" s="6" t="n">
        <v>215.6958943</v>
      </c>
      <c r="C82" s="9">
        <f si="2" t="shared"/>
        <v>1.263946151786408E-4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4605.9932193</v>
      </c>
      <c r="C83" s="9">
        <f si="2" t="shared"/>
        <v>2.6990441443411955E-3</v>
      </c>
      <c r="E83" s="371">
        <v>72</v>
      </c>
      <c r="F83" s="371" t="n">
        <v>1.0</v>
      </c>
      <c r="G83" s="9">
        <f si="3" t="shared"/>
        <v>5.988586950988806E-7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5.988586950988806E-7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5.988586950988806E-7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5.988586950988806E-7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757.659074414</v>
      </c>
      <c r="C98" s="9">
        <f si="2" t="shared"/>
        <v>4.4397705138499106E-4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5.988586950988806E-7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1706527.5604909635</v>
      </c>
      <c r="C102" s="9">
        <f si="2" t="shared"/>
        <v>1</v>
      </c>
      <c r="F102" s="6">
        <f>SUM(F11:F101)</f>
        <v>1669843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L102"/>
  <sheetViews>
    <sheetView workbookViewId="0">
      <selection activeCell="H24" sqref="H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368.29925</v>
      </c>
      <c r="C11" s="9">
        <f>B11/B$102</f>
        <v>2.1581793258237288E-4</v>
      </c>
      <c r="E11" s="371">
        <v>0</v>
      </c>
      <c r="F11" s="371" t="n">
        <v>5635.0</v>
      </c>
      <c r="G11" s="9">
        <f>F11/F$102</f>
        <v>3.3877436381743674E-3</v>
      </c>
      <c r="K11" s="6" t="n">
        <v>38.26313382773181</v>
      </c>
      <c r="L11" s="6" t="n">
        <v>25.187729840436734</v>
      </c>
    </row>
    <row r="12" spans="1:12" x14ac:dyDescent="0.25">
      <c r="A12">
        <v>1</v>
      </c>
      <c r="B12" s="6" t="n">
        <v>2411.760922769</v>
      </c>
      <c r="C12" s="9">
        <f>B12/B$102</f>
        <v>1.4132563567125416E-3</v>
      </c>
      <c r="E12" s="371">
        <v>1</v>
      </c>
      <c r="F12" s="371" t="n">
        <v>20649.0</v>
      </c>
      <c r="G12" s="9">
        <f>F12/F$102</f>
        <v>1.2371821782047774E-2</v>
      </c>
      <c r="K12" s="6"/>
      <c r="L12" s="371"/>
    </row>
    <row r="13" spans="1:12" x14ac:dyDescent="0.25">
      <c r="A13">
        <v>2</v>
      </c>
      <c r="B13" s="6" t="n">
        <v>4038.557173837</v>
      </c>
      <c r="C13" s="9">
        <f ref="C13:C76" si="0" t="shared">B13/B$102</f>
        <v>2.3665349844541146E-3</v>
      </c>
      <c r="E13" s="371">
        <v>2</v>
      </c>
      <c r="F13" s="371" t="n">
        <v>23128.0</v>
      </c>
      <c r="G13" s="9">
        <f ref="G13:G76" si="1" t="shared">F13/F$102</f>
        <v>1.3827647269833153E-2</v>
      </c>
    </row>
    <row r="14" spans="1:12" x14ac:dyDescent="0.25">
      <c r="A14">
        <v>3</v>
      </c>
      <c r="B14" s="6" t="n">
        <v>6571.010847690401</v>
      </c>
      <c r="C14" s="9">
        <f si="0" t="shared"/>
        <v>3.8505155145574905E-3</v>
      </c>
      <c r="E14" s="371">
        <v>3</v>
      </c>
      <c r="F14" s="371" t="n">
        <v>26247.0</v>
      </c>
      <c r="G14" s="9">
        <f si="1" t="shared"/>
        <v>1.5749384822405461E-2</v>
      </c>
    </row>
    <row r="15" spans="1:12" x14ac:dyDescent="0.25">
      <c r="A15">
        <v>4</v>
      </c>
      <c r="B15" s="6" t="n">
        <v>16601.6039507372</v>
      </c>
      <c r="C15" s="9">
        <f si="0" t="shared"/>
        <v>9.7282952441512076E-3</v>
      </c>
      <c r="E15" s="371">
        <v>4</v>
      </c>
      <c r="F15" s="371" t="n">
        <v>28837.0</v>
      </c>
      <c r="G15" s="9">
        <f si="1" t="shared"/>
        <v>1.7200419440630048E-2</v>
      </c>
    </row>
    <row r="16" spans="1:12" x14ac:dyDescent="0.25">
      <c r="A16">
        <v>5</v>
      </c>
      <c r="B16" s="6" t="n">
        <v>16278.711525201299</v>
      </c>
      <c r="C16" s="9">
        <f si="0" t="shared"/>
        <v>9.5390850415084764E-3</v>
      </c>
      <c r="E16" s="371">
        <v>5</v>
      </c>
      <c r="F16" s="371" t="n">
        <v>31430.0</v>
      </c>
      <c r="G16" s="9">
        <f si="1" t="shared"/>
        <v>1.8667623243622304E-2</v>
      </c>
    </row>
    <row r="17" spans="1:7" x14ac:dyDescent="0.25">
      <c r="A17">
        <v>6</v>
      </c>
      <c r="B17" s="6" t="n">
        <v>20724.5894366958</v>
      </c>
      <c r="C17" s="9">
        <f si="0" t="shared"/>
        <v>1.2144303975221702E-2</v>
      </c>
      <c r="E17" s="371">
        <v>6</v>
      </c>
      <c r="F17" s="371" t="n">
        <v>33045.0</v>
      </c>
      <c r="G17" s="9">
        <f si="1" t="shared"/>
        <v>1.9615017699268735E-2</v>
      </c>
    </row>
    <row r="18" spans="1:7" x14ac:dyDescent="0.25">
      <c r="A18">
        <v>7</v>
      </c>
      <c r="B18" s="6" t="n">
        <v>25749.0615776126</v>
      </c>
      <c r="C18" s="9">
        <f si="0" t="shared"/>
        <v>1.5088570600175169E-2</v>
      </c>
      <c r="E18" s="371">
        <v>7</v>
      </c>
      <c r="F18" s="371" t="n">
        <v>34932.0</v>
      </c>
      <c r="G18" s="9">
        <f si="1" t="shared"/>
        <v>2.0764826393858585E-2</v>
      </c>
    </row>
    <row r="19" spans="1:7" x14ac:dyDescent="0.25">
      <c r="A19">
        <v>8</v>
      </c>
      <c r="B19" s="6" t="n">
        <v>17257.3536694294</v>
      </c>
      <c r="C19" s="9">
        <f si="0" t="shared"/>
        <v>1.011255491500208E-2</v>
      </c>
      <c r="E19" s="371">
        <v>8</v>
      </c>
      <c r="F19" s="371" t="n">
        <v>34689.0</v>
      </c>
      <c r="G19" s="9">
        <f si="1" t="shared"/>
        <v>2.041868606809143E-2</v>
      </c>
    </row>
    <row r="20" spans="1:7" x14ac:dyDescent="0.25">
      <c r="A20">
        <v>9</v>
      </c>
      <c r="B20" s="6" t="n">
        <v>39041.5516553527</v>
      </c>
      <c r="C20" s="9">
        <f si="0" t="shared"/>
        <v>2.2877773883781021E-2</v>
      </c>
      <c r="E20" s="371">
        <v>9</v>
      </c>
      <c r="F20" s="371" t="n">
        <v>33384.0</v>
      </c>
      <c r="G20" s="9">
        <f si="1" t="shared"/>
        <v>1.9721015688301237E-2</v>
      </c>
    </row>
    <row r="21" spans="1:7" x14ac:dyDescent="0.25">
      <c r="A21">
        <v>10</v>
      </c>
      <c r="B21" s="6" t="n">
        <v>16682.6697958489</v>
      </c>
      <c r="C21" s="9">
        <f si="0" t="shared"/>
        <v>9.7757986346551241E-3</v>
      </c>
      <c r="E21" s="371">
        <v>10</v>
      </c>
      <c r="F21" s="371" t="n">
        <v>32249.0</v>
      </c>
      <c r="G21" s="9">
        <f si="1" t="shared"/>
        <v>1.8873630634736318E-2</v>
      </c>
    </row>
    <row r="22" spans="1:7" x14ac:dyDescent="0.25">
      <c r="A22">
        <v>11</v>
      </c>
      <c r="B22" s="6" t="n">
        <v>14319.210166365301</v>
      </c>
      <c r="C22" s="9">
        <f si="0" t="shared"/>
        <v>8.3908461239534295E-3</v>
      </c>
      <c r="E22" s="371">
        <v>11</v>
      </c>
      <c r="F22" s="371" t="n">
        <v>30515.0</v>
      </c>
      <c r="G22" s="9">
        <f si="1" t="shared"/>
        <v>1.8086131450681293E-2</v>
      </c>
    </row>
    <row r="23" spans="1:7" x14ac:dyDescent="0.25">
      <c r="A23">
        <v>12</v>
      </c>
      <c r="B23" s="6" t="n">
        <v>36046.3612831153</v>
      </c>
      <c r="C23" s="9">
        <f si="0" t="shared"/>
        <v>2.1122636468141692E-2</v>
      </c>
      <c r="E23" s="371">
        <v>12</v>
      </c>
      <c r="F23" s="371" t="n">
        <v>28263.0</v>
      </c>
      <c r="G23" s="9">
        <f si="1" t="shared"/>
        <v>1.6702767865002879E-2</v>
      </c>
    </row>
    <row r="24" spans="1:7" x14ac:dyDescent="0.25">
      <c r="A24">
        <v>13</v>
      </c>
      <c r="B24" s="6" t="n">
        <v>31006.387511847202</v>
      </c>
      <c r="C24" s="9">
        <f si="0" t="shared"/>
        <v>1.8169286116262166E-2</v>
      </c>
      <c r="E24" s="371">
        <v>13</v>
      </c>
      <c r="F24" s="371" t="n">
        <v>25197.0</v>
      </c>
      <c r="G24" s="9">
        <f si="1" t="shared"/>
        <v>1.4833729877599271E-2</v>
      </c>
    </row>
    <row r="25" spans="1:7" x14ac:dyDescent="0.25">
      <c r="A25">
        <v>14</v>
      </c>
      <c r="B25" s="6" t="n">
        <v>18556.9947950918</v>
      </c>
      <c r="C25" s="9">
        <f si="0" t="shared"/>
        <v>1.0874125460800061E-2</v>
      </c>
      <c r="E25" s="371">
        <v>14</v>
      </c>
      <c r="F25" s="371" t="n">
        <v>22749.0</v>
      </c>
      <c r="G25" s="9">
        <f si="1" t="shared"/>
        <v>1.3558160857038655E-2</v>
      </c>
    </row>
    <row r="26" spans="1:7" x14ac:dyDescent="0.25">
      <c r="A26">
        <v>15</v>
      </c>
      <c r="B26" s="6" t="n">
        <v>12120.2283892984</v>
      </c>
      <c r="C26" s="9">
        <f si="0" t="shared"/>
        <v>7.1022752107275915E-3</v>
      </c>
      <c r="E26" s="371">
        <v>15</v>
      </c>
      <c r="F26" s="371" t="n">
        <v>23402.0</v>
      </c>
      <c r="G26" s="9">
        <f si="1" t="shared"/>
        <v>1.3923464661048972E-2</v>
      </c>
    </row>
    <row r="27" spans="1:7" x14ac:dyDescent="0.25">
      <c r="A27">
        <v>16</v>
      </c>
      <c r="B27" s="6" t="n">
        <v>44631.4887250049</v>
      </c>
      <c r="C27" s="9">
        <f si="0" t="shared"/>
        <v>2.6153394623269103E-2</v>
      </c>
      <c r="E27" s="371">
        <v>16</v>
      </c>
      <c r="F27" s="371" t="n">
        <v>23090.0</v>
      </c>
      <c r="G27" s="9">
        <f si="1" t="shared"/>
        <v>1.327789498773238E-2</v>
      </c>
    </row>
    <row r="28" spans="1:7" x14ac:dyDescent="0.25">
      <c r="A28">
        <v>17</v>
      </c>
      <c r="B28" s="6" t="n">
        <v>25216.9409814584</v>
      </c>
      <c r="C28" s="9">
        <f si="0" t="shared"/>
        <v>1.4776755773111308E-2</v>
      </c>
      <c r="E28" s="371">
        <v>17</v>
      </c>
      <c r="F28" s="371" t="n">
        <v>20296.0</v>
      </c>
      <c r="G28" s="9">
        <f si="1" t="shared"/>
        <v>1.2145453195300396E-2</v>
      </c>
    </row>
    <row r="29" spans="1:7" x14ac:dyDescent="0.25">
      <c r="A29">
        <v>18</v>
      </c>
      <c r="B29" s="6" t="n">
        <v>84915.0012217678</v>
      </c>
      <c r="C29" s="9">
        <f si="0" t="shared"/>
        <v>4.9758939256356334E-2</v>
      </c>
      <c r="E29" s="371">
        <v>18</v>
      </c>
      <c r="F29" s="371" t="n">
        <v>183524.0</v>
      </c>
      <c r="G29" s="9">
        <f si="1" t="shared"/>
        <v>0.10935279544244579</v>
      </c>
    </row>
    <row r="30" spans="1:7" x14ac:dyDescent="0.25">
      <c r="A30">
        <v>19</v>
      </c>
      <c r="B30" s="6" t="n">
        <v>79424.4108762523</v>
      </c>
      <c r="C30" s="9">
        <f si="0" t="shared"/>
        <v>4.6541534233061031E-2</v>
      </c>
      <c r="E30" s="371">
        <v>19</v>
      </c>
      <c r="F30" s="371" t="n">
        <v>73181.0</v>
      </c>
      <c r="G30" s="9">
        <f si="1" t="shared"/>
        <v>4.3753215122619316E-2</v>
      </c>
    </row>
    <row r="31" spans="1:7" x14ac:dyDescent="0.25">
      <c r="A31">
        <v>20</v>
      </c>
      <c r="B31" s="6" t="n">
        <v>82049.9900974831</v>
      </c>
      <c r="C31" s="9">
        <f si="0" t="shared"/>
        <v>4.8080084961462641E-2</v>
      </c>
      <c r="E31" s="371">
        <v>20</v>
      </c>
      <c r="F31" s="371" t="n">
        <v>73898.0</v>
      </c>
      <c r="G31" s="9">
        <f si="1" t="shared"/>
        <v>4.4752111426044246E-2</v>
      </c>
    </row>
    <row r="32" spans="1:7" x14ac:dyDescent="0.25">
      <c r="A32">
        <v>21</v>
      </c>
      <c r="B32" s="6" t="n">
        <v>68277.3501920338</v>
      </c>
      <c r="C32" s="9">
        <f si="0" t="shared"/>
        <v>4.0009520955167341E-2</v>
      </c>
      <c r="E32" s="371">
        <v>21</v>
      </c>
      <c r="F32" s="371" t="n">
        <v>85859.0</v>
      </c>
      <c r="G32" s="9">
        <f si="1" t="shared"/>
        <v>4.9619036041112848E-2</v>
      </c>
    </row>
    <row r="33" spans="1:7" x14ac:dyDescent="0.25">
      <c r="A33">
        <v>22</v>
      </c>
      <c r="B33" s="6" t="n">
        <v>68910.1250589409</v>
      </c>
      <c r="C33" s="9">
        <f si="0" t="shared"/>
        <v>4.0380317701470728E-2</v>
      </c>
      <c r="E33" s="371">
        <v>22</v>
      </c>
      <c r="F33" s="371" t="n">
        <v>80138.0</v>
      </c>
      <c r="G33" s="9">
        <f si="1" t="shared"/>
        <v>4.7484703651780438E-2</v>
      </c>
    </row>
    <row r="34" spans="1:7" x14ac:dyDescent="0.25">
      <c r="A34">
        <v>23</v>
      </c>
      <c r="B34" s="6" t="n">
        <v>50837.4078489238</v>
      </c>
      <c r="C34" s="9">
        <f si="0" t="shared"/>
        <v>2.978997176834227E-2</v>
      </c>
      <c r="E34" s="371">
        <v>23</v>
      </c>
      <c r="F34" s="371" t="n">
        <v>73230.0</v>
      </c>
      <c r="G34" s="9">
        <f si="1" t="shared"/>
        <v>4.2334518873930062E-2</v>
      </c>
    </row>
    <row r="35" spans="1:7" x14ac:dyDescent="0.25">
      <c r="A35">
        <v>24</v>
      </c>
      <c r="B35" s="6" t="n">
        <v>41929.7968305026</v>
      </c>
      <c r="C35" s="9">
        <f si="0" t="shared"/>
        <v>2.4570242990063117E-2</v>
      </c>
      <c r="E35" s="371">
        <v>24</v>
      </c>
      <c r="F35" s="371" t="n">
        <v>53112.0</v>
      </c>
      <c r="G35" s="9">
        <f si="1" t="shared"/>
        <v>3.0658570895587191E-2</v>
      </c>
    </row>
    <row r="36" spans="1:7" x14ac:dyDescent="0.25">
      <c r="A36">
        <v>25</v>
      </c>
      <c r="B36" s="6" t="n">
        <v>31284.4027934759</v>
      </c>
      <c r="C36" s="9">
        <f si="0" t="shared"/>
        <v>1.8332198973965274E-2</v>
      </c>
      <c r="E36" s="371">
        <v>25</v>
      </c>
      <c r="F36" s="371" t="n">
        <v>62318.0</v>
      </c>
      <c r="G36" s="9">
        <f si="1" t="shared"/>
        <v>3.4754165511368437E-2</v>
      </c>
    </row>
    <row r="37" spans="1:7" x14ac:dyDescent="0.25">
      <c r="A37">
        <v>26</v>
      </c>
      <c r="B37" s="6" t="n">
        <v>84672.2549033893</v>
      </c>
      <c r="C37" s="9">
        <f si="0" t="shared"/>
        <v>4.9616693491331208E-2</v>
      </c>
      <c r="E37" s="371">
        <v>26</v>
      </c>
      <c r="F37" s="371" t="n">
        <v>47068.0</v>
      </c>
      <c r="G37" s="9">
        <f si="1" t="shared"/>
        <v>3.3055802252068008E-2</v>
      </c>
    </row>
    <row r="38" spans="1:7" x14ac:dyDescent="0.25">
      <c r="A38">
        <v>27</v>
      </c>
      <c r="B38" s="6" t="n">
        <v>28838.155832383</v>
      </c>
      <c r="C38" s="9">
        <f si="0" t="shared"/>
        <v>1.6898734307042976E-2</v>
      </c>
      <c r="E38" s="371">
        <v>27</v>
      </c>
      <c r="F38" s="371" t="n">
        <v>40948.0</v>
      </c>
      <c r="G38" s="9">
        <f si="1" t="shared"/>
        <v>2.1338533023763311E-2</v>
      </c>
    </row>
    <row r="39" spans="1:7" x14ac:dyDescent="0.25">
      <c r="A39">
        <v>28</v>
      </c>
      <c r="B39" s="6" t="n">
        <v>22226.6761522549</v>
      </c>
      <c r="C39" s="9">
        <f si="0" t="shared"/>
        <v>1.3024504653098215E-2</v>
      </c>
      <c r="E39" s="371">
        <v>28</v>
      </c>
      <c r="F39" s="371" t="n">
        <v>38517.0</v>
      </c>
      <c r="G39" s="9">
        <f si="1" t="shared"/>
        <v>2.3204576717691425E-2</v>
      </c>
    </row>
    <row r="40" spans="1:7" x14ac:dyDescent="0.25">
      <c r="A40">
        <v>29</v>
      </c>
      <c r="B40" s="6" t="n">
        <v>43361.8089197</v>
      </c>
      <c r="C40" s="9">
        <f si="0" t="shared"/>
        <v>2.5409380969636922E-2</v>
      </c>
      <c r="E40" s="371">
        <v>29</v>
      </c>
      <c r="F40" s="371" t="n">
        <v>33031.0</v>
      </c>
      <c r="G40" s="9">
        <f si="1" t="shared"/>
        <v>1.9293430580000635E-2</v>
      </c>
    </row>
    <row r="41" spans="1:7" x14ac:dyDescent="0.25">
      <c r="A41">
        <v>30</v>
      </c>
      <c r="B41" s="6" t="n">
        <v>25489.211956623498</v>
      </c>
      <c r="C41" s="9">
        <f si="0" t="shared"/>
        <v>1.493630255188514E-2</v>
      </c>
      <c r="E41" s="371">
        <v>30</v>
      </c>
      <c r="F41" s="371" t="n">
        <v>29659.0</v>
      </c>
      <c r="G41" s="9">
        <f si="1" t="shared"/>
        <v>1.9563515851490229E-2</v>
      </c>
    </row>
    <row r="42" spans="1:7" x14ac:dyDescent="0.25">
      <c r="A42">
        <v>31</v>
      </c>
      <c r="B42" s="6" t="n">
        <v>23761.499522065402</v>
      </c>
      <c r="C42" s="9">
        <f si="0" t="shared"/>
        <v>1.3923888527900061E-2</v>
      </c>
      <c r="E42" s="371">
        <v>31</v>
      </c>
      <c r="F42" s="371" t="n">
        <v>23563.0</v>
      </c>
      <c r="G42" s="9">
        <f si="1" t="shared"/>
        <v>1.8277167374417834E-2</v>
      </c>
    </row>
    <row r="43" spans="1:7" x14ac:dyDescent="0.25">
      <c r="A43">
        <v>32</v>
      </c>
      <c r="B43" s="6" t="n">
        <v>19434.9311217531</v>
      </c>
      <c r="C43" s="9">
        <f si="0" t="shared"/>
        <v>1.1388583209380881E-2</v>
      </c>
      <c r="E43" s="371">
        <v>32</v>
      </c>
      <c r="F43" s="371" t="n">
        <v>33029.0</v>
      </c>
      <c r="G43" s="9">
        <f si="1" t="shared"/>
        <v>1.38551947698077E-2</v>
      </c>
    </row>
    <row r="44" spans="1:7" x14ac:dyDescent="0.25">
      <c r="A44">
        <v>33</v>
      </c>
      <c r="B44" s="6" t="n">
        <v>13879.9921380944</v>
      </c>
      <c r="C44" s="9">
        <f si="0" t="shared"/>
        <v>8.13347083249049E-3</v>
      </c>
      <c r="E44" s="371">
        <v>33</v>
      </c>
      <c r="F44" s="371" t="n">
        <v>20586.0</v>
      </c>
      <c r="G44" s="9">
        <f si="1" t="shared"/>
        <v>1.4681619769044156E-2</v>
      </c>
    </row>
    <row r="45" spans="1:7" x14ac:dyDescent="0.25">
      <c r="A45">
        <v>34</v>
      </c>
      <c r="B45" s="6" t="n">
        <v>23300.5184110957</v>
      </c>
      <c r="C45" s="9">
        <f si="0" t="shared"/>
        <v>1.3653760390715405E-2</v>
      </c>
      <c r="E45" s="371">
        <v>34</v>
      </c>
      <c r="F45" s="371" t="n">
        <v>25154.0</v>
      </c>
      <c r="G45" s="9">
        <f si="1" t="shared"/>
        <v>1.4630716779960751E-2</v>
      </c>
    </row>
    <row r="46" spans="1:7" x14ac:dyDescent="0.25">
      <c r="A46">
        <v>35</v>
      </c>
      <c r="B46" s="6" t="n">
        <v>19565.3307746215</v>
      </c>
      <c r="C46" s="9">
        <f si="0" t="shared"/>
        <v>1.1464995484158842E-2</v>
      </c>
      <c r="E46" s="371">
        <v>35</v>
      </c>
      <c r="F46" s="371" t="n">
        <v>17530.0</v>
      </c>
      <c r="G46" s="9">
        <f si="1" t="shared"/>
        <v>1.1377117489488532E-2</v>
      </c>
    </row>
    <row r="47" spans="1:7" x14ac:dyDescent="0.25">
      <c r="A47">
        <v>36</v>
      </c>
      <c r="B47" s="6" t="n">
        <v>19454.9918892523</v>
      </c>
      <c r="C47" s="9">
        <f si="0" t="shared"/>
        <v>1.1400338523483999E-2</v>
      </c>
      <c r="E47" s="371">
        <v>36</v>
      </c>
      <c r="F47" s="371" t="n">
        <v>12705.0</v>
      </c>
      <c r="G47" s="9">
        <f si="1" t="shared"/>
        <v>7.1886997759669623E-3</v>
      </c>
    </row>
    <row r="48" spans="1:7" x14ac:dyDescent="0.25">
      <c r="A48">
        <v>37</v>
      </c>
      <c r="B48" s="6" t="n">
        <v>17439.1436846392</v>
      </c>
      <c r="C48" s="9">
        <f si="0" t="shared"/>
        <v>1.0219081184731646E-2</v>
      </c>
      <c r="E48" s="371">
        <v>37</v>
      </c>
      <c r="F48" s="371" t="n">
        <v>13242.0</v>
      </c>
      <c r="G48" s="9">
        <f si="1" t="shared"/>
        <v>7.8306762971129627E-3</v>
      </c>
    </row>
    <row r="49" spans="1:7" x14ac:dyDescent="0.25">
      <c r="A49">
        <v>38</v>
      </c>
      <c r="B49" s="6" t="n">
        <v>18335.153339625802</v>
      </c>
      <c r="C49" s="9">
        <f si="0" t="shared"/>
        <v>1.0744129637350145E-2</v>
      </c>
      <c r="E49" s="371">
        <v>38</v>
      </c>
      <c r="F49" s="371" t="n">
        <v>13470.0</v>
      </c>
      <c r="G49" s="9">
        <f si="1" t="shared"/>
        <v>8.8505326548663551E-3</v>
      </c>
    </row>
    <row r="50" spans="1:7" x14ac:dyDescent="0.25">
      <c r="A50">
        <v>39</v>
      </c>
      <c r="B50" s="6" t="n">
        <v>4167.0391510542</v>
      </c>
      <c r="C50" s="9">
        <f si="0" t="shared"/>
        <v>2.4418235295627774E-3</v>
      </c>
      <c r="E50" s="371">
        <v>39</v>
      </c>
      <c r="F50" s="371" t="n">
        <v>10650.0</v>
      </c>
      <c r="G50" s="9">
        <f si="1" t="shared"/>
        <v>5.4975228210077231E-3</v>
      </c>
    </row>
    <row r="51" spans="1:7" x14ac:dyDescent="0.25">
      <c r="A51">
        <v>40</v>
      </c>
      <c r="B51" s="6" t="n">
        <v>7278.7932509961</v>
      </c>
      <c r="C51" s="9">
        <f si="0" t="shared"/>
        <v>4.2652655717450071E-3</v>
      </c>
      <c r="E51" s="371">
        <v>40</v>
      </c>
      <c r="F51" s="371" t="n">
        <v>8290.0</v>
      </c>
      <c r="G51" s="9">
        <f si="1" t="shared"/>
        <v>5.5364486361891511E-3</v>
      </c>
    </row>
    <row r="52" spans="1:7" x14ac:dyDescent="0.25">
      <c r="A52">
        <v>41</v>
      </c>
      <c r="B52" s="6" t="n">
        <v>5349.789588329</v>
      </c>
      <c r="C52" s="9">
        <f si="0" t="shared"/>
        <v>3.134897854676241E-3</v>
      </c>
      <c r="E52" s="371">
        <v>41</v>
      </c>
      <c r="F52" s="371" t="n">
        <v>7109.0</v>
      </c>
      <c r="G52" s="9">
        <f si="1" t="shared"/>
        <v>5.4538061362655052E-3</v>
      </c>
    </row>
    <row r="53" spans="1:7" x14ac:dyDescent="0.25">
      <c r="A53">
        <v>42</v>
      </c>
      <c r="B53" s="6" t="n">
        <v>8051.5280820192</v>
      </c>
      <c r="C53" s="9">
        <f si="0" t="shared"/>
        <v>4.7180767943195701E-3</v>
      </c>
      <c r="E53" s="371">
        <v>42</v>
      </c>
      <c r="F53" s="371" t="n">
        <v>8385.0</v>
      </c>
      <c r="G53" s="9">
        <f si="1" t="shared"/>
        <v>4.5363546153740202E-3</v>
      </c>
    </row>
    <row r="54" spans="1:7" x14ac:dyDescent="0.25">
      <c r="A54">
        <v>43</v>
      </c>
      <c r="B54" s="6" t="n">
        <v>3386.0244571352</v>
      </c>
      <c r="C54" s="9">
        <f si="0" t="shared"/>
        <v>1.9841604293581111E-3</v>
      </c>
      <c r="E54" s="371">
        <v>43</v>
      </c>
      <c r="F54" s="371" t="n">
        <v>5956.0</v>
      </c>
      <c r="G54" s="9">
        <f si="1" t="shared"/>
        <v>4.0135509745526975E-3</v>
      </c>
    </row>
    <row r="55" spans="1:7" x14ac:dyDescent="0.25">
      <c r="A55">
        <v>44</v>
      </c>
      <c r="B55" s="6" t="n">
        <v>2497.7442771053</v>
      </c>
      <c r="C55" s="9">
        <f si="0" t="shared"/>
        <v>1.463641335148848E-3</v>
      </c>
      <c r="E55" s="371">
        <v>44</v>
      </c>
      <c r="F55" s="371" t="n">
        <v>5635.0</v>
      </c>
      <c r="G55" s="9">
        <f si="1" t="shared"/>
        <v>3.4009185294665428E-3</v>
      </c>
    </row>
    <row r="56" spans="1:7" x14ac:dyDescent="0.25">
      <c r="A56">
        <v>45</v>
      </c>
      <c r="B56" s="6" t="n">
        <v>53948.4080062041</v>
      </c>
      <c r="C56" s="9">
        <f si="0" t="shared"/>
        <v>3.1612972011236251E-2</v>
      </c>
      <c r="E56" s="371">
        <v>45</v>
      </c>
      <c r="F56" s="371" t="n">
        <v>4460.0</v>
      </c>
      <c r="G56" s="9">
        <f si="1" t="shared"/>
        <v>3.6075247792756566E-3</v>
      </c>
    </row>
    <row r="57" spans="1:7" x14ac:dyDescent="0.25">
      <c r="A57">
        <v>46</v>
      </c>
      <c r="B57" s="6" t="n">
        <v>6923.3587785405</v>
      </c>
      <c r="C57" s="9">
        <f si="0" t="shared"/>
        <v>4.0569862092052402E-3</v>
      </c>
      <c r="E57" s="371">
        <v>46</v>
      </c>
      <c r="F57" s="371" t="n">
        <v>5335.0</v>
      </c>
      <c r="G57" s="9">
        <f si="1" t="shared"/>
        <v>2.7787043452588058E-3</v>
      </c>
    </row>
    <row r="58" spans="1:7" x14ac:dyDescent="0.25">
      <c r="A58">
        <v>47</v>
      </c>
      <c r="B58" s="6" t="n">
        <v>3929.6750976079</v>
      </c>
      <c r="C58" s="9">
        <f si="0" t="shared"/>
        <v>2.3027316924652207E-3</v>
      </c>
      <c r="E58" s="371">
        <v>47</v>
      </c>
      <c r="F58" s="371" t="n">
        <v>4285.0</v>
      </c>
      <c r="G58" s="9">
        <f si="1" t="shared"/>
        <v>2.6745029323116004E-3</v>
      </c>
    </row>
    <row r="59" spans="1:7" x14ac:dyDescent="0.25">
      <c r="A59">
        <v>48</v>
      </c>
      <c r="B59" s="6" t="n">
        <v>17507.0420864266</v>
      </c>
      <c r="C59" s="9">
        <f si="0" t="shared"/>
        <v>1.0258868647506563E-2</v>
      </c>
      <c r="E59" s="371">
        <v>48</v>
      </c>
      <c r="F59" s="371" t="n">
        <v>5098.0</v>
      </c>
      <c r="G59" s="9">
        <f si="1" t="shared"/>
        <v>3.0158523885179624E-3</v>
      </c>
    </row>
    <row r="60" spans="1:7" x14ac:dyDescent="0.25">
      <c r="A60">
        <v>49</v>
      </c>
      <c r="B60" s="6" t="n">
        <v>7260.8377199875</v>
      </c>
      <c r="C60" s="9">
        <f si="0" t="shared"/>
        <v>4.2547438951988431E-3</v>
      </c>
      <c r="E60" s="371">
        <v>49</v>
      </c>
      <c r="F60" s="371" t="n">
        <v>4806.0</v>
      </c>
      <c r="G60" s="9">
        <f si="1" t="shared"/>
        <v>2.8643411386579457E-3</v>
      </c>
    </row>
    <row r="61" spans="1:7" x14ac:dyDescent="0.25">
      <c r="A61">
        <v>50</v>
      </c>
      <c r="B61" s="6" t="n">
        <v>745.499793006</v>
      </c>
      <c r="C61" s="9">
        <f si="0" t="shared"/>
        <v>4.3685189168085967E-4</v>
      </c>
      <c r="E61" s="371">
        <v>50</v>
      </c>
      <c r="F61" s="371" t="n">
        <v>2913.0</v>
      </c>
      <c r="G61" s="9">
        <f si="1" t="shared"/>
        <v>2.070853367651929E-3</v>
      </c>
    </row>
    <row r="62" spans="1:7" x14ac:dyDescent="0.25">
      <c r="A62">
        <v>51</v>
      </c>
      <c r="B62" s="6" t="n">
        <v>10964.093927625401</v>
      </c>
      <c r="C62" s="9">
        <f si="0" t="shared"/>
        <v>6.4247974550560799E-3</v>
      </c>
      <c r="E62" s="371">
        <v>51</v>
      </c>
      <c r="F62" s="371" t="n">
        <v>3201.0</v>
      </c>
      <c r="G62" s="9">
        <f si="1" t="shared"/>
        <v>1.8271178787466846E-3</v>
      </c>
    </row>
    <row r="63" spans="1:7" x14ac:dyDescent="0.25">
      <c r="A63">
        <v>52</v>
      </c>
      <c r="B63" s="6" t="n">
        <v>4978.2120747738</v>
      </c>
      <c r="C63" s="9">
        <f si="0" t="shared"/>
        <v>2.9171589079648864E-3</v>
      </c>
      <c r="E63" s="371">
        <v>52</v>
      </c>
      <c r="F63" s="371" t="n">
        <v>2422.0</v>
      </c>
      <c r="G63" s="9">
        <f si="1" t="shared"/>
        <v>1.9331158677791864E-3</v>
      </c>
    </row>
    <row r="64" spans="1:7" x14ac:dyDescent="0.25">
      <c r="A64">
        <v>53</v>
      </c>
      <c r="B64" s="6" t="n">
        <v>1480.5867408829</v>
      </c>
      <c r="C64" s="9">
        <f si="0" t="shared"/>
        <v>8.6760200957840912E-4</v>
      </c>
      <c r="E64" s="371">
        <v>53</v>
      </c>
      <c r="F64" s="371" t="n">
        <v>2397.0</v>
      </c>
      <c r="G64" s="9">
        <f si="1" t="shared"/>
        <v>1.4905592921011137E-3</v>
      </c>
    </row>
    <row r="65" spans="1:7" x14ac:dyDescent="0.25">
      <c r="A65">
        <v>54</v>
      </c>
      <c r="B65" s="6" t="n">
        <v>22755.6194280058</v>
      </c>
      <c r="C65" s="9">
        <f si="0" t="shared"/>
        <v>1.3334457617232429E-2</v>
      </c>
      <c r="E65" s="371">
        <v>54</v>
      </c>
      <c r="F65" s="371" t="n">
        <v>2142.0</v>
      </c>
      <c r="G65" s="9">
        <f si="1" t="shared"/>
        <v>1.4576220638706752E-3</v>
      </c>
    </row>
    <row r="66" spans="1:7" x14ac:dyDescent="0.25">
      <c r="A66">
        <v>55</v>
      </c>
      <c r="B66" s="6" t="n">
        <v>334.505088392</v>
      </c>
      <c r="C66" s="9">
        <f si="0" t="shared"/>
        <v>1.9601505193139911E-4</v>
      </c>
      <c r="E66" s="371">
        <v>55</v>
      </c>
      <c r="F66" s="371" t="n">
        <v>2015.0</v>
      </c>
      <c r="G66" s="9">
        <f si="1" t="shared"/>
        <v>1.2150842923556286E-3</v>
      </c>
    </row>
    <row r="67" spans="1:7" x14ac:dyDescent="0.25">
      <c r="A67">
        <v>56</v>
      </c>
      <c r="B67" s="6" t="n">
        <v>8196.8429289003</v>
      </c>
      <c r="C67" s="9">
        <f si="0" t="shared"/>
        <v>4.8032291529719511E-3</v>
      </c>
      <c r="E67" s="371">
        <v>56</v>
      </c>
      <c r="F67" s="371" t="n">
        <v>1854.0</v>
      </c>
      <c r="G67" s="9">
        <f si="1" t="shared"/>
        <v>1.5378691290139253E-3</v>
      </c>
    </row>
    <row r="68" spans="1:7" x14ac:dyDescent="0.25">
      <c r="A68">
        <v>57</v>
      </c>
      <c r="B68" s="6" t="n">
        <v>2037.2240373599998</v>
      </c>
      <c r="C68" s="9">
        <f si="0" t="shared"/>
        <v>1.1937832617094659E-3</v>
      </c>
      <c r="E68" s="371">
        <v>57</v>
      </c>
      <c r="F68" s="371" t="n">
        <v>2457.0</v>
      </c>
      <c r="G68" s="9">
        <f si="1" t="shared"/>
        <v>1.3282685857293171E-3</v>
      </c>
    </row>
    <row r="69" spans="1:7" x14ac:dyDescent="0.25">
      <c r="A69">
        <v>58</v>
      </c>
      <c r="B69" s="6" t="n">
        <v>3553.0490430719997</v>
      </c>
      <c r="C69" s="9">
        <f si="0" t="shared"/>
        <v>2.0820343751435208E-3</v>
      </c>
      <c r="E69" s="371">
        <v>58</v>
      </c>
      <c r="F69" s="371" t="n">
        <v>1649.0</v>
      </c>
      <c r="G69" s="9">
        <f si="1" t="shared"/>
        <v>1.0557878794593264E-3</v>
      </c>
    </row>
    <row r="70" spans="1:7" x14ac:dyDescent="0.25">
      <c r="A70">
        <v>59</v>
      </c>
      <c r="B70" s="6" t="n">
        <v>19937.5237891116</v>
      </c>
      <c r="C70" s="9">
        <f si="0" t="shared"/>
        <v>1.1683095105346925E-2</v>
      </c>
      <c r="E70" s="371">
        <v>59</v>
      </c>
      <c r="F70" s="371" t="n">
        <v>1771.0</v>
      </c>
      <c r="G70" s="9">
        <f si="1" t="shared"/>
        <v>1.1114817381035224E-3</v>
      </c>
    </row>
    <row r="71" spans="1:7" x14ac:dyDescent="0.25">
      <c r="A71">
        <v>60</v>
      </c>
      <c r="B71" s="6" t="n">
        <v>15085.353204798701</v>
      </c>
      <c r="C71" s="9">
        <f si="0" t="shared"/>
        <v>8.8397946532188954E-3</v>
      </c>
      <c r="E71" s="371">
        <v>60</v>
      </c>
      <c r="F71" s="371" t="n">
        <v>1664.0</v>
      </c>
      <c r="G71" s="9">
        <f si="1" t="shared"/>
        <v>1.007879183851416E-3</v>
      </c>
    </row>
    <row r="72" spans="1:7" x14ac:dyDescent="0.25">
      <c r="A72">
        <v>61</v>
      </c>
      <c r="B72" s="6" t="n">
        <v>10052.4940107454</v>
      </c>
      <c r="C72" s="9">
        <f si="0" t="shared"/>
        <v>5.8906133387340819E-3</v>
      </c>
      <c r="E72" s="371">
        <v>61</v>
      </c>
      <c r="F72" s="371" t="n">
        <v>1302.0</v>
      </c>
      <c r="G72" s="9">
        <f si="1" t="shared"/>
        <v>8.7553141223456336E-4</v>
      </c>
    </row>
    <row r="73" spans="1:7" x14ac:dyDescent="0.25">
      <c r="A73">
        <v>62</v>
      </c>
      <c r="B73" s="6" t="n">
        <v>2169.815863151</v>
      </c>
      <c r="C73" s="9">
        <f si="0" t="shared"/>
        <v>1.2714801175122833E-3</v>
      </c>
      <c r="E73" s="371">
        <v>62</v>
      </c>
      <c r="F73" s="371" t="n">
        <v>1448.0</v>
      </c>
      <c r="G73" s="9">
        <f si="1" t="shared"/>
        <v>8.8271771657574989E-4</v>
      </c>
    </row>
    <row r="74" spans="1:7" x14ac:dyDescent="0.25">
      <c r="A74">
        <v>63</v>
      </c>
      <c r="B74" s="6" t="n">
        <v>210.149659191</v>
      </c>
      <c r="C74" s="9">
        <f si="0" t="shared"/>
        <v>1.2314460314402455E-4</v>
      </c>
      <c r="E74" s="371">
        <v>63</v>
      </c>
      <c r="F74" s="371" t="n">
        <v>1515.0</v>
      </c>
      <c r="G74" s="9">
        <f si="1" t="shared"/>
        <v>9.5398190129251676E-4</v>
      </c>
    </row>
    <row r="75" spans="1:7" x14ac:dyDescent="0.25">
      <c r="A75">
        <v>64</v>
      </c>
      <c r="B75" s="6" t="n">
        <v>909.115166911</v>
      </c>
      <c r="C75" s="9">
        <f si="0" t="shared"/>
        <v>5.3272808945989132E-4</v>
      </c>
      <c r="E75" s="371">
        <v>64</v>
      </c>
      <c r="F75" s="371" t="n">
        <v>1376.0</v>
      </c>
      <c r="G75" s="9">
        <f si="1" t="shared"/>
        <v>8.761302709296622E-4</v>
      </c>
    </row>
    <row r="76" spans="1:7" x14ac:dyDescent="0.25">
      <c r="A76">
        <v>65</v>
      </c>
      <c r="B76" s="6" t="n">
        <v>927.898341994</v>
      </c>
      <c r="C76" s="9">
        <f si="0" t="shared"/>
        <v>5.4373475323600767E-4</v>
      </c>
      <c r="E76" s="371">
        <v>65</v>
      </c>
      <c r="F76" s="371" t="n">
        <v>1213.0</v>
      </c>
      <c r="G76" s="9">
        <f si="1" t="shared"/>
        <v>7.6534141233636937E-4</v>
      </c>
    </row>
    <row r="77" spans="1:7" x14ac:dyDescent="0.25">
      <c r="A77">
        <v>66</v>
      </c>
      <c r="B77" s="6" t="n">
        <v>1452.800212016</v>
      </c>
      <c r="C77" s="9">
        <f ref="C77:C102" si="2" t="shared">B77/B$102</f>
        <v>8.5131951317448003E-4</v>
      </c>
      <c r="E77" s="371">
        <v>66</v>
      </c>
      <c r="F77" s="371" t="n">
        <v>1331.0</v>
      </c>
      <c r="G77" s="9">
        <f ref="G77:G102" si="3" t="shared">F77/F$102</f>
        <v>8.0845923838348871E-4</v>
      </c>
    </row>
    <row r="78" spans="1:7" x14ac:dyDescent="0.25">
      <c r="A78">
        <v>67</v>
      </c>
      <c r="B78" s="6" t="n">
        <v>437.3892552713</v>
      </c>
      <c r="C78" s="9">
        <f si="2" t="shared"/>
        <v>2.5630365743724894E-4</v>
      </c>
      <c r="E78" s="371">
        <v>67</v>
      </c>
      <c r="F78" s="371" t="n">
        <v>1337.0</v>
      </c>
      <c r="G78" s="9">
        <f si="3" t="shared"/>
        <v>7.8929576014032457E-4</v>
      </c>
    </row>
    <row r="79" spans="1:7" x14ac:dyDescent="0.25">
      <c r="A79">
        <v>68</v>
      </c>
      <c r="B79" s="6" t="n">
        <v>216.451709176</v>
      </c>
      <c r="C79" s="9">
        <f si="2" t="shared"/>
        <v>1.2683751155693462E-4</v>
      </c>
      <c r="E79" s="371">
        <v>68</v>
      </c>
      <c r="F79" s="371" t="n">
        <v>1098.0</v>
      </c>
      <c r="G79" s="9">
        <f si="3" t="shared"/>
        <v>8.4259418400412498E-4</v>
      </c>
    </row>
    <row r="80" spans="1:7" x14ac:dyDescent="0.25">
      <c r="A80">
        <v>69</v>
      </c>
      <c r="B80" s="6" t="n">
        <v>6926.1072900615</v>
      </c>
      <c r="C80" s="9">
        <f si="2" t="shared"/>
        <v>4.0585967964495559E-3</v>
      </c>
      <c r="E80" s="371">
        <v>69</v>
      </c>
      <c r="F80" s="371" t="n">
        <v>1210.0</v>
      </c>
      <c r="G80" s="9">
        <f si="3" t="shared"/>
        <v>7.0126353196078915E-4</v>
      </c>
    </row>
    <row r="81" spans="1:7" x14ac:dyDescent="0.25">
      <c r="A81">
        <v>70</v>
      </c>
      <c r="B81" s="6" t="n">
        <v>4848.627983235</v>
      </c>
      <c r="C81" s="9">
        <f si="2" t="shared"/>
        <v>2.8412245401064976E-3</v>
      </c>
      <c r="E81" s="371">
        <v>70</v>
      </c>
      <c r="F81" s="371" t="n">
        <v>1105.0</v>
      </c>
      <c r="G81" s="9">
        <f si="3" t="shared"/>
        <v>6.9407722761960261E-4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1156.0</v>
      </c>
      <c r="G82" s="9">
        <f si="3" t="shared"/>
        <v>7.0306010804608578E-4</v>
      </c>
    </row>
    <row r="83" spans="1:7" x14ac:dyDescent="0.25">
      <c r="A83">
        <v>72</v>
      </c>
      <c r="B83" s="6" t="n">
        <v>22938.6525471292</v>
      </c>
      <c r="C83" s="9">
        <f si="2" t="shared"/>
        <v>1.3441712327534759E-2</v>
      </c>
      <c r="E83" s="371">
        <v>72</v>
      </c>
      <c r="F83" s="371" t="n">
        <v>1031.0</v>
      </c>
      <c r="G83" s="9">
        <f si="3" t="shared"/>
        <v>6.4257537984109883E-4</v>
      </c>
    </row>
    <row r="84" spans="1:7" x14ac:dyDescent="0.25">
      <c r="A84">
        <v>73</v>
      </c>
      <c r="B84" s="6" t="n">
        <v>670.276657256</v>
      </c>
      <c r="C84" s="9">
        <f si="2" t="shared"/>
        <v>3.9277224275426482E-4</v>
      </c>
      <c r="E84" s="371">
        <v>73</v>
      </c>
      <c r="F84" s="371" t="n">
        <v>837.0</v>
      </c>
      <c r="G84" s="9">
        <f si="3" t="shared"/>
        <v>5.8089293424591409E-4</v>
      </c>
    </row>
    <row r="85" spans="1:7" x14ac:dyDescent="0.25">
      <c r="A85">
        <v>74</v>
      </c>
      <c r="B85" s="6" t="n">
        <v>6789.006051028</v>
      </c>
      <c r="C85" s="9">
        <f si="2" t="shared"/>
        <v>3.9782574909454273E-3</v>
      </c>
      <c r="E85" s="371">
        <v>74</v>
      </c>
      <c r="F85" s="371" t="n">
        <v>930.0</v>
      </c>
      <c r="G85" s="9">
        <f si="3" t="shared"/>
        <v>5.2280364082132273E-4</v>
      </c>
    </row>
    <row r="86" spans="1:7" x14ac:dyDescent="0.25">
      <c r="A86">
        <v>75</v>
      </c>
      <c r="B86" s="6" t="n">
        <v>7010.7300745953</v>
      </c>
      <c r="C86" s="9">
        <f si="2" t="shared"/>
        <v>4.1081845010333918E-3</v>
      </c>
      <c r="E86" s="371">
        <v>75</v>
      </c>
      <c r="F86" s="371" t="n">
        <v>866.0</v>
      </c>
      <c r="G86" s="9">
        <f si="3" t="shared"/>
        <v>5.4196711906448686E-4</v>
      </c>
    </row>
    <row r="87" spans="1:7" x14ac:dyDescent="0.25">
      <c r="A87">
        <v>76</v>
      </c>
      <c r="B87" s="6" t="n">
        <v>9914.513539693</v>
      </c>
      <c r="C87" s="9">
        <f si="2" t="shared"/>
        <v>5.8097588162248151E-3</v>
      </c>
      <c r="E87" s="371">
        <v>76</v>
      </c>
      <c r="F87" s="371" t="n">
        <v>818.0</v>
      </c>
      <c r="G87" s="9">
        <f si="3" t="shared"/>
        <v>5.3897282558899254E-4</v>
      </c>
    </row>
    <row r="88" spans="1:7" x14ac:dyDescent="0.25">
      <c r="A88">
        <v>77</v>
      </c>
      <c r="B88" s="6" t="n">
        <v>1693.494666494</v>
      </c>
      <c r="C88" s="9">
        <f si="2" t="shared"/>
        <v>9.9236291619385635E-4</v>
      </c>
      <c r="E88" s="371">
        <v>77</v>
      </c>
      <c r="F88" s="371" t="n">
        <v>767.0</v>
      </c>
      <c r="G88" s="9">
        <f si="3" t="shared"/>
        <v>4.719006517379179E-4</v>
      </c>
    </row>
    <row r="89" spans="1:7" x14ac:dyDescent="0.25">
      <c r="A89">
        <v>78</v>
      </c>
      <c r="B89" s="6" t="n">
        <v>3658.336044595</v>
      </c>
      <c r="C89" s="9">
        <f si="2" t="shared"/>
        <v>2.1437310063381026E-3</v>
      </c>
      <c r="E89" s="371">
        <v>78</v>
      </c>
      <c r="F89" s="371" t="n">
        <v>806.0</v>
      </c>
      <c r="G89" s="9">
        <f si="3" t="shared"/>
        <v>4.7968581477420333E-4</v>
      </c>
    </row>
    <row r="90" spans="1:7" x14ac:dyDescent="0.25">
      <c r="A90">
        <v>79</v>
      </c>
      <c r="B90" s="6" t="n">
        <v>815.65893134</v>
      </c>
      <c r="C90" s="9">
        <f si="2" t="shared"/>
        <v>4.7796411275381756E-4</v>
      </c>
      <c r="E90" s="371">
        <v>79</v>
      </c>
      <c r="F90" s="371" t="n">
        <v>695.0</v>
      </c>
      <c r="G90" s="9">
        <f si="3" t="shared"/>
        <v>4.8447668433499439E-4</v>
      </c>
    </row>
    <row r="91" spans="1:7" x14ac:dyDescent="0.25">
      <c r="A91">
        <v>80</v>
      </c>
      <c r="B91" s="6" t="n">
        <v>17566.8535541287</v>
      </c>
      <c r="C91" s="9">
        <f si="2" t="shared"/>
        <v>1.0293917286091039E-2</v>
      </c>
      <c r="E91" s="371">
        <v>80</v>
      </c>
      <c r="F91" s="371" t="n">
        <v>799.0</v>
      </c>
      <c r="G91" s="9">
        <f si="3" t="shared"/>
        <v>4.8806983650558766E-4</v>
      </c>
    </row>
    <row r="92" spans="1:7" x14ac:dyDescent="0.25">
      <c r="A92">
        <v>81</v>
      </c>
      <c r="B92" s="6" t="n">
        <v>1969.6146971590001</v>
      </c>
      <c r="C92" s="9">
        <f si="2" t="shared"/>
        <v>1.1541651847640523E-3</v>
      </c>
      <c r="E92" s="371">
        <v>81</v>
      </c>
      <c r="F92" s="371" t="n">
        <v>655.0</v>
      </c>
      <c r="G92" s="9">
        <f si="3" t="shared"/>
        <v>3.8386842355838242E-4</v>
      </c>
    </row>
    <row r="93" spans="1:7" x14ac:dyDescent="0.25">
      <c r="A93">
        <v>82</v>
      </c>
      <c r="B93" s="6" t="n">
        <v>12908.5163988375</v>
      </c>
      <c r="C93" s="9">
        <f si="2" t="shared"/>
        <v>7.5642003666930267E-3</v>
      </c>
      <c r="E93" s="371">
        <v>82</v>
      </c>
      <c r="F93" s="371" t="n">
        <v>652.0</v>
      </c>
      <c r="G93" s="9">
        <f si="3" t="shared"/>
        <v>3.5931521705932833E-4</v>
      </c>
    </row>
    <row r="94" spans="1:7" x14ac:dyDescent="0.25">
      <c r="A94">
        <v>83</v>
      </c>
      <c r="B94" s="6" t="n">
        <v>1983.3277993009</v>
      </c>
      <c r="C94" s="9">
        <f si="2" t="shared"/>
        <v>1.1622008605183629E-3</v>
      </c>
      <c r="E94" s="371">
        <v>83</v>
      </c>
      <c r="F94" s="371" t="n">
        <v>630.0</v>
      </c>
      <c r="G94" s="9">
        <f si="3" t="shared"/>
        <v>3.8147298877798689E-4</v>
      </c>
    </row>
    <row r="95" spans="1:7" x14ac:dyDescent="0.25">
      <c r="A95">
        <v>84</v>
      </c>
      <c r="B95" s="6" t="n">
        <v>5913.244308391099</v>
      </c>
      <c r="C95" s="9">
        <f si="2" t="shared"/>
        <v>3.4650740165543389E-3</v>
      </c>
      <c r="E95" s="371">
        <v>84</v>
      </c>
      <c r="F95" s="371" t="n">
        <v>632.0</v>
      </c>
      <c r="G95" s="9">
        <f si="3" t="shared"/>
        <v>4.0303190180154662E-4</v>
      </c>
    </row>
    <row r="96" spans="1:7" x14ac:dyDescent="0.25">
      <c r="A96">
        <v>85</v>
      </c>
      <c r="B96" s="6" t="n">
        <v>1408.8821269998</v>
      </c>
      <c r="C96" s="9">
        <f si="2" t="shared"/>
        <v>8.2558416261057537E-4</v>
      </c>
      <c r="E96" s="371">
        <v>85</v>
      </c>
      <c r="F96" s="371" t="n">
        <v>612.0</v>
      </c>
      <c r="G96" s="9">
        <f si="3" t="shared"/>
        <v>3.8985701050937122E-4</v>
      </c>
    </row>
    <row r="97" spans="1:7" x14ac:dyDescent="0.25">
      <c r="A97">
        <v>86</v>
      </c>
      <c r="B97" s="6" t="n">
        <v>1571.3901850464</v>
      </c>
      <c r="C97" s="9">
        <f si="2" t="shared"/>
        <v>9.2081148961597505E-4</v>
      </c>
      <c r="E97" s="371">
        <v>86</v>
      </c>
      <c r="F97" s="371" t="n">
        <v>558.0</v>
      </c>
      <c r="G97" s="9">
        <f si="3" t="shared"/>
        <v>3.1739510840240667E-4</v>
      </c>
    </row>
    <row r="98" spans="1:7" x14ac:dyDescent="0.25">
      <c r="A98">
        <v>87</v>
      </c>
      <c r="B98" s="6" t="n">
        <v>4902.178756339</v>
      </c>
      <c r="C98" s="9">
        <f si="2" t="shared"/>
        <v>2.8726045039253025E-3</v>
      </c>
      <c r="E98" s="371">
        <v>87</v>
      </c>
      <c r="F98" s="371" t="n">
        <v>570.0</v>
      </c>
      <c r="G98" s="9">
        <f si="3" t="shared"/>
        <v>3.7129239096130593E-4</v>
      </c>
    </row>
    <row r="99" spans="1:7" x14ac:dyDescent="0.25">
      <c r="A99">
        <v>88</v>
      </c>
      <c r="B99" s="6" t="n">
        <v>5592.4941541029</v>
      </c>
      <c r="C99" s="9">
        <f si="2" t="shared"/>
        <v>3.2771191532904131E-3</v>
      </c>
      <c r="E99" s="371">
        <v>88</v>
      </c>
      <c r="F99" s="371" t="n">
        <v>612.0</v>
      </c>
      <c r="G99" s="9">
        <f si="3" t="shared"/>
        <v>3.6470494531521823E-4</v>
      </c>
    </row>
    <row r="100" spans="1:7" x14ac:dyDescent="0.25">
      <c r="A100">
        <v>89</v>
      </c>
      <c r="B100" s="6" t="n">
        <v>5038.3174449458</v>
      </c>
      <c r="C100" s="9">
        <f si="2" t="shared"/>
        <v>2.9523797690652531E-3</v>
      </c>
      <c r="E100" s="371">
        <v>89</v>
      </c>
      <c r="F100" s="371" t="n">
        <v>543.0</v>
      </c>
      <c r="G100" s="9">
        <f si="3" t="shared"/>
        <v>3.2937228230438433E-4</v>
      </c>
    </row>
    <row ht="15.75" r="101" spans="1:7" thickBot="1" x14ac:dyDescent="0.3">
      <c r="A101" s="1">
        <v>90</v>
      </c>
      <c r="B101" s="7" t="n">
        <v>140651.5372882614</v>
      </c>
      <c r="C101" s="9">
        <f si="2" t="shared"/>
        <v>8.2419727957863356E-2</v>
      </c>
      <c r="E101" s="372">
        <v>90</v>
      </c>
      <c r="F101" s="372" t="n">
        <v>41180.0</v>
      </c>
      <c r="G101" s="9">
        <f si="3" t="shared"/>
        <v>2.4658605629391504E-2</v>
      </c>
    </row>
    <row r="102" spans="1:7" x14ac:dyDescent="0.25">
      <c r="B102" s="6">
        <f>SUM(B11:B101)</f>
        <v>1706527.5604909633</v>
      </c>
      <c r="C102" s="9">
        <f si="2" t="shared"/>
        <v>1</v>
      </c>
      <c r="F102" s="6">
        <f>SUM(F11:F101)</f>
        <v>1669843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baseType="lpstr" size="28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2017-10-26T15:43:08Z</dcterms:modified>
</cp:coreProperties>
</file>