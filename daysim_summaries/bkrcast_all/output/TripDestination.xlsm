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4488A577-B989-45D6-812F-B2CF3750343D}" xr6:coauthVersionLast="41" xr6:coauthVersionMax="41" xr10:uidLastSave="{00000000-0000-0000-0000-000000000000}"/>
  <bookViews>
    <workbookView xWindow="12405" yWindow="2640" windowWidth="21600" windowHeight="11265" xr2:uid="{00000000-000D-0000-FFFF-FFFF00000000}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_1">TLFD_SocRec!$B$11:$B$101</definedName>
    <definedName name="out_2">TLFD_SocRec!$F$11:$F$101</definedName>
    <definedName name="out_3">TDFD_SocRec!$B$11:$B$101</definedName>
    <definedName name="out_4">TDFD_SocRec!$F$11:$F$101</definedName>
    <definedName name="out_5">TLFD_SocRec!$K$11:$K$11</definedName>
    <definedName name="out_6">TLFD_SocRec!$L$11:$L$11</definedName>
    <definedName name="out_7">TDFD_SocRec!$K$11:$K$11</definedName>
    <definedName name="out_8">TDFD_SocRec!$L$11:$L$11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16" i="3" l="1"/>
  <c r="V16" i="3"/>
  <c r="Z17" i="3"/>
  <c r="V17" i="3"/>
  <c r="Z15" i="3"/>
  <c r="V15" i="3"/>
  <c r="Z14" i="3"/>
  <c r="V14" i="3"/>
  <c r="Z13" i="3"/>
  <c r="V13" i="3"/>
  <c r="Z12" i="3"/>
  <c r="V12" i="3"/>
  <c r="Z11" i="3"/>
  <c r="V11" i="3"/>
  <c r="Z10" i="3"/>
  <c r="V10" i="3"/>
  <c r="F102" i="22" l="1"/>
  <c r="G102" i="22" s="1"/>
  <c r="B102" i="22"/>
  <c r="C65" i="22" s="1"/>
  <c r="F102" i="21"/>
  <c r="B102" i="21"/>
  <c r="F102" i="20"/>
  <c r="G102" i="20" s="1"/>
  <c r="B102" i="20"/>
  <c r="C101" i="20" s="1"/>
  <c r="F102" i="19"/>
  <c r="B102" i="19"/>
  <c r="F102" i="18"/>
  <c r="G48" i="18" s="1"/>
  <c r="B102" i="18"/>
  <c r="C93" i="18" s="1"/>
  <c r="F102" i="17"/>
  <c r="B102" i="17"/>
  <c r="F102" i="16"/>
  <c r="G89" i="16" s="1"/>
  <c r="B102" i="16"/>
  <c r="C37" i="16" s="1"/>
  <c r="F102" i="15"/>
  <c r="B102" i="15"/>
  <c r="F102" i="14"/>
  <c r="G65" i="14" s="1"/>
  <c r="B102" i="14"/>
  <c r="C34" i="14" s="1"/>
  <c r="F102" i="13"/>
  <c r="B102" i="13"/>
  <c r="F102" i="12"/>
  <c r="G102" i="12" s="1"/>
  <c r="B102" i="12"/>
  <c r="C34" i="12" s="1"/>
  <c r="F102" i="11"/>
  <c r="B102" i="11"/>
  <c r="F102" i="9"/>
  <c r="G78" i="9" s="1"/>
  <c r="B102" i="9"/>
  <c r="C61" i="9" s="1"/>
  <c r="F102" i="8"/>
  <c r="B102" i="8"/>
  <c r="G12" i="22" l="1"/>
  <c r="G32" i="22"/>
  <c r="G34" i="22"/>
  <c r="G36" i="22"/>
  <c r="C30" i="15"/>
  <c r="U14" i="3"/>
  <c r="W14" i="3" s="1"/>
  <c r="G29" i="21"/>
  <c r="Y17" i="3"/>
  <c r="G27" i="15"/>
  <c r="Y14" i="3"/>
  <c r="AA14" i="3" s="1"/>
  <c r="G89" i="17"/>
  <c r="Y15" i="3"/>
  <c r="AA15" i="3" s="1"/>
  <c r="G81" i="19"/>
  <c r="Y16" i="3"/>
  <c r="AA16" i="3" s="1"/>
  <c r="C92" i="17"/>
  <c r="U15" i="3"/>
  <c r="W15" i="3" s="1"/>
  <c r="G38" i="22"/>
  <c r="C46" i="8"/>
  <c r="U11" i="3"/>
  <c r="W11" i="3" s="1"/>
  <c r="C40" i="22"/>
  <c r="C100" i="19"/>
  <c r="U16" i="3"/>
  <c r="W16" i="3" s="1"/>
  <c r="G51" i="8"/>
  <c r="Y11" i="3"/>
  <c r="AA11" i="3" s="1"/>
  <c r="C12" i="11"/>
  <c r="U12" i="3"/>
  <c r="W12" i="3" s="1"/>
  <c r="G57" i="13"/>
  <c r="Y13" i="3"/>
  <c r="AA13" i="3" s="1"/>
  <c r="C99" i="21"/>
  <c r="U17" i="3"/>
  <c r="G67" i="11"/>
  <c r="Y12" i="3"/>
  <c r="AA12" i="3" s="1"/>
  <c r="C38" i="13"/>
  <c r="U13" i="3"/>
  <c r="W13" i="3" s="1"/>
  <c r="C33" i="20"/>
  <c r="C32" i="20"/>
  <c r="C34" i="20"/>
  <c r="C30" i="20"/>
  <c r="G40" i="22"/>
  <c r="C42" i="22"/>
  <c r="C43" i="22"/>
  <c r="C37" i="20"/>
  <c r="C31" i="20"/>
  <c r="C38" i="20"/>
  <c r="G18" i="22"/>
  <c r="G22" i="22"/>
  <c r="C23" i="22"/>
  <c r="G29" i="20"/>
  <c r="G24" i="22"/>
  <c r="G69" i="20"/>
  <c r="G44" i="22"/>
  <c r="C73" i="20"/>
  <c r="C47" i="22"/>
  <c r="C74" i="20"/>
  <c r="G48" i="22"/>
  <c r="C39" i="20"/>
  <c r="C72" i="20"/>
  <c r="C45" i="22"/>
  <c r="C75" i="20"/>
  <c r="C50" i="22"/>
  <c r="C76" i="20"/>
  <c r="G50" i="22"/>
  <c r="C79" i="20"/>
  <c r="G54" i="22"/>
  <c r="G81" i="8"/>
  <c r="G12" i="12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B102" i="3"/>
  <c r="C13" i="3" l="1"/>
  <c r="U10" i="3"/>
  <c r="W10" i="3" s="1"/>
  <c r="G102" i="3"/>
  <c r="Y10" i="3"/>
  <c r="AA10" i="3" s="1"/>
  <c r="AA17" i="3"/>
  <c r="W17" i="3"/>
  <c r="U18" i="3"/>
  <c r="U19" i="3" s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W18" i="3" l="1"/>
  <c r="V18" i="3" s="1"/>
  <c r="AA18" i="3"/>
  <c r="AA19" i="3" s="1"/>
  <c r="Y18" i="3"/>
  <c r="Y19" i="3" s="1"/>
  <c r="W19" i="3" l="1"/>
  <c r="V19" i="3" s="1"/>
  <c r="Z18" i="3"/>
  <c r="Z19" i="3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<sst xmlns="http://schemas.openxmlformats.org/spreadsheetml/2006/main" count="303" uniqueCount="49">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</sst>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  <xf numFmtId="43" fontId="3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165" fontId="0" fillId="0" borderId="0" xfId="8" applyNumberFormat="1" applyFont="1"/>
    <xf numFmtId="0" fontId="0" fillId="0" borderId="3" xfId="0" applyBorder="1"/>
    <xf numFmtId="0" fontId="1" fillId="0" borderId="3" xfId="0" applyFont="1" applyBorder="1"/>
    <xf numFmtId="165" fontId="1" fillId="0" borderId="3" xfId="8" applyNumberFormat="1" applyFont="1" applyBorder="1"/>
    <xf numFmtId="2" fontId="1" fillId="0" borderId="3" xfId="0" applyNumberFormat="1" applyFont="1" applyBorder="1"/>
    <xf numFmtId="43" fontId="1" fillId="0" borderId="3" xfId="0" applyNumberFormat="1" applyFont="1" applyBorder="1"/>
    <xf numFmtId="165" fontId="1" fillId="0" borderId="3" xfId="0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3.8236086732527902E-2</c:v>
                </c:pt>
                <c:pt idx="1">
                  <c:v>5.8195697299397414E-2</c:v>
                </c:pt>
                <c:pt idx="2">
                  <c:v>7.0891230043307024E-2</c:v>
                </c:pt>
                <c:pt idx="3">
                  <c:v>9.7272902644978093E-2</c:v>
                </c:pt>
                <c:pt idx="4">
                  <c:v>0.16885762538443519</c:v>
                </c:pt>
                <c:pt idx="5">
                  <c:v>0.1011755251985029</c:v>
                </c:pt>
                <c:pt idx="6">
                  <c:v>0.11301178667116919</c:v>
                </c:pt>
                <c:pt idx="7">
                  <c:v>4.8770989350988926E-2</c:v>
                </c:pt>
                <c:pt idx="8">
                  <c:v>5.3059886439917908E-2</c:v>
                </c:pt>
                <c:pt idx="9">
                  <c:v>2.7506633266139165E-2</c:v>
                </c:pt>
                <c:pt idx="10">
                  <c:v>5.1573572684993227E-2</c:v>
                </c:pt>
                <c:pt idx="11">
                  <c:v>1.8234000612110796E-2</c:v>
                </c:pt>
                <c:pt idx="12">
                  <c:v>1.1717969916541686E-2</c:v>
                </c:pt>
                <c:pt idx="13">
                  <c:v>1.1546937642355417E-2</c:v>
                </c:pt>
                <c:pt idx="14">
                  <c:v>1.3472505390533523E-2</c:v>
                </c:pt>
                <c:pt idx="15">
                  <c:v>1.1608526064597842E-2</c:v>
                </c:pt>
                <c:pt idx="16">
                  <c:v>1.7816252301041755E-2</c:v>
                </c:pt>
                <c:pt idx="17">
                  <c:v>1.2077662128500907E-2</c:v>
                </c:pt>
                <c:pt idx="18">
                  <c:v>1.0588301312970071E-2</c:v>
                </c:pt>
                <c:pt idx="19">
                  <c:v>5.3465788209901242E-3</c:v>
                </c:pt>
                <c:pt idx="20">
                  <c:v>5.3118155838205007E-3</c:v>
                </c:pt>
                <c:pt idx="21">
                  <c:v>5.1441850698081097E-3</c:v>
                </c:pt>
                <c:pt idx="22">
                  <c:v>4.7413815013258448E-3</c:v>
                </c:pt>
                <c:pt idx="23">
                  <c:v>7.0152115500568624E-3</c:v>
                </c:pt>
                <c:pt idx="24">
                  <c:v>6.1231532210864218E-3</c:v>
                </c:pt>
                <c:pt idx="25">
                  <c:v>2.5491533907980109E-3</c:v>
                </c:pt>
                <c:pt idx="26">
                  <c:v>4.0435432553542145E-3</c:v>
                </c:pt>
                <c:pt idx="27">
                  <c:v>1.728311034681229E-3</c:v>
                </c:pt>
                <c:pt idx="28">
                  <c:v>2.1653624803671472E-3</c:v>
                </c:pt>
                <c:pt idx="29">
                  <c:v>9.878336596957785E-4</c:v>
                </c:pt>
                <c:pt idx="30">
                  <c:v>1.6315377580754481E-3</c:v>
                </c:pt>
                <c:pt idx="31">
                  <c:v>6.0972242211191708E-4</c:v>
                </c:pt>
                <c:pt idx="32">
                  <c:v>8.8042627325432467E-4</c:v>
                </c:pt>
                <c:pt idx="33">
                  <c:v>1.2399149412124586E-3</c:v>
                </c:pt>
                <c:pt idx="34">
                  <c:v>1.3432440665445749E-3</c:v>
                </c:pt>
                <c:pt idx="35">
                  <c:v>4.8629597530361216E-4</c:v>
                </c:pt>
                <c:pt idx="36">
                  <c:v>7.887169084308199E-4</c:v>
                </c:pt>
                <c:pt idx="37">
                  <c:v>6.904831558018973E-4</c:v>
                </c:pt>
                <c:pt idx="38">
                  <c:v>1.0744979037459444E-3</c:v>
                </c:pt>
                <c:pt idx="39">
                  <c:v>7.997051524749817E-4</c:v>
                </c:pt>
                <c:pt idx="40">
                  <c:v>4.3133738943703791E-4</c:v>
                </c:pt>
                <c:pt idx="41">
                  <c:v>6.7822176129992242E-4</c:v>
                </c:pt>
                <c:pt idx="42">
                  <c:v>2.8144295873249131E-4</c:v>
                </c:pt>
                <c:pt idx="43">
                  <c:v>6.7544529909828888E-4</c:v>
                </c:pt>
                <c:pt idx="44">
                  <c:v>4.3882579231041378E-4</c:v>
                </c:pt>
                <c:pt idx="45">
                  <c:v>7.5672656755772328E-5</c:v>
                </c:pt>
                <c:pt idx="46">
                  <c:v>1.0329816418748322E-3</c:v>
                </c:pt>
                <c:pt idx="47">
                  <c:v>8.6720278890497549E-4</c:v>
                </c:pt>
                <c:pt idx="48">
                  <c:v>1.0650311363165733E-4</c:v>
                </c:pt>
                <c:pt idx="49">
                  <c:v>9.1525435552847342E-4</c:v>
                </c:pt>
                <c:pt idx="50">
                  <c:v>1.0788051647521869E-4</c:v>
                </c:pt>
                <c:pt idx="51">
                  <c:v>1.6511953634138643E-4</c:v>
                </c:pt>
                <c:pt idx="52">
                  <c:v>1.8356357959930196E-4</c:v>
                </c:pt>
                <c:pt idx="53">
                  <c:v>8.7685821460497236E-4</c:v>
                </c:pt>
                <c:pt idx="54">
                  <c:v>2.2957963554981416E-4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1.2097287413979261E-4</c:v>
                </c:pt>
                <c:pt idx="59">
                  <c:v>8.6301580407603556E-5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0.12252763920206262</c:v>
                </c:pt>
                <c:pt idx="1">
                  <c:v>0.11129560132138418</c:v>
                </c:pt>
                <c:pt idx="2">
                  <c:v>6.9764876551763347E-2</c:v>
                </c:pt>
                <c:pt idx="3">
                  <c:v>4.5790020029122747E-2</c:v>
                </c:pt>
                <c:pt idx="4">
                  <c:v>0.14524075972440637</c:v>
                </c:pt>
                <c:pt idx="5">
                  <c:v>8.3116603676329642E-2</c:v>
                </c:pt>
                <c:pt idx="6">
                  <c:v>8.1076581519346672E-2</c:v>
                </c:pt>
                <c:pt idx="7">
                  <c:v>4.9837039952363167E-2</c:v>
                </c:pt>
                <c:pt idx="8">
                  <c:v>5.3799626381789874E-2</c:v>
                </c:pt>
                <c:pt idx="9">
                  <c:v>2.6087055698528847E-2</c:v>
                </c:pt>
                <c:pt idx="10">
                  <c:v>2.2763167794886529E-2</c:v>
                </c:pt>
                <c:pt idx="11">
                  <c:v>2.54180564431097E-2</c:v>
                </c:pt>
                <c:pt idx="12">
                  <c:v>2.386437801964645E-2</c:v>
                </c:pt>
                <c:pt idx="13">
                  <c:v>1.9135591679623917E-2</c:v>
                </c:pt>
                <c:pt idx="14">
                  <c:v>1.4331053515514485E-2</c:v>
                </c:pt>
                <c:pt idx="15">
                  <c:v>1.5388004247549471E-2</c:v>
                </c:pt>
                <c:pt idx="16">
                  <c:v>1.5362980611278068E-2</c:v>
                </c:pt>
                <c:pt idx="17">
                  <c:v>9.4514444425908423E-3</c:v>
                </c:pt>
                <c:pt idx="18">
                  <c:v>8.7198009820840978E-3</c:v>
                </c:pt>
                <c:pt idx="19">
                  <c:v>6.2055213376716713E-3</c:v>
                </c:pt>
                <c:pt idx="20">
                  <c:v>6.5904086955603982E-3</c:v>
                </c:pt>
                <c:pt idx="21">
                  <c:v>5.2292590654505972E-3</c:v>
                </c:pt>
                <c:pt idx="22">
                  <c:v>4.4033088396761158E-3</c:v>
                </c:pt>
                <c:pt idx="23">
                  <c:v>4.2875532433186044E-3</c:v>
                </c:pt>
                <c:pt idx="24">
                  <c:v>3.8209560527069277E-3</c:v>
                </c:pt>
                <c:pt idx="25">
                  <c:v>3.1700010520140961E-3</c:v>
                </c:pt>
                <c:pt idx="26">
                  <c:v>3.4932655777242653E-3</c:v>
                </c:pt>
                <c:pt idx="27">
                  <c:v>2.9927928522961995E-3</c:v>
                </c:pt>
                <c:pt idx="28">
                  <c:v>1.9053711618082796E-3</c:v>
                </c:pt>
                <c:pt idx="29">
                  <c:v>1.8677505929920882E-3</c:v>
                </c:pt>
                <c:pt idx="30">
                  <c:v>1.4443915221963059E-3</c:v>
                </c:pt>
                <c:pt idx="31">
                  <c:v>1.4163037671977919E-3</c:v>
                </c:pt>
                <c:pt idx="32">
                  <c:v>1.3429351465653102E-3</c:v>
                </c:pt>
                <c:pt idx="33">
                  <c:v>9.0714937204291264E-4</c:v>
                </c:pt>
                <c:pt idx="34">
                  <c:v>8.8382802395323742E-4</c:v>
                </c:pt>
                <c:pt idx="35">
                  <c:v>7.449213083242232E-4</c:v>
                </c:pt>
                <c:pt idx="36">
                  <c:v>8.6237919286346319E-4</c:v>
                </c:pt>
                <c:pt idx="37">
                  <c:v>6.1810083878547869E-4</c:v>
                </c:pt>
                <c:pt idx="38">
                  <c:v>7.7539226677715654E-4</c:v>
                </c:pt>
                <c:pt idx="39">
                  <c:v>5.6822379506084493E-4</c:v>
                </c:pt>
                <c:pt idx="40">
                  <c:v>4.5263842752150588E-4</c:v>
                </c:pt>
                <c:pt idx="41">
                  <c:v>3.8761101897949186E-4</c:v>
                </c:pt>
                <c:pt idx="42">
                  <c:v>3.2837139025535341E-4</c:v>
                </c:pt>
                <c:pt idx="43">
                  <c:v>2.5636460016825415E-4</c:v>
                </c:pt>
                <c:pt idx="44">
                  <c:v>2.9994317762049394E-4</c:v>
                </c:pt>
                <c:pt idx="45">
                  <c:v>2.7611114307630032E-4</c:v>
                </c:pt>
                <c:pt idx="46">
                  <c:v>1.8878375935364798E-4</c:v>
                </c:pt>
                <c:pt idx="47">
                  <c:v>2.0427458180737385E-4</c:v>
                </c:pt>
                <c:pt idx="48">
                  <c:v>1.4214106317429761E-4</c:v>
                </c:pt>
                <c:pt idx="49">
                  <c:v>1.2460749490249805E-4</c:v>
                </c:pt>
                <c:pt idx="50">
                  <c:v>1.0690369781252563E-4</c:v>
                </c:pt>
                <c:pt idx="51">
                  <c:v>1.0962735890329063E-4</c:v>
                </c:pt>
                <c:pt idx="52">
                  <c:v>8.664646844996107E-5</c:v>
                </c:pt>
                <c:pt idx="53">
                  <c:v>6.0431230451348093E-5</c:v>
                </c:pt>
                <c:pt idx="54">
                  <c:v>7.0985417178062412E-5</c:v>
                </c:pt>
                <c:pt idx="55">
                  <c:v>4.6642696179350359E-5</c:v>
                </c:pt>
                <c:pt idx="56">
                  <c:v>3.9493085816092272E-5</c:v>
                </c:pt>
                <c:pt idx="57">
                  <c:v>3.7280111179845728E-5</c:v>
                </c:pt>
                <c:pt idx="58">
                  <c:v>4.0684687543301953E-5</c:v>
                </c:pt>
                <c:pt idx="59">
                  <c:v>3.7450339998018538E-5</c:v>
                </c:pt>
                <c:pt idx="60">
                  <c:v>2.9279356725723585E-5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5824"/>
        <c:axId val="337358176"/>
      </c:lineChart>
      <c:catAx>
        <c:axId val="337355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176"/>
        <c:crosses val="autoZero"/>
        <c:auto val="1"/>
        <c:lblAlgn val="ctr"/>
        <c:lblOffset val="100"/>
        <c:tickLblSkip val="10"/>
        <c:noMultiLvlLbl val="0"/>
      </c:catAx>
      <c:valAx>
        <c:axId val="337358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582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1.1520591836113835E-3</c:v>
                </c:pt>
                <c:pt idx="1">
                  <c:v>3.2823665731806458E-3</c:v>
                </c:pt>
                <c:pt idx="2">
                  <c:v>4.8030301928631012E-3</c:v>
                </c:pt>
                <c:pt idx="3">
                  <c:v>7.178388057394851E-3</c:v>
                </c:pt>
                <c:pt idx="4">
                  <c:v>5.8610394295050133E-3</c:v>
                </c:pt>
                <c:pt idx="5">
                  <c:v>1.3217378667197181E-2</c:v>
                </c:pt>
                <c:pt idx="6">
                  <c:v>1.199838168494834E-2</c:v>
                </c:pt>
                <c:pt idx="7">
                  <c:v>1.4335265229524862E-2</c:v>
                </c:pt>
                <c:pt idx="8">
                  <c:v>1.1013317726597917E-2</c:v>
                </c:pt>
                <c:pt idx="9">
                  <c:v>1.6656328049919178E-2</c:v>
                </c:pt>
                <c:pt idx="10">
                  <c:v>9.2323699373679062E-3</c:v>
                </c:pt>
                <c:pt idx="11">
                  <c:v>1.4054491354216034E-2</c:v>
                </c:pt>
                <c:pt idx="12">
                  <c:v>1.9981645959129483E-2</c:v>
                </c:pt>
                <c:pt idx="13">
                  <c:v>1.9022497515499313E-2</c:v>
                </c:pt>
                <c:pt idx="14">
                  <c:v>1.339284182292734E-2</c:v>
                </c:pt>
                <c:pt idx="15">
                  <c:v>8.3944410053314947E-3</c:v>
                </c:pt>
                <c:pt idx="16">
                  <c:v>3.4106856851808941E-2</c:v>
                </c:pt>
                <c:pt idx="17">
                  <c:v>2.0967294660688186E-2</c:v>
                </c:pt>
                <c:pt idx="18">
                  <c:v>6.4640991931875849E-2</c:v>
                </c:pt>
                <c:pt idx="19">
                  <c:v>3.8923564678889383E-2</c:v>
                </c:pt>
                <c:pt idx="20">
                  <c:v>5.771479789334328E-2</c:v>
                </c:pt>
                <c:pt idx="21">
                  <c:v>4.9665678307372015E-2</c:v>
                </c:pt>
                <c:pt idx="22">
                  <c:v>4.325311964068803E-2</c:v>
                </c:pt>
                <c:pt idx="23">
                  <c:v>2.7228175262631146E-2</c:v>
                </c:pt>
                <c:pt idx="24">
                  <c:v>3.2389638302866092E-2</c:v>
                </c:pt>
                <c:pt idx="25">
                  <c:v>2.2212784079585542E-2</c:v>
                </c:pt>
                <c:pt idx="26">
                  <c:v>5.6118249793503897E-2</c:v>
                </c:pt>
                <c:pt idx="27">
                  <c:v>1.4418973404381807E-2</c:v>
                </c:pt>
                <c:pt idx="28">
                  <c:v>2.2565264963531978E-2</c:v>
                </c:pt>
                <c:pt idx="29">
                  <c:v>2.0003660979708328E-2</c:v>
                </c:pt>
                <c:pt idx="30">
                  <c:v>1.4777811140685954E-2</c:v>
                </c:pt>
                <c:pt idx="31">
                  <c:v>1.1178617809549781E-2</c:v>
                </c:pt>
                <c:pt idx="32">
                  <c:v>1.1729314475392553E-2</c:v>
                </c:pt>
                <c:pt idx="33">
                  <c:v>1.0436507520170961E-2</c:v>
                </c:pt>
                <c:pt idx="34">
                  <c:v>1.8208570237731338E-2</c:v>
                </c:pt>
                <c:pt idx="35">
                  <c:v>7.9243915344174923E-3</c:v>
                </c:pt>
                <c:pt idx="36">
                  <c:v>1.1244758776609949E-2</c:v>
                </c:pt>
                <c:pt idx="37">
                  <c:v>1.3781191827820819E-2</c:v>
                </c:pt>
                <c:pt idx="38">
                  <c:v>1.5972981835236624E-2</c:v>
                </c:pt>
                <c:pt idx="39">
                  <c:v>5.1170557392510793E-3</c:v>
                </c:pt>
                <c:pt idx="40">
                  <c:v>8.4653023475767808E-3</c:v>
                </c:pt>
                <c:pt idx="41">
                  <c:v>5.3633806649946289E-3</c:v>
                </c:pt>
                <c:pt idx="42">
                  <c:v>4.3505559257213085E-3</c:v>
                </c:pt>
                <c:pt idx="43">
                  <c:v>3.4858359360051432E-3</c:v>
                </c:pt>
                <c:pt idx="44">
                  <c:v>2.9620570223669231E-3</c:v>
                </c:pt>
                <c:pt idx="45">
                  <c:v>3.9808514865644448E-2</c:v>
                </c:pt>
                <c:pt idx="46">
                  <c:v>4.038163030117151E-3</c:v>
                </c:pt>
                <c:pt idx="47">
                  <c:v>4.1814912436694196E-3</c:v>
                </c:pt>
                <c:pt idx="48">
                  <c:v>5.3572064376473374E-3</c:v>
                </c:pt>
                <c:pt idx="49">
                  <c:v>3.1212066718373198E-3</c:v>
                </c:pt>
                <c:pt idx="50">
                  <c:v>1.6714412326665502E-3</c:v>
                </c:pt>
                <c:pt idx="51">
                  <c:v>3.8730333811435899E-3</c:v>
                </c:pt>
                <c:pt idx="52">
                  <c:v>3.4752412903841139E-3</c:v>
                </c:pt>
                <c:pt idx="53">
                  <c:v>3.9996395963273784E-4</c:v>
                </c:pt>
                <c:pt idx="54">
                  <c:v>6.5969000011507377E-3</c:v>
                </c:pt>
                <c:pt idx="55">
                  <c:v>5.7911991902158725E-4</c:v>
                </c:pt>
                <c:pt idx="56">
                  <c:v>1.4118405888683674E-3</c:v>
                </c:pt>
                <c:pt idx="57">
                  <c:v>7.7787905282415421E-4</c:v>
                </c:pt>
                <c:pt idx="58">
                  <c:v>2.6375836739332462E-3</c:v>
                </c:pt>
                <c:pt idx="59">
                  <c:v>3.1759069083167925E-3</c:v>
                </c:pt>
                <c:pt idx="60">
                  <c:v>4.3954320650886137E-3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3.4259477885686049E-3</c:v>
                </c:pt>
                <c:pt idx="1">
                  <c:v>1.4765993024885135E-2</c:v>
                </c:pt>
                <c:pt idx="2">
                  <c:v>2.0030069376974897E-2</c:v>
                </c:pt>
                <c:pt idx="3">
                  <c:v>2.4317261925498136E-2</c:v>
                </c:pt>
                <c:pt idx="4">
                  <c:v>2.5926209065068817E-2</c:v>
                </c:pt>
                <c:pt idx="5">
                  <c:v>2.6293286419686184E-2</c:v>
                </c:pt>
                <c:pt idx="6">
                  <c:v>2.5706381984953054E-2</c:v>
                </c:pt>
                <c:pt idx="7">
                  <c:v>2.5064641741533673E-2</c:v>
                </c:pt>
                <c:pt idx="8">
                  <c:v>2.3570043391252848E-2</c:v>
                </c:pt>
                <c:pt idx="9">
                  <c:v>2.1925936821406866E-2</c:v>
                </c:pt>
                <c:pt idx="10">
                  <c:v>2.0497947850500811E-2</c:v>
                </c:pt>
                <c:pt idx="11">
                  <c:v>1.8848196417995951E-2</c:v>
                </c:pt>
                <c:pt idx="12">
                  <c:v>1.7190542177768661E-2</c:v>
                </c:pt>
                <c:pt idx="13">
                  <c:v>1.5580627347456457E-2</c:v>
                </c:pt>
                <c:pt idx="14">
                  <c:v>1.4072642608584578E-2</c:v>
                </c:pt>
                <c:pt idx="15">
                  <c:v>1.4119253045967891E-2</c:v>
                </c:pt>
                <c:pt idx="16">
                  <c:v>1.2964959273122325E-2</c:v>
                </c:pt>
                <c:pt idx="17">
                  <c:v>1.243660012825128E-2</c:v>
                </c:pt>
                <c:pt idx="18">
                  <c:v>0.10118174393354674</c:v>
                </c:pt>
                <c:pt idx="19">
                  <c:v>3.7265609174224334E-2</c:v>
                </c:pt>
                <c:pt idx="20">
                  <c:v>3.9025677351262708E-2</c:v>
                </c:pt>
                <c:pt idx="21">
                  <c:v>4.584354247065639E-2</c:v>
                </c:pt>
                <c:pt idx="22">
                  <c:v>4.0287868641787981E-2</c:v>
                </c:pt>
                <c:pt idx="23">
                  <c:v>3.9198893993995156E-2</c:v>
                </c:pt>
                <c:pt idx="24">
                  <c:v>2.699841040667526E-2</c:v>
                </c:pt>
                <c:pt idx="25">
                  <c:v>2.6001527661117282E-2</c:v>
                </c:pt>
                <c:pt idx="26">
                  <c:v>2.5727993744847046E-2</c:v>
                </c:pt>
                <c:pt idx="27">
                  <c:v>2.3020233768278064E-2</c:v>
                </c:pt>
                <c:pt idx="28">
                  <c:v>2.1722883047477489E-2</c:v>
                </c:pt>
                <c:pt idx="29">
                  <c:v>1.8979963640633205E-2</c:v>
                </c:pt>
                <c:pt idx="30">
                  <c:v>1.9127213915134812E-2</c:v>
                </c:pt>
                <c:pt idx="31">
                  <c:v>1.2954314674965583E-2</c:v>
                </c:pt>
                <c:pt idx="32">
                  <c:v>1.5520307957901582E-2</c:v>
                </c:pt>
                <c:pt idx="33">
                  <c:v>1.6199788140240323E-2</c:v>
                </c:pt>
                <c:pt idx="34">
                  <c:v>1.5373541528770737E-2</c:v>
                </c:pt>
                <c:pt idx="35">
                  <c:v>1.1583419457809328E-2</c:v>
                </c:pt>
                <c:pt idx="36">
                  <c:v>7.560890327092373E-3</c:v>
                </c:pt>
                <c:pt idx="37">
                  <c:v>7.7936199504284286E-3</c:v>
                </c:pt>
                <c:pt idx="38">
                  <c:v>6.5293319966298561E-3</c:v>
                </c:pt>
                <c:pt idx="39">
                  <c:v>8.7909865413571663E-3</c:v>
                </c:pt>
                <c:pt idx="40">
                  <c:v>7.362513725080351E-3</c:v>
                </c:pt>
                <c:pt idx="41">
                  <c:v>5.8537225772572034E-3</c:v>
                </c:pt>
                <c:pt idx="42">
                  <c:v>4.9524799333196569E-3</c:v>
                </c:pt>
                <c:pt idx="43">
                  <c:v>5.1879513470900248E-3</c:v>
                </c:pt>
                <c:pt idx="44">
                  <c:v>4.0367219282592794E-3</c:v>
                </c:pt>
                <c:pt idx="45">
                  <c:v>3.8554411960141461E-3</c:v>
                </c:pt>
                <c:pt idx="46">
                  <c:v>3.4004652657085238E-3</c:v>
                </c:pt>
                <c:pt idx="47">
                  <c:v>4.3739621516797177E-3</c:v>
                </c:pt>
                <c:pt idx="48">
                  <c:v>3.6512584495529913E-3</c:v>
                </c:pt>
                <c:pt idx="49">
                  <c:v>2.8654935674370776E-3</c:v>
                </c:pt>
                <c:pt idx="50">
                  <c:v>3.0843529568113171E-3</c:v>
                </c:pt>
                <c:pt idx="51">
                  <c:v>3.8239912469146793E-3</c:v>
                </c:pt>
                <c:pt idx="52">
                  <c:v>2.2826211774602894E-3</c:v>
                </c:pt>
                <c:pt idx="53">
                  <c:v>2.2134312894414618E-3</c:v>
                </c:pt>
                <c:pt idx="54">
                  <c:v>1.8457088076630785E-3</c:v>
                </c:pt>
                <c:pt idx="55">
                  <c:v>1.6741049828331662E-3</c:v>
                </c:pt>
                <c:pt idx="56">
                  <c:v>1.6776531822187471E-3</c:v>
                </c:pt>
                <c:pt idx="57">
                  <c:v>1.7232959288605377E-3</c:v>
                </c:pt>
                <c:pt idx="58">
                  <c:v>1.4836311885435738E-3</c:v>
                </c:pt>
                <c:pt idx="59">
                  <c:v>1.3223493982898969E-3</c:v>
                </c:pt>
                <c:pt idx="60">
                  <c:v>1.5816905170178094E-3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60920"/>
        <c:axId val="337356216"/>
      </c:lineChart>
      <c:catAx>
        <c:axId val="3373609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6216"/>
        <c:crosses val="autoZero"/>
        <c:auto val="1"/>
        <c:lblAlgn val="ctr"/>
        <c:lblOffset val="100"/>
        <c:tickLblSkip val="10"/>
        <c:noMultiLvlLbl val="0"/>
      </c:catAx>
      <c:valAx>
        <c:axId val="3373562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609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4.3350897587176453E-2</c:v>
                </c:pt>
                <c:pt idx="1">
                  <c:v>4.0964048004621383E-2</c:v>
                </c:pt>
                <c:pt idx="2">
                  <c:v>3.4030946650605388E-2</c:v>
                </c:pt>
                <c:pt idx="3">
                  <c:v>6.1107633294971188E-2</c:v>
                </c:pt>
                <c:pt idx="4">
                  <c:v>0.11461934173110985</c:v>
                </c:pt>
                <c:pt idx="5">
                  <c:v>8.2689148775625249E-2</c:v>
                </c:pt>
                <c:pt idx="6">
                  <c:v>7.5025355273952654E-2</c:v>
                </c:pt>
                <c:pt idx="7">
                  <c:v>5.1015080509191402E-2</c:v>
                </c:pt>
                <c:pt idx="8">
                  <c:v>6.0636123713288845E-2</c:v>
                </c:pt>
                <c:pt idx="9">
                  <c:v>3.8362186505982186E-2</c:v>
                </c:pt>
                <c:pt idx="10">
                  <c:v>5.6039289838937911E-2</c:v>
                </c:pt>
                <c:pt idx="11">
                  <c:v>3.1412041498785341E-2</c:v>
                </c:pt>
                <c:pt idx="12">
                  <c:v>2.8320493772279569E-2</c:v>
                </c:pt>
                <c:pt idx="13">
                  <c:v>2.3968400746099006E-2</c:v>
                </c:pt>
                <c:pt idx="14">
                  <c:v>1.5251687906304068E-2</c:v>
                </c:pt>
                <c:pt idx="15">
                  <c:v>2.373658686325935E-2</c:v>
                </c:pt>
                <c:pt idx="16">
                  <c:v>2.6153401933238316E-2</c:v>
                </c:pt>
                <c:pt idx="17">
                  <c:v>2.1122050459274257E-2</c:v>
                </c:pt>
                <c:pt idx="18">
                  <c:v>2.5421502754384394E-2</c:v>
                </c:pt>
                <c:pt idx="19">
                  <c:v>1.4576217497007098E-2</c:v>
                </c:pt>
                <c:pt idx="20">
                  <c:v>1.3506529406207057E-2</c:v>
                </c:pt>
                <c:pt idx="21">
                  <c:v>1.2501670281594596E-2</c:v>
                </c:pt>
                <c:pt idx="22">
                  <c:v>1.0883645839426468E-2</c:v>
                </c:pt>
                <c:pt idx="23">
                  <c:v>1.0444219728167904E-2</c:v>
                </c:pt>
                <c:pt idx="24">
                  <c:v>8.4782146108721649E-3</c:v>
                </c:pt>
                <c:pt idx="25">
                  <c:v>6.5622073241969449E-3</c:v>
                </c:pt>
                <c:pt idx="26">
                  <c:v>7.0758819566800867E-3</c:v>
                </c:pt>
                <c:pt idx="27">
                  <c:v>5.7851088707189099E-3</c:v>
                </c:pt>
                <c:pt idx="28">
                  <c:v>4.7068909969254988E-3</c:v>
                </c:pt>
                <c:pt idx="29">
                  <c:v>3.0273845658872422E-3</c:v>
                </c:pt>
                <c:pt idx="30">
                  <c:v>4.2494242526683965E-3</c:v>
                </c:pt>
                <c:pt idx="31">
                  <c:v>3.6920161319539974E-3</c:v>
                </c:pt>
                <c:pt idx="32">
                  <c:v>1.6421349270643944E-3</c:v>
                </c:pt>
                <c:pt idx="33">
                  <c:v>2.4140565087486243E-3</c:v>
                </c:pt>
                <c:pt idx="34">
                  <c:v>6.1180271648847741E-3</c:v>
                </c:pt>
                <c:pt idx="35">
                  <c:v>2.0283118602045201E-3</c:v>
                </c:pt>
                <c:pt idx="36">
                  <c:v>3.1322379069327437E-3</c:v>
                </c:pt>
                <c:pt idx="37">
                  <c:v>2.3311251628552044E-3</c:v>
                </c:pt>
                <c:pt idx="38">
                  <c:v>3.2625609578060119E-3</c:v>
                </c:pt>
                <c:pt idx="39">
                  <c:v>1.5197843997540959E-3</c:v>
                </c:pt>
                <c:pt idx="40">
                  <c:v>1.6903617759272879E-3</c:v>
                </c:pt>
                <c:pt idx="41">
                  <c:v>1.8514477944162799E-3</c:v>
                </c:pt>
                <c:pt idx="42">
                  <c:v>2.6635161883616494E-4</c:v>
                </c:pt>
                <c:pt idx="43">
                  <c:v>7.8365272688785028E-4</c:v>
                </c:pt>
                <c:pt idx="44">
                  <c:v>2.0845265271744341E-3</c:v>
                </c:pt>
                <c:pt idx="45">
                  <c:v>1.0027415200176382E-3</c:v>
                </c:pt>
                <c:pt idx="46">
                  <c:v>3.0386586780140236E-4</c:v>
                </c:pt>
                <c:pt idx="47">
                  <c:v>2.7686927500679666E-3</c:v>
                </c:pt>
                <c:pt idx="48">
                  <c:v>1.5524519986301871E-3</c:v>
                </c:pt>
                <c:pt idx="49">
                  <c:v>2.1713246608085946E-4</c:v>
                </c:pt>
                <c:pt idx="50">
                  <c:v>5.1701177826402359E-4</c:v>
                </c:pt>
                <c:pt idx="51">
                  <c:v>2.494372632501389E-4</c:v>
                </c:pt>
                <c:pt idx="52">
                  <c:v>9.6723968161660794E-4</c:v>
                </c:pt>
                <c:pt idx="53">
                  <c:v>2.0361044925377203E-4</c:v>
                </c:pt>
                <c:pt idx="54">
                  <c:v>4.3687590986753557E-4</c:v>
                </c:pt>
                <c:pt idx="55">
                  <c:v>7.0949967296781271E-4</c:v>
                </c:pt>
                <c:pt idx="56">
                  <c:v>1.303699415208944E-3</c:v>
                </c:pt>
                <c:pt idx="57">
                  <c:v>5.5919775896026464E-4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9.5563289330272361E-2</c:v>
                </c:pt>
                <c:pt idx="1">
                  <c:v>6.42455480420802E-2</c:v>
                </c:pt>
                <c:pt idx="2">
                  <c:v>4.610040084266346E-2</c:v>
                </c:pt>
                <c:pt idx="3">
                  <c:v>3.2814509937933209E-2</c:v>
                </c:pt>
                <c:pt idx="4">
                  <c:v>0.10146906978532093</c:v>
                </c:pt>
                <c:pt idx="5">
                  <c:v>8.1781540932337152E-2</c:v>
                </c:pt>
                <c:pt idx="6">
                  <c:v>7.7382828837570986E-2</c:v>
                </c:pt>
                <c:pt idx="7">
                  <c:v>5.2779763128728355E-2</c:v>
                </c:pt>
                <c:pt idx="8">
                  <c:v>5.4943805882826817E-2</c:v>
                </c:pt>
                <c:pt idx="9">
                  <c:v>3.4709656677541445E-2</c:v>
                </c:pt>
                <c:pt idx="10">
                  <c:v>3.083107996511341E-2</c:v>
                </c:pt>
                <c:pt idx="11">
                  <c:v>3.3417410851407182E-2</c:v>
                </c:pt>
                <c:pt idx="12">
                  <c:v>2.7460499690456913E-2</c:v>
                </c:pt>
                <c:pt idx="13">
                  <c:v>2.9982457385867252E-2</c:v>
                </c:pt>
                <c:pt idx="14">
                  <c:v>2.4391185949134881E-2</c:v>
                </c:pt>
                <c:pt idx="15">
                  <c:v>2.4860558472376362E-2</c:v>
                </c:pt>
                <c:pt idx="16">
                  <c:v>2.362606459463466E-2</c:v>
                </c:pt>
                <c:pt idx="17">
                  <c:v>1.5369375208523158E-2</c:v>
                </c:pt>
                <c:pt idx="18">
                  <c:v>1.6624468507347556E-2</c:v>
                </c:pt>
                <c:pt idx="19">
                  <c:v>1.395206146867251E-2</c:v>
                </c:pt>
                <c:pt idx="20">
                  <c:v>1.3432293933139428E-2</c:v>
                </c:pt>
                <c:pt idx="21">
                  <c:v>9.9587165530694421E-3</c:v>
                </c:pt>
                <c:pt idx="22">
                  <c:v>9.900964604676878E-3</c:v>
                </c:pt>
                <c:pt idx="23">
                  <c:v>9.4021643370315426E-3</c:v>
                </c:pt>
                <c:pt idx="24">
                  <c:v>8.4696726862344002E-3</c:v>
                </c:pt>
                <c:pt idx="25">
                  <c:v>7.5239385504555232E-3</c:v>
                </c:pt>
                <c:pt idx="26">
                  <c:v>7.6920445403625423E-3</c:v>
                </c:pt>
                <c:pt idx="27">
                  <c:v>6.6650162606680169E-3</c:v>
                </c:pt>
                <c:pt idx="28">
                  <c:v>4.0735355191035723E-3</c:v>
                </c:pt>
                <c:pt idx="29">
                  <c:v>4.9254687195951627E-3</c:v>
                </c:pt>
                <c:pt idx="30">
                  <c:v>3.8050073514183987E-3</c:v>
                </c:pt>
                <c:pt idx="31">
                  <c:v>3.6284408849952712E-3</c:v>
                </c:pt>
                <c:pt idx="32">
                  <c:v>2.8548590539789437E-3</c:v>
                </c:pt>
                <c:pt idx="33">
                  <c:v>2.4881157893459059E-3</c:v>
                </c:pt>
                <c:pt idx="34">
                  <c:v>2.2791788040785383E-3</c:v>
                </c:pt>
                <c:pt idx="35">
                  <c:v>1.8922039651678504E-3</c:v>
                </c:pt>
                <c:pt idx="36">
                  <c:v>2.437720777054305E-3</c:v>
                </c:pt>
                <c:pt idx="37">
                  <c:v>1.7619861961807937E-3</c:v>
                </c:pt>
                <c:pt idx="38">
                  <c:v>2.2015631282133719E-3</c:v>
                </c:pt>
                <c:pt idx="39">
                  <c:v>1.68988822239135E-3</c:v>
                </c:pt>
                <c:pt idx="40">
                  <c:v>1.3687579615842868E-3</c:v>
                </c:pt>
                <c:pt idx="41">
                  <c:v>1.2308154096912184E-3</c:v>
                </c:pt>
                <c:pt idx="42">
                  <c:v>8.5377243451683141E-4</c:v>
                </c:pt>
                <c:pt idx="43">
                  <c:v>7.9749187334445947E-4</c:v>
                </c:pt>
                <c:pt idx="44">
                  <c:v>7.0332309125212473E-4</c:v>
                </c:pt>
                <c:pt idx="45">
                  <c:v>7.776281458718576E-4</c:v>
                </c:pt>
                <c:pt idx="46">
                  <c:v>6.3747851314850017E-4</c:v>
                </c:pt>
                <c:pt idx="47">
                  <c:v>4.9659318681504621E-4</c:v>
                </c:pt>
                <c:pt idx="48">
                  <c:v>4.1493119609434974E-4</c:v>
                </c:pt>
                <c:pt idx="49">
                  <c:v>3.6895034546332694E-4</c:v>
                </c:pt>
                <c:pt idx="50">
                  <c:v>3.2517657566259327E-4</c:v>
                </c:pt>
                <c:pt idx="51">
                  <c:v>3.3621197981403871E-4</c:v>
                </c:pt>
                <c:pt idx="52">
                  <c:v>2.5307860187314952E-4</c:v>
                </c:pt>
                <c:pt idx="53">
                  <c:v>2.2990425315511402E-4</c:v>
                </c:pt>
                <c:pt idx="54">
                  <c:v>2.2549009149453581E-4</c:v>
                </c:pt>
                <c:pt idx="55">
                  <c:v>1.4934580284956206E-4</c:v>
                </c:pt>
                <c:pt idx="56">
                  <c:v>1.9128033862505486E-4</c:v>
                </c:pt>
                <c:pt idx="57">
                  <c:v>1.151360499800811E-4</c:v>
                </c:pt>
                <c:pt idx="58">
                  <c:v>1.2322867969114112E-4</c:v>
                </c:pt>
                <c:pt idx="59">
                  <c:v>1.2690714774162294E-4</c:v>
                </c:pt>
                <c:pt idx="60">
                  <c:v>1.2322867969114112E-4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8960"/>
        <c:axId val="337358568"/>
      </c:lineChart>
      <c:catAx>
        <c:axId val="33735896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58568"/>
        <c:crosses val="autoZero"/>
        <c:auto val="1"/>
        <c:lblAlgn val="ctr"/>
        <c:lblOffset val="100"/>
        <c:tickLblSkip val="10"/>
        <c:noMultiLvlLbl val="0"/>
      </c:catAx>
      <c:valAx>
        <c:axId val="3373585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89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5.0976018773326421E-4</c:v>
                </c:pt>
                <c:pt idx="1">
                  <c:v>7.5889516367453301E-4</c:v>
                </c:pt>
                <c:pt idx="2">
                  <c:v>3.0040143019223662E-3</c:v>
                </c:pt>
                <c:pt idx="3">
                  <c:v>1.8749009186536383E-3</c:v>
                </c:pt>
                <c:pt idx="4">
                  <c:v>5.0594805929866215E-3</c:v>
                </c:pt>
                <c:pt idx="5">
                  <c:v>1.37955379963598E-2</c:v>
                </c:pt>
                <c:pt idx="6">
                  <c:v>1.1987847147793168E-2</c:v>
                </c:pt>
                <c:pt idx="7">
                  <c:v>1.2030039698227295E-2</c:v>
                </c:pt>
                <c:pt idx="8">
                  <c:v>7.3839074963944181E-3</c:v>
                </c:pt>
                <c:pt idx="9">
                  <c:v>1.7836473748381459E-2</c:v>
                </c:pt>
                <c:pt idx="10">
                  <c:v>6.3823251749068133E-3</c:v>
                </c:pt>
                <c:pt idx="11">
                  <c:v>1.4396909731323395E-2</c:v>
                </c:pt>
                <c:pt idx="12">
                  <c:v>1.0107945006456724E-2</c:v>
                </c:pt>
                <c:pt idx="13">
                  <c:v>1.0648566430076807E-2</c:v>
                </c:pt>
                <c:pt idx="14">
                  <c:v>1.1880051167044397E-2</c:v>
                </c:pt>
                <c:pt idx="15">
                  <c:v>9.8264895193360107E-3</c:v>
                </c:pt>
                <c:pt idx="16">
                  <c:v>1.6807097102083172E-2</c:v>
                </c:pt>
                <c:pt idx="17">
                  <c:v>9.7511778498767226E-3</c:v>
                </c:pt>
                <c:pt idx="18">
                  <c:v>4.6676447814153865E-2</c:v>
                </c:pt>
                <c:pt idx="19">
                  <c:v>3.0123237581621949E-2</c:v>
                </c:pt>
                <c:pt idx="20">
                  <c:v>3.4860110233020256E-2</c:v>
                </c:pt>
                <c:pt idx="21">
                  <c:v>4.7453956169726717E-2</c:v>
                </c:pt>
                <c:pt idx="22">
                  <c:v>3.2159982143700756E-2</c:v>
                </c:pt>
                <c:pt idx="23">
                  <c:v>2.7900418019341035E-2</c:v>
                </c:pt>
                <c:pt idx="24">
                  <c:v>3.7013573910480324E-2</c:v>
                </c:pt>
                <c:pt idx="25">
                  <c:v>2.264879460486225E-2</c:v>
                </c:pt>
                <c:pt idx="26">
                  <c:v>3.6226244682296307E-2</c:v>
                </c:pt>
                <c:pt idx="27">
                  <c:v>2.4501799204792073E-2</c:v>
                </c:pt>
                <c:pt idx="28">
                  <c:v>2.7500900780965253E-2</c:v>
                </c:pt>
                <c:pt idx="29">
                  <c:v>2.2728060092624874E-2</c:v>
                </c:pt>
                <c:pt idx="30">
                  <c:v>2.5690704568350375E-2</c:v>
                </c:pt>
                <c:pt idx="31">
                  <c:v>1.7361334712889712E-2</c:v>
                </c:pt>
                <c:pt idx="32">
                  <c:v>1.8531651256158656E-2</c:v>
                </c:pt>
                <c:pt idx="33">
                  <c:v>2.081973526267035E-2</c:v>
                </c:pt>
                <c:pt idx="34">
                  <c:v>2.9063009398100276E-2</c:v>
                </c:pt>
                <c:pt idx="35">
                  <c:v>1.8701601225951461E-2</c:v>
                </c:pt>
                <c:pt idx="36">
                  <c:v>1.3113100072795297E-2</c:v>
                </c:pt>
                <c:pt idx="37">
                  <c:v>1.7402603886907196E-2</c:v>
                </c:pt>
                <c:pt idx="38">
                  <c:v>2.2029233859835066E-2</c:v>
                </c:pt>
                <c:pt idx="39">
                  <c:v>1.1831276989094457E-2</c:v>
                </c:pt>
                <c:pt idx="40">
                  <c:v>1.005818599877456E-2</c:v>
                </c:pt>
                <c:pt idx="41">
                  <c:v>1.5073451608597523E-2</c:v>
                </c:pt>
                <c:pt idx="42">
                  <c:v>7.3862875346109467E-3</c:v>
                </c:pt>
                <c:pt idx="43">
                  <c:v>1.0306626804415055E-2</c:v>
                </c:pt>
                <c:pt idx="44">
                  <c:v>7.24124309328944E-3</c:v>
                </c:pt>
                <c:pt idx="45">
                  <c:v>3.4533736844136916E-2</c:v>
                </c:pt>
                <c:pt idx="46">
                  <c:v>9.9791041510519998E-3</c:v>
                </c:pt>
                <c:pt idx="47">
                  <c:v>8.5790993785921244E-3</c:v>
                </c:pt>
                <c:pt idx="48">
                  <c:v>7.4169928306962599E-3</c:v>
                </c:pt>
                <c:pt idx="49">
                  <c:v>4.7913337177387981E-3</c:v>
                </c:pt>
                <c:pt idx="50">
                  <c:v>5.9404559129806753E-3</c:v>
                </c:pt>
                <c:pt idx="51">
                  <c:v>4.5939179600581323E-3</c:v>
                </c:pt>
                <c:pt idx="52">
                  <c:v>6.5667686848019814E-3</c:v>
                </c:pt>
                <c:pt idx="53">
                  <c:v>5.1386451510872927E-3</c:v>
                </c:pt>
                <c:pt idx="54">
                  <c:v>4.3482007760616403E-3</c:v>
                </c:pt>
                <c:pt idx="55">
                  <c:v>6.1376500951985024E-3</c:v>
                </c:pt>
                <c:pt idx="56">
                  <c:v>3.2246420618066512E-3</c:v>
                </c:pt>
                <c:pt idx="57">
                  <c:v>1.9611028103021112E-3</c:v>
                </c:pt>
                <c:pt idx="58">
                  <c:v>2.276982589139893E-3</c:v>
                </c:pt>
                <c:pt idx="59">
                  <c:v>2.9270799524444566E-3</c:v>
                </c:pt>
                <c:pt idx="60">
                  <c:v>2.8233676696514734E-3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7.4231485258723215E-4</c:v>
                </c:pt>
                <c:pt idx="1">
                  <c:v>9.4404204047565526E-3</c:v>
                </c:pt>
                <c:pt idx="2">
                  <c:v>1.2508630605663443E-2</c:v>
                </c:pt>
                <c:pt idx="3">
                  <c:v>1.612603608650727E-2</c:v>
                </c:pt>
                <c:pt idx="4">
                  <c:v>1.7918553567507062E-2</c:v>
                </c:pt>
                <c:pt idx="5">
                  <c:v>1.7803049670721931E-2</c:v>
                </c:pt>
                <c:pt idx="6">
                  <c:v>1.7778403934783703E-2</c:v>
                </c:pt>
                <c:pt idx="7">
                  <c:v>1.7988444460466217E-2</c:v>
                </c:pt>
                <c:pt idx="8">
                  <c:v>1.7384072159772054E-2</c:v>
                </c:pt>
                <c:pt idx="9">
                  <c:v>1.7178077948945072E-2</c:v>
                </c:pt>
                <c:pt idx="10">
                  <c:v>1.6557152542023737E-2</c:v>
                </c:pt>
                <c:pt idx="11">
                  <c:v>1.4996378548204301E-2</c:v>
                </c:pt>
                <c:pt idx="12">
                  <c:v>1.429820531222285E-2</c:v>
                </c:pt>
                <c:pt idx="13">
                  <c:v>1.3192089969442966E-2</c:v>
                </c:pt>
                <c:pt idx="14">
                  <c:v>1.2160647528087862E-2</c:v>
                </c:pt>
                <c:pt idx="15">
                  <c:v>1.1541561355191771E-2</c:v>
                </c:pt>
                <c:pt idx="16">
                  <c:v>1.040859319564337E-2</c:v>
                </c:pt>
                <c:pt idx="17">
                  <c:v>1.0423674914650346E-2</c:v>
                </c:pt>
                <c:pt idx="18">
                  <c:v>6.1702255231977067E-2</c:v>
                </c:pt>
                <c:pt idx="19">
                  <c:v>3.0466911628115708E-2</c:v>
                </c:pt>
                <c:pt idx="20">
                  <c:v>3.4927789832935013E-2</c:v>
                </c:pt>
                <c:pt idx="21">
                  <c:v>3.9286038779145882E-2</c:v>
                </c:pt>
                <c:pt idx="22">
                  <c:v>4.1561171268368891E-2</c:v>
                </c:pt>
                <c:pt idx="23">
                  <c:v>3.6097910519793282E-2</c:v>
                </c:pt>
                <c:pt idx="24">
                  <c:v>2.6862748632253616E-2</c:v>
                </c:pt>
                <c:pt idx="25">
                  <c:v>3.0548941465641452E-2</c:v>
                </c:pt>
                <c:pt idx="26">
                  <c:v>2.7662815433233415E-2</c:v>
                </c:pt>
                <c:pt idx="27">
                  <c:v>2.4170845712911018E-2</c:v>
                </c:pt>
                <c:pt idx="28">
                  <c:v>2.8893262996119586E-2</c:v>
                </c:pt>
                <c:pt idx="29">
                  <c:v>2.2550848383478823E-2</c:v>
                </c:pt>
                <c:pt idx="30">
                  <c:v>2.1569433107610274E-2</c:v>
                </c:pt>
                <c:pt idx="31">
                  <c:v>1.9293932771582215E-2</c:v>
                </c:pt>
                <c:pt idx="32">
                  <c:v>2.2910970405620994E-2</c:v>
                </c:pt>
                <c:pt idx="33">
                  <c:v>2.0576982427590276E-2</c:v>
                </c:pt>
                <c:pt idx="34">
                  <c:v>2.0622227584611203E-2</c:v>
                </c:pt>
                <c:pt idx="35">
                  <c:v>1.6167602775477713E-2</c:v>
                </c:pt>
                <c:pt idx="36">
                  <c:v>1.2341996002976616E-2</c:v>
                </c:pt>
                <c:pt idx="37">
                  <c:v>1.4986446684468E-2</c:v>
                </c:pt>
                <c:pt idx="38">
                  <c:v>1.3737238934524372E-2</c:v>
                </c:pt>
                <c:pt idx="39">
                  <c:v>1.3489678034726945E-2</c:v>
                </c:pt>
                <c:pt idx="40">
                  <c:v>1.0631508359502568E-2</c:v>
                </c:pt>
                <c:pt idx="41">
                  <c:v>1.1152011588645747E-2</c:v>
                </c:pt>
                <c:pt idx="42">
                  <c:v>1.1125158771877228E-2</c:v>
                </c:pt>
                <c:pt idx="43">
                  <c:v>8.0959403323054464E-3</c:v>
                </c:pt>
                <c:pt idx="44">
                  <c:v>1.0122040534510835E-2</c:v>
                </c:pt>
                <c:pt idx="45">
                  <c:v>7.6335568983598818E-3</c:v>
                </c:pt>
                <c:pt idx="46">
                  <c:v>6.4913925686852754E-3</c:v>
                </c:pt>
                <c:pt idx="47">
                  <c:v>8.1529565870879159E-3</c:v>
                </c:pt>
                <c:pt idx="48">
                  <c:v>6.7264466771110639E-3</c:v>
                </c:pt>
                <c:pt idx="49">
                  <c:v>6.5116241429629251E-3</c:v>
                </c:pt>
                <c:pt idx="50">
                  <c:v>5.9594860885856032E-3</c:v>
                </c:pt>
                <c:pt idx="51">
                  <c:v>5.775562686061512E-3</c:v>
                </c:pt>
                <c:pt idx="52">
                  <c:v>4.4833168599272477E-3</c:v>
                </c:pt>
                <c:pt idx="53">
                  <c:v>4.099284795456945E-3</c:v>
                </c:pt>
                <c:pt idx="54">
                  <c:v>5.8476606598509562E-3</c:v>
                </c:pt>
                <c:pt idx="55">
                  <c:v>3.1690002254900914E-3</c:v>
                </c:pt>
                <c:pt idx="56">
                  <c:v>3.7880863983861825E-3</c:v>
                </c:pt>
                <c:pt idx="57">
                  <c:v>3.5920240512955014E-3</c:v>
                </c:pt>
                <c:pt idx="58">
                  <c:v>5.2749231843909356E-3</c:v>
                </c:pt>
                <c:pt idx="59">
                  <c:v>2.563524384380783E-3</c:v>
                </c:pt>
                <c:pt idx="60">
                  <c:v>2.4837016276853278E-3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59352"/>
        <c:axId val="337360136"/>
      </c:lineChart>
      <c:catAx>
        <c:axId val="3373593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360136"/>
        <c:crosses val="autoZero"/>
        <c:auto val="1"/>
        <c:lblAlgn val="ctr"/>
        <c:lblOffset val="100"/>
        <c:tickLblSkip val="10"/>
        <c:noMultiLvlLbl val="0"/>
      </c:catAx>
      <c:valAx>
        <c:axId val="337360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3593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6.7908804863944364E-2</c:v>
                </c:pt>
                <c:pt idx="1">
                  <c:v>5.0332260930260102E-2</c:v>
                </c:pt>
                <c:pt idx="2">
                  <c:v>6.4507688338137734E-2</c:v>
                </c:pt>
                <c:pt idx="3">
                  <c:v>9.5332250844830213E-2</c:v>
                </c:pt>
                <c:pt idx="4">
                  <c:v>0.20234716945580231</c:v>
                </c:pt>
                <c:pt idx="5">
                  <c:v>8.5410977927769027E-2</c:v>
                </c:pt>
                <c:pt idx="6">
                  <c:v>0.14274259339946485</c:v>
                </c:pt>
                <c:pt idx="7">
                  <c:v>5.3596581290139451E-2</c:v>
                </c:pt>
                <c:pt idx="8">
                  <c:v>4.5283578361986404E-2</c:v>
                </c:pt>
                <c:pt idx="9">
                  <c:v>3.4154977371809031E-2</c:v>
                </c:pt>
                <c:pt idx="10">
                  <c:v>6.0641853624114943E-2</c:v>
                </c:pt>
                <c:pt idx="11">
                  <c:v>1.1745761089692474E-2</c:v>
                </c:pt>
                <c:pt idx="12">
                  <c:v>8.9814146376595589E-3</c:v>
                </c:pt>
                <c:pt idx="13">
                  <c:v>6.3888568889515704E-3</c:v>
                </c:pt>
                <c:pt idx="14">
                  <c:v>6.2271882821414793E-3</c:v>
                </c:pt>
                <c:pt idx="15">
                  <c:v>3.1458703056568694E-3</c:v>
                </c:pt>
                <c:pt idx="16">
                  <c:v>1.1986737757805612E-2</c:v>
                </c:pt>
                <c:pt idx="17">
                  <c:v>7.2217516854610276E-3</c:v>
                </c:pt>
                <c:pt idx="18">
                  <c:v>7.044405115650753E-3</c:v>
                </c:pt>
                <c:pt idx="19">
                  <c:v>2.0770411798038684E-3</c:v>
                </c:pt>
                <c:pt idx="20">
                  <c:v>1.9366959719289319E-3</c:v>
                </c:pt>
                <c:pt idx="21">
                  <c:v>9.1799754716662789E-3</c:v>
                </c:pt>
                <c:pt idx="22">
                  <c:v>2.5268726331390923E-3</c:v>
                </c:pt>
                <c:pt idx="23">
                  <c:v>1.100414413466964E-2</c:v>
                </c:pt>
                <c:pt idx="24">
                  <c:v>2.05682651540962E-4</c:v>
                </c:pt>
                <c:pt idx="25">
                  <c:v>1.2489394586892781E-3</c:v>
                </c:pt>
                <c:pt idx="26">
                  <c:v>1.2131687341140614E-3</c:v>
                </c:pt>
                <c:pt idx="27">
                  <c:v>2.0912689731751384E-5</c:v>
                </c:pt>
                <c:pt idx="28">
                  <c:v>1.9737428357836087E-3</c:v>
                </c:pt>
                <c:pt idx="29">
                  <c:v>3.5421573165624737E-4</c:v>
                </c:pt>
                <c:pt idx="30">
                  <c:v>0</c:v>
                </c:pt>
                <c:pt idx="31">
                  <c:v>0</c:v>
                </c:pt>
                <c:pt idx="32">
                  <c:v>1.8267056671200007E-5</c:v>
                </c:pt>
                <c:pt idx="33">
                  <c:v>0</c:v>
                </c:pt>
                <c:pt idx="34">
                  <c:v>6.8482439812463146E-4</c:v>
                </c:pt>
                <c:pt idx="35">
                  <c:v>1.169240757492463E-5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5.9193351078352793E-6</c:v>
                </c:pt>
                <c:pt idx="40">
                  <c:v>6.3208403961574398E-6</c:v>
                </c:pt>
                <c:pt idx="41">
                  <c:v>0</c:v>
                </c:pt>
                <c:pt idx="42">
                  <c:v>3.8969658760836819E-4</c:v>
                </c:pt>
                <c:pt idx="43">
                  <c:v>4.0313855447715661E-4</c:v>
                </c:pt>
                <c:pt idx="44">
                  <c:v>0</c:v>
                </c:pt>
                <c:pt idx="45">
                  <c:v>0</c:v>
                </c:pt>
                <c:pt idx="46">
                  <c:v>1.6378296472056497E-3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0.15315303379390843</c:v>
                </c:pt>
                <c:pt idx="1">
                  <c:v>0.14917969583230103</c:v>
                </c:pt>
                <c:pt idx="2">
                  <c:v>8.9195408999431625E-2</c:v>
                </c:pt>
                <c:pt idx="3">
                  <c:v>5.7170225535618943E-2</c:v>
                </c:pt>
                <c:pt idx="4">
                  <c:v>0.17995551027384102</c:v>
                </c:pt>
                <c:pt idx="5">
                  <c:v>8.0282890003855426E-2</c:v>
                </c:pt>
                <c:pt idx="6">
                  <c:v>8.3213541411349776E-2</c:v>
                </c:pt>
                <c:pt idx="7">
                  <c:v>4.4374460936351071E-2</c:v>
                </c:pt>
                <c:pt idx="8">
                  <c:v>4.1084764984810167E-2</c:v>
                </c:pt>
                <c:pt idx="9">
                  <c:v>2.4575340396750845E-2</c:v>
                </c:pt>
                <c:pt idx="10">
                  <c:v>1.4326009796219036E-2</c:v>
                </c:pt>
                <c:pt idx="11">
                  <c:v>1.4585687769034992E-2</c:v>
                </c:pt>
                <c:pt idx="12">
                  <c:v>1.236385123631888E-2</c:v>
                </c:pt>
                <c:pt idx="13">
                  <c:v>9.0754801723943769E-3</c:v>
                </c:pt>
                <c:pt idx="14">
                  <c:v>9.3775545489353865E-3</c:v>
                </c:pt>
                <c:pt idx="15">
                  <c:v>4.8610126646007256E-3</c:v>
                </c:pt>
                <c:pt idx="16">
                  <c:v>5.4572120919842973E-3</c:v>
                </c:pt>
                <c:pt idx="17">
                  <c:v>3.2049031440908025E-3</c:v>
                </c:pt>
                <c:pt idx="18">
                  <c:v>2.7584160173613273E-3</c:v>
                </c:pt>
                <c:pt idx="19">
                  <c:v>2.9280016322615434E-3</c:v>
                </c:pt>
                <c:pt idx="20">
                  <c:v>2.4987380445453716E-3</c:v>
                </c:pt>
                <c:pt idx="21">
                  <c:v>1.9197621561751024E-3</c:v>
                </c:pt>
                <c:pt idx="22">
                  <c:v>2.2933804640021412E-3</c:v>
                </c:pt>
                <c:pt idx="23">
                  <c:v>1.5540931740465115E-3</c:v>
                </c:pt>
                <c:pt idx="24">
                  <c:v>1.3103138526274509E-3</c:v>
                </c:pt>
                <c:pt idx="25">
                  <c:v>1.1976984052327762E-3</c:v>
                </c:pt>
                <c:pt idx="26">
                  <c:v>1.0890576206873252E-3</c:v>
                </c:pt>
                <c:pt idx="27">
                  <c:v>1.0585852055099425E-3</c:v>
                </c:pt>
                <c:pt idx="28">
                  <c:v>4.4781201434588311E-4</c:v>
                </c:pt>
                <c:pt idx="29">
                  <c:v>8.5057784973389635E-4</c:v>
                </c:pt>
                <c:pt idx="30">
                  <c:v>6.7304290913523259E-4</c:v>
                </c:pt>
                <c:pt idx="31">
                  <c:v>3.9349162207315762E-4</c:v>
                </c:pt>
                <c:pt idx="32">
                  <c:v>4.1468982393568464E-4</c:v>
                </c:pt>
                <c:pt idx="33">
                  <c:v>5.047821818514245E-4</c:v>
                </c:pt>
                <c:pt idx="34">
                  <c:v>2.2788067002216537E-4</c:v>
                </c:pt>
                <c:pt idx="35">
                  <c:v>2.4112954618624475E-4</c:v>
                </c:pt>
                <c:pt idx="36">
                  <c:v>3.8289252114189414E-4</c:v>
                </c:pt>
                <c:pt idx="37">
                  <c:v>4.6106089050996249E-4</c:v>
                </c:pt>
                <c:pt idx="38">
                  <c:v>1.5501185111972877E-4</c:v>
                </c:pt>
                <c:pt idx="39">
                  <c:v>1.7753494059866371E-4</c:v>
                </c:pt>
                <c:pt idx="40">
                  <c:v>1.2718921117516207E-4</c:v>
                </c:pt>
                <c:pt idx="41">
                  <c:v>1.4308786257205731E-4</c:v>
                </c:pt>
                <c:pt idx="42">
                  <c:v>3.8421740875830205E-5</c:v>
                </c:pt>
                <c:pt idx="43">
                  <c:v>7.419370651884454E-5</c:v>
                </c:pt>
                <c:pt idx="44">
                  <c:v>1.07315896929043E-4</c:v>
                </c:pt>
                <c:pt idx="45">
                  <c:v>7.419370651884454E-5</c:v>
                </c:pt>
                <c:pt idx="46">
                  <c:v>7.9493256984476294E-5</c:v>
                </c:pt>
                <c:pt idx="47">
                  <c:v>3.4447078026606393E-5</c:v>
                </c:pt>
                <c:pt idx="48">
                  <c:v>5.5645279889133402E-5</c:v>
                </c:pt>
                <c:pt idx="49">
                  <c:v>4.6371066574277836E-5</c:v>
                </c:pt>
                <c:pt idx="50">
                  <c:v>2.9147527560974639E-5</c:v>
                </c:pt>
                <c:pt idx="51">
                  <c:v>3.9746628492238147E-5</c:v>
                </c:pt>
                <c:pt idx="52">
                  <c:v>3.9746628492238145E-6</c:v>
                </c:pt>
                <c:pt idx="53">
                  <c:v>3.709685325942227E-5</c:v>
                </c:pt>
                <c:pt idx="54">
                  <c:v>1.3248876164079382E-6</c:v>
                </c:pt>
                <c:pt idx="55">
                  <c:v>1.3248876164079382E-6</c:v>
                </c:pt>
                <c:pt idx="56">
                  <c:v>4.3721291341461959E-5</c:v>
                </c:pt>
                <c:pt idx="57">
                  <c:v>1.457376378048732E-5</c:v>
                </c:pt>
                <c:pt idx="58">
                  <c:v>1.3248876164079382E-6</c:v>
                </c:pt>
                <c:pt idx="59">
                  <c:v>1.3248876164079382E-6</c:v>
                </c:pt>
                <c:pt idx="60">
                  <c:v>2.3847977095342889E-5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0584"/>
        <c:axId val="128020192"/>
      </c:lineChart>
      <c:catAx>
        <c:axId val="128020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192"/>
        <c:crosses val="autoZero"/>
        <c:auto val="1"/>
        <c:lblAlgn val="ctr"/>
        <c:lblOffset val="100"/>
        <c:tickLblSkip val="10"/>
        <c:noMultiLvlLbl val="0"/>
      </c:catAx>
      <c:valAx>
        <c:axId val="12802019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0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8.156350282673492E-3</c:v>
                </c:pt>
                <c:pt idx="2">
                  <c:v>6.8145609813907559E-3</c:v>
                </c:pt>
                <c:pt idx="3">
                  <c:v>1.4230797282412447E-2</c:v>
                </c:pt>
                <c:pt idx="4">
                  <c:v>1.0782005828019798E-2</c:v>
                </c:pt>
                <c:pt idx="5">
                  <c:v>8.9122035466190682E-3</c:v>
                </c:pt>
                <c:pt idx="6">
                  <c:v>8.7185302939005154E-3</c:v>
                </c:pt>
                <c:pt idx="7">
                  <c:v>1.628655697829668E-2</c:v>
                </c:pt>
                <c:pt idx="8">
                  <c:v>3.9059268496487954E-3</c:v>
                </c:pt>
                <c:pt idx="9">
                  <c:v>1.404400204859528E-2</c:v>
                </c:pt>
                <c:pt idx="10">
                  <c:v>8.3782112783444881E-3</c:v>
                </c:pt>
                <c:pt idx="11">
                  <c:v>1.6176340952326389E-2</c:v>
                </c:pt>
                <c:pt idx="12">
                  <c:v>3.5714752295633805E-2</c:v>
                </c:pt>
                <c:pt idx="13">
                  <c:v>1.1082988615131477E-2</c:v>
                </c:pt>
                <c:pt idx="14">
                  <c:v>1.6656497446691503E-2</c:v>
                </c:pt>
                <c:pt idx="15">
                  <c:v>3.8640665940122111E-3</c:v>
                </c:pt>
                <c:pt idx="16">
                  <c:v>3.9470246796736198E-2</c:v>
                </c:pt>
                <c:pt idx="17">
                  <c:v>1.8142270877281777E-2</c:v>
                </c:pt>
                <c:pt idx="18">
                  <c:v>0.10352030239184527</c:v>
                </c:pt>
                <c:pt idx="19">
                  <c:v>3.7705673872785943E-2</c:v>
                </c:pt>
                <c:pt idx="20">
                  <c:v>6.2675113675186189E-2</c:v>
                </c:pt>
                <c:pt idx="21">
                  <c:v>4.3768441486318484E-2</c:v>
                </c:pt>
                <c:pt idx="22">
                  <c:v>3.7184477296968381E-2</c:v>
                </c:pt>
                <c:pt idx="23">
                  <c:v>1.7217310633650763E-2</c:v>
                </c:pt>
                <c:pt idx="24">
                  <c:v>3.5708769349073792E-2</c:v>
                </c:pt>
                <c:pt idx="25">
                  <c:v>3.4050097702522569E-2</c:v>
                </c:pt>
                <c:pt idx="26">
                  <c:v>7.5578255777844591E-2</c:v>
                </c:pt>
                <c:pt idx="27">
                  <c:v>1.1669069471582237E-2</c:v>
                </c:pt>
                <c:pt idx="28">
                  <c:v>2.1393386884766937E-2</c:v>
                </c:pt>
                <c:pt idx="29">
                  <c:v>1.7511851826455715E-2</c:v>
                </c:pt>
                <c:pt idx="30">
                  <c:v>1.8164293684885039E-2</c:v>
                </c:pt>
                <c:pt idx="31">
                  <c:v>1.5304623438427537E-2</c:v>
                </c:pt>
                <c:pt idx="32">
                  <c:v>6.6257879451451489E-3</c:v>
                </c:pt>
                <c:pt idx="33">
                  <c:v>1.0525344903903817E-2</c:v>
                </c:pt>
                <c:pt idx="34">
                  <c:v>2.2701703283748365E-2</c:v>
                </c:pt>
                <c:pt idx="35">
                  <c:v>5.5420482161368766E-3</c:v>
                </c:pt>
                <c:pt idx="36">
                  <c:v>5.8738532199427533E-3</c:v>
                </c:pt>
                <c:pt idx="37">
                  <c:v>1.1863802433481388E-2</c:v>
                </c:pt>
                <c:pt idx="38">
                  <c:v>1.6185728421689305E-2</c:v>
                </c:pt>
                <c:pt idx="39">
                  <c:v>3.2737425601384474E-3</c:v>
                </c:pt>
                <c:pt idx="40">
                  <c:v>1.1297737866831949E-3</c:v>
                </c:pt>
                <c:pt idx="41">
                  <c:v>8.2949344961728774E-3</c:v>
                </c:pt>
                <c:pt idx="42">
                  <c:v>1.8001743364519905E-3</c:v>
                </c:pt>
                <c:pt idx="43">
                  <c:v>1.3456408174427419E-3</c:v>
                </c:pt>
                <c:pt idx="44">
                  <c:v>1.3729207237601828E-3</c:v>
                </c:pt>
                <c:pt idx="45">
                  <c:v>4.2931962230227549E-2</c:v>
                </c:pt>
                <c:pt idx="46">
                  <c:v>6.3664649595323404E-3</c:v>
                </c:pt>
                <c:pt idx="47">
                  <c:v>4.868653097138154E-3</c:v>
                </c:pt>
                <c:pt idx="48">
                  <c:v>2.8766108689490533E-3</c:v>
                </c:pt>
                <c:pt idx="49">
                  <c:v>1.2439107382505048E-3</c:v>
                </c:pt>
                <c:pt idx="50">
                  <c:v>4.0656239082332386E-4</c:v>
                </c:pt>
                <c:pt idx="51">
                  <c:v>1.6353673182068545E-3</c:v>
                </c:pt>
                <c:pt idx="52">
                  <c:v>1.2570749147342937E-3</c:v>
                </c:pt>
                <c:pt idx="53">
                  <c:v>0</c:v>
                </c:pt>
                <c:pt idx="54">
                  <c:v>2.4149174871741846E-3</c:v>
                </c:pt>
                <c:pt idx="55">
                  <c:v>3.749735808769989E-3</c:v>
                </c:pt>
                <c:pt idx="56">
                  <c:v>0</c:v>
                </c:pt>
                <c:pt idx="57">
                  <c:v>0</c:v>
                </c:pt>
                <c:pt idx="58">
                  <c:v>1.8267056671200007E-5</c:v>
                </c:pt>
                <c:pt idx="59">
                  <c:v>7.4713735066074527E-4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7.7108459274942008E-4</c:v>
                </c:pt>
                <c:pt idx="1">
                  <c:v>2.1366462589810821E-2</c:v>
                </c:pt>
                <c:pt idx="2">
                  <c:v>3.0867231687072144E-2</c:v>
                </c:pt>
                <c:pt idx="3">
                  <c:v>3.6702036749732707E-2</c:v>
                </c:pt>
                <c:pt idx="4">
                  <c:v>3.8768861431329085E-2</c:v>
                </c:pt>
                <c:pt idx="5">
                  <c:v>3.81368900383025E-2</c:v>
                </c:pt>
                <c:pt idx="6">
                  <c:v>3.7320759266595213E-2</c:v>
                </c:pt>
                <c:pt idx="7">
                  <c:v>3.5525536546362452E-2</c:v>
                </c:pt>
                <c:pt idx="8">
                  <c:v>3.1843673860364796E-2</c:v>
                </c:pt>
                <c:pt idx="9">
                  <c:v>2.8767284815065561E-2</c:v>
                </c:pt>
                <c:pt idx="10">
                  <c:v>2.6169180199289595E-2</c:v>
                </c:pt>
                <c:pt idx="11">
                  <c:v>2.2430347345786392E-2</c:v>
                </c:pt>
                <c:pt idx="12">
                  <c:v>2.0864330183192212E-2</c:v>
                </c:pt>
                <c:pt idx="13">
                  <c:v>1.7509714738447313E-2</c:v>
                </c:pt>
                <c:pt idx="14">
                  <c:v>1.5990068642427406E-2</c:v>
                </c:pt>
                <c:pt idx="15">
                  <c:v>1.6440530432006106E-2</c:v>
                </c:pt>
                <c:pt idx="16">
                  <c:v>1.4588337544267808E-2</c:v>
                </c:pt>
                <c:pt idx="17">
                  <c:v>1.425181608970019E-2</c:v>
                </c:pt>
                <c:pt idx="18">
                  <c:v>0.13075183397568302</c:v>
                </c:pt>
                <c:pt idx="19">
                  <c:v>3.4013839776040999E-2</c:v>
                </c:pt>
                <c:pt idx="20">
                  <c:v>3.6778880231484366E-2</c:v>
                </c:pt>
                <c:pt idx="21">
                  <c:v>3.6996161800575265E-2</c:v>
                </c:pt>
                <c:pt idx="22">
                  <c:v>4.0724395553147205E-2</c:v>
                </c:pt>
                <c:pt idx="23">
                  <c:v>3.5465916603624095E-2</c:v>
                </c:pt>
                <c:pt idx="24">
                  <c:v>2.5522635042482523E-2</c:v>
                </c:pt>
                <c:pt idx="25">
                  <c:v>2.4709154046008049E-2</c:v>
                </c:pt>
                <c:pt idx="26">
                  <c:v>1.9979305255431706E-2</c:v>
                </c:pt>
                <c:pt idx="27">
                  <c:v>1.4201470360276689E-2</c:v>
                </c:pt>
                <c:pt idx="28">
                  <c:v>1.8454359608946171E-2</c:v>
                </c:pt>
                <c:pt idx="29">
                  <c:v>1.2226062924212454E-2</c:v>
                </c:pt>
                <c:pt idx="30">
                  <c:v>9.7922443728710711E-3</c:v>
                </c:pt>
                <c:pt idx="31">
                  <c:v>9.5709881409309448E-3</c:v>
                </c:pt>
                <c:pt idx="32">
                  <c:v>1.1378134849711374E-2</c:v>
                </c:pt>
                <c:pt idx="33">
                  <c:v>7.7320441293567271E-3</c:v>
                </c:pt>
                <c:pt idx="34">
                  <c:v>1.1050887608458612E-2</c:v>
                </c:pt>
                <c:pt idx="35">
                  <c:v>4.9696534491461761E-3</c:v>
                </c:pt>
                <c:pt idx="36">
                  <c:v>4.0687298699887782E-3</c:v>
                </c:pt>
                <c:pt idx="37">
                  <c:v>3.7030608878601871E-3</c:v>
                </c:pt>
                <c:pt idx="38">
                  <c:v>5.0902182222392987E-3</c:v>
                </c:pt>
                <c:pt idx="39">
                  <c:v>3.5136019587138521E-3</c:v>
                </c:pt>
                <c:pt idx="40">
                  <c:v>2.9081283180154242E-3</c:v>
                </c:pt>
                <c:pt idx="41">
                  <c:v>3.6646391469843569E-3</c:v>
                </c:pt>
                <c:pt idx="42">
                  <c:v>2.70542051270501E-3</c:v>
                </c:pt>
                <c:pt idx="43">
                  <c:v>2.1370437252660043E-3</c:v>
                </c:pt>
                <c:pt idx="44">
                  <c:v>2.3066293401662204E-3</c:v>
                </c:pt>
                <c:pt idx="45">
                  <c:v>2.1264446243347409E-3</c:v>
                </c:pt>
                <c:pt idx="46">
                  <c:v>1.9184372685586944E-3</c:v>
                </c:pt>
                <c:pt idx="47">
                  <c:v>1.8124462592460594E-3</c:v>
                </c:pt>
                <c:pt idx="48">
                  <c:v>1.7806489564522689E-3</c:v>
                </c:pt>
                <c:pt idx="49">
                  <c:v>1.5713167130598147E-3</c:v>
                </c:pt>
                <c:pt idx="50">
                  <c:v>1.6031140158536052E-3</c:v>
                </c:pt>
                <c:pt idx="51">
                  <c:v>1.6534597452771069E-3</c:v>
                </c:pt>
                <c:pt idx="52">
                  <c:v>1.2096223937804475E-3</c:v>
                </c:pt>
                <c:pt idx="53">
                  <c:v>1.1645762148225778E-3</c:v>
                </c:pt>
                <c:pt idx="54">
                  <c:v>1.1168802606318919E-3</c:v>
                </c:pt>
                <c:pt idx="55">
                  <c:v>9.4596975811526789E-4</c:v>
                </c:pt>
                <c:pt idx="56">
                  <c:v>8.3202942310418523E-4</c:v>
                </c:pt>
                <c:pt idx="57">
                  <c:v>8.5057784973389635E-4</c:v>
                </c:pt>
                <c:pt idx="58">
                  <c:v>8.2010543455651372E-4</c:v>
                </c:pt>
                <c:pt idx="59">
                  <c:v>7.6446015466738037E-4</c:v>
                </c:pt>
                <c:pt idx="60">
                  <c:v>7.3398773948999774E-4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1760"/>
        <c:axId val="128024504"/>
      </c:lineChart>
      <c:catAx>
        <c:axId val="128021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4504"/>
        <c:crosses val="autoZero"/>
        <c:auto val="1"/>
        <c:lblAlgn val="ctr"/>
        <c:lblOffset val="100"/>
        <c:tickLblSkip val="10"/>
        <c:noMultiLvlLbl val="0"/>
      </c:catAx>
      <c:valAx>
        <c:axId val="128024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17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3.3002917508857768E-2</c:v>
                </c:pt>
                <c:pt idx="1">
                  <c:v>5.6307505392293629E-2</c:v>
                </c:pt>
                <c:pt idx="2">
                  <c:v>5.8695532575694383E-2</c:v>
                </c:pt>
                <c:pt idx="3">
                  <c:v>9.7013422472779096E-2</c:v>
                </c:pt>
                <c:pt idx="4">
                  <c:v>0.18803542031521206</c:v>
                </c:pt>
                <c:pt idx="5">
                  <c:v>8.9868904327683727E-2</c:v>
                </c:pt>
                <c:pt idx="6">
                  <c:v>0.10698932365645929</c:v>
                </c:pt>
                <c:pt idx="7">
                  <c:v>8.6745635356909379E-2</c:v>
                </c:pt>
                <c:pt idx="8">
                  <c:v>4.0614525094790611E-2</c:v>
                </c:pt>
                <c:pt idx="9">
                  <c:v>2.558747267793016E-2</c:v>
                </c:pt>
                <c:pt idx="10">
                  <c:v>6.9293528856708211E-2</c:v>
                </c:pt>
                <c:pt idx="11">
                  <c:v>1.887642628104674E-2</c:v>
                </c:pt>
                <c:pt idx="12">
                  <c:v>1.358509470802244E-2</c:v>
                </c:pt>
                <c:pt idx="13">
                  <c:v>1.2821977035172835E-2</c:v>
                </c:pt>
                <c:pt idx="14">
                  <c:v>6.2991970692787029E-3</c:v>
                </c:pt>
                <c:pt idx="15">
                  <c:v>9.9269798065905208E-3</c:v>
                </c:pt>
                <c:pt idx="16">
                  <c:v>8.6996728631704226E-3</c:v>
                </c:pt>
                <c:pt idx="17">
                  <c:v>1.4009534165986584E-2</c:v>
                </c:pt>
                <c:pt idx="18">
                  <c:v>1.5253503865507643E-2</c:v>
                </c:pt>
                <c:pt idx="19">
                  <c:v>4.5944733573741207E-3</c:v>
                </c:pt>
                <c:pt idx="20">
                  <c:v>6.3578166303427741E-3</c:v>
                </c:pt>
                <c:pt idx="21">
                  <c:v>4.7172411067765638E-3</c:v>
                </c:pt>
                <c:pt idx="22">
                  <c:v>4.4260177767830701E-3</c:v>
                </c:pt>
                <c:pt idx="23">
                  <c:v>5.7961590886962486E-3</c:v>
                </c:pt>
                <c:pt idx="24">
                  <c:v>1.5115561072714481E-3</c:v>
                </c:pt>
                <c:pt idx="25">
                  <c:v>1.2645963083644E-3</c:v>
                </c:pt>
                <c:pt idx="26">
                  <c:v>4.0365064043205301E-4</c:v>
                </c:pt>
                <c:pt idx="27">
                  <c:v>2.8578463701409659E-3</c:v>
                </c:pt>
                <c:pt idx="28">
                  <c:v>1.8317804399917315E-3</c:v>
                </c:pt>
                <c:pt idx="29">
                  <c:v>8.9284526438880216E-4</c:v>
                </c:pt>
                <c:pt idx="30">
                  <c:v>0</c:v>
                </c:pt>
                <c:pt idx="31">
                  <c:v>4.9578957916005504E-4</c:v>
                </c:pt>
                <c:pt idx="32">
                  <c:v>1.2819194689799393E-4</c:v>
                </c:pt>
                <c:pt idx="33">
                  <c:v>9.6718777203385145E-4</c:v>
                </c:pt>
                <c:pt idx="34">
                  <c:v>6.7610980625911164E-3</c:v>
                </c:pt>
                <c:pt idx="35">
                  <c:v>6.1173313172016867E-4</c:v>
                </c:pt>
                <c:pt idx="36">
                  <c:v>0</c:v>
                </c:pt>
                <c:pt idx="37">
                  <c:v>1.648766731029229E-4</c:v>
                </c:pt>
                <c:pt idx="38">
                  <c:v>9.6416415419641171E-4</c:v>
                </c:pt>
                <c:pt idx="39">
                  <c:v>1.4299693205245885E-3</c:v>
                </c:pt>
                <c:pt idx="40">
                  <c:v>0</c:v>
                </c:pt>
                <c:pt idx="41">
                  <c:v>0</c:v>
                </c:pt>
                <c:pt idx="42">
                  <c:v>2.5499406287262619E-4</c:v>
                </c:pt>
                <c:pt idx="43">
                  <c:v>6.3858571714947836E-4</c:v>
                </c:pt>
                <c:pt idx="44">
                  <c:v>3.117797563518088E-4</c:v>
                </c:pt>
                <c:pt idx="45">
                  <c:v>2.766257567489554E-4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4.4607575561073375E-4</c:v>
                </c:pt>
                <c:pt idx="53">
                  <c:v>3.6944361598241738E-6</c:v>
                </c:pt>
                <c:pt idx="54">
                  <c:v>0</c:v>
                </c:pt>
                <c:pt idx="55">
                  <c:v>0</c:v>
                </c:pt>
                <c:pt idx="56">
                  <c:v>1.9945983993852241E-4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0.15390353308081317</c:v>
                </c:pt>
                <c:pt idx="1">
                  <c:v>0.14102457333375451</c:v>
                </c:pt>
                <c:pt idx="2">
                  <c:v>8.783954534881383E-2</c:v>
                </c:pt>
                <c:pt idx="3">
                  <c:v>5.5526918095588171E-2</c:v>
                </c:pt>
                <c:pt idx="4">
                  <c:v>0.16413476421718268</c:v>
                </c:pt>
                <c:pt idx="5">
                  <c:v>7.6322500236917154E-2</c:v>
                </c:pt>
                <c:pt idx="6">
                  <c:v>7.532888407715746E-2</c:v>
                </c:pt>
                <c:pt idx="7">
                  <c:v>3.9975102161545907E-2</c:v>
                </c:pt>
                <c:pt idx="8">
                  <c:v>3.797494708850363E-2</c:v>
                </c:pt>
                <c:pt idx="9">
                  <c:v>1.8030112887431331E-2</c:v>
                </c:pt>
                <c:pt idx="10">
                  <c:v>1.7206646315722971E-2</c:v>
                </c:pt>
                <c:pt idx="11">
                  <c:v>1.8406308601097574E-2</c:v>
                </c:pt>
                <c:pt idx="12">
                  <c:v>1.3689503565244111E-2</c:v>
                </c:pt>
                <c:pt idx="13">
                  <c:v>1.3123056202490933E-2</c:v>
                </c:pt>
                <c:pt idx="14">
                  <c:v>1.0283640081212327E-2</c:v>
                </c:pt>
                <c:pt idx="15">
                  <c:v>1.0459533115273834E-2</c:v>
                </c:pt>
                <c:pt idx="16">
                  <c:v>1.1650580231633177E-2</c:v>
                </c:pt>
                <c:pt idx="17">
                  <c:v>7.0443365314755198E-3</c:v>
                </c:pt>
                <c:pt idx="18">
                  <c:v>5.7520611791869007E-3</c:v>
                </c:pt>
                <c:pt idx="19">
                  <c:v>4.703164351579304E-3</c:v>
                </c:pt>
                <c:pt idx="20">
                  <c:v>4.8733139396306387E-3</c:v>
                </c:pt>
                <c:pt idx="21">
                  <c:v>3.8143660815052422E-3</c:v>
                </c:pt>
                <c:pt idx="22">
                  <c:v>3.1237166987821024E-3</c:v>
                </c:pt>
                <c:pt idx="23">
                  <c:v>3.1201270450257452E-3</c:v>
                </c:pt>
                <c:pt idx="24">
                  <c:v>2.6125500038768259E-3</c:v>
                </c:pt>
                <c:pt idx="25">
                  <c:v>3.0440263853909709E-3</c:v>
                </c:pt>
                <c:pt idx="26">
                  <c:v>2.4983990144246647E-3</c:v>
                </c:pt>
                <c:pt idx="27">
                  <c:v>1.9577971587172588E-3</c:v>
                </c:pt>
                <c:pt idx="28">
                  <c:v>1.5112442314264135E-3</c:v>
                </c:pt>
                <c:pt idx="29">
                  <c:v>1.9211826904024145E-3</c:v>
                </c:pt>
                <c:pt idx="30">
                  <c:v>1.2463277842072464E-3</c:v>
                </c:pt>
                <c:pt idx="31">
                  <c:v>1.124279556491099E-3</c:v>
                </c:pt>
                <c:pt idx="32">
                  <c:v>7.8613417264224367E-4</c:v>
                </c:pt>
                <c:pt idx="33">
                  <c:v>7.365969508045132E-4</c:v>
                </c:pt>
                <c:pt idx="34">
                  <c:v>6.4398388389049551E-4</c:v>
                </c:pt>
                <c:pt idx="35">
                  <c:v>5.3055082518960552E-4</c:v>
                </c:pt>
                <c:pt idx="36">
                  <c:v>7.1505902826636959E-4</c:v>
                </c:pt>
                <c:pt idx="37">
                  <c:v>4.9680807987984715E-4</c:v>
                </c:pt>
                <c:pt idx="38">
                  <c:v>4.4368120428575939E-4</c:v>
                </c:pt>
                <c:pt idx="39">
                  <c:v>3.8696467493531446E-4</c:v>
                </c:pt>
                <c:pt idx="40">
                  <c:v>2.8860816201112504E-4</c:v>
                </c:pt>
                <c:pt idx="41">
                  <c:v>2.5558334745263809E-4</c:v>
                </c:pt>
                <c:pt idx="42">
                  <c:v>1.7014958805133492E-4</c:v>
                </c:pt>
                <c:pt idx="43">
                  <c:v>1.7373924180769221E-4</c:v>
                </c:pt>
                <c:pt idx="44">
                  <c:v>1.3138132748267633E-4</c:v>
                </c:pt>
                <c:pt idx="45">
                  <c:v>1.5148338851827709E-4</c:v>
                </c:pt>
                <c:pt idx="46">
                  <c:v>1.1845857395979013E-4</c:v>
                </c:pt>
                <c:pt idx="47">
                  <c:v>1.1630478170597576E-4</c:v>
                </c:pt>
                <c:pt idx="48">
                  <c:v>1.0338202818308958E-4</c:v>
                </c:pt>
                <c:pt idx="49">
                  <c:v>7.4664798132231355E-5</c:v>
                </c:pt>
                <c:pt idx="50">
                  <c:v>8.9741343908931925E-5</c:v>
                </c:pt>
                <c:pt idx="51">
                  <c:v>4.953722183773042E-5</c:v>
                </c:pt>
                <c:pt idx="52">
                  <c:v>4.3793775827558778E-5</c:v>
                </c:pt>
                <c:pt idx="53">
                  <c:v>3.0871022304672577E-5</c:v>
                </c:pt>
                <c:pt idx="54">
                  <c:v>4.3075845076287319E-5</c:v>
                </c:pt>
                <c:pt idx="55">
                  <c:v>3.0153091553401126E-5</c:v>
                </c:pt>
                <c:pt idx="56">
                  <c:v>2.5845507045772394E-5</c:v>
                </c:pt>
                <c:pt idx="57">
                  <c:v>1.9384130284329294E-5</c:v>
                </c:pt>
                <c:pt idx="58">
                  <c:v>1.5794476527972018E-5</c:v>
                </c:pt>
                <c:pt idx="59">
                  <c:v>2.0819991786872204E-5</c:v>
                </c:pt>
                <c:pt idx="60">
                  <c:v>1.2204822771614742E-5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544"/>
        <c:axId val="128027640"/>
      </c:lineChart>
      <c:catAx>
        <c:axId val="128022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7640"/>
        <c:crosses val="autoZero"/>
        <c:auto val="1"/>
        <c:lblAlgn val="ctr"/>
        <c:lblOffset val="100"/>
        <c:tickLblSkip val="10"/>
        <c:noMultiLvlLbl val="0"/>
      </c:catAx>
      <c:valAx>
        <c:axId val="128027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54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5.1645030969883401E-3</c:v>
                </c:pt>
                <c:pt idx="1">
                  <c:v>6.1512934716305197E-3</c:v>
                </c:pt>
                <c:pt idx="2">
                  <c:v>6.1599232138814693E-3</c:v>
                </c:pt>
                <c:pt idx="3">
                  <c:v>8.9576542149645434E-3</c:v>
                </c:pt>
                <c:pt idx="4">
                  <c:v>1.2637098679265307E-2</c:v>
                </c:pt>
                <c:pt idx="5">
                  <c:v>1.4072213702253828E-2</c:v>
                </c:pt>
                <c:pt idx="6">
                  <c:v>1.4396306717130568E-2</c:v>
                </c:pt>
                <c:pt idx="7">
                  <c:v>1.908532223430388E-2</c:v>
                </c:pt>
                <c:pt idx="8">
                  <c:v>1.0623944813816446E-2</c:v>
                </c:pt>
                <c:pt idx="9">
                  <c:v>2.0791191375690424E-2</c:v>
                </c:pt>
                <c:pt idx="10">
                  <c:v>1.0471630261524591E-2</c:v>
                </c:pt>
                <c:pt idx="11">
                  <c:v>1.4943443346575925E-2</c:v>
                </c:pt>
                <c:pt idx="12">
                  <c:v>2.1489871541964266E-2</c:v>
                </c:pt>
                <c:pt idx="13">
                  <c:v>1.2274959959544607E-2</c:v>
                </c:pt>
                <c:pt idx="14">
                  <c:v>1.5914639550305025E-2</c:v>
                </c:pt>
                <c:pt idx="15">
                  <c:v>9.1979157512538951E-3</c:v>
                </c:pt>
                <c:pt idx="16">
                  <c:v>4.309808516079916E-2</c:v>
                </c:pt>
                <c:pt idx="17">
                  <c:v>1.6604835931584339E-2</c:v>
                </c:pt>
                <c:pt idx="18">
                  <c:v>8.3280003089701821E-2</c:v>
                </c:pt>
                <c:pt idx="19">
                  <c:v>3.3432086276516983E-2</c:v>
                </c:pt>
                <c:pt idx="20">
                  <c:v>5.6313133079049997E-2</c:v>
                </c:pt>
                <c:pt idx="21">
                  <c:v>5.7880051313527657E-2</c:v>
                </c:pt>
                <c:pt idx="22">
                  <c:v>4.2702172456846703E-2</c:v>
                </c:pt>
                <c:pt idx="23">
                  <c:v>2.4401217588933103E-2</c:v>
                </c:pt>
                <c:pt idx="24">
                  <c:v>3.9747039382930782E-2</c:v>
                </c:pt>
                <c:pt idx="25">
                  <c:v>4.0006255230759923E-2</c:v>
                </c:pt>
                <c:pt idx="26">
                  <c:v>5.4729637009397973E-2</c:v>
                </c:pt>
                <c:pt idx="27">
                  <c:v>1.2321045521130376E-2</c:v>
                </c:pt>
                <c:pt idx="28">
                  <c:v>2.9414536389487336E-2</c:v>
                </c:pt>
                <c:pt idx="29">
                  <c:v>2.8277627720174611E-2</c:v>
                </c:pt>
                <c:pt idx="30">
                  <c:v>1.0756295208275443E-2</c:v>
                </c:pt>
                <c:pt idx="31">
                  <c:v>1.2670117208746509E-2</c:v>
                </c:pt>
                <c:pt idx="32">
                  <c:v>9.3843474123203631E-3</c:v>
                </c:pt>
                <c:pt idx="33">
                  <c:v>9.5293851576014436E-3</c:v>
                </c:pt>
                <c:pt idx="34">
                  <c:v>1.8923966884096578E-2</c:v>
                </c:pt>
                <c:pt idx="35">
                  <c:v>4.5801693702826511E-3</c:v>
                </c:pt>
                <c:pt idx="36">
                  <c:v>7.1096586836436439E-3</c:v>
                </c:pt>
                <c:pt idx="37">
                  <c:v>1.0790483960131091E-2</c:v>
                </c:pt>
                <c:pt idx="38">
                  <c:v>8.4641644005295329E-3</c:v>
                </c:pt>
                <c:pt idx="39">
                  <c:v>6.4487685130528768E-3</c:v>
                </c:pt>
                <c:pt idx="40">
                  <c:v>3.1879036347039745E-3</c:v>
                </c:pt>
                <c:pt idx="41">
                  <c:v>4.1418197264450731E-3</c:v>
                </c:pt>
                <c:pt idx="42">
                  <c:v>3.3451985397053761E-3</c:v>
                </c:pt>
                <c:pt idx="43">
                  <c:v>1.587674726566817E-3</c:v>
                </c:pt>
                <c:pt idx="44">
                  <c:v>4.556915391801938E-3</c:v>
                </c:pt>
                <c:pt idx="45">
                  <c:v>4.8901550131140357E-2</c:v>
                </c:pt>
                <c:pt idx="46">
                  <c:v>4.2009790072001282E-3</c:v>
                </c:pt>
                <c:pt idx="47">
                  <c:v>8.6818041271543981E-4</c:v>
                </c:pt>
                <c:pt idx="48">
                  <c:v>6.2866263164710065E-3</c:v>
                </c:pt>
                <c:pt idx="49">
                  <c:v>2.3801045978379199E-3</c:v>
                </c:pt>
                <c:pt idx="50">
                  <c:v>2.6119479031090485E-4</c:v>
                </c:pt>
                <c:pt idx="51">
                  <c:v>2.4518255475528073E-3</c:v>
                </c:pt>
                <c:pt idx="52">
                  <c:v>7.3852144461299173E-4</c:v>
                </c:pt>
                <c:pt idx="53">
                  <c:v>1.0671982268045308E-3</c:v>
                </c:pt>
                <c:pt idx="54">
                  <c:v>9.7973341398017153E-4</c:v>
                </c:pt>
                <c:pt idx="55">
                  <c:v>1.8123722670677458E-3</c:v>
                </c:pt>
                <c:pt idx="56">
                  <c:v>5.5390061442666733E-5</c:v>
                </c:pt>
                <c:pt idx="57">
                  <c:v>4.6899183107104257E-3</c:v>
                </c:pt>
                <c:pt idx="58">
                  <c:v>1.3518909812850251E-3</c:v>
                </c:pt>
                <c:pt idx="59">
                  <c:v>8.4832267277625841E-4</c:v>
                </c:pt>
                <c:pt idx="60">
                  <c:v>1.4147514805686529E-3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4.8532118785950384E-3</c:v>
                </c:pt>
                <c:pt idx="1">
                  <c:v>2.2534410420908441E-2</c:v>
                </c:pt>
                <c:pt idx="2">
                  <c:v>2.9964993696568003E-2</c:v>
                </c:pt>
                <c:pt idx="3">
                  <c:v>3.5824026557694351E-2</c:v>
                </c:pt>
                <c:pt idx="4">
                  <c:v>3.7749516832604392E-2</c:v>
                </c:pt>
                <c:pt idx="5">
                  <c:v>3.7273528744511418E-2</c:v>
                </c:pt>
                <c:pt idx="6">
                  <c:v>3.583982103422232E-2</c:v>
                </c:pt>
                <c:pt idx="7">
                  <c:v>3.4361601617354395E-2</c:v>
                </c:pt>
                <c:pt idx="8">
                  <c:v>3.1359215215537167E-2</c:v>
                </c:pt>
                <c:pt idx="9">
                  <c:v>2.8305137799628399E-2</c:v>
                </c:pt>
                <c:pt idx="10">
                  <c:v>2.5245316937709456E-2</c:v>
                </c:pt>
                <c:pt idx="11">
                  <c:v>2.2057704402064195E-2</c:v>
                </c:pt>
                <c:pt idx="12">
                  <c:v>1.9937654893559587E-2</c:v>
                </c:pt>
                <c:pt idx="13">
                  <c:v>1.7691967503582474E-2</c:v>
                </c:pt>
                <c:pt idx="14">
                  <c:v>1.5754990336652088E-2</c:v>
                </c:pt>
                <c:pt idx="15">
                  <c:v>1.5313462924620143E-2</c:v>
                </c:pt>
                <c:pt idx="16">
                  <c:v>1.3448278832816902E-2</c:v>
                </c:pt>
                <c:pt idx="17">
                  <c:v>1.2670759829189915E-2</c:v>
                </c:pt>
                <c:pt idx="18">
                  <c:v>0.11169566628281302</c:v>
                </c:pt>
                <c:pt idx="19">
                  <c:v>3.641990908124966E-2</c:v>
                </c:pt>
                <c:pt idx="20">
                  <c:v>3.6324424291330558E-2</c:v>
                </c:pt>
                <c:pt idx="21">
                  <c:v>4.0873951462137771E-2</c:v>
                </c:pt>
                <c:pt idx="22">
                  <c:v>3.8844361228293364E-2</c:v>
                </c:pt>
                <c:pt idx="23">
                  <c:v>3.3316294443503154E-2</c:v>
                </c:pt>
                <c:pt idx="24">
                  <c:v>2.1177521301005389E-2</c:v>
                </c:pt>
                <c:pt idx="25">
                  <c:v>2.1569511491199605E-2</c:v>
                </c:pt>
                <c:pt idx="26">
                  <c:v>1.7982729457847412E-2</c:v>
                </c:pt>
                <c:pt idx="27">
                  <c:v>1.5572635925829139E-2</c:v>
                </c:pt>
                <c:pt idx="28">
                  <c:v>1.9136444175140644E-2</c:v>
                </c:pt>
                <c:pt idx="29">
                  <c:v>1.588349994112968E-2</c:v>
                </c:pt>
                <c:pt idx="30">
                  <c:v>1.1891087033309116E-2</c:v>
                </c:pt>
                <c:pt idx="31">
                  <c:v>9.3546376890670628E-3</c:v>
                </c:pt>
                <c:pt idx="32">
                  <c:v>1.1267205210454221E-2</c:v>
                </c:pt>
                <c:pt idx="33">
                  <c:v>1.2239283447675772E-2</c:v>
                </c:pt>
                <c:pt idx="34">
                  <c:v>1.3053416919617601E-2</c:v>
                </c:pt>
                <c:pt idx="35">
                  <c:v>7.6710900773355002E-3</c:v>
                </c:pt>
                <c:pt idx="36">
                  <c:v>5.0750524807379183E-3</c:v>
                </c:pt>
                <c:pt idx="37">
                  <c:v>6.2093830677468174E-3</c:v>
                </c:pt>
                <c:pt idx="38">
                  <c:v>5.6386281204860106E-3</c:v>
                </c:pt>
                <c:pt idx="39">
                  <c:v>6.2467154668129328E-3</c:v>
                </c:pt>
                <c:pt idx="40">
                  <c:v>5.1052055722913192E-3</c:v>
                </c:pt>
                <c:pt idx="41">
                  <c:v>4.24225280926303E-3</c:v>
                </c:pt>
                <c:pt idx="42">
                  <c:v>3.9199019019421459E-3</c:v>
                </c:pt>
                <c:pt idx="43">
                  <c:v>3.3089428326101376E-3</c:v>
                </c:pt>
                <c:pt idx="44">
                  <c:v>3.3749924617271117E-3</c:v>
                </c:pt>
                <c:pt idx="45">
                  <c:v>3.4984765509458019E-3</c:v>
                </c:pt>
                <c:pt idx="46">
                  <c:v>2.4301955930538764E-3</c:v>
                </c:pt>
                <c:pt idx="47">
                  <c:v>3.6284220169259356E-3</c:v>
                </c:pt>
                <c:pt idx="48">
                  <c:v>3.2019711506706908E-3</c:v>
                </c:pt>
                <c:pt idx="49">
                  <c:v>2.0633329791541629E-3</c:v>
                </c:pt>
                <c:pt idx="50">
                  <c:v>2.0762557326770487E-3</c:v>
                </c:pt>
                <c:pt idx="51">
                  <c:v>3.1847408126401758E-3</c:v>
                </c:pt>
                <c:pt idx="52">
                  <c:v>1.5169876774365851E-3</c:v>
                </c:pt>
                <c:pt idx="53">
                  <c:v>1.5191414696903995E-3</c:v>
                </c:pt>
                <c:pt idx="54">
                  <c:v>1.1249974872423706E-3</c:v>
                </c:pt>
                <c:pt idx="55">
                  <c:v>1.0575119966228538E-3</c:v>
                </c:pt>
                <c:pt idx="56">
                  <c:v>9.5412996843976421E-4</c:v>
                </c:pt>
                <c:pt idx="57">
                  <c:v>1.0295126973232671E-3</c:v>
                </c:pt>
                <c:pt idx="58">
                  <c:v>1.1415098945216141E-3</c:v>
                </c:pt>
                <c:pt idx="59">
                  <c:v>7.9618520316004394E-4</c:v>
                </c:pt>
                <c:pt idx="60">
                  <c:v>9.0243895434821936E-4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6072"/>
        <c:axId val="128023328"/>
      </c:lineChart>
      <c:catAx>
        <c:axId val="128026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3328"/>
        <c:crosses val="autoZero"/>
        <c:auto val="1"/>
        <c:lblAlgn val="ctr"/>
        <c:lblOffset val="100"/>
        <c:tickLblSkip val="10"/>
        <c:noMultiLvlLbl val="0"/>
      </c:catAx>
      <c:valAx>
        <c:axId val="12802332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6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4.6236776287227423E-2</c:v>
                </c:pt>
                <c:pt idx="1">
                  <c:v>5.5250373803324829E-2</c:v>
                </c:pt>
                <c:pt idx="2">
                  <c:v>5.4676008544177361E-2</c:v>
                </c:pt>
                <c:pt idx="3">
                  <c:v>0.10375520218227008</c:v>
                </c:pt>
                <c:pt idx="4">
                  <c:v>0.16719262715896963</c:v>
                </c:pt>
                <c:pt idx="5">
                  <c:v>0.11247916584262117</c:v>
                </c:pt>
                <c:pt idx="6">
                  <c:v>0.10637190774336562</c:v>
                </c:pt>
                <c:pt idx="7">
                  <c:v>5.2288370337056474E-2</c:v>
                </c:pt>
                <c:pt idx="8">
                  <c:v>4.4333120987080712E-2</c:v>
                </c:pt>
                <c:pt idx="9">
                  <c:v>3.4065074345841204E-2</c:v>
                </c:pt>
                <c:pt idx="10">
                  <c:v>6.4809027817503001E-2</c:v>
                </c:pt>
                <c:pt idx="11">
                  <c:v>1.9865062069024664E-2</c:v>
                </c:pt>
                <c:pt idx="12">
                  <c:v>1.7768425516007387E-2</c:v>
                </c:pt>
                <c:pt idx="13">
                  <c:v>9.7992022281244012E-3</c:v>
                </c:pt>
                <c:pt idx="14">
                  <c:v>1.0027525123324804E-2</c:v>
                </c:pt>
                <c:pt idx="15">
                  <c:v>9.5597876220541011E-3</c:v>
                </c:pt>
                <c:pt idx="16">
                  <c:v>1.676873476910256E-2</c:v>
                </c:pt>
                <c:pt idx="17">
                  <c:v>7.719047744009974E-3</c:v>
                </c:pt>
                <c:pt idx="18">
                  <c:v>7.9193555086085887E-3</c:v>
                </c:pt>
                <c:pt idx="19">
                  <c:v>1.0177924592792873E-2</c:v>
                </c:pt>
                <c:pt idx="20">
                  <c:v>4.810063850485451E-3</c:v>
                </c:pt>
                <c:pt idx="21">
                  <c:v>5.0168059821366524E-3</c:v>
                </c:pt>
                <c:pt idx="22">
                  <c:v>6.9866698410087948E-3</c:v>
                </c:pt>
                <c:pt idx="23">
                  <c:v>7.8409471073127499E-3</c:v>
                </c:pt>
                <c:pt idx="24">
                  <c:v>5.843594384326616E-4</c:v>
                </c:pt>
                <c:pt idx="25">
                  <c:v>9.4437427219455487E-4</c:v>
                </c:pt>
                <c:pt idx="26">
                  <c:v>7.5274374559130793E-4</c:v>
                </c:pt>
                <c:pt idx="27">
                  <c:v>1.3154828742594183E-3</c:v>
                </c:pt>
                <c:pt idx="28">
                  <c:v>1.8273382394998537E-3</c:v>
                </c:pt>
                <c:pt idx="29">
                  <c:v>5.7160245319095053E-4</c:v>
                </c:pt>
                <c:pt idx="30">
                  <c:v>8.638885626260852E-4</c:v>
                </c:pt>
                <c:pt idx="31">
                  <c:v>1.4660043288270705E-3</c:v>
                </c:pt>
                <c:pt idx="32">
                  <c:v>5.5446143996892719E-4</c:v>
                </c:pt>
                <c:pt idx="33">
                  <c:v>1.0555975859775479E-3</c:v>
                </c:pt>
                <c:pt idx="34">
                  <c:v>7.8911416509754712E-4</c:v>
                </c:pt>
                <c:pt idx="35">
                  <c:v>8.1596731247037218E-4</c:v>
                </c:pt>
                <c:pt idx="36">
                  <c:v>5.9099308238915252E-4</c:v>
                </c:pt>
                <c:pt idx="37">
                  <c:v>3.1086440969103018E-4</c:v>
                </c:pt>
                <c:pt idx="38">
                  <c:v>2.5015606542897654E-6</c:v>
                </c:pt>
                <c:pt idx="39">
                  <c:v>2.1566497253746605E-4</c:v>
                </c:pt>
                <c:pt idx="40">
                  <c:v>1.1050656854427181E-3</c:v>
                </c:pt>
                <c:pt idx="41">
                  <c:v>1.3455651905487605E-3</c:v>
                </c:pt>
                <c:pt idx="42">
                  <c:v>0</c:v>
                </c:pt>
                <c:pt idx="43">
                  <c:v>7.8192604757303344E-5</c:v>
                </c:pt>
                <c:pt idx="44">
                  <c:v>6.1284429473405712E-4</c:v>
                </c:pt>
                <c:pt idx="45">
                  <c:v>0</c:v>
                </c:pt>
                <c:pt idx="46">
                  <c:v>8.3422744392536228E-4</c:v>
                </c:pt>
                <c:pt idx="47">
                  <c:v>2.8040254591594309E-3</c:v>
                </c:pt>
                <c:pt idx="48">
                  <c:v>1.1647348669123168E-4</c:v>
                </c:pt>
                <c:pt idx="49">
                  <c:v>2.2153250016249796E-4</c:v>
                </c:pt>
                <c:pt idx="50">
                  <c:v>2.4742904908839076E-4</c:v>
                </c:pt>
                <c:pt idx="51">
                  <c:v>5.1582922070878976E-5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4.1805770107798695E-4</c:v>
                </c:pt>
                <c:pt idx="57">
                  <c:v>3.5663458588991079E-4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0.18432582712134049</c:v>
                </c:pt>
                <c:pt idx="1">
                  <c:v>0.13692812743718696</c:v>
                </c:pt>
                <c:pt idx="2">
                  <c:v>8.3031607966897014E-2</c:v>
                </c:pt>
                <c:pt idx="3">
                  <c:v>5.0728208795508191E-2</c:v>
                </c:pt>
                <c:pt idx="4">
                  <c:v>0.14980295221882797</c:v>
                </c:pt>
                <c:pt idx="5">
                  <c:v>7.5888658287277783E-2</c:v>
                </c:pt>
                <c:pt idx="6">
                  <c:v>7.2969604634833277E-2</c:v>
                </c:pt>
                <c:pt idx="7">
                  <c:v>4.1821804548292901E-2</c:v>
                </c:pt>
                <c:pt idx="8">
                  <c:v>4.0684860874679686E-2</c:v>
                </c:pt>
                <c:pt idx="9">
                  <c:v>2.0054048871995377E-2</c:v>
                </c:pt>
                <c:pt idx="10">
                  <c:v>1.7753214819651402E-2</c:v>
                </c:pt>
                <c:pt idx="11">
                  <c:v>1.8705158998515339E-2</c:v>
                </c:pt>
                <c:pt idx="12">
                  <c:v>1.3909681899328147E-2</c:v>
                </c:pt>
                <c:pt idx="13">
                  <c:v>1.3759402197711084E-2</c:v>
                </c:pt>
                <c:pt idx="14">
                  <c:v>1.0712351695958253E-2</c:v>
                </c:pt>
                <c:pt idx="15">
                  <c:v>1.0468794938165086E-2</c:v>
                </c:pt>
                <c:pt idx="16">
                  <c:v>1.0720124783972929E-2</c:v>
                </c:pt>
                <c:pt idx="17">
                  <c:v>6.4863828453129574E-3</c:v>
                </c:pt>
                <c:pt idx="18">
                  <c:v>5.6474075455956391E-3</c:v>
                </c:pt>
                <c:pt idx="19">
                  <c:v>4.5876765462615331E-3</c:v>
                </c:pt>
                <c:pt idx="20">
                  <c:v>4.3213187302919833E-3</c:v>
                </c:pt>
                <c:pt idx="21">
                  <c:v>3.4258589910013551E-3</c:v>
                </c:pt>
                <c:pt idx="22">
                  <c:v>2.8879613003858044E-3</c:v>
                </c:pt>
                <c:pt idx="23">
                  <c:v>2.7340541576952276E-3</c:v>
                </c:pt>
                <c:pt idx="24">
                  <c:v>2.3345174337409021E-3</c:v>
                </c:pt>
                <c:pt idx="25">
                  <c:v>2.4542229891669062E-3</c:v>
                </c:pt>
                <c:pt idx="26">
                  <c:v>1.9826556496099204E-3</c:v>
                </c:pt>
                <c:pt idx="27">
                  <c:v>1.6209479539936831E-3</c:v>
                </c:pt>
                <c:pt idx="28">
                  <c:v>1.1488624085690521E-3</c:v>
                </c:pt>
                <c:pt idx="29">
                  <c:v>1.4188476656121177E-3</c:v>
                </c:pt>
                <c:pt idx="30">
                  <c:v>9.4779853192277701E-4</c:v>
                </c:pt>
                <c:pt idx="31">
                  <c:v>8.4674838773199433E-4</c:v>
                </c:pt>
                <c:pt idx="32">
                  <c:v>6.9646868611493288E-4</c:v>
                </c:pt>
                <c:pt idx="33">
                  <c:v>5.2390613218913473E-4</c:v>
                </c:pt>
                <c:pt idx="34">
                  <c:v>4.7623119236579118E-4</c:v>
                </c:pt>
                <c:pt idx="35">
                  <c:v>3.8450875379261918E-4</c:v>
                </c:pt>
                <c:pt idx="36">
                  <c:v>5.3219742607145545E-4</c:v>
                </c:pt>
                <c:pt idx="37">
                  <c:v>3.2491507901343967E-4</c:v>
                </c:pt>
                <c:pt idx="38">
                  <c:v>3.7103540123384815E-4</c:v>
                </c:pt>
                <c:pt idx="39">
                  <c:v>2.611757572930998E-4</c:v>
                </c:pt>
                <c:pt idx="40">
                  <c:v>2.0987337639624093E-4</c:v>
                </c:pt>
                <c:pt idx="41">
                  <c:v>1.8137205367576377E-4</c:v>
                </c:pt>
                <c:pt idx="42">
                  <c:v>1.3266070211713008E-4</c:v>
                </c:pt>
                <c:pt idx="43">
                  <c:v>1.1659632022013385E-4</c:v>
                </c:pt>
                <c:pt idx="44">
                  <c:v>9.586808551433228E-5</c:v>
                </c:pt>
                <c:pt idx="45">
                  <c:v>8.2912938823206291E-5</c:v>
                </c:pt>
                <c:pt idx="46">
                  <c:v>9.3795262043752127E-5</c:v>
                </c:pt>
                <c:pt idx="47">
                  <c:v>7.7212674279110864E-5</c:v>
                </c:pt>
                <c:pt idx="48">
                  <c:v>5.1302380896858892E-5</c:v>
                </c:pt>
                <c:pt idx="49">
                  <c:v>5.6484439573309288E-5</c:v>
                </c:pt>
                <c:pt idx="50">
                  <c:v>3.8347234205732909E-5</c:v>
                </c:pt>
                <c:pt idx="51">
                  <c:v>3.2646969661637475E-5</c:v>
                </c:pt>
                <c:pt idx="52">
                  <c:v>1.9691822970511496E-5</c:v>
                </c:pt>
                <c:pt idx="53">
                  <c:v>1.7100793632286298E-5</c:v>
                </c:pt>
                <c:pt idx="54">
                  <c:v>1.7100793632286298E-5</c:v>
                </c:pt>
                <c:pt idx="55">
                  <c:v>1.7618999499931337E-5</c:v>
                </c:pt>
                <c:pt idx="56">
                  <c:v>1.1400529088190866E-5</c:v>
                </c:pt>
                <c:pt idx="57">
                  <c:v>9.8459114852557481E-6</c:v>
                </c:pt>
                <c:pt idx="58">
                  <c:v>1.0364117352900786E-5</c:v>
                </c:pt>
                <c:pt idx="59">
                  <c:v>8.8094997499656683E-6</c:v>
                </c:pt>
                <c:pt idx="60">
                  <c:v>1.0364117352900786E-5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4896"/>
        <c:axId val="128026464"/>
      </c:lineChart>
      <c:catAx>
        <c:axId val="12802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6464"/>
        <c:crosses val="autoZero"/>
        <c:auto val="1"/>
        <c:lblAlgn val="ctr"/>
        <c:lblOffset val="100"/>
        <c:tickLblSkip val="10"/>
        <c:noMultiLvlLbl val="0"/>
      </c:catAx>
      <c:valAx>
        <c:axId val="1280264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2.8933720157589254E-3</c:v>
                </c:pt>
                <c:pt idx="2">
                  <c:v>3.4795066537710953E-3</c:v>
                </c:pt>
                <c:pt idx="3">
                  <c:v>7.6095222191293133E-3</c:v>
                </c:pt>
                <c:pt idx="4">
                  <c:v>7.5149476247249334E-3</c:v>
                </c:pt>
                <c:pt idx="5">
                  <c:v>1.8764804394540573E-2</c:v>
                </c:pt>
                <c:pt idx="6">
                  <c:v>1.5462678678827998E-2</c:v>
                </c:pt>
                <c:pt idx="7">
                  <c:v>1.4350377164324468E-2</c:v>
                </c:pt>
                <c:pt idx="8">
                  <c:v>8.9998730959956977E-3</c:v>
                </c:pt>
                <c:pt idx="9">
                  <c:v>1.4539372732777448E-2</c:v>
                </c:pt>
                <c:pt idx="10">
                  <c:v>7.072178165728818E-3</c:v>
                </c:pt>
                <c:pt idx="11">
                  <c:v>1.6701373641807567E-2</c:v>
                </c:pt>
                <c:pt idx="12">
                  <c:v>1.1070971096952426E-2</c:v>
                </c:pt>
                <c:pt idx="13">
                  <c:v>2.2485768677039667E-2</c:v>
                </c:pt>
                <c:pt idx="14">
                  <c:v>1.6325877670931199E-2</c:v>
                </c:pt>
                <c:pt idx="15">
                  <c:v>9.7475462501301052E-3</c:v>
                </c:pt>
                <c:pt idx="16">
                  <c:v>3.9666973529359328E-2</c:v>
                </c:pt>
                <c:pt idx="17">
                  <c:v>2.5362533890850938E-2</c:v>
                </c:pt>
                <c:pt idx="18">
                  <c:v>6.1678818505154685E-2</c:v>
                </c:pt>
                <c:pt idx="19">
                  <c:v>4.5446814365543424E-2</c:v>
                </c:pt>
                <c:pt idx="20">
                  <c:v>6.1393222011641824E-2</c:v>
                </c:pt>
                <c:pt idx="21">
                  <c:v>6.3266255877520952E-2</c:v>
                </c:pt>
                <c:pt idx="22">
                  <c:v>3.6770334226551751E-2</c:v>
                </c:pt>
                <c:pt idx="23">
                  <c:v>2.754551980728601E-2</c:v>
                </c:pt>
                <c:pt idx="24">
                  <c:v>4.381531254847975E-2</c:v>
                </c:pt>
                <c:pt idx="25">
                  <c:v>1.9479266874167345E-2</c:v>
                </c:pt>
                <c:pt idx="26">
                  <c:v>6.1202465064054655E-2</c:v>
                </c:pt>
                <c:pt idx="27">
                  <c:v>1.3086557031743617E-2</c:v>
                </c:pt>
                <c:pt idx="28">
                  <c:v>1.8462286928969847E-2</c:v>
                </c:pt>
                <c:pt idx="29">
                  <c:v>1.8183095976323154E-2</c:v>
                </c:pt>
                <c:pt idx="30">
                  <c:v>6.8204279497087253E-3</c:v>
                </c:pt>
                <c:pt idx="31">
                  <c:v>1.366257793300696E-2</c:v>
                </c:pt>
                <c:pt idx="32">
                  <c:v>8.0993101653116101E-3</c:v>
                </c:pt>
                <c:pt idx="33">
                  <c:v>1.5001690132754824E-2</c:v>
                </c:pt>
                <c:pt idx="34">
                  <c:v>2.0537579518927478E-2</c:v>
                </c:pt>
                <c:pt idx="35">
                  <c:v>1.3589959456011389E-2</c:v>
                </c:pt>
                <c:pt idx="36">
                  <c:v>6.356419636551299E-3</c:v>
                </c:pt>
                <c:pt idx="37">
                  <c:v>1.3471190402816528E-2</c:v>
                </c:pt>
                <c:pt idx="38">
                  <c:v>1.2081172076688984E-2</c:v>
                </c:pt>
                <c:pt idx="39">
                  <c:v>5.6186942476181686E-3</c:v>
                </c:pt>
                <c:pt idx="40">
                  <c:v>9.6391589117468448E-3</c:v>
                </c:pt>
                <c:pt idx="41">
                  <c:v>9.6491634720670127E-3</c:v>
                </c:pt>
                <c:pt idx="42">
                  <c:v>2.7075393227497897E-3</c:v>
                </c:pt>
                <c:pt idx="43">
                  <c:v>2.4621368015688896E-3</c:v>
                </c:pt>
                <c:pt idx="44">
                  <c:v>3.0364921776072666E-3</c:v>
                </c:pt>
                <c:pt idx="45">
                  <c:v>5.3198214529758488E-2</c:v>
                </c:pt>
                <c:pt idx="46">
                  <c:v>3.5657827547294946E-3</c:v>
                </c:pt>
                <c:pt idx="47">
                  <c:v>2.7591273444230124E-3</c:v>
                </c:pt>
                <c:pt idx="48">
                  <c:v>6.0076489034505771E-4</c:v>
                </c:pt>
                <c:pt idx="49">
                  <c:v>1.7309595829634609E-3</c:v>
                </c:pt>
                <c:pt idx="50">
                  <c:v>1.523978981023303E-3</c:v>
                </c:pt>
                <c:pt idx="51">
                  <c:v>7.6373747073917649E-4</c:v>
                </c:pt>
                <c:pt idx="52">
                  <c:v>9.260706199473881E-4</c:v>
                </c:pt>
                <c:pt idx="53">
                  <c:v>1.9454162142719632E-3</c:v>
                </c:pt>
                <c:pt idx="54">
                  <c:v>3.657664843737096E-3</c:v>
                </c:pt>
                <c:pt idx="55">
                  <c:v>0</c:v>
                </c:pt>
                <c:pt idx="56">
                  <c:v>1.0391057027146218E-3</c:v>
                </c:pt>
                <c:pt idx="57">
                  <c:v>8.4804016581307388E-4</c:v>
                </c:pt>
                <c:pt idx="58">
                  <c:v>3.2429833554041641E-3</c:v>
                </c:pt>
                <c:pt idx="59">
                  <c:v>2.8526089276259864E-3</c:v>
                </c:pt>
                <c:pt idx="60">
                  <c:v>2.7126113779701744E-3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6.716984456415E-3</c:v>
                </c:pt>
                <c:pt idx="1">
                  <c:v>2.7076774790320952E-2</c:v>
                </c:pt>
                <c:pt idx="2">
                  <c:v>3.3862680627132741E-2</c:v>
                </c:pt>
                <c:pt idx="3">
                  <c:v>3.9281041179229273E-2</c:v>
                </c:pt>
                <c:pt idx="4">
                  <c:v>4.0350618090048633E-2</c:v>
                </c:pt>
                <c:pt idx="5">
                  <c:v>3.8333760853174144E-2</c:v>
                </c:pt>
                <c:pt idx="6">
                  <c:v>3.6269746882343946E-2</c:v>
                </c:pt>
                <c:pt idx="7">
                  <c:v>3.3867344479941545E-2</c:v>
                </c:pt>
                <c:pt idx="8">
                  <c:v>3.0805784213894655E-2</c:v>
                </c:pt>
                <c:pt idx="9">
                  <c:v>2.771727724273022E-2</c:v>
                </c:pt>
                <c:pt idx="10">
                  <c:v>2.5080127582284614E-2</c:v>
                </c:pt>
                <c:pt idx="11">
                  <c:v>2.1775528764312199E-2</c:v>
                </c:pt>
                <c:pt idx="12">
                  <c:v>1.9919833552275314E-2</c:v>
                </c:pt>
                <c:pt idx="13">
                  <c:v>1.7423635887829157E-2</c:v>
                </c:pt>
                <c:pt idx="14">
                  <c:v>1.5235252508764157E-2</c:v>
                </c:pt>
                <c:pt idx="15">
                  <c:v>1.4516500970340487E-2</c:v>
                </c:pt>
                <c:pt idx="16">
                  <c:v>1.3158283391242838E-2</c:v>
                </c:pt>
                <c:pt idx="17">
                  <c:v>1.2101661627114603E-2</c:v>
                </c:pt>
                <c:pt idx="18">
                  <c:v>0.10103978007342977</c:v>
                </c:pt>
                <c:pt idx="19">
                  <c:v>3.4957131419599066E-2</c:v>
                </c:pt>
                <c:pt idx="20">
                  <c:v>3.5032271270407596E-2</c:v>
                </c:pt>
                <c:pt idx="21">
                  <c:v>3.9939680837006115E-2</c:v>
                </c:pt>
                <c:pt idx="22">
                  <c:v>3.8629656403599458E-2</c:v>
                </c:pt>
                <c:pt idx="23">
                  <c:v>3.3653843662471788E-2</c:v>
                </c:pt>
                <c:pt idx="24">
                  <c:v>2.1687951972680187E-2</c:v>
                </c:pt>
                <c:pt idx="25">
                  <c:v>2.2164701370913621E-2</c:v>
                </c:pt>
                <c:pt idx="26">
                  <c:v>1.8070875016517812E-2</c:v>
                </c:pt>
                <c:pt idx="27">
                  <c:v>1.6490865326068086E-2</c:v>
                </c:pt>
                <c:pt idx="28">
                  <c:v>1.9905841993848896E-2</c:v>
                </c:pt>
                <c:pt idx="29">
                  <c:v>1.6259745509098398E-2</c:v>
                </c:pt>
                <c:pt idx="30">
                  <c:v>1.1883496956836043E-2</c:v>
                </c:pt>
                <c:pt idx="31">
                  <c:v>9.8599030436821635E-3</c:v>
                </c:pt>
                <c:pt idx="32">
                  <c:v>1.1112924831647868E-2</c:v>
                </c:pt>
                <c:pt idx="33">
                  <c:v>1.289918045742032E-2</c:v>
                </c:pt>
                <c:pt idx="34">
                  <c:v>1.2880525046185098E-2</c:v>
                </c:pt>
                <c:pt idx="35">
                  <c:v>8.0695017709685526E-3</c:v>
                </c:pt>
                <c:pt idx="36">
                  <c:v>5.2442433805677978E-3</c:v>
                </c:pt>
                <c:pt idx="37">
                  <c:v>6.2516355872697547E-3</c:v>
                </c:pt>
                <c:pt idx="38">
                  <c:v>5.4587806097728441E-3</c:v>
                </c:pt>
                <c:pt idx="39">
                  <c:v>5.9251658906533796E-3</c:v>
                </c:pt>
                <c:pt idx="40">
                  <c:v>4.8623256561134039E-3</c:v>
                </c:pt>
                <c:pt idx="41">
                  <c:v>3.9430284469111039E-3</c:v>
                </c:pt>
                <c:pt idx="42">
                  <c:v>3.3045988179724161E-3</c:v>
                </c:pt>
                <c:pt idx="43">
                  <c:v>3.0325407374587701E-3</c:v>
                </c:pt>
                <c:pt idx="44">
                  <c:v>3.0454958841498962E-3</c:v>
                </c:pt>
                <c:pt idx="45">
                  <c:v>3.136700116855423E-3</c:v>
                </c:pt>
                <c:pt idx="46">
                  <c:v>2.3039432875498447E-3</c:v>
                </c:pt>
                <c:pt idx="47">
                  <c:v>3.0335771491940603E-3</c:v>
                </c:pt>
                <c:pt idx="48">
                  <c:v>2.9605101218561098E-3</c:v>
                </c:pt>
                <c:pt idx="49">
                  <c:v>1.8385944184045996E-3</c:v>
                </c:pt>
                <c:pt idx="50">
                  <c:v>1.7276983627285611E-3</c:v>
                </c:pt>
                <c:pt idx="51">
                  <c:v>2.5723739269899754E-3</c:v>
                </c:pt>
                <c:pt idx="52">
                  <c:v>1.3343801091859763E-3</c:v>
                </c:pt>
                <c:pt idx="53">
                  <c:v>1.2203748183040677E-3</c:v>
                </c:pt>
                <c:pt idx="54">
                  <c:v>1.0208655592607275E-3</c:v>
                </c:pt>
                <c:pt idx="55">
                  <c:v>8.9545973929062799E-4</c:v>
                </c:pt>
                <c:pt idx="56">
                  <c:v>8.7991356326127678E-4</c:v>
                </c:pt>
                <c:pt idx="57">
                  <c:v>9.0478744490823872E-4</c:v>
                </c:pt>
                <c:pt idx="58">
                  <c:v>9.6541753142270835E-4</c:v>
                </c:pt>
                <c:pt idx="59">
                  <c:v>7.2341539123247495E-4</c:v>
                </c:pt>
                <c:pt idx="60">
                  <c:v>7.4518003767356654E-4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5680"/>
        <c:axId val="128020976"/>
      </c:lineChart>
      <c:catAx>
        <c:axId val="128025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020976"/>
        <c:crosses val="autoZero"/>
        <c:auto val="1"/>
        <c:lblAlgn val="ctr"/>
        <c:lblOffset val="100"/>
        <c:tickLblSkip val="10"/>
        <c:noMultiLvlLbl val="0"/>
      </c:catAx>
      <c:valAx>
        <c:axId val="1280209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56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5.5843831184551433E-2</c:v>
                </c:pt>
                <c:pt idx="1">
                  <c:v>6.2462572276479902E-2</c:v>
                </c:pt>
                <c:pt idx="2">
                  <c:v>6.9899523237605454E-2</c:v>
                </c:pt>
                <c:pt idx="3">
                  <c:v>0.11114010146962439</c:v>
                </c:pt>
                <c:pt idx="4">
                  <c:v>0.20382237910013989</c:v>
                </c:pt>
                <c:pt idx="5">
                  <c:v>0.11340717592690662</c:v>
                </c:pt>
                <c:pt idx="6">
                  <c:v>0.11607164937768556</c:v>
                </c:pt>
                <c:pt idx="7">
                  <c:v>5.2801367708764986E-2</c:v>
                </c:pt>
                <c:pt idx="8">
                  <c:v>4.051973667103146E-2</c:v>
                </c:pt>
                <c:pt idx="9">
                  <c:v>2.2950711339252135E-2</c:v>
                </c:pt>
                <c:pt idx="10">
                  <c:v>5.6812597017551425E-2</c:v>
                </c:pt>
                <c:pt idx="11">
                  <c:v>7.5573865957259088E-3</c:v>
                </c:pt>
                <c:pt idx="12">
                  <c:v>1.102687590890921E-2</c:v>
                </c:pt>
                <c:pt idx="13">
                  <c:v>6.9940630980751886E-3</c:v>
                </c:pt>
                <c:pt idx="14">
                  <c:v>9.5890045541807481E-3</c:v>
                </c:pt>
                <c:pt idx="15">
                  <c:v>9.008858124204806E-3</c:v>
                </c:pt>
                <c:pt idx="16">
                  <c:v>1.232955382937851E-2</c:v>
                </c:pt>
                <c:pt idx="17">
                  <c:v>4.3465495237543202E-3</c:v>
                </c:pt>
                <c:pt idx="18">
                  <c:v>4.9252410689496059E-3</c:v>
                </c:pt>
                <c:pt idx="19">
                  <c:v>2.8459160297066954E-3</c:v>
                </c:pt>
                <c:pt idx="20">
                  <c:v>3.9615823579337841E-3</c:v>
                </c:pt>
                <c:pt idx="21">
                  <c:v>1.6383971625726849E-3</c:v>
                </c:pt>
                <c:pt idx="22">
                  <c:v>2.6966692081005594E-3</c:v>
                </c:pt>
                <c:pt idx="23">
                  <c:v>1.3602373180612709E-3</c:v>
                </c:pt>
                <c:pt idx="24">
                  <c:v>1.2281179872400667E-3</c:v>
                </c:pt>
                <c:pt idx="25">
                  <c:v>2.1405507397082805E-3</c:v>
                </c:pt>
                <c:pt idx="26">
                  <c:v>1.3601822349799603E-3</c:v>
                </c:pt>
                <c:pt idx="27">
                  <c:v>8.0181218823552184E-4</c:v>
                </c:pt>
                <c:pt idx="28">
                  <c:v>3.5433606580560539E-4</c:v>
                </c:pt>
                <c:pt idx="29">
                  <c:v>2.134711774934021E-4</c:v>
                </c:pt>
                <c:pt idx="30">
                  <c:v>2.6219467130926311E-4</c:v>
                </c:pt>
                <c:pt idx="31">
                  <c:v>1.1100622944222771E-3</c:v>
                </c:pt>
                <c:pt idx="32">
                  <c:v>1.27997476059289E-3</c:v>
                </c:pt>
                <c:pt idx="33">
                  <c:v>1.3903445790619358E-4</c:v>
                </c:pt>
                <c:pt idx="34">
                  <c:v>1.2365773466281113E-4</c:v>
                </c:pt>
                <c:pt idx="35">
                  <c:v>4.9345150652888687E-4</c:v>
                </c:pt>
                <c:pt idx="36">
                  <c:v>3.136826037058863E-4</c:v>
                </c:pt>
                <c:pt idx="37">
                  <c:v>0</c:v>
                </c:pt>
                <c:pt idx="38">
                  <c:v>3.2032352671131607E-4</c:v>
                </c:pt>
                <c:pt idx="39">
                  <c:v>3.2710400076910195E-4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2.2629981209936507E-6</c:v>
                </c:pt>
                <c:pt idx="44">
                  <c:v>2.5047666381381711E-3</c:v>
                </c:pt>
                <c:pt idx="45">
                  <c:v>1.2335490858160023E-4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5.7750724904701034E-4</c:v>
                </c:pt>
                <c:pt idx="51">
                  <c:v>0</c:v>
                </c:pt>
                <c:pt idx="52">
                  <c:v>0</c:v>
                </c:pt>
                <c:pt idx="53">
                  <c:v>2.5779088628579013E-4</c:v>
                </c:pt>
                <c:pt idx="54">
                  <c:v>9.194749395880714E-4</c:v>
                </c:pt>
                <c:pt idx="55">
                  <c:v>0</c:v>
                </c:pt>
                <c:pt idx="56">
                  <c:v>3.2942431541475945E-4</c:v>
                </c:pt>
                <c:pt idx="57">
                  <c:v>2.8055078443233204E-4</c:v>
                </c:pt>
                <c:pt idx="58">
                  <c:v>0</c:v>
                </c:pt>
                <c:pt idx="59">
                  <c:v>1.1068447151613751E-4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0.21068794490873313</c:v>
                </c:pt>
                <c:pt idx="1">
                  <c:v>0.13500517741702706</c:v>
                </c:pt>
                <c:pt idx="2">
                  <c:v>8.3294528004991986E-2</c:v>
                </c:pt>
                <c:pt idx="3">
                  <c:v>5.1406122943687356E-2</c:v>
                </c:pt>
                <c:pt idx="4">
                  <c:v>0.13853105212493619</c:v>
                </c:pt>
                <c:pt idx="5">
                  <c:v>7.2820125276210651E-2</c:v>
                </c:pt>
                <c:pt idx="6">
                  <c:v>7.1100858512425563E-2</c:v>
                </c:pt>
                <c:pt idx="7">
                  <c:v>4.0680906237141115E-2</c:v>
                </c:pt>
                <c:pt idx="8">
                  <c:v>4.7522943407118726E-2</c:v>
                </c:pt>
                <c:pt idx="9">
                  <c:v>1.9248688364333223E-2</c:v>
                </c:pt>
                <c:pt idx="10">
                  <c:v>1.9098760455836888E-2</c:v>
                </c:pt>
                <c:pt idx="11">
                  <c:v>2.0551333027249982E-2</c:v>
                </c:pt>
                <c:pt idx="12">
                  <c:v>1.3812517252218442E-2</c:v>
                </c:pt>
                <c:pt idx="13">
                  <c:v>1.467004884100122E-2</c:v>
                </c:pt>
                <c:pt idx="14">
                  <c:v>9.4940330093613873E-3</c:v>
                </c:pt>
                <c:pt idx="15">
                  <c:v>9.6304160289281456E-3</c:v>
                </c:pt>
                <c:pt idx="16">
                  <c:v>1.0550067280732768E-2</c:v>
                </c:pt>
                <c:pt idx="17">
                  <c:v>5.3791891655834648E-3</c:v>
                </c:pt>
                <c:pt idx="18">
                  <c:v>3.8112515057012308E-3</c:v>
                </c:pt>
                <c:pt idx="19">
                  <c:v>3.0265820780568595E-3</c:v>
                </c:pt>
                <c:pt idx="20">
                  <c:v>3.2050009598188533E-3</c:v>
                </c:pt>
                <c:pt idx="21">
                  <c:v>2.2316372174314312E-3</c:v>
                </c:pt>
                <c:pt idx="22">
                  <c:v>1.9924998680540991E-3</c:v>
                </c:pt>
                <c:pt idx="23">
                  <c:v>1.7328116527146526E-3</c:v>
                </c:pt>
                <c:pt idx="24">
                  <c:v>1.6258537366845569E-3</c:v>
                </c:pt>
                <c:pt idx="25">
                  <c:v>1.5016144106408647E-3</c:v>
                </c:pt>
                <c:pt idx="26">
                  <c:v>1.1373036049488353E-3</c:v>
                </c:pt>
                <c:pt idx="27">
                  <c:v>9.4160331317324521E-4</c:v>
                </c:pt>
                <c:pt idx="28">
                  <c:v>6.5295705943263732E-4</c:v>
                </c:pt>
                <c:pt idx="29">
                  <c:v>8.4912441634373004E-4</c:v>
                </c:pt>
                <c:pt idx="30">
                  <c:v>5.1937643067889315E-4</c:v>
                </c:pt>
                <c:pt idx="31">
                  <c:v>4.8668187119371107E-4</c:v>
                </c:pt>
                <c:pt idx="32">
                  <c:v>3.7271797813107625E-4</c:v>
                </c:pt>
                <c:pt idx="33">
                  <c:v>3.2227494349679523E-4</c:v>
                </c:pt>
                <c:pt idx="34">
                  <c:v>2.8070614643706368E-4</c:v>
                </c:pt>
                <c:pt idx="35">
                  <c:v>2.2559246044775666E-4</c:v>
                </c:pt>
                <c:pt idx="36">
                  <c:v>2.9845462158616256E-4</c:v>
                </c:pt>
                <c:pt idx="37">
                  <c:v>1.9990387799511357E-4</c:v>
                </c:pt>
                <c:pt idx="38">
                  <c:v>2.0037094313061617E-4</c:v>
                </c:pt>
                <c:pt idx="39">
                  <c:v>1.872931193365433E-4</c:v>
                </c:pt>
                <c:pt idx="40">
                  <c:v>1.1256269765612703E-4</c:v>
                </c:pt>
                <c:pt idx="41">
                  <c:v>9.3880092236022953E-5</c:v>
                </c:pt>
                <c:pt idx="42">
                  <c:v>7.4263356544913687E-5</c:v>
                </c:pt>
                <c:pt idx="43">
                  <c:v>6.0718467615338233E-5</c:v>
                </c:pt>
                <c:pt idx="44">
                  <c:v>4.8574774092270589E-5</c:v>
                </c:pt>
                <c:pt idx="45">
                  <c:v>5.3245425447296604E-5</c:v>
                </c:pt>
                <c:pt idx="46">
                  <c:v>4.203586219523416E-5</c:v>
                </c:pt>
                <c:pt idx="47">
                  <c:v>3.222749434967952E-5</c:v>
                </c:pt>
                <c:pt idx="48">
                  <c:v>2.6155647588145702E-5</c:v>
                </c:pt>
                <c:pt idx="49">
                  <c:v>2.4754452181637895E-5</c:v>
                </c:pt>
                <c:pt idx="50">
                  <c:v>1.6347279742591062E-5</c:v>
                </c:pt>
                <c:pt idx="51">
                  <c:v>1.7748475149098869E-5</c:v>
                </c:pt>
                <c:pt idx="52">
                  <c:v>1.4011954065078053E-5</c:v>
                </c:pt>
                <c:pt idx="53">
                  <c:v>1.2610758658570249E-5</c:v>
                </c:pt>
                <c:pt idx="54">
                  <c:v>1.1676628387565045E-5</c:v>
                </c:pt>
                <c:pt idx="55">
                  <c:v>9.8083678455546381E-6</c:v>
                </c:pt>
                <c:pt idx="56">
                  <c:v>8.8742375745494345E-6</c:v>
                </c:pt>
                <c:pt idx="57">
                  <c:v>9.8083678455546381E-6</c:v>
                </c:pt>
                <c:pt idx="58">
                  <c:v>6.0718467615338236E-6</c:v>
                </c:pt>
                <c:pt idx="59">
                  <c:v>6.5389118970364254E-6</c:v>
                </c:pt>
                <c:pt idx="60">
                  <c:v>4.2035862195234163E-6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22152"/>
        <c:axId val="128933512"/>
      </c:lineChart>
      <c:catAx>
        <c:axId val="128022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3512"/>
        <c:crosses val="autoZero"/>
        <c:auto val="1"/>
        <c:lblAlgn val="ctr"/>
        <c:lblOffset val="100"/>
        <c:tickLblSkip val="10"/>
        <c:noMultiLvlLbl val="0"/>
      </c:catAx>
      <c:valAx>
        <c:axId val="12893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022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9.4990692580052547E-4</c:v>
                </c:pt>
                <c:pt idx="1">
                  <c:v>9.0592393102139354E-4</c:v>
                </c:pt>
                <c:pt idx="2">
                  <c:v>3.7555370150790246E-3</c:v>
                </c:pt>
                <c:pt idx="3">
                  <c:v>9.2962583154463617E-3</c:v>
                </c:pt>
                <c:pt idx="4">
                  <c:v>1.2330218942352561E-2</c:v>
                </c:pt>
                <c:pt idx="5">
                  <c:v>2.6595062208307031E-2</c:v>
                </c:pt>
                <c:pt idx="6">
                  <c:v>1.1864694141534061E-2</c:v>
                </c:pt>
                <c:pt idx="7">
                  <c:v>1.9685706655212486E-2</c:v>
                </c:pt>
                <c:pt idx="8">
                  <c:v>8.1640696444560054E-3</c:v>
                </c:pt>
                <c:pt idx="9">
                  <c:v>2.0641499816105299E-2</c:v>
                </c:pt>
                <c:pt idx="10">
                  <c:v>7.0399576025592424E-3</c:v>
                </c:pt>
                <c:pt idx="11">
                  <c:v>9.5120949407863521E-3</c:v>
                </c:pt>
                <c:pt idx="12">
                  <c:v>2.1429520218760351E-2</c:v>
                </c:pt>
                <c:pt idx="13">
                  <c:v>2.58173402585994E-2</c:v>
                </c:pt>
                <c:pt idx="14">
                  <c:v>1.3724267989209392E-2</c:v>
                </c:pt>
                <c:pt idx="15">
                  <c:v>1.2639615540393192E-2</c:v>
                </c:pt>
                <c:pt idx="16">
                  <c:v>4.0796368096260069E-2</c:v>
                </c:pt>
                <c:pt idx="17">
                  <c:v>2.9102649840886993E-2</c:v>
                </c:pt>
                <c:pt idx="18">
                  <c:v>8.9242469226963037E-2</c:v>
                </c:pt>
                <c:pt idx="19">
                  <c:v>4.4579412272870385E-2</c:v>
                </c:pt>
                <c:pt idx="20">
                  <c:v>7.2085903372928223E-2</c:v>
                </c:pt>
                <c:pt idx="21">
                  <c:v>6.5547818675991285E-2</c:v>
                </c:pt>
                <c:pt idx="22">
                  <c:v>4.1096056494361946E-2</c:v>
                </c:pt>
                <c:pt idx="23">
                  <c:v>3.1916072637966336E-2</c:v>
                </c:pt>
                <c:pt idx="24">
                  <c:v>3.8844868219717436E-2</c:v>
                </c:pt>
                <c:pt idx="25">
                  <c:v>1.5450675528489447E-2</c:v>
                </c:pt>
                <c:pt idx="26">
                  <c:v>5.9790824529366772E-2</c:v>
                </c:pt>
                <c:pt idx="27">
                  <c:v>8.6045985266105639E-3</c:v>
                </c:pt>
                <c:pt idx="28">
                  <c:v>1.7686097225813019E-2</c:v>
                </c:pt>
                <c:pt idx="29">
                  <c:v>9.3578355915040819E-3</c:v>
                </c:pt>
                <c:pt idx="30">
                  <c:v>9.6040592423160282E-3</c:v>
                </c:pt>
                <c:pt idx="31">
                  <c:v>5.5177195494510783E-3</c:v>
                </c:pt>
                <c:pt idx="32">
                  <c:v>1.2989816029893159E-2</c:v>
                </c:pt>
                <c:pt idx="33">
                  <c:v>5.6005963004291167E-3</c:v>
                </c:pt>
                <c:pt idx="34">
                  <c:v>1.1647286306960105E-2</c:v>
                </c:pt>
                <c:pt idx="35">
                  <c:v>8.7487515238437799E-3</c:v>
                </c:pt>
                <c:pt idx="36">
                  <c:v>4.3319464199289993E-3</c:v>
                </c:pt>
                <c:pt idx="37">
                  <c:v>1.2987423456141196E-2</c:v>
                </c:pt>
                <c:pt idx="38">
                  <c:v>8.6691901106968113E-3</c:v>
                </c:pt>
                <c:pt idx="39">
                  <c:v>1.904760059749912E-3</c:v>
                </c:pt>
                <c:pt idx="40">
                  <c:v>2.9584281789222133E-3</c:v>
                </c:pt>
                <c:pt idx="41">
                  <c:v>3.4237307940261441E-3</c:v>
                </c:pt>
                <c:pt idx="42">
                  <c:v>1.3905428964656797E-3</c:v>
                </c:pt>
                <c:pt idx="43">
                  <c:v>1.3268743886028166E-3</c:v>
                </c:pt>
                <c:pt idx="44">
                  <c:v>1.6432720008175111E-3</c:v>
                </c:pt>
                <c:pt idx="45">
                  <c:v>4.9569683486680456E-2</c:v>
                </c:pt>
                <c:pt idx="46">
                  <c:v>4.6453454986251641E-3</c:v>
                </c:pt>
                <c:pt idx="47">
                  <c:v>1.4252711263155163E-3</c:v>
                </c:pt>
                <c:pt idx="48">
                  <c:v>9.1450246881070475E-4</c:v>
                </c:pt>
                <c:pt idx="49">
                  <c:v>1.9581662115165238E-3</c:v>
                </c:pt>
                <c:pt idx="50">
                  <c:v>5.2143196242836057E-4</c:v>
                </c:pt>
                <c:pt idx="51">
                  <c:v>4.010301906371896E-4</c:v>
                </c:pt>
                <c:pt idx="52">
                  <c:v>6.3170344773330767E-3</c:v>
                </c:pt>
                <c:pt idx="53">
                  <c:v>7.2680702200471001E-4</c:v>
                </c:pt>
                <c:pt idx="54">
                  <c:v>2.8651111012567695E-3</c:v>
                </c:pt>
                <c:pt idx="55">
                  <c:v>3.2658952105125787E-4</c:v>
                </c:pt>
                <c:pt idx="56">
                  <c:v>5.240235581600786E-5</c:v>
                </c:pt>
                <c:pt idx="57">
                  <c:v>7.768342583079086E-4</c:v>
                </c:pt>
                <c:pt idx="58">
                  <c:v>2.4068932868501623E-3</c:v>
                </c:pt>
                <c:pt idx="59">
                  <c:v>7.4110882243809731E-4</c:v>
                </c:pt>
                <c:pt idx="60">
                  <c:v>2.981915721074666E-3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9.9643676008125057E-3</c:v>
                </c:pt>
                <c:pt idx="1">
                  <c:v>3.1617040217577622E-2</c:v>
                </c:pt>
                <c:pt idx="2">
                  <c:v>3.6873391252523903E-2</c:v>
                </c:pt>
                <c:pt idx="3">
                  <c:v>4.1874257658350261E-2</c:v>
                </c:pt>
                <c:pt idx="4">
                  <c:v>4.2388496372538623E-2</c:v>
                </c:pt>
                <c:pt idx="5">
                  <c:v>3.9211986385985428E-2</c:v>
                </c:pt>
                <c:pt idx="6">
                  <c:v>3.6297499940449195E-2</c:v>
                </c:pt>
                <c:pt idx="7">
                  <c:v>3.3918270140198943E-2</c:v>
                </c:pt>
                <c:pt idx="8">
                  <c:v>3.0490479110745348E-2</c:v>
                </c:pt>
                <c:pt idx="9">
                  <c:v>2.7659130259328576E-2</c:v>
                </c:pt>
                <c:pt idx="10">
                  <c:v>2.5716139295637753E-2</c:v>
                </c:pt>
                <c:pt idx="11">
                  <c:v>2.2545701155846091E-2</c:v>
                </c:pt>
                <c:pt idx="12">
                  <c:v>2.0357500996016402E-2</c:v>
                </c:pt>
                <c:pt idx="13">
                  <c:v>1.810951649884238E-2</c:v>
                </c:pt>
                <c:pt idx="14">
                  <c:v>1.5964286331478929E-2</c:v>
                </c:pt>
                <c:pt idx="15">
                  <c:v>1.5122167892167738E-2</c:v>
                </c:pt>
                <c:pt idx="16">
                  <c:v>1.3569176316621587E-2</c:v>
                </c:pt>
                <c:pt idx="17">
                  <c:v>1.2373022504599424E-2</c:v>
                </c:pt>
                <c:pt idx="18">
                  <c:v>9.1024455997560053E-2</c:v>
                </c:pt>
                <c:pt idx="19">
                  <c:v>3.4630544471840406E-2</c:v>
                </c:pt>
                <c:pt idx="20">
                  <c:v>3.3510989342040672E-2</c:v>
                </c:pt>
                <c:pt idx="21">
                  <c:v>3.7856096297621378E-2</c:v>
                </c:pt>
                <c:pt idx="22">
                  <c:v>3.6670684983715778E-2</c:v>
                </c:pt>
                <c:pt idx="23">
                  <c:v>3.3287265142134925E-2</c:v>
                </c:pt>
                <c:pt idx="24">
                  <c:v>2.008239963120537E-2</c:v>
                </c:pt>
                <c:pt idx="25">
                  <c:v>2.0593835954580718E-2</c:v>
                </c:pt>
                <c:pt idx="26">
                  <c:v>2.0098279845812458E-2</c:v>
                </c:pt>
                <c:pt idx="27">
                  <c:v>1.6131028584853359E-2</c:v>
                </c:pt>
                <c:pt idx="28">
                  <c:v>2.00342919222486E-2</c:v>
                </c:pt>
                <c:pt idx="29">
                  <c:v>1.7638247777120253E-2</c:v>
                </c:pt>
                <c:pt idx="30">
                  <c:v>1.3030183150251584E-2</c:v>
                </c:pt>
                <c:pt idx="31">
                  <c:v>8.3828850520006968E-3</c:v>
                </c:pt>
                <c:pt idx="32">
                  <c:v>1.3968984072611814E-2</c:v>
                </c:pt>
                <c:pt idx="33">
                  <c:v>1.3661655213451102E-2</c:v>
                </c:pt>
                <c:pt idx="34">
                  <c:v>1.2927428820441011E-2</c:v>
                </c:pt>
                <c:pt idx="35">
                  <c:v>7.6752813717142548E-3</c:v>
                </c:pt>
                <c:pt idx="36">
                  <c:v>4.4880288870445002E-3</c:v>
                </c:pt>
                <c:pt idx="37">
                  <c:v>5.0176807507044509E-3</c:v>
                </c:pt>
                <c:pt idx="38">
                  <c:v>4.5057773621935996E-3</c:v>
                </c:pt>
                <c:pt idx="39">
                  <c:v>4.9597646739021287E-3</c:v>
                </c:pt>
                <c:pt idx="40">
                  <c:v>4.261035231190236E-3</c:v>
                </c:pt>
                <c:pt idx="41">
                  <c:v>3.4086413588979877E-3</c:v>
                </c:pt>
                <c:pt idx="42">
                  <c:v>2.8845942768640684E-3</c:v>
                </c:pt>
                <c:pt idx="43">
                  <c:v>2.4086549037869174E-3</c:v>
                </c:pt>
                <c:pt idx="44">
                  <c:v>2.4857206511448467E-3</c:v>
                </c:pt>
                <c:pt idx="45">
                  <c:v>4.3245560896185897E-3</c:v>
                </c:pt>
                <c:pt idx="46">
                  <c:v>1.8350989173897224E-3</c:v>
                </c:pt>
                <c:pt idx="47">
                  <c:v>3.2059350900898588E-3</c:v>
                </c:pt>
                <c:pt idx="48">
                  <c:v>2.7963189662540771E-3</c:v>
                </c:pt>
                <c:pt idx="49">
                  <c:v>1.4334229008574849E-3</c:v>
                </c:pt>
                <c:pt idx="50">
                  <c:v>1.5212311463319739E-3</c:v>
                </c:pt>
                <c:pt idx="51">
                  <c:v>2.7944507057120664E-3</c:v>
                </c:pt>
                <c:pt idx="52">
                  <c:v>1.0887288308565647E-3</c:v>
                </c:pt>
                <c:pt idx="53">
                  <c:v>1.0775192676045022E-3</c:v>
                </c:pt>
                <c:pt idx="54">
                  <c:v>7.96346056031936E-4</c:v>
                </c:pt>
                <c:pt idx="55">
                  <c:v>7.5571138924320966E-4</c:v>
                </c:pt>
                <c:pt idx="56">
                  <c:v>7.463700865331577E-4</c:v>
                </c:pt>
                <c:pt idx="57">
                  <c:v>6.8611868405332201E-4</c:v>
                </c:pt>
                <c:pt idx="58">
                  <c:v>7.89340078999397E-4</c:v>
                </c:pt>
                <c:pt idx="59">
                  <c:v>5.9831043857883287E-4</c:v>
                </c:pt>
                <c:pt idx="60">
                  <c:v>6.3660977969004625E-4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5864"/>
        <c:axId val="128935472"/>
      </c:lineChart>
      <c:catAx>
        <c:axId val="12893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5472"/>
        <c:crosses val="autoZero"/>
        <c:auto val="1"/>
        <c:lblAlgn val="ctr"/>
        <c:lblOffset val="100"/>
        <c:tickLblSkip val="10"/>
        <c:noMultiLvlLbl val="0"/>
      </c:catAx>
      <c:valAx>
        <c:axId val="128935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0.12049175269376761</c:v>
                </c:pt>
                <c:pt idx="1">
                  <c:v>8.0779756980852269E-2</c:v>
                </c:pt>
                <c:pt idx="2">
                  <c:v>6.8001725294796408E-2</c:v>
                </c:pt>
                <c:pt idx="3">
                  <c:v>0.13389993618831017</c:v>
                </c:pt>
                <c:pt idx="4">
                  <c:v>0.19089327819405463</c:v>
                </c:pt>
                <c:pt idx="5">
                  <c:v>0.11738273653336104</c:v>
                </c:pt>
                <c:pt idx="6">
                  <c:v>7.6687444013630229E-2</c:v>
                </c:pt>
                <c:pt idx="7">
                  <c:v>2.4897112455285968E-2</c:v>
                </c:pt>
                <c:pt idx="8">
                  <c:v>3.4600668926060792E-2</c:v>
                </c:pt>
                <c:pt idx="9">
                  <c:v>1.554355798375473E-2</c:v>
                </c:pt>
                <c:pt idx="10">
                  <c:v>4.618190974796834E-2</c:v>
                </c:pt>
                <c:pt idx="11">
                  <c:v>9.4554118375037178E-3</c:v>
                </c:pt>
                <c:pt idx="12">
                  <c:v>8.0812910784510642E-3</c:v>
                </c:pt>
                <c:pt idx="13">
                  <c:v>1.6750178389906396E-2</c:v>
                </c:pt>
                <c:pt idx="14">
                  <c:v>4.7320592727653678E-3</c:v>
                </c:pt>
                <c:pt idx="15">
                  <c:v>1.2470014223277126E-2</c:v>
                </c:pt>
                <c:pt idx="16">
                  <c:v>9.558645987785443E-3</c:v>
                </c:pt>
                <c:pt idx="17">
                  <c:v>3.1309704574170815E-3</c:v>
                </c:pt>
                <c:pt idx="18">
                  <c:v>5.5579624117697759E-3</c:v>
                </c:pt>
                <c:pt idx="19">
                  <c:v>4.8571098507676342E-4</c:v>
                </c:pt>
                <c:pt idx="20">
                  <c:v>1.3122835039455498E-3</c:v>
                </c:pt>
                <c:pt idx="21">
                  <c:v>3.0291780640073211E-3</c:v>
                </c:pt>
                <c:pt idx="22">
                  <c:v>2.8654632216249679E-3</c:v>
                </c:pt>
                <c:pt idx="23">
                  <c:v>2.1386815399655349E-3</c:v>
                </c:pt>
                <c:pt idx="24">
                  <c:v>8.8985922522342585E-4</c:v>
                </c:pt>
                <c:pt idx="25">
                  <c:v>1.4019512646280261E-3</c:v>
                </c:pt>
                <c:pt idx="26">
                  <c:v>1.3584717793717776E-3</c:v>
                </c:pt>
                <c:pt idx="27">
                  <c:v>3.6997578844681227E-4</c:v>
                </c:pt>
                <c:pt idx="28">
                  <c:v>1.145974308257985E-3</c:v>
                </c:pt>
                <c:pt idx="29">
                  <c:v>0</c:v>
                </c:pt>
                <c:pt idx="30">
                  <c:v>0</c:v>
                </c:pt>
                <c:pt idx="31">
                  <c:v>7.4499480921572537E-5</c:v>
                </c:pt>
                <c:pt idx="32">
                  <c:v>3.5141123722922703E-4</c:v>
                </c:pt>
                <c:pt idx="33">
                  <c:v>1.6913195980317847E-4</c:v>
                </c:pt>
                <c:pt idx="34">
                  <c:v>1.6232586634583174E-3</c:v>
                </c:pt>
                <c:pt idx="35">
                  <c:v>4.1375971255318386E-4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4.3239695717107085E-4</c:v>
                </c:pt>
                <c:pt idx="40">
                  <c:v>5.0495652789884441E-4</c:v>
                </c:pt>
                <c:pt idx="41">
                  <c:v>1.7319306104241537E-3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4.6138256188913877E-4</c:v>
                </c:pt>
                <c:pt idx="48">
                  <c:v>0</c:v>
                </c:pt>
                <c:pt idx="49">
                  <c:v>0</c:v>
                </c:pt>
                <c:pt idx="50">
                  <c:v>1.7017930936340188E-5</c:v>
                </c:pt>
                <c:pt idx="51">
                  <c:v>5.0452355333682363E-5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5.5498177470095129E-6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0.25228370618099583</c:v>
                </c:pt>
                <c:pt idx="1">
                  <c:v>0.13392993518765489</c:v>
                </c:pt>
                <c:pt idx="2">
                  <c:v>7.7535443895032724E-2</c:v>
                </c:pt>
                <c:pt idx="3">
                  <c:v>4.4909278674846287E-2</c:v>
                </c:pt>
                <c:pt idx="4">
                  <c:v>0.13348994986903029</c:v>
                </c:pt>
                <c:pt idx="5">
                  <c:v>7.1885166111555654E-2</c:v>
                </c:pt>
                <c:pt idx="6">
                  <c:v>6.6151678669374964E-2</c:v>
                </c:pt>
                <c:pt idx="7">
                  <c:v>3.7440926841612127E-2</c:v>
                </c:pt>
                <c:pt idx="8">
                  <c:v>3.5675286275421693E-2</c:v>
                </c:pt>
                <c:pt idx="9">
                  <c:v>1.9027655243006401E-2</c:v>
                </c:pt>
                <c:pt idx="10">
                  <c:v>1.7146888984636989E-2</c:v>
                </c:pt>
                <c:pt idx="11">
                  <c:v>1.6032107529676213E-2</c:v>
                </c:pt>
                <c:pt idx="12">
                  <c:v>1.2163428329127255E-2</c:v>
                </c:pt>
                <c:pt idx="13">
                  <c:v>1.1433918992547606E-2</c:v>
                </c:pt>
                <c:pt idx="14">
                  <c:v>9.6990546014941257E-3</c:v>
                </c:pt>
                <c:pt idx="15">
                  <c:v>8.8156643892297066E-3</c:v>
                </c:pt>
                <c:pt idx="16">
                  <c:v>8.7335945888644961E-3</c:v>
                </c:pt>
                <c:pt idx="17">
                  <c:v>5.7049909837205435E-3</c:v>
                </c:pt>
                <c:pt idx="18">
                  <c:v>5.2399287816510161E-3</c:v>
                </c:pt>
                <c:pt idx="19">
                  <c:v>4.6745590458017877E-3</c:v>
                </c:pt>
                <c:pt idx="20">
                  <c:v>3.9359308425148919E-3</c:v>
                </c:pt>
                <c:pt idx="21">
                  <c:v>2.9613519631780162E-3</c:v>
                </c:pt>
                <c:pt idx="22">
                  <c:v>3.0411420468664154E-3</c:v>
                </c:pt>
                <c:pt idx="23">
                  <c:v>2.6547300701468823E-3</c:v>
                </c:pt>
                <c:pt idx="24">
                  <c:v>2.1919475847541666E-3</c:v>
                </c:pt>
                <c:pt idx="25">
                  <c:v>2.2831362518266232E-3</c:v>
                </c:pt>
                <c:pt idx="26">
                  <c:v>1.7086476492701487E-3</c:v>
                </c:pt>
                <c:pt idx="27">
                  <c:v>1.2709420473223589E-3</c:v>
                </c:pt>
                <c:pt idx="28">
                  <c:v>9.5520128758397901E-4</c:v>
                </c:pt>
                <c:pt idx="29">
                  <c:v>9.7799845435209316E-4</c:v>
                </c:pt>
                <c:pt idx="30">
                  <c:v>7.2722961990283851E-4</c:v>
                </c:pt>
                <c:pt idx="31">
                  <c:v>7.9676097854558634E-4</c:v>
                </c:pt>
                <c:pt idx="32">
                  <c:v>5.6992916920285143E-4</c:v>
                </c:pt>
                <c:pt idx="33">
                  <c:v>5.6764945252604012E-4</c:v>
                </c:pt>
                <c:pt idx="34">
                  <c:v>4.3998531862460131E-4</c:v>
                </c:pt>
                <c:pt idx="35">
                  <c:v>3.2371976810721963E-4</c:v>
                </c:pt>
                <c:pt idx="36">
                  <c:v>4.7304121043836671E-4</c:v>
                </c:pt>
                <c:pt idx="37">
                  <c:v>3.3511835149127665E-4</c:v>
                </c:pt>
                <c:pt idx="38">
                  <c:v>3.5677565992098503E-4</c:v>
                </c:pt>
                <c:pt idx="39">
                  <c:v>3.111813263847569E-4</c:v>
                </c:pt>
                <c:pt idx="40">
                  <c:v>2.2113251765070637E-4</c:v>
                </c:pt>
                <c:pt idx="41">
                  <c:v>1.960556342057809E-4</c:v>
                </c:pt>
                <c:pt idx="42">
                  <c:v>1.0600682547173037E-4</c:v>
                </c:pt>
                <c:pt idx="43">
                  <c:v>9.346838374926764E-5</c:v>
                </c:pt>
                <c:pt idx="44">
                  <c:v>7.4090791996370684E-5</c:v>
                </c:pt>
                <c:pt idx="45">
                  <c:v>8.3209658703616319E-5</c:v>
                </c:pt>
                <c:pt idx="46">
                  <c:v>4.9013908551445225E-5</c:v>
                </c:pt>
                <c:pt idx="47">
                  <c:v>5.3573341905068036E-5</c:v>
                </c:pt>
                <c:pt idx="48">
                  <c:v>4.1034900182605303E-5</c:v>
                </c:pt>
                <c:pt idx="49">
                  <c:v>4.4454475197822415E-5</c:v>
                </c:pt>
                <c:pt idx="50">
                  <c:v>3.6475466828982493E-5</c:v>
                </c:pt>
                <c:pt idx="51">
                  <c:v>2.9636316798548276E-5</c:v>
                </c:pt>
                <c:pt idx="52">
                  <c:v>2.3937025106519763E-5</c:v>
                </c:pt>
                <c:pt idx="53">
                  <c:v>9.1188667072456231E-6</c:v>
                </c:pt>
                <c:pt idx="54">
                  <c:v>9.1188667072456231E-6</c:v>
                </c:pt>
                <c:pt idx="55">
                  <c:v>1.0258725045651326E-5</c:v>
                </c:pt>
                <c:pt idx="56">
                  <c:v>1.2538441722462733E-5</c:v>
                </c:pt>
                <c:pt idx="57">
                  <c:v>1.0258725045651326E-5</c:v>
                </c:pt>
                <c:pt idx="58">
                  <c:v>3.4195750152171089E-6</c:v>
                </c:pt>
                <c:pt idx="59">
                  <c:v>6.8391500304342178E-6</c:v>
                </c:pt>
                <c:pt idx="60">
                  <c:v>5.6992916920285151E-6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0768"/>
        <c:axId val="128934296"/>
      </c:lineChart>
      <c:catAx>
        <c:axId val="128930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4296"/>
        <c:crosses val="autoZero"/>
        <c:auto val="1"/>
        <c:lblAlgn val="ctr"/>
        <c:lblOffset val="100"/>
        <c:tickLblSkip val="10"/>
        <c:noMultiLvlLbl val="0"/>
      </c:catAx>
      <c:valAx>
        <c:axId val="1289342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076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2.3437457431708345E-4</c:v>
                </c:pt>
                <c:pt idx="2">
                  <c:v>1.5238115561758364E-3</c:v>
                </c:pt>
                <c:pt idx="3">
                  <c:v>1.2202951508955511E-2</c:v>
                </c:pt>
                <c:pt idx="4">
                  <c:v>1.0621013724945052E-2</c:v>
                </c:pt>
                <c:pt idx="5">
                  <c:v>2.5440347920877824E-2</c:v>
                </c:pt>
                <c:pt idx="6">
                  <c:v>2.0470459801236126E-2</c:v>
                </c:pt>
                <c:pt idx="7">
                  <c:v>2.3423668634067588E-2</c:v>
                </c:pt>
                <c:pt idx="8">
                  <c:v>1.3939643752029817E-2</c:v>
                </c:pt>
                <c:pt idx="9">
                  <c:v>3.2880143089351443E-2</c:v>
                </c:pt>
                <c:pt idx="10">
                  <c:v>1.0384669616977807E-2</c:v>
                </c:pt>
                <c:pt idx="11">
                  <c:v>1.5197866890334944E-2</c:v>
                </c:pt>
                <c:pt idx="12">
                  <c:v>1.5061535912517967E-2</c:v>
                </c:pt>
                <c:pt idx="13">
                  <c:v>2.8722774419301426E-2</c:v>
                </c:pt>
                <c:pt idx="14">
                  <c:v>2.9932576669336325E-2</c:v>
                </c:pt>
                <c:pt idx="15">
                  <c:v>2.4039964738992222E-2</c:v>
                </c:pt>
                <c:pt idx="16">
                  <c:v>3.6114929204905652E-2</c:v>
                </c:pt>
                <c:pt idx="17">
                  <c:v>2.2118265815047077E-2</c:v>
                </c:pt>
                <c:pt idx="18">
                  <c:v>7.7454753541735477E-2</c:v>
                </c:pt>
                <c:pt idx="19">
                  <c:v>4.2204630958494846E-2</c:v>
                </c:pt>
                <c:pt idx="20">
                  <c:v>8.122465540068538E-2</c:v>
                </c:pt>
                <c:pt idx="21">
                  <c:v>4.8324642088993827E-2</c:v>
                </c:pt>
                <c:pt idx="22">
                  <c:v>3.7900420865020927E-2</c:v>
                </c:pt>
                <c:pt idx="23">
                  <c:v>1.7498416310622822E-2</c:v>
                </c:pt>
                <c:pt idx="24">
                  <c:v>2.6145051354282522E-2</c:v>
                </c:pt>
                <c:pt idx="25">
                  <c:v>2.2126876978634025E-2</c:v>
                </c:pt>
                <c:pt idx="26">
                  <c:v>3.292587593525715E-2</c:v>
                </c:pt>
                <c:pt idx="27">
                  <c:v>1.6833741558432636E-2</c:v>
                </c:pt>
                <c:pt idx="28">
                  <c:v>1.6761075487677374E-2</c:v>
                </c:pt>
                <c:pt idx="29">
                  <c:v>1.2293513793541747E-2</c:v>
                </c:pt>
                <c:pt idx="30">
                  <c:v>1.123239238291792E-2</c:v>
                </c:pt>
                <c:pt idx="31">
                  <c:v>6.4757781595168769E-3</c:v>
                </c:pt>
                <c:pt idx="32">
                  <c:v>3.5203353167542438E-3</c:v>
                </c:pt>
                <c:pt idx="33">
                  <c:v>1.0019561802714416E-2</c:v>
                </c:pt>
                <c:pt idx="34">
                  <c:v>1.3340663437289168E-2</c:v>
                </c:pt>
                <c:pt idx="35">
                  <c:v>3.4922333253570555E-3</c:v>
                </c:pt>
                <c:pt idx="36">
                  <c:v>4.3440946508051482E-3</c:v>
                </c:pt>
                <c:pt idx="37">
                  <c:v>5.313078018730222E-3</c:v>
                </c:pt>
                <c:pt idx="38">
                  <c:v>8.9423018411654859E-3</c:v>
                </c:pt>
                <c:pt idx="39">
                  <c:v>8.7677744788658158E-3</c:v>
                </c:pt>
                <c:pt idx="40">
                  <c:v>2.6335204025266915E-3</c:v>
                </c:pt>
                <c:pt idx="41">
                  <c:v>1.6446118527026247E-3</c:v>
                </c:pt>
                <c:pt idx="42">
                  <c:v>1.8972724014916001E-3</c:v>
                </c:pt>
                <c:pt idx="43">
                  <c:v>2.0153542881545285E-4</c:v>
                </c:pt>
                <c:pt idx="44">
                  <c:v>2.0270857605111572E-3</c:v>
                </c:pt>
                <c:pt idx="45">
                  <c:v>4.2262496814412062E-2</c:v>
                </c:pt>
                <c:pt idx="46">
                  <c:v>3.2095736245178349E-3</c:v>
                </c:pt>
                <c:pt idx="47">
                  <c:v>1.109767740090035E-3</c:v>
                </c:pt>
                <c:pt idx="48">
                  <c:v>1.8403876278514574E-3</c:v>
                </c:pt>
                <c:pt idx="49">
                  <c:v>1.5911796434228027E-3</c:v>
                </c:pt>
                <c:pt idx="50">
                  <c:v>6.9635680670331285E-4</c:v>
                </c:pt>
                <c:pt idx="51">
                  <c:v>2.1991877959133882E-3</c:v>
                </c:pt>
                <c:pt idx="52">
                  <c:v>2.8599592723330346E-3</c:v>
                </c:pt>
                <c:pt idx="53">
                  <c:v>1.9746699006875442E-3</c:v>
                </c:pt>
                <c:pt idx="54">
                  <c:v>6.007937558721115E-4</c:v>
                </c:pt>
                <c:pt idx="55">
                  <c:v>0</c:v>
                </c:pt>
                <c:pt idx="56">
                  <c:v>1.7056558421970119E-3</c:v>
                </c:pt>
                <c:pt idx="57">
                  <c:v>4.9256110305866097E-4</c:v>
                </c:pt>
                <c:pt idx="58">
                  <c:v>4.8474318764347437E-4</c:v>
                </c:pt>
                <c:pt idx="59">
                  <c:v>6.0570573874355353E-3</c:v>
                </c:pt>
                <c:pt idx="60">
                  <c:v>5.747862282570626E-3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7.9812880855167322E-3</c:v>
                </c:pt>
                <c:pt idx="1">
                  <c:v>3.3157339205883492E-2</c:v>
                </c:pt>
                <c:pt idx="2">
                  <c:v>3.8972896448429391E-2</c:v>
                </c:pt>
                <c:pt idx="3">
                  <c:v>4.4902439524815853E-2</c:v>
                </c:pt>
                <c:pt idx="4">
                  <c:v>4.4737160065747031E-2</c:v>
                </c:pt>
                <c:pt idx="5">
                  <c:v>4.218843682107188E-2</c:v>
                </c:pt>
                <c:pt idx="6">
                  <c:v>3.890108537310983E-2</c:v>
                </c:pt>
                <c:pt idx="7">
                  <c:v>3.614718762752165E-2</c:v>
                </c:pt>
                <c:pt idx="8">
                  <c:v>3.2587410036680642E-2</c:v>
                </c:pt>
                <c:pt idx="9">
                  <c:v>2.9167835021463532E-2</c:v>
                </c:pt>
                <c:pt idx="10">
                  <c:v>2.657465730159056E-2</c:v>
                </c:pt>
                <c:pt idx="11">
                  <c:v>2.2952187502137233E-2</c:v>
                </c:pt>
                <c:pt idx="12">
                  <c:v>2.025300295679253E-2</c:v>
                </c:pt>
                <c:pt idx="13">
                  <c:v>1.7940230388167357E-2</c:v>
                </c:pt>
                <c:pt idx="14">
                  <c:v>1.5812114870363912E-2</c:v>
                </c:pt>
                <c:pt idx="15">
                  <c:v>1.4680235540327049E-2</c:v>
                </c:pt>
                <c:pt idx="16">
                  <c:v>1.3297587375840931E-2</c:v>
                </c:pt>
                <c:pt idx="17">
                  <c:v>1.2325288213180866E-2</c:v>
                </c:pt>
                <c:pt idx="18">
                  <c:v>9.0461437452553403E-2</c:v>
                </c:pt>
                <c:pt idx="19">
                  <c:v>3.3756904691884894E-2</c:v>
                </c:pt>
                <c:pt idx="20">
                  <c:v>3.478505691312684E-2</c:v>
                </c:pt>
                <c:pt idx="21">
                  <c:v>4.0020426261424227E-2</c:v>
                </c:pt>
                <c:pt idx="22">
                  <c:v>3.6098173718970207E-2</c:v>
                </c:pt>
                <c:pt idx="23">
                  <c:v>3.146122999833581E-2</c:v>
                </c:pt>
                <c:pt idx="24">
                  <c:v>2.0951736118235226E-2</c:v>
                </c:pt>
                <c:pt idx="25">
                  <c:v>2.2128069923469912E-2</c:v>
                </c:pt>
                <c:pt idx="26">
                  <c:v>1.7876398321216638E-2</c:v>
                </c:pt>
                <c:pt idx="27">
                  <c:v>1.591584197915883E-2</c:v>
                </c:pt>
                <c:pt idx="28">
                  <c:v>1.5744863228397975E-2</c:v>
                </c:pt>
                <c:pt idx="29">
                  <c:v>1.4476200897752428E-2</c:v>
                </c:pt>
                <c:pt idx="30">
                  <c:v>1.0942640048694748E-2</c:v>
                </c:pt>
                <c:pt idx="31">
                  <c:v>9.3707754000332839E-3</c:v>
                </c:pt>
                <c:pt idx="32">
                  <c:v>1.0314578104233207E-2</c:v>
                </c:pt>
                <c:pt idx="33">
                  <c:v>9.6546001262963043E-3</c:v>
                </c:pt>
                <c:pt idx="34">
                  <c:v>1.0461619829887541E-2</c:v>
                </c:pt>
                <c:pt idx="35">
                  <c:v>7.1252544733740493E-3</c:v>
                </c:pt>
                <c:pt idx="36">
                  <c:v>5.2342294899589883E-3</c:v>
                </c:pt>
                <c:pt idx="37">
                  <c:v>5.5385716663133109E-3</c:v>
                </c:pt>
                <c:pt idx="38">
                  <c:v>4.9127894385285796E-3</c:v>
                </c:pt>
                <c:pt idx="39">
                  <c:v>4.8797335467148139E-3</c:v>
                </c:pt>
                <c:pt idx="40">
                  <c:v>3.9678468759902523E-3</c:v>
                </c:pt>
                <c:pt idx="41">
                  <c:v>3.7341759166170828E-3</c:v>
                </c:pt>
                <c:pt idx="42">
                  <c:v>3.1494285890149572E-3</c:v>
                </c:pt>
                <c:pt idx="43">
                  <c:v>2.9670512548700448E-3</c:v>
                </c:pt>
                <c:pt idx="44">
                  <c:v>2.8450864126606345E-3</c:v>
                </c:pt>
                <c:pt idx="45">
                  <c:v>3.2337781060569793E-3</c:v>
                </c:pt>
                <c:pt idx="46">
                  <c:v>2.2204440432143095E-3</c:v>
                </c:pt>
                <c:pt idx="47">
                  <c:v>2.5202267862150093E-3</c:v>
                </c:pt>
                <c:pt idx="48">
                  <c:v>2.3082131352715487E-3</c:v>
                </c:pt>
                <c:pt idx="49">
                  <c:v>1.6493750156730521E-3</c:v>
                </c:pt>
                <c:pt idx="50">
                  <c:v>1.5707247903230586E-3</c:v>
                </c:pt>
                <c:pt idx="51">
                  <c:v>2.0905001926360594E-3</c:v>
                </c:pt>
                <c:pt idx="52">
                  <c:v>1.2846203473832272E-3</c:v>
                </c:pt>
                <c:pt idx="53">
                  <c:v>1.2002708303412051E-3</c:v>
                </c:pt>
                <c:pt idx="54">
                  <c:v>9.9395647108977293E-4</c:v>
                </c:pt>
                <c:pt idx="55">
                  <c:v>9.4950199589195056E-4</c:v>
                </c:pt>
                <c:pt idx="56">
                  <c:v>8.3665602038978596E-4</c:v>
                </c:pt>
                <c:pt idx="57">
                  <c:v>8.8794964561804261E-4</c:v>
                </c:pt>
                <c:pt idx="58">
                  <c:v>8.3893573706659739E-4</c:v>
                </c:pt>
                <c:pt idx="59">
                  <c:v>7.078520281499415E-4</c:v>
                </c:pt>
                <c:pt idx="60">
                  <c:v>6.6567726962893055E-4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4688"/>
        <c:axId val="128931160"/>
      </c:lineChart>
      <c:catAx>
        <c:axId val="128934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31160"/>
        <c:crosses val="autoZero"/>
        <c:auto val="1"/>
        <c:lblAlgn val="ctr"/>
        <c:lblOffset val="100"/>
        <c:tickLblSkip val="10"/>
        <c:noMultiLvlLbl val="0"/>
      </c:catAx>
      <c:valAx>
        <c:axId val="1289311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468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5.2146290719061919E-2</c:v>
                </c:pt>
                <c:pt idx="1">
                  <c:v>8.4588131389252585E-2</c:v>
                </c:pt>
                <c:pt idx="2">
                  <c:v>9.3158896183770726E-2</c:v>
                </c:pt>
                <c:pt idx="3">
                  <c:v>9.9096146066588939E-2</c:v>
                </c:pt>
                <c:pt idx="4">
                  <c:v>0.15760963891123325</c:v>
                </c:pt>
                <c:pt idx="5">
                  <c:v>0.10595355900341841</c:v>
                </c:pt>
                <c:pt idx="6">
                  <c:v>9.9579252827036918E-2</c:v>
                </c:pt>
                <c:pt idx="7">
                  <c:v>4.6547439814434169E-2</c:v>
                </c:pt>
                <c:pt idx="8">
                  <c:v>3.8496560844793561E-2</c:v>
                </c:pt>
                <c:pt idx="9">
                  <c:v>3.0977557636269203E-2</c:v>
                </c:pt>
                <c:pt idx="10">
                  <c:v>4.0953301079401275E-2</c:v>
                </c:pt>
                <c:pt idx="11">
                  <c:v>1.1936720534662859E-2</c:v>
                </c:pt>
                <c:pt idx="12">
                  <c:v>2.3958525492174084E-2</c:v>
                </c:pt>
                <c:pt idx="13">
                  <c:v>1.1024714891821885E-2</c:v>
                </c:pt>
                <c:pt idx="14">
                  <c:v>9.4941118926001617E-3</c:v>
                </c:pt>
                <c:pt idx="15">
                  <c:v>1.4205112228725919E-2</c:v>
                </c:pt>
                <c:pt idx="16">
                  <c:v>1.3046370957517563E-2</c:v>
                </c:pt>
                <c:pt idx="17">
                  <c:v>7.6247861193617693E-3</c:v>
                </c:pt>
                <c:pt idx="18">
                  <c:v>6.3883197503428945E-3</c:v>
                </c:pt>
                <c:pt idx="19">
                  <c:v>3.3392104215356887E-3</c:v>
                </c:pt>
                <c:pt idx="20">
                  <c:v>3.6904285062535611E-3</c:v>
                </c:pt>
                <c:pt idx="21">
                  <c:v>2.3599814924849119E-3</c:v>
                </c:pt>
                <c:pt idx="22">
                  <c:v>2.8495040175413851E-3</c:v>
                </c:pt>
                <c:pt idx="23">
                  <c:v>6.0841443173274079E-3</c:v>
                </c:pt>
                <c:pt idx="24">
                  <c:v>5.8286627692899608E-3</c:v>
                </c:pt>
                <c:pt idx="25">
                  <c:v>2.0661629672828661E-3</c:v>
                </c:pt>
                <c:pt idx="26">
                  <c:v>5.5488427161080947E-3</c:v>
                </c:pt>
                <c:pt idx="27">
                  <c:v>1.2193362286474592E-3</c:v>
                </c:pt>
                <c:pt idx="28">
                  <c:v>3.741663609677057E-4</c:v>
                </c:pt>
                <c:pt idx="29">
                  <c:v>6.8134397583786163E-4</c:v>
                </c:pt>
                <c:pt idx="30">
                  <c:v>2.1509212019839728E-4</c:v>
                </c:pt>
                <c:pt idx="31">
                  <c:v>9.8212965757951774E-4</c:v>
                </c:pt>
                <c:pt idx="32">
                  <c:v>8.132027872145511E-4</c:v>
                </c:pt>
                <c:pt idx="33">
                  <c:v>8.068190787764841E-4</c:v>
                </c:pt>
                <c:pt idx="34">
                  <c:v>1.2819671686343003E-3</c:v>
                </c:pt>
                <c:pt idx="35">
                  <c:v>7.3507511268701973E-4</c:v>
                </c:pt>
                <c:pt idx="36">
                  <c:v>1.2529182646009321E-3</c:v>
                </c:pt>
                <c:pt idx="37">
                  <c:v>2.5527080806393265E-4</c:v>
                </c:pt>
                <c:pt idx="38">
                  <c:v>4.0857021423047334E-4</c:v>
                </c:pt>
                <c:pt idx="39">
                  <c:v>7.4819762554532803E-4</c:v>
                </c:pt>
                <c:pt idx="40">
                  <c:v>1.9694839415620424E-4</c:v>
                </c:pt>
                <c:pt idx="41">
                  <c:v>8.5575360772893489E-4</c:v>
                </c:pt>
                <c:pt idx="42">
                  <c:v>2.5537204452163765E-4</c:v>
                </c:pt>
                <c:pt idx="43">
                  <c:v>1.0032606717464531E-3</c:v>
                </c:pt>
                <c:pt idx="44">
                  <c:v>2.4042755236549406E-3</c:v>
                </c:pt>
                <c:pt idx="45">
                  <c:v>0</c:v>
                </c:pt>
                <c:pt idx="46">
                  <c:v>0</c:v>
                </c:pt>
                <c:pt idx="47">
                  <c:v>4.7084229670210171E-4</c:v>
                </c:pt>
                <c:pt idx="48">
                  <c:v>0</c:v>
                </c:pt>
                <c:pt idx="49">
                  <c:v>3.9143545114959612E-4</c:v>
                </c:pt>
                <c:pt idx="50">
                  <c:v>0</c:v>
                </c:pt>
                <c:pt idx="51">
                  <c:v>2.2717147448967487E-4</c:v>
                </c:pt>
                <c:pt idx="52">
                  <c:v>1.0608198941065893E-4</c:v>
                </c:pt>
                <c:pt idx="53">
                  <c:v>4.1418355949091794E-4</c:v>
                </c:pt>
                <c:pt idx="54">
                  <c:v>6.8906259835305292E-4</c:v>
                </c:pt>
                <c:pt idx="55">
                  <c:v>0</c:v>
                </c:pt>
                <c:pt idx="56">
                  <c:v>1.072047547565926E-3</c:v>
                </c:pt>
                <c:pt idx="57">
                  <c:v>3.1768607684895973E-4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0.1148460588244492</c:v>
                </c:pt>
                <c:pt idx="1">
                  <c:v>0.11323103350451559</c:v>
                </c:pt>
                <c:pt idx="2">
                  <c:v>7.3849992516825974E-2</c:v>
                </c:pt>
                <c:pt idx="3">
                  <c:v>5.1211715746608558E-2</c:v>
                </c:pt>
                <c:pt idx="4">
                  <c:v>0.16590531886139598</c:v>
                </c:pt>
                <c:pt idx="5">
                  <c:v>9.5106115875274483E-2</c:v>
                </c:pt>
                <c:pt idx="6">
                  <c:v>9.6536854073638906E-2</c:v>
                </c:pt>
                <c:pt idx="7">
                  <c:v>5.6771043913945732E-2</c:v>
                </c:pt>
                <c:pt idx="8">
                  <c:v>6.9713584306332108E-2</c:v>
                </c:pt>
                <c:pt idx="9">
                  <c:v>2.789883642228333E-2</c:v>
                </c:pt>
                <c:pt idx="10">
                  <c:v>2.050445528077539E-2</c:v>
                </c:pt>
                <c:pt idx="11">
                  <c:v>2.3893662980179642E-2</c:v>
                </c:pt>
                <c:pt idx="12">
                  <c:v>1.4665345756146813E-2</c:v>
                </c:pt>
                <c:pt idx="13">
                  <c:v>1.5129414235007405E-2</c:v>
                </c:pt>
                <c:pt idx="14">
                  <c:v>1.0498781471214351E-2</c:v>
                </c:pt>
                <c:pt idx="15">
                  <c:v>9.9079457905470753E-3</c:v>
                </c:pt>
                <c:pt idx="16">
                  <c:v>1.0031362317416139E-2</c:v>
                </c:pt>
                <c:pt idx="17">
                  <c:v>6.6069725311668614E-3</c:v>
                </c:pt>
                <c:pt idx="18">
                  <c:v>4.8958945296880968E-3</c:v>
                </c:pt>
                <c:pt idx="19">
                  <c:v>3.2858952221609173E-3</c:v>
                </c:pt>
                <c:pt idx="20">
                  <c:v>2.7129298078276236E-3</c:v>
                </c:pt>
                <c:pt idx="21">
                  <c:v>2.0271583372610692E-3</c:v>
                </c:pt>
                <c:pt idx="22">
                  <c:v>1.7887019708669983E-3</c:v>
                </c:pt>
                <c:pt idx="23">
                  <c:v>1.6083239700583687E-3</c:v>
                </c:pt>
                <c:pt idx="24">
                  <c:v>1.0934369213105161E-3</c:v>
                </c:pt>
                <c:pt idx="25">
                  <c:v>1.2397497269199926E-3</c:v>
                </c:pt>
                <c:pt idx="26">
                  <c:v>8.1142178072736448E-4</c:v>
                </c:pt>
                <c:pt idx="27">
                  <c:v>8.259413721237248E-4</c:v>
                </c:pt>
                <c:pt idx="28">
                  <c:v>4.5569179151653779E-4</c:v>
                </c:pt>
                <c:pt idx="29">
                  <c:v>4.4843199581835768E-4</c:v>
                </c:pt>
                <c:pt idx="30">
                  <c:v>3.5852221832551138E-4</c:v>
                </c:pt>
                <c:pt idx="31">
                  <c:v>3.3897661452271868E-4</c:v>
                </c:pt>
                <c:pt idx="32">
                  <c:v>2.5130062032162012E-4</c:v>
                </c:pt>
                <c:pt idx="33">
                  <c:v>2.0494961701785462E-4</c:v>
                </c:pt>
                <c:pt idx="34">
                  <c:v>1.7758577169394487E-4</c:v>
                </c:pt>
                <c:pt idx="35">
                  <c:v>1.278840934525578E-4</c:v>
                </c:pt>
                <c:pt idx="36">
                  <c:v>1.6753374688108008E-4</c:v>
                </c:pt>
                <c:pt idx="37">
                  <c:v>1.2900098509843167E-4</c:v>
                </c:pt>
                <c:pt idx="38">
                  <c:v>1.3961145573423341E-4</c:v>
                </c:pt>
                <c:pt idx="39">
                  <c:v>1.1057227294151285E-4</c:v>
                </c:pt>
                <c:pt idx="40">
                  <c:v>7.8182415211170707E-5</c:v>
                </c:pt>
                <c:pt idx="41">
                  <c:v>6.9247282044179769E-5</c:v>
                </c:pt>
                <c:pt idx="42">
                  <c:v>4.3000328366143888E-5</c:v>
                </c:pt>
                <c:pt idx="43">
                  <c:v>4.0208099251459216E-5</c:v>
                </c:pt>
                <c:pt idx="44">
                  <c:v>3.5740532667963754E-5</c:v>
                </c:pt>
                <c:pt idx="45">
                  <c:v>4.4675665834954685E-5</c:v>
                </c:pt>
                <c:pt idx="46">
                  <c:v>2.7363845323909746E-5</c:v>
                </c:pt>
                <c:pt idx="47">
                  <c:v>2.0662495448666542E-5</c:v>
                </c:pt>
                <c:pt idx="48">
                  <c:v>1.4519591396360273E-5</c:v>
                </c:pt>
                <c:pt idx="49">
                  <c:v>1.396114557342334E-5</c:v>
                </c:pt>
                <c:pt idx="50">
                  <c:v>1.3402699750486406E-5</c:v>
                </c:pt>
                <c:pt idx="51">
                  <c:v>1.4519591396360273E-5</c:v>
                </c:pt>
                <c:pt idx="52">
                  <c:v>1.1168916458738671E-5</c:v>
                </c:pt>
                <c:pt idx="53">
                  <c:v>7.8182415211170711E-6</c:v>
                </c:pt>
                <c:pt idx="54">
                  <c:v>8.3766873440540039E-6</c:v>
                </c:pt>
                <c:pt idx="55">
                  <c:v>6.7013498752432029E-6</c:v>
                </c:pt>
                <c:pt idx="56">
                  <c:v>9.4935789899278712E-6</c:v>
                </c:pt>
                <c:pt idx="57">
                  <c:v>5.026012406432402E-6</c:v>
                </c:pt>
                <c:pt idx="58">
                  <c:v>5.026012406432402E-6</c:v>
                </c:pt>
                <c:pt idx="59">
                  <c:v>1.6753374688108007E-6</c:v>
                </c:pt>
                <c:pt idx="60">
                  <c:v>5.5844582293693365E-7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36256"/>
        <c:axId val="128929984"/>
      </c:lineChart>
      <c:catAx>
        <c:axId val="128936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984"/>
        <c:crosses val="autoZero"/>
        <c:auto val="1"/>
        <c:lblAlgn val="ctr"/>
        <c:lblOffset val="100"/>
        <c:tickLblSkip val="10"/>
        <c:noMultiLvlLbl val="0"/>
      </c:catAx>
      <c:valAx>
        <c:axId val="1289299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362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2.1581793258237288E-4</c:v>
                </c:pt>
                <c:pt idx="1">
                  <c:v>1.4132563567125416E-3</c:v>
                </c:pt>
                <c:pt idx="2">
                  <c:v>2.3665349844541146E-3</c:v>
                </c:pt>
                <c:pt idx="3">
                  <c:v>3.8505155145574905E-3</c:v>
                </c:pt>
                <c:pt idx="4">
                  <c:v>9.7282952441512076E-3</c:v>
                </c:pt>
                <c:pt idx="5">
                  <c:v>9.5390850415084764E-3</c:v>
                </c:pt>
                <c:pt idx="6">
                  <c:v>1.2144303975221702E-2</c:v>
                </c:pt>
                <c:pt idx="7">
                  <c:v>1.5088570600175169E-2</c:v>
                </c:pt>
                <c:pt idx="8">
                  <c:v>1.011255491500208E-2</c:v>
                </c:pt>
                <c:pt idx="9">
                  <c:v>2.2877773883781021E-2</c:v>
                </c:pt>
                <c:pt idx="10">
                  <c:v>9.7757986346551241E-3</c:v>
                </c:pt>
                <c:pt idx="11">
                  <c:v>8.3908461239534295E-3</c:v>
                </c:pt>
                <c:pt idx="12">
                  <c:v>2.1122636468141692E-2</c:v>
                </c:pt>
                <c:pt idx="13">
                  <c:v>1.8169286116262166E-2</c:v>
                </c:pt>
                <c:pt idx="14">
                  <c:v>1.0874125460800061E-2</c:v>
                </c:pt>
                <c:pt idx="15">
                  <c:v>7.1022752107275915E-3</c:v>
                </c:pt>
                <c:pt idx="16">
                  <c:v>2.6153394623269103E-2</c:v>
                </c:pt>
                <c:pt idx="17">
                  <c:v>1.4776755773111308E-2</c:v>
                </c:pt>
                <c:pt idx="18">
                  <c:v>4.9758939256356334E-2</c:v>
                </c:pt>
                <c:pt idx="19">
                  <c:v>4.6541534233061031E-2</c:v>
                </c:pt>
                <c:pt idx="20">
                  <c:v>4.8080084961462641E-2</c:v>
                </c:pt>
                <c:pt idx="21">
                  <c:v>4.0009520955167341E-2</c:v>
                </c:pt>
                <c:pt idx="22">
                  <c:v>4.0380317701470728E-2</c:v>
                </c:pt>
                <c:pt idx="23">
                  <c:v>2.978997176834227E-2</c:v>
                </c:pt>
                <c:pt idx="24">
                  <c:v>2.4570242990063117E-2</c:v>
                </c:pt>
                <c:pt idx="25">
                  <c:v>1.8332198973965274E-2</c:v>
                </c:pt>
                <c:pt idx="26">
                  <c:v>4.9616693491331208E-2</c:v>
                </c:pt>
                <c:pt idx="27">
                  <c:v>1.6898734307042976E-2</c:v>
                </c:pt>
                <c:pt idx="28">
                  <c:v>1.3024504653098215E-2</c:v>
                </c:pt>
                <c:pt idx="29">
                  <c:v>2.5409380969636922E-2</c:v>
                </c:pt>
                <c:pt idx="30">
                  <c:v>1.493630255188514E-2</c:v>
                </c:pt>
                <c:pt idx="31">
                  <c:v>1.3923888527900061E-2</c:v>
                </c:pt>
                <c:pt idx="32">
                  <c:v>1.1388583209380881E-2</c:v>
                </c:pt>
                <c:pt idx="33">
                  <c:v>8.13347083249049E-3</c:v>
                </c:pt>
                <c:pt idx="34">
                  <c:v>1.3653760390715405E-2</c:v>
                </c:pt>
                <c:pt idx="35">
                  <c:v>1.1464995484158842E-2</c:v>
                </c:pt>
                <c:pt idx="36">
                  <c:v>1.1400338523483999E-2</c:v>
                </c:pt>
                <c:pt idx="37">
                  <c:v>1.0219081184731646E-2</c:v>
                </c:pt>
                <c:pt idx="38">
                  <c:v>1.0744129637350145E-2</c:v>
                </c:pt>
                <c:pt idx="39">
                  <c:v>2.4418235295627774E-3</c:v>
                </c:pt>
                <c:pt idx="40">
                  <c:v>4.2652655717450071E-3</c:v>
                </c:pt>
                <c:pt idx="41">
                  <c:v>3.134897854676241E-3</c:v>
                </c:pt>
                <c:pt idx="42">
                  <c:v>4.7180767943195701E-3</c:v>
                </c:pt>
                <c:pt idx="43">
                  <c:v>1.9841604293581111E-3</c:v>
                </c:pt>
                <c:pt idx="44">
                  <c:v>1.463641335148848E-3</c:v>
                </c:pt>
                <c:pt idx="45">
                  <c:v>3.1612972011236251E-2</c:v>
                </c:pt>
                <c:pt idx="46">
                  <c:v>4.0569862092052402E-3</c:v>
                </c:pt>
                <c:pt idx="47">
                  <c:v>2.3027316924652207E-3</c:v>
                </c:pt>
                <c:pt idx="48">
                  <c:v>1.0258868647506563E-2</c:v>
                </c:pt>
                <c:pt idx="49">
                  <c:v>4.2547438951988431E-3</c:v>
                </c:pt>
                <c:pt idx="50">
                  <c:v>4.3685189168085967E-4</c:v>
                </c:pt>
                <c:pt idx="51">
                  <c:v>6.4247974550560799E-3</c:v>
                </c:pt>
                <c:pt idx="52">
                  <c:v>2.9171589079648864E-3</c:v>
                </c:pt>
                <c:pt idx="53">
                  <c:v>8.6760200957840912E-4</c:v>
                </c:pt>
                <c:pt idx="54">
                  <c:v>1.3334457617232429E-2</c:v>
                </c:pt>
                <c:pt idx="55">
                  <c:v>1.9601505193139911E-4</c:v>
                </c:pt>
                <c:pt idx="56">
                  <c:v>4.8032291529719511E-3</c:v>
                </c:pt>
                <c:pt idx="57">
                  <c:v>1.1937832617094659E-3</c:v>
                </c:pt>
                <c:pt idx="58">
                  <c:v>2.0820343751435208E-3</c:v>
                </c:pt>
                <c:pt idx="59">
                  <c:v>1.1683095105346925E-2</c:v>
                </c:pt>
                <c:pt idx="60">
                  <c:v>8.8397946532188954E-3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2.6096173305842907E-3</c:v>
                </c:pt>
                <c:pt idx="1">
                  <c:v>1.0390442981564586E-2</c:v>
                </c:pt>
                <c:pt idx="2">
                  <c:v>1.132416439751514E-2</c:v>
                </c:pt>
                <c:pt idx="3">
                  <c:v>1.3546220326981199E-2</c:v>
                </c:pt>
                <c:pt idx="4">
                  <c:v>1.5682834045537906E-2</c:v>
                </c:pt>
                <c:pt idx="5">
                  <c:v>1.7040974286920529E-2</c:v>
                </c:pt>
                <c:pt idx="6">
                  <c:v>1.8251126385224865E-2</c:v>
                </c:pt>
                <c:pt idx="7">
                  <c:v>1.9494226787082479E-2</c:v>
                </c:pt>
                <c:pt idx="8">
                  <c:v>2.0010230727476205E-2</c:v>
                </c:pt>
                <c:pt idx="9">
                  <c:v>1.9365225801984045E-2</c:v>
                </c:pt>
                <c:pt idx="10">
                  <c:v>1.9130678556350533E-2</c:v>
                </c:pt>
                <c:pt idx="11">
                  <c:v>1.8000942656549116E-2</c:v>
                </c:pt>
                <c:pt idx="12">
                  <c:v>1.7222469179375033E-2</c:v>
                </c:pt>
                <c:pt idx="13">
                  <c:v>1.5444377679143835E-2</c:v>
                </c:pt>
                <c:pt idx="14">
                  <c:v>1.4336979612259897E-2</c:v>
                </c:pt>
                <c:pt idx="15">
                  <c:v>1.4715605880211138E-2</c:v>
                </c:pt>
                <c:pt idx="16">
                  <c:v>1.5003205479023658E-2</c:v>
                </c:pt>
                <c:pt idx="17">
                  <c:v>1.4188991469181608E-2</c:v>
                </c:pt>
                <c:pt idx="18">
                  <c:v>0.10897120876715266</c:v>
                </c:pt>
                <c:pt idx="19">
                  <c:v>4.6653680939797305E-2</c:v>
                </c:pt>
                <c:pt idx="20">
                  <c:v>4.6525796846344745E-2</c:v>
                </c:pt>
                <c:pt idx="21">
                  <c:v>5.1775187581951924E-2</c:v>
                </c:pt>
                <c:pt idx="22">
                  <c:v>4.6879851498086766E-2</c:v>
                </c:pt>
                <c:pt idx="23">
                  <c:v>4.3301889110529831E-2</c:v>
                </c:pt>
                <c:pt idx="24">
                  <c:v>3.1532084946311018E-2</c:v>
                </c:pt>
                <c:pt idx="25">
                  <c:v>3.5515479001320169E-2</c:v>
                </c:pt>
                <c:pt idx="26">
                  <c:v>2.706060924205499E-2</c:v>
                </c:pt>
                <c:pt idx="27">
                  <c:v>2.3033656412856762E-2</c:v>
                </c:pt>
                <c:pt idx="28">
                  <c:v>2.2337832917477343E-2</c:v>
                </c:pt>
                <c:pt idx="29">
                  <c:v>2.2724277426949702E-2</c:v>
                </c:pt>
                <c:pt idx="30">
                  <c:v>1.5547131710564231E-2</c:v>
                </c:pt>
                <c:pt idx="31">
                  <c:v>1.4258797197048725E-2</c:v>
                </c:pt>
                <c:pt idx="32">
                  <c:v>1.2256210475996881E-2</c:v>
                </c:pt>
                <c:pt idx="33">
                  <c:v>1.6411047398647668E-2</c:v>
                </c:pt>
                <c:pt idx="34">
                  <c:v>1.2774448199682356E-2</c:v>
                </c:pt>
                <c:pt idx="35">
                  <c:v>1.1353762026130797E-2</c:v>
                </c:pt>
                <c:pt idx="36">
                  <c:v>6.5248809951951323E-3</c:v>
                </c:pt>
                <c:pt idx="37">
                  <c:v>7.4267709992382799E-3</c:v>
                </c:pt>
                <c:pt idx="38">
                  <c:v>6.7929349902048604E-3</c:v>
                </c:pt>
                <c:pt idx="39">
                  <c:v>6.5394005865914923E-3</c:v>
                </c:pt>
                <c:pt idx="40">
                  <c:v>5.1622731872290138E-3</c:v>
                </c:pt>
                <c:pt idx="41">
                  <c:v>4.9098556752615206E-3</c:v>
                </c:pt>
                <c:pt idx="42">
                  <c:v>3.9454197390494357E-3</c:v>
                </c:pt>
                <c:pt idx="43">
                  <c:v>3.8739386737135085E-3</c:v>
                </c:pt>
                <c:pt idx="44">
                  <c:v>3.4874941642411505E-3</c:v>
                </c:pt>
                <c:pt idx="45">
                  <c:v>3.7505221468444459E-3</c:v>
                </c:pt>
                <c:pt idx="46">
                  <c:v>2.8045149227892805E-3</c:v>
                </c:pt>
                <c:pt idx="47">
                  <c:v>3.643300548840555E-3</c:v>
                </c:pt>
                <c:pt idx="48">
                  <c:v>3.3361553462252411E-3</c:v>
                </c:pt>
                <c:pt idx="49">
                  <c:v>2.4610707416830662E-3</c:v>
                </c:pt>
                <c:pt idx="50">
                  <c:v>2.4755903330794266E-3</c:v>
                </c:pt>
                <c:pt idx="51">
                  <c:v>3.1010496547687924E-3</c:v>
                </c:pt>
                <c:pt idx="52">
                  <c:v>1.9305472098929794E-3</c:v>
                </c:pt>
                <c:pt idx="53">
                  <c:v>2.1098083190557353E-3</c:v>
                </c:pt>
                <c:pt idx="54">
                  <c:v>1.7272729303439355E-3</c:v>
                </c:pt>
                <c:pt idx="55">
                  <c:v>1.6044148492978102E-3</c:v>
                </c:pt>
                <c:pt idx="56">
                  <c:v>1.4899334555957388E-3</c:v>
                </c:pt>
                <c:pt idx="57">
                  <c:v>1.59715505359963E-3</c:v>
                </c:pt>
                <c:pt idx="58">
                  <c:v>1.3955561115193971E-3</c:v>
                </c:pt>
                <c:pt idx="59">
                  <c:v>1.3955561115193971E-3</c:v>
                </c:pt>
                <c:pt idx="60">
                  <c:v>1.454751368750712E-3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28808"/>
        <c:axId val="128929200"/>
      </c:lineChart>
      <c:catAx>
        <c:axId val="128928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929200"/>
        <c:crosses val="autoZero"/>
        <c:auto val="1"/>
        <c:lblAlgn val="ctr"/>
        <c:lblOffset val="100"/>
        <c:tickLblSkip val="10"/>
        <c:noMultiLvlLbl val="0"/>
      </c:catAx>
      <c:valAx>
        <c:axId val="1289292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928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2"/>
  <sheetViews>
    <sheetView tabSelected="1" workbookViewId="0">
      <selection activeCell="Y24" sqref="Y24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20" max="20" width="15.28515625" bestFit="1" customWidth="1" collapsed="1"/>
    <col min="21" max="21" width="14.28515625" bestFit="1" customWidth="1" collapsed="1"/>
    <col min="23" max="23" width="12.28515625" bestFit="1" customWidth="1" collapsed="1"/>
    <col min="25" max="25" width="14.28515625" bestFit="1" customWidth="1" collapsed="1"/>
    <col min="27" max="27" width="12.28515625" bestFit="1" customWidth="1" collapsed="1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r="9" spans="1:27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5883365.0002111141</v>
      </c>
      <c r="V10" s="6">
        <f>K11</f>
        <v>7.371756103631701</v>
      </c>
      <c r="W10" s="373">
        <f>U10*V10</f>
        <v>43370731.850199401</v>
      </c>
      <c r="Y10" s="373">
        <f>F102</f>
        <v>6200328</v>
      </c>
      <c r="Z10" s="6">
        <f>L11</f>
        <v>6.8387566287515407</v>
      </c>
      <c r="AA10" s="373">
        <f>Y10*Z10</f>
        <v>42402534.210433781</v>
      </c>
    </row>
    <row r="11" spans="1:27" x14ac:dyDescent="0.25">
      <c r="A11">
        <v>0</v>
      </c>
      <c r="B11" s="6">
        <v>224956.8544271912</v>
      </c>
      <c r="C11" s="9">
        <f>B11/B$102</f>
        <v>3.8236086732527902E-2</v>
      </c>
      <c r="E11" s="10">
        <v>0</v>
      </c>
      <c r="F11" s="100">
        <v>767057</v>
      </c>
      <c r="G11" s="9">
        <f>F11/F$102</f>
        <v>0.12371232618661464</v>
      </c>
      <c r="K11" s="6">
        <v>7.371756103631701</v>
      </c>
      <c r="L11" s="6">
        <v>6.8387566287515407</v>
      </c>
      <c r="S11" t="s">
        <v>42</v>
      </c>
      <c r="T11" t="s">
        <v>27</v>
      </c>
      <c r="U11" s="373">
        <f>TLFD_Work!B102</f>
        <v>2267462.7752703466</v>
      </c>
      <c r="V11" s="6">
        <f>TLFD_Work!K11</f>
        <v>10.388893204831918</v>
      </c>
      <c r="W11" s="373">
        <f t="shared" ref="W11:W16" si="0">U11*V11</f>
        <v>23556428.618215427</v>
      </c>
      <c r="Y11" s="373">
        <f>TLFD_Work!F102</f>
        <v>2718523</v>
      </c>
      <c r="Z11" s="6">
        <f>TLFD_Work!L11</f>
        <v>9.7273698182315389</v>
      </c>
      <c r="AA11" s="373">
        <f t="shared" ref="AA11:AA16" si="1">Y11*Z11</f>
        <v>26444078.580368258</v>
      </c>
    </row>
    <row r="12" spans="1:27" x14ac:dyDescent="0.25">
      <c r="A12">
        <v>1</v>
      </c>
      <c r="B12" s="6">
        <v>342386.52865415521</v>
      </c>
      <c r="C12" s="9">
        <f>B12/B$102</f>
        <v>5.8195697299397414E-2</v>
      </c>
      <c r="E12" s="11">
        <v>1</v>
      </c>
      <c r="F12" s="101">
        <v>679837</v>
      </c>
      <c r="G12" s="9">
        <f>F12/F$102</f>
        <v>0.10964532844068894</v>
      </c>
      <c r="K12" s="6"/>
      <c r="L12" s="370"/>
      <c r="S12" t="s">
        <v>43</v>
      </c>
      <c r="T12" t="s">
        <v>28</v>
      </c>
      <c r="U12" s="373">
        <f>TLFD_School!B102</f>
        <v>871719.52693974599</v>
      </c>
      <c r="V12" s="6">
        <f>TLFD_School!K11</f>
        <v>6.0348967635956425</v>
      </c>
      <c r="W12" s="373">
        <f t="shared" si="0"/>
        <v>5260737.351891798</v>
      </c>
      <c r="Y12" s="373">
        <f>TLFD_School!F102</f>
        <v>754781</v>
      </c>
      <c r="Z12" s="6">
        <f>TLFD_School!L11</f>
        <v>4.9456087702692386</v>
      </c>
      <c r="AA12" s="373">
        <f t="shared" si="1"/>
        <v>3732851.533232586</v>
      </c>
    </row>
    <row r="13" spans="1:27" x14ac:dyDescent="0.25">
      <c r="A13">
        <v>2</v>
      </c>
      <c r="B13" s="6">
        <v>417078.9816587072</v>
      </c>
      <c r="C13" s="9">
        <f t="shared" ref="C13:C76" si="2">B13/B$102</f>
        <v>7.0891230043307024E-2</v>
      </c>
      <c r="E13" s="12">
        <v>2</v>
      </c>
      <c r="F13" s="102">
        <v>431508</v>
      </c>
      <c r="G13" s="9">
        <f t="shared" ref="G13:G76" si="3">F13/F$102</f>
        <v>6.9594382748783615E-2</v>
      </c>
      <c r="S13" t="s">
        <v>44</v>
      </c>
      <c r="T13" t="s">
        <v>29</v>
      </c>
      <c r="U13" s="373">
        <f>TLFD_Escort!B102</f>
        <v>1243423.8409518562</v>
      </c>
      <c r="V13" s="6">
        <f>TLFD_Escort!K11</f>
        <v>6.8939569474179567</v>
      </c>
      <c r="W13" s="373">
        <f t="shared" si="0"/>
        <v>8572110.4269151688</v>
      </c>
      <c r="Y13" s="373">
        <f>TLFD_Escort!F102</f>
        <v>1392892</v>
      </c>
      <c r="Z13" s="6">
        <f>TLFD_Escort!L11</f>
        <v>5.6834793889307784</v>
      </c>
      <c r="AA13" s="373">
        <f t="shared" si="1"/>
        <v>7916472.9730065698</v>
      </c>
    </row>
    <row r="14" spans="1:27" x14ac:dyDescent="0.25">
      <c r="A14">
        <v>3</v>
      </c>
      <c r="B14" s="6">
        <v>572291.99089040724</v>
      </c>
      <c r="C14" s="9">
        <f t="shared" si="2"/>
        <v>9.7272902644978093E-2</v>
      </c>
      <c r="E14" s="13">
        <v>3</v>
      </c>
      <c r="F14" s="103">
        <v>285331</v>
      </c>
      <c r="G14" s="9">
        <f t="shared" si="3"/>
        <v>4.6018694494871885E-2</v>
      </c>
      <c r="S14" t="s">
        <v>45</v>
      </c>
      <c r="T14" t="s">
        <v>30</v>
      </c>
      <c r="U14" s="373">
        <f>TLFD_PerBus!B102</f>
        <v>1836353.6347289735</v>
      </c>
      <c r="V14" s="6">
        <f>TLFD_PerBus!K11</f>
        <v>7.1866380900758235</v>
      </c>
      <c r="W14" s="373">
        <f t="shared" si="0"/>
        <v>13197208.978192426</v>
      </c>
      <c r="Y14" s="373">
        <f>TLFD_PerBus!F102</f>
        <v>1929735</v>
      </c>
      <c r="Z14" s="6">
        <f>TLFD_PerBus!L11</f>
        <v>5.4366442040310243</v>
      </c>
      <c r="AA14" s="373">
        <f t="shared" si="1"/>
        <v>10491282.603065809</v>
      </c>
    </row>
    <row r="15" spans="1:27" x14ac:dyDescent="0.25">
      <c r="A15">
        <v>4</v>
      </c>
      <c r="B15" s="6">
        <v>993451.04320554575</v>
      </c>
      <c r="C15" s="9">
        <f t="shared" si="2"/>
        <v>0.16885762538443519</v>
      </c>
      <c r="E15" s="14">
        <v>4</v>
      </c>
      <c r="F15" s="104">
        <v>920391</v>
      </c>
      <c r="G15" s="9">
        <f t="shared" si="3"/>
        <v>0.14844230821337193</v>
      </c>
      <c r="S15" t="s">
        <v>46</v>
      </c>
      <c r="T15" t="s">
        <v>31</v>
      </c>
      <c r="U15" s="373">
        <f>TLFD_Shop!B102</f>
        <v>2029939.8207113619</v>
      </c>
      <c r="V15" s="6">
        <f>TLFD_Shop!K11</f>
        <v>5.9155464547576937</v>
      </c>
      <c r="W15" s="373">
        <f t="shared" si="0"/>
        <v>12008203.309780566</v>
      </c>
      <c r="Y15" s="373">
        <f>TLFD_Shop!F102</f>
        <v>2141029</v>
      </c>
      <c r="Z15" s="6">
        <f>TLFD_Shop!L11</f>
        <v>5.0324449093293344</v>
      </c>
      <c r="AA15" s="373">
        <f t="shared" si="1"/>
        <v>10774610.491776476</v>
      </c>
    </row>
    <row r="16" spans="1:27" x14ac:dyDescent="0.25">
      <c r="A16">
        <v>5</v>
      </c>
      <c r="B16" s="6">
        <v>595252.54383084958</v>
      </c>
      <c r="C16" s="9">
        <f t="shared" si="2"/>
        <v>0.1011755251985029</v>
      </c>
      <c r="E16" s="15">
        <v>5</v>
      </c>
      <c r="F16" s="105">
        <v>516457</v>
      </c>
      <c r="G16" s="9">
        <f t="shared" si="3"/>
        <v>8.3295109549043206E-2</v>
      </c>
      <c r="S16" t="s">
        <v>34</v>
      </c>
      <c r="T16" t="s">
        <v>48</v>
      </c>
      <c r="U16" s="6">
        <f>TLFD_Meal!B102</f>
        <v>827729.88400841015</v>
      </c>
      <c r="V16" s="6">
        <f>TLFD_Meal!K11</f>
        <v>5.1336132323735608</v>
      </c>
      <c r="W16" s="373">
        <f t="shared" si="0"/>
        <v>4249245.0853766073</v>
      </c>
      <c r="Y16" s="6">
        <f>TLFD_Meal!F102</f>
        <v>877302</v>
      </c>
      <c r="Z16" s="6">
        <f>TLFD_Meal!L11</f>
        <v>4.9328946750843166</v>
      </c>
      <c r="AA16" s="373">
        <f t="shared" si="1"/>
        <v>4327638.3642408215</v>
      </c>
    </row>
    <row r="17" spans="1:28" x14ac:dyDescent="0.25">
      <c r="A17">
        <v>6</v>
      </c>
      <c r="B17" s="6">
        <v>664889.59031248174</v>
      </c>
      <c r="C17" s="9">
        <f t="shared" si="2"/>
        <v>0.11301178667116919</v>
      </c>
      <c r="E17" s="16">
        <v>6</v>
      </c>
      <c r="F17" s="106">
        <v>518677</v>
      </c>
      <c r="G17" s="9">
        <f t="shared" si="3"/>
        <v>8.3653155123406375E-2</v>
      </c>
      <c r="S17" t="s">
        <v>47</v>
      </c>
      <c r="T17" t="s">
        <v>32</v>
      </c>
      <c r="U17" s="373">
        <f>TLFD_SocRec!B102</f>
        <v>1706527.5604909635</v>
      </c>
      <c r="V17" s="6">
        <f>TLFD_SocRec!K11</f>
        <v>6.8425498388975505</v>
      </c>
      <c r="W17" s="373">
        <f>U17*V17</f>
        <v>11676999.884111673</v>
      </c>
      <c r="Y17" s="373">
        <f>TLFD_SocRec!F102</f>
        <v>1790684</v>
      </c>
      <c r="Z17" s="6">
        <f>TLFD_SocRec!L11</f>
        <v>5.7394967812449051</v>
      </c>
      <c r="AA17" s="373">
        <f>Y17*Z17</f>
        <v>10277625.054226752</v>
      </c>
    </row>
    <row r="18" spans="1:28" x14ac:dyDescent="0.25">
      <c r="A18">
        <v>7</v>
      </c>
      <c r="B18" s="6">
        <v>286937.53177327721</v>
      </c>
      <c r="C18" s="9">
        <f t="shared" si="2"/>
        <v>4.8770989350988926E-2</v>
      </c>
      <c r="E18" s="17">
        <v>7</v>
      </c>
      <c r="F18" s="107">
        <v>306285</v>
      </c>
      <c r="G18" s="9">
        <f t="shared" si="3"/>
        <v>4.9398193127847427E-2</v>
      </c>
      <c r="T18" s="375" t="s">
        <v>35</v>
      </c>
      <c r="U18" s="376">
        <f>SUM(U10:U15)+U17</f>
        <v>15838792.159304362</v>
      </c>
      <c r="V18" s="377">
        <f>W18/U18</f>
        <v>7.4274868459712966</v>
      </c>
      <c r="W18" s="376">
        <f>SUM(W10:W15)+W17</f>
        <v>117642420.41930646</v>
      </c>
      <c r="X18" s="375"/>
      <c r="Y18" s="376">
        <f>SUM(Y10:Y15)+Y17</f>
        <v>16927972</v>
      </c>
      <c r="Z18" s="377">
        <f>AA18/Y18</f>
        <v>6.6185988165688263</v>
      </c>
      <c r="AA18" s="376">
        <f>SUM(AA10:AA15)+AA17</f>
        <v>112039455.44611023</v>
      </c>
      <c r="AB18" t="s">
        <v>38</v>
      </c>
    </row>
    <row r="19" spans="1:28" x14ac:dyDescent="0.25">
      <c r="A19">
        <v>8</v>
      </c>
      <c r="B19" s="6">
        <v>312170.67879578931</v>
      </c>
      <c r="C19" s="9">
        <f t="shared" si="2"/>
        <v>5.3059886439917908E-2</v>
      </c>
      <c r="E19" s="18">
        <v>8</v>
      </c>
      <c r="F19" s="108">
        <v>320715</v>
      </c>
      <c r="G19" s="9">
        <f t="shared" si="3"/>
        <v>5.1725489361207987E-2</v>
      </c>
      <c r="S19" s="375" t="s">
        <v>36</v>
      </c>
      <c r="U19" s="378">
        <f>U18+U16</f>
        <v>16666522.043312771</v>
      </c>
      <c r="V19" s="377">
        <f>W19/U19</f>
        <v>7.3135633930049933</v>
      </c>
      <c r="W19" s="379">
        <f>W18+W16</f>
        <v>121891665.50468306</v>
      </c>
      <c r="X19" s="375"/>
      <c r="Y19" s="378">
        <f>Y18+Y16</f>
        <v>17805274</v>
      </c>
      <c r="Z19" s="377">
        <f>AA19/Y19</f>
        <v>6.5355407510353984</v>
      </c>
      <c r="AA19" s="379">
        <f>AA18+AA16</f>
        <v>116367093.81035106</v>
      </c>
      <c r="AB19" t="s">
        <v>37</v>
      </c>
    </row>
    <row r="20" spans="1:28" x14ac:dyDescent="0.25">
      <c r="A20">
        <v>9</v>
      </c>
      <c r="B20" s="6">
        <v>161831.56343164589</v>
      </c>
      <c r="C20" s="9">
        <f t="shared" si="2"/>
        <v>2.7506633266139165E-2</v>
      </c>
      <c r="E20" s="19">
        <v>9</v>
      </c>
      <c r="F20" s="109">
        <v>156612</v>
      </c>
      <c r="G20" s="9">
        <f t="shared" si="3"/>
        <v>2.5258663735208846E-2</v>
      </c>
    </row>
    <row r="21" spans="1:28" x14ac:dyDescent="0.25">
      <c r="A21">
        <v>10</v>
      </c>
      <c r="B21" s="6">
        <v>303426.1524707331</v>
      </c>
      <c r="C21" s="9">
        <f t="shared" si="2"/>
        <v>5.1573572684993227E-2</v>
      </c>
      <c r="E21" s="20">
        <v>10</v>
      </c>
      <c r="F21" s="110">
        <v>140030</v>
      </c>
      <c r="G21" s="9">
        <f t="shared" si="3"/>
        <v>2.2584289089222376E-2</v>
      </c>
    </row>
    <row r="22" spans="1:28" x14ac:dyDescent="0.25">
      <c r="A22">
        <v>11</v>
      </c>
      <c r="B22" s="6">
        <v>107277.28101512069</v>
      </c>
      <c r="C22" s="9">
        <f t="shared" si="2"/>
        <v>1.8234000612110796E-2</v>
      </c>
      <c r="E22" s="21">
        <v>11</v>
      </c>
      <c r="F22" s="111">
        <v>156879</v>
      </c>
      <c r="G22" s="9">
        <f t="shared" si="3"/>
        <v>2.5301725973206578E-2</v>
      </c>
    </row>
    <row r="23" spans="1:28" x14ac:dyDescent="0.25">
      <c r="A23">
        <v>12</v>
      </c>
      <c r="B23" s="6">
        <v>68941.094080508105</v>
      </c>
      <c r="C23" s="9">
        <f t="shared" si="2"/>
        <v>1.1717969916541686E-2</v>
      </c>
      <c r="E23" s="22">
        <v>12</v>
      </c>
      <c r="F23" s="112">
        <v>145969</v>
      </c>
      <c r="G23" s="9">
        <f t="shared" si="3"/>
        <v>2.3542141641538963E-2</v>
      </c>
    </row>
    <row r="24" spans="1:28" x14ac:dyDescent="0.25">
      <c r="A24">
        <v>13</v>
      </c>
      <c r="B24" s="6">
        <v>67934.848784654096</v>
      </c>
      <c r="C24" s="9">
        <f t="shared" si="2"/>
        <v>1.1546937642355417E-2</v>
      </c>
      <c r="E24" s="23">
        <v>13</v>
      </c>
      <c r="F24" s="113">
        <v>112514</v>
      </c>
      <c r="G24" s="9">
        <f t="shared" si="3"/>
        <v>1.8146459348602203E-2</v>
      </c>
    </row>
    <row r="25" spans="1:28" x14ac:dyDescent="0.25">
      <c r="A25">
        <v>14</v>
      </c>
      <c r="B25" s="6">
        <v>79263.666679820497</v>
      </c>
      <c r="C25" s="9">
        <f t="shared" si="2"/>
        <v>1.3472505390533523E-2</v>
      </c>
      <c r="E25" s="24">
        <v>14</v>
      </c>
      <c r="F25" s="114">
        <v>89729</v>
      </c>
      <c r="G25" s="9">
        <f t="shared" si="3"/>
        <v>1.4471653757672174E-2</v>
      </c>
    </row>
    <row r="26" spans="1:28" x14ac:dyDescent="0.25">
      <c r="A26">
        <v>15</v>
      </c>
      <c r="B26" s="6">
        <v>68297.195952493406</v>
      </c>
      <c r="C26" s="9">
        <f t="shared" si="2"/>
        <v>1.1608526064597842E-2</v>
      </c>
      <c r="E26" s="25">
        <v>15</v>
      </c>
      <c r="F26" s="115">
        <v>91416</v>
      </c>
      <c r="G26" s="9">
        <f t="shared" si="3"/>
        <v>1.4743736137830128E-2</v>
      </c>
    </row>
    <row r="27" spans="1:28" x14ac:dyDescent="0.25">
      <c r="A27">
        <v>16</v>
      </c>
      <c r="B27" s="6">
        <v>104819.5152228798</v>
      </c>
      <c r="C27" s="9">
        <f t="shared" si="2"/>
        <v>1.7816252301041755E-2</v>
      </c>
      <c r="E27" s="26">
        <v>16</v>
      </c>
      <c r="F27" s="116">
        <v>94394</v>
      </c>
      <c r="G27" s="9">
        <f t="shared" si="3"/>
        <v>1.5224033309205577E-2</v>
      </c>
    </row>
    <row r="28" spans="1:28" x14ac:dyDescent="0.25">
      <c r="A28">
        <v>17</v>
      </c>
      <c r="B28" s="6">
        <v>71057.294651197502</v>
      </c>
      <c r="C28" s="9">
        <f t="shared" si="2"/>
        <v>1.2077662128500907E-2</v>
      </c>
      <c r="E28" s="27">
        <v>17</v>
      </c>
      <c r="F28" s="117">
        <v>60329</v>
      </c>
      <c r="G28" s="9">
        <f t="shared" si="3"/>
        <v>9.7299691242140746E-3</v>
      </c>
    </row>
    <row r="29" spans="1:28" x14ac:dyDescent="0.25">
      <c r="A29">
        <v>18</v>
      </c>
      <c r="B29" s="6">
        <v>62294.841356417499</v>
      </c>
      <c r="C29" s="9">
        <f t="shared" si="2"/>
        <v>1.0588301312970071E-2</v>
      </c>
      <c r="E29" s="28">
        <v>18</v>
      </c>
      <c r="F29" s="118">
        <v>51575</v>
      </c>
      <c r="G29" s="9">
        <f t="shared" si="3"/>
        <v>8.3181083323333859E-3</v>
      </c>
    </row>
    <row r="30" spans="1:28" x14ac:dyDescent="0.25">
      <c r="A30">
        <v>19</v>
      </c>
      <c r="B30" s="6">
        <v>31455.874706283299</v>
      </c>
      <c r="C30" s="9">
        <f t="shared" si="2"/>
        <v>5.3465788209901242E-3</v>
      </c>
      <c r="E30" s="29">
        <v>19</v>
      </c>
      <c r="F30" s="119">
        <v>40691</v>
      </c>
      <c r="G30" s="9">
        <f t="shared" si="3"/>
        <v>6.5627173272123666E-3</v>
      </c>
    </row>
    <row r="31" spans="1:28" x14ac:dyDescent="0.25">
      <c r="A31">
        <v>20</v>
      </c>
      <c r="B31" s="6">
        <v>31251.3498934255</v>
      </c>
      <c r="C31" s="9">
        <f t="shared" si="2"/>
        <v>5.3118155838205007E-3</v>
      </c>
      <c r="E31" s="30">
        <v>20</v>
      </c>
      <c r="F31" s="120">
        <v>39082</v>
      </c>
      <c r="G31" s="9">
        <f t="shared" si="3"/>
        <v>6.3032149266942011E-3</v>
      </c>
    </row>
    <row r="32" spans="1:28" x14ac:dyDescent="0.25">
      <c r="A32">
        <v>21</v>
      </c>
      <c r="B32" s="6">
        <v>30265.1183943176</v>
      </c>
      <c r="C32" s="9">
        <f t="shared" si="2"/>
        <v>5.1441850698081097E-3</v>
      </c>
      <c r="E32" s="31">
        <v>21</v>
      </c>
      <c r="F32" s="121">
        <v>32439</v>
      </c>
      <c r="G32" s="9">
        <f t="shared" si="3"/>
        <v>5.2318199940390251E-3</v>
      </c>
    </row>
    <row r="33" spans="1:7" x14ac:dyDescent="0.25">
      <c r="A33">
        <v>22</v>
      </c>
      <c r="B33" s="6">
        <v>27895.2779775489</v>
      </c>
      <c r="C33" s="9">
        <f t="shared" si="2"/>
        <v>4.7413815013258448E-3</v>
      </c>
      <c r="E33" s="32">
        <v>22</v>
      </c>
      <c r="F33" s="122">
        <v>27301</v>
      </c>
      <c r="G33" s="9">
        <f t="shared" si="3"/>
        <v>4.4031541557156334E-3</v>
      </c>
    </row>
    <row r="34" spans="1:7" x14ac:dyDescent="0.25">
      <c r="A34">
        <v>23</v>
      </c>
      <c r="B34" s="6">
        <v>41273.0501026813</v>
      </c>
      <c r="C34" s="9">
        <f t="shared" si="2"/>
        <v>7.0152115500568624E-3</v>
      </c>
      <c r="E34" s="33">
        <v>23</v>
      </c>
      <c r="F34" s="123">
        <v>26393</v>
      </c>
      <c r="G34" s="9">
        <f t="shared" si="3"/>
        <v>4.2567102901652941E-3</v>
      </c>
    </row>
    <row r="35" spans="1:7" x14ac:dyDescent="0.25">
      <c r="A35">
        <v>24</v>
      </c>
      <c r="B35" s="6">
        <v>36024.745351869802</v>
      </c>
      <c r="C35" s="9">
        <f t="shared" si="2"/>
        <v>6.1231532210864218E-3</v>
      </c>
      <c r="E35" s="34">
        <v>24</v>
      </c>
      <c r="F35" s="124">
        <v>24078</v>
      </c>
      <c r="G35" s="9">
        <f t="shared" si="3"/>
        <v>3.8833429457280325E-3</v>
      </c>
    </row>
    <row r="36" spans="1:7" x14ac:dyDescent="0.25">
      <c r="A36">
        <v>25</v>
      </c>
      <c r="B36" s="6">
        <v>14997.599839590501</v>
      </c>
      <c r="C36" s="9">
        <f t="shared" si="2"/>
        <v>2.5491533907980109E-3</v>
      </c>
      <c r="E36" s="35">
        <v>25</v>
      </c>
      <c r="F36" s="125">
        <v>21721</v>
      </c>
      <c r="G36" s="9">
        <f t="shared" si="3"/>
        <v>3.5032017661001161E-3</v>
      </c>
    </row>
    <row r="37" spans="1:7" x14ac:dyDescent="0.25">
      <c r="A37">
        <v>26</v>
      </c>
      <c r="B37" s="6">
        <v>23789.640865390698</v>
      </c>
      <c r="C37" s="9">
        <f t="shared" si="2"/>
        <v>4.0435432553542145E-3</v>
      </c>
      <c r="E37" s="36">
        <v>26</v>
      </c>
      <c r="F37" s="126">
        <v>20376</v>
      </c>
      <c r="G37" s="9">
        <f t="shared" si="3"/>
        <v>3.2862777582089208E-3</v>
      </c>
    </row>
    <row r="38" spans="1:7" x14ac:dyDescent="0.25">
      <c r="A38">
        <v>27</v>
      </c>
      <c r="B38" s="6">
        <v>10168.2846509222</v>
      </c>
      <c r="C38" s="9">
        <f t="shared" si="2"/>
        <v>1.728311034681229E-3</v>
      </c>
      <c r="E38" s="37">
        <v>27</v>
      </c>
      <c r="F38" s="127">
        <v>19268</v>
      </c>
      <c r="G38" s="9">
        <f t="shared" si="3"/>
        <v>3.1075775346078465E-3</v>
      </c>
    </row>
    <row r="39" spans="1:7" x14ac:dyDescent="0.25">
      <c r="A39">
        <v>28</v>
      </c>
      <c r="B39" s="6">
        <v>12739.617829762399</v>
      </c>
      <c r="C39" s="9">
        <f t="shared" si="2"/>
        <v>2.1653624803671472E-3</v>
      </c>
      <c r="E39" s="38">
        <v>28</v>
      </c>
      <c r="F39" s="128">
        <v>12136</v>
      </c>
      <c r="G39" s="9">
        <f t="shared" si="3"/>
        <v>1.957315806518623E-3</v>
      </c>
    </row>
    <row r="40" spans="1:7" x14ac:dyDescent="0.25">
      <c r="A40">
        <v>29</v>
      </c>
      <c r="B40" s="6">
        <v>5811.7859794845999</v>
      </c>
      <c r="C40" s="9">
        <f t="shared" si="2"/>
        <v>9.878336596957785E-4</v>
      </c>
      <c r="E40" s="39">
        <v>29</v>
      </c>
      <c r="F40" s="129">
        <v>11353</v>
      </c>
      <c r="G40" s="9">
        <f t="shared" si="3"/>
        <v>1.8310321647499938E-3</v>
      </c>
    </row>
    <row r="41" spans="1:7" x14ac:dyDescent="0.25">
      <c r="A41">
        <v>30</v>
      </c>
      <c r="B41" s="6">
        <v>9598.9321423839992</v>
      </c>
      <c r="C41" s="9">
        <f t="shared" si="2"/>
        <v>1.6315377580754481E-3</v>
      </c>
      <c r="E41" s="40">
        <v>30</v>
      </c>
      <c r="F41" s="130">
        <v>8999</v>
      </c>
      <c r="G41" s="9">
        <f t="shared" si="3"/>
        <v>1.4513748304928384E-3</v>
      </c>
    </row>
    <row r="42" spans="1:7" x14ac:dyDescent="0.25">
      <c r="A42">
        <v>31</v>
      </c>
      <c r="B42" s="6">
        <v>3587.2195580972002</v>
      </c>
      <c r="C42" s="9">
        <f t="shared" si="2"/>
        <v>6.0972242211191708E-4</v>
      </c>
      <c r="E42" s="41">
        <v>31</v>
      </c>
      <c r="F42" s="131">
        <v>8780</v>
      </c>
      <c r="G42" s="9">
        <f t="shared" si="3"/>
        <v>1.4160541184272831E-3</v>
      </c>
    </row>
    <row r="43" spans="1:7" x14ac:dyDescent="0.25">
      <c r="A43">
        <v>32</v>
      </c>
      <c r="B43" s="6">
        <v>5179.8691213308002</v>
      </c>
      <c r="C43" s="9">
        <f t="shared" si="2"/>
        <v>8.8042627325432467E-4</v>
      </c>
      <c r="E43" s="42">
        <v>32</v>
      </c>
      <c r="F43" s="132">
        <v>7776</v>
      </c>
      <c r="G43" s="9">
        <f t="shared" si="3"/>
        <v>1.2541272010125916E-3</v>
      </c>
    </row>
    <row r="44" spans="1:7" x14ac:dyDescent="0.25">
      <c r="A44">
        <v>33</v>
      </c>
      <c r="B44" s="6">
        <v>7294.8721683681997</v>
      </c>
      <c r="C44" s="9">
        <f t="shared" si="2"/>
        <v>1.2399149412124586E-3</v>
      </c>
      <c r="E44" s="43">
        <v>33</v>
      </c>
      <c r="F44" s="133">
        <v>5470</v>
      </c>
      <c r="G44" s="9">
        <f t="shared" si="3"/>
        <v>8.8221139268761261E-4</v>
      </c>
    </row>
    <row r="45" spans="1:7" x14ac:dyDescent="0.25">
      <c r="A45">
        <v>34</v>
      </c>
      <c r="B45" s="6">
        <v>7902.7951278496002</v>
      </c>
      <c r="C45" s="9">
        <f t="shared" si="2"/>
        <v>1.3432440665445749E-3</v>
      </c>
      <c r="E45" s="44">
        <v>34</v>
      </c>
      <c r="F45" s="134">
        <v>5937</v>
      </c>
      <c r="G45" s="9">
        <f t="shared" si="3"/>
        <v>9.5752998873607981E-4</v>
      </c>
    </row>
    <row r="46" spans="1:7" x14ac:dyDescent="0.25">
      <c r="A46">
        <v>35</v>
      </c>
      <c r="B46" s="6">
        <v>2861.0567208448001</v>
      </c>
      <c r="C46" s="9">
        <f t="shared" si="2"/>
        <v>4.8629597530361216E-4</v>
      </c>
      <c r="E46" s="45">
        <v>35</v>
      </c>
      <c r="F46" s="135">
        <v>4443</v>
      </c>
      <c r="G46" s="9">
        <f t="shared" si="3"/>
        <v>7.1657499409708643E-4</v>
      </c>
    </row>
    <row r="47" spans="1:7" x14ac:dyDescent="0.25">
      <c r="A47">
        <v>36</v>
      </c>
      <c r="B47" s="6">
        <v>4640.3094541365999</v>
      </c>
      <c r="C47" s="9">
        <f t="shared" si="2"/>
        <v>7.887169084308199E-4</v>
      </c>
      <c r="E47" s="46">
        <v>36</v>
      </c>
      <c r="F47" s="136">
        <v>5380</v>
      </c>
      <c r="G47" s="9">
        <f t="shared" si="3"/>
        <v>8.6769603156478176E-4</v>
      </c>
    </row>
    <row r="48" spans="1:7" x14ac:dyDescent="0.25">
      <c r="A48">
        <v>37</v>
      </c>
      <c r="B48" s="6">
        <v>4062.3644320802</v>
      </c>
      <c r="C48" s="9">
        <f t="shared" si="2"/>
        <v>6.904831558018973E-4</v>
      </c>
      <c r="E48" s="47">
        <v>37</v>
      </c>
      <c r="F48" s="137">
        <v>3920</v>
      </c>
      <c r="G48" s="9">
        <f t="shared" si="3"/>
        <v>6.3222461779441342E-4</v>
      </c>
    </row>
    <row r="49" spans="1:7" x14ac:dyDescent="0.25">
      <c r="A49">
        <v>38</v>
      </c>
      <c r="B49" s="6">
        <v>6321.6633596990996</v>
      </c>
      <c r="C49" s="9">
        <f t="shared" si="2"/>
        <v>1.0744979037459444E-3</v>
      </c>
      <c r="E49" s="48">
        <v>38</v>
      </c>
      <c r="F49" s="138">
        <v>4566</v>
      </c>
      <c r="G49" s="9">
        <f t="shared" si="3"/>
        <v>7.3641265429828871E-4</v>
      </c>
    </row>
    <row r="50" spans="1:7" x14ac:dyDescent="0.25">
      <c r="A50">
        <v>39</v>
      </c>
      <c r="B50" s="6">
        <v>4704.9573045597999</v>
      </c>
      <c r="C50" s="9">
        <f t="shared" si="2"/>
        <v>7.997051524749817E-4</v>
      </c>
      <c r="E50" s="49">
        <v>39</v>
      </c>
      <c r="F50" s="139">
        <v>3392</v>
      </c>
      <c r="G50" s="9">
        <f t="shared" si="3"/>
        <v>5.4706783254047204E-4</v>
      </c>
    </row>
    <row r="51" spans="1:7" x14ac:dyDescent="0.25">
      <c r="A51">
        <v>40</v>
      </c>
      <c r="B51" s="6">
        <v>2537.7153002963</v>
      </c>
      <c r="C51" s="9">
        <f t="shared" si="2"/>
        <v>4.3133738943703791E-4</v>
      </c>
      <c r="E51" s="50">
        <v>40</v>
      </c>
      <c r="F51" s="140">
        <v>2598</v>
      </c>
      <c r="G51" s="9">
        <f t="shared" si="3"/>
        <v>4.190100910790526E-4</v>
      </c>
    </row>
    <row r="52" spans="1:7" x14ac:dyDescent="0.25">
      <c r="A52">
        <v>41</v>
      </c>
      <c r="B52" s="6">
        <v>3990.2261728134999</v>
      </c>
      <c r="C52" s="9">
        <f t="shared" si="2"/>
        <v>6.7822176129992242E-4</v>
      </c>
      <c r="E52" s="51">
        <v>41</v>
      </c>
      <c r="F52" s="141">
        <v>2385</v>
      </c>
      <c r="G52" s="9">
        <f t="shared" si="3"/>
        <v>3.8465706975501941E-4</v>
      </c>
    </row>
    <row r="53" spans="1:7" x14ac:dyDescent="0.25">
      <c r="A53">
        <v>42</v>
      </c>
      <c r="B53" s="6">
        <v>1655.8316529626002</v>
      </c>
      <c r="C53" s="9">
        <f t="shared" si="2"/>
        <v>2.8144295873249131E-4</v>
      </c>
      <c r="E53" s="52">
        <v>42</v>
      </c>
      <c r="F53" s="142">
        <v>1818</v>
      </c>
      <c r="G53" s="9">
        <f t="shared" si="3"/>
        <v>2.9321029468118458E-4</v>
      </c>
    </row>
    <row r="54" spans="1:7" x14ac:dyDescent="0.25">
      <c r="A54">
        <v>43</v>
      </c>
      <c r="B54" s="6">
        <v>3973.8912322720003</v>
      </c>
      <c r="C54" s="9">
        <f t="shared" si="2"/>
        <v>6.7544529909828888E-4</v>
      </c>
      <c r="E54" s="53">
        <v>43</v>
      </c>
      <c r="F54" s="143">
        <v>1704</v>
      </c>
      <c r="G54" s="9">
        <f t="shared" si="3"/>
        <v>2.7482417059226542E-4</v>
      </c>
    </row>
    <row r="55" spans="1:7" x14ac:dyDescent="0.25">
      <c r="A55">
        <v>44</v>
      </c>
      <c r="B55" s="6">
        <v>2581.7723076689999</v>
      </c>
      <c r="C55" s="9">
        <f t="shared" si="2"/>
        <v>4.3882579231041378E-4</v>
      </c>
      <c r="E55" s="54">
        <v>44</v>
      </c>
      <c r="F55" s="144">
        <v>1615</v>
      </c>
      <c r="G55" s="9">
        <f t="shared" si="3"/>
        <v>2.6047009125968818E-4</v>
      </c>
    </row>
    <row r="56" spans="1:7" x14ac:dyDescent="0.25">
      <c r="A56">
        <v>45</v>
      </c>
      <c r="B56" s="6">
        <v>445.20986022990002</v>
      </c>
      <c r="C56" s="9">
        <f t="shared" si="2"/>
        <v>7.5672656755772328E-5</v>
      </c>
      <c r="E56" s="55">
        <v>45</v>
      </c>
      <c r="F56" s="145">
        <v>1615</v>
      </c>
      <c r="G56" s="9">
        <f t="shared" si="3"/>
        <v>2.6047009125968818E-4</v>
      </c>
    </row>
    <row r="57" spans="1:7" x14ac:dyDescent="0.25">
      <c r="A57">
        <v>46</v>
      </c>
      <c r="B57" s="6">
        <v>6077.4080376669999</v>
      </c>
      <c r="C57" s="9">
        <f t="shared" si="2"/>
        <v>1.0329816418748322E-3</v>
      </c>
      <c r="E57" s="56">
        <v>46</v>
      </c>
      <c r="F57" s="146">
        <v>1226</v>
      </c>
      <c r="G57" s="9">
        <f t="shared" si="3"/>
        <v>1.9773147485100789E-4</v>
      </c>
    </row>
    <row r="58" spans="1:7" x14ac:dyDescent="0.25">
      <c r="A58">
        <v>47</v>
      </c>
      <c r="B58" s="6">
        <v>5102.0705363289999</v>
      </c>
      <c r="C58" s="9">
        <f t="shared" si="2"/>
        <v>8.6720278890497549E-4</v>
      </c>
      <c r="E58" s="57">
        <v>47</v>
      </c>
      <c r="F58" s="147">
        <v>1221</v>
      </c>
      <c r="G58" s="9">
        <f t="shared" si="3"/>
        <v>1.969250658997395E-4</v>
      </c>
    </row>
    <row r="59" spans="1:7" x14ac:dyDescent="0.25">
      <c r="A59">
        <v>48</v>
      </c>
      <c r="B59" s="6">
        <v>626.59669115399993</v>
      </c>
      <c r="C59" s="9">
        <f t="shared" si="2"/>
        <v>1.0650311363165733E-4</v>
      </c>
      <c r="E59" s="58">
        <v>48</v>
      </c>
      <c r="F59" s="148">
        <v>928</v>
      </c>
      <c r="G59" s="9">
        <f t="shared" si="3"/>
        <v>1.4966950135541216E-4</v>
      </c>
    </row>
    <row r="60" spans="1:7" x14ac:dyDescent="0.25">
      <c r="A60">
        <v>49</v>
      </c>
      <c r="B60" s="6">
        <v>5384.7754416070002</v>
      </c>
      <c r="C60" s="9">
        <f t="shared" si="2"/>
        <v>9.1525435552847342E-4</v>
      </c>
      <c r="E60" s="59">
        <v>49</v>
      </c>
      <c r="F60" s="149">
        <v>721</v>
      </c>
      <c r="G60" s="9">
        <f t="shared" si="3"/>
        <v>1.1628417077290104E-4</v>
      </c>
    </row>
    <row r="61" spans="1:7" x14ac:dyDescent="0.25">
      <c r="A61">
        <v>50</v>
      </c>
      <c r="B61" s="6">
        <v>634.70045483500007</v>
      </c>
      <c r="C61" s="9">
        <f t="shared" si="2"/>
        <v>1.0788051647521869E-4</v>
      </c>
      <c r="E61" s="60">
        <v>50</v>
      </c>
      <c r="F61" s="150">
        <v>664</v>
      </c>
      <c r="G61" s="9">
        <f t="shared" si="3"/>
        <v>1.0709110872844146E-4</v>
      </c>
    </row>
    <row r="62" spans="1:7" x14ac:dyDescent="0.25">
      <c r="A62">
        <v>51</v>
      </c>
      <c r="B62" s="6">
        <v>971.45850096200002</v>
      </c>
      <c r="C62" s="9">
        <f t="shared" si="2"/>
        <v>1.6511953634138643E-4</v>
      </c>
      <c r="E62" s="61">
        <v>51</v>
      </c>
      <c r="F62" s="151">
        <v>588</v>
      </c>
      <c r="G62" s="9">
        <f t="shared" si="3"/>
        <v>9.4833692669162023E-5</v>
      </c>
    </row>
    <row r="63" spans="1:7" x14ac:dyDescent="0.25">
      <c r="A63">
        <v>52</v>
      </c>
      <c r="B63" s="6">
        <v>1079.971539528</v>
      </c>
      <c r="C63" s="9">
        <f t="shared" si="2"/>
        <v>1.8356357959930196E-4</v>
      </c>
      <c r="E63" s="62">
        <v>52</v>
      </c>
      <c r="F63" s="152">
        <v>526</v>
      </c>
      <c r="G63" s="9">
        <f t="shared" si="3"/>
        <v>8.4834221673434052E-5</v>
      </c>
    </row>
    <row r="64" spans="1:7" x14ac:dyDescent="0.25">
      <c r="A64">
        <v>53</v>
      </c>
      <c r="B64" s="6">
        <v>5158.8769299545002</v>
      </c>
      <c r="C64" s="9">
        <f t="shared" si="2"/>
        <v>8.7685821460497236E-4</v>
      </c>
      <c r="E64" s="63">
        <v>53</v>
      </c>
      <c r="F64" s="153">
        <v>386</v>
      </c>
      <c r="G64" s="9">
        <f t="shared" si="3"/>
        <v>6.2254771037919279E-5</v>
      </c>
    </row>
    <row r="65" spans="1:7" x14ac:dyDescent="0.25">
      <c r="A65">
        <v>54</v>
      </c>
      <c r="B65" s="6">
        <v>1350.7007925549999</v>
      </c>
      <c r="C65" s="9">
        <f t="shared" si="2"/>
        <v>2.2957963554981416E-4</v>
      </c>
      <c r="E65" s="64">
        <v>54</v>
      </c>
      <c r="F65" s="154">
        <v>440</v>
      </c>
      <c r="G65" s="9">
        <f t="shared" si="3"/>
        <v>7.0963987711617835E-5</v>
      </c>
    </row>
    <row r="66" spans="1:7" x14ac:dyDescent="0.25">
      <c r="A66">
        <v>55</v>
      </c>
      <c r="B66" s="6">
        <v>0</v>
      </c>
      <c r="C66" s="9">
        <f t="shared" si="2"/>
        <v>0</v>
      </c>
      <c r="E66" s="65">
        <v>55</v>
      </c>
      <c r="F66" s="155">
        <v>364</v>
      </c>
      <c r="G66" s="9">
        <f t="shared" si="3"/>
        <v>5.8706571652338391E-5</v>
      </c>
    </row>
    <row r="67" spans="1:7" x14ac:dyDescent="0.25">
      <c r="A67">
        <v>56</v>
      </c>
      <c r="B67" s="6">
        <v>0</v>
      </c>
      <c r="C67" s="9">
        <f t="shared" si="2"/>
        <v>0</v>
      </c>
      <c r="E67" s="66">
        <v>56</v>
      </c>
      <c r="F67" s="156">
        <v>304</v>
      </c>
      <c r="G67" s="9">
        <f t="shared" si="3"/>
        <v>4.9029664237117777E-5</v>
      </c>
    </row>
    <row r="68" spans="1:7" x14ac:dyDescent="0.25">
      <c r="A68">
        <v>57</v>
      </c>
      <c r="B68" s="6">
        <v>0</v>
      </c>
      <c r="C68" s="9">
        <f t="shared" si="2"/>
        <v>0</v>
      </c>
      <c r="E68" s="67">
        <v>57</v>
      </c>
      <c r="F68" s="157">
        <v>298</v>
      </c>
      <c r="G68" s="9">
        <f t="shared" si="3"/>
        <v>4.8061973495595719E-5</v>
      </c>
    </row>
    <row r="69" spans="1:7" x14ac:dyDescent="0.25">
      <c r="A69">
        <v>58</v>
      </c>
      <c r="B69" s="6">
        <v>711.727573689</v>
      </c>
      <c r="C69" s="9">
        <f t="shared" si="2"/>
        <v>1.2097287413979261E-4</v>
      </c>
      <c r="E69" s="68">
        <v>58</v>
      </c>
      <c r="F69" s="158">
        <v>251</v>
      </c>
      <c r="G69" s="9">
        <f t="shared" si="3"/>
        <v>4.0481729353672903E-5</v>
      </c>
    </row>
    <row r="70" spans="1:7" x14ac:dyDescent="0.25">
      <c r="A70">
        <v>59</v>
      </c>
      <c r="B70" s="6">
        <v>507.74369763300001</v>
      </c>
      <c r="C70" s="9">
        <f t="shared" si="2"/>
        <v>8.6301580407603556E-5</v>
      </c>
      <c r="E70" s="69">
        <v>59</v>
      </c>
      <c r="F70" s="159">
        <v>215</v>
      </c>
      <c r="G70" s="9">
        <f t="shared" si="3"/>
        <v>3.4675584904540535E-5</v>
      </c>
    </row>
    <row r="71" spans="1:7" x14ac:dyDescent="0.25">
      <c r="A71">
        <v>60</v>
      </c>
      <c r="B71" s="6">
        <v>0</v>
      </c>
      <c r="C71" s="9">
        <f t="shared" si="2"/>
        <v>0</v>
      </c>
      <c r="E71" s="70">
        <v>60</v>
      </c>
      <c r="F71" s="160">
        <v>149</v>
      </c>
      <c r="G71" s="9">
        <f t="shared" si="3"/>
        <v>2.403098674779786E-5</v>
      </c>
    </row>
    <row r="72" spans="1:7" x14ac:dyDescent="0.25">
      <c r="A72">
        <v>61</v>
      </c>
      <c r="B72" s="6">
        <v>1707.027510072</v>
      </c>
      <c r="C72" s="9">
        <f t="shared" si="2"/>
        <v>2.9014475729633403E-4</v>
      </c>
      <c r="E72" s="71">
        <v>61</v>
      </c>
      <c r="F72" s="161">
        <v>93</v>
      </c>
      <c r="G72" s="9">
        <f t="shared" si="3"/>
        <v>1.4999206493591952E-5</v>
      </c>
    </row>
    <row r="73" spans="1:7" x14ac:dyDescent="0.25">
      <c r="A73">
        <v>62</v>
      </c>
      <c r="B73" s="6">
        <v>413.74078221299999</v>
      </c>
      <c r="C73" s="9">
        <f t="shared" si="2"/>
        <v>7.032383375808804E-5</v>
      </c>
      <c r="E73" s="72">
        <v>62</v>
      </c>
      <c r="F73" s="162">
        <v>107</v>
      </c>
      <c r="G73" s="9">
        <f t="shared" si="3"/>
        <v>1.725715155714343E-5</v>
      </c>
    </row>
    <row r="74" spans="1:7" x14ac:dyDescent="0.25">
      <c r="A74">
        <v>63</v>
      </c>
      <c r="B74" s="6">
        <v>0</v>
      </c>
      <c r="C74" s="9">
        <f t="shared" si="2"/>
        <v>0</v>
      </c>
      <c r="E74" s="73">
        <v>63</v>
      </c>
      <c r="F74" s="163">
        <v>119</v>
      </c>
      <c r="G74" s="9">
        <f t="shared" si="3"/>
        <v>1.9192533040187553E-5</v>
      </c>
    </row>
    <row r="75" spans="1:7" x14ac:dyDescent="0.25">
      <c r="A75">
        <v>64</v>
      </c>
      <c r="B75" s="6">
        <v>0</v>
      </c>
      <c r="C75" s="9">
        <f t="shared" si="2"/>
        <v>0</v>
      </c>
      <c r="E75" s="74">
        <v>64</v>
      </c>
      <c r="F75" s="164">
        <v>59</v>
      </c>
      <c r="G75" s="9">
        <f t="shared" si="3"/>
        <v>9.515625624966937E-6</v>
      </c>
    </row>
    <row r="76" spans="1:7" x14ac:dyDescent="0.25">
      <c r="A76">
        <v>65</v>
      </c>
      <c r="B76" s="6">
        <v>0</v>
      </c>
      <c r="C76" s="9">
        <f t="shared" si="2"/>
        <v>0</v>
      </c>
      <c r="E76" s="75">
        <v>65</v>
      </c>
      <c r="F76" s="165">
        <v>86</v>
      </c>
      <c r="G76" s="9">
        <f t="shared" si="3"/>
        <v>1.3870233961816213E-5</v>
      </c>
    </row>
    <row r="77" spans="1:7" x14ac:dyDescent="0.25">
      <c r="A77">
        <v>66</v>
      </c>
      <c r="B77" s="6">
        <v>0</v>
      </c>
      <c r="C77" s="9">
        <f t="shared" ref="C77:C102" si="4">B77/B$102</f>
        <v>0</v>
      </c>
      <c r="E77" s="76">
        <v>66</v>
      </c>
      <c r="F77" s="166">
        <v>65</v>
      </c>
      <c r="G77" s="9">
        <f t="shared" ref="G77:G102" si="5">F77/F$102</f>
        <v>1.0483316366488998E-5</v>
      </c>
    </row>
    <row r="78" spans="1:7" x14ac:dyDescent="0.25">
      <c r="A78">
        <v>67</v>
      </c>
      <c r="B78" s="6">
        <v>0</v>
      </c>
      <c r="C78" s="9">
        <f t="shared" si="4"/>
        <v>0</v>
      </c>
      <c r="E78" s="77">
        <v>67</v>
      </c>
      <c r="F78" s="167">
        <v>63</v>
      </c>
      <c r="G78" s="9">
        <f t="shared" si="5"/>
        <v>1.0160752785981645E-5</v>
      </c>
    </row>
    <row r="79" spans="1:7" x14ac:dyDescent="0.25">
      <c r="A79">
        <v>68</v>
      </c>
      <c r="B79" s="6">
        <v>629.76290590999997</v>
      </c>
      <c r="C79" s="9">
        <f t="shared" si="4"/>
        <v>1.0704127754905604E-4</v>
      </c>
      <c r="E79" s="78">
        <v>68</v>
      </c>
      <c r="F79" s="168">
        <v>33</v>
      </c>
      <c r="G79" s="9">
        <f t="shared" si="5"/>
        <v>5.3222990783713377E-6</v>
      </c>
    </row>
    <row r="80" spans="1:7" x14ac:dyDescent="0.25">
      <c r="A80">
        <v>69</v>
      </c>
      <c r="B80" s="6">
        <v>1092.7416628880001</v>
      </c>
      <c r="C80" s="9">
        <f t="shared" si="4"/>
        <v>1.857341271277218E-4</v>
      </c>
      <c r="E80" s="79">
        <v>69</v>
      </c>
      <c r="F80" s="169">
        <v>64</v>
      </c>
      <c r="G80" s="9">
        <f t="shared" si="5"/>
        <v>1.0322034576235322E-5</v>
      </c>
    </row>
    <row r="81" spans="1:7" x14ac:dyDescent="0.25">
      <c r="A81">
        <v>70</v>
      </c>
      <c r="B81" s="6">
        <v>0</v>
      </c>
      <c r="C81" s="9">
        <f t="shared" si="4"/>
        <v>0</v>
      </c>
      <c r="E81" s="80">
        <v>70</v>
      </c>
      <c r="F81" s="170">
        <v>83</v>
      </c>
      <c r="G81" s="9">
        <f t="shared" si="5"/>
        <v>1.3386388591055183E-5</v>
      </c>
    </row>
    <row r="82" spans="1:7" x14ac:dyDescent="0.25">
      <c r="A82">
        <v>71</v>
      </c>
      <c r="B82" s="6">
        <v>2000.113239284</v>
      </c>
      <c r="C82" s="9">
        <f t="shared" si="4"/>
        <v>3.3996076041724923E-4</v>
      </c>
      <c r="E82" s="81">
        <v>71</v>
      </c>
      <c r="F82" s="171">
        <v>82</v>
      </c>
      <c r="G82" s="9">
        <f t="shared" si="5"/>
        <v>1.3225106800801506E-5</v>
      </c>
    </row>
    <row r="83" spans="1:7" x14ac:dyDescent="0.25">
      <c r="A83">
        <v>72</v>
      </c>
      <c r="B83" s="6">
        <v>432.73178151799999</v>
      </c>
      <c r="C83" s="9">
        <f t="shared" si="4"/>
        <v>7.3551748277129198E-5</v>
      </c>
      <c r="E83" s="82">
        <v>72</v>
      </c>
      <c r="F83" s="172">
        <v>22</v>
      </c>
      <c r="G83" s="9">
        <f t="shared" si="5"/>
        <v>3.5481993855808918E-6</v>
      </c>
    </row>
    <row r="84" spans="1:7" x14ac:dyDescent="0.25">
      <c r="A84">
        <v>73</v>
      </c>
      <c r="B84" s="6">
        <v>0</v>
      </c>
      <c r="C84" s="9">
        <f t="shared" si="4"/>
        <v>0</v>
      </c>
      <c r="E84" s="83">
        <v>73</v>
      </c>
      <c r="F84" s="173">
        <v>32</v>
      </c>
      <c r="G84" s="9">
        <f t="shared" si="5"/>
        <v>5.1610172881176608E-6</v>
      </c>
    </row>
    <row r="85" spans="1:7" x14ac:dyDescent="0.25">
      <c r="A85">
        <v>74</v>
      </c>
      <c r="B85" s="6">
        <v>0</v>
      </c>
      <c r="C85" s="9">
        <f t="shared" si="4"/>
        <v>0</v>
      </c>
      <c r="E85" s="84">
        <v>74</v>
      </c>
      <c r="F85" s="174">
        <v>24</v>
      </c>
      <c r="G85" s="9">
        <f t="shared" si="5"/>
        <v>3.8707629660882456E-6</v>
      </c>
    </row>
    <row r="86" spans="1:7" x14ac:dyDescent="0.25">
      <c r="A86">
        <v>75</v>
      </c>
      <c r="B86" s="6">
        <v>531.69725021500005</v>
      </c>
      <c r="C86" s="9">
        <f t="shared" si="4"/>
        <v>9.0372983861433223E-5</v>
      </c>
      <c r="E86" s="85">
        <v>75</v>
      </c>
      <c r="F86" s="175">
        <v>55</v>
      </c>
      <c r="G86" s="9">
        <f t="shared" si="5"/>
        <v>8.8704984639522294E-6</v>
      </c>
    </row>
    <row r="87" spans="1:7" x14ac:dyDescent="0.25">
      <c r="A87">
        <v>76</v>
      </c>
      <c r="B87" s="6">
        <v>0</v>
      </c>
      <c r="C87" s="9">
        <f t="shared" si="4"/>
        <v>0</v>
      </c>
      <c r="E87" s="86">
        <v>76</v>
      </c>
      <c r="F87" s="176">
        <v>26</v>
      </c>
      <c r="G87" s="9">
        <f t="shared" si="5"/>
        <v>4.1933265465955994E-6</v>
      </c>
    </row>
    <row r="88" spans="1:7" x14ac:dyDescent="0.25">
      <c r="A88">
        <v>77</v>
      </c>
      <c r="B88" s="6">
        <v>0</v>
      </c>
      <c r="C88" s="9">
        <f t="shared" si="4"/>
        <v>0</v>
      </c>
      <c r="E88" s="87">
        <v>77</v>
      </c>
      <c r="F88" s="177">
        <v>20</v>
      </c>
      <c r="G88" s="9">
        <f t="shared" si="5"/>
        <v>3.225635805073538E-6</v>
      </c>
    </row>
    <row r="89" spans="1:7" x14ac:dyDescent="0.25">
      <c r="A89">
        <v>78</v>
      </c>
      <c r="B89" s="6">
        <v>1107.419474436</v>
      </c>
      <c r="C89" s="9">
        <f t="shared" si="4"/>
        <v>1.8822892586067025E-4</v>
      </c>
      <c r="E89" s="88">
        <v>78</v>
      </c>
      <c r="F89" s="178">
        <v>6</v>
      </c>
      <c r="G89" s="9">
        <f t="shared" si="5"/>
        <v>9.6769074152206139E-7</v>
      </c>
    </row>
    <row r="90" spans="1:7" x14ac:dyDescent="0.25">
      <c r="A90">
        <v>79</v>
      </c>
      <c r="B90" s="6">
        <v>0</v>
      </c>
      <c r="C90" s="9">
        <f t="shared" si="4"/>
        <v>0</v>
      </c>
      <c r="E90" s="89">
        <v>79</v>
      </c>
      <c r="F90" s="179">
        <v>5</v>
      </c>
      <c r="G90" s="9">
        <f t="shared" si="5"/>
        <v>8.0640895126838449E-7</v>
      </c>
    </row>
    <row r="91" spans="1:7" x14ac:dyDescent="0.25">
      <c r="A91">
        <v>80</v>
      </c>
      <c r="B91" s="6">
        <v>0</v>
      </c>
      <c r="C91" s="9">
        <f t="shared" si="4"/>
        <v>0</v>
      </c>
      <c r="E91" s="90">
        <v>80</v>
      </c>
      <c r="F91" s="180">
        <v>7</v>
      </c>
      <c r="G91" s="9">
        <f t="shared" si="5"/>
        <v>1.1289725317757383E-6</v>
      </c>
    </row>
    <row r="92" spans="1:7" x14ac:dyDescent="0.25">
      <c r="A92">
        <v>81</v>
      </c>
      <c r="B92" s="6">
        <v>779.47223196899995</v>
      </c>
      <c r="C92" s="9">
        <f t="shared" si="4"/>
        <v>1.3248748495818804E-4</v>
      </c>
      <c r="E92" s="91">
        <v>81</v>
      </c>
      <c r="F92" s="181">
        <v>2</v>
      </c>
      <c r="G92" s="9">
        <f t="shared" si="5"/>
        <v>3.225635805073538E-7</v>
      </c>
    </row>
    <row r="93" spans="1:7" x14ac:dyDescent="0.25">
      <c r="A93">
        <v>82</v>
      </c>
      <c r="B93" s="6">
        <v>0</v>
      </c>
      <c r="C93" s="9">
        <f t="shared" si="4"/>
        <v>0</v>
      </c>
      <c r="E93" s="92">
        <v>82</v>
      </c>
      <c r="F93" s="182">
        <v>1</v>
      </c>
      <c r="G93" s="9">
        <f t="shared" si="5"/>
        <v>1.612817902536769E-7</v>
      </c>
    </row>
    <row r="94" spans="1:7" x14ac:dyDescent="0.25">
      <c r="A94">
        <v>83</v>
      </c>
      <c r="B94" s="6">
        <v>351.63070995499999</v>
      </c>
      <c r="C94" s="9">
        <f t="shared" si="4"/>
        <v>5.9766937788558475E-5</v>
      </c>
      <c r="E94" s="93">
        <v>83</v>
      </c>
      <c r="F94" s="183">
        <v>14</v>
      </c>
      <c r="G94" s="9">
        <f t="shared" si="5"/>
        <v>2.2579450635514766E-6</v>
      </c>
    </row>
    <row r="95" spans="1:7" x14ac:dyDescent="0.25">
      <c r="A95">
        <v>84</v>
      </c>
      <c r="B95" s="6">
        <v>667.45279271599998</v>
      </c>
      <c r="C95" s="9">
        <f t="shared" si="4"/>
        <v>1.1344745612282251E-4</v>
      </c>
      <c r="E95" s="94">
        <v>84</v>
      </c>
      <c r="F95" s="184">
        <v>10</v>
      </c>
      <c r="G95" s="9">
        <f t="shared" si="5"/>
        <v>1.612817902536769E-6</v>
      </c>
    </row>
    <row r="96" spans="1:7" x14ac:dyDescent="0.25">
      <c r="A96">
        <v>85</v>
      </c>
      <c r="B96" s="6">
        <v>0</v>
      </c>
      <c r="C96" s="9">
        <f t="shared" si="4"/>
        <v>0</v>
      </c>
      <c r="E96" s="95">
        <v>85</v>
      </c>
      <c r="F96" s="185">
        <v>7</v>
      </c>
      <c r="G96" s="9">
        <f t="shared" si="5"/>
        <v>1.1289725317757383E-6</v>
      </c>
    </row>
    <row r="97" spans="1:7" x14ac:dyDescent="0.25">
      <c r="A97">
        <v>86</v>
      </c>
      <c r="B97" s="6">
        <v>143.17500536099999</v>
      </c>
      <c r="C97" s="9">
        <f t="shared" si="4"/>
        <v>2.4335563976714417E-5</v>
      </c>
      <c r="E97" s="96">
        <v>86</v>
      </c>
      <c r="F97" s="186">
        <v>3</v>
      </c>
      <c r="G97" s="9">
        <f t="shared" si="5"/>
        <v>4.838453707610307E-7</v>
      </c>
    </row>
    <row r="98" spans="1:7" x14ac:dyDescent="0.25">
      <c r="A98">
        <v>87</v>
      </c>
      <c r="B98" s="6">
        <v>82.889761955099999</v>
      </c>
      <c r="C98" s="9">
        <f t="shared" si="4"/>
        <v>1.4088835547705377E-5</v>
      </c>
      <c r="E98" s="97">
        <v>87</v>
      </c>
      <c r="F98" s="187">
        <v>2</v>
      </c>
      <c r="G98" s="9">
        <f t="shared" si="5"/>
        <v>3.225635805073538E-7</v>
      </c>
    </row>
    <row r="99" spans="1:7" x14ac:dyDescent="0.25">
      <c r="A99">
        <v>88</v>
      </c>
      <c r="B99" s="6">
        <v>0</v>
      </c>
      <c r="C99" s="9">
        <f t="shared" si="4"/>
        <v>0</v>
      </c>
      <c r="E99" s="98">
        <v>88</v>
      </c>
      <c r="F99" s="188">
        <v>1</v>
      </c>
      <c r="G99" s="9">
        <f t="shared" si="5"/>
        <v>1.612817902536769E-7</v>
      </c>
    </row>
    <row r="100" spans="1:7" x14ac:dyDescent="0.25">
      <c r="A100">
        <v>89</v>
      </c>
      <c r="B100" s="6">
        <v>292.16039971099997</v>
      </c>
      <c r="C100" s="9">
        <f t="shared" si="4"/>
        <v>4.9658724165595082E-5</v>
      </c>
      <c r="E100" s="99">
        <v>89</v>
      </c>
      <c r="F100" s="189">
        <v>2</v>
      </c>
      <c r="G100" s="9">
        <f t="shared" si="5"/>
        <v>3.225635805073538E-7</v>
      </c>
    </row>
    <row r="101" spans="1:7" ht="15.75" thickBot="1" x14ac:dyDescent="0.3">
      <c r="A101" s="1">
        <v>90</v>
      </c>
      <c r="B101" s="7">
        <v>3956.7258062524002</v>
      </c>
      <c r="C101" s="9">
        <f t="shared" si="4"/>
        <v>6.7252767865165941E-4</v>
      </c>
      <c r="E101" s="372">
        <v>90</v>
      </c>
      <c r="F101" s="372">
        <v>13</v>
      </c>
      <c r="G101" s="9">
        <f t="shared" si="5"/>
        <v>2.0966632732977997E-6</v>
      </c>
    </row>
    <row r="102" spans="1:7" x14ac:dyDescent="0.25">
      <c r="B102" s="6">
        <f>SUM(B11:B101)</f>
        <v>5883365.0002111141</v>
      </c>
      <c r="C102" s="9">
        <f t="shared" si="4"/>
        <v>1</v>
      </c>
      <c r="F102" s="6">
        <f>SUM(F11:F101)</f>
        <v>6200328</v>
      </c>
      <c r="G102" s="9">
        <f t="shared" si="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6777.9846790310003</v>
      </c>
      <c r="C11" s="9">
        <f>B11/B$102</f>
        <v>1.1520591836113835E-3</v>
      </c>
      <c r="E11" s="190">
        <v>0</v>
      </c>
      <c r="F11" s="280">
        <v>21242</v>
      </c>
      <c r="G11" s="9">
        <f>F11/F$102</f>
        <v>3.4259477885686049E-3</v>
      </c>
      <c r="K11" s="6">
        <v>30.883015399671699</v>
      </c>
      <c r="L11" s="6">
        <v>23.172336418620059</v>
      </c>
    </row>
    <row r="12" spans="1:12" x14ac:dyDescent="0.25">
      <c r="A12">
        <v>1</v>
      </c>
      <c r="B12" s="6">
        <v>19311.360614513898</v>
      </c>
      <c r="C12" s="9">
        <f>B12/B$102</f>
        <v>3.2823665731806458E-3</v>
      </c>
      <c r="E12" s="191">
        <v>1</v>
      </c>
      <c r="F12" s="281">
        <v>91554</v>
      </c>
      <c r="G12" s="9">
        <f>F12/F$102</f>
        <v>1.4765993024885135E-2</v>
      </c>
      <c r="K12" s="6"/>
      <c r="L12" s="371"/>
    </row>
    <row r="13" spans="1:12" x14ac:dyDescent="0.25">
      <c r="A13">
        <v>2</v>
      </c>
      <c r="B13" s="6">
        <v>28257.979731648</v>
      </c>
      <c r="C13" s="9">
        <f t="shared" ref="C13:C76" si="0">B13/B$102</f>
        <v>4.8030301928631012E-3</v>
      </c>
      <c r="E13" s="192">
        <v>2</v>
      </c>
      <c r="F13" s="282">
        <v>124193</v>
      </c>
      <c r="G13" s="9">
        <f t="shared" ref="G13:G76" si="1">F13/F$102</f>
        <v>2.0030069376974897E-2</v>
      </c>
    </row>
    <row r="14" spans="1:12" x14ac:dyDescent="0.25">
      <c r="A14">
        <v>3</v>
      </c>
      <c r="B14" s="6">
        <v>42233.077054810303</v>
      </c>
      <c r="C14" s="9">
        <f t="shared" si="0"/>
        <v>7.178388057394851E-3</v>
      </c>
      <c r="E14" s="193">
        <v>3</v>
      </c>
      <c r="F14" s="283">
        <v>150775</v>
      </c>
      <c r="G14" s="9">
        <f t="shared" si="1"/>
        <v>2.4317261925498136E-2</v>
      </c>
    </row>
    <row r="15" spans="1:12" x14ac:dyDescent="0.25">
      <c r="A15">
        <v>4</v>
      </c>
      <c r="B15" s="6">
        <v>34482.634244407098</v>
      </c>
      <c r="C15" s="9">
        <f t="shared" si="0"/>
        <v>5.8610394295050133E-3</v>
      </c>
      <c r="E15" s="194">
        <v>4</v>
      </c>
      <c r="F15" s="284">
        <v>160751</v>
      </c>
      <c r="G15" s="9">
        <f t="shared" si="1"/>
        <v>2.5926209065068817E-2</v>
      </c>
    </row>
    <row r="16" spans="1:12" x14ac:dyDescent="0.25">
      <c r="A16">
        <v>5</v>
      </c>
      <c r="B16" s="6">
        <v>77762.663045124893</v>
      </c>
      <c r="C16" s="9">
        <f t="shared" si="0"/>
        <v>1.3217378667197181E-2</v>
      </c>
      <c r="E16" s="195">
        <v>5</v>
      </c>
      <c r="F16" s="285">
        <v>163027</v>
      </c>
      <c r="G16" s="9">
        <f t="shared" si="1"/>
        <v>2.6293286419686184E-2</v>
      </c>
    </row>
    <row r="17" spans="1:7" x14ac:dyDescent="0.25">
      <c r="A17">
        <v>6</v>
      </c>
      <c r="B17" s="6">
        <v>70590.858864399095</v>
      </c>
      <c r="C17" s="9">
        <f t="shared" si="0"/>
        <v>1.199838168494834E-2</v>
      </c>
      <c r="E17" s="196">
        <v>6</v>
      </c>
      <c r="F17" s="286">
        <v>159388</v>
      </c>
      <c r="G17" s="9">
        <f t="shared" si="1"/>
        <v>2.5706381984953054E-2</v>
      </c>
    </row>
    <row r="18" spans="1:7" x14ac:dyDescent="0.25">
      <c r="A18">
        <v>7</v>
      </c>
      <c r="B18" s="6">
        <v>84339.597720129896</v>
      </c>
      <c r="C18" s="9">
        <f t="shared" si="0"/>
        <v>1.4335265229524862E-2</v>
      </c>
      <c r="E18" s="197">
        <v>7</v>
      </c>
      <c r="F18" s="287">
        <v>155409</v>
      </c>
      <c r="G18" s="9">
        <f t="shared" si="1"/>
        <v>2.5064641741533673E-2</v>
      </c>
    </row>
    <row r="19" spans="1:7" x14ac:dyDescent="0.25">
      <c r="A19">
        <v>8</v>
      </c>
      <c r="B19" s="6">
        <v>64795.368048870798</v>
      </c>
      <c r="C19" s="9">
        <f t="shared" si="0"/>
        <v>1.1013317726597917E-2</v>
      </c>
      <c r="E19" s="198">
        <v>8</v>
      </c>
      <c r="F19" s="288">
        <v>146142</v>
      </c>
      <c r="G19" s="9">
        <f t="shared" si="1"/>
        <v>2.3570043391252848E-2</v>
      </c>
    </row>
    <row r="20" spans="1:7" x14ac:dyDescent="0.25">
      <c r="A20">
        <v>9</v>
      </c>
      <c r="B20" s="6">
        <v>97995.257480929096</v>
      </c>
      <c r="C20" s="9">
        <f t="shared" si="0"/>
        <v>1.6656328049919178E-2</v>
      </c>
      <c r="E20" s="199">
        <v>9</v>
      </c>
      <c r="F20" s="289">
        <v>135948</v>
      </c>
      <c r="G20" s="9">
        <f t="shared" si="1"/>
        <v>2.1925936821406866E-2</v>
      </c>
    </row>
    <row r="21" spans="1:7" x14ac:dyDescent="0.25">
      <c r="A21">
        <v>10</v>
      </c>
      <c r="B21" s="6">
        <v>54317.402158511599</v>
      </c>
      <c r="C21" s="9">
        <f t="shared" si="0"/>
        <v>9.2323699373679062E-3</v>
      </c>
      <c r="E21" s="200">
        <v>10</v>
      </c>
      <c r="F21" s="290">
        <v>127094</v>
      </c>
      <c r="G21" s="9">
        <f t="shared" si="1"/>
        <v>2.0497947850500811E-2</v>
      </c>
    </row>
    <row r="22" spans="1:7" x14ac:dyDescent="0.25">
      <c r="A22">
        <v>11</v>
      </c>
      <c r="B22" s="6">
        <v>82687.702529164293</v>
      </c>
      <c r="C22" s="9">
        <f t="shared" si="0"/>
        <v>1.4054491354216034E-2</v>
      </c>
      <c r="E22" s="201">
        <v>11</v>
      </c>
      <c r="F22" s="291">
        <v>116865</v>
      </c>
      <c r="G22" s="9">
        <f t="shared" si="1"/>
        <v>1.8848196417995951E-2</v>
      </c>
    </row>
    <row r="23" spans="1:7" x14ac:dyDescent="0.25">
      <c r="A23">
        <v>12</v>
      </c>
      <c r="B23" s="6">
        <v>117559.3164825522</v>
      </c>
      <c r="C23" s="9">
        <f t="shared" si="0"/>
        <v>1.9981645959129483E-2</v>
      </c>
      <c r="E23" s="202">
        <v>12</v>
      </c>
      <c r="F23" s="292">
        <v>106587</v>
      </c>
      <c r="G23" s="9">
        <f t="shared" si="1"/>
        <v>1.7190542177768661E-2</v>
      </c>
    </row>
    <row r="24" spans="1:7" x14ac:dyDescent="0.25">
      <c r="A24">
        <v>13</v>
      </c>
      <c r="B24" s="6">
        <v>111916.2960992915</v>
      </c>
      <c r="C24" s="9">
        <f t="shared" si="0"/>
        <v>1.9022497515499313E-2</v>
      </c>
      <c r="E24" s="203">
        <v>13</v>
      </c>
      <c r="F24" s="293">
        <v>96605</v>
      </c>
      <c r="G24" s="9">
        <f t="shared" si="1"/>
        <v>1.5580627347456457E-2</v>
      </c>
    </row>
    <row r="25" spans="1:7" x14ac:dyDescent="0.25">
      <c r="A25">
        <v>14</v>
      </c>
      <c r="B25" s="6">
        <v>78794.976834374305</v>
      </c>
      <c r="C25" s="9">
        <f t="shared" si="0"/>
        <v>1.339284182292734E-2</v>
      </c>
      <c r="E25" s="204">
        <v>14</v>
      </c>
      <c r="F25" s="294">
        <v>87255</v>
      </c>
      <c r="G25" s="9">
        <f t="shared" si="1"/>
        <v>1.4072642608584578E-2</v>
      </c>
    </row>
    <row r="26" spans="1:7" x14ac:dyDescent="0.25">
      <c r="A26">
        <v>15</v>
      </c>
      <c r="B26" s="6">
        <v>49387.560407104298</v>
      </c>
      <c r="C26" s="9">
        <f t="shared" si="0"/>
        <v>8.3944410053314947E-3</v>
      </c>
      <c r="E26" s="205">
        <v>15</v>
      </c>
      <c r="F26" s="295">
        <v>87544</v>
      </c>
      <c r="G26" s="9">
        <f t="shared" si="1"/>
        <v>1.4119253045967891E-2</v>
      </c>
    </row>
    <row r="27" spans="1:7" x14ac:dyDescent="0.25">
      <c r="A27">
        <v>16</v>
      </c>
      <c r="B27" s="6">
        <v>200663.08786914329</v>
      </c>
      <c r="C27" s="9">
        <f t="shared" si="0"/>
        <v>3.4106856851808941E-2</v>
      </c>
      <c r="E27" s="206">
        <v>16</v>
      </c>
      <c r="F27" s="296">
        <v>80387</v>
      </c>
      <c r="G27" s="9">
        <f t="shared" si="1"/>
        <v>1.2964959273122325E-2</v>
      </c>
    </row>
    <row r="28" spans="1:7" x14ac:dyDescent="0.25">
      <c r="A28">
        <v>17</v>
      </c>
      <c r="B28" s="6">
        <v>123358.2475558062</v>
      </c>
      <c r="C28" s="9">
        <f t="shared" si="0"/>
        <v>2.0967294660688186E-2</v>
      </c>
      <c r="E28" s="207">
        <v>17</v>
      </c>
      <c r="F28" s="297">
        <v>77111</v>
      </c>
      <c r="G28" s="9">
        <f t="shared" si="1"/>
        <v>1.243660012825128E-2</v>
      </c>
    </row>
    <row r="29" spans="1:7" x14ac:dyDescent="0.25">
      <c r="A29">
        <v>18</v>
      </c>
      <c r="B29" s="6">
        <v>380306.54951092729</v>
      </c>
      <c r="C29" s="9">
        <f t="shared" si="0"/>
        <v>6.4640991931875849E-2</v>
      </c>
      <c r="E29" s="208">
        <v>18</v>
      </c>
      <c r="F29" s="298">
        <v>627360</v>
      </c>
      <c r="G29" s="9">
        <f t="shared" si="1"/>
        <v>0.10118174393354674</v>
      </c>
    </row>
    <row r="30" spans="1:7" x14ac:dyDescent="0.25">
      <c r="A30">
        <v>19</v>
      </c>
      <c r="B30" s="6">
        <v>229001.53811523129</v>
      </c>
      <c r="C30" s="9">
        <f t="shared" si="0"/>
        <v>3.8923564678889383E-2</v>
      </c>
      <c r="E30" s="209">
        <v>19</v>
      </c>
      <c r="F30" s="299">
        <v>231059</v>
      </c>
      <c r="G30" s="9">
        <f t="shared" si="1"/>
        <v>3.7265609174224334E-2</v>
      </c>
    </row>
    <row r="31" spans="1:7" x14ac:dyDescent="0.25">
      <c r="A31">
        <v>20</v>
      </c>
      <c r="B31" s="6">
        <v>339557.22191995388</v>
      </c>
      <c r="C31" s="9">
        <f t="shared" si="0"/>
        <v>5.771479789334328E-2</v>
      </c>
      <c r="E31" s="210">
        <v>20</v>
      </c>
      <c r="F31" s="300">
        <v>241972</v>
      </c>
      <c r="G31" s="9">
        <f t="shared" si="1"/>
        <v>3.9025677351262708E-2</v>
      </c>
    </row>
    <row r="32" spans="1:7" x14ac:dyDescent="0.25">
      <c r="A32">
        <v>21</v>
      </c>
      <c r="B32" s="6">
        <v>292201.3134653368</v>
      </c>
      <c r="C32" s="9">
        <f t="shared" si="0"/>
        <v>4.9665678307372015E-2</v>
      </c>
      <c r="E32" s="211">
        <v>21</v>
      </c>
      <c r="F32" s="301">
        <v>284245</v>
      </c>
      <c r="G32" s="9">
        <f t="shared" si="1"/>
        <v>4.584354247065639E-2</v>
      </c>
    </row>
    <row r="33" spans="1:7" x14ac:dyDescent="0.25">
      <c r="A33">
        <v>22</v>
      </c>
      <c r="B33" s="6">
        <v>254473.89024396779</v>
      </c>
      <c r="C33" s="9">
        <f t="shared" si="0"/>
        <v>4.325311964068803E-2</v>
      </c>
      <c r="E33" s="212">
        <v>22</v>
      </c>
      <c r="F33" s="302">
        <v>249798</v>
      </c>
      <c r="G33" s="9">
        <f t="shared" si="1"/>
        <v>4.0287868641787981E-2</v>
      </c>
    </row>
    <row r="34" spans="1:7" x14ac:dyDescent="0.25">
      <c r="A34">
        <v>23</v>
      </c>
      <c r="B34" s="6">
        <v>160193.29335977809</v>
      </c>
      <c r="C34" s="9">
        <f t="shared" si="0"/>
        <v>2.7228175262631146E-2</v>
      </c>
      <c r="E34" s="213">
        <v>23</v>
      </c>
      <c r="F34" s="303">
        <v>243046</v>
      </c>
      <c r="G34" s="9">
        <f t="shared" si="1"/>
        <v>3.9198893993995156E-2</v>
      </c>
    </row>
    <row r="35" spans="1:7" x14ac:dyDescent="0.25">
      <c r="A35">
        <v>24</v>
      </c>
      <c r="B35" s="6">
        <v>190560.06436057959</v>
      </c>
      <c r="C35" s="9">
        <f t="shared" si="0"/>
        <v>3.2389638302866092E-2</v>
      </c>
      <c r="E35" s="214">
        <v>24</v>
      </c>
      <c r="F35" s="304">
        <v>167399</v>
      </c>
      <c r="G35" s="9">
        <f t="shared" si="1"/>
        <v>2.699841040667526E-2</v>
      </c>
    </row>
    <row r="36" spans="1:7" x14ac:dyDescent="0.25">
      <c r="A36">
        <v>25</v>
      </c>
      <c r="B36" s="6">
        <v>130685.91641108019</v>
      </c>
      <c r="C36" s="9">
        <f t="shared" si="0"/>
        <v>2.2212784079585542E-2</v>
      </c>
      <c r="E36" s="215">
        <v>25</v>
      </c>
      <c r="F36" s="305">
        <v>161218</v>
      </c>
      <c r="G36" s="9">
        <f t="shared" si="1"/>
        <v>2.6001527661117282E-2</v>
      </c>
    </row>
    <row r="37" spans="1:7" x14ac:dyDescent="0.25">
      <c r="A37">
        <v>26</v>
      </c>
      <c r="B37" s="6">
        <v>330164.14670820528</v>
      </c>
      <c r="C37" s="9">
        <f t="shared" si="0"/>
        <v>5.6118249793503897E-2</v>
      </c>
      <c r="E37" s="216">
        <v>26</v>
      </c>
      <c r="F37" s="306">
        <v>159522</v>
      </c>
      <c r="G37" s="9">
        <f t="shared" si="1"/>
        <v>2.5727993744847046E-2</v>
      </c>
    </row>
    <row r="38" spans="1:7" x14ac:dyDescent="0.25">
      <c r="A38">
        <v>27</v>
      </c>
      <c r="B38" s="6">
        <v>84832.083466314798</v>
      </c>
      <c r="C38" s="9">
        <f t="shared" si="0"/>
        <v>1.4418973404381807E-2</v>
      </c>
      <c r="E38" s="217">
        <v>27</v>
      </c>
      <c r="F38" s="307">
        <v>142733</v>
      </c>
      <c r="G38" s="9">
        <f t="shared" si="1"/>
        <v>2.3020233768278064E-2</v>
      </c>
    </row>
    <row r="39" spans="1:7" x14ac:dyDescent="0.25">
      <c r="A39">
        <v>28</v>
      </c>
      <c r="B39" s="6">
        <v>132759.69010693411</v>
      </c>
      <c r="C39" s="9">
        <f t="shared" si="0"/>
        <v>2.2565264963531978E-2</v>
      </c>
      <c r="E39" s="218">
        <v>28</v>
      </c>
      <c r="F39" s="308">
        <v>134689</v>
      </c>
      <c r="G39" s="9">
        <f t="shared" si="1"/>
        <v>2.1722883047477489E-2</v>
      </c>
    </row>
    <row r="40" spans="1:7" x14ac:dyDescent="0.25">
      <c r="A40">
        <v>29</v>
      </c>
      <c r="B40" s="6">
        <v>117688.8388841047</v>
      </c>
      <c r="C40" s="9">
        <f t="shared" si="0"/>
        <v>2.0003660979708328E-2</v>
      </c>
      <c r="E40" s="219">
        <v>29</v>
      </c>
      <c r="F40" s="309">
        <v>117682</v>
      </c>
      <c r="G40" s="9">
        <f t="shared" si="1"/>
        <v>1.8979963640633205E-2</v>
      </c>
    </row>
    <row r="41" spans="1:7" x14ac:dyDescent="0.25">
      <c r="A41">
        <v>30</v>
      </c>
      <c r="B41" s="6">
        <v>86943.256844841599</v>
      </c>
      <c r="C41" s="9">
        <f t="shared" si="0"/>
        <v>1.4777811140685954E-2</v>
      </c>
      <c r="E41" s="220">
        <v>30</v>
      </c>
      <c r="F41" s="310">
        <v>118595</v>
      </c>
      <c r="G41" s="9">
        <f t="shared" si="1"/>
        <v>1.9127213915134812E-2</v>
      </c>
    </row>
    <row r="42" spans="1:7" x14ac:dyDescent="0.25">
      <c r="A42">
        <v>31</v>
      </c>
      <c r="B42" s="6">
        <v>65767.888771441794</v>
      </c>
      <c r="C42" s="9">
        <f t="shared" si="0"/>
        <v>1.1178617809549781E-2</v>
      </c>
      <c r="E42" s="221">
        <v>31</v>
      </c>
      <c r="F42" s="311">
        <v>80321</v>
      </c>
      <c r="G42" s="9">
        <f t="shared" si="1"/>
        <v>1.2954314674965583E-2</v>
      </c>
    </row>
    <row r="43" spans="1:7" x14ac:dyDescent="0.25">
      <c r="A43">
        <v>32</v>
      </c>
      <c r="B43" s="6">
        <v>69007.838260994104</v>
      </c>
      <c r="C43" s="9">
        <f t="shared" si="0"/>
        <v>1.1729314475392553E-2</v>
      </c>
      <c r="E43" s="222">
        <v>32</v>
      </c>
      <c r="F43" s="312">
        <v>96231</v>
      </c>
      <c r="G43" s="9">
        <f t="shared" si="1"/>
        <v>1.5520307957901582E-2</v>
      </c>
    </row>
    <row r="44" spans="1:7" x14ac:dyDescent="0.25">
      <c r="A44">
        <v>33</v>
      </c>
      <c r="B44" s="6">
        <v>61401.783068613899</v>
      </c>
      <c r="C44" s="9">
        <f t="shared" si="0"/>
        <v>1.0436507520170961E-2</v>
      </c>
      <c r="E44" s="223">
        <v>33</v>
      </c>
      <c r="F44" s="313">
        <v>100444</v>
      </c>
      <c r="G44" s="9">
        <f t="shared" si="1"/>
        <v>1.6199788140240323E-2</v>
      </c>
    </row>
    <row r="45" spans="1:7" x14ac:dyDescent="0.25">
      <c r="A45">
        <v>34</v>
      </c>
      <c r="B45" s="6">
        <v>107127.66484055429</v>
      </c>
      <c r="C45" s="9">
        <f t="shared" si="0"/>
        <v>1.8208570237731338E-2</v>
      </c>
      <c r="E45" s="224">
        <v>34</v>
      </c>
      <c r="F45" s="314">
        <v>95321</v>
      </c>
      <c r="G45" s="9">
        <f t="shared" si="1"/>
        <v>1.5373541528770737E-2</v>
      </c>
    </row>
    <row r="46" spans="1:7" x14ac:dyDescent="0.25">
      <c r="A46">
        <v>35</v>
      </c>
      <c r="B46" s="6">
        <v>46622.087801561102</v>
      </c>
      <c r="C46" s="9">
        <f t="shared" si="0"/>
        <v>7.9243915344174923E-3</v>
      </c>
      <c r="E46" s="225">
        <v>35</v>
      </c>
      <c r="F46" s="315">
        <v>71821</v>
      </c>
      <c r="G46" s="9">
        <f t="shared" si="1"/>
        <v>1.1583419457809328E-2</v>
      </c>
    </row>
    <row r="47" spans="1:7" x14ac:dyDescent="0.25">
      <c r="A47">
        <v>36</v>
      </c>
      <c r="B47" s="6">
        <v>66157.020222123698</v>
      </c>
      <c r="C47" s="9">
        <f t="shared" si="0"/>
        <v>1.1244758776609949E-2</v>
      </c>
      <c r="E47" s="226">
        <v>36</v>
      </c>
      <c r="F47" s="316">
        <v>46880</v>
      </c>
      <c r="G47" s="9">
        <f t="shared" si="1"/>
        <v>7.560890327092373E-3</v>
      </c>
    </row>
    <row r="48" spans="1:7" x14ac:dyDescent="0.25">
      <c r="A48">
        <v>37</v>
      </c>
      <c r="B48" s="6">
        <v>81079.781660996407</v>
      </c>
      <c r="C48" s="9">
        <f t="shared" si="0"/>
        <v>1.3781191827820819E-2</v>
      </c>
      <c r="E48" s="227">
        <v>37</v>
      </c>
      <c r="F48" s="317">
        <v>48323</v>
      </c>
      <c r="G48" s="9">
        <f t="shared" si="1"/>
        <v>7.7936199504284286E-3</v>
      </c>
    </row>
    <row r="49" spans="1:7" x14ac:dyDescent="0.25">
      <c r="A49">
        <v>38</v>
      </c>
      <c r="B49" s="6">
        <v>93974.882278439007</v>
      </c>
      <c r="C49" s="9">
        <f t="shared" si="0"/>
        <v>1.5972981835236624E-2</v>
      </c>
      <c r="E49" s="228">
        <v>38</v>
      </c>
      <c r="F49" s="318">
        <v>40484</v>
      </c>
      <c r="G49" s="9">
        <f t="shared" si="1"/>
        <v>6.5293319966298561E-3</v>
      </c>
    </row>
    <row r="50" spans="1:7" x14ac:dyDescent="0.25">
      <c r="A50">
        <v>39</v>
      </c>
      <c r="B50" s="6">
        <v>30105.506640439198</v>
      </c>
      <c r="C50" s="9">
        <f t="shared" si="0"/>
        <v>5.1170557392510793E-3</v>
      </c>
      <c r="E50" s="229">
        <v>39</v>
      </c>
      <c r="F50" s="319">
        <v>54507</v>
      </c>
      <c r="G50" s="9">
        <f t="shared" si="1"/>
        <v>8.7909865413571663E-3</v>
      </c>
    </row>
    <row r="51" spans="1:7" x14ac:dyDescent="0.25">
      <c r="A51">
        <v>40</v>
      </c>
      <c r="B51" s="6">
        <v>49804.463547938198</v>
      </c>
      <c r="C51" s="9">
        <f t="shared" si="0"/>
        <v>8.4653023475767808E-3</v>
      </c>
      <c r="E51" s="230">
        <v>40</v>
      </c>
      <c r="F51" s="320">
        <v>45650</v>
      </c>
      <c r="G51" s="9">
        <f t="shared" si="1"/>
        <v>7.362513725080351E-3</v>
      </c>
    </row>
    <row r="52" spans="1:7" x14ac:dyDescent="0.25">
      <c r="A52">
        <v>41</v>
      </c>
      <c r="B52" s="6">
        <v>31554.726087238399</v>
      </c>
      <c r="C52" s="9">
        <f t="shared" si="0"/>
        <v>5.3633806649946289E-3</v>
      </c>
      <c r="E52" s="231">
        <v>41</v>
      </c>
      <c r="F52" s="321">
        <v>36295</v>
      </c>
      <c r="G52" s="9">
        <f t="shared" si="1"/>
        <v>5.8537225772572034E-3</v>
      </c>
    </row>
    <row r="53" spans="1:7" x14ac:dyDescent="0.25">
      <c r="A53">
        <v>42</v>
      </c>
      <c r="B53" s="6">
        <v>25595.908464849799</v>
      </c>
      <c r="C53" s="9">
        <f t="shared" si="0"/>
        <v>4.3505559257213085E-3</v>
      </c>
      <c r="E53" s="232">
        <v>42</v>
      </c>
      <c r="F53" s="322">
        <v>30707</v>
      </c>
      <c r="G53" s="9">
        <f t="shared" si="1"/>
        <v>4.9524799333196569E-3</v>
      </c>
    </row>
    <row r="54" spans="1:7" x14ac:dyDescent="0.25">
      <c r="A54">
        <v>43</v>
      </c>
      <c r="B54" s="6">
        <v>20508.445142370801</v>
      </c>
      <c r="C54" s="9">
        <f t="shared" si="0"/>
        <v>3.4858359360051432E-3</v>
      </c>
      <c r="E54" s="233">
        <v>43</v>
      </c>
      <c r="F54" s="323">
        <v>32167</v>
      </c>
      <c r="G54" s="9">
        <f t="shared" si="1"/>
        <v>5.1879513470900248E-3</v>
      </c>
    </row>
    <row r="55" spans="1:7" x14ac:dyDescent="0.25">
      <c r="A55">
        <v>44</v>
      </c>
      <c r="B55" s="6">
        <v>17426.862614023099</v>
      </c>
      <c r="C55" s="9">
        <f t="shared" si="0"/>
        <v>2.9620570223669231E-3</v>
      </c>
      <c r="E55" s="234">
        <v>44</v>
      </c>
      <c r="F55" s="324">
        <v>25029</v>
      </c>
      <c r="G55" s="9">
        <f t="shared" si="1"/>
        <v>4.0367219282592794E-3</v>
      </c>
    </row>
    <row r="56" spans="1:7" x14ac:dyDescent="0.25">
      <c r="A56">
        <v>45</v>
      </c>
      <c r="B56" s="6">
        <v>234208.0230709163</v>
      </c>
      <c r="C56" s="9">
        <f t="shared" si="0"/>
        <v>3.9808514865644448E-2</v>
      </c>
      <c r="E56" s="235">
        <v>45</v>
      </c>
      <c r="F56" s="325">
        <v>23905</v>
      </c>
      <c r="G56" s="9">
        <f t="shared" si="1"/>
        <v>3.8554411960141461E-3</v>
      </c>
    </row>
    <row r="57" spans="1:7" x14ac:dyDescent="0.25">
      <c r="A57">
        <v>46</v>
      </c>
      <c r="B57" s="6">
        <v>23757.987036537699</v>
      </c>
      <c r="C57" s="9">
        <f t="shared" si="0"/>
        <v>4.038163030117151E-3</v>
      </c>
      <c r="E57" s="236">
        <v>46</v>
      </c>
      <c r="F57" s="326">
        <v>21084</v>
      </c>
      <c r="G57" s="9">
        <f t="shared" si="1"/>
        <v>3.4004652657085238E-3</v>
      </c>
    </row>
    <row r="58" spans="1:7" x14ac:dyDescent="0.25">
      <c r="A58">
        <v>47</v>
      </c>
      <c r="B58" s="6">
        <v>24601.2392316939</v>
      </c>
      <c r="C58" s="9">
        <f t="shared" si="0"/>
        <v>4.1814912436694196E-3</v>
      </c>
      <c r="E58" s="237">
        <v>47</v>
      </c>
      <c r="F58" s="327">
        <v>27120</v>
      </c>
      <c r="G58" s="9">
        <f t="shared" si="1"/>
        <v>4.3739621516797177E-3</v>
      </c>
    </row>
    <row r="59" spans="1:7" x14ac:dyDescent="0.25">
      <c r="A59">
        <v>48</v>
      </c>
      <c r="B59" s="6">
        <v>31518.400854160001</v>
      </c>
      <c r="C59" s="9">
        <f t="shared" si="0"/>
        <v>5.3572064376473374E-3</v>
      </c>
      <c r="E59" s="238">
        <v>48</v>
      </c>
      <c r="F59" s="328">
        <v>22639</v>
      </c>
      <c r="G59" s="9">
        <f t="shared" si="1"/>
        <v>3.6512584495529913E-3</v>
      </c>
    </row>
    <row r="60" spans="1:7" x14ac:dyDescent="0.25">
      <c r="A60">
        <v>49</v>
      </c>
      <c r="B60" s="6">
        <v>18363.198091513099</v>
      </c>
      <c r="C60" s="9">
        <f t="shared" si="0"/>
        <v>3.1212066718373198E-3</v>
      </c>
      <c r="E60" s="239">
        <v>49</v>
      </c>
      <c r="F60" s="329">
        <v>17767</v>
      </c>
      <c r="G60" s="9">
        <f t="shared" si="1"/>
        <v>2.8654935674370776E-3</v>
      </c>
    </row>
    <row r="61" spans="1:7" x14ac:dyDescent="0.25">
      <c r="A61">
        <v>50</v>
      </c>
      <c r="B61" s="6">
        <v>9833.6988481801</v>
      </c>
      <c r="C61" s="9">
        <f t="shared" si="0"/>
        <v>1.6714412326665502E-3</v>
      </c>
      <c r="E61" s="240">
        <v>50</v>
      </c>
      <c r="F61" s="330">
        <v>19124</v>
      </c>
      <c r="G61" s="9">
        <f t="shared" si="1"/>
        <v>3.0843529568113171E-3</v>
      </c>
    </row>
    <row r="62" spans="1:7" x14ac:dyDescent="0.25">
      <c r="A62">
        <v>51</v>
      </c>
      <c r="B62" s="6">
        <v>22786.469039269501</v>
      </c>
      <c r="C62" s="9">
        <f t="shared" si="0"/>
        <v>3.8730333811435899E-3</v>
      </c>
      <c r="E62" s="241">
        <v>51</v>
      </c>
      <c r="F62" s="331">
        <v>23710</v>
      </c>
      <c r="G62" s="9">
        <f t="shared" si="1"/>
        <v>3.8239912469146793E-3</v>
      </c>
    </row>
    <row r="63" spans="1:7" x14ac:dyDescent="0.25">
      <c r="A63">
        <v>52</v>
      </c>
      <c r="B63" s="6">
        <v>20446.112975134398</v>
      </c>
      <c r="C63" s="9">
        <f t="shared" si="0"/>
        <v>3.4752412903841139E-3</v>
      </c>
      <c r="E63" s="242">
        <v>52</v>
      </c>
      <c r="F63" s="332">
        <v>14153</v>
      </c>
      <c r="G63" s="9">
        <f t="shared" si="1"/>
        <v>2.2826211774602894E-3</v>
      </c>
    </row>
    <row r="64" spans="1:7" x14ac:dyDescent="0.25">
      <c r="A64">
        <v>53</v>
      </c>
      <c r="B64" s="6">
        <v>2353.1339614490998</v>
      </c>
      <c r="C64" s="9">
        <f t="shared" si="0"/>
        <v>3.9996395963273784E-4</v>
      </c>
      <c r="E64" s="243">
        <v>53</v>
      </c>
      <c r="F64" s="333">
        <v>13724</v>
      </c>
      <c r="G64" s="9">
        <f t="shared" si="1"/>
        <v>2.2134312894414618E-3</v>
      </c>
    </row>
    <row r="65" spans="1:7" x14ac:dyDescent="0.25">
      <c r="A65">
        <v>54</v>
      </c>
      <c r="B65" s="6">
        <v>38811.970576662898</v>
      </c>
      <c r="C65" s="9">
        <f t="shared" si="0"/>
        <v>6.5969000011507377E-3</v>
      </c>
      <c r="E65" s="244">
        <v>54</v>
      </c>
      <c r="F65" s="334">
        <v>11444</v>
      </c>
      <c r="G65" s="9">
        <f t="shared" si="1"/>
        <v>1.8457088076630785E-3</v>
      </c>
    </row>
    <row r="66" spans="1:7" x14ac:dyDescent="0.25">
      <c r="A66">
        <v>55</v>
      </c>
      <c r="B66" s="6">
        <v>3407.1738624967002</v>
      </c>
      <c r="C66" s="9">
        <f t="shared" si="0"/>
        <v>5.7911991902158725E-4</v>
      </c>
      <c r="E66" s="245">
        <v>55</v>
      </c>
      <c r="F66" s="335">
        <v>10380</v>
      </c>
      <c r="G66" s="9">
        <f t="shared" si="1"/>
        <v>1.6741049828331662E-3</v>
      </c>
    </row>
    <row r="67" spans="1:7" x14ac:dyDescent="0.25">
      <c r="A67">
        <v>56</v>
      </c>
      <c r="B67" s="6">
        <v>8306.3735064255998</v>
      </c>
      <c r="C67" s="9">
        <f t="shared" si="0"/>
        <v>1.4118405888683674E-3</v>
      </c>
      <c r="E67" s="246">
        <v>56</v>
      </c>
      <c r="F67" s="336">
        <v>10402</v>
      </c>
      <c r="G67" s="9">
        <f t="shared" si="1"/>
        <v>1.6776531822187471E-3</v>
      </c>
    </row>
    <row r="68" spans="1:7" x14ac:dyDescent="0.25">
      <c r="A68">
        <v>57</v>
      </c>
      <c r="B68" s="6">
        <v>4576.546393783</v>
      </c>
      <c r="C68" s="9">
        <f t="shared" si="0"/>
        <v>7.7787905282415421E-4</v>
      </c>
      <c r="E68" s="247">
        <v>57</v>
      </c>
      <c r="F68" s="337">
        <v>10685</v>
      </c>
      <c r="G68" s="9">
        <f t="shared" si="1"/>
        <v>1.7232959288605377E-3</v>
      </c>
    </row>
    <row r="69" spans="1:7" x14ac:dyDescent="0.25">
      <c r="A69">
        <v>58</v>
      </c>
      <c r="B69" s="6">
        <v>15517.867472347099</v>
      </c>
      <c r="C69" s="9">
        <f t="shared" si="0"/>
        <v>2.6375836739332462E-3</v>
      </c>
      <c r="E69" s="248">
        <v>58</v>
      </c>
      <c r="F69" s="338">
        <v>9199</v>
      </c>
      <c r="G69" s="9">
        <f t="shared" si="1"/>
        <v>1.4836311885435738E-3</v>
      </c>
    </row>
    <row r="70" spans="1:7" x14ac:dyDescent="0.25">
      <c r="A70">
        <v>59</v>
      </c>
      <c r="B70" s="6">
        <v>18685.019548319699</v>
      </c>
      <c r="C70" s="9">
        <f t="shared" si="0"/>
        <v>3.1759069083167925E-3</v>
      </c>
      <c r="E70" s="249">
        <v>59</v>
      </c>
      <c r="F70" s="339">
        <v>8199</v>
      </c>
      <c r="G70" s="9">
        <f t="shared" si="1"/>
        <v>1.3223493982898969E-3</v>
      </c>
    </row>
    <row r="71" spans="1:7" x14ac:dyDescent="0.25">
      <c r="A71">
        <v>60</v>
      </c>
      <c r="B71" s="6">
        <v>25859.931172548</v>
      </c>
      <c r="C71" s="9">
        <f t="shared" si="0"/>
        <v>4.3954320650886137E-3</v>
      </c>
      <c r="E71" s="250">
        <v>60</v>
      </c>
      <c r="F71" s="340">
        <v>9807</v>
      </c>
      <c r="G71" s="9">
        <f t="shared" si="1"/>
        <v>1.5816905170178094E-3</v>
      </c>
    </row>
    <row r="72" spans="1:7" x14ac:dyDescent="0.25">
      <c r="A72">
        <v>61</v>
      </c>
      <c r="B72" s="6">
        <v>27551.548556352998</v>
      </c>
      <c r="C72" s="9">
        <f t="shared" si="0"/>
        <v>4.682957551565196E-3</v>
      </c>
      <c r="E72" s="251">
        <v>61</v>
      </c>
      <c r="F72" s="341">
        <v>6657</v>
      </c>
      <c r="G72" s="9">
        <f t="shared" si="1"/>
        <v>1.0736528777187272E-3</v>
      </c>
    </row>
    <row r="73" spans="1:7" x14ac:dyDescent="0.25">
      <c r="A73">
        <v>62</v>
      </c>
      <c r="B73" s="6">
        <v>5269.8816210409996</v>
      </c>
      <c r="C73" s="9">
        <f t="shared" si="0"/>
        <v>8.9572576592679551E-4</v>
      </c>
      <c r="E73" s="252">
        <v>62</v>
      </c>
      <c r="F73" s="342">
        <v>6210</v>
      </c>
      <c r="G73" s="9">
        <f t="shared" si="1"/>
        <v>1.0015599174753335E-3</v>
      </c>
    </row>
    <row r="74" spans="1:7" x14ac:dyDescent="0.25">
      <c r="A74">
        <v>63</v>
      </c>
      <c r="B74" s="6">
        <v>2698.5191981036</v>
      </c>
      <c r="C74" s="9">
        <f t="shared" si="0"/>
        <v>4.586693495995522E-4</v>
      </c>
      <c r="E74" s="253">
        <v>63</v>
      </c>
      <c r="F74" s="343">
        <v>5791</v>
      </c>
      <c r="G74" s="9">
        <f t="shared" si="1"/>
        <v>9.3398284735904293E-4</v>
      </c>
    </row>
    <row r="75" spans="1:7" x14ac:dyDescent="0.25">
      <c r="A75">
        <v>64</v>
      </c>
      <c r="B75" s="6">
        <v>5911.1630377769998</v>
      </c>
      <c r="C75" s="9">
        <f t="shared" si="0"/>
        <v>1.004724853474991E-3</v>
      </c>
      <c r="E75" s="254">
        <v>64</v>
      </c>
      <c r="F75" s="344">
        <v>7104</v>
      </c>
      <c r="G75" s="9">
        <f t="shared" si="1"/>
        <v>1.1457458379621208E-3</v>
      </c>
    </row>
    <row r="76" spans="1:7" x14ac:dyDescent="0.25">
      <c r="A76">
        <v>65</v>
      </c>
      <c r="B76" s="6">
        <v>6358.2571598738004</v>
      </c>
      <c r="C76" s="9">
        <f t="shared" si="0"/>
        <v>1.0807177796457721E-3</v>
      </c>
      <c r="E76" s="255">
        <v>65</v>
      </c>
      <c r="F76" s="345">
        <v>5253</v>
      </c>
      <c r="G76" s="9">
        <f t="shared" si="1"/>
        <v>8.4721324420256473E-4</v>
      </c>
    </row>
    <row r="77" spans="1:7" x14ac:dyDescent="0.25">
      <c r="A77">
        <v>66</v>
      </c>
      <c r="B77" s="6">
        <v>7571.3654671619997</v>
      </c>
      <c r="C77" s="9">
        <f t="shared" ref="C77:C102" si="2">B77/B$102</f>
        <v>1.2869107163826002E-3</v>
      </c>
      <c r="E77" s="256">
        <v>66</v>
      </c>
      <c r="F77" s="346">
        <v>5206</v>
      </c>
      <c r="G77" s="9">
        <f t="shared" ref="G77:G102" si="3">F77/F$102</f>
        <v>8.3963300006064192E-4</v>
      </c>
    </row>
    <row r="78" spans="1:7" x14ac:dyDescent="0.25">
      <c r="A78">
        <v>67</v>
      </c>
      <c r="B78" s="6">
        <v>13229.806233146001</v>
      </c>
      <c r="C78" s="9">
        <f t="shared" si="2"/>
        <v>2.2486801741301581E-3</v>
      </c>
      <c r="E78" s="257">
        <v>67</v>
      </c>
      <c r="F78" s="347">
        <v>4804</v>
      </c>
      <c r="G78" s="9">
        <f t="shared" si="3"/>
        <v>7.7479772037866387E-4</v>
      </c>
    </row>
    <row r="79" spans="1:7" x14ac:dyDescent="0.25">
      <c r="A79">
        <v>68</v>
      </c>
      <c r="B79" s="6">
        <v>1444.023518146</v>
      </c>
      <c r="C79" s="9">
        <f t="shared" si="2"/>
        <v>2.4544176981951385E-4</v>
      </c>
      <c r="E79" s="258">
        <v>68</v>
      </c>
      <c r="F79" s="348">
        <v>4993</v>
      </c>
      <c r="G79" s="9">
        <f t="shared" si="3"/>
        <v>8.0527997873660879E-4</v>
      </c>
    </row>
    <row r="80" spans="1:7" x14ac:dyDescent="0.25">
      <c r="A80">
        <v>69</v>
      </c>
      <c r="B80" s="6">
        <v>9242.7549155322995</v>
      </c>
      <c r="C80" s="9">
        <f t="shared" si="2"/>
        <v>1.5709980453704033E-3</v>
      </c>
      <c r="E80" s="259">
        <v>69</v>
      </c>
      <c r="F80" s="349">
        <v>4241</v>
      </c>
      <c r="G80" s="9">
        <f t="shared" si="3"/>
        <v>6.8399607246584374E-4</v>
      </c>
    </row>
    <row r="81" spans="1:7" x14ac:dyDescent="0.25">
      <c r="A81">
        <v>70</v>
      </c>
      <c r="B81" s="6">
        <v>8123.2133185823996</v>
      </c>
      <c r="C81" s="9">
        <f t="shared" si="2"/>
        <v>1.3807087131753536E-3</v>
      </c>
      <c r="E81" s="260">
        <v>70</v>
      </c>
      <c r="F81" s="350">
        <v>4468</v>
      </c>
      <c r="G81" s="9">
        <f t="shared" si="3"/>
        <v>7.2060703885342835E-4</v>
      </c>
    </row>
    <row r="82" spans="1:7" x14ac:dyDescent="0.25">
      <c r="A82">
        <v>71</v>
      </c>
      <c r="B82" s="6">
        <v>6545.5658596601997</v>
      </c>
      <c r="C82" s="9">
        <f t="shared" si="2"/>
        <v>1.1125547810522253E-3</v>
      </c>
      <c r="E82" s="261">
        <v>71</v>
      </c>
      <c r="F82" s="351">
        <v>3855</v>
      </c>
      <c r="G82" s="9">
        <f t="shared" si="3"/>
        <v>6.2174130142792449E-4</v>
      </c>
    </row>
    <row r="83" spans="1:7" x14ac:dyDescent="0.25">
      <c r="A83">
        <v>72</v>
      </c>
      <c r="B83" s="6">
        <v>44741.445213076098</v>
      </c>
      <c r="C83" s="9">
        <f t="shared" si="2"/>
        <v>7.6047372908991107E-3</v>
      </c>
      <c r="E83" s="262">
        <v>72</v>
      </c>
      <c r="F83" s="352">
        <v>3739</v>
      </c>
      <c r="G83" s="9">
        <f t="shared" si="3"/>
        <v>6.0303261375849789E-4</v>
      </c>
    </row>
    <row r="84" spans="1:7" x14ac:dyDescent="0.25">
      <c r="A84">
        <v>73</v>
      </c>
      <c r="B84" s="6">
        <v>3851.1273027940001</v>
      </c>
      <c r="C84" s="9">
        <f t="shared" si="2"/>
        <v>6.5457902113090223E-4</v>
      </c>
      <c r="E84" s="263">
        <v>73</v>
      </c>
      <c r="F84" s="353">
        <v>3084</v>
      </c>
      <c r="G84" s="9">
        <f t="shared" si="3"/>
        <v>4.9739304114233959E-4</v>
      </c>
    </row>
    <row r="85" spans="1:7" x14ac:dyDescent="0.25">
      <c r="A85">
        <v>74</v>
      </c>
      <c r="B85" s="6">
        <v>11507.2270041624</v>
      </c>
      <c r="C85" s="9">
        <f t="shared" si="2"/>
        <v>1.9558920794051512E-3</v>
      </c>
      <c r="E85" s="264">
        <v>74</v>
      </c>
      <c r="F85" s="354">
        <v>3607</v>
      </c>
      <c r="G85" s="9">
        <f t="shared" si="3"/>
        <v>5.817434174450126E-4</v>
      </c>
    </row>
    <row r="86" spans="1:7" x14ac:dyDescent="0.25">
      <c r="A86">
        <v>75</v>
      </c>
      <c r="B86" s="6">
        <v>9615.6426573920999</v>
      </c>
      <c r="C86" s="9">
        <f t="shared" si="2"/>
        <v>1.6343780569533018E-3</v>
      </c>
      <c r="E86" s="265">
        <v>75</v>
      </c>
      <c r="F86" s="355">
        <v>3614</v>
      </c>
      <c r="G86" s="9">
        <f t="shared" si="3"/>
        <v>5.8287238997678829E-4</v>
      </c>
    </row>
    <row r="87" spans="1:7" x14ac:dyDescent="0.25">
      <c r="A87">
        <v>76</v>
      </c>
      <c r="B87" s="6">
        <v>17322.019147212999</v>
      </c>
      <c r="C87" s="9">
        <f t="shared" si="2"/>
        <v>2.9442366989964816E-3</v>
      </c>
      <c r="E87" s="266">
        <v>76</v>
      </c>
      <c r="F87" s="356">
        <v>2636</v>
      </c>
      <c r="G87" s="9">
        <f t="shared" si="3"/>
        <v>4.2513879910869234E-4</v>
      </c>
    </row>
    <row r="88" spans="1:7" x14ac:dyDescent="0.25">
      <c r="A88">
        <v>77</v>
      </c>
      <c r="B88" s="6">
        <v>3761.1715561874998</v>
      </c>
      <c r="C88" s="9">
        <f t="shared" si="2"/>
        <v>6.3928917482640262E-4</v>
      </c>
      <c r="E88" s="267">
        <v>77</v>
      </c>
      <c r="F88" s="357">
        <v>2547</v>
      </c>
      <c r="G88" s="9">
        <f t="shared" si="3"/>
        <v>4.107847197761151E-4</v>
      </c>
    </row>
    <row r="89" spans="1:7" x14ac:dyDescent="0.25">
      <c r="A89">
        <v>78</v>
      </c>
      <c r="B89" s="6">
        <v>1208.3615056103999</v>
      </c>
      <c r="C89" s="9">
        <f t="shared" si="2"/>
        <v>2.0538611926457741E-4</v>
      </c>
      <c r="E89" s="268">
        <v>78</v>
      </c>
      <c r="F89" s="358">
        <v>2392</v>
      </c>
      <c r="G89" s="9">
        <f t="shared" si="3"/>
        <v>3.8578604228679515E-4</v>
      </c>
    </row>
    <row r="90" spans="1:7" x14ac:dyDescent="0.25">
      <c r="A90">
        <v>79</v>
      </c>
      <c r="B90" s="6">
        <v>2981.6171355287001</v>
      </c>
      <c r="C90" s="9">
        <f t="shared" si="2"/>
        <v>5.0678772019443141E-4</v>
      </c>
      <c r="E90" s="269">
        <v>79</v>
      </c>
      <c r="F90" s="359">
        <v>2067</v>
      </c>
      <c r="G90" s="9">
        <f t="shared" si="3"/>
        <v>3.3336946045435013E-4</v>
      </c>
    </row>
    <row r="91" spans="1:7" x14ac:dyDescent="0.25">
      <c r="A91">
        <v>80</v>
      </c>
      <c r="B91" s="6">
        <v>35198.386924146704</v>
      </c>
      <c r="C91" s="9">
        <f t="shared" si="2"/>
        <v>5.9826964539653211E-3</v>
      </c>
      <c r="E91" s="270">
        <v>80</v>
      </c>
      <c r="F91" s="360">
        <v>2291</v>
      </c>
      <c r="G91" s="9">
        <f t="shared" si="3"/>
        <v>3.6949658147117376E-4</v>
      </c>
    </row>
    <row r="92" spans="1:7" x14ac:dyDescent="0.25">
      <c r="A92">
        <v>81</v>
      </c>
      <c r="B92" s="6">
        <v>2632.678679736</v>
      </c>
      <c r="C92" s="9">
        <f t="shared" si="2"/>
        <v>4.4747838688259726E-4</v>
      </c>
      <c r="E92" s="271">
        <v>81</v>
      </c>
      <c r="F92" s="361">
        <v>1965</v>
      </c>
      <c r="G92" s="9">
        <f t="shared" si="3"/>
        <v>3.1691871784847512E-4</v>
      </c>
    </row>
    <row r="93" spans="1:7" x14ac:dyDescent="0.25">
      <c r="A93">
        <v>82</v>
      </c>
      <c r="B93" s="6">
        <v>9855.2460574590004</v>
      </c>
      <c r="C93" s="9">
        <f t="shared" si="2"/>
        <v>1.6751036281286926E-3</v>
      </c>
      <c r="E93" s="272">
        <v>82</v>
      </c>
      <c r="F93" s="362">
        <v>1775</v>
      </c>
      <c r="G93" s="9">
        <f t="shared" si="3"/>
        <v>2.8627517770027648E-4</v>
      </c>
    </row>
    <row r="94" spans="1:7" x14ac:dyDescent="0.25">
      <c r="A94">
        <v>83</v>
      </c>
      <c r="B94" s="6">
        <v>5837.9404788961001</v>
      </c>
      <c r="C94" s="9">
        <f t="shared" si="2"/>
        <v>9.9227915974729047E-4</v>
      </c>
      <c r="E94" s="273">
        <v>83</v>
      </c>
      <c r="F94" s="363">
        <v>1891</v>
      </c>
      <c r="G94" s="9">
        <f t="shared" si="3"/>
        <v>3.0498386536970302E-4</v>
      </c>
    </row>
    <row r="95" spans="1:7" x14ac:dyDescent="0.25">
      <c r="A95">
        <v>84</v>
      </c>
      <c r="B95" s="6">
        <v>8223.5712677335996</v>
      </c>
      <c r="C95" s="9">
        <f t="shared" si="2"/>
        <v>1.3977666297159048E-3</v>
      </c>
      <c r="E95" s="274">
        <v>84</v>
      </c>
      <c r="F95" s="364">
        <v>1839</v>
      </c>
      <c r="G95" s="9">
        <f t="shared" si="3"/>
        <v>2.965972122765118E-4</v>
      </c>
    </row>
    <row r="96" spans="1:7" x14ac:dyDescent="0.25">
      <c r="A96">
        <v>85</v>
      </c>
      <c r="B96" s="6">
        <v>5006.9698036617001</v>
      </c>
      <c r="C96" s="9">
        <f t="shared" si="2"/>
        <v>8.5103844542741027E-4</v>
      </c>
      <c r="E96" s="275">
        <v>85</v>
      </c>
      <c r="F96" s="365">
        <v>1582</v>
      </c>
      <c r="G96" s="9">
        <f t="shared" si="3"/>
        <v>2.5514779218131686E-4</v>
      </c>
    </row>
    <row r="97" spans="1:7" x14ac:dyDescent="0.25">
      <c r="A97">
        <v>86</v>
      </c>
      <c r="B97" s="6">
        <v>2867.0805968983</v>
      </c>
      <c r="C97" s="9">
        <f t="shared" si="2"/>
        <v>4.8731985807363998E-4</v>
      </c>
      <c r="E97" s="276">
        <v>86</v>
      </c>
      <c r="F97" s="366">
        <v>1577</v>
      </c>
      <c r="G97" s="9">
        <f t="shared" si="3"/>
        <v>2.5434138323004849E-4</v>
      </c>
    </row>
    <row r="98" spans="1:7" x14ac:dyDescent="0.25">
      <c r="A98">
        <v>87</v>
      </c>
      <c r="B98" s="6">
        <v>7103.3543771546001</v>
      </c>
      <c r="C98" s="9">
        <f t="shared" si="2"/>
        <v>1.2073625173518404E-3</v>
      </c>
      <c r="E98" s="277">
        <v>87</v>
      </c>
      <c r="F98" s="367">
        <v>1510</v>
      </c>
      <c r="G98" s="9">
        <f t="shared" si="3"/>
        <v>2.4353550328305213E-4</v>
      </c>
    </row>
    <row r="99" spans="1:7" x14ac:dyDescent="0.25">
      <c r="A99">
        <v>88</v>
      </c>
      <c r="B99" s="6">
        <v>6611.2846627433</v>
      </c>
      <c r="C99" s="9">
        <f t="shared" si="2"/>
        <v>1.1237250557301931E-3</v>
      </c>
      <c r="E99" s="278">
        <v>88</v>
      </c>
      <c r="F99" s="368">
        <v>1571</v>
      </c>
      <c r="G99" s="9">
        <f t="shared" si="3"/>
        <v>2.5337369248852642E-4</v>
      </c>
    </row>
    <row r="100" spans="1:7" x14ac:dyDescent="0.25">
      <c r="A100">
        <v>89</v>
      </c>
      <c r="B100" s="6">
        <v>12051.0114977885</v>
      </c>
      <c r="C100" s="9">
        <f t="shared" si="2"/>
        <v>2.0483195411734739E-3</v>
      </c>
      <c r="E100" s="279">
        <v>89</v>
      </c>
      <c r="F100" s="369">
        <v>1297</v>
      </c>
      <c r="G100" s="9">
        <f t="shared" si="3"/>
        <v>2.0918248195901895E-4</v>
      </c>
    </row>
    <row r="101" spans="1:7" ht="15.75" thickBot="1" x14ac:dyDescent="0.3">
      <c r="A101" s="1">
        <v>90</v>
      </c>
      <c r="B101" s="7">
        <v>255275.58559746691</v>
      </c>
      <c r="C101" s="9">
        <f t="shared" si="2"/>
        <v>4.3389384406425043E-2</v>
      </c>
      <c r="E101" s="372">
        <v>90</v>
      </c>
      <c r="F101" s="372">
        <v>76045</v>
      </c>
      <c r="G101" s="9">
        <f t="shared" si="3"/>
        <v>1.2264673739840861E-2</v>
      </c>
    </row>
    <row r="102" spans="1:7" x14ac:dyDescent="0.25">
      <c r="B102" s="6">
        <f>SUM(B11:B101)</f>
        <v>5883365.0002111122</v>
      </c>
      <c r="C102" s="9">
        <f t="shared" si="2"/>
        <v>1</v>
      </c>
      <c r="F102" s="6">
        <f>SUM(F11:F101)</f>
        <v>6200328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98296.546553479697</v>
      </c>
      <c r="C11" s="9">
        <f>B11/B$102</f>
        <v>4.3350897587176453E-2</v>
      </c>
      <c r="E11" s="371">
        <v>0</v>
      </c>
      <c r="F11" s="371">
        <v>259791</v>
      </c>
      <c r="G11" s="9">
        <f>F11/F$102</f>
        <v>9.5563289330272361E-2</v>
      </c>
      <c r="K11" s="6">
        <v>10.388893204831918</v>
      </c>
      <c r="L11" s="6">
        <v>9.7273698182315389</v>
      </c>
    </row>
    <row r="12" spans="1:12" x14ac:dyDescent="0.25">
      <c r="A12">
        <v>1</v>
      </c>
      <c r="B12" s="6">
        <v>92884.453974866497</v>
      </c>
      <c r="C12" s="9">
        <f>B12/B$102</f>
        <v>4.0964048004621383E-2</v>
      </c>
      <c r="E12" s="371">
        <v>1</v>
      </c>
      <c r="F12" s="371">
        <v>174653</v>
      </c>
      <c r="G12" s="9">
        <f>F12/F$102</f>
        <v>6.42455480420802E-2</v>
      </c>
      <c r="K12" s="6"/>
      <c r="L12" s="371"/>
    </row>
    <row r="13" spans="1:12" x14ac:dyDescent="0.25">
      <c r="A13">
        <v>2</v>
      </c>
      <c r="B13" s="6">
        <v>77163.904737458797</v>
      </c>
      <c r="C13" s="9">
        <f t="shared" ref="C13:C76" si="0">B13/B$102</f>
        <v>3.4030946650605388E-2</v>
      </c>
      <c r="E13" s="371">
        <v>2</v>
      </c>
      <c r="F13" s="371">
        <v>125325</v>
      </c>
      <c r="G13" s="9">
        <f t="shared" ref="G13:G76" si="1">F13/F$102</f>
        <v>4.610040084266346E-2</v>
      </c>
    </row>
    <row r="14" spans="1:12" x14ac:dyDescent="0.25">
      <c r="A14">
        <v>3</v>
      </c>
      <c r="B14" s="6">
        <v>138559.28378121799</v>
      </c>
      <c r="C14" s="9">
        <f t="shared" si="0"/>
        <v>6.1107633294971188E-2</v>
      </c>
      <c r="E14" s="371">
        <v>3</v>
      </c>
      <c r="F14" s="371">
        <v>89207</v>
      </c>
      <c r="G14" s="9">
        <f t="shared" si="1"/>
        <v>3.2814509937933209E-2</v>
      </c>
    </row>
    <row r="15" spans="1:12" x14ac:dyDescent="0.25">
      <c r="A15">
        <v>4</v>
      </c>
      <c r="B15" s="6">
        <v>259895.09070128261</v>
      </c>
      <c r="C15" s="9">
        <f t="shared" si="0"/>
        <v>0.11461934173110985</v>
      </c>
      <c r="E15" s="371">
        <v>4</v>
      </c>
      <c r="F15" s="371">
        <v>275846</v>
      </c>
      <c r="G15" s="9">
        <f t="shared" si="1"/>
        <v>0.10146906978532093</v>
      </c>
    </row>
    <row r="16" spans="1:12" x14ac:dyDescent="0.25">
      <c r="A16">
        <v>5</v>
      </c>
      <c r="B16" s="6">
        <v>187494.56676752181</v>
      </c>
      <c r="C16" s="9">
        <f t="shared" si="0"/>
        <v>8.2689148775625249E-2</v>
      </c>
      <c r="E16" s="371">
        <v>5</v>
      </c>
      <c r="F16" s="371">
        <v>222325</v>
      </c>
      <c r="G16" s="9">
        <f t="shared" si="1"/>
        <v>8.1781540932337152E-2</v>
      </c>
    </row>
    <row r="17" spans="1:7" x14ac:dyDescent="0.25">
      <c r="A17">
        <v>6</v>
      </c>
      <c r="B17" s="6">
        <v>170117.2002851204</v>
      </c>
      <c r="C17" s="9">
        <f t="shared" si="0"/>
        <v>7.5025355273952654E-2</v>
      </c>
      <c r="E17" s="371">
        <v>6</v>
      </c>
      <c r="F17" s="371">
        <v>210367</v>
      </c>
      <c r="G17" s="9">
        <f t="shared" si="1"/>
        <v>7.7382828837570986E-2</v>
      </c>
    </row>
    <row r="18" spans="1:7" x14ac:dyDescent="0.25">
      <c r="A18">
        <v>7</v>
      </c>
      <c r="B18" s="6">
        <v>115674.79603201131</v>
      </c>
      <c r="C18" s="9">
        <f t="shared" si="0"/>
        <v>5.1015080509191402E-2</v>
      </c>
      <c r="E18" s="371">
        <v>7</v>
      </c>
      <c r="F18" s="371">
        <v>143483</v>
      </c>
      <c r="G18" s="9">
        <f t="shared" si="1"/>
        <v>5.2779763128728355E-2</v>
      </c>
    </row>
    <row r="19" spans="1:7" x14ac:dyDescent="0.25">
      <c r="A19">
        <v>8</v>
      </c>
      <c r="B19" s="6">
        <v>137490.15335656999</v>
      </c>
      <c r="C19" s="9">
        <f t="shared" si="0"/>
        <v>6.0636123713288845E-2</v>
      </c>
      <c r="E19" s="371">
        <v>8</v>
      </c>
      <c r="F19" s="371">
        <v>149366</v>
      </c>
      <c r="G19" s="9">
        <f t="shared" si="1"/>
        <v>5.4943805882826817E-2</v>
      </c>
    </row>
    <row r="20" spans="1:7" x14ac:dyDescent="0.25">
      <c r="A20">
        <v>9</v>
      </c>
      <c r="B20" s="6">
        <v>86984.829880293008</v>
      </c>
      <c r="C20" s="9">
        <f t="shared" si="0"/>
        <v>3.8362186505982186E-2</v>
      </c>
      <c r="E20" s="371">
        <v>9</v>
      </c>
      <c r="F20" s="371">
        <v>94359</v>
      </c>
      <c r="G20" s="9">
        <f t="shared" si="1"/>
        <v>3.4709656677541445E-2</v>
      </c>
    </row>
    <row r="21" spans="1:7" x14ac:dyDescent="0.25">
      <c r="A21">
        <v>10</v>
      </c>
      <c r="B21" s="6">
        <v>127067.00366237749</v>
      </c>
      <c r="C21" s="9">
        <f t="shared" si="0"/>
        <v>5.6039289838937911E-2</v>
      </c>
      <c r="E21" s="371">
        <v>10</v>
      </c>
      <c r="F21" s="371">
        <v>83815</v>
      </c>
      <c r="G21" s="9">
        <f t="shared" si="1"/>
        <v>3.083107996511341E-2</v>
      </c>
    </row>
    <row r="22" spans="1:7" x14ac:dyDescent="0.25">
      <c r="A22">
        <v>11</v>
      </c>
      <c r="B22" s="6">
        <v>71225.634793743098</v>
      </c>
      <c r="C22" s="9">
        <f t="shared" si="0"/>
        <v>3.1412041498785341E-2</v>
      </c>
      <c r="E22" s="371">
        <v>11</v>
      </c>
      <c r="F22" s="371">
        <v>90846</v>
      </c>
      <c r="G22" s="9">
        <f t="shared" si="1"/>
        <v>3.3417410851407182E-2</v>
      </c>
    </row>
    <row r="23" spans="1:7" x14ac:dyDescent="0.25">
      <c r="A23">
        <v>12</v>
      </c>
      <c r="B23" s="6">
        <v>64215.665405919601</v>
      </c>
      <c r="C23" s="9">
        <f t="shared" si="0"/>
        <v>2.8320493772279569E-2</v>
      </c>
      <c r="E23" s="371">
        <v>12</v>
      </c>
      <c r="F23" s="371">
        <v>74652</v>
      </c>
      <c r="G23" s="9">
        <f t="shared" si="1"/>
        <v>2.7460499690456913E-2</v>
      </c>
    </row>
    <row r="24" spans="1:7" x14ac:dyDescent="0.25">
      <c r="A24">
        <v>13</v>
      </c>
      <c r="B24" s="6">
        <v>54347.456474541497</v>
      </c>
      <c r="C24" s="9">
        <f t="shared" si="0"/>
        <v>2.3968400746099006E-2</v>
      </c>
      <c r="E24" s="371">
        <v>13</v>
      </c>
      <c r="F24" s="371">
        <v>81508</v>
      </c>
      <c r="G24" s="9">
        <f t="shared" si="1"/>
        <v>2.9982457385867252E-2</v>
      </c>
    </row>
    <row r="25" spans="1:7" x14ac:dyDescent="0.25">
      <c r="A25">
        <v>14</v>
      </c>
      <c r="B25" s="6">
        <v>34582.634587585402</v>
      </c>
      <c r="C25" s="9">
        <f t="shared" si="0"/>
        <v>1.5251687906304068E-2</v>
      </c>
      <c r="E25" s="371">
        <v>14</v>
      </c>
      <c r="F25" s="371">
        <v>66308</v>
      </c>
      <c r="G25" s="9">
        <f t="shared" si="1"/>
        <v>2.4391185949134881E-2</v>
      </c>
    </row>
    <row r="26" spans="1:7" x14ac:dyDescent="0.25">
      <c r="A26">
        <v>15</v>
      </c>
      <c r="B26" s="6">
        <v>53821.827124411699</v>
      </c>
      <c r="C26" s="9">
        <f t="shared" si="0"/>
        <v>2.373658686325935E-2</v>
      </c>
      <c r="E26" s="371">
        <v>15</v>
      </c>
      <c r="F26" s="371">
        <v>67584</v>
      </c>
      <c r="G26" s="9">
        <f t="shared" si="1"/>
        <v>2.4860558472376362E-2</v>
      </c>
    </row>
    <row r="27" spans="1:7" x14ac:dyDescent="0.25">
      <c r="A27">
        <v>16</v>
      </c>
      <c r="B27" s="6">
        <v>59301.8653303014</v>
      </c>
      <c r="C27" s="9">
        <f t="shared" si="0"/>
        <v>2.6153401933238316E-2</v>
      </c>
      <c r="E27" s="371">
        <v>16</v>
      </c>
      <c r="F27" s="371">
        <v>64228</v>
      </c>
      <c r="G27" s="9">
        <f t="shared" si="1"/>
        <v>2.362606459463466E-2</v>
      </c>
    </row>
    <row r="28" spans="1:7" x14ac:dyDescent="0.25">
      <c r="A28">
        <v>17</v>
      </c>
      <c r="B28" s="6">
        <v>47893.463153786302</v>
      </c>
      <c r="C28" s="9">
        <f t="shared" si="0"/>
        <v>2.1122050459274257E-2</v>
      </c>
      <c r="E28" s="371">
        <v>17</v>
      </c>
      <c r="F28" s="371">
        <v>41782</v>
      </c>
      <c r="G28" s="9">
        <f t="shared" si="1"/>
        <v>1.5369375208523158E-2</v>
      </c>
    </row>
    <row r="29" spans="1:7" x14ac:dyDescent="0.25">
      <c r="A29">
        <v>18</v>
      </c>
      <c r="B29" s="6">
        <v>57642.311186999199</v>
      </c>
      <c r="C29" s="9">
        <f t="shared" si="0"/>
        <v>2.5421502754384394E-2</v>
      </c>
      <c r="E29" s="371">
        <v>18</v>
      </c>
      <c r="F29" s="371">
        <v>45194</v>
      </c>
      <c r="G29" s="9">
        <f t="shared" si="1"/>
        <v>1.6624468507347556E-2</v>
      </c>
    </row>
    <row r="30" spans="1:7" x14ac:dyDescent="0.25">
      <c r="A30">
        <v>19</v>
      </c>
      <c r="B30" s="6">
        <v>33051.030578707898</v>
      </c>
      <c r="C30" s="9">
        <f t="shared" si="0"/>
        <v>1.4576217497007098E-2</v>
      </c>
      <c r="E30" s="371">
        <v>19</v>
      </c>
      <c r="F30" s="371">
        <v>37929</v>
      </c>
      <c r="G30" s="9">
        <f t="shared" si="1"/>
        <v>1.395206146867251E-2</v>
      </c>
    </row>
    <row r="31" spans="1:7" x14ac:dyDescent="0.25">
      <c r="A31">
        <v>20</v>
      </c>
      <c r="B31" s="6">
        <v>30625.552651668801</v>
      </c>
      <c r="C31" s="9">
        <f t="shared" si="0"/>
        <v>1.3506529406207057E-2</v>
      </c>
      <c r="E31" s="371">
        <v>20</v>
      </c>
      <c r="F31" s="371">
        <v>36516</v>
      </c>
      <c r="G31" s="9">
        <f t="shared" si="1"/>
        <v>1.3432293933139428E-2</v>
      </c>
    </row>
    <row r="32" spans="1:7" x14ac:dyDescent="0.25">
      <c r="A32">
        <v>21</v>
      </c>
      <c r="B32" s="6">
        <v>28347.071992219298</v>
      </c>
      <c r="C32" s="9">
        <f t="shared" si="0"/>
        <v>1.2501670281594596E-2</v>
      </c>
      <c r="E32" s="371">
        <v>21</v>
      </c>
      <c r="F32" s="371">
        <v>27073</v>
      </c>
      <c r="G32" s="9">
        <f t="shared" si="1"/>
        <v>9.9587165530694421E-3</v>
      </c>
    </row>
    <row r="33" spans="1:7" x14ac:dyDescent="0.25">
      <c r="A33">
        <v>22</v>
      </c>
      <c r="B33" s="6">
        <v>24678.2618001255</v>
      </c>
      <c r="C33" s="9">
        <f t="shared" si="0"/>
        <v>1.0883645839426468E-2</v>
      </c>
      <c r="E33" s="371">
        <v>22</v>
      </c>
      <c r="F33" s="371">
        <v>26916</v>
      </c>
      <c r="G33" s="9">
        <f t="shared" si="1"/>
        <v>9.900964604676878E-3</v>
      </c>
    </row>
    <row r="34" spans="1:7" x14ac:dyDescent="0.25">
      <c r="A34">
        <v>23</v>
      </c>
      <c r="B34" s="6">
        <v>23681.879450364901</v>
      </c>
      <c r="C34" s="9">
        <f t="shared" si="0"/>
        <v>1.0444219728167904E-2</v>
      </c>
      <c r="E34" s="371">
        <v>23</v>
      </c>
      <c r="F34" s="371">
        <v>25560</v>
      </c>
      <c r="G34" s="9">
        <f t="shared" si="1"/>
        <v>9.4021643370315426E-3</v>
      </c>
    </row>
    <row r="35" spans="1:7" x14ac:dyDescent="0.25">
      <c r="A35">
        <v>24</v>
      </c>
      <c r="B35" s="6">
        <v>19224.036030905801</v>
      </c>
      <c r="C35" s="9">
        <f t="shared" si="0"/>
        <v>8.4782146108721649E-3</v>
      </c>
      <c r="E35" s="371">
        <v>24</v>
      </c>
      <c r="F35" s="371">
        <v>23025</v>
      </c>
      <c r="G35" s="9">
        <f t="shared" si="1"/>
        <v>8.4696726862344002E-3</v>
      </c>
    </row>
    <row r="36" spans="1:7" x14ac:dyDescent="0.25">
      <c r="A36">
        <v>25</v>
      </c>
      <c r="B36" s="6">
        <v>14879.560831223</v>
      </c>
      <c r="C36" s="9">
        <f t="shared" si="0"/>
        <v>6.5622073241969449E-3</v>
      </c>
      <c r="E36" s="371">
        <v>25</v>
      </c>
      <c r="F36" s="371">
        <v>20454</v>
      </c>
      <c r="G36" s="9">
        <f t="shared" si="1"/>
        <v>7.5239385504555232E-3</v>
      </c>
    </row>
    <row r="37" spans="1:7" x14ac:dyDescent="0.25">
      <c r="A37">
        <v>26</v>
      </c>
      <c r="B37" s="6">
        <v>16044.2989389792</v>
      </c>
      <c r="C37" s="9">
        <f t="shared" si="0"/>
        <v>7.0758819566800867E-3</v>
      </c>
      <c r="E37" s="371">
        <v>26</v>
      </c>
      <c r="F37" s="371">
        <v>20911</v>
      </c>
      <c r="G37" s="9">
        <f t="shared" si="1"/>
        <v>7.6920445403625423E-3</v>
      </c>
    </row>
    <row r="38" spans="1:7" x14ac:dyDescent="0.25">
      <c r="A38">
        <v>27</v>
      </c>
      <c r="B38" s="6">
        <v>13117.5190152414</v>
      </c>
      <c r="C38" s="9">
        <f t="shared" si="0"/>
        <v>5.7851088707189099E-3</v>
      </c>
      <c r="E38" s="371">
        <v>27</v>
      </c>
      <c r="F38" s="371">
        <v>18119</v>
      </c>
      <c r="G38" s="9">
        <f t="shared" si="1"/>
        <v>6.6650162606680169E-3</v>
      </c>
    </row>
    <row r="39" spans="1:7" x14ac:dyDescent="0.25">
      <c r="A39">
        <v>28</v>
      </c>
      <c r="B39" s="6">
        <v>10672.700122783699</v>
      </c>
      <c r="C39" s="9">
        <f t="shared" si="0"/>
        <v>4.7068909969254988E-3</v>
      </c>
      <c r="E39" s="371">
        <v>28</v>
      </c>
      <c r="F39" s="371">
        <v>11074</v>
      </c>
      <c r="G39" s="9">
        <f t="shared" si="1"/>
        <v>4.0735355191035723E-3</v>
      </c>
    </row>
    <row r="40" spans="1:7" x14ac:dyDescent="0.25">
      <c r="A40">
        <v>29</v>
      </c>
      <c r="B40" s="6">
        <v>6864.4818095772998</v>
      </c>
      <c r="C40" s="9">
        <f t="shared" si="0"/>
        <v>3.0273845658872422E-3</v>
      </c>
      <c r="E40" s="371">
        <v>29</v>
      </c>
      <c r="F40" s="371">
        <v>13390</v>
      </c>
      <c r="G40" s="9">
        <f t="shared" si="1"/>
        <v>4.9254687195951627E-3</v>
      </c>
    </row>
    <row r="41" spans="1:7" x14ac:dyDescent="0.25">
      <c r="A41">
        <v>30</v>
      </c>
      <c r="B41" s="6">
        <v>9635.4113092566004</v>
      </c>
      <c r="C41" s="9">
        <f t="shared" si="0"/>
        <v>4.2494242526683965E-3</v>
      </c>
      <c r="E41" s="371">
        <v>30</v>
      </c>
      <c r="F41" s="371">
        <v>10344</v>
      </c>
      <c r="G41" s="9">
        <f t="shared" si="1"/>
        <v>3.8050073514183987E-3</v>
      </c>
    </row>
    <row r="42" spans="1:7" x14ac:dyDescent="0.25">
      <c r="A42">
        <v>31</v>
      </c>
      <c r="B42" s="6">
        <v>8371.5091449033007</v>
      </c>
      <c r="C42" s="9">
        <f t="shared" si="0"/>
        <v>3.6920161319539974E-3</v>
      </c>
      <c r="E42" s="371">
        <v>31</v>
      </c>
      <c r="F42" s="371">
        <v>9864</v>
      </c>
      <c r="G42" s="9">
        <f t="shared" si="1"/>
        <v>3.6284408849952712E-3</v>
      </c>
    </row>
    <row r="43" spans="1:7" x14ac:dyDescent="0.25">
      <c r="A43">
        <v>32</v>
      </c>
      <c r="B43" s="6">
        <v>3723.4798190898</v>
      </c>
      <c r="C43" s="9">
        <f t="shared" si="0"/>
        <v>1.6421349270643944E-3</v>
      </c>
      <c r="E43" s="371">
        <v>32</v>
      </c>
      <c r="F43" s="371">
        <v>7761</v>
      </c>
      <c r="G43" s="9">
        <f t="shared" si="1"/>
        <v>2.8548590539789437E-3</v>
      </c>
    </row>
    <row r="44" spans="1:7" x14ac:dyDescent="0.25">
      <c r="A44">
        <v>33</v>
      </c>
      <c r="B44" s="6">
        <v>5473.7832709865997</v>
      </c>
      <c r="C44" s="9">
        <f t="shared" si="0"/>
        <v>2.4140565087486243E-3</v>
      </c>
      <c r="E44" s="371">
        <v>33</v>
      </c>
      <c r="F44" s="371">
        <v>6764</v>
      </c>
      <c r="G44" s="9">
        <f t="shared" si="1"/>
        <v>2.4881157893459059E-3</v>
      </c>
    </row>
    <row r="45" spans="1:7" x14ac:dyDescent="0.25">
      <c r="A45">
        <v>34</v>
      </c>
      <c r="B45" s="6">
        <v>13872.398854469</v>
      </c>
      <c r="C45" s="9">
        <f t="shared" si="0"/>
        <v>6.1180271648847741E-3</v>
      </c>
      <c r="E45" s="371">
        <v>34</v>
      </c>
      <c r="F45" s="371">
        <v>6196</v>
      </c>
      <c r="G45" s="9">
        <f t="shared" si="1"/>
        <v>2.2791788040785383E-3</v>
      </c>
    </row>
    <row r="46" spans="1:7" x14ac:dyDescent="0.25">
      <c r="A46">
        <v>35</v>
      </c>
      <c r="B46" s="6">
        <v>4599.1216396530999</v>
      </c>
      <c r="C46" s="9">
        <f t="shared" si="0"/>
        <v>2.0283118602045201E-3</v>
      </c>
      <c r="E46" s="371">
        <v>35</v>
      </c>
      <c r="F46" s="371">
        <v>5144</v>
      </c>
      <c r="G46" s="9">
        <f t="shared" si="1"/>
        <v>1.8922039651678504E-3</v>
      </c>
    </row>
    <row r="47" spans="1:7" x14ac:dyDescent="0.25">
      <c r="A47">
        <v>36</v>
      </c>
      <c r="B47" s="6">
        <v>7102.2328572607003</v>
      </c>
      <c r="C47" s="9">
        <f t="shared" si="0"/>
        <v>3.1322379069327437E-3</v>
      </c>
      <c r="E47" s="371">
        <v>36</v>
      </c>
      <c r="F47" s="371">
        <v>6627</v>
      </c>
      <c r="G47" s="9">
        <f t="shared" si="1"/>
        <v>2.437720777054305E-3</v>
      </c>
    </row>
    <row r="48" spans="1:7" x14ac:dyDescent="0.25">
      <c r="A48">
        <v>37</v>
      </c>
      <c r="B48" s="6">
        <v>5285.7395312702001</v>
      </c>
      <c r="C48" s="9">
        <f t="shared" si="0"/>
        <v>2.3311251628552044E-3</v>
      </c>
      <c r="E48" s="371">
        <v>37</v>
      </c>
      <c r="F48" s="371">
        <v>4790</v>
      </c>
      <c r="G48" s="9">
        <f t="shared" si="1"/>
        <v>1.7619861961807937E-3</v>
      </c>
    </row>
    <row r="49" spans="1:7" x14ac:dyDescent="0.25">
      <c r="A49">
        <v>38</v>
      </c>
      <c r="B49" s="6">
        <v>7397.7355238754999</v>
      </c>
      <c r="C49" s="9">
        <f t="shared" si="0"/>
        <v>3.2625609578060119E-3</v>
      </c>
      <c r="E49" s="371">
        <v>38</v>
      </c>
      <c r="F49" s="371">
        <v>5985</v>
      </c>
      <c r="G49" s="9">
        <f t="shared" si="1"/>
        <v>2.2015631282133719E-3</v>
      </c>
    </row>
    <row r="50" spans="1:7" x14ac:dyDescent="0.25">
      <c r="A50">
        <v>39</v>
      </c>
      <c r="B50" s="6">
        <v>3446.0545528789999</v>
      </c>
      <c r="C50" s="9">
        <f t="shared" si="0"/>
        <v>1.5197843997540959E-3</v>
      </c>
      <c r="E50" s="371">
        <v>39</v>
      </c>
      <c r="F50" s="371">
        <v>4594</v>
      </c>
      <c r="G50" s="9">
        <f t="shared" si="1"/>
        <v>1.68988822239135E-3</v>
      </c>
    </row>
    <row r="51" spans="1:7" x14ac:dyDescent="0.25">
      <c r="A51">
        <v>40</v>
      </c>
      <c r="B51" s="6">
        <v>3832.8324036549998</v>
      </c>
      <c r="C51" s="9">
        <f t="shared" si="0"/>
        <v>1.6903617759272879E-3</v>
      </c>
      <c r="E51" s="371">
        <v>40</v>
      </c>
      <c r="F51" s="371">
        <v>3721</v>
      </c>
      <c r="G51" s="9">
        <f t="shared" si="1"/>
        <v>1.3687579615842868E-3</v>
      </c>
    </row>
    <row r="52" spans="1:7" x14ac:dyDescent="0.25">
      <c r="A52">
        <v>41</v>
      </c>
      <c r="B52" s="6">
        <v>4198.0889541953002</v>
      </c>
      <c r="C52" s="9">
        <f t="shared" si="0"/>
        <v>1.8514477944162799E-3</v>
      </c>
      <c r="E52" s="371">
        <v>41</v>
      </c>
      <c r="F52" s="371">
        <v>3346</v>
      </c>
      <c r="G52" s="9">
        <f t="shared" si="1"/>
        <v>1.2308154096912184E-3</v>
      </c>
    </row>
    <row r="53" spans="1:7" x14ac:dyDescent="0.25">
      <c r="A53">
        <v>42</v>
      </c>
      <c r="B53" s="6">
        <v>603.94238084400001</v>
      </c>
      <c r="C53" s="9">
        <f t="shared" si="0"/>
        <v>2.6635161883616494E-4</v>
      </c>
      <c r="E53" s="371">
        <v>42</v>
      </c>
      <c r="F53" s="371">
        <v>2321</v>
      </c>
      <c r="G53" s="9">
        <f t="shared" si="1"/>
        <v>8.5377243451683141E-4</v>
      </c>
    </row>
    <row r="54" spans="1:7" x14ac:dyDescent="0.25">
      <c r="A54">
        <v>43</v>
      </c>
      <c r="B54" s="6">
        <v>1776.9033869573</v>
      </c>
      <c r="C54" s="9">
        <f t="shared" si="0"/>
        <v>7.8365272688785028E-4</v>
      </c>
      <c r="E54" s="371">
        <v>43</v>
      </c>
      <c r="F54" s="371">
        <v>2168</v>
      </c>
      <c r="G54" s="9">
        <f t="shared" si="1"/>
        <v>7.9749187334445947E-4</v>
      </c>
    </row>
    <row r="55" spans="1:7" x14ac:dyDescent="0.25">
      <c r="A55">
        <v>44</v>
      </c>
      <c r="B55" s="6">
        <v>4726.5863044316002</v>
      </c>
      <c r="C55" s="9">
        <f t="shared" si="0"/>
        <v>2.0845265271744341E-3</v>
      </c>
      <c r="E55" s="371">
        <v>44</v>
      </c>
      <c r="F55" s="371">
        <v>1912</v>
      </c>
      <c r="G55" s="9">
        <f t="shared" si="1"/>
        <v>7.0332309125212473E-4</v>
      </c>
    </row>
    <row r="56" spans="1:7" x14ac:dyDescent="0.25">
      <c r="A56">
        <v>45</v>
      </c>
      <c r="B56" s="6">
        <v>2273.6790698579998</v>
      </c>
      <c r="C56" s="9">
        <f t="shared" si="0"/>
        <v>1.0027415200176382E-3</v>
      </c>
      <c r="E56" s="371">
        <v>45</v>
      </c>
      <c r="F56" s="371">
        <v>2114</v>
      </c>
      <c r="G56" s="9">
        <f t="shared" si="1"/>
        <v>7.776281458718576E-4</v>
      </c>
    </row>
    <row r="57" spans="1:7" x14ac:dyDescent="0.25">
      <c r="A57">
        <v>46</v>
      </c>
      <c r="B57" s="6">
        <v>689.00454391490007</v>
      </c>
      <c r="C57" s="9">
        <f t="shared" si="0"/>
        <v>3.0386586780140236E-4</v>
      </c>
      <c r="E57" s="371">
        <v>46</v>
      </c>
      <c r="F57" s="371">
        <v>1733</v>
      </c>
      <c r="G57" s="9">
        <f t="shared" si="1"/>
        <v>6.3747851314850017E-4</v>
      </c>
    </row>
    <row r="58" spans="1:7" x14ac:dyDescent="0.25">
      <c r="A58">
        <v>47</v>
      </c>
      <c r="B58" s="6">
        <v>6277.9077469399999</v>
      </c>
      <c r="C58" s="9">
        <f t="shared" si="0"/>
        <v>2.7686927500679666E-3</v>
      </c>
      <c r="E58" s="371">
        <v>47</v>
      </c>
      <c r="F58" s="371">
        <v>1350</v>
      </c>
      <c r="G58" s="9">
        <f t="shared" si="1"/>
        <v>4.9659318681504621E-4</v>
      </c>
    </row>
    <row r="59" spans="1:7" x14ac:dyDescent="0.25">
      <c r="A59">
        <v>48</v>
      </c>
      <c r="B59" s="6">
        <v>3520.1271172880001</v>
      </c>
      <c r="C59" s="9">
        <f t="shared" si="0"/>
        <v>1.5524519986301871E-3</v>
      </c>
      <c r="E59" s="371">
        <v>48</v>
      </c>
      <c r="F59" s="371">
        <v>1128</v>
      </c>
      <c r="G59" s="9">
        <f t="shared" si="1"/>
        <v>4.1493119609434974E-4</v>
      </c>
    </row>
    <row r="60" spans="1:7" x14ac:dyDescent="0.25">
      <c r="A60">
        <v>49</v>
      </c>
      <c r="B60" s="6">
        <v>492.339784141</v>
      </c>
      <c r="C60" s="9">
        <f t="shared" si="0"/>
        <v>2.1713246608085946E-4</v>
      </c>
      <c r="E60" s="371">
        <v>49</v>
      </c>
      <c r="F60" s="371">
        <v>1003</v>
      </c>
      <c r="G60" s="9">
        <f t="shared" si="1"/>
        <v>3.6895034546332694E-4</v>
      </c>
    </row>
    <row r="61" spans="1:7" x14ac:dyDescent="0.25">
      <c r="A61">
        <v>50</v>
      </c>
      <c r="B61" s="6">
        <v>1172.3049615899999</v>
      </c>
      <c r="C61" s="9">
        <f t="shared" si="0"/>
        <v>5.1701177826402359E-4</v>
      </c>
      <c r="E61" s="371">
        <v>50</v>
      </c>
      <c r="F61" s="371">
        <v>884</v>
      </c>
      <c r="G61" s="9">
        <f t="shared" si="1"/>
        <v>3.2517657566259327E-4</v>
      </c>
    </row>
    <row r="62" spans="1:7" x14ac:dyDescent="0.25">
      <c r="A62">
        <v>51</v>
      </c>
      <c r="B62" s="6">
        <v>565.58970918499995</v>
      </c>
      <c r="C62" s="9">
        <f t="shared" si="0"/>
        <v>2.494372632501389E-4</v>
      </c>
      <c r="E62" s="371">
        <v>51</v>
      </c>
      <c r="F62" s="371">
        <v>914</v>
      </c>
      <c r="G62" s="9">
        <f t="shared" si="1"/>
        <v>3.3621197981403871E-4</v>
      </c>
    </row>
    <row r="63" spans="1:7" x14ac:dyDescent="0.25">
      <c r="A63">
        <v>52</v>
      </c>
      <c r="B63" s="6">
        <v>2193.1799728300002</v>
      </c>
      <c r="C63" s="9">
        <f t="shared" si="0"/>
        <v>9.6723968161660794E-4</v>
      </c>
      <c r="E63" s="371">
        <v>52</v>
      </c>
      <c r="F63" s="371">
        <v>688</v>
      </c>
      <c r="G63" s="9">
        <f t="shared" si="1"/>
        <v>2.5307860187314952E-4</v>
      </c>
    </row>
    <row r="64" spans="1:7" x14ac:dyDescent="0.25">
      <c r="A64">
        <v>53</v>
      </c>
      <c r="B64" s="6">
        <v>461.67911433899997</v>
      </c>
      <c r="C64" s="9">
        <f t="shared" si="0"/>
        <v>2.0361044925377203E-4</v>
      </c>
      <c r="E64" s="371">
        <v>53</v>
      </c>
      <c r="F64" s="371">
        <v>625</v>
      </c>
      <c r="G64" s="9">
        <f t="shared" si="1"/>
        <v>2.2990425315511402E-4</v>
      </c>
    </row>
    <row r="65" spans="1:7" x14ac:dyDescent="0.25">
      <c r="A65">
        <v>54</v>
      </c>
      <c r="B65" s="6">
        <v>990.59986303699998</v>
      </c>
      <c r="C65" s="9">
        <f t="shared" si="0"/>
        <v>4.3687590986753557E-4</v>
      </c>
      <c r="E65" s="371">
        <v>54</v>
      </c>
      <c r="F65" s="371">
        <v>613</v>
      </c>
      <c r="G65" s="9">
        <f t="shared" si="1"/>
        <v>2.2549009149453581E-4</v>
      </c>
    </row>
    <row r="66" spans="1:7" x14ac:dyDescent="0.25">
      <c r="A66">
        <v>55</v>
      </c>
      <c r="B66" s="6">
        <v>1608.7640975209999</v>
      </c>
      <c r="C66" s="9">
        <f t="shared" si="0"/>
        <v>7.0949967296781271E-4</v>
      </c>
      <c r="E66" s="371">
        <v>55</v>
      </c>
      <c r="F66" s="371">
        <v>406</v>
      </c>
      <c r="G66" s="9">
        <f t="shared" si="1"/>
        <v>1.4934580284956206E-4</v>
      </c>
    </row>
    <row r="67" spans="1:7" x14ac:dyDescent="0.25">
      <c r="A67">
        <v>56</v>
      </c>
      <c r="B67" s="6">
        <v>2956.0898941280002</v>
      </c>
      <c r="C67" s="9">
        <f t="shared" si="0"/>
        <v>1.303699415208944E-3</v>
      </c>
      <c r="E67" s="371">
        <v>56</v>
      </c>
      <c r="F67" s="371">
        <v>520</v>
      </c>
      <c r="G67" s="9">
        <f t="shared" si="1"/>
        <v>1.9128033862505486E-4</v>
      </c>
    </row>
    <row r="68" spans="1:7" x14ac:dyDescent="0.25">
      <c r="A68">
        <v>57</v>
      </c>
      <c r="B68" s="6">
        <v>1267.9601024569999</v>
      </c>
      <c r="C68" s="9">
        <f t="shared" si="0"/>
        <v>5.5919775896026464E-4</v>
      </c>
      <c r="E68" s="371">
        <v>57</v>
      </c>
      <c r="F68" s="371">
        <v>313</v>
      </c>
      <c r="G68" s="9">
        <f t="shared" si="1"/>
        <v>1.151360499800811E-4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335</v>
      </c>
      <c r="G69" s="9">
        <f t="shared" si="1"/>
        <v>1.2322867969114112E-4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345</v>
      </c>
      <c r="G70" s="9">
        <f t="shared" si="1"/>
        <v>1.2690714774162294E-4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335</v>
      </c>
      <c r="G71" s="9">
        <f t="shared" si="1"/>
        <v>1.2322867969114112E-4</v>
      </c>
    </row>
    <row r="72" spans="1:7" x14ac:dyDescent="0.25">
      <c r="A72">
        <v>61</v>
      </c>
      <c r="B72" s="6">
        <v>117.951606001</v>
      </c>
      <c r="C72" s="9">
        <f t="shared" si="0"/>
        <v>5.2019202823268751E-5</v>
      </c>
      <c r="E72" s="371">
        <v>61</v>
      </c>
      <c r="F72" s="371">
        <v>215</v>
      </c>
      <c r="G72" s="9">
        <f t="shared" si="1"/>
        <v>7.9087063085359213E-5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236</v>
      </c>
      <c r="G73" s="9">
        <f t="shared" si="1"/>
        <v>8.6811845991371052E-5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174</v>
      </c>
      <c r="G74" s="9">
        <f t="shared" si="1"/>
        <v>6.400534407838374E-5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158</v>
      </c>
      <c r="G75" s="9">
        <f t="shared" si="1"/>
        <v>5.8119795197612819E-5</v>
      </c>
    </row>
    <row r="76" spans="1:7" x14ac:dyDescent="0.25">
      <c r="A76">
        <v>65</v>
      </c>
      <c r="B76" s="6">
        <v>295.78917621199997</v>
      </c>
      <c r="C76" s="9">
        <f t="shared" si="0"/>
        <v>1.3044940778652185E-4</v>
      </c>
      <c r="E76" s="371">
        <v>65</v>
      </c>
      <c r="F76" s="371">
        <v>113</v>
      </c>
      <c r="G76" s="9">
        <f t="shared" si="1"/>
        <v>4.1566688970444614E-5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99</v>
      </c>
      <c r="G77" s="9">
        <f t="shared" ref="G77:G102" si="3">F77/F$102</f>
        <v>3.6416833699770059E-5</v>
      </c>
    </row>
    <row r="78" spans="1:7" x14ac:dyDescent="0.25">
      <c r="A78">
        <v>67</v>
      </c>
      <c r="B78" s="6">
        <v>103.594494646</v>
      </c>
      <c r="C78" s="9">
        <f t="shared" si="2"/>
        <v>4.5687406988918957E-5</v>
      </c>
      <c r="E78" s="371">
        <v>67</v>
      </c>
      <c r="F78" s="371">
        <v>97</v>
      </c>
      <c r="G78" s="9">
        <f t="shared" si="3"/>
        <v>3.5681140089673693E-5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76</v>
      </c>
      <c r="G79" s="9">
        <f t="shared" si="3"/>
        <v>2.7956357183661864E-5</v>
      </c>
    </row>
    <row r="80" spans="1:7" x14ac:dyDescent="0.25">
      <c r="A80">
        <v>69</v>
      </c>
      <c r="B80" s="6">
        <v>607.47943235000002</v>
      </c>
      <c r="C80" s="9">
        <f t="shared" si="2"/>
        <v>2.679115348553279E-4</v>
      </c>
      <c r="E80" s="371">
        <v>69</v>
      </c>
      <c r="F80" s="371">
        <v>60</v>
      </c>
      <c r="G80" s="9">
        <f t="shared" si="3"/>
        <v>2.2070808302890946E-5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153</v>
      </c>
      <c r="G81" s="9">
        <f t="shared" si="3"/>
        <v>5.6280561172371907E-5</v>
      </c>
    </row>
    <row r="82" spans="1:7" x14ac:dyDescent="0.25">
      <c r="A82">
        <v>71</v>
      </c>
      <c r="B82" s="6">
        <v>213.40477259810001</v>
      </c>
      <c r="C82" s="9">
        <f t="shared" si="2"/>
        <v>9.4116108509281277E-5</v>
      </c>
      <c r="E82" s="371">
        <v>71</v>
      </c>
      <c r="F82" s="371">
        <v>121</v>
      </c>
      <c r="G82" s="9">
        <f t="shared" si="3"/>
        <v>4.4509463410830072E-5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77</v>
      </c>
      <c r="G83" s="9">
        <f t="shared" si="3"/>
        <v>2.8324203988710047E-5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37</v>
      </c>
      <c r="G84" s="9">
        <f t="shared" si="3"/>
        <v>1.3610331786782749E-5</v>
      </c>
    </row>
    <row r="85" spans="1:7" x14ac:dyDescent="0.25">
      <c r="A85">
        <v>74</v>
      </c>
      <c r="B85" s="6">
        <v>474.81670899699998</v>
      </c>
      <c r="C85" s="9">
        <f t="shared" si="2"/>
        <v>2.0940441191604048E-4</v>
      </c>
      <c r="E85" s="371">
        <v>74</v>
      </c>
      <c r="F85" s="371">
        <v>86</v>
      </c>
      <c r="G85" s="9">
        <f t="shared" si="3"/>
        <v>3.163482523414369E-5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51</v>
      </c>
      <c r="G86" s="9">
        <f t="shared" si="3"/>
        <v>1.8760187057457302E-5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78</v>
      </c>
      <c r="G87" s="9">
        <f t="shared" si="3"/>
        <v>2.869205079375823E-5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33</v>
      </c>
      <c r="G88" s="9">
        <f t="shared" si="3"/>
        <v>1.213894456659002E-5</v>
      </c>
    </row>
    <row r="89" spans="1:7" x14ac:dyDescent="0.25">
      <c r="A89">
        <v>78</v>
      </c>
      <c r="B89" s="6">
        <v>1289.6121573</v>
      </c>
      <c r="C89" s="9">
        <f t="shared" si="2"/>
        <v>5.6874678224706082E-4</v>
      </c>
      <c r="E89" s="371">
        <v>78</v>
      </c>
      <c r="F89" s="371">
        <v>49</v>
      </c>
      <c r="G89" s="9">
        <f t="shared" si="3"/>
        <v>1.802449344736094E-5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12</v>
      </c>
      <c r="G90" s="9">
        <f t="shared" si="3"/>
        <v>4.4141616605781892E-6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17</v>
      </c>
      <c r="G91" s="9">
        <f t="shared" si="3"/>
        <v>6.2533956858191008E-6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17</v>
      </c>
      <c r="G92" s="9">
        <f t="shared" si="3"/>
        <v>6.2533956858191008E-6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21</v>
      </c>
      <c r="G93" s="9">
        <f t="shared" si="3"/>
        <v>7.7247829060118311E-6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21</v>
      </c>
      <c r="G94" s="9">
        <f t="shared" si="3"/>
        <v>7.7247829060118311E-6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25</v>
      </c>
      <c r="G95" s="9">
        <f t="shared" si="3"/>
        <v>9.1961701262045597E-6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13</v>
      </c>
      <c r="G96" s="9">
        <f t="shared" si="3"/>
        <v>4.7820084656263714E-6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3</v>
      </c>
      <c r="G97" s="9">
        <f t="shared" si="3"/>
        <v>1.1035404151445473E-6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9</v>
      </c>
      <c r="G98" s="9">
        <f t="shared" si="3"/>
        <v>3.3106212454336419E-6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1</v>
      </c>
      <c r="G99" s="9">
        <f t="shared" si="3"/>
        <v>3.6784680504818242E-7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1</v>
      </c>
      <c r="G100" s="9">
        <f t="shared" si="3"/>
        <v>3.6784680504818242E-7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21</v>
      </c>
      <c r="G101" s="9">
        <f t="shared" si="3"/>
        <v>7.7247829060118311E-6</v>
      </c>
    </row>
    <row r="102" spans="1:7" x14ac:dyDescent="0.25">
      <c r="B102" s="6">
        <f>SUM(B11:B101)</f>
        <v>2267462.7752703466</v>
      </c>
      <c r="C102" s="9">
        <f t="shared" si="2"/>
        <v>1</v>
      </c>
      <c r="F102" s="6">
        <f>SUM(F11:F101)</f>
        <v>2718523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1155.8622499999999</v>
      </c>
      <c r="C11" s="9">
        <f>B11/B$102</f>
        <v>5.0976018773326421E-4</v>
      </c>
      <c r="E11" s="371">
        <v>0</v>
      </c>
      <c r="F11" s="371">
        <v>2018</v>
      </c>
      <c r="G11" s="9">
        <f>F11/F$102</f>
        <v>7.4231485258723215E-4</v>
      </c>
      <c r="K11" s="6">
        <v>32.528539928102909</v>
      </c>
      <c r="L11" s="6">
        <v>27.173587185899024</v>
      </c>
    </row>
    <row r="12" spans="1:12" x14ac:dyDescent="0.25">
      <c r="A12">
        <v>1</v>
      </c>
      <c r="B12" s="6">
        <v>1720.7665339647001</v>
      </c>
      <c r="C12" s="9">
        <f>B12/B$102</f>
        <v>7.5889516367453301E-4</v>
      </c>
      <c r="E12" s="371">
        <v>1</v>
      </c>
      <c r="F12" s="371">
        <v>25664</v>
      </c>
      <c r="G12" s="9">
        <f>F12/F$102</f>
        <v>9.4404204047565526E-3</v>
      </c>
      <c r="K12" s="6"/>
      <c r="L12" s="371"/>
    </row>
    <row r="13" spans="1:12" x14ac:dyDescent="0.25">
      <c r="A13">
        <v>2</v>
      </c>
      <c r="B13" s="6">
        <v>6811.4906059886998</v>
      </c>
      <c r="C13" s="9">
        <f t="shared" ref="C13:C76" si="0">B13/B$102</f>
        <v>3.0040143019223662E-3</v>
      </c>
      <c r="E13" s="371">
        <v>2</v>
      </c>
      <c r="F13" s="371">
        <v>34005</v>
      </c>
      <c r="G13" s="9">
        <f t="shared" ref="G13:G76" si="1">F13/F$102</f>
        <v>1.2508630605663443E-2</v>
      </c>
    </row>
    <row r="14" spans="1:12" x14ac:dyDescent="0.25">
      <c r="A14">
        <v>3</v>
      </c>
      <c r="B14" s="6">
        <v>4251.2680403673003</v>
      </c>
      <c r="C14" s="9">
        <f t="shared" si="0"/>
        <v>1.8749009186536383E-3</v>
      </c>
      <c r="E14" s="371">
        <v>3</v>
      </c>
      <c r="F14" s="371">
        <v>43839</v>
      </c>
      <c r="G14" s="9">
        <f t="shared" si="1"/>
        <v>1.612603608650727E-2</v>
      </c>
    </row>
    <row r="15" spans="1:12" x14ac:dyDescent="0.25">
      <c r="A15">
        <v>4</v>
      </c>
      <c r="B15" s="6">
        <v>11472.183906799901</v>
      </c>
      <c r="C15" s="9">
        <f t="shared" si="0"/>
        <v>5.0594805929866215E-3</v>
      </c>
      <c r="E15" s="371">
        <v>4</v>
      </c>
      <c r="F15" s="371">
        <v>48712</v>
      </c>
      <c r="G15" s="9">
        <f t="shared" si="1"/>
        <v>1.7918553567507062E-2</v>
      </c>
    </row>
    <row r="16" spans="1:12" x14ac:dyDescent="0.25">
      <c r="A16">
        <v>5</v>
      </c>
      <c r="B16" s="6">
        <v>31280.868871573501</v>
      </c>
      <c r="C16" s="9">
        <f t="shared" si="0"/>
        <v>1.37955379963598E-2</v>
      </c>
      <c r="E16" s="371">
        <v>5</v>
      </c>
      <c r="F16" s="371">
        <v>48398</v>
      </c>
      <c r="G16" s="9">
        <f t="shared" si="1"/>
        <v>1.7803049670721931E-2</v>
      </c>
    </row>
    <row r="17" spans="1:7" x14ac:dyDescent="0.25">
      <c r="A17">
        <v>6</v>
      </c>
      <c r="B17" s="6">
        <v>27181.997163251799</v>
      </c>
      <c r="C17" s="9">
        <f t="shared" si="0"/>
        <v>1.1987847147793168E-2</v>
      </c>
      <c r="E17" s="371">
        <v>6</v>
      </c>
      <c r="F17" s="371">
        <v>48331</v>
      </c>
      <c r="G17" s="9">
        <f t="shared" si="1"/>
        <v>1.7778403934783703E-2</v>
      </c>
    </row>
    <row r="18" spans="1:7" x14ac:dyDescent="0.25">
      <c r="A18">
        <v>7</v>
      </c>
      <c r="B18" s="6">
        <v>27277.667200754899</v>
      </c>
      <c r="C18" s="9">
        <f t="shared" si="0"/>
        <v>1.2030039698227295E-2</v>
      </c>
      <c r="E18" s="371">
        <v>7</v>
      </c>
      <c r="F18" s="371">
        <v>48902</v>
      </c>
      <c r="G18" s="9">
        <f t="shared" si="1"/>
        <v>1.7988444460466217E-2</v>
      </c>
    </row>
    <row r="19" spans="1:7" x14ac:dyDescent="0.25">
      <c r="A19">
        <v>8</v>
      </c>
      <c r="B19" s="6">
        <v>16742.735384113999</v>
      </c>
      <c r="C19" s="9">
        <f t="shared" si="0"/>
        <v>7.3839074963944181E-3</v>
      </c>
      <c r="E19" s="371">
        <v>8</v>
      </c>
      <c r="F19" s="371">
        <v>47259</v>
      </c>
      <c r="G19" s="9">
        <f t="shared" si="1"/>
        <v>1.7384072159772054E-2</v>
      </c>
    </row>
    <row r="20" spans="1:7" x14ac:dyDescent="0.25">
      <c r="A20">
        <v>9</v>
      </c>
      <c r="B20" s="6">
        <v>40443.540266541699</v>
      </c>
      <c r="C20" s="9">
        <f t="shared" si="0"/>
        <v>1.7836473748381459E-2</v>
      </c>
      <c r="E20" s="371">
        <v>9</v>
      </c>
      <c r="F20" s="371">
        <v>46699</v>
      </c>
      <c r="G20" s="9">
        <f t="shared" si="1"/>
        <v>1.7178077948945072E-2</v>
      </c>
    </row>
    <row r="21" spans="1:7" x14ac:dyDescent="0.25">
      <c r="A21">
        <v>10</v>
      </c>
      <c r="B21" s="6">
        <v>14471.684753772</v>
      </c>
      <c r="C21" s="9">
        <f t="shared" si="0"/>
        <v>6.3823251749068133E-3</v>
      </c>
      <c r="E21" s="371">
        <v>10</v>
      </c>
      <c r="F21" s="371">
        <v>45011</v>
      </c>
      <c r="G21" s="9">
        <f t="shared" si="1"/>
        <v>1.6557152542023737E-2</v>
      </c>
    </row>
    <row r="22" spans="1:7" x14ac:dyDescent="0.25">
      <c r="A22">
        <v>11</v>
      </c>
      <c r="B22" s="6">
        <v>32644.456894703198</v>
      </c>
      <c r="C22" s="9">
        <f t="shared" si="0"/>
        <v>1.4396909731323395E-2</v>
      </c>
      <c r="E22" s="371">
        <v>11</v>
      </c>
      <c r="F22" s="371">
        <v>40768</v>
      </c>
      <c r="G22" s="9">
        <f t="shared" si="1"/>
        <v>1.4996378548204301E-2</v>
      </c>
    </row>
    <row r="23" spans="1:7" x14ac:dyDescent="0.25">
      <c r="A23">
        <v>12</v>
      </c>
      <c r="B23" s="6">
        <v>22919.3890366204</v>
      </c>
      <c r="C23" s="9">
        <f t="shared" si="0"/>
        <v>1.0107945006456724E-2</v>
      </c>
      <c r="E23" s="371">
        <v>12</v>
      </c>
      <c r="F23" s="371">
        <v>38870</v>
      </c>
      <c r="G23" s="9">
        <f t="shared" si="1"/>
        <v>1.429820531222285E-2</v>
      </c>
    </row>
    <row r="24" spans="1:7" x14ac:dyDescent="0.25">
      <c r="A24">
        <v>13</v>
      </c>
      <c r="B24" s="6">
        <v>24145.227990192601</v>
      </c>
      <c r="C24" s="9">
        <f t="shared" si="0"/>
        <v>1.0648566430076807E-2</v>
      </c>
      <c r="E24" s="371">
        <v>13</v>
      </c>
      <c r="F24" s="371">
        <v>35863</v>
      </c>
      <c r="G24" s="9">
        <f t="shared" si="1"/>
        <v>1.3192089969442966E-2</v>
      </c>
    </row>
    <row r="25" spans="1:7" x14ac:dyDescent="0.25">
      <c r="A25">
        <v>14</v>
      </c>
      <c r="B25" s="6">
        <v>26937.573789580201</v>
      </c>
      <c r="C25" s="9">
        <f t="shared" si="0"/>
        <v>1.1880051167044397E-2</v>
      </c>
      <c r="E25" s="371">
        <v>14</v>
      </c>
      <c r="F25" s="371">
        <v>33059</v>
      </c>
      <c r="G25" s="9">
        <f t="shared" si="1"/>
        <v>1.2160647528087862E-2</v>
      </c>
    </row>
    <row r="26" spans="1:7" x14ac:dyDescent="0.25">
      <c r="A26">
        <v>15</v>
      </c>
      <c r="B26" s="6">
        <v>22281.199196678601</v>
      </c>
      <c r="C26" s="9">
        <f t="shared" si="0"/>
        <v>9.8264895193360107E-3</v>
      </c>
      <c r="E26" s="371">
        <v>15</v>
      </c>
      <c r="F26" s="371">
        <v>31376</v>
      </c>
      <c r="G26" s="9">
        <f t="shared" si="1"/>
        <v>1.1541561355191771E-2</v>
      </c>
    </row>
    <row r="27" spans="1:7" x14ac:dyDescent="0.25">
      <c r="A27">
        <v>16</v>
      </c>
      <c r="B27" s="6">
        <v>38109.467039327697</v>
      </c>
      <c r="C27" s="9">
        <f t="shared" si="0"/>
        <v>1.6807097102083172E-2</v>
      </c>
      <c r="E27" s="371">
        <v>16</v>
      </c>
      <c r="F27" s="371">
        <v>28296</v>
      </c>
      <c r="G27" s="9">
        <f t="shared" si="1"/>
        <v>1.040859319564337E-2</v>
      </c>
    </row>
    <row r="28" spans="1:7" x14ac:dyDescent="0.25">
      <c r="A28">
        <v>17</v>
      </c>
      <c r="B28" s="6">
        <v>22110.432789636201</v>
      </c>
      <c r="C28" s="9">
        <f t="shared" si="0"/>
        <v>9.7511778498767226E-3</v>
      </c>
      <c r="E28" s="371">
        <v>17</v>
      </c>
      <c r="F28" s="371">
        <v>28337</v>
      </c>
      <c r="G28" s="9">
        <f t="shared" si="1"/>
        <v>1.0423674914650346E-2</v>
      </c>
    </row>
    <row r="29" spans="1:7" x14ac:dyDescent="0.25">
      <c r="A29">
        <v>18</v>
      </c>
      <c r="B29" s="6">
        <v>105837.1079004428</v>
      </c>
      <c r="C29" s="9">
        <f t="shared" si="0"/>
        <v>4.6676447814153865E-2</v>
      </c>
      <c r="E29" s="371">
        <v>18</v>
      </c>
      <c r="F29" s="371">
        <v>167739</v>
      </c>
      <c r="G29" s="9">
        <f t="shared" si="1"/>
        <v>6.1702255231977067E-2</v>
      </c>
    </row>
    <row r="30" spans="1:7" x14ac:dyDescent="0.25">
      <c r="A30">
        <v>19</v>
      </c>
      <c r="B30" s="6">
        <v>68303.319886952493</v>
      </c>
      <c r="C30" s="9">
        <f t="shared" si="0"/>
        <v>3.0123237581621949E-2</v>
      </c>
      <c r="E30" s="371">
        <v>19</v>
      </c>
      <c r="F30" s="371">
        <v>82825</v>
      </c>
      <c r="G30" s="9">
        <f t="shared" si="1"/>
        <v>3.0466911628115708E-2</v>
      </c>
    </row>
    <row r="31" spans="1:7" x14ac:dyDescent="0.25">
      <c r="A31">
        <v>20</v>
      </c>
      <c r="B31" s="6">
        <v>79044.002295194296</v>
      </c>
      <c r="C31" s="9">
        <f t="shared" si="0"/>
        <v>3.4860110233020256E-2</v>
      </c>
      <c r="E31" s="371">
        <v>20</v>
      </c>
      <c r="F31" s="371">
        <v>94952</v>
      </c>
      <c r="G31" s="9">
        <f t="shared" si="1"/>
        <v>3.4927789832935013E-2</v>
      </c>
    </row>
    <row r="32" spans="1:7" x14ac:dyDescent="0.25">
      <c r="A32">
        <v>21</v>
      </c>
      <c r="B32" s="6">
        <v>107600.0791541659</v>
      </c>
      <c r="C32" s="9">
        <f t="shared" si="0"/>
        <v>4.7453956169726717E-2</v>
      </c>
      <c r="E32" s="371">
        <v>21</v>
      </c>
      <c r="F32" s="371">
        <v>106800</v>
      </c>
      <c r="G32" s="9">
        <f t="shared" si="1"/>
        <v>3.9286038779145882E-2</v>
      </c>
    </row>
    <row r="33" spans="1:7" x14ac:dyDescent="0.25">
      <c r="A33">
        <v>22</v>
      </c>
      <c r="B33" s="6">
        <v>72921.562364200494</v>
      </c>
      <c r="C33" s="9">
        <f t="shared" si="0"/>
        <v>3.2159982143700756E-2</v>
      </c>
      <c r="E33" s="371">
        <v>22</v>
      </c>
      <c r="F33" s="371">
        <v>112985</v>
      </c>
      <c r="G33" s="9">
        <f t="shared" si="1"/>
        <v>4.1561171268368891E-2</v>
      </c>
    </row>
    <row r="34" spans="1:7" x14ac:dyDescent="0.25">
      <c r="A34">
        <v>23</v>
      </c>
      <c r="B34" s="6">
        <v>63263.159273337798</v>
      </c>
      <c r="C34" s="9">
        <f t="shared" si="0"/>
        <v>2.7900418019341035E-2</v>
      </c>
      <c r="E34" s="371">
        <v>23</v>
      </c>
      <c r="F34" s="371">
        <v>98133</v>
      </c>
      <c r="G34" s="9">
        <f t="shared" si="1"/>
        <v>3.6097910519793282E-2</v>
      </c>
    </row>
    <row r="35" spans="1:7" x14ac:dyDescent="0.25">
      <c r="A35">
        <v>24</v>
      </c>
      <c r="B35" s="6">
        <v>83926.901021731799</v>
      </c>
      <c r="C35" s="9">
        <f t="shared" si="0"/>
        <v>3.7013573910480324E-2</v>
      </c>
      <c r="E35" s="371">
        <v>24</v>
      </c>
      <c r="F35" s="371">
        <v>73027</v>
      </c>
      <c r="G35" s="9">
        <f t="shared" si="1"/>
        <v>2.6862748632253616E-2</v>
      </c>
    </row>
    <row r="36" spans="1:7" x14ac:dyDescent="0.25">
      <c r="A36">
        <v>25</v>
      </c>
      <c r="B36" s="6">
        <v>51355.298671268996</v>
      </c>
      <c r="C36" s="9">
        <f t="shared" si="0"/>
        <v>2.264879460486225E-2</v>
      </c>
      <c r="E36" s="371">
        <v>25</v>
      </c>
      <c r="F36" s="371">
        <v>83048</v>
      </c>
      <c r="G36" s="9">
        <f t="shared" si="1"/>
        <v>3.0548941465641452E-2</v>
      </c>
    </row>
    <row r="37" spans="1:7" x14ac:dyDescent="0.25">
      <c r="A37">
        <v>26</v>
      </c>
      <c r="B37" s="6">
        <v>82141.661304942201</v>
      </c>
      <c r="C37" s="9">
        <f t="shared" si="0"/>
        <v>3.6226244682296307E-2</v>
      </c>
      <c r="E37" s="371">
        <v>26</v>
      </c>
      <c r="F37" s="371">
        <v>75202</v>
      </c>
      <c r="G37" s="9">
        <f t="shared" si="1"/>
        <v>2.7662815433233415E-2</v>
      </c>
    </row>
    <row r="38" spans="1:7" x14ac:dyDescent="0.25">
      <c r="A38">
        <v>27</v>
      </c>
      <c r="B38" s="6">
        <v>55556.917624014597</v>
      </c>
      <c r="C38" s="9">
        <f t="shared" si="0"/>
        <v>2.4501799204792073E-2</v>
      </c>
      <c r="E38" s="371">
        <v>27</v>
      </c>
      <c r="F38" s="371">
        <v>65709</v>
      </c>
      <c r="G38" s="9">
        <f t="shared" si="1"/>
        <v>2.4170845712911018E-2</v>
      </c>
    </row>
    <row r="39" spans="1:7" x14ac:dyDescent="0.25">
      <c r="A39">
        <v>28</v>
      </c>
      <c r="B39" s="6">
        <v>62357.268807241897</v>
      </c>
      <c r="C39" s="9">
        <f t="shared" si="0"/>
        <v>2.7500900780965253E-2</v>
      </c>
      <c r="E39" s="371">
        <v>28</v>
      </c>
      <c r="F39" s="371">
        <v>78547</v>
      </c>
      <c r="G39" s="9">
        <f t="shared" si="1"/>
        <v>2.8893262996119586E-2</v>
      </c>
    </row>
    <row r="40" spans="1:7" x14ac:dyDescent="0.25">
      <c r="A40">
        <v>29</v>
      </c>
      <c r="B40" s="6">
        <v>51535.0302141344</v>
      </c>
      <c r="C40" s="9">
        <f t="shared" si="0"/>
        <v>2.2728060092624874E-2</v>
      </c>
      <c r="E40" s="371">
        <v>29</v>
      </c>
      <c r="F40" s="371">
        <v>61305</v>
      </c>
      <c r="G40" s="9">
        <f t="shared" si="1"/>
        <v>2.2550848383478823E-2</v>
      </c>
    </row>
    <row r="41" spans="1:7" x14ac:dyDescent="0.25">
      <c r="A41">
        <v>30</v>
      </c>
      <c r="B41" s="6">
        <v>58252.716279202301</v>
      </c>
      <c r="C41" s="9">
        <f t="shared" si="0"/>
        <v>2.5690704568350375E-2</v>
      </c>
      <c r="E41" s="371">
        <v>30</v>
      </c>
      <c r="F41" s="371">
        <v>58637</v>
      </c>
      <c r="G41" s="9">
        <f t="shared" si="1"/>
        <v>2.1569433107610274E-2</v>
      </c>
    </row>
    <row r="42" spans="1:7" x14ac:dyDescent="0.25">
      <c r="A42">
        <v>31</v>
      </c>
      <c r="B42" s="6">
        <v>39366.180190486302</v>
      </c>
      <c r="C42" s="9">
        <f t="shared" si="0"/>
        <v>1.7361334712889712E-2</v>
      </c>
      <c r="E42" s="371">
        <v>31</v>
      </c>
      <c r="F42" s="371">
        <v>52451</v>
      </c>
      <c r="G42" s="9">
        <f t="shared" si="1"/>
        <v>1.9293932771582215E-2</v>
      </c>
    </row>
    <row r="43" spans="1:7" x14ac:dyDescent="0.25">
      <c r="A43">
        <v>32</v>
      </c>
      <c r="B43" s="6">
        <v>42019.829387631704</v>
      </c>
      <c r="C43" s="9">
        <f t="shared" si="0"/>
        <v>1.8531651256158656E-2</v>
      </c>
      <c r="E43" s="371">
        <v>32</v>
      </c>
      <c r="F43" s="371">
        <v>62284</v>
      </c>
      <c r="G43" s="9">
        <f t="shared" si="1"/>
        <v>2.2910970405620994E-2</v>
      </c>
    </row>
    <row r="44" spans="1:7" x14ac:dyDescent="0.25">
      <c r="A44">
        <v>33</v>
      </c>
      <c r="B44" s="6">
        <v>47207.974699088401</v>
      </c>
      <c r="C44" s="9">
        <f t="shared" si="0"/>
        <v>2.081973526267035E-2</v>
      </c>
      <c r="E44" s="371">
        <v>33</v>
      </c>
      <c r="F44" s="371">
        <v>55939</v>
      </c>
      <c r="G44" s="9">
        <f t="shared" si="1"/>
        <v>2.0576982427590276E-2</v>
      </c>
    </row>
    <row r="45" spans="1:7" x14ac:dyDescent="0.25">
      <c r="A45">
        <v>34</v>
      </c>
      <c r="B45" s="6">
        <v>65899.291947524602</v>
      </c>
      <c r="C45" s="9">
        <f t="shared" si="0"/>
        <v>2.9063009398100276E-2</v>
      </c>
      <c r="E45" s="371">
        <v>34</v>
      </c>
      <c r="F45" s="371">
        <v>56062</v>
      </c>
      <c r="G45" s="9">
        <f t="shared" si="1"/>
        <v>2.0622227584611203E-2</v>
      </c>
    </row>
    <row r="46" spans="1:7" x14ac:dyDescent="0.25">
      <c r="A46">
        <v>35</v>
      </c>
      <c r="B46" s="6">
        <v>42405.184617795203</v>
      </c>
      <c r="C46" s="9">
        <f t="shared" si="0"/>
        <v>1.8701601225951461E-2</v>
      </c>
      <c r="E46" s="371">
        <v>35</v>
      </c>
      <c r="F46" s="371">
        <v>43952</v>
      </c>
      <c r="G46" s="9">
        <f t="shared" si="1"/>
        <v>1.6167602775477713E-2</v>
      </c>
    </row>
    <row r="47" spans="1:7" x14ac:dyDescent="0.25">
      <c r="A47">
        <v>36</v>
      </c>
      <c r="B47" s="6">
        <v>29733.466283458201</v>
      </c>
      <c r="C47" s="9">
        <f t="shared" si="0"/>
        <v>1.3113100072795297E-2</v>
      </c>
      <c r="E47" s="371">
        <v>36</v>
      </c>
      <c r="F47" s="371">
        <v>33552</v>
      </c>
      <c r="G47" s="9">
        <f t="shared" si="1"/>
        <v>1.2341996002976616E-2</v>
      </c>
    </row>
    <row r="48" spans="1:7" x14ac:dyDescent="0.25">
      <c r="A48">
        <v>37</v>
      </c>
      <c r="B48" s="6">
        <v>39459.7565063371</v>
      </c>
      <c r="C48" s="9">
        <f t="shared" si="0"/>
        <v>1.7402603886907196E-2</v>
      </c>
      <c r="E48" s="371">
        <v>37</v>
      </c>
      <c r="F48" s="371">
        <v>40741</v>
      </c>
      <c r="G48" s="9">
        <f t="shared" si="1"/>
        <v>1.4986446684468E-2</v>
      </c>
    </row>
    <row r="49" spans="1:7" x14ac:dyDescent="0.25">
      <c r="A49">
        <v>38</v>
      </c>
      <c r="B49" s="6">
        <v>49950.4677449011</v>
      </c>
      <c r="C49" s="9">
        <f t="shared" si="0"/>
        <v>2.2029233859835066E-2</v>
      </c>
      <c r="E49" s="371">
        <v>38</v>
      </c>
      <c r="F49" s="371">
        <v>37345</v>
      </c>
      <c r="G49" s="9">
        <f t="shared" si="1"/>
        <v>1.3737238934524372E-2</v>
      </c>
    </row>
    <row r="50" spans="1:7" x14ac:dyDescent="0.25">
      <c r="A50">
        <v>39</v>
      </c>
      <c r="B50" s="6">
        <v>26826.980156684302</v>
      </c>
      <c r="C50" s="9">
        <f t="shared" si="0"/>
        <v>1.1831276989094457E-2</v>
      </c>
      <c r="E50" s="371">
        <v>39</v>
      </c>
      <c r="F50" s="371">
        <v>36672</v>
      </c>
      <c r="G50" s="9">
        <f t="shared" si="1"/>
        <v>1.3489678034726945E-2</v>
      </c>
    </row>
    <row r="51" spans="1:7" x14ac:dyDescent="0.25">
      <c r="A51">
        <v>40</v>
      </c>
      <c r="B51" s="6">
        <v>22806.562338966702</v>
      </c>
      <c r="C51" s="9">
        <f t="shared" si="0"/>
        <v>1.005818599877456E-2</v>
      </c>
      <c r="E51" s="371">
        <v>40</v>
      </c>
      <c r="F51" s="371">
        <v>28902</v>
      </c>
      <c r="G51" s="9">
        <f t="shared" si="1"/>
        <v>1.0631508359502568E-2</v>
      </c>
    </row>
    <row r="52" spans="1:7" x14ac:dyDescent="0.25">
      <c r="A52">
        <v>41</v>
      </c>
      <c r="B52" s="6">
        <v>34178.4904173338</v>
      </c>
      <c r="C52" s="9">
        <f t="shared" si="0"/>
        <v>1.5073451608597523E-2</v>
      </c>
      <c r="E52" s="371">
        <v>41</v>
      </c>
      <c r="F52" s="371">
        <v>30317</v>
      </c>
      <c r="G52" s="9">
        <f t="shared" si="1"/>
        <v>1.1152011588645747E-2</v>
      </c>
    </row>
    <row r="53" spans="1:7" x14ac:dyDescent="0.25">
      <c r="A53">
        <v>42</v>
      </c>
      <c r="B53" s="6">
        <v>16748.1320321737</v>
      </c>
      <c r="C53" s="9">
        <f t="shared" si="0"/>
        <v>7.3862875346109467E-3</v>
      </c>
      <c r="E53" s="371">
        <v>42</v>
      </c>
      <c r="F53" s="371">
        <v>30244</v>
      </c>
      <c r="G53" s="9">
        <f t="shared" si="1"/>
        <v>1.1125158771877228E-2</v>
      </c>
    </row>
    <row r="54" spans="1:7" x14ac:dyDescent="0.25">
      <c r="A54">
        <v>43</v>
      </c>
      <c r="B54" s="6">
        <v>23369.8926176147</v>
      </c>
      <c r="C54" s="9">
        <f t="shared" si="0"/>
        <v>1.0306626804415055E-2</v>
      </c>
      <c r="E54" s="371">
        <v>43</v>
      </c>
      <c r="F54" s="371">
        <v>22009</v>
      </c>
      <c r="G54" s="9">
        <f t="shared" si="1"/>
        <v>8.0959403323054464E-3</v>
      </c>
    </row>
    <row r="55" spans="1:7" x14ac:dyDescent="0.25">
      <c r="A55">
        <v>44</v>
      </c>
      <c r="B55" s="6">
        <v>16419.2491607173</v>
      </c>
      <c r="C55" s="9">
        <f t="shared" si="0"/>
        <v>7.24124309328944E-3</v>
      </c>
      <c r="E55" s="371">
        <v>44</v>
      </c>
      <c r="F55" s="371">
        <v>27517</v>
      </c>
      <c r="G55" s="9">
        <f t="shared" si="1"/>
        <v>1.0122040534510835E-2</v>
      </c>
    </row>
    <row r="56" spans="1:7" x14ac:dyDescent="0.25">
      <c r="A56">
        <v>45</v>
      </c>
      <c r="B56" s="6">
        <v>78303.962785062497</v>
      </c>
      <c r="C56" s="9">
        <f t="shared" si="0"/>
        <v>3.4533736844136916E-2</v>
      </c>
      <c r="E56" s="371">
        <v>45</v>
      </c>
      <c r="F56" s="371">
        <v>20752</v>
      </c>
      <c r="G56" s="9">
        <f t="shared" si="1"/>
        <v>7.6335568983598818E-3</v>
      </c>
    </row>
    <row r="57" spans="1:7" x14ac:dyDescent="0.25">
      <c r="A57">
        <v>46</v>
      </c>
      <c r="B57" s="6">
        <v>22627.247193056199</v>
      </c>
      <c r="C57" s="9">
        <f t="shared" si="0"/>
        <v>9.9791041510519998E-3</v>
      </c>
      <c r="E57" s="371">
        <v>46</v>
      </c>
      <c r="F57" s="371">
        <v>17647</v>
      </c>
      <c r="G57" s="9">
        <f t="shared" si="1"/>
        <v>6.4913925686852754E-3</v>
      </c>
    </row>
    <row r="58" spans="1:7" x14ac:dyDescent="0.25">
      <c r="A58">
        <v>47</v>
      </c>
      <c r="B58" s="6">
        <v>19452.788486302601</v>
      </c>
      <c r="C58" s="9">
        <f t="shared" si="0"/>
        <v>8.5790993785921244E-3</v>
      </c>
      <c r="E58" s="371">
        <v>47</v>
      </c>
      <c r="F58" s="371">
        <v>22164</v>
      </c>
      <c r="G58" s="9">
        <f t="shared" si="1"/>
        <v>8.1529565870879159E-3</v>
      </c>
    </row>
    <row r="59" spans="1:7" x14ac:dyDescent="0.25">
      <c r="A59">
        <v>48</v>
      </c>
      <c r="B59" s="6">
        <v>16817.755148050801</v>
      </c>
      <c r="C59" s="9">
        <f t="shared" si="0"/>
        <v>7.4169928306962599E-3</v>
      </c>
      <c r="E59" s="371">
        <v>48</v>
      </c>
      <c r="F59" s="371">
        <v>18286</v>
      </c>
      <c r="G59" s="9">
        <f t="shared" si="1"/>
        <v>6.7264466771110639E-3</v>
      </c>
    </row>
    <row r="60" spans="1:7" x14ac:dyDescent="0.25">
      <c r="A60">
        <v>49</v>
      </c>
      <c r="B60" s="6">
        <v>10864.170848870401</v>
      </c>
      <c r="C60" s="9">
        <f t="shared" si="0"/>
        <v>4.7913337177387981E-3</v>
      </c>
      <c r="E60" s="371">
        <v>49</v>
      </c>
      <c r="F60" s="371">
        <v>17702</v>
      </c>
      <c r="G60" s="9">
        <f t="shared" si="1"/>
        <v>6.5116241429629251E-3</v>
      </c>
    </row>
    <row r="61" spans="1:7" x14ac:dyDescent="0.25">
      <c r="A61">
        <v>50</v>
      </c>
      <c r="B61" s="6">
        <v>13469.7626508183</v>
      </c>
      <c r="C61" s="9">
        <f t="shared" si="0"/>
        <v>5.9404559129806753E-3</v>
      </c>
      <c r="E61" s="371">
        <v>50</v>
      </c>
      <c r="F61" s="371">
        <v>16201</v>
      </c>
      <c r="G61" s="9">
        <f t="shared" si="1"/>
        <v>5.9594860885856032E-3</v>
      </c>
    </row>
    <row r="62" spans="1:7" x14ac:dyDescent="0.25">
      <c r="A62">
        <v>51</v>
      </c>
      <c r="B62" s="6">
        <v>10416.5379670777</v>
      </c>
      <c r="C62" s="9">
        <f t="shared" si="0"/>
        <v>4.5939179600581323E-3</v>
      </c>
      <c r="E62" s="371">
        <v>51</v>
      </c>
      <c r="F62" s="371">
        <v>15701</v>
      </c>
      <c r="G62" s="9">
        <f t="shared" si="1"/>
        <v>5.775562686061512E-3</v>
      </c>
    </row>
    <row r="63" spans="1:7" x14ac:dyDescent="0.25">
      <c r="A63">
        <v>52</v>
      </c>
      <c r="B63" s="6">
        <v>14889.9035465995</v>
      </c>
      <c r="C63" s="9">
        <f t="shared" si="0"/>
        <v>6.5667686848019814E-3</v>
      </c>
      <c r="E63" s="371">
        <v>52</v>
      </c>
      <c r="F63" s="371">
        <v>12188</v>
      </c>
      <c r="G63" s="9">
        <f t="shared" si="1"/>
        <v>4.4833168599272477E-3</v>
      </c>
    </row>
    <row r="64" spans="1:7" x14ac:dyDescent="0.25">
      <c r="A64">
        <v>53</v>
      </c>
      <c r="B64" s="6">
        <v>11651.686595413899</v>
      </c>
      <c r="C64" s="9">
        <f t="shared" si="0"/>
        <v>5.1386451510872927E-3</v>
      </c>
      <c r="E64" s="371">
        <v>53</v>
      </c>
      <c r="F64" s="371">
        <v>11144</v>
      </c>
      <c r="G64" s="9">
        <f t="shared" si="1"/>
        <v>4.099284795456945E-3</v>
      </c>
    </row>
    <row r="65" spans="1:7" x14ac:dyDescent="0.25">
      <c r="A65">
        <v>54</v>
      </c>
      <c r="B65" s="6">
        <v>9859.3833991213996</v>
      </c>
      <c r="C65" s="9">
        <f t="shared" si="0"/>
        <v>4.3482007760616403E-3</v>
      </c>
      <c r="E65" s="371">
        <v>54</v>
      </c>
      <c r="F65" s="371">
        <v>15897</v>
      </c>
      <c r="G65" s="9">
        <f t="shared" si="1"/>
        <v>5.8476606598509562E-3</v>
      </c>
    </row>
    <row r="66" spans="1:7" x14ac:dyDescent="0.25">
      <c r="A66">
        <v>55</v>
      </c>
      <c r="B66" s="6">
        <v>13916.893118497101</v>
      </c>
      <c r="C66" s="9">
        <f t="shared" si="0"/>
        <v>6.1376500951985024E-3</v>
      </c>
      <c r="E66" s="371">
        <v>55</v>
      </c>
      <c r="F66" s="371">
        <v>8615</v>
      </c>
      <c r="G66" s="9">
        <f t="shared" si="1"/>
        <v>3.1690002254900914E-3</v>
      </c>
    </row>
    <row r="67" spans="1:7" x14ac:dyDescent="0.25">
      <c r="A67">
        <v>56</v>
      </c>
      <c r="B67" s="6">
        <v>7311.7558387176005</v>
      </c>
      <c r="C67" s="9">
        <f t="shared" si="0"/>
        <v>3.2246420618066512E-3</v>
      </c>
      <c r="E67" s="371">
        <v>56</v>
      </c>
      <c r="F67" s="371">
        <v>10298</v>
      </c>
      <c r="G67" s="9">
        <f t="shared" si="1"/>
        <v>3.7880863983861825E-3</v>
      </c>
    </row>
    <row r="68" spans="1:7" x14ac:dyDescent="0.25">
      <c r="A68">
        <v>57</v>
      </c>
      <c r="B68" s="6">
        <v>4446.7276208380999</v>
      </c>
      <c r="C68" s="9">
        <f t="shared" si="0"/>
        <v>1.9611028103021112E-3</v>
      </c>
      <c r="E68" s="371">
        <v>57</v>
      </c>
      <c r="F68" s="371">
        <v>9765</v>
      </c>
      <c r="G68" s="9">
        <f t="shared" si="1"/>
        <v>3.5920240512955014E-3</v>
      </c>
    </row>
    <row r="69" spans="1:7" x14ac:dyDescent="0.25">
      <c r="A69">
        <v>58</v>
      </c>
      <c r="B69" s="6">
        <v>5162.9732608134</v>
      </c>
      <c r="C69" s="9">
        <f t="shared" si="0"/>
        <v>2.276982589139893E-3</v>
      </c>
      <c r="E69" s="371">
        <v>58</v>
      </c>
      <c r="F69" s="371">
        <v>14340</v>
      </c>
      <c r="G69" s="9">
        <f t="shared" si="1"/>
        <v>5.2749231843909356E-3</v>
      </c>
    </row>
    <row r="70" spans="1:7" x14ac:dyDescent="0.25">
      <c r="A70">
        <v>59</v>
      </c>
      <c r="B70" s="6">
        <v>6637.0448324078998</v>
      </c>
      <c r="C70" s="9">
        <f t="shared" si="0"/>
        <v>2.9270799524444566E-3</v>
      </c>
      <c r="E70" s="371">
        <v>59</v>
      </c>
      <c r="F70" s="371">
        <v>6969</v>
      </c>
      <c r="G70" s="9">
        <f t="shared" si="1"/>
        <v>2.563524384380783E-3</v>
      </c>
    </row>
    <row r="71" spans="1:7" x14ac:dyDescent="0.25">
      <c r="A71">
        <v>60</v>
      </c>
      <c r="B71" s="6">
        <v>6401.8810918364998</v>
      </c>
      <c r="C71" s="9">
        <f t="shared" si="0"/>
        <v>2.8233676696514734E-3</v>
      </c>
      <c r="E71" s="371">
        <v>60</v>
      </c>
      <c r="F71" s="371">
        <v>6752</v>
      </c>
      <c r="G71" s="9">
        <f t="shared" si="1"/>
        <v>2.4837016276853278E-3</v>
      </c>
    </row>
    <row r="72" spans="1:7" x14ac:dyDescent="0.25">
      <c r="A72">
        <v>61</v>
      </c>
      <c r="B72" s="6">
        <v>11655.4694613099</v>
      </c>
      <c r="C72" s="9">
        <f t="shared" si="0"/>
        <v>5.1403134765554137E-3</v>
      </c>
      <c r="E72" s="371">
        <v>61</v>
      </c>
      <c r="F72" s="371">
        <v>7282</v>
      </c>
      <c r="G72" s="9">
        <f t="shared" si="1"/>
        <v>2.6786604343608644E-3</v>
      </c>
    </row>
    <row r="73" spans="1:7" x14ac:dyDescent="0.25">
      <c r="A73">
        <v>62</v>
      </c>
      <c r="B73" s="6">
        <v>4935.5354221830003</v>
      </c>
      <c r="C73" s="9">
        <f t="shared" si="0"/>
        <v>2.1766775957742213E-3</v>
      </c>
      <c r="E73" s="371">
        <v>62</v>
      </c>
      <c r="F73" s="371">
        <v>5823</v>
      </c>
      <c r="G73" s="9">
        <f t="shared" si="1"/>
        <v>2.1419719457955663E-3</v>
      </c>
    </row>
    <row r="74" spans="1:7" x14ac:dyDescent="0.25">
      <c r="A74">
        <v>63</v>
      </c>
      <c r="B74" s="6">
        <v>3688.8441649693</v>
      </c>
      <c r="C74" s="9">
        <f t="shared" si="0"/>
        <v>1.6268598564002819E-3</v>
      </c>
      <c r="E74" s="371">
        <v>63</v>
      </c>
      <c r="F74" s="371">
        <v>5569</v>
      </c>
      <c r="G74" s="9">
        <f t="shared" si="1"/>
        <v>2.0485388573133279E-3</v>
      </c>
    </row>
    <row r="75" spans="1:7" x14ac:dyDescent="0.25">
      <c r="A75">
        <v>64</v>
      </c>
      <c r="B75" s="6">
        <v>2942.6999045960001</v>
      </c>
      <c r="C75" s="9">
        <f t="shared" si="0"/>
        <v>1.2977941409623127E-3</v>
      </c>
      <c r="E75" s="371">
        <v>64</v>
      </c>
      <c r="F75" s="371">
        <v>6062</v>
      </c>
      <c r="G75" s="9">
        <f t="shared" si="1"/>
        <v>2.2298873322020817E-3</v>
      </c>
    </row>
    <row r="76" spans="1:7" x14ac:dyDescent="0.25">
      <c r="A76">
        <v>65</v>
      </c>
      <c r="B76" s="6">
        <v>5892.5558191136997</v>
      </c>
      <c r="C76" s="9">
        <f t="shared" si="0"/>
        <v>2.5987442366771111E-3</v>
      </c>
      <c r="E76" s="371">
        <v>65</v>
      </c>
      <c r="F76" s="371">
        <v>4101</v>
      </c>
      <c r="G76" s="9">
        <f t="shared" si="1"/>
        <v>1.508539747502596E-3</v>
      </c>
    </row>
    <row r="77" spans="1:7" x14ac:dyDescent="0.25">
      <c r="A77">
        <v>66</v>
      </c>
      <c r="B77" s="6">
        <v>4155.0342932719996</v>
      </c>
      <c r="C77" s="9">
        <f t="shared" ref="C77:C102" si="2">B77/B$102</f>
        <v>1.832459760128411E-3</v>
      </c>
      <c r="E77" s="371">
        <v>66</v>
      </c>
      <c r="F77" s="371">
        <v>4095</v>
      </c>
      <c r="G77" s="9">
        <f t="shared" ref="G77:G102" si="3">F77/F$102</f>
        <v>1.506332666672307E-3</v>
      </c>
    </row>
    <row r="78" spans="1:7" x14ac:dyDescent="0.25">
      <c r="A78">
        <v>67</v>
      </c>
      <c r="B78" s="6">
        <v>6053.7855554197004</v>
      </c>
      <c r="C78" s="9">
        <f t="shared" si="2"/>
        <v>2.669850028606497E-3</v>
      </c>
      <c r="E78" s="371">
        <v>67</v>
      </c>
      <c r="F78" s="371">
        <v>4183</v>
      </c>
      <c r="G78" s="9">
        <f t="shared" si="3"/>
        <v>1.538703185516547E-3</v>
      </c>
    </row>
    <row r="79" spans="1:7" x14ac:dyDescent="0.25">
      <c r="A79">
        <v>68</v>
      </c>
      <c r="B79" s="6">
        <v>1592.1817228489999</v>
      </c>
      <c r="C79" s="9">
        <f t="shared" si="2"/>
        <v>7.0218648800493165E-4</v>
      </c>
      <c r="E79" s="371">
        <v>68</v>
      </c>
      <c r="F79" s="371">
        <v>4084</v>
      </c>
      <c r="G79" s="9">
        <f t="shared" si="3"/>
        <v>1.5022863518167769E-3</v>
      </c>
    </row>
    <row r="80" spans="1:7" x14ac:dyDescent="0.25">
      <c r="A80">
        <v>69</v>
      </c>
      <c r="B80" s="6">
        <v>4028.6973121152</v>
      </c>
      <c r="C80" s="9">
        <f t="shared" si="2"/>
        <v>1.7767424259632508E-3</v>
      </c>
      <c r="E80" s="371">
        <v>69</v>
      </c>
      <c r="F80" s="371">
        <v>3414</v>
      </c>
      <c r="G80" s="9">
        <f t="shared" si="3"/>
        <v>1.2558289924344947E-3</v>
      </c>
    </row>
    <row r="81" spans="1:7" x14ac:dyDescent="0.25">
      <c r="A81">
        <v>70</v>
      </c>
      <c r="B81" s="6">
        <v>7374.5215670546004</v>
      </c>
      <c r="C81" s="9">
        <f t="shared" si="2"/>
        <v>3.2523231020519607E-3</v>
      </c>
      <c r="E81" s="371">
        <v>70</v>
      </c>
      <c r="F81" s="371">
        <v>3445</v>
      </c>
      <c r="G81" s="9">
        <f t="shared" si="3"/>
        <v>1.2672322433909884E-3</v>
      </c>
    </row>
    <row r="82" spans="1:7" x14ac:dyDescent="0.25">
      <c r="A82">
        <v>71</v>
      </c>
      <c r="B82" s="6">
        <v>1567.8307832096</v>
      </c>
      <c r="C82" s="9">
        <f t="shared" si="2"/>
        <v>6.9144719829972515E-4</v>
      </c>
      <c r="E82" s="371">
        <v>71</v>
      </c>
      <c r="F82" s="371">
        <v>3402</v>
      </c>
      <c r="G82" s="9">
        <f t="shared" si="3"/>
        <v>1.2514148307739166E-3</v>
      </c>
    </row>
    <row r="83" spans="1:7" x14ac:dyDescent="0.25">
      <c r="A83">
        <v>72</v>
      </c>
      <c r="B83" s="6">
        <v>11656.6625317656</v>
      </c>
      <c r="C83" s="9">
        <f t="shared" si="2"/>
        <v>5.140839646364556E-3</v>
      </c>
      <c r="E83" s="371">
        <v>72</v>
      </c>
      <c r="F83" s="371">
        <v>2739</v>
      </c>
      <c r="G83" s="9">
        <f t="shared" si="3"/>
        <v>1.0075323990269716E-3</v>
      </c>
    </row>
    <row r="84" spans="1:7" x14ac:dyDescent="0.25">
      <c r="A84">
        <v>73</v>
      </c>
      <c r="B84" s="6">
        <v>3696.5753452032</v>
      </c>
      <c r="C84" s="9">
        <f t="shared" si="2"/>
        <v>1.6302694736686307E-3</v>
      </c>
      <c r="E84" s="371">
        <v>73</v>
      </c>
      <c r="F84" s="371">
        <v>2483</v>
      </c>
      <c r="G84" s="9">
        <f t="shared" si="3"/>
        <v>9.1336361693463688E-4</v>
      </c>
    </row>
    <row r="85" spans="1:7" x14ac:dyDescent="0.25">
      <c r="A85">
        <v>74</v>
      </c>
      <c r="B85" s="6">
        <v>7720.0441044544996</v>
      </c>
      <c r="C85" s="9">
        <f t="shared" si="2"/>
        <v>3.4047059950230276E-3</v>
      </c>
      <c r="E85" s="371">
        <v>74</v>
      </c>
      <c r="F85" s="371">
        <v>2600</v>
      </c>
      <c r="G85" s="9">
        <f t="shared" si="3"/>
        <v>9.5640169312527425E-4</v>
      </c>
    </row>
    <row r="86" spans="1:7" x14ac:dyDescent="0.25">
      <c r="A86">
        <v>75</v>
      </c>
      <c r="B86" s="6">
        <v>5444.0931773350003</v>
      </c>
      <c r="C86" s="9">
        <f t="shared" si="2"/>
        <v>2.4009625369421595E-3</v>
      </c>
      <c r="E86" s="371">
        <v>75</v>
      </c>
      <c r="F86" s="371">
        <v>2100</v>
      </c>
      <c r="G86" s="9">
        <f t="shared" si="3"/>
        <v>7.7247829060118304E-4</v>
      </c>
    </row>
    <row r="87" spans="1:7" x14ac:dyDescent="0.25">
      <c r="A87">
        <v>76</v>
      </c>
      <c r="B87" s="6">
        <v>5967.7306720619999</v>
      </c>
      <c r="C87" s="9">
        <f t="shared" si="2"/>
        <v>2.6318979685787682E-3</v>
      </c>
      <c r="E87" s="371">
        <v>76</v>
      </c>
      <c r="F87" s="371">
        <v>2265</v>
      </c>
      <c r="G87" s="9">
        <f t="shared" si="3"/>
        <v>8.3317301343413313E-4</v>
      </c>
    </row>
    <row r="88" spans="1:7" x14ac:dyDescent="0.25">
      <c r="A88">
        <v>77</v>
      </c>
      <c r="B88" s="6">
        <v>8134.7387629777004</v>
      </c>
      <c r="C88" s="9">
        <f t="shared" si="2"/>
        <v>3.5875952856636458E-3</v>
      </c>
      <c r="E88" s="371">
        <v>77</v>
      </c>
      <c r="F88" s="371">
        <v>2608</v>
      </c>
      <c r="G88" s="9">
        <f t="shared" si="3"/>
        <v>9.5934446756565969E-4</v>
      </c>
    </row>
    <row r="89" spans="1:7" x14ac:dyDescent="0.25">
      <c r="A89">
        <v>78</v>
      </c>
      <c r="B89" s="6">
        <v>2079.2390700199999</v>
      </c>
      <c r="C89" s="9">
        <f t="shared" si="2"/>
        <v>9.1698928542370247E-4</v>
      </c>
      <c r="E89" s="371">
        <v>78</v>
      </c>
      <c r="F89" s="371">
        <v>2103</v>
      </c>
      <c r="G89" s="9">
        <f t="shared" si="3"/>
        <v>7.7358183101632766E-4</v>
      </c>
    </row>
    <row r="90" spans="1:7" x14ac:dyDescent="0.25">
      <c r="A90">
        <v>79</v>
      </c>
      <c r="B90" s="6">
        <v>4368.2174773080005</v>
      </c>
      <c r="C90" s="9">
        <f t="shared" si="2"/>
        <v>1.9264781433014637E-3</v>
      </c>
      <c r="E90" s="371">
        <v>79</v>
      </c>
      <c r="F90" s="371">
        <v>1488</v>
      </c>
      <c r="G90" s="9">
        <f t="shared" si="3"/>
        <v>5.4735604591169538E-4</v>
      </c>
    </row>
    <row r="91" spans="1:7" x14ac:dyDescent="0.25">
      <c r="A91">
        <v>80</v>
      </c>
      <c r="B91" s="6">
        <v>5711.6553785445994</v>
      </c>
      <c r="C91" s="9">
        <f t="shared" si="2"/>
        <v>2.5189632398104561E-3</v>
      </c>
      <c r="E91" s="371">
        <v>80</v>
      </c>
      <c r="F91" s="371">
        <v>1255</v>
      </c>
      <c r="G91" s="9">
        <f t="shared" si="3"/>
        <v>4.6164774033546891E-4</v>
      </c>
    </row>
    <row r="92" spans="1:7" x14ac:dyDescent="0.25">
      <c r="A92">
        <v>81</v>
      </c>
      <c r="B92" s="6">
        <v>2193.4293356089997</v>
      </c>
      <c r="C92" s="9">
        <f t="shared" si="2"/>
        <v>9.6734965598166455E-4</v>
      </c>
      <c r="E92" s="371">
        <v>81</v>
      </c>
      <c r="F92" s="371">
        <v>1544</v>
      </c>
      <c r="G92" s="9">
        <f t="shared" si="3"/>
        <v>5.6795546699439366E-4</v>
      </c>
    </row>
    <row r="93" spans="1:7" x14ac:dyDescent="0.25">
      <c r="A93">
        <v>82</v>
      </c>
      <c r="B93" s="6">
        <v>9498.3727614091003</v>
      </c>
      <c r="C93" s="9">
        <f t="shared" si="2"/>
        <v>4.1889872967271202E-3</v>
      </c>
      <c r="E93" s="371">
        <v>82</v>
      </c>
      <c r="F93" s="371">
        <v>1246</v>
      </c>
      <c r="G93" s="9">
        <f t="shared" si="3"/>
        <v>4.5833711909003526E-4</v>
      </c>
    </row>
    <row r="94" spans="1:7" x14ac:dyDescent="0.25">
      <c r="A94">
        <v>83</v>
      </c>
      <c r="B94" s="6">
        <v>5403.1790240475002</v>
      </c>
      <c r="C94" s="9">
        <f t="shared" si="2"/>
        <v>2.3829185126989735E-3</v>
      </c>
      <c r="E94" s="371">
        <v>83</v>
      </c>
      <c r="F94" s="371">
        <v>1103</v>
      </c>
      <c r="G94" s="9">
        <f t="shared" si="3"/>
        <v>4.0573502596814523E-4</v>
      </c>
    </row>
    <row r="95" spans="1:7" x14ac:dyDescent="0.25">
      <c r="A95">
        <v>84</v>
      </c>
      <c r="B95" s="6">
        <v>3207.6086010180002</v>
      </c>
      <c r="C95" s="9">
        <f t="shared" si="2"/>
        <v>1.4146245909750655E-3</v>
      </c>
      <c r="E95" s="371">
        <v>84</v>
      </c>
      <c r="F95" s="371">
        <v>1178</v>
      </c>
      <c r="G95" s="9">
        <f t="shared" si="3"/>
        <v>4.3332353634675889E-4</v>
      </c>
    </row>
    <row r="96" spans="1:7" x14ac:dyDescent="0.25">
      <c r="A96">
        <v>85</v>
      </c>
      <c r="B96" s="6">
        <v>3556.3916417300998</v>
      </c>
      <c r="C96" s="9">
        <f t="shared" si="2"/>
        <v>1.5684454362458395E-3</v>
      </c>
      <c r="E96" s="371">
        <v>85</v>
      </c>
      <c r="F96" s="371">
        <v>853</v>
      </c>
      <c r="G96" s="9">
        <f t="shared" si="3"/>
        <v>3.1377332470609962E-4</v>
      </c>
    </row>
    <row r="97" spans="1:7" x14ac:dyDescent="0.25">
      <c r="A97">
        <v>86</v>
      </c>
      <c r="B97" s="6">
        <v>8154.8321200373002</v>
      </c>
      <c r="C97" s="9">
        <f t="shared" si="2"/>
        <v>3.5964568896020848E-3</v>
      </c>
      <c r="E97" s="371">
        <v>86</v>
      </c>
      <c r="F97" s="371">
        <v>792</v>
      </c>
      <c r="G97" s="9">
        <f t="shared" si="3"/>
        <v>2.9133466959816047E-4</v>
      </c>
    </row>
    <row r="98" spans="1:7" x14ac:dyDescent="0.25">
      <c r="A98">
        <v>87</v>
      </c>
      <c r="B98" s="6">
        <v>1438.7523178411</v>
      </c>
      <c r="C98" s="9">
        <f t="shared" si="2"/>
        <v>6.3452081045500721E-4</v>
      </c>
      <c r="E98" s="371">
        <v>87</v>
      </c>
      <c r="F98" s="371">
        <v>1052</v>
      </c>
      <c r="G98" s="9">
        <f t="shared" si="3"/>
        <v>3.8697483891068788E-4</v>
      </c>
    </row>
    <row r="99" spans="1:7" x14ac:dyDescent="0.25">
      <c r="A99">
        <v>88</v>
      </c>
      <c r="B99" s="6">
        <v>2191.2054852572001</v>
      </c>
      <c r="C99" s="9">
        <f t="shared" si="2"/>
        <v>9.6636889000126854E-4</v>
      </c>
      <c r="E99" s="371">
        <v>88</v>
      </c>
      <c r="F99" s="371">
        <v>1004</v>
      </c>
      <c r="G99" s="9">
        <f t="shared" si="3"/>
        <v>3.6931819226837515E-4</v>
      </c>
    </row>
    <row r="100" spans="1:7" x14ac:dyDescent="0.25">
      <c r="A100">
        <v>89</v>
      </c>
      <c r="B100" s="6">
        <v>6096.0213704741</v>
      </c>
      <c r="C100" s="9">
        <f t="shared" si="2"/>
        <v>2.6884769342011717E-3</v>
      </c>
      <c r="E100" s="371">
        <v>89</v>
      </c>
      <c r="F100" s="371">
        <v>699</v>
      </c>
      <c r="G100" s="9">
        <f t="shared" si="3"/>
        <v>2.5712491672867953E-4</v>
      </c>
    </row>
    <row r="101" spans="1:7" ht="15.75" thickBot="1" x14ac:dyDescent="0.3">
      <c r="A101" s="1">
        <v>90</v>
      </c>
      <c r="B101" s="7">
        <v>54382.101092264202</v>
      </c>
      <c r="C101" s="9">
        <f t="shared" si="2"/>
        <v>2.3983679769905068E-2</v>
      </c>
      <c r="E101" s="372">
        <v>90</v>
      </c>
      <c r="F101" s="372">
        <v>21227</v>
      </c>
      <c r="G101" s="9">
        <f t="shared" si="3"/>
        <v>7.8082841307577679E-3</v>
      </c>
    </row>
    <row r="102" spans="1:7" x14ac:dyDescent="0.25">
      <c r="B102" s="6">
        <f>SUM(B11:B101)</f>
        <v>2267462.7752703461</v>
      </c>
      <c r="C102" s="9">
        <f t="shared" si="2"/>
        <v>1</v>
      </c>
      <c r="F102" s="6">
        <f>SUM(F11:F101)</f>
        <v>2718523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59197.431251041104</v>
      </c>
      <c r="C11" s="9">
        <f>B11/B$102</f>
        <v>6.7908804863944364E-2</v>
      </c>
      <c r="E11" s="371">
        <v>0</v>
      </c>
      <c r="F11" s="371">
        <v>115597</v>
      </c>
      <c r="G11" s="9">
        <f>F11/F$102</f>
        <v>0.15315303379390843</v>
      </c>
      <c r="K11" s="6">
        <v>6.0348967635956425</v>
      </c>
      <c r="L11" s="6">
        <v>4.9456087702692386</v>
      </c>
    </row>
    <row r="12" spans="1:12" x14ac:dyDescent="0.25">
      <c r="A12">
        <v>1</v>
      </c>
      <c r="B12" s="6">
        <v>43875.614687934198</v>
      </c>
      <c r="C12" s="9">
        <f>B12/B$102</f>
        <v>5.0332260930260102E-2</v>
      </c>
      <c r="E12" s="371">
        <v>1</v>
      </c>
      <c r="F12" s="371">
        <v>112598</v>
      </c>
      <c r="G12" s="9">
        <f>F12/F$102</f>
        <v>0.14917969583230103</v>
      </c>
      <c r="K12" s="6"/>
      <c r="L12" s="371"/>
    </row>
    <row r="13" spans="1:12" x14ac:dyDescent="0.25">
      <c r="A13">
        <v>2</v>
      </c>
      <c r="B13" s="6">
        <v>56232.611562097998</v>
      </c>
      <c r="C13" s="9">
        <f t="shared" ref="C13:C76" si="0">B13/B$102</f>
        <v>6.4507688338137734E-2</v>
      </c>
      <c r="E13" s="371">
        <v>2</v>
      </c>
      <c r="F13" s="371">
        <v>67323</v>
      </c>
      <c r="G13" s="9">
        <f t="shared" ref="G13:G76" si="1">F13/F$102</f>
        <v>8.9195408999431625E-2</v>
      </c>
    </row>
    <row r="14" spans="1:12" x14ac:dyDescent="0.25">
      <c r="A14">
        <v>3</v>
      </c>
      <c r="B14" s="6">
        <v>83102.984608556595</v>
      </c>
      <c r="C14" s="9">
        <f t="shared" si="0"/>
        <v>9.5332250844830213E-2</v>
      </c>
      <c r="E14" s="371">
        <v>3</v>
      </c>
      <c r="F14" s="371">
        <v>43151</v>
      </c>
      <c r="G14" s="9">
        <f t="shared" si="1"/>
        <v>5.7170225535618943E-2</v>
      </c>
    </row>
    <row r="15" spans="1:12" x14ac:dyDescent="0.25">
      <c r="A15">
        <v>4</v>
      </c>
      <c r="B15" s="6">
        <v>176389.97883560861</v>
      </c>
      <c r="C15" s="9">
        <f t="shared" si="0"/>
        <v>0.20234716945580231</v>
      </c>
      <c r="E15" s="371">
        <v>4</v>
      </c>
      <c r="F15" s="371">
        <v>135827</v>
      </c>
      <c r="G15" s="9">
        <f t="shared" si="1"/>
        <v>0.17995551027384102</v>
      </c>
    </row>
    <row r="16" spans="1:12" x14ac:dyDescent="0.25">
      <c r="A16">
        <v>5</v>
      </c>
      <c r="B16" s="6">
        <v>74454.417274655905</v>
      </c>
      <c r="C16" s="9">
        <f t="shared" si="0"/>
        <v>8.5410977927769027E-2</v>
      </c>
      <c r="E16" s="371">
        <v>5</v>
      </c>
      <c r="F16" s="371">
        <v>60596</v>
      </c>
      <c r="G16" s="9">
        <f t="shared" si="1"/>
        <v>8.0282890003855426E-2</v>
      </c>
    </row>
    <row r="17" spans="1:7" x14ac:dyDescent="0.25">
      <c r="A17">
        <v>6</v>
      </c>
      <c r="B17" s="6">
        <v>124431.505992334</v>
      </c>
      <c r="C17" s="9">
        <f t="shared" si="0"/>
        <v>0.14274259339946485</v>
      </c>
      <c r="E17" s="371">
        <v>6</v>
      </c>
      <c r="F17" s="371">
        <v>62808</v>
      </c>
      <c r="G17" s="9">
        <f t="shared" si="1"/>
        <v>8.3213541411349776E-2</v>
      </c>
    </row>
    <row r="18" spans="1:7" x14ac:dyDescent="0.25">
      <c r="A18">
        <v>7</v>
      </c>
      <c r="B18" s="6">
        <v>46721.186487828003</v>
      </c>
      <c r="C18" s="9">
        <f t="shared" si="0"/>
        <v>5.3596581290139451E-2</v>
      </c>
      <c r="E18" s="371">
        <v>7</v>
      </c>
      <c r="F18" s="371">
        <v>33493</v>
      </c>
      <c r="G18" s="9">
        <f t="shared" si="1"/>
        <v>4.4374460936351071E-2</v>
      </c>
    </row>
    <row r="19" spans="1:7" x14ac:dyDescent="0.25">
      <c r="A19">
        <v>8</v>
      </c>
      <c r="B19" s="6">
        <v>39474.579507849703</v>
      </c>
      <c r="C19" s="9">
        <f t="shared" si="0"/>
        <v>4.5283578361986404E-2</v>
      </c>
      <c r="E19" s="371">
        <v>8</v>
      </c>
      <c r="F19" s="371">
        <v>31010</v>
      </c>
      <c r="G19" s="9">
        <f t="shared" si="1"/>
        <v>4.1084764984810167E-2</v>
      </c>
    </row>
    <row r="20" spans="1:7" x14ac:dyDescent="0.25">
      <c r="A20">
        <v>9</v>
      </c>
      <c r="B20" s="6">
        <v>29773.5607171911</v>
      </c>
      <c r="C20" s="9">
        <f t="shared" si="0"/>
        <v>3.4154977371809031E-2</v>
      </c>
      <c r="E20" s="371">
        <v>9</v>
      </c>
      <c r="F20" s="371">
        <v>18549</v>
      </c>
      <c r="G20" s="9">
        <f t="shared" si="1"/>
        <v>2.4575340396750845E-2</v>
      </c>
    </row>
    <row r="21" spans="1:7" x14ac:dyDescent="0.25">
      <c r="A21">
        <v>10</v>
      </c>
      <c r="B21" s="6">
        <v>52862.687953962799</v>
      </c>
      <c r="C21" s="9">
        <f t="shared" si="0"/>
        <v>6.0641853624114943E-2</v>
      </c>
      <c r="E21" s="371">
        <v>10</v>
      </c>
      <c r="F21" s="371">
        <v>10813</v>
      </c>
      <c r="G21" s="9">
        <f t="shared" si="1"/>
        <v>1.4326009796219036E-2</v>
      </c>
    </row>
    <row r="22" spans="1:7" x14ac:dyDescent="0.25">
      <c r="A22">
        <v>11</v>
      </c>
      <c r="B22" s="6">
        <v>10239.009300653999</v>
      </c>
      <c r="C22" s="9">
        <f t="shared" si="0"/>
        <v>1.1745761089692474E-2</v>
      </c>
      <c r="E22" s="371">
        <v>11</v>
      </c>
      <c r="F22" s="371">
        <v>11009</v>
      </c>
      <c r="G22" s="9">
        <f t="shared" si="1"/>
        <v>1.4585687769034992E-2</v>
      </c>
    </row>
    <row r="23" spans="1:7" x14ac:dyDescent="0.25">
      <c r="A23">
        <v>12</v>
      </c>
      <c r="B23" s="6">
        <v>7829.2745191903005</v>
      </c>
      <c r="C23" s="9">
        <f t="shared" si="0"/>
        <v>8.9814146376595589E-3</v>
      </c>
      <c r="E23" s="371">
        <v>12</v>
      </c>
      <c r="F23" s="371">
        <v>9332</v>
      </c>
      <c r="G23" s="9">
        <f t="shared" si="1"/>
        <v>1.236385123631888E-2</v>
      </c>
    </row>
    <row r="24" spans="1:7" x14ac:dyDescent="0.25">
      <c r="A24">
        <v>13</v>
      </c>
      <c r="B24" s="6">
        <v>5569.2913049225999</v>
      </c>
      <c r="C24" s="9">
        <f t="shared" si="0"/>
        <v>6.3888568889515704E-3</v>
      </c>
      <c r="E24" s="371">
        <v>13</v>
      </c>
      <c r="F24" s="371">
        <v>6850</v>
      </c>
      <c r="G24" s="9">
        <f t="shared" si="1"/>
        <v>9.0754801723943769E-3</v>
      </c>
    </row>
    <row r="25" spans="1:7" x14ac:dyDescent="0.25">
      <c r="A25">
        <v>14</v>
      </c>
      <c r="B25" s="6">
        <v>5428.3616234730998</v>
      </c>
      <c r="C25" s="9">
        <f t="shared" si="0"/>
        <v>6.2271882821414793E-3</v>
      </c>
      <c r="E25" s="371">
        <v>14</v>
      </c>
      <c r="F25" s="371">
        <v>7078</v>
      </c>
      <c r="G25" s="9">
        <f t="shared" si="1"/>
        <v>9.3775545489353865E-3</v>
      </c>
    </row>
    <row r="26" spans="1:7" x14ac:dyDescent="0.25">
      <c r="A26">
        <v>15</v>
      </c>
      <c r="B26" s="6">
        <v>2742.3165746610002</v>
      </c>
      <c r="C26" s="9">
        <f t="shared" si="0"/>
        <v>3.1458703056568694E-3</v>
      </c>
      <c r="E26" s="371">
        <v>15</v>
      </c>
      <c r="F26" s="371">
        <v>3669</v>
      </c>
      <c r="G26" s="9">
        <f t="shared" si="1"/>
        <v>4.8610126646007256E-3</v>
      </c>
    </row>
    <row r="27" spans="1:7" x14ac:dyDescent="0.25">
      <c r="A27">
        <v>16</v>
      </c>
      <c r="B27" s="6">
        <v>10449.0733677851</v>
      </c>
      <c r="C27" s="9">
        <f t="shared" si="0"/>
        <v>1.1986737757805612E-2</v>
      </c>
      <c r="E27" s="371">
        <v>16</v>
      </c>
      <c r="F27" s="371">
        <v>4119</v>
      </c>
      <c r="G27" s="9">
        <f t="shared" si="1"/>
        <v>5.4572120919842973E-3</v>
      </c>
    </row>
    <row r="28" spans="1:7" x14ac:dyDescent="0.25">
      <c r="A28">
        <v>17</v>
      </c>
      <c r="B28" s="6">
        <v>6295.3419629263999</v>
      </c>
      <c r="C28" s="9">
        <f t="shared" si="0"/>
        <v>7.2217516854610276E-3</v>
      </c>
      <c r="E28" s="371">
        <v>17</v>
      </c>
      <c r="F28" s="371">
        <v>2419</v>
      </c>
      <c r="G28" s="9">
        <f t="shared" si="1"/>
        <v>3.2049031440908025E-3</v>
      </c>
    </row>
    <row r="29" spans="1:7" x14ac:dyDescent="0.25">
      <c r="A29">
        <v>18</v>
      </c>
      <c r="B29" s="6">
        <v>6140.7454949870007</v>
      </c>
      <c r="C29" s="9">
        <f t="shared" si="0"/>
        <v>7.044405115650753E-3</v>
      </c>
      <c r="E29" s="371">
        <v>18</v>
      </c>
      <c r="F29" s="371">
        <v>2082</v>
      </c>
      <c r="G29" s="9">
        <f t="shared" si="1"/>
        <v>2.7584160173613273E-3</v>
      </c>
    </row>
    <row r="30" spans="1:7" x14ac:dyDescent="0.25">
      <c r="A30">
        <v>19</v>
      </c>
      <c r="B30" s="6">
        <v>1810.5973546929999</v>
      </c>
      <c r="C30" s="9">
        <f t="shared" si="0"/>
        <v>2.0770411798038684E-3</v>
      </c>
      <c r="E30" s="371">
        <v>19</v>
      </c>
      <c r="F30" s="371">
        <v>2210</v>
      </c>
      <c r="G30" s="9">
        <f t="shared" si="1"/>
        <v>2.9280016322615434E-3</v>
      </c>
    </row>
    <row r="31" spans="1:7" x14ac:dyDescent="0.25">
      <c r="A31">
        <v>20</v>
      </c>
      <c r="B31" s="6">
        <v>1688.2556964760001</v>
      </c>
      <c r="C31" s="9">
        <f t="shared" si="0"/>
        <v>1.9366959719289319E-3</v>
      </c>
      <c r="E31" s="371">
        <v>20</v>
      </c>
      <c r="F31" s="371">
        <v>1886</v>
      </c>
      <c r="G31" s="9">
        <f t="shared" si="1"/>
        <v>2.4987380445453716E-3</v>
      </c>
    </row>
    <row r="32" spans="1:7" x14ac:dyDescent="0.25">
      <c r="A32">
        <v>21</v>
      </c>
      <c r="B32" s="6">
        <v>8002.3638754794001</v>
      </c>
      <c r="C32" s="9">
        <f t="shared" si="0"/>
        <v>9.1799754716662789E-3</v>
      </c>
      <c r="E32" s="371">
        <v>21</v>
      </c>
      <c r="F32" s="371">
        <v>1449</v>
      </c>
      <c r="G32" s="9">
        <f t="shared" si="1"/>
        <v>1.9197621561751024E-3</v>
      </c>
    </row>
    <row r="33" spans="1:7" x14ac:dyDescent="0.25">
      <c r="A33">
        <v>22</v>
      </c>
      <c r="B33" s="6">
        <v>2202.724216397</v>
      </c>
      <c r="C33" s="9">
        <f t="shared" si="0"/>
        <v>2.5268726331390923E-3</v>
      </c>
      <c r="E33" s="371">
        <v>22</v>
      </c>
      <c r="F33" s="371">
        <v>1731</v>
      </c>
      <c r="G33" s="9">
        <f t="shared" si="1"/>
        <v>2.2933804640021412E-3</v>
      </c>
    </row>
    <row r="34" spans="1:7" x14ac:dyDescent="0.25">
      <c r="A34">
        <v>23</v>
      </c>
      <c r="B34" s="6">
        <v>9592.5273194509991</v>
      </c>
      <c r="C34" s="9">
        <f t="shared" si="0"/>
        <v>1.100414413466964E-2</v>
      </c>
      <c r="E34" s="371">
        <v>23</v>
      </c>
      <c r="F34" s="371">
        <v>1173</v>
      </c>
      <c r="G34" s="9">
        <f t="shared" si="1"/>
        <v>1.5540931740465115E-3</v>
      </c>
    </row>
    <row r="35" spans="1:7" x14ac:dyDescent="0.25">
      <c r="A35">
        <v>24</v>
      </c>
      <c r="B35" s="6">
        <v>179.29758370100001</v>
      </c>
      <c r="C35" s="9">
        <f t="shared" si="0"/>
        <v>2.05682651540962E-4</v>
      </c>
      <c r="E35" s="371">
        <v>24</v>
      </c>
      <c r="F35" s="371">
        <v>989</v>
      </c>
      <c r="G35" s="9">
        <f t="shared" si="1"/>
        <v>1.3103138526274509E-3</v>
      </c>
    </row>
    <row r="36" spans="1:7" x14ac:dyDescent="0.25">
      <c r="A36">
        <v>25</v>
      </c>
      <c r="B36" s="6">
        <v>1088.7249141049999</v>
      </c>
      <c r="C36" s="9">
        <f t="shared" si="0"/>
        <v>1.2489394586892781E-3</v>
      </c>
      <c r="E36" s="371">
        <v>25</v>
      </c>
      <c r="F36" s="371">
        <v>904</v>
      </c>
      <c r="G36" s="9">
        <f t="shared" si="1"/>
        <v>1.1976984052327762E-3</v>
      </c>
    </row>
    <row r="37" spans="1:7" x14ac:dyDescent="0.25">
      <c r="A37">
        <v>26</v>
      </c>
      <c r="B37" s="6">
        <v>1057.5428750000001</v>
      </c>
      <c r="C37" s="9">
        <f t="shared" si="0"/>
        <v>1.2131687341140614E-3</v>
      </c>
      <c r="E37" s="371">
        <v>26</v>
      </c>
      <c r="F37" s="371">
        <v>822</v>
      </c>
      <c r="G37" s="9">
        <f t="shared" si="1"/>
        <v>1.0890576206873252E-3</v>
      </c>
    </row>
    <row r="38" spans="1:7" x14ac:dyDescent="0.25">
      <c r="A38">
        <v>27</v>
      </c>
      <c r="B38" s="6">
        <v>18.23</v>
      </c>
      <c r="C38" s="9">
        <f t="shared" si="0"/>
        <v>2.0912689731751384E-5</v>
      </c>
      <c r="E38" s="371">
        <v>27</v>
      </c>
      <c r="F38" s="371">
        <v>799</v>
      </c>
      <c r="G38" s="9">
        <f t="shared" si="1"/>
        <v>1.0585852055099425E-3</v>
      </c>
    </row>
    <row r="39" spans="1:7" x14ac:dyDescent="0.25">
      <c r="A39">
        <v>28</v>
      </c>
      <c r="B39" s="6">
        <v>1720.5501711100001</v>
      </c>
      <c r="C39" s="9">
        <f t="shared" si="0"/>
        <v>1.9737428357836087E-3</v>
      </c>
      <c r="E39" s="371">
        <v>28</v>
      </c>
      <c r="F39" s="371">
        <v>338</v>
      </c>
      <c r="G39" s="9">
        <f t="shared" si="1"/>
        <v>4.4781201434588311E-4</v>
      </c>
    </row>
    <row r="40" spans="1:7" x14ac:dyDescent="0.25">
      <c r="A40">
        <v>29</v>
      </c>
      <c r="B40" s="6">
        <v>308.77677003399998</v>
      </c>
      <c r="C40" s="9">
        <f t="shared" si="0"/>
        <v>3.5421573165624737E-4</v>
      </c>
      <c r="E40" s="371">
        <v>29</v>
      </c>
      <c r="F40" s="371">
        <v>642</v>
      </c>
      <c r="G40" s="9">
        <f t="shared" si="1"/>
        <v>8.5057784973389635E-4</v>
      </c>
    </row>
    <row r="41" spans="1:7" x14ac:dyDescent="0.25">
      <c r="A41">
        <v>30</v>
      </c>
      <c r="B41" s="6">
        <v>0</v>
      </c>
      <c r="C41" s="9">
        <f t="shared" si="0"/>
        <v>0</v>
      </c>
      <c r="E41" s="371">
        <v>30</v>
      </c>
      <c r="F41" s="371">
        <v>508</v>
      </c>
      <c r="G41" s="9">
        <f t="shared" si="1"/>
        <v>6.7304290913523259E-4</v>
      </c>
    </row>
    <row r="42" spans="1:7" x14ac:dyDescent="0.25">
      <c r="A42">
        <v>31</v>
      </c>
      <c r="B42" s="6">
        <v>0</v>
      </c>
      <c r="C42" s="9">
        <f t="shared" si="0"/>
        <v>0</v>
      </c>
      <c r="E42" s="371">
        <v>31</v>
      </c>
      <c r="F42" s="371">
        <v>297</v>
      </c>
      <c r="G42" s="9">
        <f t="shared" si="1"/>
        <v>3.9349162207315762E-4</v>
      </c>
    </row>
    <row r="43" spans="1:7" x14ac:dyDescent="0.25">
      <c r="A43">
        <v>32</v>
      </c>
      <c r="B43" s="6">
        <v>15.92375</v>
      </c>
      <c r="C43" s="9">
        <f t="shared" si="0"/>
        <v>1.8267056671200007E-5</v>
      </c>
      <c r="E43" s="371">
        <v>32</v>
      </c>
      <c r="F43" s="371">
        <v>313</v>
      </c>
      <c r="G43" s="9">
        <f t="shared" si="1"/>
        <v>4.1468982393568464E-4</v>
      </c>
    </row>
    <row r="44" spans="1:7" x14ac:dyDescent="0.25">
      <c r="A44">
        <v>33</v>
      </c>
      <c r="B44" s="6">
        <v>0</v>
      </c>
      <c r="C44" s="9">
        <f t="shared" si="0"/>
        <v>0</v>
      </c>
      <c r="E44" s="371">
        <v>33</v>
      </c>
      <c r="F44" s="371">
        <v>381</v>
      </c>
      <c r="G44" s="9">
        <f t="shared" si="1"/>
        <v>5.047821818514245E-4</v>
      </c>
    </row>
    <row r="45" spans="1:7" x14ac:dyDescent="0.25">
      <c r="A45">
        <v>34</v>
      </c>
      <c r="B45" s="6">
        <v>596.97480037000003</v>
      </c>
      <c r="C45" s="9">
        <f t="shared" si="0"/>
        <v>6.8482439812463146E-4</v>
      </c>
      <c r="E45" s="371">
        <v>34</v>
      </c>
      <c r="F45" s="371">
        <v>172</v>
      </c>
      <c r="G45" s="9">
        <f t="shared" si="1"/>
        <v>2.2788067002216537E-4</v>
      </c>
    </row>
    <row r="46" spans="1:7" x14ac:dyDescent="0.25">
      <c r="A46">
        <v>35</v>
      </c>
      <c r="B46" s="6">
        <v>10.192500000000001</v>
      </c>
      <c r="C46" s="9">
        <f t="shared" si="0"/>
        <v>1.169240757492463E-5</v>
      </c>
      <c r="E46" s="371">
        <v>35</v>
      </c>
      <c r="F46" s="371">
        <v>182</v>
      </c>
      <c r="G46" s="9">
        <f t="shared" si="1"/>
        <v>2.4112954618624475E-4</v>
      </c>
    </row>
    <row r="47" spans="1:7" x14ac:dyDescent="0.25">
      <c r="A47">
        <v>36</v>
      </c>
      <c r="B47" s="6">
        <v>0</v>
      </c>
      <c r="C47" s="9">
        <f t="shared" si="0"/>
        <v>0</v>
      </c>
      <c r="E47" s="371">
        <v>36</v>
      </c>
      <c r="F47" s="371">
        <v>289</v>
      </c>
      <c r="G47" s="9">
        <f t="shared" si="1"/>
        <v>3.8289252114189414E-4</v>
      </c>
    </row>
    <row r="48" spans="1:7" x14ac:dyDescent="0.25">
      <c r="A48">
        <v>37</v>
      </c>
      <c r="B48" s="6">
        <v>0</v>
      </c>
      <c r="C48" s="9">
        <f t="shared" si="0"/>
        <v>0</v>
      </c>
      <c r="E48" s="371">
        <v>37</v>
      </c>
      <c r="F48" s="371">
        <v>348</v>
      </c>
      <c r="G48" s="9">
        <f t="shared" si="1"/>
        <v>4.6106089050996249E-4</v>
      </c>
    </row>
    <row r="49" spans="1:7" x14ac:dyDescent="0.25">
      <c r="A49">
        <v>38</v>
      </c>
      <c r="B49" s="6">
        <v>0</v>
      </c>
      <c r="C49" s="9">
        <f t="shared" si="0"/>
        <v>0</v>
      </c>
      <c r="E49" s="371">
        <v>38</v>
      </c>
      <c r="F49" s="371">
        <v>117</v>
      </c>
      <c r="G49" s="9">
        <f t="shared" si="1"/>
        <v>1.5501185111972877E-4</v>
      </c>
    </row>
    <row r="50" spans="1:7" x14ac:dyDescent="0.25">
      <c r="A50">
        <v>39</v>
      </c>
      <c r="B50" s="6">
        <v>5.16</v>
      </c>
      <c r="C50" s="9">
        <f t="shared" si="0"/>
        <v>5.9193351078352793E-6</v>
      </c>
      <c r="E50" s="371">
        <v>39</v>
      </c>
      <c r="F50" s="371">
        <v>134</v>
      </c>
      <c r="G50" s="9">
        <f t="shared" si="1"/>
        <v>1.7753494059866371E-4</v>
      </c>
    </row>
    <row r="51" spans="1:7" x14ac:dyDescent="0.25">
      <c r="A51">
        <v>40</v>
      </c>
      <c r="B51" s="6">
        <v>5.51</v>
      </c>
      <c r="C51" s="9">
        <f t="shared" si="0"/>
        <v>6.3208403961574398E-6</v>
      </c>
      <c r="E51" s="371">
        <v>40</v>
      </c>
      <c r="F51" s="371">
        <v>96</v>
      </c>
      <c r="G51" s="9">
        <f t="shared" si="1"/>
        <v>1.2718921117516207E-4</v>
      </c>
    </row>
    <row r="52" spans="1:7" x14ac:dyDescent="0.25">
      <c r="A52">
        <v>41</v>
      </c>
      <c r="B52" s="6">
        <v>0</v>
      </c>
      <c r="C52" s="9">
        <f t="shared" si="0"/>
        <v>0</v>
      </c>
      <c r="E52" s="371">
        <v>41</v>
      </c>
      <c r="F52" s="371">
        <v>108</v>
      </c>
      <c r="G52" s="9">
        <f t="shared" si="1"/>
        <v>1.4308786257205731E-4</v>
      </c>
    </row>
    <row r="53" spans="1:7" x14ac:dyDescent="0.25">
      <c r="A53">
        <v>42</v>
      </c>
      <c r="B53" s="6">
        <v>339.70612499999999</v>
      </c>
      <c r="C53" s="9">
        <f t="shared" si="0"/>
        <v>3.8969658760836819E-4</v>
      </c>
      <c r="E53" s="371">
        <v>42</v>
      </c>
      <c r="F53" s="371">
        <v>29</v>
      </c>
      <c r="G53" s="9">
        <f t="shared" si="1"/>
        <v>3.8421740875830205E-5</v>
      </c>
    </row>
    <row r="54" spans="1:7" x14ac:dyDescent="0.25">
      <c r="A54">
        <v>43</v>
      </c>
      <c r="B54" s="6">
        <v>351.42374999999998</v>
      </c>
      <c r="C54" s="9">
        <f t="shared" si="0"/>
        <v>4.0313855447715661E-4</v>
      </c>
      <c r="E54" s="371">
        <v>43</v>
      </c>
      <c r="F54" s="371">
        <v>56</v>
      </c>
      <c r="G54" s="9">
        <f t="shared" si="1"/>
        <v>7.419370651884454E-5</v>
      </c>
    </row>
    <row r="55" spans="1:7" x14ac:dyDescent="0.25">
      <c r="A55">
        <v>44</v>
      </c>
      <c r="B55" s="6">
        <v>0</v>
      </c>
      <c r="C55" s="9">
        <f t="shared" si="0"/>
        <v>0</v>
      </c>
      <c r="E55" s="371">
        <v>44</v>
      </c>
      <c r="F55" s="371">
        <v>81</v>
      </c>
      <c r="G55" s="9">
        <f t="shared" si="1"/>
        <v>1.07315896929043E-4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56</v>
      </c>
      <c r="G56" s="9">
        <f t="shared" si="1"/>
        <v>7.419370651884454E-5</v>
      </c>
    </row>
    <row r="57" spans="1:7" x14ac:dyDescent="0.25">
      <c r="A57">
        <v>46</v>
      </c>
      <c r="B57" s="6">
        <v>1427.7280852700001</v>
      </c>
      <c r="C57" s="9">
        <f t="shared" si="0"/>
        <v>1.6378296472056497E-3</v>
      </c>
      <c r="E57" s="371">
        <v>46</v>
      </c>
      <c r="F57" s="371">
        <v>60</v>
      </c>
      <c r="G57" s="9">
        <f t="shared" si="1"/>
        <v>7.9493256984476294E-5</v>
      </c>
    </row>
    <row r="58" spans="1:7" x14ac:dyDescent="0.25">
      <c r="A58">
        <v>47</v>
      </c>
      <c r="B58" s="6">
        <v>0</v>
      </c>
      <c r="C58" s="9">
        <f t="shared" si="0"/>
        <v>0</v>
      </c>
      <c r="E58" s="371">
        <v>47</v>
      </c>
      <c r="F58" s="371">
        <v>26</v>
      </c>
      <c r="G58" s="9">
        <f t="shared" si="1"/>
        <v>3.4447078026606393E-5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42</v>
      </c>
      <c r="G59" s="9">
        <f t="shared" si="1"/>
        <v>5.5645279889133402E-5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35</v>
      </c>
      <c r="G60" s="9">
        <f t="shared" si="1"/>
        <v>4.6371066574277836E-5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22</v>
      </c>
      <c r="G61" s="9">
        <f t="shared" si="1"/>
        <v>2.9147527560974639E-5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30</v>
      </c>
      <c r="G62" s="9">
        <f t="shared" si="1"/>
        <v>3.9746628492238147E-5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3</v>
      </c>
      <c r="G63" s="9">
        <f t="shared" si="1"/>
        <v>3.9746628492238145E-6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28</v>
      </c>
      <c r="G64" s="9">
        <f t="shared" si="1"/>
        <v>3.709685325942227E-5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1</v>
      </c>
      <c r="G65" s="9">
        <f t="shared" si="1"/>
        <v>1.3248876164079382E-6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1</v>
      </c>
      <c r="G66" s="9">
        <f t="shared" si="1"/>
        <v>1.3248876164079382E-6</v>
      </c>
    </row>
    <row r="67" spans="1:7" x14ac:dyDescent="0.25">
      <c r="A67">
        <v>56</v>
      </c>
      <c r="B67" s="6">
        <v>0</v>
      </c>
      <c r="C67" s="9">
        <f t="shared" si="0"/>
        <v>0</v>
      </c>
      <c r="E67" s="371">
        <v>56</v>
      </c>
      <c r="F67" s="371">
        <v>33</v>
      </c>
      <c r="G67" s="9">
        <f t="shared" si="1"/>
        <v>4.3721291341461959E-5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11</v>
      </c>
      <c r="G68" s="9">
        <f t="shared" si="1"/>
        <v>1.457376378048732E-5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1</v>
      </c>
      <c r="G69" s="9">
        <f t="shared" si="1"/>
        <v>1.3248876164079382E-6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1</v>
      </c>
      <c r="G70" s="9">
        <f t="shared" si="1"/>
        <v>1.3248876164079382E-6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18</v>
      </c>
      <c r="G71" s="9">
        <f t="shared" si="1"/>
        <v>2.3847977095342889E-5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0</v>
      </c>
      <c r="G72" s="9">
        <f t="shared" si="1"/>
        <v>0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2</v>
      </c>
      <c r="G73" s="9">
        <f t="shared" si="1"/>
        <v>2.6497752328158765E-6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</v>
      </c>
      <c r="G74" s="9">
        <f t="shared" si="1"/>
        <v>1.3248876164079382E-6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</v>
      </c>
      <c r="G75" s="9">
        <f t="shared" si="1"/>
        <v>0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0</v>
      </c>
      <c r="G76" s="9">
        <f t="shared" si="1"/>
        <v>0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12</v>
      </c>
      <c r="G77" s="9">
        <f t="shared" ref="G77:G102" si="3">F77/F$102</f>
        <v>1.5898651396895258E-5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0</v>
      </c>
      <c r="G78" s="9">
        <f t="shared" si="3"/>
        <v>0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2</v>
      </c>
      <c r="G79" s="9">
        <f t="shared" si="3"/>
        <v>2.6497752328158765E-6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1</v>
      </c>
      <c r="G81" s="9">
        <f t="shared" si="3"/>
        <v>1.3248876164079382E-6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3</v>
      </c>
      <c r="G83" s="9">
        <f t="shared" si="3"/>
        <v>3.9746628492238145E-6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12</v>
      </c>
      <c r="G85" s="9">
        <f t="shared" si="3"/>
        <v>1.5898651396895258E-5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3</v>
      </c>
      <c r="G87" s="9">
        <f t="shared" si="3"/>
        <v>3.9746628492238145E-6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87.344125000000005</v>
      </c>
      <c r="C101" s="9">
        <f t="shared" si="2"/>
        <v>1.0019750883249092E-4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871719.52693974599</v>
      </c>
      <c r="C102" s="9">
        <f t="shared" si="2"/>
        <v>1</v>
      </c>
      <c r="F102" s="6">
        <f>SUM(F11:F101)</f>
        <v>754781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0</v>
      </c>
      <c r="C11" s="9">
        <f>B11/B$102</f>
        <v>0</v>
      </c>
      <c r="E11" s="371">
        <v>0</v>
      </c>
      <c r="F11" s="371">
        <v>582</v>
      </c>
      <c r="G11" s="9">
        <f>F11/F$102</f>
        <v>7.7108459274942008E-4</v>
      </c>
      <c r="K11" s="6">
        <v>27.229507297567846</v>
      </c>
      <c r="L11" s="6">
        <v>18.742100260624621</v>
      </c>
    </row>
    <row r="12" spans="1:12" x14ac:dyDescent="0.25">
      <c r="A12">
        <v>1</v>
      </c>
      <c r="B12" s="6">
        <v>7110.0498099669994</v>
      </c>
      <c r="C12" s="9">
        <f>B12/B$102</f>
        <v>8.156350282673492E-3</v>
      </c>
      <c r="E12" s="371">
        <v>1</v>
      </c>
      <c r="F12" s="371">
        <v>16127</v>
      </c>
      <c r="G12" s="9">
        <f>F12/F$102</f>
        <v>2.1366462589810821E-2</v>
      </c>
      <c r="K12" s="6"/>
      <c r="L12" s="371"/>
    </row>
    <row r="13" spans="1:12" x14ac:dyDescent="0.25">
      <c r="A13">
        <v>2</v>
      </c>
      <c r="B13" s="6">
        <v>5940.3858749999999</v>
      </c>
      <c r="C13" s="9">
        <f t="shared" ref="C13:C76" si="0">B13/B$102</f>
        <v>6.8145609813907559E-3</v>
      </c>
      <c r="E13" s="371">
        <v>2</v>
      </c>
      <c r="F13" s="371">
        <v>23298</v>
      </c>
      <c r="G13" s="9">
        <f t="shared" ref="G13:G76" si="1">F13/F$102</f>
        <v>3.0867231687072144E-2</v>
      </c>
    </row>
    <row r="14" spans="1:12" x14ac:dyDescent="0.25">
      <c r="A14">
        <v>3</v>
      </c>
      <c r="B14" s="6">
        <v>12405.263875000001</v>
      </c>
      <c r="C14" s="9">
        <f t="shared" si="0"/>
        <v>1.4230797282412447E-2</v>
      </c>
      <c r="E14" s="371">
        <v>3</v>
      </c>
      <c r="F14" s="371">
        <v>27702</v>
      </c>
      <c r="G14" s="9">
        <f t="shared" si="1"/>
        <v>3.6702036749732707E-2</v>
      </c>
    </row>
    <row r="15" spans="1:12" x14ac:dyDescent="0.25">
      <c r="A15">
        <v>4</v>
      </c>
      <c r="B15" s="6">
        <v>9398.8850198630007</v>
      </c>
      <c r="C15" s="9">
        <f t="shared" si="0"/>
        <v>1.0782005828019798E-2</v>
      </c>
      <c r="E15" s="371">
        <v>4</v>
      </c>
      <c r="F15" s="371">
        <v>29262</v>
      </c>
      <c r="G15" s="9">
        <f t="shared" si="1"/>
        <v>3.8768861431329085E-2</v>
      </c>
    </row>
    <row r="16" spans="1:12" x14ac:dyDescent="0.25">
      <c r="A16">
        <v>5</v>
      </c>
      <c r="B16" s="6">
        <v>7768.9418596494997</v>
      </c>
      <c r="C16" s="9">
        <f t="shared" si="0"/>
        <v>8.9122035466190682E-3</v>
      </c>
      <c r="E16" s="371">
        <v>5</v>
      </c>
      <c r="F16" s="371">
        <v>28785</v>
      </c>
      <c r="G16" s="9">
        <f t="shared" si="1"/>
        <v>3.81368900383025E-2</v>
      </c>
    </row>
    <row r="17" spans="1:7" x14ac:dyDescent="0.25">
      <c r="A17">
        <v>6</v>
      </c>
      <c r="B17" s="6">
        <v>7600.1131034088003</v>
      </c>
      <c r="C17" s="9">
        <f t="shared" si="0"/>
        <v>8.7185302939005154E-3</v>
      </c>
      <c r="E17" s="371">
        <v>6</v>
      </c>
      <c r="F17" s="371">
        <v>28169</v>
      </c>
      <c r="G17" s="9">
        <f t="shared" si="1"/>
        <v>3.7320759266595213E-2</v>
      </c>
    </row>
    <row r="18" spans="1:7" x14ac:dyDescent="0.25">
      <c r="A18">
        <v>7</v>
      </c>
      <c r="B18" s="6">
        <v>14197.309744598</v>
      </c>
      <c r="C18" s="9">
        <f t="shared" si="0"/>
        <v>1.628655697829668E-2</v>
      </c>
      <c r="E18" s="371">
        <v>7</v>
      </c>
      <c r="F18" s="371">
        <v>26814</v>
      </c>
      <c r="G18" s="9">
        <f t="shared" si="1"/>
        <v>3.5525536546362452E-2</v>
      </c>
    </row>
    <row r="19" spans="1:7" x14ac:dyDescent="0.25">
      <c r="A19">
        <v>8</v>
      </c>
      <c r="B19" s="6">
        <v>3404.8727056370999</v>
      </c>
      <c r="C19" s="9">
        <f t="shared" si="0"/>
        <v>3.9059268496487954E-3</v>
      </c>
      <c r="E19" s="371">
        <v>8</v>
      </c>
      <c r="F19" s="371">
        <v>24035</v>
      </c>
      <c r="G19" s="9">
        <f t="shared" si="1"/>
        <v>3.1843673860364796E-2</v>
      </c>
    </row>
    <row r="20" spans="1:7" x14ac:dyDescent="0.25">
      <c r="A20">
        <v>9</v>
      </c>
      <c r="B20" s="6">
        <v>12242.4308221423</v>
      </c>
      <c r="C20" s="9">
        <f t="shared" si="0"/>
        <v>1.404400204859528E-2</v>
      </c>
      <c r="E20" s="371">
        <v>9</v>
      </c>
      <c r="F20" s="371">
        <v>21713</v>
      </c>
      <c r="G20" s="9">
        <f t="shared" si="1"/>
        <v>2.8767284815065561E-2</v>
      </c>
    </row>
    <row r="21" spans="1:7" x14ac:dyDescent="0.25">
      <c r="A21">
        <v>10</v>
      </c>
      <c r="B21" s="6">
        <v>7303.4503721597002</v>
      </c>
      <c r="C21" s="9">
        <f t="shared" si="0"/>
        <v>8.3782112783444881E-3</v>
      </c>
      <c r="E21" s="371">
        <v>10</v>
      </c>
      <c r="F21" s="371">
        <v>19752</v>
      </c>
      <c r="G21" s="9">
        <f t="shared" si="1"/>
        <v>2.6169180199289595E-2</v>
      </c>
    </row>
    <row r="22" spans="1:7" x14ac:dyDescent="0.25">
      <c r="A22">
        <v>11</v>
      </c>
      <c r="B22" s="6">
        <v>14101.232282577999</v>
      </c>
      <c r="C22" s="9">
        <f t="shared" si="0"/>
        <v>1.6176340952326389E-2</v>
      </c>
      <c r="E22" s="371">
        <v>11</v>
      </c>
      <c r="F22" s="371">
        <v>16930</v>
      </c>
      <c r="G22" s="9">
        <f t="shared" si="1"/>
        <v>2.2430347345786392E-2</v>
      </c>
    </row>
    <row r="23" spans="1:7" x14ac:dyDescent="0.25">
      <c r="A23">
        <v>12</v>
      </c>
      <c r="B23" s="6">
        <v>31133.246975920101</v>
      </c>
      <c r="C23" s="9">
        <f t="shared" si="0"/>
        <v>3.5714752295633805E-2</v>
      </c>
      <c r="E23" s="371">
        <v>12</v>
      </c>
      <c r="F23" s="371">
        <v>15748</v>
      </c>
      <c r="G23" s="9">
        <f t="shared" si="1"/>
        <v>2.0864330183192212E-2</v>
      </c>
    </row>
    <row r="24" spans="1:7" x14ac:dyDescent="0.25">
      <c r="A24">
        <v>13</v>
      </c>
      <c r="B24" s="6">
        <v>9661.2575926610007</v>
      </c>
      <c r="C24" s="9">
        <f t="shared" si="0"/>
        <v>1.1082988615131477E-2</v>
      </c>
      <c r="E24" s="371">
        <v>13</v>
      </c>
      <c r="F24" s="371">
        <v>13216</v>
      </c>
      <c r="G24" s="9">
        <f t="shared" si="1"/>
        <v>1.7509714738447313E-2</v>
      </c>
    </row>
    <row r="25" spans="1:7" x14ac:dyDescent="0.25">
      <c r="A25">
        <v>14</v>
      </c>
      <c r="B25" s="6">
        <v>14519.794074703001</v>
      </c>
      <c r="C25" s="9">
        <f t="shared" si="0"/>
        <v>1.6656497446691503E-2</v>
      </c>
      <c r="E25" s="371">
        <v>14</v>
      </c>
      <c r="F25" s="371">
        <v>12069</v>
      </c>
      <c r="G25" s="9">
        <f t="shared" si="1"/>
        <v>1.5990068642427406E-2</v>
      </c>
    </row>
    <row r="26" spans="1:7" x14ac:dyDescent="0.25">
      <c r="A26">
        <v>15</v>
      </c>
      <c r="B26" s="6">
        <v>3368.3823033959998</v>
      </c>
      <c r="C26" s="9">
        <f t="shared" si="0"/>
        <v>3.8640665940122111E-3</v>
      </c>
      <c r="E26" s="371">
        <v>15</v>
      </c>
      <c r="F26" s="371">
        <v>12409</v>
      </c>
      <c r="G26" s="9">
        <f t="shared" si="1"/>
        <v>1.6440530432006106E-2</v>
      </c>
    </row>
    <row r="27" spans="1:7" x14ac:dyDescent="0.25">
      <c r="A27">
        <v>16</v>
      </c>
      <c r="B27" s="6">
        <v>34406.984865845901</v>
      </c>
      <c r="C27" s="9">
        <f t="shared" si="0"/>
        <v>3.9470246796736198E-2</v>
      </c>
      <c r="E27" s="371">
        <v>16</v>
      </c>
      <c r="F27" s="371">
        <v>11011</v>
      </c>
      <c r="G27" s="9">
        <f t="shared" si="1"/>
        <v>1.4588337544267808E-2</v>
      </c>
    </row>
    <row r="28" spans="1:7" x14ac:dyDescent="0.25">
      <c r="A28">
        <v>17</v>
      </c>
      <c r="B28" s="6">
        <v>15814.9717867568</v>
      </c>
      <c r="C28" s="9">
        <f t="shared" si="0"/>
        <v>1.8142270877281777E-2</v>
      </c>
      <c r="E28" s="371">
        <v>17</v>
      </c>
      <c r="F28" s="371">
        <v>10757</v>
      </c>
      <c r="G28" s="9">
        <f t="shared" si="1"/>
        <v>1.425181608970019E-2</v>
      </c>
    </row>
    <row r="29" spans="1:7" x14ac:dyDescent="0.25">
      <c r="A29">
        <v>18</v>
      </c>
      <c r="B29" s="6">
        <v>90240.6690296788</v>
      </c>
      <c r="C29" s="9">
        <f t="shared" si="0"/>
        <v>0.10352030239184527</v>
      </c>
      <c r="E29" s="371">
        <v>18</v>
      </c>
      <c r="F29" s="371">
        <v>98689</v>
      </c>
      <c r="G29" s="9">
        <f t="shared" si="1"/>
        <v>0.13075183397568302</v>
      </c>
    </row>
    <row r="30" spans="1:7" x14ac:dyDescent="0.25">
      <c r="A30">
        <v>19</v>
      </c>
      <c r="B30" s="6">
        <v>32868.772191329299</v>
      </c>
      <c r="C30" s="9">
        <f t="shared" si="0"/>
        <v>3.7705673872785943E-2</v>
      </c>
      <c r="E30" s="371">
        <v>19</v>
      </c>
      <c r="F30" s="371">
        <v>25673</v>
      </c>
      <c r="G30" s="9">
        <f t="shared" si="1"/>
        <v>3.4013839776040999E-2</v>
      </c>
    </row>
    <row r="31" spans="1:7" x14ac:dyDescent="0.25">
      <c r="A31">
        <v>20</v>
      </c>
      <c r="B31" s="6">
        <v>54635.120443828098</v>
      </c>
      <c r="C31" s="9">
        <f t="shared" si="0"/>
        <v>6.2675113675186189E-2</v>
      </c>
      <c r="E31" s="371">
        <v>20</v>
      </c>
      <c r="F31" s="371">
        <v>27760</v>
      </c>
      <c r="G31" s="9">
        <f t="shared" si="1"/>
        <v>3.6778880231484366E-2</v>
      </c>
    </row>
    <row r="32" spans="1:7" x14ac:dyDescent="0.25">
      <c r="A32">
        <v>21</v>
      </c>
      <c r="B32" s="6">
        <v>38153.805107343498</v>
      </c>
      <c r="C32" s="9">
        <f t="shared" si="0"/>
        <v>4.3768441486318484E-2</v>
      </c>
      <c r="E32" s="371">
        <v>21</v>
      </c>
      <c r="F32" s="371">
        <v>27924</v>
      </c>
      <c r="G32" s="9">
        <f t="shared" si="1"/>
        <v>3.6996161800575265E-2</v>
      </c>
    </row>
    <row r="33" spans="1:7" x14ac:dyDescent="0.25">
      <c r="A33">
        <v>22</v>
      </c>
      <c r="B33" s="6">
        <v>32414.434958815</v>
      </c>
      <c r="C33" s="9">
        <f t="shared" si="0"/>
        <v>3.7184477296968381E-2</v>
      </c>
      <c r="E33" s="371">
        <v>22</v>
      </c>
      <c r="F33" s="371">
        <v>30738</v>
      </c>
      <c r="G33" s="9">
        <f t="shared" si="1"/>
        <v>4.0724395553147205E-2</v>
      </c>
    </row>
    <row r="34" spans="1:7" x14ac:dyDescent="0.25">
      <c r="A34">
        <v>23</v>
      </c>
      <c r="B34" s="6">
        <v>15008.6658807407</v>
      </c>
      <c r="C34" s="9">
        <f t="shared" si="0"/>
        <v>1.7217310633650763E-2</v>
      </c>
      <c r="E34" s="371">
        <v>23</v>
      </c>
      <c r="F34" s="371">
        <v>26769</v>
      </c>
      <c r="G34" s="9">
        <f t="shared" si="1"/>
        <v>3.5465916603624095E-2</v>
      </c>
    </row>
    <row r="35" spans="1:7" x14ac:dyDescent="0.25">
      <c r="A35">
        <v>24</v>
      </c>
      <c r="B35" s="6">
        <v>31128.031524575101</v>
      </c>
      <c r="C35" s="9">
        <f t="shared" si="0"/>
        <v>3.5708769349073792E-2</v>
      </c>
      <c r="E35" s="371">
        <v>24</v>
      </c>
      <c r="F35" s="371">
        <v>19264</v>
      </c>
      <c r="G35" s="9">
        <f t="shared" si="1"/>
        <v>2.5522635042482523E-2</v>
      </c>
    </row>
    <row r="36" spans="1:7" x14ac:dyDescent="0.25">
      <c r="A36">
        <v>25</v>
      </c>
      <c r="B36" s="6">
        <v>29682.135061495101</v>
      </c>
      <c r="C36" s="9">
        <f t="shared" si="0"/>
        <v>3.4050097702522569E-2</v>
      </c>
      <c r="E36" s="371">
        <v>25</v>
      </c>
      <c r="F36" s="371">
        <v>18650</v>
      </c>
      <c r="G36" s="9">
        <f t="shared" si="1"/>
        <v>2.4709154046008049E-2</v>
      </c>
    </row>
    <row r="37" spans="1:7" x14ac:dyDescent="0.25">
      <c r="A37">
        <v>26</v>
      </c>
      <c r="B37" s="6">
        <v>65883.041373593805</v>
      </c>
      <c r="C37" s="9">
        <f t="shared" si="0"/>
        <v>7.5578255777844591E-2</v>
      </c>
      <c r="E37" s="371">
        <v>26</v>
      </c>
      <c r="F37" s="371">
        <v>15080</v>
      </c>
      <c r="G37" s="9">
        <f t="shared" si="1"/>
        <v>1.9979305255431706E-2</v>
      </c>
    </row>
    <row r="38" spans="1:7" x14ac:dyDescent="0.25">
      <c r="A38">
        <v>27</v>
      </c>
      <c r="B38" s="6">
        <v>10172.155719594699</v>
      </c>
      <c r="C38" s="9">
        <f t="shared" si="0"/>
        <v>1.1669069471582237E-2</v>
      </c>
      <c r="E38" s="371">
        <v>27</v>
      </c>
      <c r="F38" s="371">
        <v>10719</v>
      </c>
      <c r="G38" s="9">
        <f t="shared" si="1"/>
        <v>1.4201470360276689E-2</v>
      </c>
    </row>
    <row r="39" spans="1:7" x14ac:dyDescent="0.25">
      <c r="A39">
        <v>28</v>
      </c>
      <c r="B39" s="6">
        <v>18649.033094827999</v>
      </c>
      <c r="C39" s="9">
        <f t="shared" si="0"/>
        <v>2.1393386884766937E-2</v>
      </c>
      <c r="E39" s="371">
        <v>28</v>
      </c>
      <c r="F39" s="371">
        <v>13929</v>
      </c>
      <c r="G39" s="9">
        <f t="shared" si="1"/>
        <v>1.8454359608946171E-2</v>
      </c>
    </row>
    <row r="40" spans="1:7" x14ac:dyDescent="0.25">
      <c r="A40">
        <v>29</v>
      </c>
      <c r="B40" s="6">
        <v>15265.4231899969</v>
      </c>
      <c r="C40" s="9">
        <f t="shared" si="0"/>
        <v>1.7511851826455715E-2</v>
      </c>
      <c r="E40" s="371">
        <v>29</v>
      </c>
      <c r="F40" s="371">
        <v>9228</v>
      </c>
      <c r="G40" s="9">
        <f t="shared" si="1"/>
        <v>1.2226062924212454E-2</v>
      </c>
    </row>
    <row r="41" spans="1:7" x14ac:dyDescent="0.25">
      <c r="A41">
        <v>30</v>
      </c>
      <c r="B41" s="6">
        <v>15834.1694981826</v>
      </c>
      <c r="C41" s="9">
        <f t="shared" si="0"/>
        <v>1.8164293684885039E-2</v>
      </c>
      <c r="E41" s="371">
        <v>30</v>
      </c>
      <c r="F41" s="371">
        <v>7391</v>
      </c>
      <c r="G41" s="9">
        <f t="shared" si="1"/>
        <v>9.7922443728710711E-3</v>
      </c>
    </row>
    <row r="42" spans="1:7" x14ac:dyDescent="0.25">
      <c r="A42">
        <v>31</v>
      </c>
      <c r="B42" s="6">
        <v>13341.339103737</v>
      </c>
      <c r="C42" s="9">
        <f t="shared" si="0"/>
        <v>1.5304623438427537E-2</v>
      </c>
      <c r="E42" s="371">
        <v>31</v>
      </c>
      <c r="F42" s="371">
        <v>7224</v>
      </c>
      <c r="G42" s="9">
        <f t="shared" si="1"/>
        <v>9.5709881409309448E-3</v>
      </c>
    </row>
    <row r="43" spans="1:7" x14ac:dyDescent="0.25">
      <c r="A43">
        <v>32</v>
      </c>
      <c r="B43" s="6">
        <v>5775.8287331450001</v>
      </c>
      <c r="C43" s="9">
        <f t="shared" si="0"/>
        <v>6.6257879451451489E-3</v>
      </c>
      <c r="E43" s="371">
        <v>32</v>
      </c>
      <c r="F43" s="371">
        <v>8588</v>
      </c>
      <c r="G43" s="9">
        <f t="shared" si="1"/>
        <v>1.1378134849711374E-2</v>
      </c>
    </row>
    <row r="44" spans="1:7" x14ac:dyDescent="0.25">
      <c r="A44">
        <v>33</v>
      </c>
      <c r="B44" s="6">
        <v>9175.1486805087006</v>
      </c>
      <c r="C44" s="9">
        <f t="shared" si="0"/>
        <v>1.0525344903903817E-2</v>
      </c>
      <c r="E44" s="371">
        <v>33</v>
      </c>
      <c r="F44" s="371">
        <v>5836</v>
      </c>
      <c r="G44" s="9">
        <f t="shared" si="1"/>
        <v>7.7320441293567271E-3</v>
      </c>
    </row>
    <row r="45" spans="1:7" x14ac:dyDescent="0.25">
      <c r="A45">
        <v>34</v>
      </c>
      <c r="B45" s="6">
        <v>19789.518047235601</v>
      </c>
      <c r="C45" s="9">
        <f t="shared" si="0"/>
        <v>2.2701703283748365E-2</v>
      </c>
      <c r="E45" s="371">
        <v>34</v>
      </c>
      <c r="F45" s="371">
        <v>8341</v>
      </c>
      <c r="G45" s="9">
        <f t="shared" si="1"/>
        <v>1.1050887608458612E-2</v>
      </c>
    </row>
    <row r="46" spans="1:7" x14ac:dyDescent="0.25">
      <c r="A46">
        <v>35</v>
      </c>
      <c r="B46" s="6">
        <v>4831.1116492481005</v>
      </c>
      <c r="C46" s="9">
        <f t="shared" si="0"/>
        <v>5.5420482161368766E-3</v>
      </c>
      <c r="E46" s="371">
        <v>35</v>
      </c>
      <c r="F46" s="371">
        <v>3751</v>
      </c>
      <c r="G46" s="9">
        <f t="shared" si="1"/>
        <v>4.9696534491461761E-3</v>
      </c>
    </row>
    <row r="47" spans="1:7" x14ac:dyDescent="0.25">
      <c r="A47">
        <v>36</v>
      </c>
      <c r="B47" s="6">
        <v>5120.3525502020002</v>
      </c>
      <c r="C47" s="9">
        <f t="shared" si="0"/>
        <v>5.8738532199427533E-3</v>
      </c>
      <c r="E47" s="371">
        <v>36</v>
      </c>
      <c r="F47" s="371">
        <v>3071</v>
      </c>
      <c r="G47" s="9">
        <f t="shared" si="1"/>
        <v>4.0687298699887782E-3</v>
      </c>
    </row>
    <row r="48" spans="1:7" x14ac:dyDescent="0.25">
      <c r="A48">
        <v>37</v>
      </c>
      <c r="B48" s="6">
        <v>10341.908245021001</v>
      </c>
      <c r="C48" s="9">
        <f t="shared" si="0"/>
        <v>1.1863802433481388E-2</v>
      </c>
      <c r="E48" s="371">
        <v>37</v>
      </c>
      <c r="F48" s="371">
        <v>2795</v>
      </c>
      <c r="G48" s="9">
        <f t="shared" si="1"/>
        <v>3.7030608878601871E-3</v>
      </c>
    </row>
    <row r="49" spans="1:7" x14ac:dyDescent="0.25">
      <c r="A49">
        <v>38</v>
      </c>
      <c r="B49" s="6">
        <v>14109.4155229302</v>
      </c>
      <c r="C49" s="9">
        <f t="shared" si="0"/>
        <v>1.6185728421689305E-2</v>
      </c>
      <c r="E49" s="371">
        <v>38</v>
      </c>
      <c r="F49" s="371">
        <v>3842</v>
      </c>
      <c r="G49" s="9">
        <f t="shared" si="1"/>
        <v>5.0902182222392987E-3</v>
      </c>
    </row>
    <row r="50" spans="1:7" x14ac:dyDescent="0.25">
      <c r="A50">
        <v>39</v>
      </c>
      <c r="B50" s="6">
        <v>2853.7853158464</v>
      </c>
      <c r="C50" s="9">
        <f t="shared" si="0"/>
        <v>3.2737425601384474E-3</v>
      </c>
      <c r="E50" s="371">
        <v>39</v>
      </c>
      <c r="F50" s="371">
        <v>2652</v>
      </c>
      <c r="G50" s="9">
        <f t="shared" si="1"/>
        <v>3.5136019587138521E-3</v>
      </c>
    </row>
    <row r="51" spans="1:7" x14ac:dyDescent="0.25">
      <c r="A51">
        <v>40</v>
      </c>
      <c r="B51" s="6">
        <v>984.8458708764</v>
      </c>
      <c r="C51" s="9">
        <f t="shared" si="0"/>
        <v>1.1297737866831949E-3</v>
      </c>
      <c r="E51" s="371">
        <v>40</v>
      </c>
      <c r="F51" s="371">
        <v>2195</v>
      </c>
      <c r="G51" s="9">
        <f t="shared" si="1"/>
        <v>2.9081283180154242E-3</v>
      </c>
    </row>
    <row r="52" spans="1:7" x14ac:dyDescent="0.25">
      <c r="A52">
        <v>41</v>
      </c>
      <c r="B52" s="6">
        <v>7230.8563749999994</v>
      </c>
      <c r="C52" s="9">
        <f t="shared" si="0"/>
        <v>8.2949344961728774E-3</v>
      </c>
      <c r="E52" s="371">
        <v>41</v>
      </c>
      <c r="F52" s="371">
        <v>2766</v>
      </c>
      <c r="G52" s="9">
        <f t="shared" si="1"/>
        <v>3.6646391469843569E-3</v>
      </c>
    </row>
    <row r="53" spans="1:7" x14ac:dyDescent="0.25">
      <c r="A53">
        <v>42</v>
      </c>
      <c r="B53" s="6">
        <v>1569.2471209810001</v>
      </c>
      <c r="C53" s="9">
        <f t="shared" si="0"/>
        <v>1.8001743364519905E-3</v>
      </c>
      <c r="E53" s="371">
        <v>42</v>
      </c>
      <c r="F53" s="371">
        <v>2042</v>
      </c>
      <c r="G53" s="9">
        <f t="shared" si="1"/>
        <v>2.70542051270501E-3</v>
      </c>
    </row>
    <row r="54" spans="1:7" x14ac:dyDescent="0.25">
      <c r="A54">
        <v>43</v>
      </c>
      <c r="B54" s="6">
        <v>1173.021376812</v>
      </c>
      <c r="C54" s="9">
        <f t="shared" si="0"/>
        <v>1.3456408174427419E-3</v>
      </c>
      <c r="E54" s="371">
        <v>43</v>
      </c>
      <c r="F54" s="371">
        <v>1613</v>
      </c>
      <c r="G54" s="9">
        <f t="shared" si="1"/>
        <v>2.1370437252660043E-3</v>
      </c>
    </row>
    <row r="55" spans="1:7" x14ac:dyDescent="0.25">
      <c r="A55">
        <v>44</v>
      </c>
      <c r="B55" s="6">
        <v>1196.801803842</v>
      </c>
      <c r="C55" s="9">
        <f t="shared" si="0"/>
        <v>1.3729207237601828E-3</v>
      </c>
      <c r="E55" s="371">
        <v>44</v>
      </c>
      <c r="F55" s="371">
        <v>1741</v>
      </c>
      <c r="G55" s="9">
        <f t="shared" si="1"/>
        <v>2.3066293401662204E-3</v>
      </c>
    </row>
    <row r="56" spans="1:7" x14ac:dyDescent="0.25">
      <c r="A56">
        <v>45</v>
      </c>
      <c r="B56" s="6">
        <v>37424.629805928998</v>
      </c>
      <c r="C56" s="9">
        <f t="shared" si="0"/>
        <v>4.2931962230227549E-2</v>
      </c>
      <c r="E56" s="371">
        <v>45</v>
      </c>
      <c r="F56" s="371">
        <v>1605</v>
      </c>
      <c r="G56" s="9">
        <f t="shared" si="1"/>
        <v>2.1264446243347409E-3</v>
      </c>
    </row>
    <row r="57" spans="1:7" x14ac:dyDescent="0.25">
      <c r="A57">
        <v>46</v>
      </c>
      <c r="B57" s="6">
        <v>5549.7718228020003</v>
      </c>
      <c r="C57" s="9">
        <f t="shared" si="0"/>
        <v>6.3664649595323404E-3</v>
      </c>
      <c r="E57" s="371">
        <v>46</v>
      </c>
      <c r="F57" s="371">
        <v>1448</v>
      </c>
      <c r="G57" s="9">
        <f t="shared" si="1"/>
        <v>1.9184372685586944E-3</v>
      </c>
    </row>
    <row r="58" spans="1:7" x14ac:dyDescent="0.25">
      <c r="A58">
        <v>47</v>
      </c>
      <c r="B58" s="6">
        <v>4244.0999746710004</v>
      </c>
      <c r="C58" s="9">
        <f t="shared" si="0"/>
        <v>4.868653097138154E-3</v>
      </c>
      <c r="E58" s="371">
        <v>47</v>
      </c>
      <c r="F58" s="371">
        <v>1368</v>
      </c>
      <c r="G58" s="9">
        <f t="shared" si="1"/>
        <v>1.8124462592460594E-3</v>
      </c>
    </row>
    <row r="59" spans="1:7" x14ac:dyDescent="0.25">
      <c r="A59">
        <v>48</v>
      </c>
      <c r="B59" s="6">
        <v>2507.5978658700001</v>
      </c>
      <c r="C59" s="9">
        <f t="shared" si="0"/>
        <v>2.8766108689490533E-3</v>
      </c>
      <c r="E59" s="371">
        <v>48</v>
      </c>
      <c r="F59" s="371">
        <v>1344</v>
      </c>
      <c r="G59" s="9">
        <f t="shared" si="1"/>
        <v>1.7806489564522689E-3</v>
      </c>
    </row>
    <row r="60" spans="1:7" x14ac:dyDescent="0.25">
      <c r="A60">
        <v>49</v>
      </c>
      <c r="B60" s="6">
        <v>1084.3412803030001</v>
      </c>
      <c r="C60" s="9">
        <f t="shared" si="0"/>
        <v>1.2439107382505048E-3</v>
      </c>
      <c r="E60" s="371">
        <v>49</v>
      </c>
      <c r="F60" s="371">
        <v>1186</v>
      </c>
      <c r="G60" s="9">
        <f t="shared" si="1"/>
        <v>1.5713167130598147E-3</v>
      </c>
    </row>
    <row r="61" spans="1:7" x14ac:dyDescent="0.25">
      <c r="A61">
        <v>50</v>
      </c>
      <c r="B61" s="6">
        <v>354.40837499999998</v>
      </c>
      <c r="C61" s="9">
        <f t="shared" si="0"/>
        <v>4.0656239082332386E-4</v>
      </c>
      <c r="E61" s="371">
        <v>50</v>
      </c>
      <c r="F61" s="371">
        <v>1210</v>
      </c>
      <c r="G61" s="9">
        <f t="shared" si="1"/>
        <v>1.6031140158536052E-3</v>
      </c>
    </row>
    <row r="62" spans="1:7" x14ac:dyDescent="0.25">
      <c r="A62">
        <v>51</v>
      </c>
      <c r="B62" s="6">
        <v>1425.581625</v>
      </c>
      <c r="C62" s="9">
        <f t="shared" si="0"/>
        <v>1.6353673182068545E-3</v>
      </c>
      <c r="E62" s="371">
        <v>51</v>
      </c>
      <c r="F62" s="371">
        <v>1248</v>
      </c>
      <c r="G62" s="9">
        <f t="shared" si="1"/>
        <v>1.6534597452771069E-3</v>
      </c>
    </row>
    <row r="63" spans="1:7" x14ac:dyDescent="0.25">
      <c r="A63">
        <v>52</v>
      </c>
      <c r="B63" s="6">
        <v>1095.81675</v>
      </c>
      <c r="C63" s="9">
        <f t="shared" si="0"/>
        <v>1.2570749147342937E-3</v>
      </c>
      <c r="E63" s="371">
        <v>52</v>
      </c>
      <c r="F63" s="371">
        <v>913</v>
      </c>
      <c r="G63" s="9">
        <f t="shared" si="1"/>
        <v>1.2096223937804475E-3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879</v>
      </c>
      <c r="G64" s="9">
        <f t="shared" si="1"/>
        <v>1.1645762148225778E-3</v>
      </c>
    </row>
    <row r="65" spans="1:7" x14ac:dyDescent="0.25">
      <c r="A65">
        <v>54</v>
      </c>
      <c r="B65" s="6">
        <v>2105.130729518</v>
      </c>
      <c r="C65" s="9">
        <f t="shared" si="0"/>
        <v>2.4149174871741846E-3</v>
      </c>
      <c r="E65" s="371">
        <v>54</v>
      </c>
      <c r="F65" s="371">
        <v>843</v>
      </c>
      <c r="G65" s="9">
        <f t="shared" si="1"/>
        <v>1.1168802606318919E-3</v>
      </c>
    </row>
    <row r="66" spans="1:7" x14ac:dyDescent="0.25">
      <c r="A66">
        <v>55</v>
      </c>
      <c r="B66" s="6">
        <v>3268.7179253700001</v>
      </c>
      <c r="C66" s="9">
        <f t="shared" si="0"/>
        <v>3.749735808769989E-3</v>
      </c>
      <c r="E66" s="371">
        <v>55</v>
      </c>
      <c r="F66" s="371">
        <v>714</v>
      </c>
      <c r="G66" s="9">
        <f t="shared" si="1"/>
        <v>9.4596975811526789E-4</v>
      </c>
    </row>
    <row r="67" spans="1:7" x14ac:dyDescent="0.25">
      <c r="A67">
        <v>56</v>
      </c>
      <c r="B67" s="6">
        <v>0</v>
      </c>
      <c r="C67" s="9">
        <f t="shared" si="0"/>
        <v>0</v>
      </c>
      <c r="E67" s="371">
        <v>56</v>
      </c>
      <c r="F67" s="371">
        <v>628</v>
      </c>
      <c r="G67" s="9">
        <f t="shared" si="1"/>
        <v>8.3202942310418523E-4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642</v>
      </c>
      <c r="G68" s="9">
        <f t="shared" si="1"/>
        <v>8.5057784973389635E-4</v>
      </c>
    </row>
    <row r="69" spans="1:7" x14ac:dyDescent="0.25">
      <c r="A69">
        <v>58</v>
      </c>
      <c r="B69" s="6">
        <v>15.92375</v>
      </c>
      <c r="C69" s="9">
        <f t="shared" si="0"/>
        <v>1.8267056671200007E-5</v>
      </c>
      <c r="E69" s="371">
        <v>58</v>
      </c>
      <c r="F69" s="371">
        <v>619</v>
      </c>
      <c r="G69" s="9">
        <f t="shared" si="1"/>
        <v>8.2010543455651372E-4</v>
      </c>
    </row>
    <row r="70" spans="1:7" x14ac:dyDescent="0.25">
      <c r="A70">
        <v>59</v>
      </c>
      <c r="B70" s="6">
        <v>651.29421787699994</v>
      </c>
      <c r="C70" s="9">
        <f t="shared" si="0"/>
        <v>7.4713735066074527E-4</v>
      </c>
      <c r="E70" s="371">
        <v>59</v>
      </c>
      <c r="F70" s="371">
        <v>577</v>
      </c>
      <c r="G70" s="9">
        <f t="shared" si="1"/>
        <v>7.6446015466738037E-4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554</v>
      </c>
      <c r="G71" s="9">
        <f t="shared" si="1"/>
        <v>7.3398773948999774E-4</v>
      </c>
    </row>
    <row r="72" spans="1:7" x14ac:dyDescent="0.25">
      <c r="A72">
        <v>61</v>
      </c>
      <c r="B72" s="6">
        <v>6072.2657120415997</v>
      </c>
      <c r="C72" s="9">
        <f t="shared" si="0"/>
        <v>6.9658479870915186E-3</v>
      </c>
      <c r="E72" s="371">
        <v>61</v>
      </c>
      <c r="F72" s="371">
        <v>403</v>
      </c>
      <c r="G72" s="9">
        <f t="shared" si="1"/>
        <v>5.3392970941239909E-4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508</v>
      </c>
      <c r="G73" s="9">
        <f t="shared" si="1"/>
        <v>6.7304290913523259E-4</v>
      </c>
    </row>
    <row r="74" spans="1:7" x14ac:dyDescent="0.25">
      <c r="A74">
        <v>63</v>
      </c>
      <c r="B74" s="6">
        <v>5.16</v>
      </c>
      <c r="C74" s="9">
        <f t="shared" si="0"/>
        <v>5.9193351078352801E-6</v>
      </c>
      <c r="E74" s="371">
        <v>63</v>
      </c>
      <c r="F74" s="371">
        <v>386</v>
      </c>
      <c r="G74" s="9">
        <f t="shared" si="1"/>
        <v>5.114066199334641E-4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390</v>
      </c>
      <c r="G75" s="9">
        <f t="shared" si="1"/>
        <v>5.167061703990959E-4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366</v>
      </c>
      <c r="G76" s="9">
        <f t="shared" si="1"/>
        <v>4.849088676053054E-4</v>
      </c>
    </row>
    <row r="77" spans="1:7" x14ac:dyDescent="0.25">
      <c r="A77">
        <v>66</v>
      </c>
      <c r="B77" s="6">
        <v>1427.7280852700001</v>
      </c>
      <c r="C77" s="9">
        <f t="shared" ref="C77:C102" si="2">B77/B$102</f>
        <v>1.6378296472056499E-3</v>
      </c>
      <c r="E77" s="371">
        <v>66</v>
      </c>
      <c r="F77" s="371">
        <v>364</v>
      </c>
      <c r="G77" s="9">
        <f t="shared" ref="G77:G102" si="3">F77/F$102</f>
        <v>4.822590923724895E-4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366</v>
      </c>
      <c r="G78" s="9">
        <f t="shared" si="3"/>
        <v>4.849088676053054E-4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305</v>
      </c>
      <c r="G79" s="9">
        <f t="shared" si="3"/>
        <v>4.0409072300442116E-4</v>
      </c>
    </row>
    <row r="80" spans="1:7" x14ac:dyDescent="0.25">
      <c r="A80">
        <v>69</v>
      </c>
      <c r="B80" s="6">
        <v>1036.537015762</v>
      </c>
      <c r="C80" s="9">
        <f t="shared" si="2"/>
        <v>1.1890716953431818E-3</v>
      </c>
      <c r="E80" s="371">
        <v>69</v>
      </c>
      <c r="F80" s="371">
        <v>307</v>
      </c>
      <c r="G80" s="9">
        <f t="shared" si="3"/>
        <v>4.06740498237237E-4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335</v>
      </c>
      <c r="G81" s="9">
        <f t="shared" si="3"/>
        <v>4.4383735149665929E-4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343</v>
      </c>
      <c r="G82" s="9">
        <f t="shared" si="3"/>
        <v>4.5443645242792283E-4</v>
      </c>
    </row>
    <row r="83" spans="1:7" x14ac:dyDescent="0.25">
      <c r="A83">
        <v>72</v>
      </c>
      <c r="B83" s="6">
        <v>3300.7833570129001</v>
      </c>
      <c r="C83" s="9">
        <f t="shared" si="2"/>
        <v>3.7865199241327234E-3</v>
      </c>
      <c r="E83" s="371">
        <v>72</v>
      </c>
      <c r="F83" s="371">
        <v>342</v>
      </c>
      <c r="G83" s="9">
        <f t="shared" si="3"/>
        <v>4.5311156481151485E-4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248</v>
      </c>
      <c r="G84" s="9">
        <f t="shared" si="3"/>
        <v>3.2857212886916866E-4</v>
      </c>
    </row>
    <row r="85" spans="1:7" x14ac:dyDescent="0.25">
      <c r="A85">
        <v>74</v>
      </c>
      <c r="B85" s="6">
        <v>1126.4958750000001</v>
      </c>
      <c r="C85" s="9">
        <f t="shared" si="2"/>
        <v>1.2922687173874271E-3</v>
      </c>
      <c r="E85" s="371">
        <v>74</v>
      </c>
      <c r="F85" s="371">
        <v>230</v>
      </c>
      <c r="G85" s="9">
        <f t="shared" si="3"/>
        <v>3.047241517738258E-4</v>
      </c>
    </row>
    <row r="86" spans="1:7" x14ac:dyDescent="0.25">
      <c r="A86">
        <v>75</v>
      </c>
      <c r="B86" s="6">
        <v>970.90349999999989</v>
      </c>
      <c r="C86" s="9">
        <f t="shared" si="2"/>
        <v>1.1137796848585562E-3</v>
      </c>
      <c r="E86" s="371">
        <v>75</v>
      </c>
      <c r="F86" s="371">
        <v>219</v>
      </c>
      <c r="G86" s="9">
        <f t="shared" si="3"/>
        <v>2.9015038799333844E-4</v>
      </c>
    </row>
    <row r="87" spans="1:7" x14ac:dyDescent="0.25">
      <c r="A87">
        <v>76</v>
      </c>
      <c r="B87" s="6">
        <v>2431.2752164839999</v>
      </c>
      <c r="C87" s="9">
        <f t="shared" si="2"/>
        <v>2.789056733671233E-3</v>
      </c>
      <c r="E87" s="371">
        <v>76</v>
      </c>
      <c r="F87" s="371">
        <v>229</v>
      </c>
      <c r="G87" s="9">
        <f t="shared" si="3"/>
        <v>3.0339926415741782E-4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216</v>
      </c>
      <c r="G88" s="9">
        <f t="shared" si="3"/>
        <v>2.8617572514411463E-4</v>
      </c>
    </row>
    <row r="89" spans="1:7" x14ac:dyDescent="0.25">
      <c r="A89">
        <v>78</v>
      </c>
      <c r="B89" s="6">
        <v>265.77887500000003</v>
      </c>
      <c r="C89" s="9">
        <f t="shared" si="2"/>
        <v>3.0489035381946986E-4</v>
      </c>
      <c r="E89" s="371">
        <v>78</v>
      </c>
      <c r="F89" s="371">
        <v>208</v>
      </c>
      <c r="G89" s="9">
        <f t="shared" si="3"/>
        <v>2.7557662421285115E-4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222</v>
      </c>
      <c r="G90" s="9">
        <f t="shared" si="3"/>
        <v>2.9412505084256226E-4</v>
      </c>
    </row>
    <row r="91" spans="1:7" x14ac:dyDescent="0.25">
      <c r="A91">
        <v>80</v>
      </c>
      <c r="B91" s="6">
        <v>8712.4361622050001</v>
      </c>
      <c r="C91" s="9">
        <f t="shared" si="2"/>
        <v>9.9945405522701026E-3</v>
      </c>
      <c r="E91" s="371">
        <v>80</v>
      </c>
      <c r="F91" s="371">
        <v>170</v>
      </c>
      <c r="G91" s="9">
        <f t="shared" si="3"/>
        <v>2.252308947893495E-4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157</v>
      </c>
      <c r="G92" s="9">
        <f t="shared" si="3"/>
        <v>2.0800735577604631E-4</v>
      </c>
    </row>
    <row r="93" spans="1:7" x14ac:dyDescent="0.25">
      <c r="A93">
        <v>82</v>
      </c>
      <c r="B93" s="6">
        <v>1587.0622499999999</v>
      </c>
      <c r="C93" s="9">
        <f t="shared" si="2"/>
        <v>1.8206111036327621E-3</v>
      </c>
      <c r="E93" s="371">
        <v>82</v>
      </c>
      <c r="F93" s="371">
        <v>140</v>
      </c>
      <c r="G93" s="9">
        <f t="shared" si="3"/>
        <v>1.8548426629711134E-4</v>
      </c>
    </row>
    <row r="94" spans="1:7" x14ac:dyDescent="0.25">
      <c r="A94">
        <v>83</v>
      </c>
      <c r="B94" s="6">
        <v>21.551250000000003</v>
      </c>
      <c r="C94" s="9">
        <f t="shared" si="2"/>
        <v>2.4722688128437036E-5</v>
      </c>
      <c r="E94" s="371">
        <v>83</v>
      </c>
      <c r="F94" s="371">
        <v>139</v>
      </c>
      <c r="G94" s="9">
        <f t="shared" si="3"/>
        <v>1.8415937868070342E-4</v>
      </c>
    </row>
    <row r="95" spans="1:7" x14ac:dyDescent="0.25">
      <c r="A95">
        <v>84</v>
      </c>
      <c r="B95" s="6">
        <v>736.19201707640002</v>
      </c>
      <c r="C95" s="9">
        <f t="shared" si="2"/>
        <v>8.4452853736209394E-4</v>
      </c>
      <c r="E95" s="371">
        <v>84</v>
      </c>
      <c r="F95" s="371">
        <v>156</v>
      </c>
      <c r="G95" s="9">
        <f t="shared" si="3"/>
        <v>2.0668246815963836E-4</v>
      </c>
    </row>
    <row r="96" spans="1:7" x14ac:dyDescent="0.25">
      <c r="A96">
        <v>85</v>
      </c>
      <c r="B96" s="6">
        <v>176.44969851299999</v>
      </c>
      <c r="C96" s="9">
        <f t="shared" si="2"/>
        <v>2.024156773594867E-4</v>
      </c>
      <c r="E96" s="371">
        <v>85</v>
      </c>
      <c r="F96" s="371">
        <v>122</v>
      </c>
      <c r="G96" s="9">
        <f t="shared" si="3"/>
        <v>1.6163628920176846E-4</v>
      </c>
    </row>
    <row r="97" spans="1:7" x14ac:dyDescent="0.25">
      <c r="A97">
        <v>86</v>
      </c>
      <c r="B97" s="6">
        <v>339.70612499999999</v>
      </c>
      <c r="C97" s="9">
        <f t="shared" si="2"/>
        <v>3.8969658760836824E-4</v>
      </c>
      <c r="E97" s="371">
        <v>86</v>
      </c>
      <c r="F97" s="371">
        <v>112</v>
      </c>
      <c r="G97" s="9">
        <f t="shared" si="3"/>
        <v>1.4838741303768908E-4</v>
      </c>
    </row>
    <row r="98" spans="1:7" x14ac:dyDescent="0.25">
      <c r="A98">
        <v>87</v>
      </c>
      <c r="B98" s="6">
        <v>143.19399999999999</v>
      </c>
      <c r="C98" s="9">
        <f t="shared" si="2"/>
        <v>1.6426613787429555E-4</v>
      </c>
      <c r="E98" s="371">
        <v>87</v>
      </c>
      <c r="F98" s="371">
        <v>112</v>
      </c>
      <c r="G98" s="9">
        <f t="shared" si="3"/>
        <v>1.4838741303768908E-4</v>
      </c>
    </row>
    <row r="99" spans="1:7" x14ac:dyDescent="0.25">
      <c r="A99">
        <v>88</v>
      </c>
      <c r="B99" s="6">
        <v>195.04500000000002</v>
      </c>
      <c r="C99" s="9">
        <f t="shared" si="2"/>
        <v>2.2374742560227369E-4</v>
      </c>
      <c r="E99" s="371">
        <v>88</v>
      </c>
      <c r="F99" s="371">
        <v>132</v>
      </c>
      <c r="G99" s="9">
        <f t="shared" si="3"/>
        <v>1.7488516536584784E-4</v>
      </c>
    </row>
    <row r="100" spans="1:7" x14ac:dyDescent="0.25">
      <c r="A100">
        <v>89</v>
      </c>
      <c r="B100" s="6">
        <v>3248.2986652650002</v>
      </c>
      <c r="C100" s="9">
        <f t="shared" si="2"/>
        <v>3.7263116918677514E-3</v>
      </c>
      <c r="E100" s="371">
        <v>89</v>
      </c>
      <c r="F100" s="371">
        <v>83</v>
      </c>
      <c r="G100" s="9">
        <f t="shared" si="3"/>
        <v>1.0996567216185887E-4</v>
      </c>
    </row>
    <row r="101" spans="1:7" ht="15.75" thickBot="1" x14ac:dyDescent="0.3">
      <c r="A101" s="1">
        <v>90</v>
      </c>
      <c r="B101" s="7">
        <v>22389.139474102802</v>
      </c>
      <c r="C101" s="9">
        <f t="shared" si="2"/>
        <v>2.5683879713813456E-2</v>
      </c>
      <c r="E101" s="372">
        <v>90</v>
      </c>
      <c r="F101" s="372">
        <v>5043</v>
      </c>
      <c r="G101" s="9">
        <f t="shared" si="3"/>
        <v>6.6814082495452324E-3</v>
      </c>
    </row>
    <row r="102" spans="1:7" x14ac:dyDescent="0.25">
      <c r="B102" s="6">
        <f>SUM(B11:B101)</f>
        <v>871719.52693974588</v>
      </c>
      <c r="C102" s="9">
        <f t="shared" si="2"/>
        <v>1</v>
      </c>
      <c r="F102" s="6">
        <f>SUM(F11:F101)</f>
        <v>754781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41036.614451481197</v>
      </c>
      <c r="C11" s="9">
        <f>B11/B$102</f>
        <v>3.3002917508857768E-2</v>
      </c>
      <c r="E11" s="371">
        <v>0</v>
      </c>
      <c r="F11" s="371">
        <v>214371</v>
      </c>
      <c r="G11" s="9">
        <f>F11/F$102</f>
        <v>0.15390353308081317</v>
      </c>
      <c r="K11" s="6">
        <v>6.8939569474179567</v>
      </c>
      <c r="L11" s="6">
        <v>5.6834793889307784</v>
      </c>
    </row>
    <row r="12" spans="1:12" x14ac:dyDescent="0.25">
      <c r="A12">
        <v>1</v>
      </c>
      <c r="B12" s="6">
        <v>70014.094629303101</v>
      </c>
      <c r="C12" s="9">
        <f>B12/B$102</f>
        <v>5.6307505392293629E-2</v>
      </c>
      <c r="E12" s="371">
        <v>1</v>
      </c>
      <c r="F12" s="371">
        <v>196432</v>
      </c>
      <c r="G12" s="9">
        <f>F12/F$102</f>
        <v>0.14102457333375451</v>
      </c>
      <c r="K12" s="6"/>
      <c r="L12" s="371"/>
    </row>
    <row r="13" spans="1:12" x14ac:dyDescent="0.25">
      <c r="A13">
        <v>2</v>
      </c>
      <c r="B13" s="6">
        <v>72983.424561984706</v>
      </c>
      <c r="C13" s="9">
        <f t="shared" ref="C13:C76" si="0">B13/B$102</f>
        <v>5.8695532575694383E-2</v>
      </c>
      <c r="E13" s="371">
        <v>2</v>
      </c>
      <c r="F13" s="371">
        <v>122351</v>
      </c>
      <c r="G13" s="9">
        <f t="shared" ref="G13:G76" si="1">F13/F$102</f>
        <v>8.783954534881383E-2</v>
      </c>
    </row>
    <row r="14" spans="1:12" x14ac:dyDescent="0.25">
      <c r="A14">
        <v>3</v>
      </c>
      <c r="B14" s="6">
        <v>120628.8023949881</v>
      </c>
      <c r="C14" s="9">
        <f t="shared" si="0"/>
        <v>9.7013422472779096E-2</v>
      </c>
      <c r="E14" s="371">
        <v>3</v>
      </c>
      <c r="F14" s="371">
        <v>77343</v>
      </c>
      <c r="G14" s="9">
        <f t="shared" si="1"/>
        <v>5.5526918095588171E-2</v>
      </c>
    </row>
    <row r="15" spans="1:12" x14ac:dyDescent="0.25">
      <c r="A15">
        <v>4</v>
      </c>
      <c r="B15" s="6">
        <v>233807.72456333769</v>
      </c>
      <c r="C15" s="9">
        <f t="shared" si="0"/>
        <v>0.18803542031521206</v>
      </c>
      <c r="E15" s="371">
        <v>4</v>
      </c>
      <c r="F15" s="371">
        <v>228622</v>
      </c>
      <c r="G15" s="9">
        <f t="shared" si="1"/>
        <v>0.16413476421718268</v>
      </c>
    </row>
    <row r="16" spans="1:12" x14ac:dyDescent="0.25">
      <c r="A16">
        <v>5</v>
      </c>
      <c r="B16" s="6">
        <v>111745.1382012634</v>
      </c>
      <c r="C16" s="9">
        <f t="shared" si="0"/>
        <v>8.9868904327683727E-2</v>
      </c>
      <c r="E16" s="371">
        <v>5</v>
      </c>
      <c r="F16" s="371">
        <v>106309</v>
      </c>
      <c r="G16" s="9">
        <f t="shared" si="1"/>
        <v>7.6322500236917154E-2</v>
      </c>
    </row>
    <row r="17" spans="1:7" x14ac:dyDescent="0.25">
      <c r="A17">
        <v>6</v>
      </c>
      <c r="B17" s="6">
        <v>133033.0757617559</v>
      </c>
      <c r="C17" s="9">
        <f t="shared" si="0"/>
        <v>0.10698932365645929</v>
      </c>
      <c r="E17" s="371">
        <v>6</v>
      </c>
      <c r="F17" s="371">
        <v>104925</v>
      </c>
      <c r="G17" s="9">
        <f t="shared" si="1"/>
        <v>7.532888407715746E-2</v>
      </c>
    </row>
    <row r="18" spans="1:7" x14ac:dyDescent="0.25">
      <c r="A18">
        <v>7</v>
      </c>
      <c r="B18" s="6">
        <v>107861.5911012974</v>
      </c>
      <c r="C18" s="9">
        <f t="shared" si="0"/>
        <v>8.6745635356909379E-2</v>
      </c>
      <c r="E18" s="371">
        <v>7</v>
      </c>
      <c r="F18" s="371">
        <v>55681</v>
      </c>
      <c r="G18" s="9">
        <f t="shared" si="1"/>
        <v>3.9975102161545907E-2</v>
      </c>
    </row>
    <row r="19" spans="1:7" x14ac:dyDescent="0.25">
      <c r="A19">
        <v>8</v>
      </c>
      <c r="B19" s="6">
        <v>50501.068791800099</v>
      </c>
      <c r="C19" s="9">
        <f t="shared" si="0"/>
        <v>4.0614525094790611E-2</v>
      </c>
      <c r="E19" s="371">
        <v>8</v>
      </c>
      <c r="F19" s="371">
        <v>52895</v>
      </c>
      <c r="G19" s="9">
        <f t="shared" si="1"/>
        <v>3.797494708850363E-2</v>
      </c>
    </row>
    <row r="20" spans="1:7" x14ac:dyDescent="0.25">
      <c r="A20">
        <v>9</v>
      </c>
      <c r="B20" s="6">
        <v>31816.0735574426</v>
      </c>
      <c r="C20" s="9">
        <f t="shared" si="0"/>
        <v>2.558747267793016E-2</v>
      </c>
      <c r="E20" s="371">
        <v>9</v>
      </c>
      <c r="F20" s="371">
        <v>25114</v>
      </c>
      <c r="G20" s="9">
        <f t="shared" si="1"/>
        <v>1.8030112887431331E-2</v>
      </c>
    </row>
    <row r="21" spans="1:7" x14ac:dyDescent="0.25">
      <c r="A21">
        <v>10</v>
      </c>
      <c r="B21" s="6">
        <v>86161.225804116402</v>
      </c>
      <c r="C21" s="9">
        <f t="shared" si="0"/>
        <v>6.9293528856708211E-2</v>
      </c>
      <c r="E21" s="371">
        <v>10</v>
      </c>
      <c r="F21" s="371">
        <v>23967</v>
      </c>
      <c r="G21" s="9">
        <f t="shared" si="1"/>
        <v>1.7206646315722971E-2</v>
      </c>
    </row>
    <row r="22" spans="1:7" x14ac:dyDescent="0.25">
      <c r="A22">
        <v>11</v>
      </c>
      <c r="B22" s="6">
        <v>23471.3984698237</v>
      </c>
      <c r="C22" s="9">
        <f t="shared" si="0"/>
        <v>1.887642628104674E-2</v>
      </c>
      <c r="E22" s="371">
        <v>11</v>
      </c>
      <c r="F22" s="371">
        <v>25638</v>
      </c>
      <c r="G22" s="9">
        <f t="shared" si="1"/>
        <v>1.8406308601097574E-2</v>
      </c>
    </row>
    <row r="23" spans="1:7" x14ac:dyDescent="0.25">
      <c r="A23">
        <v>12</v>
      </c>
      <c r="B23" s="6">
        <v>16892.030641543999</v>
      </c>
      <c r="C23" s="9">
        <f t="shared" si="0"/>
        <v>1.358509470802244E-2</v>
      </c>
      <c r="E23" s="371">
        <v>12</v>
      </c>
      <c r="F23" s="371">
        <v>19068</v>
      </c>
      <c r="G23" s="9">
        <f t="shared" si="1"/>
        <v>1.3689503565244111E-2</v>
      </c>
    </row>
    <row r="24" spans="1:7" x14ac:dyDescent="0.25">
      <c r="A24">
        <v>13</v>
      </c>
      <c r="B24" s="6">
        <v>15943.151933671101</v>
      </c>
      <c r="C24" s="9">
        <f t="shared" si="0"/>
        <v>1.2821977035172835E-2</v>
      </c>
      <c r="E24" s="371">
        <v>13</v>
      </c>
      <c r="F24" s="371">
        <v>18279</v>
      </c>
      <c r="G24" s="9">
        <f t="shared" si="1"/>
        <v>1.3123056202490933E-2</v>
      </c>
    </row>
    <row r="25" spans="1:7" x14ac:dyDescent="0.25">
      <c r="A25">
        <v>14</v>
      </c>
      <c r="B25" s="6">
        <v>7832.5718147952002</v>
      </c>
      <c r="C25" s="9">
        <f t="shared" si="0"/>
        <v>6.2991970692787029E-3</v>
      </c>
      <c r="E25" s="371">
        <v>14</v>
      </c>
      <c r="F25" s="371">
        <v>14324</v>
      </c>
      <c r="G25" s="9">
        <f t="shared" si="1"/>
        <v>1.0283640081212327E-2</v>
      </c>
    </row>
    <row r="26" spans="1:7" x14ac:dyDescent="0.25">
      <c r="A26">
        <v>15</v>
      </c>
      <c r="B26" s="6">
        <v>12343.4433601623</v>
      </c>
      <c r="C26" s="9">
        <f t="shared" si="0"/>
        <v>9.9269798065905208E-3</v>
      </c>
      <c r="E26" s="371">
        <v>15</v>
      </c>
      <c r="F26" s="371">
        <v>14569</v>
      </c>
      <c r="G26" s="9">
        <f t="shared" si="1"/>
        <v>1.0459533115273834E-2</v>
      </c>
    </row>
    <row r="27" spans="1:7" x14ac:dyDescent="0.25">
      <c r="A27">
        <v>16</v>
      </c>
      <c r="B27" s="6">
        <v>10817.380646547999</v>
      </c>
      <c r="C27" s="9">
        <f t="shared" si="0"/>
        <v>8.6996728631704226E-3</v>
      </c>
      <c r="E27" s="371">
        <v>16</v>
      </c>
      <c r="F27" s="371">
        <v>16228</v>
      </c>
      <c r="G27" s="9">
        <f t="shared" si="1"/>
        <v>1.1650580231633177E-2</v>
      </c>
    </row>
    <row r="28" spans="1:7" x14ac:dyDescent="0.25">
      <c r="A28">
        <v>17</v>
      </c>
      <c r="B28" s="6">
        <v>17419.788782617299</v>
      </c>
      <c r="C28" s="9">
        <f t="shared" si="0"/>
        <v>1.4009534165986584E-2</v>
      </c>
      <c r="E28" s="371">
        <v>17</v>
      </c>
      <c r="F28" s="371">
        <v>9812</v>
      </c>
      <c r="G28" s="9">
        <f t="shared" si="1"/>
        <v>7.0443365314755198E-3</v>
      </c>
    </row>
    <row r="29" spans="1:7" x14ac:dyDescent="0.25">
      <c r="A29">
        <v>18</v>
      </c>
      <c r="B29" s="6">
        <v>18966.5703644235</v>
      </c>
      <c r="C29" s="9">
        <f t="shared" si="0"/>
        <v>1.5253503865507643E-2</v>
      </c>
      <c r="E29" s="371">
        <v>18</v>
      </c>
      <c r="F29" s="371">
        <v>8012</v>
      </c>
      <c r="G29" s="9">
        <f t="shared" si="1"/>
        <v>5.7520611791869007E-3</v>
      </c>
    </row>
    <row r="30" spans="1:7" x14ac:dyDescent="0.25">
      <c r="A30">
        <v>19</v>
      </c>
      <c r="B30" s="6">
        <v>5712.8777091770999</v>
      </c>
      <c r="C30" s="9">
        <f t="shared" si="0"/>
        <v>4.5944733573741207E-3</v>
      </c>
      <c r="E30" s="371">
        <v>19</v>
      </c>
      <c r="F30" s="371">
        <v>6551</v>
      </c>
      <c r="G30" s="9">
        <f t="shared" si="1"/>
        <v>4.703164351579304E-3</v>
      </c>
    </row>
    <row r="31" spans="1:7" x14ac:dyDescent="0.25">
      <c r="A31">
        <v>20</v>
      </c>
      <c r="B31" s="6">
        <v>7905.4607745683998</v>
      </c>
      <c r="C31" s="9">
        <f t="shared" si="0"/>
        <v>6.3578166303427741E-3</v>
      </c>
      <c r="E31" s="371">
        <v>20</v>
      </c>
      <c r="F31" s="371">
        <v>6788</v>
      </c>
      <c r="G31" s="9">
        <f t="shared" si="1"/>
        <v>4.8733139396306387E-3</v>
      </c>
    </row>
    <row r="32" spans="1:7" x14ac:dyDescent="0.25">
      <c r="A32">
        <v>21</v>
      </c>
      <c r="B32" s="6">
        <v>5865.5300556841003</v>
      </c>
      <c r="C32" s="9">
        <f t="shared" si="0"/>
        <v>4.7172411067765638E-3</v>
      </c>
      <c r="E32" s="371">
        <v>21</v>
      </c>
      <c r="F32" s="371">
        <v>5313</v>
      </c>
      <c r="G32" s="9">
        <f t="shared" si="1"/>
        <v>3.8143660815052422E-3</v>
      </c>
    </row>
    <row r="33" spans="1:7" x14ac:dyDescent="0.25">
      <c r="A33">
        <v>22</v>
      </c>
      <c r="B33" s="6">
        <v>5503.4160241288</v>
      </c>
      <c r="C33" s="9">
        <f t="shared" si="0"/>
        <v>4.4260177767830701E-3</v>
      </c>
      <c r="E33" s="371">
        <v>22</v>
      </c>
      <c r="F33" s="371">
        <v>4351</v>
      </c>
      <c r="G33" s="9">
        <f t="shared" si="1"/>
        <v>3.1237166987821024E-3</v>
      </c>
    </row>
    <row r="34" spans="1:7" x14ac:dyDescent="0.25">
      <c r="A34">
        <v>23</v>
      </c>
      <c r="B34" s="6">
        <v>7207.0823968347004</v>
      </c>
      <c r="C34" s="9">
        <f t="shared" si="0"/>
        <v>5.7961590886962486E-3</v>
      </c>
      <c r="E34" s="371">
        <v>23</v>
      </c>
      <c r="F34" s="371">
        <v>4346</v>
      </c>
      <c r="G34" s="9">
        <f t="shared" si="1"/>
        <v>3.1201270450257452E-3</v>
      </c>
    </row>
    <row r="35" spans="1:7" x14ac:dyDescent="0.25">
      <c r="A35">
        <v>24</v>
      </c>
      <c r="B35" s="6">
        <v>1879.5049007176999</v>
      </c>
      <c r="C35" s="9">
        <f t="shared" si="0"/>
        <v>1.5115561072714481E-3</v>
      </c>
      <c r="E35" s="371">
        <v>24</v>
      </c>
      <c r="F35" s="371">
        <v>3639</v>
      </c>
      <c r="G35" s="9">
        <f t="shared" si="1"/>
        <v>2.6125500038768259E-3</v>
      </c>
    </row>
    <row r="36" spans="1:7" x14ac:dyDescent="0.25">
      <c r="A36">
        <v>25</v>
      </c>
      <c r="B36" s="6">
        <v>1572.4291990000002</v>
      </c>
      <c r="C36" s="9">
        <f t="shared" si="0"/>
        <v>1.2645963083644E-3</v>
      </c>
      <c r="E36" s="371">
        <v>25</v>
      </c>
      <c r="F36" s="371">
        <v>4240</v>
      </c>
      <c r="G36" s="9">
        <f t="shared" si="1"/>
        <v>3.0440263853909709E-3</v>
      </c>
    </row>
    <row r="37" spans="1:7" x14ac:dyDescent="0.25">
      <c r="A37">
        <v>26</v>
      </c>
      <c r="B37" s="6">
        <v>501.90882972869997</v>
      </c>
      <c r="C37" s="9">
        <f t="shared" si="0"/>
        <v>4.0365064043205301E-4</v>
      </c>
      <c r="E37" s="371">
        <v>26</v>
      </c>
      <c r="F37" s="371">
        <v>3480</v>
      </c>
      <c r="G37" s="9">
        <f t="shared" si="1"/>
        <v>2.4983990144246647E-3</v>
      </c>
    </row>
    <row r="38" spans="1:7" x14ac:dyDescent="0.25">
      <c r="A38">
        <v>27</v>
      </c>
      <c r="B38" s="6">
        <v>3553.5143104110002</v>
      </c>
      <c r="C38" s="9">
        <f t="shared" si="0"/>
        <v>2.8578463701409659E-3</v>
      </c>
      <c r="E38" s="371">
        <v>27</v>
      </c>
      <c r="F38" s="371">
        <v>2727</v>
      </c>
      <c r="G38" s="9">
        <f t="shared" si="1"/>
        <v>1.9577971587172588E-3</v>
      </c>
    </row>
    <row r="39" spans="1:7" x14ac:dyDescent="0.25">
      <c r="A39">
        <v>28</v>
      </c>
      <c r="B39" s="6">
        <v>2277.679470475</v>
      </c>
      <c r="C39" s="9">
        <f t="shared" si="0"/>
        <v>1.8317804399917315E-3</v>
      </c>
      <c r="E39" s="371">
        <v>28</v>
      </c>
      <c r="F39" s="371">
        <v>2105</v>
      </c>
      <c r="G39" s="9">
        <f t="shared" si="1"/>
        <v>1.5112442314264135E-3</v>
      </c>
    </row>
    <row r="40" spans="1:7" x14ac:dyDescent="0.25">
      <c r="A40">
        <v>29</v>
      </c>
      <c r="B40" s="6">
        <v>1110.1850880219999</v>
      </c>
      <c r="C40" s="9">
        <f t="shared" si="0"/>
        <v>8.9284526438880216E-4</v>
      </c>
      <c r="E40" s="371">
        <v>29</v>
      </c>
      <c r="F40" s="371">
        <v>2676</v>
      </c>
      <c r="G40" s="9">
        <f t="shared" si="1"/>
        <v>1.9211826904024145E-3</v>
      </c>
    </row>
    <row r="41" spans="1:7" x14ac:dyDescent="0.25">
      <c r="A41">
        <v>30</v>
      </c>
      <c r="B41" s="6">
        <v>0</v>
      </c>
      <c r="C41" s="9">
        <f t="shared" si="0"/>
        <v>0</v>
      </c>
      <c r="E41" s="371">
        <v>30</v>
      </c>
      <c r="F41" s="371">
        <v>1736</v>
      </c>
      <c r="G41" s="9">
        <f t="shared" si="1"/>
        <v>1.2463277842072464E-3</v>
      </c>
    </row>
    <row r="42" spans="1:7" x14ac:dyDescent="0.25">
      <c r="A42">
        <v>31</v>
      </c>
      <c r="B42" s="6">
        <v>616.47658282309999</v>
      </c>
      <c r="C42" s="9">
        <f t="shared" si="0"/>
        <v>4.9578957916005504E-4</v>
      </c>
      <c r="E42" s="371">
        <v>31</v>
      </c>
      <c r="F42" s="371">
        <v>1566</v>
      </c>
      <c r="G42" s="9">
        <f t="shared" si="1"/>
        <v>1.124279556491099E-3</v>
      </c>
    </row>
    <row r="43" spans="1:7" x14ac:dyDescent="0.25">
      <c r="A43">
        <v>32</v>
      </c>
      <c r="B43" s="6">
        <v>159.396922991</v>
      </c>
      <c r="C43" s="9">
        <f t="shared" si="0"/>
        <v>1.2819194689799393E-4</v>
      </c>
      <c r="E43" s="371">
        <v>32</v>
      </c>
      <c r="F43" s="371">
        <v>1095</v>
      </c>
      <c r="G43" s="9">
        <f t="shared" si="1"/>
        <v>7.8613417264224367E-4</v>
      </c>
    </row>
    <row r="44" spans="1:7" x14ac:dyDescent="0.25">
      <c r="A44">
        <v>33</v>
      </c>
      <c r="B44" s="6">
        <v>1202.6243344239999</v>
      </c>
      <c r="C44" s="9">
        <f t="shared" si="0"/>
        <v>9.6718777203385145E-4</v>
      </c>
      <c r="E44" s="371">
        <v>33</v>
      </c>
      <c r="F44" s="371">
        <v>1026</v>
      </c>
      <c r="G44" s="9">
        <f t="shared" si="1"/>
        <v>7.365969508045132E-4</v>
      </c>
    </row>
    <row r="45" spans="1:7" x14ac:dyDescent="0.25">
      <c r="A45">
        <v>34</v>
      </c>
      <c r="B45" s="6">
        <v>8406.9105220391993</v>
      </c>
      <c r="C45" s="9">
        <f t="shared" si="0"/>
        <v>6.7610980625911164E-3</v>
      </c>
      <c r="E45" s="371">
        <v>34</v>
      </c>
      <c r="F45" s="371">
        <v>897</v>
      </c>
      <c r="G45" s="9">
        <f t="shared" si="1"/>
        <v>6.4398388389049551E-4</v>
      </c>
    </row>
    <row r="46" spans="1:7" x14ac:dyDescent="0.25">
      <c r="A46">
        <v>35</v>
      </c>
      <c r="B46" s="6">
        <v>760.64356028099996</v>
      </c>
      <c r="C46" s="9">
        <f t="shared" si="0"/>
        <v>6.1173313172016867E-4</v>
      </c>
      <c r="E46" s="371">
        <v>35</v>
      </c>
      <c r="F46" s="371">
        <v>739</v>
      </c>
      <c r="G46" s="9">
        <f t="shared" si="1"/>
        <v>5.3055082518960552E-4</v>
      </c>
    </row>
    <row r="47" spans="1:7" x14ac:dyDescent="0.25">
      <c r="A47">
        <v>36</v>
      </c>
      <c r="B47" s="6">
        <v>0</v>
      </c>
      <c r="C47" s="9">
        <f t="shared" si="0"/>
        <v>0</v>
      </c>
      <c r="E47" s="371">
        <v>36</v>
      </c>
      <c r="F47" s="371">
        <v>996</v>
      </c>
      <c r="G47" s="9">
        <f t="shared" si="1"/>
        <v>7.1505902826636959E-4</v>
      </c>
    </row>
    <row r="48" spans="1:7" x14ac:dyDescent="0.25">
      <c r="A48">
        <v>37</v>
      </c>
      <c r="B48" s="6">
        <v>205.011586153</v>
      </c>
      <c r="C48" s="9">
        <f t="shared" si="0"/>
        <v>1.648766731029229E-4</v>
      </c>
      <c r="E48" s="371">
        <v>37</v>
      </c>
      <c r="F48" s="371">
        <v>692</v>
      </c>
      <c r="G48" s="9">
        <f t="shared" si="1"/>
        <v>4.9680807987984715E-4</v>
      </c>
    </row>
    <row r="49" spans="1:7" x14ac:dyDescent="0.25">
      <c r="A49">
        <v>38</v>
      </c>
      <c r="B49" s="6">
        <v>1198.864695919</v>
      </c>
      <c r="C49" s="9">
        <f t="shared" si="0"/>
        <v>9.6416415419641171E-4</v>
      </c>
      <c r="E49" s="371">
        <v>38</v>
      </c>
      <c r="F49" s="371">
        <v>618</v>
      </c>
      <c r="G49" s="9">
        <f t="shared" si="1"/>
        <v>4.4368120428575939E-4</v>
      </c>
    </row>
    <row r="50" spans="1:7" x14ac:dyDescent="0.25">
      <c r="A50">
        <v>39</v>
      </c>
      <c r="B50" s="6">
        <v>1778.0579449699999</v>
      </c>
      <c r="C50" s="9">
        <f t="shared" si="0"/>
        <v>1.4299693205245885E-3</v>
      </c>
      <c r="E50" s="371">
        <v>39</v>
      </c>
      <c r="F50" s="371">
        <v>539</v>
      </c>
      <c r="G50" s="9">
        <f t="shared" si="1"/>
        <v>3.8696467493531446E-4</v>
      </c>
    </row>
    <row r="51" spans="1:7" x14ac:dyDescent="0.25">
      <c r="A51">
        <v>40</v>
      </c>
      <c r="B51" s="6">
        <v>0</v>
      </c>
      <c r="C51" s="9">
        <f t="shared" si="0"/>
        <v>0</v>
      </c>
      <c r="E51" s="371">
        <v>40</v>
      </c>
      <c r="F51" s="371">
        <v>402</v>
      </c>
      <c r="G51" s="9">
        <f t="shared" si="1"/>
        <v>2.8860816201112504E-4</v>
      </c>
    </row>
    <row r="52" spans="1:7" x14ac:dyDescent="0.25">
      <c r="A52">
        <v>41</v>
      </c>
      <c r="B52" s="6">
        <v>0</v>
      </c>
      <c r="C52" s="9">
        <f t="shared" si="0"/>
        <v>0</v>
      </c>
      <c r="E52" s="371">
        <v>41</v>
      </c>
      <c r="F52" s="371">
        <v>356</v>
      </c>
      <c r="G52" s="9">
        <f t="shared" si="1"/>
        <v>2.5558334745263809E-4</v>
      </c>
    </row>
    <row r="53" spans="1:7" x14ac:dyDescent="0.25">
      <c r="A53">
        <v>42</v>
      </c>
      <c r="B53" s="6">
        <v>317.06569707699998</v>
      </c>
      <c r="C53" s="9">
        <f t="shared" si="0"/>
        <v>2.5499406287262619E-4</v>
      </c>
      <c r="E53" s="371">
        <v>42</v>
      </c>
      <c r="F53" s="371">
        <v>237</v>
      </c>
      <c r="G53" s="9">
        <f t="shared" si="1"/>
        <v>1.7014958805133492E-4</v>
      </c>
    </row>
    <row r="54" spans="1:7" x14ac:dyDescent="0.25">
      <c r="A54">
        <v>43</v>
      </c>
      <c r="B54" s="6">
        <v>794.03270519500006</v>
      </c>
      <c r="C54" s="9">
        <f t="shared" si="0"/>
        <v>6.3858571714947836E-4</v>
      </c>
      <c r="E54" s="371">
        <v>43</v>
      </c>
      <c r="F54" s="371">
        <v>242</v>
      </c>
      <c r="G54" s="9">
        <f t="shared" si="1"/>
        <v>1.7373924180769221E-4</v>
      </c>
    </row>
    <row r="55" spans="1:7" x14ac:dyDescent="0.25">
      <c r="A55">
        <v>44</v>
      </c>
      <c r="B55" s="6">
        <v>387.67438217400002</v>
      </c>
      <c r="C55" s="9">
        <f t="shared" si="0"/>
        <v>3.117797563518088E-4</v>
      </c>
      <c r="E55" s="371">
        <v>44</v>
      </c>
      <c r="F55" s="371">
        <v>183</v>
      </c>
      <c r="G55" s="9">
        <f t="shared" si="1"/>
        <v>1.3138132748267633E-4</v>
      </c>
    </row>
    <row r="56" spans="1:7" x14ac:dyDescent="0.25">
      <c r="A56">
        <v>45</v>
      </c>
      <c r="B56" s="6">
        <v>343.96306096299998</v>
      </c>
      <c r="C56" s="9">
        <f t="shared" si="0"/>
        <v>2.766257567489554E-4</v>
      </c>
      <c r="E56" s="371">
        <v>45</v>
      </c>
      <c r="F56" s="371">
        <v>211</v>
      </c>
      <c r="G56" s="9">
        <f t="shared" si="1"/>
        <v>1.5148338851827709E-4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165</v>
      </c>
      <c r="G57" s="9">
        <f t="shared" si="1"/>
        <v>1.1845857395979013E-4</v>
      </c>
    </row>
    <row r="58" spans="1:7" x14ac:dyDescent="0.25">
      <c r="A58">
        <v>47</v>
      </c>
      <c r="B58" s="6">
        <v>0</v>
      </c>
      <c r="C58" s="9">
        <f t="shared" si="0"/>
        <v>0</v>
      </c>
      <c r="E58" s="371">
        <v>47</v>
      </c>
      <c r="F58" s="371">
        <v>162</v>
      </c>
      <c r="G58" s="9">
        <f t="shared" si="1"/>
        <v>1.1630478170597576E-4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144</v>
      </c>
      <c r="G59" s="9">
        <f t="shared" si="1"/>
        <v>1.0338202818308958E-4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104</v>
      </c>
      <c r="G60" s="9">
        <f t="shared" si="1"/>
        <v>7.4664798132231355E-5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125</v>
      </c>
      <c r="G61" s="9">
        <f t="shared" si="1"/>
        <v>8.9741343908931925E-5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69</v>
      </c>
      <c r="G62" s="9">
        <f t="shared" si="1"/>
        <v>4.953722183773042E-5</v>
      </c>
    </row>
    <row r="63" spans="1:7" x14ac:dyDescent="0.25">
      <c r="A63">
        <v>52</v>
      </c>
      <c r="B63" s="6">
        <v>554.66122939700006</v>
      </c>
      <c r="C63" s="9">
        <f t="shared" si="0"/>
        <v>4.4607575561073375E-4</v>
      </c>
      <c r="E63" s="371">
        <v>52</v>
      </c>
      <c r="F63" s="371">
        <v>61</v>
      </c>
      <c r="G63" s="9">
        <f t="shared" si="1"/>
        <v>4.3793775827558778E-5</v>
      </c>
    </row>
    <row r="64" spans="1:7" x14ac:dyDescent="0.25">
      <c r="A64">
        <v>53</v>
      </c>
      <c r="B64" s="6">
        <v>4.59375</v>
      </c>
      <c r="C64" s="9">
        <f t="shared" si="0"/>
        <v>3.6944361598241738E-6</v>
      </c>
      <c r="E64" s="371">
        <v>53</v>
      </c>
      <c r="F64" s="371">
        <v>43</v>
      </c>
      <c r="G64" s="9">
        <f t="shared" si="1"/>
        <v>3.0871022304672577E-5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60</v>
      </c>
      <c r="G65" s="9">
        <f t="shared" si="1"/>
        <v>4.3075845076287319E-5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42</v>
      </c>
      <c r="G66" s="9">
        <f t="shared" si="1"/>
        <v>3.0153091553401126E-5</v>
      </c>
    </row>
    <row r="67" spans="1:7" x14ac:dyDescent="0.25">
      <c r="A67">
        <v>56</v>
      </c>
      <c r="B67" s="6">
        <v>248.013120292</v>
      </c>
      <c r="C67" s="9">
        <f t="shared" si="0"/>
        <v>1.9945983993852241E-4</v>
      </c>
      <c r="E67" s="371">
        <v>56</v>
      </c>
      <c r="F67" s="371">
        <v>36</v>
      </c>
      <c r="G67" s="9">
        <f t="shared" si="1"/>
        <v>2.5845507045772394E-5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27</v>
      </c>
      <c r="G68" s="9">
        <f t="shared" si="1"/>
        <v>1.9384130284329294E-5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22</v>
      </c>
      <c r="G69" s="9">
        <f t="shared" si="1"/>
        <v>1.5794476527972018E-5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29</v>
      </c>
      <c r="G70" s="9">
        <f t="shared" si="1"/>
        <v>2.0819991786872204E-5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17</v>
      </c>
      <c r="G71" s="9">
        <f t="shared" si="1"/>
        <v>1.2204822771614742E-5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21</v>
      </c>
      <c r="G72" s="9">
        <f t="shared" si="1"/>
        <v>1.5076545776700563E-5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8</v>
      </c>
      <c r="G73" s="9">
        <f t="shared" si="1"/>
        <v>5.7434460101716425E-6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15</v>
      </c>
      <c r="G74" s="9">
        <f t="shared" si="1"/>
        <v>1.076896126907183E-5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7</v>
      </c>
      <c r="G75" s="9">
        <f t="shared" si="1"/>
        <v>5.0255152589001873E-6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11</v>
      </c>
      <c r="G76" s="9">
        <f t="shared" si="1"/>
        <v>7.897238263986009E-6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7</v>
      </c>
      <c r="G77" s="9">
        <f t="shared" ref="G77:G102" si="3">F77/F$102</f>
        <v>5.0255152589001873E-6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3</v>
      </c>
      <c r="G78" s="9">
        <f t="shared" si="3"/>
        <v>2.153792253814366E-6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3</v>
      </c>
      <c r="G79" s="9">
        <f t="shared" si="3"/>
        <v>2.153792253814366E-6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2</v>
      </c>
      <c r="G80" s="9">
        <f t="shared" si="3"/>
        <v>1.4358615025429106E-6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2</v>
      </c>
      <c r="G81" s="9">
        <f t="shared" si="3"/>
        <v>1.4358615025429106E-6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2</v>
      </c>
      <c r="G82" s="9">
        <f t="shared" si="3"/>
        <v>1.4358615025429106E-6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5</v>
      </c>
      <c r="G83" s="9">
        <f t="shared" si="3"/>
        <v>3.5896537563572769E-6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3</v>
      </c>
      <c r="G84" s="9">
        <f t="shared" si="3"/>
        <v>2.153792253814366E-6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</v>
      </c>
      <c r="G85" s="9">
        <f t="shared" si="3"/>
        <v>7.1793075127145531E-7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2</v>
      </c>
      <c r="G86" s="9">
        <f t="shared" si="3"/>
        <v>1.4358615025429106E-6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</v>
      </c>
      <c r="G87" s="9">
        <f t="shared" si="3"/>
        <v>7.1793075127145531E-7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1</v>
      </c>
      <c r="G92" s="9">
        <f t="shared" si="3"/>
        <v>7.1793075127145531E-7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1</v>
      </c>
      <c r="G96" s="9">
        <f t="shared" si="3"/>
        <v>7.1793075127145531E-7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81.0922660552</v>
      </c>
      <c r="C101" s="9">
        <f t="shared" si="2"/>
        <v>6.5216914284933509E-5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1243423.8409518562</v>
      </c>
      <c r="C102" s="9">
        <f t="shared" si="2"/>
        <v>1</v>
      </c>
      <c r="F102" s="6">
        <f>SUM(F11:F101)</f>
        <v>1392892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6421.6662774649994</v>
      </c>
      <c r="C11" s="9">
        <f>B11/B$102</f>
        <v>5.1645030969883401E-3</v>
      </c>
      <c r="E11" s="371">
        <v>0</v>
      </c>
      <c r="F11" s="371">
        <v>6760</v>
      </c>
      <c r="G11" s="9">
        <f>F11/F$102</f>
        <v>4.8532118785950384E-3</v>
      </c>
      <c r="K11" s="6">
        <v>25.652639512133877</v>
      </c>
      <c r="L11" s="6">
        <v>19.120281822654054</v>
      </c>
    </row>
    <row r="12" spans="1:12" x14ac:dyDescent="0.25">
      <c r="A12">
        <v>1</v>
      </c>
      <c r="B12" s="6">
        <v>7648.6649553169</v>
      </c>
      <c r="C12" s="9">
        <f>B12/B$102</f>
        <v>6.1512934716305197E-3</v>
      </c>
      <c r="E12" s="371">
        <v>1</v>
      </c>
      <c r="F12" s="371">
        <v>31388</v>
      </c>
      <c r="G12" s="9">
        <f>F12/F$102</f>
        <v>2.2534410420908441E-2</v>
      </c>
      <c r="K12" s="6"/>
      <c r="L12" s="371"/>
    </row>
    <row r="13" spans="1:12" x14ac:dyDescent="0.25">
      <c r="A13">
        <v>2</v>
      </c>
      <c r="B13" s="6">
        <v>7659.3953825730005</v>
      </c>
      <c r="C13" s="9">
        <f t="shared" ref="C13:C76" si="0">B13/B$102</f>
        <v>6.1599232138814693E-3</v>
      </c>
      <c r="E13" s="371">
        <v>2</v>
      </c>
      <c r="F13" s="371">
        <v>41738</v>
      </c>
      <c r="G13" s="9">
        <f t="shared" ref="G13:G76" si="1">F13/F$102</f>
        <v>2.9964993696568003E-2</v>
      </c>
    </row>
    <row r="14" spans="1:12" x14ac:dyDescent="0.25">
      <c r="A14">
        <v>3</v>
      </c>
      <c r="B14" s="6">
        <v>11138.1608098898</v>
      </c>
      <c r="C14" s="9">
        <f t="shared" si="0"/>
        <v>8.9576542149645434E-3</v>
      </c>
      <c r="E14" s="371">
        <v>3</v>
      </c>
      <c r="F14" s="371">
        <v>49899</v>
      </c>
      <c r="G14" s="9">
        <f t="shared" si="1"/>
        <v>3.5824026557694351E-2</v>
      </c>
    </row>
    <row r="15" spans="1:12" x14ac:dyDescent="0.25">
      <c r="A15">
        <v>4</v>
      </c>
      <c r="B15" s="6">
        <v>15713.269778259701</v>
      </c>
      <c r="C15" s="9">
        <f t="shared" si="0"/>
        <v>1.2637098679265307E-2</v>
      </c>
      <c r="E15" s="371">
        <v>4</v>
      </c>
      <c r="F15" s="371">
        <v>52581</v>
      </c>
      <c r="G15" s="9">
        <f t="shared" si="1"/>
        <v>3.7749516832604392E-2</v>
      </c>
    </row>
    <row r="16" spans="1:12" x14ac:dyDescent="0.25">
      <c r="A16">
        <v>5</v>
      </c>
      <c r="B16" s="6">
        <v>17497.726012351799</v>
      </c>
      <c r="C16" s="9">
        <f t="shared" si="0"/>
        <v>1.4072213702253828E-2</v>
      </c>
      <c r="E16" s="371">
        <v>5</v>
      </c>
      <c r="F16" s="371">
        <v>51918</v>
      </c>
      <c r="G16" s="9">
        <f t="shared" si="1"/>
        <v>3.7273528744511418E-2</v>
      </c>
    </row>
    <row r="17" spans="1:7" x14ac:dyDescent="0.25">
      <c r="A17">
        <v>6</v>
      </c>
      <c r="B17" s="6">
        <v>17900.710993735502</v>
      </c>
      <c r="C17" s="9">
        <f t="shared" si="0"/>
        <v>1.4396306717130568E-2</v>
      </c>
      <c r="E17" s="371">
        <v>6</v>
      </c>
      <c r="F17" s="371">
        <v>49921</v>
      </c>
      <c r="G17" s="9">
        <f t="shared" si="1"/>
        <v>3.583982103422232E-2</v>
      </c>
    </row>
    <row r="18" spans="1:7" x14ac:dyDescent="0.25">
      <c r="A18">
        <v>7</v>
      </c>
      <c r="B18" s="6">
        <v>23731.144678381999</v>
      </c>
      <c r="C18" s="9">
        <f t="shared" si="0"/>
        <v>1.908532223430388E-2</v>
      </c>
      <c r="E18" s="371">
        <v>7</v>
      </c>
      <c r="F18" s="371">
        <v>47862</v>
      </c>
      <c r="G18" s="9">
        <f t="shared" si="1"/>
        <v>3.4361601617354395E-2</v>
      </c>
    </row>
    <row r="19" spans="1:7" x14ac:dyDescent="0.25">
      <c r="A19">
        <v>8</v>
      </c>
      <c r="B19" s="6">
        <v>13210.066266456201</v>
      </c>
      <c r="C19" s="9">
        <f t="shared" si="0"/>
        <v>1.0623944813816446E-2</v>
      </c>
      <c r="E19" s="371">
        <v>8</v>
      </c>
      <c r="F19" s="371">
        <v>43680</v>
      </c>
      <c r="G19" s="9">
        <f t="shared" si="1"/>
        <v>3.1359215215537167E-2</v>
      </c>
    </row>
    <row r="20" spans="1:7" x14ac:dyDescent="0.25">
      <c r="A20">
        <v>9</v>
      </c>
      <c r="B20" s="6">
        <v>25852.263038326098</v>
      </c>
      <c r="C20" s="9">
        <f t="shared" si="0"/>
        <v>2.0791191375690424E-2</v>
      </c>
      <c r="E20" s="371">
        <v>9</v>
      </c>
      <c r="F20" s="371">
        <v>39426</v>
      </c>
      <c r="G20" s="9">
        <f t="shared" si="1"/>
        <v>2.8305137799628399E-2</v>
      </c>
    </row>
    <row r="21" spans="1:7" x14ac:dyDescent="0.25">
      <c r="A21">
        <v>10</v>
      </c>
      <c r="B21" s="6">
        <v>13020.6747208126</v>
      </c>
      <c r="C21" s="9">
        <f t="shared" si="0"/>
        <v>1.0471630261524591E-2</v>
      </c>
      <c r="E21" s="371">
        <v>10</v>
      </c>
      <c r="F21" s="371">
        <v>35164</v>
      </c>
      <c r="G21" s="9">
        <f t="shared" si="1"/>
        <v>2.5245316937709456E-2</v>
      </c>
    </row>
    <row r="22" spans="1:7" x14ac:dyDescent="0.25">
      <c r="A22">
        <v>11</v>
      </c>
      <c r="B22" s="6">
        <v>18581.033723045901</v>
      </c>
      <c r="C22" s="9">
        <f t="shared" si="0"/>
        <v>1.4943443346575925E-2</v>
      </c>
      <c r="E22" s="371">
        <v>11</v>
      </c>
      <c r="F22" s="371">
        <v>30724</v>
      </c>
      <c r="G22" s="9">
        <f t="shared" si="1"/>
        <v>2.2057704402064195E-2</v>
      </c>
    </row>
    <row r="23" spans="1:7" x14ac:dyDescent="0.25">
      <c r="A23">
        <v>12</v>
      </c>
      <c r="B23" s="6">
        <v>26721.018614271201</v>
      </c>
      <c r="C23" s="9">
        <f t="shared" si="0"/>
        <v>2.1489871541964266E-2</v>
      </c>
      <c r="E23" s="371">
        <v>12</v>
      </c>
      <c r="F23" s="371">
        <v>27771</v>
      </c>
      <c r="G23" s="9">
        <f t="shared" si="1"/>
        <v>1.9937654893559587E-2</v>
      </c>
    </row>
    <row r="24" spans="1:7" x14ac:dyDescent="0.25">
      <c r="A24">
        <v>13</v>
      </c>
      <c r="B24" s="6">
        <v>15262.9778604272</v>
      </c>
      <c r="C24" s="9">
        <f t="shared" si="0"/>
        <v>1.2274959959544607E-2</v>
      </c>
      <c r="E24" s="371">
        <v>13</v>
      </c>
      <c r="F24" s="371">
        <v>24643</v>
      </c>
      <c r="G24" s="9">
        <f t="shared" si="1"/>
        <v>1.7691967503582474E-2</v>
      </c>
    </row>
    <row r="25" spans="1:7" x14ac:dyDescent="0.25">
      <c r="A25">
        <v>14</v>
      </c>
      <c r="B25" s="6">
        <v>19788.642237004598</v>
      </c>
      <c r="C25" s="9">
        <f t="shared" si="0"/>
        <v>1.5914639550305025E-2</v>
      </c>
      <c r="E25" s="371">
        <v>14</v>
      </c>
      <c r="F25" s="371">
        <v>21945</v>
      </c>
      <c r="G25" s="9">
        <f t="shared" si="1"/>
        <v>1.5754990336652088E-2</v>
      </c>
    </row>
    <row r="26" spans="1:7" x14ac:dyDescent="0.25">
      <c r="A26">
        <v>15</v>
      </c>
      <c r="B26" s="6">
        <v>11436.907732175699</v>
      </c>
      <c r="C26" s="9">
        <f t="shared" si="0"/>
        <v>9.1979157512538951E-3</v>
      </c>
      <c r="E26" s="371">
        <v>15</v>
      </c>
      <c r="F26" s="371">
        <v>21330</v>
      </c>
      <c r="G26" s="9">
        <f t="shared" si="1"/>
        <v>1.5313462924620143E-2</v>
      </c>
    </row>
    <row r="27" spans="1:7" x14ac:dyDescent="0.25">
      <c r="A27">
        <v>16</v>
      </c>
      <c r="B27" s="6">
        <v>53589.186588311102</v>
      </c>
      <c r="C27" s="9">
        <f t="shared" si="0"/>
        <v>4.309808516079916E-2</v>
      </c>
      <c r="E27" s="371">
        <v>16</v>
      </c>
      <c r="F27" s="371">
        <v>18732</v>
      </c>
      <c r="G27" s="9">
        <f t="shared" si="1"/>
        <v>1.3448278832816902E-2</v>
      </c>
    </row>
    <row r="28" spans="1:7" x14ac:dyDescent="0.25">
      <c r="A28">
        <v>17</v>
      </c>
      <c r="B28" s="6">
        <v>20646.848872425999</v>
      </c>
      <c r="C28" s="9">
        <f t="shared" si="0"/>
        <v>1.6604835931584339E-2</v>
      </c>
      <c r="E28" s="371">
        <v>17</v>
      </c>
      <c r="F28" s="371">
        <v>17649</v>
      </c>
      <c r="G28" s="9">
        <f t="shared" si="1"/>
        <v>1.2670759829189915E-2</v>
      </c>
    </row>
    <row r="29" spans="1:7" x14ac:dyDescent="0.25">
      <c r="A29">
        <v>18</v>
      </c>
      <c r="B29" s="6">
        <v>103552.3413162795</v>
      </c>
      <c r="C29" s="9">
        <f t="shared" si="0"/>
        <v>8.3280003089701821E-2</v>
      </c>
      <c r="E29" s="371">
        <v>18</v>
      </c>
      <c r="F29" s="371">
        <v>155580</v>
      </c>
      <c r="G29" s="9">
        <f t="shared" si="1"/>
        <v>0.11169566628281302</v>
      </c>
    </row>
    <row r="30" spans="1:7" x14ac:dyDescent="0.25">
      <c r="A30">
        <v>19</v>
      </c>
      <c r="B30" s="6">
        <v>41570.253128980599</v>
      </c>
      <c r="C30" s="9">
        <f t="shared" si="0"/>
        <v>3.3432086276516983E-2</v>
      </c>
      <c r="E30" s="371">
        <v>19</v>
      </c>
      <c r="F30" s="371">
        <v>50729</v>
      </c>
      <c r="G30" s="9">
        <f t="shared" si="1"/>
        <v>3.641990908124966E-2</v>
      </c>
    </row>
    <row r="31" spans="1:7" x14ac:dyDescent="0.25">
      <c r="A31">
        <v>20</v>
      </c>
      <c r="B31" s="6">
        <v>70021.092229185393</v>
      </c>
      <c r="C31" s="9">
        <f t="shared" si="0"/>
        <v>5.6313133079049997E-2</v>
      </c>
      <c r="E31" s="371">
        <v>20</v>
      </c>
      <c r="F31" s="371">
        <v>50596</v>
      </c>
      <c r="G31" s="9">
        <f t="shared" si="1"/>
        <v>3.6324424291330558E-2</v>
      </c>
    </row>
    <row r="32" spans="1:7" x14ac:dyDescent="0.25">
      <c r="A32">
        <v>21</v>
      </c>
      <c r="B32" s="6">
        <v>71969.4357187571</v>
      </c>
      <c r="C32" s="9">
        <f t="shared" si="0"/>
        <v>5.7880051313527657E-2</v>
      </c>
      <c r="E32" s="371">
        <v>21</v>
      </c>
      <c r="F32" s="371">
        <v>56933</v>
      </c>
      <c r="G32" s="9">
        <f t="shared" si="1"/>
        <v>4.0873951462137771E-2</v>
      </c>
    </row>
    <row r="33" spans="1:7" x14ac:dyDescent="0.25">
      <c r="A33">
        <v>22</v>
      </c>
      <c r="B33" s="6">
        <v>53096.899293280898</v>
      </c>
      <c r="C33" s="9">
        <f t="shared" si="0"/>
        <v>4.2702172456846703E-2</v>
      </c>
      <c r="E33" s="371">
        <v>22</v>
      </c>
      <c r="F33" s="371">
        <v>54106</v>
      </c>
      <c r="G33" s="9">
        <f t="shared" si="1"/>
        <v>3.8844361228293364E-2</v>
      </c>
    </row>
    <row r="34" spans="1:7" x14ac:dyDescent="0.25">
      <c r="A34">
        <v>23</v>
      </c>
      <c r="B34" s="6">
        <v>30341.055698333199</v>
      </c>
      <c r="C34" s="9">
        <f t="shared" si="0"/>
        <v>2.4401217588933103E-2</v>
      </c>
      <c r="E34" s="371">
        <v>23</v>
      </c>
      <c r="F34" s="371">
        <v>46406</v>
      </c>
      <c r="G34" s="9">
        <f t="shared" si="1"/>
        <v>3.3316294443503154E-2</v>
      </c>
    </row>
    <row r="35" spans="1:7" x14ac:dyDescent="0.25">
      <c r="A35">
        <v>24</v>
      </c>
      <c r="B35" s="6">
        <v>49422.416375988498</v>
      </c>
      <c r="C35" s="9">
        <f t="shared" si="0"/>
        <v>3.9747039382930782E-2</v>
      </c>
      <c r="E35" s="371">
        <v>24</v>
      </c>
      <c r="F35" s="371">
        <v>29498</v>
      </c>
      <c r="G35" s="9">
        <f t="shared" si="1"/>
        <v>2.1177521301005389E-2</v>
      </c>
    </row>
    <row r="36" spans="1:7" x14ac:dyDescent="0.25">
      <c r="A36">
        <v>25</v>
      </c>
      <c r="B36" s="6">
        <v>49744.731541131798</v>
      </c>
      <c r="C36" s="9">
        <f t="shared" si="0"/>
        <v>4.0006255230759923E-2</v>
      </c>
      <c r="E36" s="371">
        <v>25</v>
      </c>
      <c r="F36" s="371">
        <v>30044</v>
      </c>
      <c r="G36" s="9">
        <f t="shared" si="1"/>
        <v>2.1569511491199605E-2</v>
      </c>
    </row>
    <row r="37" spans="1:7" x14ac:dyDescent="0.25">
      <c r="A37">
        <v>26</v>
      </c>
      <c r="B37" s="6">
        <v>68052.135464126506</v>
      </c>
      <c r="C37" s="9">
        <f t="shared" si="0"/>
        <v>5.4729637009397973E-2</v>
      </c>
      <c r="E37" s="371">
        <v>26</v>
      </c>
      <c r="F37" s="371">
        <v>25048</v>
      </c>
      <c r="G37" s="9">
        <f t="shared" si="1"/>
        <v>1.7982729457847412E-2</v>
      </c>
    </row>
    <row r="38" spans="1:7" x14ac:dyDescent="0.25">
      <c r="A38">
        <v>27</v>
      </c>
      <c r="B38" s="6">
        <v>15320.281746426599</v>
      </c>
      <c r="C38" s="9">
        <f t="shared" si="0"/>
        <v>1.2321045521130376E-2</v>
      </c>
      <c r="E38" s="371">
        <v>27</v>
      </c>
      <c r="F38" s="371">
        <v>21691</v>
      </c>
      <c r="G38" s="9">
        <f t="shared" si="1"/>
        <v>1.5572635925829139E-2</v>
      </c>
    </row>
    <row r="39" spans="1:7" x14ac:dyDescent="0.25">
      <c r="A39">
        <v>28</v>
      </c>
      <c r="B39" s="6">
        <v>36574.735817234498</v>
      </c>
      <c r="C39" s="9">
        <f t="shared" si="0"/>
        <v>2.9414536389487336E-2</v>
      </c>
      <c r="E39" s="371">
        <v>28</v>
      </c>
      <c r="F39" s="371">
        <v>26655</v>
      </c>
      <c r="G39" s="9">
        <f t="shared" si="1"/>
        <v>1.9136444175140644E-2</v>
      </c>
    </row>
    <row r="40" spans="1:7" x14ac:dyDescent="0.25">
      <c r="A40">
        <v>29</v>
      </c>
      <c r="B40" s="6">
        <v>35161.0764728262</v>
      </c>
      <c r="C40" s="9">
        <f t="shared" si="0"/>
        <v>2.8277627720174611E-2</v>
      </c>
      <c r="E40" s="371">
        <v>29</v>
      </c>
      <c r="F40" s="371">
        <v>22124</v>
      </c>
      <c r="G40" s="9">
        <f t="shared" si="1"/>
        <v>1.588349994112968E-2</v>
      </c>
    </row>
    <row r="41" spans="1:7" x14ac:dyDescent="0.25">
      <c r="A41">
        <v>30</v>
      </c>
      <c r="B41" s="6">
        <v>13374.633902285899</v>
      </c>
      <c r="C41" s="9">
        <f t="shared" si="0"/>
        <v>1.0756295208275443E-2</v>
      </c>
      <c r="E41" s="371">
        <v>30</v>
      </c>
      <c r="F41" s="371">
        <v>16563</v>
      </c>
      <c r="G41" s="9">
        <f t="shared" si="1"/>
        <v>1.1891087033309116E-2</v>
      </c>
    </row>
    <row r="42" spans="1:7" x14ac:dyDescent="0.25">
      <c r="A42">
        <v>31</v>
      </c>
      <c r="B42" s="6">
        <v>15754.325805009799</v>
      </c>
      <c r="C42" s="9">
        <f t="shared" si="0"/>
        <v>1.2670117208746509E-2</v>
      </c>
      <c r="E42" s="371">
        <v>31</v>
      </c>
      <c r="F42" s="371">
        <v>13030</v>
      </c>
      <c r="G42" s="9">
        <f t="shared" si="1"/>
        <v>9.3546376890670628E-3</v>
      </c>
    </row>
    <row r="43" spans="1:7" x14ac:dyDescent="0.25">
      <c r="A43">
        <v>32</v>
      </c>
      <c r="B43" s="6">
        <v>11668.721304254001</v>
      </c>
      <c r="C43" s="9">
        <f t="shared" si="0"/>
        <v>9.3843474123203631E-3</v>
      </c>
      <c r="E43" s="371">
        <v>32</v>
      </c>
      <c r="F43" s="371">
        <v>15694</v>
      </c>
      <c r="G43" s="9">
        <f t="shared" si="1"/>
        <v>1.1267205210454221E-2</v>
      </c>
    </row>
    <row r="44" spans="1:7" x14ac:dyDescent="0.25">
      <c r="A44">
        <v>33</v>
      </c>
      <c r="B44" s="6">
        <v>11849.064694574399</v>
      </c>
      <c r="C44" s="9">
        <f t="shared" si="0"/>
        <v>9.5293851576014436E-3</v>
      </c>
      <c r="E44" s="371">
        <v>33</v>
      </c>
      <c r="F44" s="371">
        <v>17048</v>
      </c>
      <c r="G44" s="9">
        <f t="shared" si="1"/>
        <v>1.2239283447675772E-2</v>
      </c>
    </row>
    <row r="45" spans="1:7" x14ac:dyDescent="0.25">
      <c r="A45">
        <v>34</v>
      </c>
      <c r="B45" s="6">
        <v>23530.511589069101</v>
      </c>
      <c r="C45" s="9">
        <f t="shared" si="0"/>
        <v>1.8923966884096578E-2</v>
      </c>
      <c r="E45" s="371">
        <v>34</v>
      </c>
      <c r="F45" s="371">
        <v>18182</v>
      </c>
      <c r="G45" s="9">
        <f t="shared" si="1"/>
        <v>1.3053416919617601E-2</v>
      </c>
    </row>
    <row r="46" spans="1:7" x14ac:dyDescent="0.25">
      <c r="A46">
        <v>35</v>
      </c>
      <c r="B46" s="6">
        <v>5695.0917906068998</v>
      </c>
      <c r="C46" s="9">
        <f t="shared" si="0"/>
        <v>4.5801693702826511E-3</v>
      </c>
      <c r="E46" s="371">
        <v>35</v>
      </c>
      <c r="F46" s="371">
        <v>10685</v>
      </c>
      <c r="G46" s="9">
        <f t="shared" si="1"/>
        <v>7.6710900773355002E-3</v>
      </c>
    </row>
    <row r="47" spans="1:7" x14ac:dyDescent="0.25">
      <c r="A47">
        <v>36</v>
      </c>
      <c r="B47" s="6">
        <v>8840.319108272899</v>
      </c>
      <c r="C47" s="9">
        <f t="shared" si="0"/>
        <v>7.1096586836436439E-3</v>
      </c>
      <c r="E47" s="371">
        <v>36</v>
      </c>
      <c r="F47" s="371">
        <v>7069</v>
      </c>
      <c r="G47" s="9">
        <f t="shared" si="1"/>
        <v>5.0750524807379183E-3</v>
      </c>
    </row>
    <row r="48" spans="1:7" x14ac:dyDescent="0.25">
      <c r="A48">
        <v>37</v>
      </c>
      <c r="B48" s="6">
        <v>13417.145011435599</v>
      </c>
      <c r="C48" s="9">
        <f t="shared" si="0"/>
        <v>1.0790483960131091E-2</v>
      </c>
      <c r="E48" s="371">
        <v>37</v>
      </c>
      <c r="F48" s="371">
        <v>8649</v>
      </c>
      <c r="G48" s="9">
        <f t="shared" si="1"/>
        <v>6.2093830677468174E-3</v>
      </c>
    </row>
    <row r="49" spans="1:7" x14ac:dyDescent="0.25">
      <c r="A49">
        <v>38</v>
      </c>
      <c r="B49" s="6">
        <v>10524.5438093544</v>
      </c>
      <c r="C49" s="9">
        <f t="shared" si="0"/>
        <v>8.4641644005295329E-3</v>
      </c>
      <c r="E49" s="371">
        <v>38</v>
      </c>
      <c r="F49" s="371">
        <v>7854</v>
      </c>
      <c r="G49" s="9">
        <f t="shared" si="1"/>
        <v>5.6386281204860106E-3</v>
      </c>
    </row>
    <row r="50" spans="1:7" x14ac:dyDescent="0.25">
      <c r="A50">
        <v>39</v>
      </c>
      <c r="B50" s="6">
        <v>8018.5525139095998</v>
      </c>
      <c r="C50" s="9">
        <f t="shared" si="0"/>
        <v>6.4487685130528768E-3</v>
      </c>
      <c r="E50" s="371">
        <v>39</v>
      </c>
      <c r="F50" s="371">
        <v>8701</v>
      </c>
      <c r="G50" s="9">
        <f t="shared" si="1"/>
        <v>6.2467154668129328E-3</v>
      </c>
    </row>
    <row r="51" spans="1:7" x14ac:dyDescent="0.25">
      <c r="A51">
        <v>40</v>
      </c>
      <c r="B51" s="6">
        <v>3963.9153820480001</v>
      </c>
      <c r="C51" s="9">
        <f t="shared" si="0"/>
        <v>3.1879036347039745E-3</v>
      </c>
      <c r="E51" s="371">
        <v>40</v>
      </c>
      <c r="F51" s="371">
        <v>7111</v>
      </c>
      <c r="G51" s="9">
        <f t="shared" si="1"/>
        <v>5.1052055722913192E-3</v>
      </c>
    </row>
    <row r="52" spans="1:7" x14ac:dyDescent="0.25">
      <c r="A52">
        <v>41</v>
      </c>
      <c r="B52" s="6">
        <v>5150.0373927865003</v>
      </c>
      <c r="C52" s="9">
        <f t="shared" si="0"/>
        <v>4.1418197264450731E-3</v>
      </c>
      <c r="E52" s="371">
        <v>41</v>
      </c>
      <c r="F52" s="371">
        <v>5909</v>
      </c>
      <c r="G52" s="9">
        <f t="shared" si="1"/>
        <v>4.24225280926303E-3</v>
      </c>
    </row>
    <row r="53" spans="1:7" x14ac:dyDescent="0.25">
      <c r="A53">
        <v>42</v>
      </c>
      <c r="B53" s="6">
        <v>4159.4996169870001</v>
      </c>
      <c r="C53" s="9">
        <f t="shared" si="0"/>
        <v>3.3451985397053761E-3</v>
      </c>
      <c r="E53" s="371">
        <v>42</v>
      </c>
      <c r="F53" s="371">
        <v>5460</v>
      </c>
      <c r="G53" s="9">
        <f t="shared" si="1"/>
        <v>3.9199019019421459E-3</v>
      </c>
    </row>
    <row r="54" spans="1:7" x14ac:dyDescent="0.25">
      <c r="A54">
        <v>43</v>
      </c>
      <c r="B54" s="6">
        <v>1974.1526066899</v>
      </c>
      <c r="C54" s="9">
        <f t="shared" si="0"/>
        <v>1.587674726566817E-3</v>
      </c>
      <c r="E54" s="371">
        <v>43</v>
      </c>
      <c r="F54" s="371">
        <v>4609</v>
      </c>
      <c r="G54" s="9">
        <f t="shared" si="1"/>
        <v>3.3089428326101376E-3</v>
      </c>
    </row>
    <row r="55" spans="1:7" x14ac:dyDescent="0.25">
      <c r="A55">
        <v>44</v>
      </c>
      <c r="B55" s="6">
        <v>5666.1772393669999</v>
      </c>
      <c r="C55" s="9">
        <f t="shared" si="0"/>
        <v>4.556915391801938E-3</v>
      </c>
      <c r="E55" s="371">
        <v>44</v>
      </c>
      <c r="F55" s="371">
        <v>4701</v>
      </c>
      <c r="G55" s="9">
        <f t="shared" si="1"/>
        <v>3.3749924617271117E-3</v>
      </c>
    </row>
    <row r="56" spans="1:7" x14ac:dyDescent="0.25">
      <c r="A56">
        <v>45</v>
      </c>
      <c r="B56" s="6">
        <v>60805.3532925623</v>
      </c>
      <c r="C56" s="9">
        <f t="shared" si="0"/>
        <v>4.8901550131140357E-2</v>
      </c>
      <c r="E56" s="371">
        <v>45</v>
      </c>
      <c r="F56" s="371">
        <v>4873</v>
      </c>
      <c r="G56" s="9">
        <f t="shared" si="1"/>
        <v>3.4984765509458019E-3</v>
      </c>
    </row>
    <row r="57" spans="1:7" x14ac:dyDescent="0.25">
      <c r="A57">
        <v>46</v>
      </c>
      <c r="B57" s="6">
        <v>5223.5974528909001</v>
      </c>
      <c r="C57" s="9">
        <f t="shared" si="0"/>
        <v>4.2009790072001282E-3</v>
      </c>
      <c r="E57" s="371">
        <v>46</v>
      </c>
      <c r="F57" s="371">
        <v>3385</v>
      </c>
      <c r="G57" s="9">
        <f t="shared" si="1"/>
        <v>2.4301955930538764E-3</v>
      </c>
    </row>
    <row r="58" spans="1:7" x14ac:dyDescent="0.25">
      <c r="A58">
        <v>47</v>
      </c>
      <c r="B58" s="6">
        <v>1079.5162234178001</v>
      </c>
      <c r="C58" s="9">
        <f t="shared" si="0"/>
        <v>8.6818041271543981E-4</v>
      </c>
      <c r="E58" s="371">
        <v>47</v>
      </c>
      <c r="F58" s="371">
        <v>5054</v>
      </c>
      <c r="G58" s="9">
        <f t="shared" si="1"/>
        <v>3.6284220169259356E-3</v>
      </c>
    </row>
    <row r="59" spans="1:7" x14ac:dyDescent="0.25">
      <c r="A59">
        <v>48</v>
      </c>
      <c r="B59" s="6">
        <v>7816.9410410554001</v>
      </c>
      <c r="C59" s="9">
        <f t="shared" si="0"/>
        <v>6.2866263164710065E-3</v>
      </c>
      <c r="E59" s="371">
        <v>48</v>
      </c>
      <c r="F59" s="371">
        <v>4460</v>
      </c>
      <c r="G59" s="9">
        <f t="shared" si="1"/>
        <v>3.2019711506706908E-3</v>
      </c>
    </row>
    <row r="60" spans="1:7" x14ac:dyDescent="0.25">
      <c r="A60">
        <v>49</v>
      </c>
      <c r="B60" s="6">
        <v>2959.4788009108001</v>
      </c>
      <c r="C60" s="9">
        <f t="shared" si="0"/>
        <v>2.3801045978379199E-3</v>
      </c>
      <c r="E60" s="371">
        <v>49</v>
      </c>
      <c r="F60" s="371">
        <v>2874</v>
      </c>
      <c r="G60" s="9">
        <f t="shared" si="1"/>
        <v>2.0633329791541629E-3</v>
      </c>
    </row>
    <row r="61" spans="1:7" x14ac:dyDescent="0.25">
      <c r="A61">
        <v>50</v>
      </c>
      <c r="B61" s="6">
        <v>324.77582940500002</v>
      </c>
      <c r="C61" s="9">
        <f t="shared" si="0"/>
        <v>2.6119479031090485E-4</v>
      </c>
      <c r="E61" s="371">
        <v>50</v>
      </c>
      <c r="F61" s="371">
        <v>2892</v>
      </c>
      <c r="G61" s="9">
        <f t="shared" si="1"/>
        <v>2.0762557326770487E-3</v>
      </c>
    </row>
    <row r="62" spans="1:7" x14ac:dyDescent="0.25">
      <c r="A62">
        <v>51</v>
      </c>
      <c r="B62" s="6">
        <v>3048.6583396820001</v>
      </c>
      <c r="C62" s="9">
        <f t="shared" si="0"/>
        <v>2.4518255475528073E-3</v>
      </c>
      <c r="E62" s="371">
        <v>51</v>
      </c>
      <c r="F62" s="371">
        <v>4436</v>
      </c>
      <c r="G62" s="9">
        <f t="shared" si="1"/>
        <v>3.1847408126401758E-3</v>
      </c>
    </row>
    <row r="63" spans="1:7" x14ac:dyDescent="0.25">
      <c r="A63">
        <v>52</v>
      </c>
      <c r="B63" s="6">
        <v>918.29517128599991</v>
      </c>
      <c r="C63" s="9">
        <f t="shared" si="0"/>
        <v>7.3852144461299173E-4</v>
      </c>
      <c r="E63" s="371">
        <v>52</v>
      </c>
      <c r="F63" s="371">
        <v>2113</v>
      </c>
      <c r="G63" s="9">
        <f t="shared" si="1"/>
        <v>1.5169876774365851E-3</v>
      </c>
    </row>
    <row r="64" spans="1:7" x14ac:dyDescent="0.25">
      <c r="A64">
        <v>53</v>
      </c>
      <c r="B64" s="6">
        <v>1326.9797182303</v>
      </c>
      <c r="C64" s="9">
        <f t="shared" si="0"/>
        <v>1.0671982268045308E-3</v>
      </c>
      <c r="E64" s="371">
        <v>53</v>
      </c>
      <c r="F64" s="371">
        <v>2116</v>
      </c>
      <c r="G64" s="9">
        <f t="shared" si="1"/>
        <v>1.5191414696903995E-3</v>
      </c>
    </row>
    <row r="65" spans="1:7" x14ac:dyDescent="0.25">
      <c r="A65">
        <v>54</v>
      </c>
      <c r="B65" s="6">
        <v>1218.2238847201002</v>
      </c>
      <c r="C65" s="9">
        <f t="shared" si="0"/>
        <v>9.7973341398017153E-4</v>
      </c>
      <c r="E65" s="371">
        <v>54</v>
      </c>
      <c r="F65" s="371">
        <v>1567</v>
      </c>
      <c r="G65" s="9">
        <f t="shared" si="1"/>
        <v>1.1249974872423706E-3</v>
      </c>
    </row>
    <row r="66" spans="1:7" x14ac:dyDescent="0.25">
      <c r="A66">
        <v>55</v>
      </c>
      <c r="B66" s="6">
        <v>2253.5468855520003</v>
      </c>
      <c r="C66" s="9">
        <f t="shared" si="0"/>
        <v>1.8123722670677458E-3</v>
      </c>
      <c r="E66" s="371">
        <v>55</v>
      </c>
      <c r="F66" s="371">
        <v>1473</v>
      </c>
      <c r="G66" s="9">
        <f t="shared" si="1"/>
        <v>1.0575119966228538E-3</v>
      </c>
    </row>
    <row r="67" spans="1:7" x14ac:dyDescent="0.25">
      <c r="A67">
        <v>56</v>
      </c>
      <c r="B67" s="6">
        <v>68.873322949599995</v>
      </c>
      <c r="C67" s="9">
        <f t="shared" si="0"/>
        <v>5.5390061442666733E-5</v>
      </c>
      <c r="E67" s="371">
        <v>56</v>
      </c>
      <c r="F67" s="371">
        <v>1329</v>
      </c>
      <c r="G67" s="9">
        <f t="shared" si="1"/>
        <v>9.5412996843976421E-4</v>
      </c>
    </row>
    <row r="68" spans="1:7" x14ac:dyDescent="0.25">
      <c r="A68">
        <v>57</v>
      </c>
      <c r="B68" s="6">
        <v>5831.5562396539999</v>
      </c>
      <c r="C68" s="9">
        <f t="shared" si="0"/>
        <v>4.6899183107104257E-3</v>
      </c>
      <c r="E68" s="371">
        <v>57</v>
      </c>
      <c r="F68" s="371">
        <v>1434</v>
      </c>
      <c r="G68" s="9">
        <f t="shared" si="1"/>
        <v>1.0295126973232671E-3</v>
      </c>
    </row>
    <row r="69" spans="1:7" x14ac:dyDescent="0.25">
      <c r="A69">
        <v>58</v>
      </c>
      <c r="B69" s="6">
        <v>1680.9734764976001</v>
      </c>
      <c r="C69" s="9">
        <f t="shared" si="0"/>
        <v>1.3518909812850251E-3</v>
      </c>
      <c r="E69" s="371">
        <v>58</v>
      </c>
      <c r="F69" s="371">
        <v>1590</v>
      </c>
      <c r="G69" s="9">
        <f t="shared" si="1"/>
        <v>1.1415098945216141E-3</v>
      </c>
    </row>
    <row r="70" spans="1:7" x14ac:dyDescent="0.25">
      <c r="A70">
        <v>59</v>
      </c>
      <c r="B70" s="6">
        <v>1054.8246361500001</v>
      </c>
      <c r="C70" s="9">
        <f t="shared" si="0"/>
        <v>8.4832267277625841E-4</v>
      </c>
      <c r="E70" s="371">
        <v>59</v>
      </c>
      <c r="F70" s="371">
        <v>1109</v>
      </c>
      <c r="G70" s="9">
        <f t="shared" si="1"/>
        <v>7.9618520316004394E-4</v>
      </c>
    </row>
    <row r="71" spans="1:7" x14ac:dyDescent="0.25">
      <c r="A71">
        <v>60</v>
      </c>
      <c r="B71" s="6">
        <v>1759.1357199610002</v>
      </c>
      <c r="C71" s="9">
        <f t="shared" si="0"/>
        <v>1.4147514805686529E-3</v>
      </c>
      <c r="E71" s="371">
        <v>60</v>
      </c>
      <c r="F71" s="371">
        <v>1257</v>
      </c>
      <c r="G71" s="9">
        <f t="shared" si="1"/>
        <v>9.0243895434821936E-4</v>
      </c>
    </row>
    <row r="72" spans="1:7" x14ac:dyDescent="0.25">
      <c r="A72">
        <v>61</v>
      </c>
      <c r="B72" s="6">
        <v>5521.8707578240001</v>
      </c>
      <c r="C72" s="9">
        <f t="shared" si="0"/>
        <v>4.4408596457318518E-3</v>
      </c>
      <c r="E72" s="371">
        <v>61</v>
      </c>
      <c r="F72" s="371">
        <v>941</v>
      </c>
      <c r="G72" s="9">
        <f t="shared" si="1"/>
        <v>6.755728369464395E-4</v>
      </c>
    </row>
    <row r="73" spans="1:7" x14ac:dyDescent="0.25">
      <c r="A73">
        <v>62</v>
      </c>
      <c r="B73" s="6">
        <v>1229.465098057</v>
      </c>
      <c r="C73" s="9">
        <f t="shared" si="0"/>
        <v>9.8877394623206609E-4</v>
      </c>
      <c r="E73" s="371">
        <v>62</v>
      </c>
      <c r="F73" s="371">
        <v>817</v>
      </c>
      <c r="G73" s="9">
        <f t="shared" si="1"/>
        <v>5.8654942378877904E-4</v>
      </c>
    </row>
    <row r="74" spans="1:7" x14ac:dyDescent="0.25">
      <c r="A74">
        <v>63</v>
      </c>
      <c r="B74" s="6">
        <v>122.95979443900001</v>
      </c>
      <c r="C74" s="9">
        <f t="shared" si="0"/>
        <v>9.8888078537140447E-5</v>
      </c>
      <c r="E74" s="371">
        <v>63</v>
      </c>
      <c r="F74" s="371">
        <v>700</v>
      </c>
      <c r="G74" s="9">
        <f t="shared" si="1"/>
        <v>5.0255152589001877E-4</v>
      </c>
    </row>
    <row r="75" spans="1:7" x14ac:dyDescent="0.25">
      <c r="A75">
        <v>64</v>
      </c>
      <c r="B75" s="6">
        <v>1118.4264449699999</v>
      </c>
      <c r="C75" s="9">
        <f t="shared" si="0"/>
        <v>8.9947321913486111E-4</v>
      </c>
      <c r="E75" s="371">
        <v>64</v>
      </c>
      <c r="F75" s="371">
        <v>765</v>
      </c>
      <c r="G75" s="9">
        <f t="shared" si="1"/>
        <v>5.4921702472266333E-4</v>
      </c>
    </row>
    <row r="76" spans="1:7" x14ac:dyDescent="0.25">
      <c r="A76">
        <v>65</v>
      </c>
      <c r="B76" s="6">
        <v>400.04927174700003</v>
      </c>
      <c r="C76" s="9">
        <f t="shared" si="0"/>
        <v>3.2173202617762043E-4</v>
      </c>
      <c r="E76" s="371">
        <v>65</v>
      </c>
      <c r="F76" s="371">
        <v>663</v>
      </c>
      <c r="G76" s="9">
        <f t="shared" si="1"/>
        <v>4.7598808809297491E-4</v>
      </c>
    </row>
    <row r="77" spans="1:7" x14ac:dyDescent="0.25">
      <c r="A77">
        <v>66</v>
      </c>
      <c r="B77" s="6">
        <v>466.56081954299998</v>
      </c>
      <c r="C77" s="9">
        <f t="shared" ref="C77:C102" si="2">B77/B$102</f>
        <v>3.7522267482489467E-4</v>
      </c>
      <c r="E77" s="371">
        <v>66</v>
      </c>
      <c r="F77" s="371">
        <v>543</v>
      </c>
      <c r="G77" s="9">
        <f t="shared" ref="G77:G102" si="3">F77/F$102</f>
        <v>3.8983639794040026E-4</v>
      </c>
    </row>
    <row r="78" spans="1:7" x14ac:dyDescent="0.25">
      <c r="A78">
        <v>67</v>
      </c>
      <c r="B78" s="6">
        <v>1515.9457347309999</v>
      </c>
      <c r="C78" s="9">
        <f t="shared" si="2"/>
        <v>1.2191705553679304E-3</v>
      </c>
      <c r="E78" s="371">
        <v>67</v>
      </c>
      <c r="F78" s="371">
        <v>609</v>
      </c>
      <c r="G78" s="9">
        <f t="shared" si="3"/>
        <v>4.372198275243163E-4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524</v>
      </c>
      <c r="G79" s="9">
        <f t="shared" si="3"/>
        <v>3.761957136662426E-4</v>
      </c>
    </row>
    <row r="80" spans="1:7" x14ac:dyDescent="0.25">
      <c r="A80">
        <v>69</v>
      </c>
      <c r="B80" s="6">
        <v>561.31577714499997</v>
      </c>
      <c r="C80" s="9">
        <f t="shared" si="2"/>
        <v>4.5142754920583295E-4</v>
      </c>
      <c r="E80" s="371">
        <v>69</v>
      </c>
      <c r="F80" s="371">
        <v>495</v>
      </c>
      <c r="G80" s="9">
        <f t="shared" si="3"/>
        <v>3.5537572187937041E-4</v>
      </c>
    </row>
    <row r="81" spans="1:7" x14ac:dyDescent="0.25">
      <c r="A81">
        <v>70</v>
      </c>
      <c r="B81" s="6">
        <v>636.34667668439999</v>
      </c>
      <c r="C81" s="9">
        <f t="shared" si="2"/>
        <v>5.1176972463168205E-4</v>
      </c>
      <c r="E81" s="371">
        <v>70</v>
      </c>
      <c r="F81" s="371">
        <v>458</v>
      </c>
      <c r="G81" s="9">
        <f t="shared" si="3"/>
        <v>3.2881228408232656E-4</v>
      </c>
    </row>
    <row r="82" spans="1:7" x14ac:dyDescent="0.25">
      <c r="A82">
        <v>71</v>
      </c>
      <c r="B82" s="6">
        <v>422.35595372</v>
      </c>
      <c r="C82" s="9">
        <f t="shared" si="2"/>
        <v>3.3967175134480391E-4</v>
      </c>
      <c r="E82" s="371">
        <v>71</v>
      </c>
      <c r="F82" s="371">
        <v>440</v>
      </c>
      <c r="G82" s="9">
        <f t="shared" si="3"/>
        <v>3.1588953055944037E-4</v>
      </c>
    </row>
    <row r="83" spans="1:7" x14ac:dyDescent="0.25">
      <c r="A83">
        <v>72</v>
      </c>
      <c r="B83" s="6">
        <v>5978.1515321440002</v>
      </c>
      <c r="C83" s="9">
        <f t="shared" si="2"/>
        <v>4.8078147894990101E-3</v>
      </c>
      <c r="E83" s="371">
        <v>72</v>
      </c>
      <c r="F83" s="371">
        <v>415</v>
      </c>
      <c r="G83" s="9">
        <f t="shared" si="3"/>
        <v>2.97941261777654E-4</v>
      </c>
    </row>
    <row r="84" spans="1:7" x14ac:dyDescent="0.25">
      <c r="A84">
        <v>73</v>
      </c>
      <c r="B84" s="6">
        <v>65.786200360199999</v>
      </c>
      <c r="C84" s="9">
        <f t="shared" si="2"/>
        <v>5.2907301753069045E-5</v>
      </c>
      <c r="E84" s="371">
        <v>73</v>
      </c>
      <c r="F84" s="371">
        <v>305</v>
      </c>
      <c r="G84" s="9">
        <f t="shared" si="3"/>
        <v>2.1896887913779389E-4</v>
      </c>
    </row>
    <row r="85" spans="1:7" x14ac:dyDescent="0.25">
      <c r="A85">
        <v>74</v>
      </c>
      <c r="B85" s="6">
        <v>411.77039022899999</v>
      </c>
      <c r="C85" s="9">
        <f t="shared" si="2"/>
        <v>3.3115851302463738E-4</v>
      </c>
      <c r="E85" s="371">
        <v>74</v>
      </c>
      <c r="F85" s="371">
        <v>364</v>
      </c>
      <c r="G85" s="9">
        <f t="shared" si="3"/>
        <v>2.6132679346280976E-4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378</v>
      </c>
      <c r="G86" s="9">
        <f t="shared" si="3"/>
        <v>2.7137782398061014E-4</v>
      </c>
    </row>
    <row r="87" spans="1:7" x14ac:dyDescent="0.25">
      <c r="A87">
        <v>76</v>
      </c>
      <c r="B87" s="6">
        <v>2655.91924548</v>
      </c>
      <c r="C87" s="9">
        <f t="shared" si="2"/>
        <v>2.1359725927780674E-3</v>
      </c>
      <c r="E87" s="371">
        <v>76</v>
      </c>
      <c r="F87" s="371">
        <v>274</v>
      </c>
      <c r="G87" s="9">
        <f t="shared" si="3"/>
        <v>1.9671302584837877E-4</v>
      </c>
    </row>
    <row r="88" spans="1:7" x14ac:dyDescent="0.25">
      <c r="A88">
        <v>77</v>
      </c>
      <c r="B88" s="6">
        <v>808.15247939999995</v>
      </c>
      <c r="C88" s="9">
        <f t="shared" si="2"/>
        <v>6.4994127728912549E-4</v>
      </c>
      <c r="E88" s="371">
        <v>77</v>
      </c>
      <c r="F88" s="371">
        <v>260</v>
      </c>
      <c r="G88" s="9">
        <f t="shared" si="3"/>
        <v>1.8666199533057839E-4</v>
      </c>
    </row>
    <row r="89" spans="1:7" x14ac:dyDescent="0.25">
      <c r="A89">
        <v>78</v>
      </c>
      <c r="B89" s="6">
        <v>256.37131749600002</v>
      </c>
      <c r="C89" s="9">
        <f t="shared" si="2"/>
        <v>2.0618176124059562E-4</v>
      </c>
      <c r="E89" s="371">
        <v>78</v>
      </c>
      <c r="F89" s="371">
        <v>246</v>
      </c>
      <c r="G89" s="9">
        <f t="shared" si="3"/>
        <v>1.7661096481277802E-4</v>
      </c>
    </row>
    <row r="90" spans="1:7" x14ac:dyDescent="0.25">
      <c r="A90">
        <v>79</v>
      </c>
      <c r="B90" s="6">
        <v>256.37131749600002</v>
      </c>
      <c r="C90" s="9">
        <f t="shared" si="2"/>
        <v>2.0618176124059562E-4</v>
      </c>
      <c r="E90" s="371">
        <v>79</v>
      </c>
      <c r="F90" s="371">
        <v>282</v>
      </c>
      <c r="G90" s="9">
        <f t="shared" si="3"/>
        <v>2.0245647185855042E-4</v>
      </c>
    </row>
    <row r="91" spans="1:7" x14ac:dyDescent="0.25">
      <c r="A91">
        <v>80</v>
      </c>
      <c r="B91" s="6">
        <v>1593.262710215</v>
      </c>
      <c r="C91" s="9">
        <f t="shared" si="2"/>
        <v>1.2813512639385598E-3</v>
      </c>
      <c r="E91" s="371">
        <v>80</v>
      </c>
      <c r="F91" s="371">
        <v>225</v>
      </c>
      <c r="G91" s="9">
        <f t="shared" si="3"/>
        <v>1.6153441903607745E-4</v>
      </c>
    </row>
    <row r="92" spans="1:7" x14ac:dyDescent="0.25">
      <c r="A92">
        <v>81</v>
      </c>
      <c r="B92" s="6">
        <v>554.66122939700006</v>
      </c>
      <c r="C92" s="9">
        <f t="shared" si="2"/>
        <v>4.4607575561073364E-4</v>
      </c>
      <c r="E92" s="371">
        <v>81</v>
      </c>
      <c r="F92" s="371">
        <v>153</v>
      </c>
      <c r="G92" s="9">
        <f t="shared" si="3"/>
        <v>1.0984340494453267E-4</v>
      </c>
    </row>
    <row r="93" spans="1:7" x14ac:dyDescent="0.25">
      <c r="A93">
        <v>82</v>
      </c>
      <c r="B93" s="6">
        <v>739.67600099200001</v>
      </c>
      <c r="C93" s="9">
        <f t="shared" si="2"/>
        <v>5.9487037052930304E-4</v>
      </c>
      <c r="E93" s="371">
        <v>82</v>
      </c>
      <c r="F93" s="371">
        <v>169</v>
      </c>
      <c r="G93" s="9">
        <f t="shared" si="3"/>
        <v>1.2133029696487595E-4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166</v>
      </c>
      <c r="G94" s="9">
        <f t="shared" si="3"/>
        <v>1.1917650471106158E-4</v>
      </c>
    </row>
    <row r="95" spans="1:7" x14ac:dyDescent="0.25">
      <c r="A95">
        <v>84</v>
      </c>
      <c r="B95" s="6">
        <v>2404.5861489690001</v>
      </c>
      <c r="C95" s="9">
        <f t="shared" si="2"/>
        <v>1.9338427250423793E-3</v>
      </c>
      <c r="E95" s="371">
        <v>84</v>
      </c>
      <c r="F95" s="371">
        <v>172</v>
      </c>
      <c r="G95" s="9">
        <f t="shared" si="3"/>
        <v>1.2348408921869031E-4</v>
      </c>
    </row>
    <row r="96" spans="1:7" x14ac:dyDescent="0.25">
      <c r="A96">
        <v>85</v>
      </c>
      <c r="B96" s="6">
        <v>76.876114520399994</v>
      </c>
      <c r="C96" s="9">
        <f t="shared" si="2"/>
        <v>6.1826154516669371E-5</v>
      </c>
      <c r="E96" s="371">
        <v>85</v>
      </c>
      <c r="F96" s="371">
        <v>121</v>
      </c>
      <c r="G96" s="9">
        <f t="shared" si="3"/>
        <v>8.6869620903846104E-5</v>
      </c>
    </row>
    <row r="97" spans="1:7" x14ac:dyDescent="0.25">
      <c r="A97">
        <v>86</v>
      </c>
      <c r="B97" s="6">
        <v>880.13694348299998</v>
      </c>
      <c r="C97" s="9">
        <f t="shared" si="2"/>
        <v>7.0783341487906822E-4</v>
      </c>
      <c r="E97" s="371">
        <v>86</v>
      </c>
      <c r="F97" s="371">
        <v>131</v>
      </c>
      <c r="G97" s="9">
        <f t="shared" si="3"/>
        <v>9.4048928416560649E-5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174</v>
      </c>
      <c r="G98" s="9">
        <f t="shared" si="3"/>
        <v>1.2491995072123324E-4</v>
      </c>
    </row>
    <row r="99" spans="1:7" x14ac:dyDescent="0.25">
      <c r="A99">
        <v>88</v>
      </c>
      <c r="B99" s="6">
        <v>300.952409273</v>
      </c>
      <c r="C99" s="9">
        <f t="shared" si="2"/>
        <v>2.4203525729619047E-4</v>
      </c>
      <c r="E99" s="371">
        <v>88</v>
      </c>
      <c r="F99" s="371">
        <v>150</v>
      </c>
      <c r="G99" s="9">
        <f t="shared" si="3"/>
        <v>1.076896126907183E-4</v>
      </c>
    </row>
    <row r="100" spans="1:7" x14ac:dyDescent="0.25">
      <c r="A100">
        <v>89</v>
      </c>
      <c r="B100" s="6">
        <v>357.255567611</v>
      </c>
      <c r="C100" s="9">
        <f t="shared" si="2"/>
        <v>2.8731600267332529E-4</v>
      </c>
      <c r="E100" s="371">
        <v>89</v>
      </c>
      <c r="F100" s="371">
        <v>103</v>
      </c>
      <c r="G100" s="9">
        <f t="shared" si="3"/>
        <v>7.3946867380959903E-5</v>
      </c>
    </row>
    <row r="101" spans="1:7" ht="15.75" thickBot="1" x14ac:dyDescent="0.3">
      <c r="A101" s="1">
        <v>90</v>
      </c>
      <c r="B101" s="7">
        <v>22484.379870573801</v>
      </c>
      <c r="C101" s="9">
        <f t="shared" si="2"/>
        <v>1.8082635325185441E-2</v>
      </c>
      <c r="E101" s="372">
        <v>90</v>
      </c>
      <c r="F101" s="372">
        <v>6081</v>
      </c>
      <c r="G101" s="9">
        <f t="shared" si="3"/>
        <v>4.3657368984817198E-3</v>
      </c>
    </row>
    <row r="102" spans="1:7" x14ac:dyDescent="0.25">
      <c r="B102" s="6">
        <f>SUM(B11:B101)</f>
        <v>1243423.8409518565</v>
      </c>
      <c r="C102" s="9">
        <f t="shared" si="2"/>
        <v>1</v>
      </c>
      <c r="F102" s="6">
        <f>SUM(F11:F101)</f>
        <v>1392892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84907.072193200496</v>
      </c>
      <c r="C11" s="9">
        <f>B11/B$102</f>
        <v>4.6236776287227423E-2</v>
      </c>
      <c r="E11" s="371">
        <v>0</v>
      </c>
      <c r="F11" s="371">
        <v>355700</v>
      </c>
      <c r="G11" s="9">
        <f>F11/F$102</f>
        <v>0.18432582712134049</v>
      </c>
      <c r="K11" s="6">
        <v>7.1866380900758235</v>
      </c>
      <c r="L11" s="6">
        <v>5.4366442040310243</v>
      </c>
    </row>
    <row r="12" spans="1:12" x14ac:dyDescent="0.25">
      <c r="A12">
        <v>1</v>
      </c>
      <c r="B12" s="6">
        <v>101459.22475387</v>
      </c>
      <c r="C12" s="9">
        <f>B12/B$102</f>
        <v>5.5250373803324829E-2</v>
      </c>
      <c r="E12" s="371">
        <v>1</v>
      </c>
      <c r="F12" s="371">
        <v>264235</v>
      </c>
      <c r="G12" s="9">
        <f>F12/F$102</f>
        <v>0.13692812743718696</v>
      </c>
      <c r="K12" s="6"/>
      <c r="L12" s="371"/>
    </row>
    <row r="13" spans="1:12" x14ac:dyDescent="0.25">
      <c r="A13">
        <v>2</v>
      </c>
      <c r="B13" s="6">
        <v>100404.4870225725</v>
      </c>
      <c r="C13" s="9">
        <f t="shared" ref="C13:C76" si="0">B13/B$102</f>
        <v>5.4676008544177361E-2</v>
      </c>
      <c r="E13" s="371">
        <v>2</v>
      </c>
      <c r="F13" s="371">
        <v>160229</v>
      </c>
      <c r="G13" s="9">
        <f t="shared" ref="G13:G76" si="1">F13/F$102</f>
        <v>8.3031607966897014E-2</v>
      </c>
    </row>
    <row r="14" spans="1:12" x14ac:dyDescent="0.25">
      <c r="A14">
        <v>3</v>
      </c>
      <c r="B14" s="6">
        <v>190531.24264945119</v>
      </c>
      <c r="C14" s="9">
        <f t="shared" si="0"/>
        <v>0.10375520218227008</v>
      </c>
      <c r="E14" s="371">
        <v>3</v>
      </c>
      <c r="F14" s="371">
        <v>97892</v>
      </c>
      <c r="G14" s="9">
        <f t="shared" si="1"/>
        <v>5.0728208795508191E-2</v>
      </c>
    </row>
    <row r="15" spans="1:12" x14ac:dyDescent="0.25">
      <c r="A15">
        <v>4</v>
      </c>
      <c r="B15" s="6">
        <v>307024.78858325997</v>
      </c>
      <c r="C15" s="9">
        <f t="shared" si="0"/>
        <v>0.16719262715896963</v>
      </c>
      <c r="E15" s="371">
        <v>4</v>
      </c>
      <c r="F15" s="371">
        <v>289080</v>
      </c>
      <c r="G15" s="9">
        <f t="shared" si="1"/>
        <v>0.14980295221882797</v>
      </c>
    </row>
    <row r="16" spans="1:12" x14ac:dyDescent="0.25">
      <c r="A16">
        <v>5</v>
      </c>
      <c r="B16" s="6">
        <v>206551.5250263804</v>
      </c>
      <c r="C16" s="9">
        <f t="shared" si="0"/>
        <v>0.11247916584262117</v>
      </c>
      <c r="E16" s="371">
        <v>5</v>
      </c>
      <c r="F16" s="371">
        <v>146445</v>
      </c>
      <c r="G16" s="9">
        <f t="shared" si="1"/>
        <v>7.5888658287277783E-2</v>
      </c>
    </row>
    <row r="17" spans="1:7" x14ac:dyDescent="0.25">
      <c r="A17">
        <v>6</v>
      </c>
      <c r="B17" s="6">
        <v>195336.43941758451</v>
      </c>
      <c r="C17" s="9">
        <f t="shared" si="0"/>
        <v>0.10637190774336562</v>
      </c>
      <c r="E17" s="371">
        <v>6</v>
      </c>
      <c r="F17" s="371">
        <v>140812</v>
      </c>
      <c r="G17" s="9">
        <f t="shared" si="1"/>
        <v>7.2969604634833277E-2</v>
      </c>
    </row>
    <row r="18" spans="1:7" x14ac:dyDescent="0.25">
      <c r="A18">
        <v>7</v>
      </c>
      <c r="B18" s="6">
        <v>96019.9389225083</v>
      </c>
      <c r="C18" s="9">
        <f t="shared" si="0"/>
        <v>5.2288370337056474E-2</v>
      </c>
      <c r="E18" s="371">
        <v>7</v>
      </c>
      <c r="F18" s="371">
        <v>80705</v>
      </c>
      <c r="G18" s="9">
        <f t="shared" si="1"/>
        <v>4.1821804548292901E-2</v>
      </c>
    </row>
    <row r="19" spans="1:7" x14ac:dyDescent="0.25">
      <c r="A19">
        <v>8</v>
      </c>
      <c r="B19" s="6">
        <v>81411.287863505</v>
      </c>
      <c r="C19" s="9">
        <f t="shared" si="0"/>
        <v>4.4333120987080712E-2</v>
      </c>
      <c r="E19" s="371">
        <v>8</v>
      </c>
      <c r="F19" s="371">
        <v>78511</v>
      </c>
      <c r="G19" s="9">
        <f t="shared" si="1"/>
        <v>4.0684860874679686E-2</v>
      </c>
    </row>
    <row r="20" spans="1:7" x14ac:dyDescent="0.25">
      <c r="A20">
        <v>9</v>
      </c>
      <c r="B20" s="6">
        <v>62555.523092298201</v>
      </c>
      <c r="C20" s="9">
        <f t="shared" si="0"/>
        <v>3.4065074345841204E-2</v>
      </c>
      <c r="E20" s="371">
        <v>9</v>
      </c>
      <c r="F20" s="371">
        <v>38699</v>
      </c>
      <c r="G20" s="9">
        <f t="shared" si="1"/>
        <v>2.0054048871995377E-2</v>
      </c>
    </row>
    <row r="21" spans="1:7" x14ac:dyDescent="0.25">
      <c r="A21">
        <v>10</v>
      </c>
      <c r="B21" s="6">
        <v>119012.2937959228</v>
      </c>
      <c r="C21" s="9">
        <f t="shared" si="0"/>
        <v>6.4809027817503001E-2</v>
      </c>
      <c r="E21" s="371">
        <v>10</v>
      </c>
      <c r="F21" s="371">
        <v>34259</v>
      </c>
      <c r="G21" s="9">
        <f t="shared" si="1"/>
        <v>1.7753214819651402E-2</v>
      </c>
    </row>
    <row r="22" spans="1:7" x14ac:dyDescent="0.25">
      <c r="A22">
        <v>11</v>
      </c>
      <c r="B22" s="6">
        <v>36479.278934570102</v>
      </c>
      <c r="C22" s="9">
        <f t="shared" si="0"/>
        <v>1.9865062069024664E-2</v>
      </c>
      <c r="E22" s="371">
        <v>11</v>
      </c>
      <c r="F22" s="371">
        <v>36096</v>
      </c>
      <c r="G22" s="9">
        <f t="shared" si="1"/>
        <v>1.8705158998515339E-2</v>
      </c>
    </row>
    <row r="23" spans="1:7" x14ac:dyDescent="0.25">
      <c r="A23">
        <v>12</v>
      </c>
      <c r="B23" s="6">
        <v>32629.1127797312</v>
      </c>
      <c r="C23" s="9">
        <f t="shared" si="0"/>
        <v>1.7768425516007387E-2</v>
      </c>
      <c r="E23" s="371">
        <v>12</v>
      </c>
      <c r="F23" s="371">
        <v>26842</v>
      </c>
      <c r="G23" s="9">
        <f t="shared" si="1"/>
        <v>1.3909681899328147E-2</v>
      </c>
    </row>
    <row r="24" spans="1:7" x14ac:dyDescent="0.25">
      <c r="A24">
        <v>13</v>
      </c>
      <c r="B24" s="6">
        <v>17994.800629060501</v>
      </c>
      <c r="C24" s="9">
        <f t="shared" si="0"/>
        <v>9.7992022281244012E-3</v>
      </c>
      <c r="E24" s="371">
        <v>13</v>
      </c>
      <c r="F24" s="371">
        <v>26552</v>
      </c>
      <c r="G24" s="9">
        <f t="shared" si="1"/>
        <v>1.3759402197711084E-2</v>
      </c>
    </row>
    <row r="25" spans="1:7" x14ac:dyDescent="0.25">
      <c r="A25">
        <v>14</v>
      </c>
      <c r="B25" s="6">
        <v>18414.082207553602</v>
      </c>
      <c r="C25" s="9">
        <f t="shared" si="0"/>
        <v>1.0027525123324804E-2</v>
      </c>
      <c r="E25" s="371">
        <v>14</v>
      </c>
      <c r="F25" s="371">
        <v>20672</v>
      </c>
      <c r="G25" s="9">
        <f t="shared" si="1"/>
        <v>1.0712351695958253E-2</v>
      </c>
    </row>
    <row r="26" spans="1:7" x14ac:dyDescent="0.25">
      <c r="A26">
        <v>15</v>
      </c>
      <c r="B26" s="6">
        <v>17555.1507469961</v>
      </c>
      <c r="C26" s="9">
        <f t="shared" si="0"/>
        <v>9.5597876220541011E-3</v>
      </c>
      <c r="E26" s="371">
        <v>15</v>
      </c>
      <c r="F26" s="371">
        <v>20202</v>
      </c>
      <c r="G26" s="9">
        <f t="shared" si="1"/>
        <v>1.0468794938165086E-2</v>
      </c>
    </row>
    <row r="27" spans="1:7" x14ac:dyDescent="0.25">
      <c r="A27">
        <v>16</v>
      </c>
      <c r="B27" s="6">
        <v>30793.3270430476</v>
      </c>
      <c r="C27" s="9">
        <f t="shared" si="0"/>
        <v>1.676873476910256E-2</v>
      </c>
      <c r="E27" s="371">
        <v>16</v>
      </c>
      <c r="F27" s="371">
        <v>20687</v>
      </c>
      <c r="G27" s="9">
        <f t="shared" si="1"/>
        <v>1.0720124783972929E-2</v>
      </c>
    </row>
    <row r="28" spans="1:7" x14ac:dyDescent="0.25">
      <c r="A28">
        <v>17</v>
      </c>
      <c r="B28" s="6">
        <v>14174.901381359199</v>
      </c>
      <c r="C28" s="9">
        <f t="shared" si="0"/>
        <v>7.719047744009974E-3</v>
      </c>
      <c r="E28" s="371">
        <v>17</v>
      </c>
      <c r="F28" s="371">
        <v>12517</v>
      </c>
      <c r="G28" s="9">
        <f t="shared" si="1"/>
        <v>6.4863828453129574E-3</v>
      </c>
    </row>
    <row r="29" spans="1:7" x14ac:dyDescent="0.25">
      <c r="A29">
        <v>18</v>
      </c>
      <c r="B29" s="6">
        <v>14542.7372729443</v>
      </c>
      <c r="C29" s="9">
        <f t="shared" si="0"/>
        <v>7.9193555086085887E-3</v>
      </c>
      <c r="E29" s="371">
        <v>18</v>
      </c>
      <c r="F29" s="371">
        <v>10898</v>
      </c>
      <c r="G29" s="9">
        <f t="shared" si="1"/>
        <v>5.6474075455956391E-3</v>
      </c>
    </row>
    <row r="30" spans="1:7" x14ac:dyDescent="0.25">
      <c r="A30">
        <v>19</v>
      </c>
      <c r="B30" s="6">
        <v>18690.2688199726</v>
      </c>
      <c r="C30" s="9">
        <f t="shared" si="0"/>
        <v>1.0177924592792873E-2</v>
      </c>
      <c r="E30" s="371">
        <v>19</v>
      </c>
      <c r="F30" s="371">
        <v>8853</v>
      </c>
      <c r="G30" s="9">
        <f t="shared" si="1"/>
        <v>4.5876765462615331E-3</v>
      </c>
    </row>
    <row r="31" spans="1:7" x14ac:dyDescent="0.25">
      <c r="A31">
        <v>20</v>
      </c>
      <c r="B31" s="6">
        <v>8832.9782351173999</v>
      </c>
      <c r="C31" s="9">
        <f t="shared" si="0"/>
        <v>4.810063850485451E-3</v>
      </c>
      <c r="E31" s="371">
        <v>20</v>
      </c>
      <c r="F31" s="371">
        <v>8339</v>
      </c>
      <c r="G31" s="9">
        <f t="shared" si="1"/>
        <v>4.3213187302919833E-3</v>
      </c>
    </row>
    <row r="32" spans="1:7" x14ac:dyDescent="0.25">
      <c r="A32">
        <v>21</v>
      </c>
      <c r="B32" s="6">
        <v>9212.629900026699</v>
      </c>
      <c r="C32" s="9">
        <f t="shared" si="0"/>
        <v>5.0168059821366524E-3</v>
      </c>
      <c r="E32" s="371">
        <v>21</v>
      </c>
      <c r="F32" s="371">
        <v>6611</v>
      </c>
      <c r="G32" s="9">
        <f t="shared" si="1"/>
        <v>3.4258589910013551E-3</v>
      </c>
    </row>
    <row r="33" spans="1:7" x14ac:dyDescent="0.25">
      <c r="A33">
        <v>22</v>
      </c>
      <c r="B33" s="6">
        <v>12829.9965571878</v>
      </c>
      <c r="C33" s="9">
        <f t="shared" si="0"/>
        <v>6.9866698410087948E-3</v>
      </c>
      <c r="E33" s="371">
        <v>22</v>
      </c>
      <c r="F33" s="371">
        <v>5573</v>
      </c>
      <c r="G33" s="9">
        <f t="shared" si="1"/>
        <v>2.8879613003858044E-3</v>
      </c>
    </row>
    <row r="34" spans="1:7" x14ac:dyDescent="0.25">
      <c r="A34">
        <v>23</v>
      </c>
      <c r="B34" s="6">
        <v>14398.751720231399</v>
      </c>
      <c r="C34" s="9">
        <f t="shared" si="0"/>
        <v>7.8409471073127499E-3</v>
      </c>
      <c r="E34" s="371">
        <v>23</v>
      </c>
      <c r="F34" s="371">
        <v>5276</v>
      </c>
      <c r="G34" s="9">
        <f t="shared" si="1"/>
        <v>2.7340541576952276E-3</v>
      </c>
    </row>
    <row r="35" spans="1:7" x14ac:dyDescent="0.25">
      <c r="A35">
        <v>24</v>
      </c>
      <c r="B35" s="6">
        <v>1073.090578754</v>
      </c>
      <c r="C35" s="9">
        <f t="shared" si="0"/>
        <v>5.843594384326616E-4</v>
      </c>
      <c r="E35" s="371">
        <v>24</v>
      </c>
      <c r="F35" s="371">
        <v>4505</v>
      </c>
      <c r="G35" s="9">
        <f t="shared" si="1"/>
        <v>2.3345174337409021E-3</v>
      </c>
    </row>
    <row r="36" spans="1:7" x14ac:dyDescent="0.25">
      <c r="A36">
        <v>25</v>
      </c>
      <c r="B36" s="6">
        <v>1734.2051272889998</v>
      </c>
      <c r="C36" s="9">
        <f t="shared" si="0"/>
        <v>9.4437427219455487E-4</v>
      </c>
      <c r="E36" s="371">
        <v>25</v>
      </c>
      <c r="F36" s="371">
        <v>4736</v>
      </c>
      <c r="G36" s="9">
        <f t="shared" si="1"/>
        <v>2.4542229891669062E-3</v>
      </c>
    </row>
    <row r="37" spans="1:7" x14ac:dyDescent="0.25">
      <c r="A37">
        <v>26</v>
      </c>
      <c r="B37" s="6">
        <v>1382.3037132361001</v>
      </c>
      <c r="C37" s="9">
        <f t="shared" si="0"/>
        <v>7.5274374559130793E-4</v>
      </c>
      <c r="E37" s="371">
        <v>26</v>
      </c>
      <c r="F37" s="371">
        <v>3826</v>
      </c>
      <c r="G37" s="9">
        <f t="shared" si="1"/>
        <v>1.9826556496099204E-3</v>
      </c>
    </row>
    <row r="38" spans="1:7" x14ac:dyDescent="0.25">
      <c r="A38">
        <v>27</v>
      </c>
      <c r="B38" s="6">
        <v>2415.6917575699999</v>
      </c>
      <c r="C38" s="9">
        <f t="shared" si="0"/>
        <v>1.3154828742594183E-3</v>
      </c>
      <c r="E38" s="371">
        <v>27</v>
      </c>
      <c r="F38" s="371">
        <v>3128</v>
      </c>
      <c r="G38" s="9">
        <f t="shared" si="1"/>
        <v>1.6209479539936831E-3</v>
      </c>
    </row>
    <row r="39" spans="1:7" x14ac:dyDescent="0.25">
      <c r="A39">
        <v>28</v>
      </c>
      <c r="B39" s="6">
        <v>3355.6392179847999</v>
      </c>
      <c r="C39" s="9">
        <f t="shared" si="0"/>
        <v>1.8273382394998537E-3</v>
      </c>
      <c r="E39" s="371">
        <v>28</v>
      </c>
      <c r="F39" s="371">
        <v>2217</v>
      </c>
      <c r="G39" s="9">
        <f t="shared" si="1"/>
        <v>1.1488624085690521E-3</v>
      </c>
    </row>
    <row r="40" spans="1:7" x14ac:dyDescent="0.25">
      <c r="A40">
        <v>29</v>
      </c>
      <c r="B40" s="6">
        <v>1049.6642425371999</v>
      </c>
      <c r="C40" s="9">
        <f t="shared" si="0"/>
        <v>5.7160245319095053E-4</v>
      </c>
      <c r="E40" s="371">
        <v>29</v>
      </c>
      <c r="F40" s="371">
        <v>2738</v>
      </c>
      <c r="G40" s="9">
        <f t="shared" si="1"/>
        <v>1.4188476656121177E-3</v>
      </c>
    </row>
    <row r="41" spans="1:7" x14ac:dyDescent="0.25">
      <c r="A41">
        <v>30</v>
      </c>
      <c r="B41" s="6">
        <v>1586.4049019792001</v>
      </c>
      <c r="C41" s="9">
        <f t="shared" si="0"/>
        <v>8.638885626260852E-4</v>
      </c>
      <c r="E41" s="371">
        <v>30</v>
      </c>
      <c r="F41" s="371">
        <v>1829</v>
      </c>
      <c r="G41" s="9">
        <f t="shared" si="1"/>
        <v>9.4779853192277701E-4</v>
      </c>
    </row>
    <row r="42" spans="1:7" x14ac:dyDescent="0.25">
      <c r="A42">
        <v>31</v>
      </c>
      <c r="B42" s="6">
        <v>2692.1023777700002</v>
      </c>
      <c r="C42" s="9">
        <f t="shared" si="0"/>
        <v>1.4660043288270705E-3</v>
      </c>
      <c r="E42" s="371">
        <v>31</v>
      </c>
      <c r="F42" s="371">
        <v>1634</v>
      </c>
      <c r="G42" s="9">
        <f t="shared" si="1"/>
        <v>8.4674838773199433E-4</v>
      </c>
    </row>
    <row r="43" spans="1:7" x14ac:dyDescent="0.25">
      <c r="A43">
        <v>32</v>
      </c>
      <c r="B43" s="6">
        <v>1018.187280604</v>
      </c>
      <c r="C43" s="9">
        <f t="shared" si="0"/>
        <v>5.5446143996892719E-4</v>
      </c>
      <c r="E43" s="371">
        <v>32</v>
      </c>
      <c r="F43" s="371">
        <v>1344</v>
      </c>
      <c r="G43" s="9">
        <f t="shared" si="1"/>
        <v>6.9646868611493288E-4</v>
      </c>
    </row>
    <row r="44" spans="1:7" x14ac:dyDescent="0.25">
      <c r="A44">
        <v>33</v>
      </c>
      <c r="B44" s="6">
        <v>1938.4504638210001</v>
      </c>
      <c r="C44" s="9">
        <f t="shared" si="0"/>
        <v>1.0555975859775479E-3</v>
      </c>
      <c r="E44" s="371">
        <v>33</v>
      </c>
      <c r="F44" s="371">
        <v>1011</v>
      </c>
      <c r="G44" s="9">
        <f t="shared" si="1"/>
        <v>5.2390613218913473E-4</v>
      </c>
    </row>
    <row r="45" spans="1:7" x14ac:dyDescent="0.25">
      <c r="A45">
        <v>34</v>
      </c>
      <c r="B45" s="6">
        <v>1449.092665293</v>
      </c>
      <c r="C45" s="9">
        <f t="shared" si="0"/>
        <v>7.8911416509754712E-4</v>
      </c>
      <c r="E45" s="371">
        <v>34</v>
      </c>
      <c r="F45" s="371">
        <v>919</v>
      </c>
      <c r="G45" s="9">
        <f t="shared" si="1"/>
        <v>4.7623119236579118E-4</v>
      </c>
    </row>
    <row r="46" spans="1:7" x14ac:dyDescent="0.25">
      <c r="A46">
        <v>35</v>
      </c>
      <c r="B46" s="6">
        <v>1498.4045400750001</v>
      </c>
      <c r="C46" s="9">
        <f t="shared" si="0"/>
        <v>8.1596731247037218E-4</v>
      </c>
      <c r="E46" s="371">
        <v>35</v>
      </c>
      <c r="F46" s="371">
        <v>742</v>
      </c>
      <c r="G46" s="9">
        <f t="shared" si="1"/>
        <v>3.8450875379261918E-4</v>
      </c>
    </row>
    <row r="47" spans="1:7" x14ac:dyDescent="0.25">
      <c r="A47">
        <v>36</v>
      </c>
      <c r="B47" s="6">
        <v>1085.2722949449999</v>
      </c>
      <c r="C47" s="9">
        <f t="shared" si="0"/>
        <v>5.9099308238915252E-4</v>
      </c>
      <c r="E47" s="371">
        <v>36</v>
      </c>
      <c r="F47" s="371">
        <v>1027</v>
      </c>
      <c r="G47" s="9">
        <f t="shared" si="1"/>
        <v>5.3219742607145545E-4</v>
      </c>
    </row>
    <row r="48" spans="1:7" x14ac:dyDescent="0.25">
      <c r="A48">
        <v>37</v>
      </c>
      <c r="B48" s="6">
        <v>570.85698864400001</v>
      </c>
      <c r="C48" s="9">
        <f t="shared" si="0"/>
        <v>3.1086440969103018E-4</v>
      </c>
      <c r="E48" s="371">
        <v>37</v>
      </c>
      <c r="F48" s="371">
        <v>627</v>
      </c>
      <c r="G48" s="9">
        <f t="shared" si="1"/>
        <v>3.2491507901343967E-4</v>
      </c>
    </row>
    <row r="49" spans="1:7" x14ac:dyDescent="0.25">
      <c r="A49">
        <v>38</v>
      </c>
      <c r="B49" s="6">
        <v>4.59375</v>
      </c>
      <c r="C49" s="9">
        <f t="shared" si="0"/>
        <v>2.5015606542897654E-6</v>
      </c>
      <c r="E49" s="371">
        <v>38</v>
      </c>
      <c r="F49" s="371">
        <v>716</v>
      </c>
      <c r="G49" s="9">
        <f t="shared" si="1"/>
        <v>3.7103540123384815E-4</v>
      </c>
    </row>
    <row r="50" spans="1:7" x14ac:dyDescent="0.25">
      <c r="A50">
        <v>39</v>
      </c>
      <c r="B50" s="6">
        <v>396.03715620290001</v>
      </c>
      <c r="C50" s="9">
        <f t="shared" si="0"/>
        <v>2.1566497253746605E-4</v>
      </c>
      <c r="E50" s="371">
        <v>39</v>
      </c>
      <c r="F50" s="371">
        <v>504</v>
      </c>
      <c r="G50" s="9">
        <f t="shared" si="1"/>
        <v>2.611757572930998E-4</v>
      </c>
    </row>
    <row r="51" spans="1:7" x14ac:dyDescent="0.25">
      <c r="A51">
        <v>40</v>
      </c>
      <c r="B51" s="6">
        <v>2029.291388077</v>
      </c>
      <c r="C51" s="9">
        <f t="shared" si="0"/>
        <v>1.1050656854427181E-3</v>
      </c>
      <c r="E51" s="371">
        <v>40</v>
      </c>
      <c r="F51" s="371">
        <v>405</v>
      </c>
      <c r="G51" s="9">
        <f t="shared" si="1"/>
        <v>2.0987337639624093E-4</v>
      </c>
    </row>
    <row r="52" spans="1:7" x14ac:dyDescent="0.25">
      <c r="A52">
        <v>41</v>
      </c>
      <c r="B52" s="6">
        <v>2470.933528429</v>
      </c>
      <c r="C52" s="9">
        <f t="shared" si="0"/>
        <v>1.3455651905487605E-3</v>
      </c>
      <c r="E52" s="371">
        <v>41</v>
      </c>
      <c r="F52" s="371">
        <v>350</v>
      </c>
      <c r="G52" s="9">
        <f t="shared" si="1"/>
        <v>1.8137205367576377E-4</v>
      </c>
    </row>
    <row r="53" spans="1:7" x14ac:dyDescent="0.25">
      <c r="A53">
        <v>42</v>
      </c>
      <c r="B53" s="6">
        <v>0</v>
      </c>
      <c r="C53" s="9">
        <f t="shared" si="0"/>
        <v>0</v>
      </c>
      <c r="E53" s="371">
        <v>42</v>
      </c>
      <c r="F53" s="371">
        <v>256</v>
      </c>
      <c r="G53" s="9">
        <f t="shared" si="1"/>
        <v>1.3266070211713008E-4</v>
      </c>
    </row>
    <row r="54" spans="1:7" x14ac:dyDescent="0.25">
      <c r="A54">
        <v>43</v>
      </c>
      <c r="B54" s="6">
        <v>143.58927395500001</v>
      </c>
      <c r="C54" s="9">
        <f t="shared" si="0"/>
        <v>7.8192604757303344E-5</v>
      </c>
      <c r="E54" s="371">
        <v>43</v>
      </c>
      <c r="F54" s="371">
        <v>225</v>
      </c>
      <c r="G54" s="9">
        <f t="shared" si="1"/>
        <v>1.1659632022013385E-4</v>
      </c>
    </row>
    <row r="55" spans="1:7" x14ac:dyDescent="0.25">
      <c r="A55">
        <v>44</v>
      </c>
      <c r="B55" s="6">
        <v>1125.3988481578001</v>
      </c>
      <c r="C55" s="9">
        <f t="shared" si="0"/>
        <v>6.1284429473405712E-4</v>
      </c>
      <c r="E55" s="371">
        <v>44</v>
      </c>
      <c r="F55" s="371">
        <v>185</v>
      </c>
      <c r="G55" s="9">
        <f t="shared" si="1"/>
        <v>9.586808551433228E-5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160</v>
      </c>
      <c r="G56" s="9">
        <f t="shared" si="1"/>
        <v>8.2912938823206291E-5</v>
      </c>
    </row>
    <row r="57" spans="1:7" x14ac:dyDescent="0.25">
      <c r="A57">
        <v>46</v>
      </c>
      <c r="B57" s="6">
        <v>1531.936598843</v>
      </c>
      <c r="C57" s="9">
        <f t="shared" si="0"/>
        <v>8.3422744392536228E-4</v>
      </c>
      <c r="E57" s="371">
        <v>46</v>
      </c>
      <c r="F57" s="371">
        <v>181</v>
      </c>
      <c r="G57" s="9">
        <f t="shared" si="1"/>
        <v>9.3795262043752127E-5</v>
      </c>
    </row>
    <row r="58" spans="1:7" x14ac:dyDescent="0.25">
      <c r="A58">
        <v>47</v>
      </c>
      <c r="B58" s="6">
        <v>5149.1823438000001</v>
      </c>
      <c r="C58" s="9">
        <f t="shared" si="0"/>
        <v>2.8040254591594309E-3</v>
      </c>
      <c r="E58" s="371">
        <v>47</v>
      </c>
      <c r="F58" s="371">
        <v>149</v>
      </c>
      <c r="G58" s="9">
        <f t="shared" si="1"/>
        <v>7.7212674279110864E-5</v>
      </c>
    </row>
    <row r="59" spans="1:7" x14ac:dyDescent="0.25">
      <c r="A59">
        <v>48</v>
      </c>
      <c r="B59" s="6">
        <v>213.88651063500001</v>
      </c>
      <c r="C59" s="9">
        <f t="shared" si="0"/>
        <v>1.1647348669123168E-4</v>
      </c>
      <c r="E59" s="371">
        <v>48</v>
      </c>
      <c r="F59" s="371">
        <v>99</v>
      </c>
      <c r="G59" s="9">
        <f t="shared" si="1"/>
        <v>5.1302380896858892E-5</v>
      </c>
    </row>
    <row r="60" spans="1:7" x14ac:dyDescent="0.25">
      <c r="A60">
        <v>49</v>
      </c>
      <c r="B60" s="6">
        <v>406.81201188400001</v>
      </c>
      <c r="C60" s="9">
        <f t="shared" si="0"/>
        <v>2.2153250016249796E-4</v>
      </c>
      <c r="E60" s="371">
        <v>49</v>
      </c>
      <c r="F60" s="371">
        <v>109</v>
      </c>
      <c r="G60" s="9">
        <f t="shared" si="1"/>
        <v>5.6484439573309288E-5</v>
      </c>
    </row>
    <row r="61" spans="1:7" x14ac:dyDescent="0.25">
      <c r="A61">
        <v>50</v>
      </c>
      <c r="B61" s="6">
        <v>454.36723363099998</v>
      </c>
      <c r="C61" s="9">
        <f t="shared" si="0"/>
        <v>2.4742904908839076E-4</v>
      </c>
      <c r="E61" s="371">
        <v>50</v>
      </c>
      <c r="F61" s="371">
        <v>74</v>
      </c>
      <c r="G61" s="9">
        <f t="shared" si="1"/>
        <v>3.8347234205732909E-5</v>
      </c>
    </row>
    <row r="62" spans="1:7" x14ac:dyDescent="0.25">
      <c r="A62">
        <v>51</v>
      </c>
      <c r="B62" s="6">
        <v>94.724486434799999</v>
      </c>
      <c r="C62" s="9">
        <f t="shared" si="0"/>
        <v>5.1582922070878976E-5</v>
      </c>
      <c r="E62" s="371">
        <v>51</v>
      </c>
      <c r="F62" s="371">
        <v>63</v>
      </c>
      <c r="G62" s="9">
        <f t="shared" si="1"/>
        <v>3.2646969661637475E-5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38</v>
      </c>
      <c r="G63" s="9">
        <f t="shared" si="1"/>
        <v>1.9691822970511496E-5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33</v>
      </c>
      <c r="G64" s="9">
        <f t="shared" si="1"/>
        <v>1.7100793632286298E-5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33</v>
      </c>
      <c r="G65" s="9">
        <f t="shared" si="1"/>
        <v>1.7100793632286298E-5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34</v>
      </c>
      <c r="G66" s="9">
        <f t="shared" si="1"/>
        <v>1.7618999499931337E-5</v>
      </c>
    </row>
    <row r="67" spans="1:7" x14ac:dyDescent="0.25">
      <c r="A67">
        <v>56</v>
      </c>
      <c r="B67" s="6">
        <v>767.70177890100001</v>
      </c>
      <c r="C67" s="9">
        <f t="shared" si="0"/>
        <v>4.1805770107798695E-4</v>
      </c>
      <c r="E67" s="371">
        <v>56</v>
      </c>
      <c r="F67" s="371">
        <v>22</v>
      </c>
      <c r="G67" s="9">
        <f t="shared" si="1"/>
        <v>1.1400529088190866E-5</v>
      </c>
    </row>
    <row r="68" spans="1:7" x14ac:dyDescent="0.25">
      <c r="A68">
        <v>57</v>
      </c>
      <c r="B68" s="6">
        <v>654.90721806900001</v>
      </c>
      <c r="C68" s="9">
        <f t="shared" si="0"/>
        <v>3.5663458588991079E-4</v>
      </c>
      <c r="E68" s="371">
        <v>57</v>
      </c>
      <c r="F68" s="371">
        <v>19</v>
      </c>
      <c r="G68" s="9">
        <f t="shared" si="1"/>
        <v>9.8459114852557481E-6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20</v>
      </c>
      <c r="G69" s="9">
        <f t="shared" si="1"/>
        <v>1.0364117352900786E-5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17</v>
      </c>
      <c r="G70" s="9">
        <f t="shared" si="1"/>
        <v>8.8094997499656683E-6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20</v>
      </c>
      <c r="G71" s="9">
        <f t="shared" si="1"/>
        <v>1.0364117352900786E-5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14</v>
      </c>
      <c r="G72" s="9">
        <f t="shared" si="1"/>
        <v>7.2548821470305511E-6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6</v>
      </c>
      <c r="G73" s="9">
        <f t="shared" si="1"/>
        <v>3.1092352058702361E-6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6</v>
      </c>
      <c r="G74" s="9">
        <f t="shared" si="1"/>
        <v>3.1092352058702361E-6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3</v>
      </c>
      <c r="G75" s="9">
        <f t="shared" si="1"/>
        <v>1.554617602935118E-6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7</v>
      </c>
      <c r="G76" s="9">
        <f t="shared" si="1"/>
        <v>3.6274410735152756E-6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3</v>
      </c>
      <c r="G77" s="9">
        <f t="shared" ref="G77:G102" si="3">F77/F$102</f>
        <v>1.554617602935118E-6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3</v>
      </c>
      <c r="G78" s="9">
        <f t="shared" si="3"/>
        <v>1.554617602935118E-6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3</v>
      </c>
      <c r="G79" s="9">
        <f t="shared" si="3"/>
        <v>1.554617602935118E-6</v>
      </c>
    </row>
    <row r="80" spans="1:7" x14ac:dyDescent="0.25">
      <c r="A80">
        <v>69</v>
      </c>
      <c r="B80" s="6">
        <v>376.59752303599998</v>
      </c>
      <c r="C80" s="9">
        <f t="shared" si="2"/>
        <v>2.0507897602826475E-4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3</v>
      </c>
      <c r="G81" s="9">
        <f t="shared" si="3"/>
        <v>1.554617602935118E-6</v>
      </c>
    </row>
    <row r="82" spans="1:7" x14ac:dyDescent="0.25">
      <c r="A82">
        <v>71</v>
      </c>
      <c r="B82" s="6">
        <v>5138.6398891689996</v>
      </c>
      <c r="C82" s="9">
        <f t="shared" si="2"/>
        <v>2.7982844872509586E-3</v>
      </c>
      <c r="E82" s="371">
        <v>71</v>
      </c>
      <c r="F82" s="371">
        <v>1</v>
      </c>
      <c r="G82" s="9">
        <f t="shared" si="3"/>
        <v>5.1820586764503938E-7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2</v>
      </c>
      <c r="G83" s="9">
        <f t="shared" si="3"/>
        <v>1.0364117352900788E-6</v>
      </c>
    </row>
    <row r="84" spans="1:7" x14ac:dyDescent="0.25">
      <c r="A84">
        <v>73</v>
      </c>
      <c r="B84" s="6">
        <v>224.14029938100001</v>
      </c>
      <c r="C84" s="9">
        <f t="shared" si="2"/>
        <v>1.2205726344973895E-4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0</v>
      </c>
      <c r="G85" s="9">
        <f t="shared" si="3"/>
        <v>0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0</v>
      </c>
      <c r="G86" s="9">
        <f t="shared" si="3"/>
        <v>0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1</v>
      </c>
      <c r="G88" s="9">
        <f t="shared" si="3"/>
        <v>5.1820586764503938E-7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1</v>
      </c>
      <c r="G91" s="9">
        <f t="shared" si="3"/>
        <v>5.1820586764503938E-7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85.726011573299999</v>
      </c>
      <c r="C93" s="9">
        <f t="shared" si="2"/>
        <v>4.6682735804289817E-5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297.86849481799999</v>
      </c>
      <c r="C95" s="9">
        <f t="shared" si="2"/>
        <v>1.6220649943710991E-4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176.09468512230001</v>
      </c>
      <c r="C101" s="9">
        <f t="shared" si="2"/>
        <v>9.5893667642229342E-5</v>
      </c>
      <c r="E101" s="372">
        <v>90</v>
      </c>
      <c r="F101" s="372">
        <v>2</v>
      </c>
      <c r="G101" s="9">
        <f t="shared" si="3"/>
        <v>1.0364117352900788E-6</v>
      </c>
    </row>
    <row r="102" spans="1:7" x14ac:dyDescent="0.25">
      <c r="B102" s="6">
        <f>SUM(B11:B101)</f>
        <v>1836353.6347289735</v>
      </c>
      <c r="C102" s="9">
        <f t="shared" si="2"/>
        <v>1</v>
      </c>
      <c r="F102" s="6">
        <f>SUM(F11:F101)</f>
        <v>1929735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0</v>
      </c>
      <c r="C11" s="9">
        <f>B11/B$102</f>
        <v>0</v>
      </c>
      <c r="E11" s="371">
        <v>0</v>
      </c>
      <c r="F11" s="371">
        <v>12962</v>
      </c>
      <c r="G11" s="9">
        <f>F11/F$102</f>
        <v>6.716984456415E-3</v>
      </c>
      <c r="K11" s="6">
        <v>28.843529241417421</v>
      </c>
      <c r="L11" s="6">
        <v>19.057131184493112</v>
      </c>
    </row>
    <row r="12" spans="1:12" x14ac:dyDescent="0.25">
      <c r="A12">
        <v>1</v>
      </c>
      <c r="B12" s="6">
        <v>5313.2542177619998</v>
      </c>
      <c r="C12" s="9">
        <f>B12/B$102</f>
        <v>2.8933720157589254E-3</v>
      </c>
      <c r="E12" s="371">
        <v>1</v>
      </c>
      <c r="F12" s="371">
        <v>52251</v>
      </c>
      <c r="G12" s="9">
        <f>F12/F$102</f>
        <v>2.7076774790320952E-2</v>
      </c>
      <c r="K12" s="6"/>
      <c r="L12" s="371"/>
    </row>
    <row r="13" spans="1:12" x14ac:dyDescent="0.25">
      <c r="A13">
        <v>2</v>
      </c>
      <c r="B13" s="6">
        <v>6389.6046907161999</v>
      </c>
      <c r="C13" s="9">
        <f t="shared" ref="C13:C76" si="0">B13/B$102</f>
        <v>3.4795066537710953E-3</v>
      </c>
      <c r="E13" s="371">
        <v>2</v>
      </c>
      <c r="F13" s="371">
        <v>65346</v>
      </c>
      <c r="G13" s="9">
        <f t="shared" ref="G13:G76" si="1">F13/F$102</f>
        <v>3.3862680627132741E-2</v>
      </c>
    </row>
    <row r="14" spans="1:12" x14ac:dyDescent="0.25">
      <c r="A14">
        <v>3</v>
      </c>
      <c r="B14" s="6">
        <v>13973.773785649</v>
      </c>
      <c r="C14" s="9">
        <f t="shared" si="0"/>
        <v>7.6095222191293133E-3</v>
      </c>
      <c r="E14" s="371">
        <v>3</v>
      </c>
      <c r="F14" s="371">
        <v>75802</v>
      </c>
      <c r="G14" s="9">
        <f t="shared" si="1"/>
        <v>3.9281041179229273E-2</v>
      </c>
    </row>
    <row r="15" spans="1:12" x14ac:dyDescent="0.25">
      <c r="A15">
        <v>4</v>
      </c>
      <c r="B15" s="6">
        <v>13800.101385461499</v>
      </c>
      <c r="C15" s="9">
        <f t="shared" si="0"/>
        <v>7.5149476247249334E-3</v>
      </c>
      <c r="E15" s="371">
        <v>4</v>
      </c>
      <c r="F15" s="371">
        <v>77866</v>
      </c>
      <c r="G15" s="9">
        <f t="shared" si="1"/>
        <v>4.0350618090048633E-2</v>
      </c>
    </row>
    <row r="16" spans="1:12" x14ac:dyDescent="0.25">
      <c r="A16">
        <v>5</v>
      </c>
      <c r="B16" s="6">
        <v>34458.816754892803</v>
      </c>
      <c r="C16" s="9">
        <f t="shared" si="0"/>
        <v>1.8764804394540573E-2</v>
      </c>
      <c r="E16" s="371">
        <v>5</v>
      </c>
      <c r="F16" s="371">
        <v>73974</v>
      </c>
      <c r="G16" s="9">
        <f t="shared" si="1"/>
        <v>3.8333760853174144E-2</v>
      </c>
    </row>
    <row r="17" spans="1:7" x14ac:dyDescent="0.25">
      <c r="A17">
        <v>6</v>
      </c>
      <c r="B17" s="6">
        <v>28394.946194511998</v>
      </c>
      <c r="C17" s="9">
        <f t="shared" si="0"/>
        <v>1.5462678678827998E-2</v>
      </c>
      <c r="E17" s="371">
        <v>6</v>
      </c>
      <c r="F17" s="371">
        <v>69991</v>
      </c>
      <c r="G17" s="9">
        <f t="shared" si="1"/>
        <v>3.6269746882343946E-2</v>
      </c>
    </row>
    <row r="18" spans="1:7" x14ac:dyDescent="0.25">
      <c r="A18">
        <v>7</v>
      </c>
      <c r="B18" s="6">
        <v>26352.367265438901</v>
      </c>
      <c r="C18" s="9">
        <f t="shared" si="0"/>
        <v>1.4350377164324468E-2</v>
      </c>
      <c r="E18" s="371">
        <v>7</v>
      </c>
      <c r="F18" s="371">
        <v>65355</v>
      </c>
      <c r="G18" s="9">
        <f t="shared" si="1"/>
        <v>3.3867344479941545E-2</v>
      </c>
    </row>
    <row r="19" spans="1:7" x14ac:dyDescent="0.25">
      <c r="A19">
        <v>8</v>
      </c>
      <c r="B19" s="6">
        <v>16526.949671931201</v>
      </c>
      <c r="C19" s="9">
        <f t="shared" si="0"/>
        <v>8.9998730959956977E-3</v>
      </c>
      <c r="E19" s="371">
        <v>8</v>
      </c>
      <c r="F19" s="371">
        <v>59447</v>
      </c>
      <c r="G19" s="9">
        <f t="shared" si="1"/>
        <v>3.0805784213894655E-2</v>
      </c>
    </row>
    <row r="20" spans="1:7" x14ac:dyDescent="0.25">
      <c r="A20">
        <v>9</v>
      </c>
      <c r="B20" s="6">
        <v>26699.429964515199</v>
      </c>
      <c r="C20" s="9">
        <f t="shared" si="0"/>
        <v>1.4539372732777448E-2</v>
      </c>
      <c r="E20" s="371">
        <v>9</v>
      </c>
      <c r="F20" s="371">
        <v>53487</v>
      </c>
      <c r="G20" s="9">
        <f t="shared" si="1"/>
        <v>2.771727724273022E-2</v>
      </c>
    </row>
    <row r="21" spans="1:7" x14ac:dyDescent="0.25">
      <c r="A21">
        <v>10</v>
      </c>
      <c r="B21" s="6">
        <v>12987.020080087001</v>
      </c>
      <c r="C21" s="9">
        <f t="shared" si="0"/>
        <v>7.072178165728818E-3</v>
      </c>
      <c r="E21" s="371">
        <v>10</v>
      </c>
      <c r="F21" s="371">
        <v>48398</v>
      </c>
      <c r="G21" s="9">
        <f t="shared" si="1"/>
        <v>2.5080127582284614E-2</v>
      </c>
    </row>
    <row r="22" spans="1:7" x14ac:dyDescent="0.25">
      <c r="A22">
        <v>11</v>
      </c>
      <c r="B22" s="6">
        <v>30669.628192100001</v>
      </c>
      <c r="C22" s="9">
        <f t="shared" si="0"/>
        <v>1.6701373641807567E-2</v>
      </c>
      <c r="E22" s="371">
        <v>11</v>
      </c>
      <c r="F22" s="371">
        <v>42021</v>
      </c>
      <c r="G22" s="9">
        <f t="shared" si="1"/>
        <v>2.1775528764312199E-2</v>
      </c>
    </row>
    <row r="23" spans="1:7" x14ac:dyDescent="0.25">
      <c r="A23">
        <v>12</v>
      </c>
      <c r="B23" s="6">
        <v>20330.218013868001</v>
      </c>
      <c r="C23" s="9">
        <f t="shared" si="0"/>
        <v>1.1070971096952426E-2</v>
      </c>
      <c r="E23" s="371">
        <v>12</v>
      </c>
      <c r="F23" s="371">
        <v>38440</v>
      </c>
      <c r="G23" s="9">
        <f t="shared" si="1"/>
        <v>1.9919833552275314E-2</v>
      </c>
    </row>
    <row r="24" spans="1:7" x14ac:dyDescent="0.25">
      <c r="A24">
        <v>13</v>
      </c>
      <c r="B24" s="6">
        <v>41291.823039756702</v>
      </c>
      <c r="C24" s="9">
        <f t="shared" si="0"/>
        <v>2.2485768677039667E-2</v>
      </c>
      <c r="E24" s="371">
        <v>13</v>
      </c>
      <c r="F24" s="371">
        <v>33623</v>
      </c>
      <c r="G24" s="9">
        <f t="shared" si="1"/>
        <v>1.7423635887829157E-2</v>
      </c>
    </row>
    <row r="25" spans="1:7" x14ac:dyDescent="0.25">
      <c r="A25">
        <v>14</v>
      </c>
      <c r="B25" s="6">
        <v>29980.084801155099</v>
      </c>
      <c r="C25" s="9">
        <f t="shared" si="0"/>
        <v>1.6325877670931199E-2</v>
      </c>
      <c r="E25" s="371">
        <v>14</v>
      </c>
      <c r="F25" s="371">
        <v>29400</v>
      </c>
      <c r="G25" s="9">
        <f t="shared" si="1"/>
        <v>1.5235252508764157E-2</v>
      </c>
    </row>
    <row r="26" spans="1:7" x14ac:dyDescent="0.25">
      <c r="A26">
        <v>15</v>
      </c>
      <c r="B26" s="6">
        <v>17899.941986115198</v>
      </c>
      <c r="C26" s="9">
        <f t="shared" si="0"/>
        <v>9.7475462501301052E-3</v>
      </c>
      <c r="E26" s="371">
        <v>15</v>
      </c>
      <c r="F26" s="371">
        <v>28013</v>
      </c>
      <c r="G26" s="9">
        <f t="shared" si="1"/>
        <v>1.4516500970340487E-2</v>
      </c>
    </row>
    <row r="27" spans="1:7" x14ac:dyDescent="0.25">
      <c r="A27">
        <v>16</v>
      </c>
      <c r="B27" s="6">
        <v>72842.591019336993</v>
      </c>
      <c r="C27" s="9">
        <f t="shared" si="0"/>
        <v>3.9666973529359328E-2</v>
      </c>
      <c r="E27" s="371">
        <v>16</v>
      </c>
      <c r="F27" s="371">
        <v>25392</v>
      </c>
      <c r="G27" s="9">
        <f t="shared" si="1"/>
        <v>1.3158283391242838E-2</v>
      </c>
    </row>
    <row r="28" spans="1:7" x14ac:dyDescent="0.25">
      <c r="A28">
        <v>17</v>
      </c>
      <c r="B28" s="6">
        <v>46574.581296400902</v>
      </c>
      <c r="C28" s="9">
        <f t="shared" si="0"/>
        <v>2.5362533890850938E-2</v>
      </c>
      <c r="E28" s="371">
        <v>17</v>
      </c>
      <c r="F28" s="371">
        <v>23353</v>
      </c>
      <c r="G28" s="9">
        <f t="shared" si="1"/>
        <v>1.2101661627114603E-2</v>
      </c>
    </row>
    <row r="29" spans="1:7" x14ac:dyDescent="0.25">
      <c r="A29">
        <v>18</v>
      </c>
      <c r="B29" s="6">
        <v>113264.12254772949</v>
      </c>
      <c r="C29" s="9">
        <f t="shared" si="0"/>
        <v>6.1678818505154685E-2</v>
      </c>
      <c r="E29" s="371">
        <v>18</v>
      </c>
      <c r="F29" s="371">
        <v>194980</v>
      </c>
      <c r="G29" s="9">
        <f t="shared" si="1"/>
        <v>0.10103978007342977</v>
      </c>
    </row>
    <row r="30" spans="1:7" x14ac:dyDescent="0.25">
      <c r="A30">
        <v>19</v>
      </c>
      <c r="B30" s="6">
        <v>83456.422747018602</v>
      </c>
      <c r="C30" s="9">
        <f t="shared" si="0"/>
        <v>4.5446814365543424E-2</v>
      </c>
      <c r="E30" s="371">
        <v>19</v>
      </c>
      <c r="F30" s="371">
        <v>67458</v>
      </c>
      <c r="G30" s="9">
        <f t="shared" si="1"/>
        <v>3.4957131419599066E-2</v>
      </c>
    </row>
    <row r="31" spans="1:7" x14ac:dyDescent="0.25">
      <c r="A31">
        <v>20</v>
      </c>
      <c r="B31" s="6">
        <v>112739.6663888013</v>
      </c>
      <c r="C31" s="9">
        <f t="shared" si="0"/>
        <v>6.1393222011641824E-2</v>
      </c>
      <c r="E31" s="371">
        <v>20</v>
      </c>
      <c r="F31" s="371">
        <v>67603</v>
      </c>
      <c r="G31" s="9">
        <f t="shared" si="1"/>
        <v>3.5032271270407596E-2</v>
      </c>
    </row>
    <row r="32" spans="1:7" x14ac:dyDescent="0.25">
      <c r="A32">
        <v>21</v>
      </c>
      <c r="B32" s="6">
        <v>116179.21893637891</v>
      </c>
      <c r="C32" s="9">
        <f t="shared" si="0"/>
        <v>6.3266255877520952E-2</v>
      </c>
      <c r="E32" s="371">
        <v>21</v>
      </c>
      <c r="F32" s="371">
        <v>77073</v>
      </c>
      <c r="G32" s="9">
        <f t="shared" si="1"/>
        <v>3.9939680837006115E-2</v>
      </c>
    </row>
    <row r="33" spans="1:7" x14ac:dyDescent="0.25">
      <c r="A33">
        <v>22</v>
      </c>
      <c r="B33" s="6">
        <v>67523.336907127494</v>
      </c>
      <c r="C33" s="9">
        <f t="shared" si="0"/>
        <v>3.6770334226551751E-2</v>
      </c>
      <c r="E33" s="371">
        <v>22</v>
      </c>
      <c r="F33" s="371">
        <v>74545</v>
      </c>
      <c r="G33" s="9">
        <f t="shared" si="1"/>
        <v>3.8629656403599458E-2</v>
      </c>
    </row>
    <row r="34" spans="1:7" x14ac:dyDescent="0.25">
      <c r="A34">
        <v>23</v>
      </c>
      <c r="B34" s="6">
        <v>50583.315418608603</v>
      </c>
      <c r="C34" s="9">
        <f t="shared" si="0"/>
        <v>2.754551980728601E-2</v>
      </c>
      <c r="E34" s="371">
        <v>23</v>
      </c>
      <c r="F34" s="371">
        <v>64943</v>
      </c>
      <c r="G34" s="9">
        <f t="shared" si="1"/>
        <v>3.3653843662471788E-2</v>
      </c>
    </row>
    <row r="35" spans="1:7" x14ac:dyDescent="0.25">
      <c r="A35">
        <v>24</v>
      </c>
      <c r="B35" s="6">
        <v>80460.4084551868</v>
      </c>
      <c r="C35" s="9">
        <f t="shared" si="0"/>
        <v>4.381531254847975E-2</v>
      </c>
      <c r="E35" s="371">
        <v>24</v>
      </c>
      <c r="F35" s="371">
        <v>41852</v>
      </c>
      <c r="G35" s="9">
        <f t="shared" si="1"/>
        <v>2.1687951972680187E-2</v>
      </c>
    </row>
    <row r="36" spans="1:7" x14ac:dyDescent="0.25">
      <c r="A36">
        <v>25</v>
      </c>
      <c r="B36" s="6">
        <v>35770.8225262329</v>
      </c>
      <c r="C36" s="9">
        <f t="shared" si="0"/>
        <v>1.9479266874167345E-2</v>
      </c>
      <c r="E36" s="371">
        <v>25</v>
      </c>
      <c r="F36" s="371">
        <v>42772</v>
      </c>
      <c r="G36" s="9">
        <f t="shared" si="1"/>
        <v>2.2164701370913621E-2</v>
      </c>
    </row>
    <row r="37" spans="1:7" x14ac:dyDescent="0.25">
      <c r="A37">
        <v>26</v>
      </c>
      <c r="B37" s="6">
        <v>112389.36917474979</v>
      </c>
      <c r="C37" s="9">
        <f t="shared" si="0"/>
        <v>6.1202465064054655E-2</v>
      </c>
      <c r="E37" s="371">
        <v>26</v>
      </c>
      <c r="F37" s="371">
        <v>34872</v>
      </c>
      <c r="G37" s="9">
        <f t="shared" si="1"/>
        <v>1.8070875016517812E-2</v>
      </c>
    </row>
    <row r="38" spans="1:7" x14ac:dyDescent="0.25">
      <c r="A38">
        <v>27</v>
      </c>
      <c r="B38" s="6">
        <v>24031.5465713304</v>
      </c>
      <c r="C38" s="9">
        <f t="shared" si="0"/>
        <v>1.3086557031743617E-2</v>
      </c>
      <c r="E38" s="371">
        <v>27</v>
      </c>
      <c r="F38" s="371">
        <v>31823</v>
      </c>
      <c r="G38" s="9">
        <f t="shared" si="1"/>
        <v>1.6490865326068086E-2</v>
      </c>
    </row>
    <row r="39" spans="1:7" x14ac:dyDescent="0.25">
      <c r="A39">
        <v>28</v>
      </c>
      <c r="B39" s="6">
        <v>33903.287707422998</v>
      </c>
      <c r="C39" s="9">
        <f t="shared" si="0"/>
        <v>1.8462286928969847E-2</v>
      </c>
      <c r="E39" s="371">
        <v>28</v>
      </c>
      <c r="F39" s="371">
        <v>38413</v>
      </c>
      <c r="G39" s="9">
        <f t="shared" si="1"/>
        <v>1.9905841993848896E-2</v>
      </c>
    </row>
    <row r="40" spans="1:7" x14ac:dyDescent="0.25">
      <c r="A40">
        <v>29</v>
      </c>
      <c r="B40" s="6">
        <v>33390.594386746801</v>
      </c>
      <c r="C40" s="9">
        <f t="shared" si="0"/>
        <v>1.8183095976323154E-2</v>
      </c>
      <c r="E40" s="371">
        <v>29</v>
      </c>
      <c r="F40" s="371">
        <v>31377</v>
      </c>
      <c r="G40" s="9">
        <f t="shared" si="1"/>
        <v>1.6259745509098398E-2</v>
      </c>
    </row>
    <row r="41" spans="1:7" x14ac:dyDescent="0.25">
      <c r="A41">
        <v>30</v>
      </c>
      <c r="B41" s="6">
        <v>12524.7176558547</v>
      </c>
      <c r="C41" s="9">
        <f t="shared" si="0"/>
        <v>6.8204279497087253E-3</v>
      </c>
      <c r="E41" s="371">
        <v>30</v>
      </c>
      <c r="F41" s="371">
        <v>22932</v>
      </c>
      <c r="G41" s="9">
        <f t="shared" si="1"/>
        <v>1.1883496956836043E-2</v>
      </c>
    </row>
    <row r="42" spans="1:7" x14ac:dyDescent="0.25">
      <c r="A42">
        <v>31</v>
      </c>
      <c r="B42" s="6">
        <v>25089.3246470452</v>
      </c>
      <c r="C42" s="9">
        <f t="shared" si="0"/>
        <v>1.366257793300696E-2</v>
      </c>
      <c r="E42" s="371">
        <v>31</v>
      </c>
      <c r="F42" s="371">
        <v>19027</v>
      </c>
      <c r="G42" s="9">
        <f t="shared" si="1"/>
        <v>9.8599030436821635E-3</v>
      </c>
    </row>
    <row r="43" spans="1:7" x14ac:dyDescent="0.25">
      <c r="A43">
        <v>32</v>
      </c>
      <c r="B43" s="6">
        <v>14873.197660867299</v>
      </c>
      <c r="C43" s="9">
        <f t="shared" si="0"/>
        <v>8.0993101653116101E-3</v>
      </c>
      <c r="E43" s="371">
        <v>32</v>
      </c>
      <c r="F43" s="371">
        <v>21445</v>
      </c>
      <c r="G43" s="9">
        <f t="shared" si="1"/>
        <v>1.1112924831647868E-2</v>
      </c>
    </row>
    <row r="44" spans="1:7" x14ac:dyDescent="0.25">
      <c r="A44">
        <v>33</v>
      </c>
      <c r="B44" s="6">
        <v>27548.408202362101</v>
      </c>
      <c r="C44" s="9">
        <f t="shared" si="0"/>
        <v>1.5001690132754824E-2</v>
      </c>
      <c r="E44" s="371">
        <v>33</v>
      </c>
      <c r="F44" s="371">
        <v>24892</v>
      </c>
      <c r="G44" s="9">
        <f t="shared" si="1"/>
        <v>1.289918045742032E-2</v>
      </c>
    </row>
    <row r="45" spans="1:7" x14ac:dyDescent="0.25">
      <c r="A45">
        <v>34</v>
      </c>
      <c r="B45" s="6">
        <v>37714.2587981178</v>
      </c>
      <c r="C45" s="9">
        <f t="shared" si="0"/>
        <v>2.0537579518927478E-2</v>
      </c>
      <c r="E45" s="371">
        <v>34</v>
      </c>
      <c r="F45" s="371">
        <v>24856</v>
      </c>
      <c r="G45" s="9">
        <f t="shared" si="1"/>
        <v>1.2880525046185098E-2</v>
      </c>
    </row>
    <row r="46" spans="1:7" x14ac:dyDescent="0.25">
      <c r="A46">
        <v>35</v>
      </c>
      <c r="B46" s="6">
        <v>24955.971442865899</v>
      </c>
      <c r="C46" s="9">
        <f t="shared" si="0"/>
        <v>1.3589959456011389E-2</v>
      </c>
      <c r="E46" s="371">
        <v>35</v>
      </c>
      <c r="F46" s="371">
        <v>15572</v>
      </c>
      <c r="G46" s="9">
        <f t="shared" si="1"/>
        <v>8.0695017709685526E-3</v>
      </c>
    </row>
    <row r="47" spans="1:7" x14ac:dyDescent="0.25">
      <c r="A47">
        <v>36</v>
      </c>
      <c r="B47" s="6">
        <v>11672.634303443599</v>
      </c>
      <c r="C47" s="9">
        <f t="shared" si="0"/>
        <v>6.356419636551299E-3</v>
      </c>
      <c r="E47" s="371">
        <v>36</v>
      </c>
      <c r="F47" s="371">
        <v>10120</v>
      </c>
      <c r="G47" s="9">
        <f t="shared" si="1"/>
        <v>5.2442433805677978E-3</v>
      </c>
    </row>
    <row r="48" spans="1:7" x14ac:dyDescent="0.25">
      <c r="A48">
        <v>37</v>
      </c>
      <c r="B48" s="6">
        <v>24737.869460338199</v>
      </c>
      <c r="C48" s="9">
        <f t="shared" si="0"/>
        <v>1.3471190402816528E-2</v>
      </c>
      <c r="E48" s="371">
        <v>37</v>
      </c>
      <c r="F48" s="371">
        <v>12064</v>
      </c>
      <c r="G48" s="9">
        <f t="shared" si="1"/>
        <v>6.2516355872697547E-3</v>
      </c>
    </row>
    <row r="49" spans="1:7" x14ac:dyDescent="0.25">
      <c r="A49">
        <v>38</v>
      </c>
      <c r="B49" s="6">
        <v>22185.304254814</v>
      </c>
      <c r="C49" s="9">
        <f t="shared" si="0"/>
        <v>1.2081172076688984E-2</v>
      </c>
      <c r="E49" s="371">
        <v>38</v>
      </c>
      <c r="F49" s="371">
        <v>10534</v>
      </c>
      <c r="G49" s="9">
        <f t="shared" si="1"/>
        <v>5.4587806097728441E-3</v>
      </c>
    </row>
    <row r="50" spans="1:7" x14ac:dyDescent="0.25">
      <c r="A50">
        <v>39</v>
      </c>
      <c r="B50" s="6">
        <v>10317.9096040444</v>
      </c>
      <c r="C50" s="9">
        <f t="shared" si="0"/>
        <v>5.6186942476181686E-3</v>
      </c>
      <c r="E50" s="371">
        <v>39</v>
      </c>
      <c r="F50" s="371">
        <v>11434</v>
      </c>
      <c r="G50" s="9">
        <f t="shared" si="1"/>
        <v>5.9251658906533796E-3</v>
      </c>
    </row>
    <row r="51" spans="1:7" x14ac:dyDescent="0.25">
      <c r="A51">
        <v>40</v>
      </c>
      <c r="B51" s="6">
        <v>17700.904503316498</v>
      </c>
      <c r="C51" s="9">
        <f t="shared" si="0"/>
        <v>9.6391589117468448E-3</v>
      </c>
      <c r="E51" s="371">
        <v>40</v>
      </c>
      <c r="F51" s="371">
        <v>9383</v>
      </c>
      <c r="G51" s="9">
        <f t="shared" si="1"/>
        <v>4.8623256561134039E-3</v>
      </c>
    </row>
    <row r="52" spans="1:7" x14ac:dyDescent="0.25">
      <c r="A52">
        <v>41</v>
      </c>
      <c r="B52" s="6">
        <v>17719.276414024302</v>
      </c>
      <c r="C52" s="9">
        <f t="shared" si="0"/>
        <v>9.6491634720670127E-3</v>
      </c>
      <c r="E52" s="371">
        <v>41</v>
      </c>
      <c r="F52" s="371">
        <v>7609</v>
      </c>
      <c r="G52" s="9">
        <f t="shared" si="1"/>
        <v>3.9430284469111039E-3</v>
      </c>
    </row>
    <row r="53" spans="1:7" x14ac:dyDescent="0.25">
      <c r="A53">
        <v>42</v>
      </c>
      <c r="B53" s="6">
        <v>4971.9996765032001</v>
      </c>
      <c r="C53" s="9">
        <f t="shared" si="0"/>
        <v>2.7075393227497897E-3</v>
      </c>
      <c r="E53" s="371">
        <v>42</v>
      </c>
      <c r="F53" s="371">
        <v>6377</v>
      </c>
      <c r="G53" s="9">
        <f t="shared" si="1"/>
        <v>3.3045988179724161E-3</v>
      </c>
    </row>
    <row r="54" spans="1:7" x14ac:dyDescent="0.25">
      <c r="A54">
        <v>43</v>
      </c>
      <c r="B54" s="6">
        <v>4521.3538647610003</v>
      </c>
      <c r="C54" s="9">
        <f t="shared" si="0"/>
        <v>2.4621368015688896E-3</v>
      </c>
      <c r="E54" s="371">
        <v>43</v>
      </c>
      <c r="F54" s="371">
        <v>5852</v>
      </c>
      <c r="G54" s="9">
        <f t="shared" si="1"/>
        <v>3.0325407374587701E-3</v>
      </c>
    </row>
    <row r="55" spans="1:7" x14ac:dyDescent="0.25">
      <c r="A55">
        <v>44</v>
      </c>
      <c r="B55" s="6">
        <v>5576.0734471752003</v>
      </c>
      <c r="C55" s="9">
        <f t="shared" si="0"/>
        <v>3.0364921776072666E-3</v>
      </c>
      <c r="E55" s="371">
        <v>44</v>
      </c>
      <c r="F55" s="371">
        <v>5877</v>
      </c>
      <c r="G55" s="9">
        <f t="shared" si="1"/>
        <v>3.0454958841498962E-3</v>
      </c>
    </row>
    <row r="56" spans="1:7" x14ac:dyDescent="0.25">
      <c r="A56">
        <v>45</v>
      </c>
      <c r="B56" s="6">
        <v>97690.7346128137</v>
      </c>
      <c r="C56" s="9">
        <f t="shared" si="0"/>
        <v>5.3198214529758488E-2</v>
      </c>
      <c r="E56" s="371">
        <v>45</v>
      </c>
      <c r="F56" s="371">
        <v>6053</v>
      </c>
      <c r="G56" s="9">
        <f t="shared" si="1"/>
        <v>3.136700116855423E-3</v>
      </c>
    </row>
    <row r="57" spans="1:7" x14ac:dyDescent="0.25">
      <c r="A57">
        <v>46</v>
      </c>
      <c r="B57" s="6">
        <v>6548.0381223014001</v>
      </c>
      <c r="C57" s="9">
        <f t="shared" si="0"/>
        <v>3.5657827547294946E-3</v>
      </c>
      <c r="E57" s="371">
        <v>46</v>
      </c>
      <c r="F57" s="371">
        <v>4446</v>
      </c>
      <c r="G57" s="9">
        <f t="shared" si="1"/>
        <v>2.3039432875498447E-3</v>
      </c>
    </row>
    <row r="58" spans="1:7" x14ac:dyDescent="0.25">
      <c r="A58">
        <v>47</v>
      </c>
      <c r="B58" s="6">
        <v>5066.7335276112999</v>
      </c>
      <c r="C58" s="9">
        <f t="shared" si="0"/>
        <v>2.7591273444230124E-3</v>
      </c>
      <c r="E58" s="371">
        <v>47</v>
      </c>
      <c r="F58" s="371">
        <v>5854</v>
      </c>
      <c r="G58" s="9">
        <f t="shared" si="1"/>
        <v>3.0335771491940603E-3</v>
      </c>
    </row>
    <row r="59" spans="1:7" x14ac:dyDescent="0.25">
      <c r="A59">
        <v>48</v>
      </c>
      <c r="B59" s="6">
        <v>1103.2167900027</v>
      </c>
      <c r="C59" s="9">
        <f t="shared" si="0"/>
        <v>6.0076489034505771E-4</v>
      </c>
      <c r="E59" s="371">
        <v>48</v>
      </c>
      <c r="F59" s="371">
        <v>5713</v>
      </c>
      <c r="G59" s="9">
        <f t="shared" si="1"/>
        <v>2.9605101218561098E-3</v>
      </c>
    </row>
    <row r="60" spans="1:7" x14ac:dyDescent="0.25">
      <c r="A60">
        <v>49</v>
      </c>
      <c r="B60" s="6">
        <v>3178.6539217438999</v>
      </c>
      <c r="C60" s="9">
        <f t="shared" si="0"/>
        <v>1.7309595829634609E-3</v>
      </c>
      <c r="E60" s="371">
        <v>49</v>
      </c>
      <c r="F60" s="371">
        <v>3548</v>
      </c>
      <c r="G60" s="9">
        <f t="shared" si="1"/>
        <v>1.8385944184045996E-3</v>
      </c>
    </row>
    <row r="61" spans="1:7" x14ac:dyDescent="0.25">
      <c r="A61">
        <v>50</v>
      </c>
      <c r="B61" s="6">
        <v>2798.5643410527</v>
      </c>
      <c r="C61" s="9">
        <f t="shared" si="0"/>
        <v>1.523978981023303E-3</v>
      </c>
      <c r="E61" s="371">
        <v>50</v>
      </c>
      <c r="F61" s="371">
        <v>3334</v>
      </c>
      <c r="G61" s="9">
        <f t="shared" si="1"/>
        <v>1.7276983627285611E-3</v>
      </c>
    </row>
    <row r="62" spans="1:7" x14ac:dyDescent="0.25">
      <c r="A62">
        <v>51</v>
      </c>
      <c r="B62" s="6">
        <v>1402.4920803706</v>
      </c>
      <c r="C62" s="9">
        <f t="shared" si="0"/>
        <v>7.6373747073917649E-4</v>
      </c>
      <c r="E62" s="371">
        <v>51</v>
      </c>
      <c r="F62" s="371">
        <v>4964</v>
      </c>
      <c r="G62" s="9">
        <f t="shared" si="1"/>
        <v>2.5723739269899754E-3</v>
      </c>
    </row>
    <row r="63" spans="1:7" x14ac:dyDescent="0.25">
      <c r="A63">
        <v>52</v>
      </c>
      <c r="B63" s="6">
        <v>1700.5931489561001</v>
      </c>
      <c r="C63" s="9">
        <f t="shared" si="0"/>
        <v>9.260706199473881E-4</v>
      </c>
      <c r="E63" s="371">
        <v>52</v>
      </c>
      <c r="F63" s="371">
        <v>2575</v>
      </c>
      <c r="G63" s="9">
        <f t="shared" si="1"/>
        <v>1.3343801091859763E-3</v>
      </c>
    </row>
    <row r="64" spans="1:7" x14ac:dyDescent="0.25">
      <c r="A64">
        <v>53</v>
      </c>
      <c r="B64" s="6">
        <v>3572.4721361389998</v>
      </c>
      <c r="C64" s="9">
        <f t="shared" si="0"/>
        <v>1.9454162142719632E-3</v>
      </c>
      <c r="E64" s="371">
        <v>53</v>
      </c>
      <c r="F64" s="371">
        <v>2355</v>
      </c>
      <c r="G64" s="9">
        <f t="shared" si="1"/>
        <v>1.2203748183040677E-3</v>
      </c>
    </row>
    <row r="65" spans="1:7" x14ac:dyDescent="0.25">
      <c r="A65">
        <v>54</v>
      </c>
      <c r="B65" s="6">
        <v>6716.7661304169997</v>
      </c>
      <c r="C65" s="9">
        <f t="shared" si="0"/>
        <v>3.657664843737096E-3</v>
      </c>
      <c r="E65" s="371">
        <v>54</v>
      </c>
      <c r="F65" s="371">
        <v>1970</v>
      </c>
      <c r="G65" s="9">
        <f t="shared" si="1"/>
        <v>1.0208655592607275E-3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1728</v>
      </c>
      <c r="G66" s="9">
        <f t="shared" si="1"/>
        <v>8.9545973929062799E-4</v>
      </c>
    </row>
    <row r="67" spans="1:7" x14ac:dyDescent="0.25">
      <c r="A67">
        <v>56</v>
      </c>
      <c r="B67" s="6">
        <v>1908.1655340476</v>
      </c>
      <c r="C67" s="9">
        <f t="shared" si="0"/>
        <v>1.0391057027146218E-3</v>
      </c>
      <c r="E67" s="371">
        <v>56</v>
      </c>
      <c r="F67" s="371">
        <v>1698</v>
      </c>
      <c r="G67" s="9">
        <f t="shared" si="1"/>
        <v>8.7991356326127678E-4</v>
      </c>
    </row>
    <row r="68" spans="1:7" x14ac:dyDescent="0.25">
      <c r="A68">
        <v>57</v>
      </c>
      <c r="B68" s="6">
        <v>1557.3016408869998</v>
      </c>
      <c r="C68" s="9">
        <f t="shared" si="0"/>
        <v>8.4804016581307388E-4</v>
      </c>
      <c r="E68" s="371">
        <v>57</v>
      </c>
      <c r="F68" s="371">
        <v>1746</v>
      </c>
      <c r="G68" s="9">
        <f t="shared" si="1"/>
        <v>9.0478744490823872E-4</v>
      </c>
    </row>
    <row r="69" spans="1:7" x14ac:dyDescent="0.25">
      <c r="A69">
        <v>58</v>
      </c>
      <c r="B69" s="6">
        <v>5955.2642720619997</v>
      </c>
      <c r="C69" s="9">
        <f t="shared" si="0"/>
        <v>3.2429833554041641E-3</v>
      </c>
      <c r="E69" s="371">
        <v>58</v>
      </c>
      <c r="F69" s="371">
        <v>1863</v>
      </c>
      <c r="G69" s="9">
        <f t="shared" si="1"/>
        <v>9.6541753142270835E-4</v>
      </c>
    </row>
    <row r="70" spans="1:7" x14ac:dyDescent="0.25">
      <c r="A70">
        <v>59</v>
      </c>
      <c r="B70" s="6">
        <v>5238.3987727063004</v>
      </c>
      <c r="C70" s="9">
        <f t="shared" si="0"/>
        <v>2.8526089276259864E-3</v>
      </c>
      <c r="E70" s="371">
        <v>59</v>
      </c>
      <c r="F70" s="371">
        <v>1396</v>
      </c>
      <c r="G70" s="9">
        <f t="shared" si="1"/>
        <v>7.2341539123247495E-4</v>
      </c>
    </row>
    <row r="71" spans="1:7" x14ac:dyDescent="0.25">
      <c r="A71">
        <v>60</v>
      </c>
      <c r="B71" s="6">
        <v>4981.3137635427001</v>
      </c>
      <c r="C71" s="9">
        <f t="shared" si="0"/>
        <v>2.7126113779701744E-3</v>
      </c>
      <c r="E71" s="371">
        <v>60</v>
      </c>
      <c r="F71" s="371">
        <v>1438</v>
      </c>
      <c r="G71" s="9">
        <f t="shared" si="1"/>
        <v>7.4518003767356654E-4</v>
      </c>
    </row>
    <row r="72" spans="1:7" x14ac:dyDescent="0.25">
      <c r="A72">
        <v>61</v>
      </c>
      <c r="B72" s="6">
        <v>6562.2558684261003</v>
      </c>
      <c r="C72" s="9">
        <f t="shared" si="0"/>
        <v>3.5735251338964566E-3</v>
      </c>
      <c r="E72" s="371">
        <v>61</v>
      </c>
      <c r="F72" s="371">
        <v>1129</v>
      </c>
      <c r="G72" s="9">
        <f t="shared" si="1"/>
        <v>5.8505442457124947E-4</v>
      </c>
    </row>
    <row r="73" spans="1:7" x14ac:dyDescent="0.25">
      <c r="A73">
        <v>62</v>
      </c>
      <c r="B73" s="6">
        <v>249.38687006800001</v>
      </c>
      <c r="C73" s="9">
        <f t="shared" si="0"/>
        <v>1.3580547088077992E-4</v>
      </c>
      <c r="E73" s="371">
        <v>62</v>
      </c>
      <c r="F73" s="371">
        <v>1050</v>
      </c>
      <c r="G73" s="9">
        <f t="shared" si="1"/>
        <v>5.4411616102729131E-4</v>
      </c>
    </row>
    <row r="74" spans="1:7" x14ac:dyDescent="0.25">
      <c r="A74">
        <v>63</v>
      </c>
      <c r="B74" s="6">
        <v>803.22077395499991</v>
      </c>
      <c r="C74" s="9">
        <f t="shared" si="0"/>
        <v>4.3739983343325198E-4</v>
      </c>
      <c r="E74" s="371">
        <v>63</v>
      </c>
      <c r="F74" s="371">
        <v>902</v>
      </c>
      <c r="G74" s="9">
        <f t="shared" si="1"/>
        <v>4.6742169261582551E-4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980</v>
      </c>
      <c r="G75" s="9">
        <f t="shared" si="1"/>
        <v>5.0784175029213851E-4</v>
      </c>
    </row>
    <row r="76" spans="1:7" x14ac:dyDescent="0.25">
      <c r="A76">
        <v>65</v>
      </c>
      <c r="B76" s="6">
        <v>2021.7684500007999</v>
      </c>
      <c r="C76" s="9">
        <f t="shared" si="0"/>
        <v>1.100969013683027E-3</v>
      </c>
      <c r="E76" s="371">
        <v>65</v>
      </c>
      <c r="F76" s="371">
        <v>824</v>
      </c>
      <c r="G76" s="9">
        <f t="shared" si="1"/>
        <v>4.2700163493951241E-4</v>
      </c>
    </row>
    <row r="77" spans="1:7" x14ac:dyDescent="0.25">
      <c r="A77">
        <v>66</v>
      </c>
      <c r="B77" s="6">
        <v>915.37395448699999</v>
      </c>
      <c r="C77" s="9">
        <f t="shared" ref="C77:C102" si="2">B77/B$102</f>
        <v>4.9847368021906059E-4</v>
      </c>
      <c r="E77" s="371">
        <v>66</v>
      </c>
      <c r="F77" s="371">
        <v>812</v>
      </c>
      <c r="G77" s="9">
        <f t="shared" ref="G77:G102" si="3">F77/F$102</f>
        <v>4.2078316452777193E-4</v>
      </c>
    </row>
    <row r="78" spans="1:7" x14ac:dyDescent="0.25">
      <c r="A78">
        <v>67</v>
      </c>
      <c r="B78" s="6">
        <v>6064.0411448759996</v>
      </c>
      <c r="C78" s="9">
        <f t="shared" si="2"/>
        <v>3.3022186087654014E-3</v>
      </c>
      <c r="E78" s="371">
        <v>67</v>
      </c>
      <c r="F78" s="371">
        <v>713</v>
      </c>
      <c r="G78" s="9">
        <f t="shared" si="3"/>
        <v>3.6948078363091303E-4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721</v>
      </c>
      <c r="G79" s="9">
        <f t="shared" si="3"/>
        <v>3.7362643057207339E-4</v>
      </c>
    </row>
    <row r="80" spans="1:7" x14ac:dyDescent="0.25">
      <c r="A80">
        <v>69</v>
      </c>
      <c r="B80" s="6">
        <v>2099.7176780169998</v>
      </c>
      <c r="C80" s="9">
        <f t="shared" si="2"/>
        <v>1.1434168442871276E-3</v>
      </c>
      <c r="E80" s="371">
        <v>69</v>
      </c>
      <c r="F80" s="371">
        <v>677</v>
      </c>
      <c r="G80" s="9">
        <f t="shared" si="3"/>
        <v>3.5082537239569162E-4</v>
      </c>
    </row>
    <row r="81" spans="1:7" x14ac:dyDescent="0.25">
      <c r="A81">
        <v>70</v>
      </c>
      <c r="B81" s="6">
        <v>4.59375</v>
      </c>
      <c r="C81" s="9">
        <f t="shared" si="2"/>
        <v>2.501560654289765E-6</v>
      </c>
      <c r="E81" s="371">
        <v>70</v>
      </c>
      <c r="F81" s="371">
        <v>616</v>
      </c>
      <c r="G81" s="9">
        <f t="shared" si="3"/>
        <v>3.1921481446934425E-4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593</v>
      </c>
      <c r="G82" s="9">
        <f t="shared" si="3"/>
        <v>3.0729607951350833E-4</v>
      </c>
    </row>
    <row r="83" spans="1:7" x14ac:dyDescent="0.25">
      <c r="A83">
        <v>72</v>
      </c>
      <c r="B83" s="6">
        <v>16235.1886455532</v>
      </c>
      <c r="C83" s="9">
        <f t="shared" si="2"/>
        <v>8.840992463823201E-3</v>
      </c>
      <c r="E83" s="371">
        <v>72</v>
      </c>
      <c r="F83" s="371">
        <v>662</v>
      </c>
      <c r="G83" s="9">
        <f t="shared" si="3"/>
        <v>3.4305228438101607E-4</v>
      </c>
    </row>
    <row r="84" spans="1:7" x14ac:dyDescent="0.25">
      <c r="A84">
        <v>73</v>
      </c>
      <c r="B84" s="6">
        <v>1610.4382788590001</v>
      </c>
      <c r="C84" s="9">
        <f t="shared" si="2"/>
        <v>8.7697611636588927E-4</v>
      </c>
      <c r="E84" s="371">
        <v>73</v>
      </c>
      <c r="F84" s="371">
        <v>493</v>
      </c>
      <c r="G84" s="9">
        <f t="shared" si="3"/>
        <v>2.5547549274900438E-4</v>
      </c>
    </row>
    <row r="85" spans="1:7" x14ac:dyDescent="0.25">
      <c r="A85">
        <v>74</v>
      </c>
      <c r="B85" s="6">
        <v>3050.1734532569999</v>
      </c>
      <c r="C85" s="9">
        <f t="shared" si="2"/>
        <v>1.6609945903514238E-3</v>
      </c>
      <c r="E85" s="371">
        <v>74</v>
      </c>
      <c r="F85" s="371">
        <v>457</v>
      </c>
      <c r="G85" s="9">
        <f t="shared" si="3"/>
        <v>2.3682008151378297E-4</v>
      </c>
    </row>
    <row r="86" spans="1:7" x14ac:dyDescent="0.25">
      <c r="A86">
        <v>75</v>
      </c>
      <c r="B86" s="6">
        <v>876.74489328599998</v>
      </c>
      <c r="C86" s="9">
        <f t="shared" si="2"/>
        <v>4.7743793826258209E-4</v>
      </c>
      <c r="E86" s="371">
        <v>75</v>
      </c>
      <c r="F86" s="371">
        <v>541</v>
      </c>
      <c r="G86" s="9">
        <f t="shared" si="3"/>
        <v>2.8034937439596626E-4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398</v>
      </c>
      <c r="G87" s="9">
        <f t="shared" si="3"/>
        <v>2.0624593532272566E-4</v>
      </c>
    </row>
    <row r="88" spans="1:7" x14ac:dyDescent="0.25">
      <c r="A88">
        <v>77</v>
      </c>
      <c r="B88" s="6">
        <v>103.88408116700001</v>
      </c>
      <c r="C88" s="9">
        <f t="shared" si="2"/>
        <v>5.6570847358783477E-5</v>
      </c>
      <c r="E88" s="371">
        <v>77</v>
      </c>
      <c r="F88" s="371">
        <v>393</v>
      </c>
      <c r="G88" s="9">
        <f t="shared" si="3"/>
        <v>2.0365490598450047E-4</v>
      </c>
    </row>
    <row r="89" spans="1:7" x14ac:dyDescent="0.25">
      <c r="A89">
        <v>78</v>
      </c>
      <c r="B89" s="6">
        <v>552.18798510219995</v>
      </c>
      <c r="C89" s="9">
        <f t="shared" si="2"/>
        <v>3.0069806526328302E-4</v>
      </c>
      <c r="E89" s="371">
        <v>78</v>
      </c>
      <c r="F89" s="371">
        <v>438</v>
      </c>
      <c r="G89" s="9">
        <f t="shared" si="3"/>
        <v>2.2697417002852724E-4</v>
      </c>
    </row>
    <row r="90" spans="1:7" x14ac:dyDescent="0.25">
      <c r="A90">
        <v>79</v>
      </c>
      <c r="B90" s="6">
        <v>3617.977487135</v>
      </c>
      <c r="C90" s="9">
        <f t="shared" si="2"/>
        <v>1.9701964908676074E-3</v>
      </c>
      <c r="E90" s="371">
        <v>79</v>
      </c>
      <c r="F90" s="371">
        <v>384</v>
      </c>
      <c r="G90" s="9">
        <f t="shared" si="3"/>
        <v>1.9899105317569511E-4</v>
      </c>
    </row>
    <row r="91" spans="1:7" x14ac:dyDescent="0.25">
      <c r="A91">
        <v>80</v>
      </c>
      <c r="B91" s="6">
        <v>2416.7367966574998</v>
      </c>
      <c r="C91" s="9">
        <f t="shared" si="2"/>
        <v>1.3160519580501086E-3</v>
      </c>
      <c r="E91" s="371">
        <v>80</v>
      </c>
      <c r="F91" s="371">
        <v>341</v>
      </c>
      <c r="G91" s="9">
        <f t="shared" si="3"/>
        <v>1.767082008669584E-4</v>
      </c>
    </row>
    <row r="92" spans="1:7" x14ac:dyDescent="0.25">
      <c r="A92">
        <v>81</v>
      </c>
      <c r="B92" s="6">
        <v>761.46603189900009</v>
      </c>
      <c r="C92" s="9">
        <f t="shared" si="2"/>
        <v>4.1466197877043675E-4</v>
      </c>
      <c r="E92" s="371">
        <v>81</v>
      </c>
      <c r="F92" s="371">
        <v>319</v>
      </c>
      <c r="G92" s="9">
        <f t="shared" si="3"/>
        <v>1.6530767177876755E-4</v>
      </c>
    </row>
    <row r="93" spans="1:7" x14ac:dyDescent="0.25">
      <c r="A93">
        <v>82</v>
      </c>
      <c r="B93" s="6">
        <v>3526.6496723439</v>
      </c>
      <c r="C93" s="9">
        <f t="shared" si="2"/>
        <v>1.9204632515481671E-3</v>
      </c>
      <c r="E93" s="371">
        <v>82</v>
      </c>
      <c r="F93" s="371">
        <v>258</v>
      </c>
      <c r="G93" s="9">
        <f t="shared" si="3"/>
        <v>1.3369711385242014E-4</v>
      </c>
    </row>
    <row r="94" spans="1:7" x14ac:dyDescent="0.25">
      <c r="A94">
        <v>83</v>
      </c>
      <c r="B94" s="6">
        <v>820.33428522209999</v>
      </c>
      <c r="C94" s="9">
        <f t="shared" si="2"/>
        <v>4.4671912299897108E-4</v>
      </c>
      <c r="E94" s="371">
        <v>83</v>
      </c>
      <c r="F94" s="371">
        <v>256</v>
      </c>
      <c r="G94" s="9">
        <f t="shared" si="3"/>
        <v>1.3266070211713008E-4</v>
      </c>
    </row>
    <row r="95" spans="1:7" x14ac:dyDescent="0.25">
      <c r="A95">
        <v>84</v>
      </c>
      <c r="B95" s="6">
        <v>2873.8604379417998</v>
      </c>
      <c r="C95" s="9">
        <f t="shared" si="2"/>
        <v>1.5649820293823476E-3</v>
      </c>
      <c r="E95" s="371">
        <v>84</v>
      </c>
      <c r="F95" s="371">
        <v>326</v>
      </c>
      <c r="G95" s="9">
        <f t="shared" si="3"/>
        <v>1.6893511285228282E-4</v>
      </c>
    </row>
    <row r="96" spans="1:7" x14ac:dyDescent="0.25">
      <c r="A96">
        <v>85</v>
      </c>
      <c r="B96" s="6">
        <v>1261.1307661892999</v>
      </c>
      <c r="C96" s="9">
        <f t="shared" si="2"/>
        <v>6.8675811801109296E-4</v>
      </c>
      <c r="E96" s="371">
        <v>85</v>
      </c>
      <c r="F96" s="371">
        <v>251</v>
      </c>
      <c r="G96" s="9">
        <f t="shared" si="3"/>
        <v>1.3006967277890487E-4</v>
      </c>
    </row>
    <row r="97" spans="1:7" x14ac:dyDescent="0.25">
      <c r="A97">
        <v>86</v>
      </c>
      <c r="B97" s="6">
        <v>2109.9707837629999</v>
      </c>
      <c r="C97" s="9">
        <f t="shared" si="2"/>
        <v>1.1490002491129161E-3</v>
      </c>
      <c r="E97" s="371">
        <v>86</v>
      </c>
      <c r="F97" s="371">
        <v>246</v>
      </c>
      <c r="G97" s="9">
        <f t="shared" si="3"/>
        <v>1.2747864344067969E-4</v>
      </c>
    </row>
    <row r="98" spans="1:7" x14ac:dyDescent="0.25">
      <c r="A98">
        <v>87</v>
      </c>
      <c r="B98" s="6">
        <v>388.0936255263</v>
      </c>
      <c r="C98" s="9">
        <f t="shared" si="2"/>
        <v>2.1133926395586571E-4</v>
      </c>
      <c r="E98" s="371">
        <v>87</v>
      </c>
      <c r="F98" s="371">
        <v>250</v>
      </c>
      <c r="G98" s="9">
        <f t="shared" si="3"/>
        <v>1.2955146691125984E-4</v>
      </c>
    </row>
    <row r="99" spans="1:7" x14ac:dyDescent="0.25">
      <c r="A99">
        <v>88</v>
      </c>
      <c r="B99" s="6">
        <v>1669.1180393490999</v>
      </c>
      <c r="C99" s="9">
        <f t="shared" si="2"/>
        <v>9.0893061542334354E-4</v>
      </c>
      <c r="E99" s="371">
        <v>88</v>
      </c>
      <c r="F99" s="371">
        <v>264</v>
      </c>
      <c r="G99" s="9">
        <f t="shared" si="3"/>
        <v>1.3680634905829039E-4</v>
      </c>
    </row>
    <row r="100" spans="1:7" x14ac:dyDescent="0.25">
      <c r="A100">
        <v>89</v>
      </c>
      <c r="B100" s="6">
        <v>2315.2432777259</v>
      </c>
      <c r="C100" s="9">
        <f t="shared" si="2"/>
        <v>1.2607829090977923E-3</v>
      </c>
      <c r="E100" s="371">
        <v>89</v>
      </c>
      <c r="F100" s="371">
        <v>201</v>
      </c>
      <c r="G100" s="9">
        <f t="shared" si="3"/>
        <v>1.0415937939665291E-4</v>
      </c>
    </row>
    <row r="101" spans="1:7" ht="15.75" thickBot="1" x14ac:dyDescent="0.3">
      <c r="A101" s="1">
        <v>90</v>
      </c>
      <c r="B101" s="7">
        <v>53738.920840945902</v>
      </c>
      <c r="C101" s="9">
        <f t="shared" si="2"/>
        <v>2.9263928158846809E-2</v>
      </c>
      <c r="E101" s="372">
        <v>90</v>
      </c>
      <c r="F101" s="372">
        <v>12753</v>
      </c>
      <c r="G101" s="9">
        <f t="shared" si="3"/>
        <v>6.6086794300771867E-3</v>
      </c>
    </row>
    <row r="102" spans="1:7" x14ac:dyDescent="0.25">
      <c r="B102" s="6">
        <f>SUM(B11:B101)</f>
        <v>1836353.6347289737</v>
      </c>
      <c r="C102" s="9">
        <f t="shared" si="2"/>
        <v>1</v>
      </c>
      <c r="F102" s="6">
        <f>SUM(F11:F101)</f>
        <v>1929735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113359.6166626039</v>
      </c>
      <c r="C11" s="9">
        <f>B11/B$102</f>
        <v>5.5843831184551433E-2</v>
      </c>
      <c r="E11" s="371">
        <v>0</v>
      </c>
      <c r="F11" s="371">
        <v>451089</v>
      </c>
      <c r="G11" s="9">
        <f>F11/F$102</f>
        <v>0.21068794490873313</v>
      </c>
      <c r="K11" s="6">
        <v>5.9155464547576937</v>
      </c>
      <c r="L11" s="6">
        <v>5.0324449093293344</v>
      </c>
    </row>
    <row r="12" spans="1:12" x14ac:dyDescent="0.25">
      <c r="A12">
        <v>1</v>
      </c>
      <c r="B12" s="6">
        <v>126795.2627680881</v>
      </c>
      <c r="C12" s="9">
        <f>B12/B$102</f>
        <v>6.2462572276479902E-2</v>
      </c>
      <c r="E12" s="371">
        <v>1</v>
      </c>
      <c r="F12" s="371">
        <v>289050</v>
      </c>
      <c r="G12" s="9">
        <f>F12/F$102</f>
        <v>0.13500517741702706</v>
      </c>
      <c r="K12" s="6"/>
      <c r="L12" s="371"/>
    </row>
    <row r="13" spans="1:12" x14ac:dyDescent="0.25">
      <c r="A13">
        <v>2</v>
      </c>
      <c r="B13" s="6">
        <v>141891.82566875449</v>
      </c>
      <c r="C13" s="9">
        <f t="shared" ref="C13:C76" si="0">B13/B$102</f>
        <v>6.9899523237605454E-2</v>
      </c>
      <c r="E13" s="371">
        <v>2</v>
      </c>
      <c r="F13" s="371">
        <v>178336</v>
      </c>
      <c r="G13" s="9">
        <f t="shared" ref="G13:G76" si="1">F13/F$102</f>
        <v>8.3294528004991986E-2</v>
      </c>
    </row>
    <row r="14" spans="1:12" x14ac:dyDescent="0.25">
      <c r="A14">
        <v>3</v>
      </c>
      <c r="B14" s="6">
        <v>225607.71765109189</v>
      </c>
      <c r="C14" s="9">
        <f t="shared" si="0"/>
        <v>0.11114010146962439</v>
      </c>
      <c r="E14" s="371">
        <v>3</v>
      </c>
      <c r="F14" s="371">
        <v>110062</v>
      </c>
      <c r="G14" s="9">
        <f t="shared" si="1"/>
        <v>5.1406122943687356E-2</v>
      </c>
    </row>
    <row r="15" spans="1:12" x14ac:dyDescent="0.25">
      <c r="A15">
        <v>4</v>
      </c>
      <c r="B15" s="6">
        <v>413747.16368750122</v>
      </c>
      <c r="C15" s="9">
        <f t="shared" si="0"/>
        <v>0.20382237910013989</v>
      </c>
      <c r="E15" s="371">
        <v>4</v>
      </c>
      <c r="F15" s="371">
        <v>296599</v>
      </c>
      <c r="G15" s="9">
        <f t="shared" si="1"/>
        <v>0.13853105212493619</v>
      </c>
    </row>
    <row r="16" spans="1:12" x14ac:dyDescent="0.25">
      <c r="A16">
        <v>5</v>
      </c>
      <c r="B16" s="6">
        <v>230209.74236844669</v>
      </c>
      <c r="C16" s="9">
        <f t="shared" si="0"/>
        <v>0.11340717592690662</v>
      </c>
      <c r="E16" s="371">
        <v>5</v>
      </c>
      <c r="F16" s="371">
        <v>155910</v>
      </c>
      <c r="G16" s="9">
        <f t="shared" si="1"/>
        <v>7.2820125276210651E-2</v>
      </c>
    </row>
    <row r="17" spans="1:7" x14ac:dyDescent="0.25">
      <c r="A17">
        <v>6</v>
      </c>
      <c r="B17" s="6">
        <v>235618.46312741109</v>
      </c>
      <c r="C17" s="9">
        <f t="shared" si="0"/>
        <v>0.11607164937768556</v>
      </c>
      <c r="E17" s="371">
        <v>6</v>
      </c>
      <c r="F17" s="371">
        <v>152229</v>
      </c>
      <c r="G17" s="9">
        <f t="shared" si="1"/>
        <v>7.1100858512425563E-2</v>
      </c>
    </row>
    <row r="18" spans="1:7" x14ac:dyDescent="0.25">
      <c r="A18">
        <v>7</v>
      </c>
      <c r="B18" s="6">
        <v>107183.59890004509</v>
      </c>
      <c r="C18" s="9">
        <f t="shared" si="0"/>
        <v>5.2801367708764986E-2</v>
      </c>
      <c r="E18" s="371">
        <v>7</v>
      </c>
      <c r="F18" s="371">
        <v>87099</v>
      </c>
      <c r="G18" s="9">
        <f t="shared" si="1"/>
        <v>4.0680906237141115E-2</v>
      </c>
    </row>
    <row r="19" spans="1:7" x14ac:dyDescent="0.25">
      <c r="A19">
        <v>8</v>
      </c>
      <c r="B19" s="6">
        <v>82252.626993265207</v>
      </c>
      <c r="C19" s="9">
        <f t="shared" si="0"/>
        <v>4.051973667103146E-2</v>
      </c>
      <c r="E19" s="371">
        <v>8</v>
      </c>
      <c r="F19" s="371">
        <v>101748</v>
      </c>
      <c r="G19" s="9">
        <f t="shared" si="1"/>
        <v>4.7522943407118726E-2</v>
      </c>
    </row>
    <row r="20" spans="1:7" x14ac:dyDescent="0.25">
      <c r="A20">
        <v>9</v>
      </c>
      <c r="B20" s="6">
        <v>46588.562861199702</v>
      </c>
      <c r="C20" s="9">
        <f t="shared" si="0"/>
        <v>2.2950711339252135E-2</v>
      </c>
      <c r="E20" s="371">
        <v>9</v>
      </c>
      <c r="F20" s="371">
        <v>41212</v>
      </c>
      <c r="G20" s="9">
        <f t="shared" si="1"/>
        <v>1.9248688364333223E-2</v>
      </c>
    </row>
    <row r="21" spans="1:7" x14ac:dyDescent="0.25">
      <c r="A21">
        <v>10</v>
      </c>
      <c r="B21" s="6">
        <v>115326.1530039552</v>
      </c>
      <c r="C21" s="9">
        <f t="shared" si="0"/>
        <v>5.6812597017551425E-2</v>
      </c>
      <c r="E21" s="371">
        <v>10</v>
      </c>
      <c r="F21" s="371">
        <v>40891</v>
      </c>
      <c r="G21" s="9">
        <f t="shared" si="1"/>
        <v>1.9098760455836888E-2</v>
      </c>
    </row>
    <row r="22" spans="1:7" x14ac:dyDescent="0.25">
      <c r="A22">
        <v>11</v>
      </c>
      <c r="B22" s="6">
        <v>15341.039991174301</v>
      </c>
      <c r="C22" s="9">
        <f t="shared" si="0"/>
        <v>7.5573865957259088E-3</v>
      </c>
      <c r="E22" s="371">
        <v>11</v>
      </c>
      <c r="F22" s="371">
        <v>44001</v>
      </c>
      <c r="G22" s="9">
        <f t="shared" si="1"/>
        <v>2.0551333027249982E-2</v>
      </c>
    </row>
    <row r="23" spans="1:7" x14ac:dyDescent="0.25">
      <c r="A23">
        <v>12</v>
      </c>
      <c r="B23" s="6">
        <v>22383.894505537599</v>
      </c>
      <c r="C23" s="9">
        <f t="shared" si="0"/>
        <v>1.102687590890921E-2</v>
      </c>
      <c r="E23" s="371">
        <v>12</v>
      </c>
      <c r="F23" s="371">
        <v>29573</v>
      </c>
      <c r="G23" s="9">
        <f t="shared" si="1"/>
        <v>1.3812517252218442E-2</v>
      </c>
    </row>
    <row r="24" spans="1:7" x14ac:dyDescent="0.25">
      <c r="A24">
        <v>13</v>
      </c>
      <c r="B24" s="6">
        <v>14197.5271913507</v>
      </c>
      <c r="C24" s="9">
        <f t="shared" si="0"/>
        <v>6.9940630980751886E-3</v>
      </c>
      <c r="E24" s="371">
        <v>13</v>
      </c>
      <c r="F24" s="371">
        <v>31409</v>
      </c>
      <c r="G24" s="9">
        <f t="shared" si="1"/>
        <v>1.467004884100122E-2</v>
      </c>
    </row>
    <row r="25" spans="1:7" x14ac:dyDescent="0.25">
      <c r="A25">
        <v>14</v>
      </c>
      <c r="B25" s="6">
        <v>19465.102185514101</v>
      </c>
      <c r="C25" s="9">
        <f t="shared" si="0"/>
        <v>9.5890045541807481E-3</v>
      </c>
      <c r="E25" s="371">
        <v>14</v>
      </c>
      <c r="F25" s="371">
        <v>20327</v>
      </c>
      <c r="G25" s="9">
        <f t="shared" si="1"/>
        <v>9.4940330093613873E-3</v>
      </c>
    </row>
    <row r="26" spans="1:7" x14ac:dyDescent="0.25">
      <c r="A26">
        <v>15</v>
      </c>
      <c r="B26" s="6">
        <v>18287.439845462399</v>
      </c>
      <c r="C26" s="9">
        <f t="shared" si="0"/>
        <v>9.008858124204806E-3</v>
      </c>
      <c r="E26" s="371">
        <v>15</v>
      </c>
      <c r="F26" s="371">
        <v>20619</v>
      </c>
      <c r="G26" s="9">
        <f t="shared" si="1"/>
        <v>9.6304160289281456E-3</v>
      </c>
    </row>
    <row r="27" spans="1:7" x14ac:dyDescent="0.25">
      <c r="A27">
        <v>16</v>
      </c>
      <c r="B27" s="6">
        <v>25028.252289859698</v>
      </c>
      <c r="C27" s="9">
        <f t="shared" si="0"/>
        <v>1.232955382937851E-2</v>
      </c>
      <c r="E27" s="371">
        <v>16</v>
      </c>
      <c r="F27" s="371">
        <v>22588</v>
      </c>
      <c r="G27" s="9">
        <f t="shared" si="1"/>
        <v>1.0550067280732768E-2</v>
      </c>
    </row>
    <row r="28" spans="1:7" x14ac:dyDescent="0.25">
      <c r="A28">
        <v>17</v>
      </c>
      <c r="B28" s="6">
        <v>8823.2339609628998</v>
      </c>
      <c r="C28" s="9">
        <f t="shared" si="0"/>
        <v>4.3465495237543202E-3</v>
      </c>
      <c r="E28" s="371">
        <v>17</v>
      </c>
      <c r="F28" s="371">
        <v>11517</v>
      </c>
      <c r="G28" s="9">
        <f t="shared" si="1"/>
        <v>5.3791891655834648E-3</v>
      </c>
    </row>
    <row r="29" spans="1:7" x14ac:dyDescent="0.25">
      <c r="A29">
        <v>18</v>
      </c>
      <c r="B29" s="6">
        <v>9997.9429724637994</v>
      </c>
      <c r="C29" s="9">
        <f t="shared" si="0"/>
        <v>4.9252410689496059E-3</v>
      </c>
      <c r="E29" s="371">
        <v>18</v>
      </c>
      <c r="F29" s="371">
        <v>8160</v>
      </c>
      <c r="G29" s="9">
        <f t="shared" si="1"/>
        <v>3.8112515057012308E-3</v>
      </c>
    </row>
    <row r="30" spans="1:7" x14ac:dyDescent="0.25">
      <c r="A30">
        <v>19</v>
      </c>
      <c r="B30" s="6">
        <v>5777.0382751023999</v>
      </c>
      <c r="C30" s="9">
        <f t="shared" si="0"/>
        <v>2.8459160297066954E-3</v>
      </c>
      <c r="E30" s="371">
        <v>19</v>
      </c>
      <c r="F30" s="371">
        <v>6480</v>
      </c>
      <c r="G30" s="9">
        <f t="shared" si="1"/>
        <v>3.0265820780568595E-3</v>
      </c>
    </row>
    <row r="31" spans="1:7" x14ac:dyDescent="0.25">
      <c r="A31">
        <v>20</v>
      </c>
      <c r="B31" s="6">
        <v>8041.7737813973999</v>
      </c>
      <c r="C31" s="9">
        <f t="shared" si="0"/>
        <v>3.9615823579337841E-3</v>
      </c>
      <c r="E31" s="371">
        <v>20</v>
      </c>
      <c r="F31" s="371">
        <v>6862</v>
      </c>
      <c r="G31" s="9">
        <f t="shared" si="1"/>
        <v>3.2050009598188533E-3</v>
      </c>
    </row>
    <row r="32" spans="1:7" x14ac:dyDescent="0.25">
      <c r="A32">
        <v>21</v>
      </c>
      <c r="B32" s="6">
        <v>3325.8476424467999</v>
      </c>
      <c r="C32" s="9">
        <f t="shared" si="0"/>
        <v>1.6383971625726849E-3</v>
      </c>
      <c r="E32" s="371">
        <v>21</v>
      </c>
      <c r="F32" s="371">
        <v>4778</v>
      </c>
      <c r="G32" s="9">
        <f t="shared" si="1"/>
        <v>2.2316372174314312E-3</v>
      </c>
    </row>
    <row r="33" spans="1:7" x14ac:dyDescent="0.25">
      <c r="A33">
        <v>22</v>
      </c>
      <c r="B33" s="6">
        <v>5474.0762088094998</v>
      </c>
      <c r="C33" s="9">
        <f t="shared" si="0"/>
        <v>2.6966692081005594E-3</v>
      </c>
      <c r="E33" s="371">
        <v>22</v>
      </c>
      <c r="F33" s="371">
        <v>4266</v>
      </c>
      <c r="G33" s="9">
        <f t="shared" si="1"/>
        <v>1.9924998680540991E-3</v>
      </c>
    </row>
    <row r="34" spans="1:7" x14ac:dyDescent="0.25">
      <c r="A34">
        <v>23</v>
      </c>
      <c r="B34" s="6">
        <v>2761.1998975502001</v>
      </c>
      <c r="C34" s="9">
        <f t="shared" si="0"/>
        <v>1.3602373180612709E-3</v>
      </c>
      <c r="E34" s="371">
        <v>23</v>
      </c>
      <c r="F34" s="371">
        <v>3710</v>
      </c>
      <c r="G34" s="9">
        <f t="shared" si="1"/>
        <v>1.7328116527146526E-3</v>
      </c>
    </row>
    <row r="35" spans="1:7" x14ac:dyDescent="0.25">
      <c r="A35">
        <v>24</v>
      </c>
      <c r="B35" s="6">
        <v>2493.0056068304998</v>
      </c>
      <c r="C35" s="9">
        <f t="shared" si="0"/>
        <v>1.2281179872400667E-3</v>
      </c>
      <c r="E35" s="371">
        <v>24</v>
      </c>
      <c r="F35" s="371">
        <v>3481</v>
      </c>
      <c r="G35" s="9">
        <f t="shared" si="1"/>
        <v>1.6258537366845569E-3</v>
      </c>
    </row>
    <row r="36" spans="1:7" x14ac:dyDescent="0.25">
      <c r="A36">
        <v>25</v>
      </c>
      <c r="B36" s="6">
        <v>4345.1891847870002</v>
      </c>
      <c r="C36" s="9">
        <f t="shared" si="0"/>
        <v>2.1405507397082805E-3</v>
      </c>
      <c r="E36" s="371">
        <v>25</v>
      </c>
      <c r="F36" s="371">
        <v>3215</v>
      </c>
      <c r="G36" s="9">
        <f t="shared" si="1"/>
        <v>1.5016144106408647E-3</v>
      </c>
    </row>
    <row r="37" spans="1:7" x14ac:dyDescent="0.25">
      <c r="A37">
        <v>26</v>
      </c>
      <c r="B37" s="6">
        <v>2761.0880822100003</v>
      </c>
      <c r="C37" s="9">
        <f t="shared" si="0"/>
        <v>1.3601822349799603E-3</v>
      </c>
      <c r="E37" s="371">
        <v>26</v>
      </c>
      <c r="F37" s="371">
        <v>2435</v>
      </c>
      <c r="G37" s="9">
        <f t="shared" si="1"/>
        <v>1.1373036049488353E-3</v>
      </c>
    </row>
    <row r="38" spans="1:7" x14ac:dyDescent="0.25">
      <c r="A38">
        <v>27</v>
      </c>
      <c r="B38" s="6">
        <v>1627.630489631</v>
      </c>
      <c r="C38" s="9">
        <f t="shared" si="0"/>
        <v>8.0181218823552184E-4</v>
      </c>
      <c r="E38" s="371">
        <v>27</v>
      </c>
      <c r="F38" s="371">
        <v>2016</v>
      </c>
      <c r="G38" s="9">
        <f t="shared" si="1"/>
        <v>9.4160331317324521E-4</v>
      </c>
    </row>
    <row r="39" spans="1:7" x14ac:dyDescent="0.25">
      <c r="A39">
        <v>28</v>
      </c>
      <c r="B39" s="6">
        <v>719.28088989299999</v>
      </c>
      <c r="C39" s="9">
        <f t="shared" si="0"/>
        <v>3.5433606580560539E-4</v>
      </c>
      <c r="E39" s="371">
        <v>28</v>
      </c>
      <c r="F39" s="371">
        <v>1398</v>
      </c>
      <c r="G39" s="9">
        <f t="shared" si="1"/>
        <v>6.5295705943263732E-4</v>
      </c>
    </row>
    <row r="40" spans="1:7" x14ac:dyDescent="0.25">
      <c r="A40">
        <v>29</v>
      </c>
      <c r="B40" s="6">
        <v>433.333643768</v>
      </c>
      <c r="C40" s="9">
        <f t="shared" si="0"/>
        <v>2.134711774934021E-4</v>
      </c>
      <c r="E40" s="371">
        <v>29</v>
      </c>
      <c r="F40" s="371">
        <v>1818</v>
      </c>
      <c r="G40" s="9">
        <f t="shared" si="1"/>
        <v>8.4912441634373004E-4</v>
      </c>
    </row>
    <row r="41" spans="1:7" x14ac:dyDescent="0.25">
      <c r="A41">
        <v>30</v>
      </c>
      <c r="B41" s="6">
        <v>532.23940406899999</v>
      </c>
      <c r="C41" s="9">
        <f t="shared" si="0"/>
        <v>2.6219467130926311E-4</v>
      </c>
      <c r="E41" s="371">
        <v>30</v>
      </c>
      <c r="F41" s="371">
        <v>1112</v>
      </c>
      <c r="G41" s="9">
        <f t="shared" si="1"/>
        <v>5.1937643067889315E-4</v>
      </c>
    </row>
    <row r="42" spans="1:7" x14ac:dyDescent="0.25">
      <c r="A42">
        <v>31</v>
      </c>
      <c r="B42" s="6">
        <v>2253.3596549180002</v>
      </c>
      <c r="C42" s="9">
        <f t="shared" si="0"/>
        <v>1.1100622944222771E-3</v>
      </c>
      <c r="E42" s="371">
        <v>31</v>
      </c>
      <c r="F42" s="371">
        <v>1042</v>
      </c>
      <c r="G42" s="9">
        <f t="shared" si="1"/>
        <v>4.8668187119371107E-4</v>
      </c>
    </row>
    <row r="43" spans="1:7" x14ac:dyDescent="0.25">
      <c r="A43">
        <v>32</v>
      </c>
      <c r="B43" s="6">
        <v>2598.2717360329998</v>
      </c>
      <c r="C43" s="9">
        <f t="shared" si="0"/>
        <v>1.27997476059289E-3</v>
      </c>
      <c r="E43" s="371">
        <v>32</v>
      </c>
      <c r="F43" s="371">
        <v>798</v>
      </c>
      <c r="G43" s="9">
        <f t="shared" si="1"/>
        <v>3.7271797813107625E-4</v>
      </c>
    </row>
    <row r="44" spans="1:7" x14ac:dyDescent="0.25">
      <c r="A44">
        <v>33</v>
      </c>
      <c r="B44" s="6">
        <v>282.23158255480001</v>
      </c>
      <c r="C44" s="9">
        <f t="shared" si="0"/>
        <v>1.3903445790619358E-4</v>
      </c>
      <c r="E44" s="371">
        <v>33</v>
      </c>
      <c r="F44" s="371">
        <v>690</v>
      </c>
      <c r="G44" s="9">
        <f t="shared" si="1"/>
        <v>3.2227494349679523E-4</v>
      </c>
    </row>
    <row r="45" spans="1:7" x14ac:dyDescent="0.25">
      <c r="A45">
        <v>34</v>
      </c>
      <c r="B45" s="6">
        <v>251.01775973100001</v>
      </c>
      <c r="C45" s="9">
        <f t="shared" si="0"/>
        <v>1.2365773466281113E-4</v>
      </c>
      <c r="E45" s="371">
        <v>34</v>
      </c>
      <c r="F45" s="371">
        <v>601</v>
      </c>
      <c r="G45" s="9">
        <f t="shared" si="1"/>
        <v>2.8070614643706368E-4</v>
      </c>
    </row>
    <row r="46" spans="1:7" x14ac:dyDescent="0.25">
      <c r="A46">
        <v>35</v>
      </c>
      <c r="B46" s="6">
        <v>1001.676862693</v>
      </c>
      <c r="C46" s="9">
        <f t="shared" si="0"/>
        <v>4.9345150652888687E-4</v>
      </c>
      <c r="E46" s="371">
        <v>35</v>
      </c>
      <c r="F46" s="371">
        <v>483</v>
      </c>
      <c r="G46" s="9">
        <f t="shared" si="1"/>
        <v>2.2559246044775666E-4</v>
      </c>
    </row>
    <row r="47" spans="1:7" x14ac:dyDescent="0.25">
      <c r="A47">
        <v>36</v>
      </c>
      <c r="B47" s="6">
        <v>636.75680832700004</v>
      </c>
      <c r="C47" s="9">
        <f t="shared" si="0"/>
        <v>3.136826037058863E-4</v>
      </c>
      <c r="E47" s="371">
        <v>36</v>
      </c>
      <c r="F47" s="371">
        <v>639</v>
      </c>
      <c r="G47" s="9">
        <f t="shared" si="1"/>
        <v>2.9845462158616256E-4</v>
      </c>
    </row>
    <row r="48" spans="1:7" x14ac:dyDescent="0.25">
      <c r="A48">
        <v>37</v>
      </c>
      <c r="B48" s="6">
        <v>0</v>
      </c>
      <c r="C48" s="9">
        <f t="shared" si="0"/>
        <v>0</v>
      </c>
      <c r="E48" s="371">
        <v>37</v>
      </c>
      <c r="F48" s="371">
        <v>428</v>
      </c>
      <c r="G48" s="9">
        <f t="shared" si="1"/>
        <v>1.9990387799511357E-4</v>
      </c>
    </row>
    <row r="49" spans="1:7" x14ac:dyDescent="0.25">
      <c r="A49">
        <v>38</v>
      </c>
      <c r="B49" s="6">
        <v>650.23748238200005</v>
      </c>
      <c r="C49" s="9">
        <f t="shared" si="0"/>
        <v>3.2032352671131607E-4</v>
      </c>
      <c r="E49" s="371">
        <v>38</v>
      </c>
      <c r="F49" s="371">
        <v>429</v>
      </c>
      <c r="G49" s="9">
        <f t="shared" si="1"/>
        <v>2.0037094313061617E-4</v>
      </c>
    </row>
    <row r="50" spans="1:7" x14ac:dyDescent="0.25">
      <c r="A50">
        <v>39</v>
      </c>
      <c r="B50" s="6">
        <v>664.00143667520001</v>
      </c>
      <c r="C50" s="9">
        <f t="shared" si="0"/>
        <v>3.2710400076910195E-4</v>
      </c>
      <c r="E50" s="371">
        <v>39</v>
      </c>
      <c r="F50" s="371">
        <v>401</v>
      </c>
      <c r="G50" s="9">
        <f t="shared" si="1"/>
        <v>1.872931193365433E-4</v>
      </c>
    </row>
    <row r="51" spans="1:7" x14ac:dyDescent="0.25">
      <c r="A51">
        <v>40</v>
      </c>
      <c r="B51" s="6">
        <v>0</v>
      </c>
      <c r="C51" s="9">
        <f t="shared" si="0"/>
        <v>0</v>
      </c>
      <c r="E51" s="371">
        <v>40</v>
      </c>
      <c r="F51" s="371">
        <v>241</v>
      </c>
      <c r="G51" s="9">
        <f t="shared" si="1"/>
        <v>1.1256269765612703E-4</v>
      </c>
    </row>
    <row r="52" spans="1:7" x14ac:dyDescent="0.25">
      <c r="A52">
        <v>41</v>
      </c>
      <c r="B52" s="6">
        <v>0</v>
      </c>
      <c r="C52" s="9">
        <f t="shared" si="0"/>
        <v>0</v>
      </c>
      <c r="E52" s="371">
        <v>41</v>
      </c>
      <c r="F52" s="371">
        <v>201</v>
      </c>
      <c r="G52" s="9">
        <f t="shared" si="1"/>
        <v>9.3880092236022953E-5</v>
      </c>
    </row>
    <row r="53" spans="1:7" x14ac:dyDescent="0.25">
      <c r="A53">
        <v>42</v>
      </c>
      <c r="B53" s="6">
        <v>0</v>
      </c>
      <c r="C53" s="9">
        <f t="shared" si="0"/>
        <v>0</v>
      </c>
      <c r="E53" s="371">
        <v>42</v>
      </c>
      <c r="F53" s="371">
        <v>159</v>
      </c>
      <c r="G53" s="9">
        <f t="shared" si="1"/>
        <v>7.4263356544913687E-5</v>
      </c>
    </row>
    <row r="54" spans="1:7" x14ac:dyDescent="0.25">
      <c r="A54">
        <v>43</v>
      </c>
      <c r="B54" s="6">
        <v>4.59375</v>
      </c>
      <c r="C54" s="9">
        <f t="shared" si="0"/>
        <v>2.2629981209936507E-6</v>
      </c>
      <c r="E54" s="371">
        <v>43</v>
      </c>
      <c r="F54" s="371">
        <v>130</v>
      </c>
      <c r="G54" s="9">
        <f t="shared" si="1"/>
        <v>6.0718467615338233E-5</v>
      </c>
    </row>
    <row r="55" spans="1:7" x14ac:dyDescent="0.25">
      <c r="A55">
        <v>44</v>
      </c>
      <c r="B55" s="6">
        <v>5084.5255403459996</v>
      </c>
      <c r="C55" s="9">
        <f t="shared" si="0"/>
        <v>2.5047666381381711E-3</v>
      </c>
      <c r="E55" s="371">
        <v>44</v>
      </c>
      <c r="F55" s="371">
        <v>104</v>
      </c>
      <c r="G55" s="9">
        <f t="shared" si="1"/>
        <v>4.8574774092270589E-5</v>
      </c>
    </row>
    <row r="56" spans="1:7" x14ac:dyDescent="0.25">
      <c r="A56">
        <v>45</v>
      </c>
      <c r="B56" s="6">
        <v>250.40304101000001</v>
      </c>
      <c r="C56" s="9">
        <f t="shared" si="0"/>
        <v>1.2335490858160023E-4</v>
      </c>
      <c r="E56" s="371">
        <v>45</v>
      </c>
      <c r="F56" s="371">
        <v>114</v>
      </c>
      <c r="G56" s="9">
        <f t="shared" si="1"/>
        <v>5.3245425447296604E-5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90</v>
      </c>
      <c r="G57" s="9">
        <f t="shared" si="1"/>
        <v>4.203586219523416E-5</v>
      </c>
    </row>
    <row r="58" spans="1:7" x14ac:dyDescent="0.25">
      <c r="A58">
        <v>47</v>
      </c>
      <c r="B58" s="6">
        <v>0</v>
      </c>
      <c r="C58" s="9">
        <f t="shared" si="0"/>
        <v>0</v>
      </c>
      <c r="E58" s="371">
        <v>47</v>
      </c>
      <c r="F58" s="371">
        <v>69</v>
      </c>
      <c r="G58" s="9">
        <f t="shared" si="1"/>
        <v>3.222749434967952E-5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56</v>
      </c>
      <c r="G59" s="9">
        <f t="shared" si="1"/>
        <v>2.6155647588145702E-5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53</v>
      </c>
      <c r="G60" s="9">
        <f t="shared" si="1"/>
        <v>2.4754452181637895E-5</v>
      </c>
    </row>
    <row r="61" spans="1:7" x14ac:dyDescent="0.25">
      <c r="A61">
        <v>50</v>
      </c>
      <c r="B61" s="6">
        <v>1172.3049615899999</v>
      </c>
      <c r="C61" s="9">
        <f t="shared" si="0"/>
        <v>5.7750724904701034E-4</v>
      </c>
      <c r="E61" s="371">
        <v>50</v>
      </c>
      <c r="F61" s="371">
        <v>35</v>
      </c>
      <c r="G61" s="9">
        <f t="shared" si="1"/>
        <v>1.6347279742591062E-5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38</v>
      </c>
      <c r="G62" s="9">
        <f t="shared" si="1"/>
        <v>1.7748475149098869E-5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30</v>
      </c>
      <c r="G63" s="9">
        <f t="shared" si="1"/>
        <v>1.4011954065078053E-5</v>
      </c>
    </row>
    <row r="64" spans="1:7" x14ac:dyDescent="0.25">
      <c r="A64">
        <v>53</v>
      </c>
      <c r="B64" s="6">
        <v>523.29998548799995</v>
      </c>
      <c r="C64" s="9">
        <f t="shared" si="0"/>
        <v>2.5779088628579013E-4</v>
      </c>
      <c r="E64" s="371">
        <v>53</v>
      </c>
      <c r="F64" s="371">
        <v>27</v>
      </c>
      <c r="G64" s="9">
        <f t="shared" si="1"/>
        <v>1.2610758658570249E-5</v>
      </c>
    </row>
    <row r="65" spans="1:7" x14ac:dyDescent="0.25">
      <c r="A65">
        <v>54</v>
      </c>
      <c r="B65" s="6">
        <v>1866.4787940159999</v>
      </c>
      <c r="C65" s="9">
        <f t="shared" si="0"/>
        <v>9.194749395880714E-4</v>
      </c>
      <c r="E65" s="371">
        <v>54</v>
      </c>
      <c r="F65" s="371">
        <v>25</v>
      </c>
      <c r="G65" s="9">
        <f t="shared" si="1"/>
        <v>1.1676628387565045E-5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21</v>
      </c>
      <c r="G66" s="9">
        <f t="shared" si="1"/>
        <v>9.8083678455546381E-6</v>
      </c>
    </row>
    <row r="67" spans="1:7" x14ac:dyDescent="0.25">
      <c r="A67">
        <v>56</v>
      </c>
      <c r="B67" s="6">
        <v>668.71153577099994</v>
      </c>
      <c r="C67" s="9">
        <f t="shared" si="0"/>
        <v>3.2942431541475945E-4</v>
      </c>
      <c r="E67" s="371">
        <v>56</v>
      </c>
      <c r="F67" s="371">
        <v>19</v>
      </c>
      <c r="G67" s="9">
        <f t="shared" si="1"/>
        <v>8.8742375745494345E-6</v>
      </c>
    </row>
    <row r="68" spans="1:7" x14ac:dyDescent="0.25">
      <c r="A68">
        <v>57</v>
      </c>
      <c r="B68" s="6">
        <v>569.50120905100005</v>
      </c>
      <c r="C68" s="9">
        <f t="shared" si="0"/>
        <v>2.8055078443233204E-4</v>
      </c>
      <c r="E68" s="371">
        <v>57</v>
      </c>
      <c r="F68" s="371">
        <v>21</v>
      </c>
      <c r="G68" s="9">
        <f t="shared" si="1"/>
        <v>9.8083678455546381E-6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13</v>
      </c>
      <c r="G69" s="9">
        <f t="shared" si="1"/>
        <v>6.0718467615338236E-6</v>
      </c>
    </row>
    <row r="70" spans="1:7" x14ac:dyDescent="0.25">
      <c r="A70">
        <v>59</v>
      </c>
      <c r="B70" s="6">
        <v>224.68281626500001</v>
      </c>
      <c r="C70" s="9">
        <f t="shared" si="0"/>
        <v>1.1068447151613751E-4</v>
      </c>
      <c r="E70" s="371">
        <v>59</v>
      </c>
      <c r="F70" s="371">
        <v>14</v>
      </c>
      <c r="G70" s="9">
        <f t="shared" si="1"/>
        <v>6.5389118970364254E-6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9</v>
      </c>
      <c r="G71" s="9">
        <f t="shared" si="1"/>
        <v>4.2035862195234163E-6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10</v>
      </c>
      <c r="G72" s="9">
        <f t="shared" si="1"/>
        <v>4.6706513550260182E-6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5</v>
      </c>
      <c r="G73" s="9">
        <f t="shared" si="1"/>
        <v>2.3353256775130091E-6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9</v>
      </c>
      <c r="G74" s="9">
        <f t="shared" si="1"/>
        <v>4.2035862195234163E-6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3</v>
      </c>
      <c r="G75" s="9">
        <f t="shared" si="1"/>
        <v>1.4011954065078054E-6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7</v>
      </c>
      <c r="G76" s="9">
        <f t="shared" si="1"/>
        <v>3.2694559485182127E-6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4</v>
      </c>
      <c r="G77" s="9">
        <f t="shared" ref="G77:G102" si="3">F77/F$102</f>
        <v>1.8682605420104071E-6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5</v>
      </c>
      <c r="G78" s="9">
        <f t="shared" si="3"/>
        <v>2.3353256775130091E-6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3</v>
      </c>
      <c r="G79" s="9">
        <f t="shared" si="3"/>
        <v>1.4011954065078054E-6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2</v>
      </c>
      <c r="G81" s="9">
        <f t="shared" si="3"/>
        <v>9.3413027100520353E-7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4</v>
      </c>
      <c r="G82" s="9">
        <f t="shared" si="3"/>
        <v>1.8682605420104071E-6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1</v>
      </c>
      <c r="G83" s="9">
        <f t="shared" si="3"/>
        <v>4.6706513550260176E-7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1</v>
      </c>
      <c r="G84" s="9">
        <f t="shared" si="3"/>
        <v>4.6706513550260176E-7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</v>
      </c>
      <c r="G85" s="9">
        <f t="shared" si="3"/>
        <v>4.6706513550260176E-7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1</v>
      </c>
      <c r="G86" s="9">
        <f t="shared" si="3"/>
        <v>4.6706513550260176E-7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</v>
      </c>
      <c r="G87" s="9">
        <f t="shared" si="3"/>
        <v>4.6706513550260176E-7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1</v>
      </c>
      <c r="G89" s="9">
        <f t="shared" si="3"/>
        <v>4.6706513550260176E-7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1</v>
      </c>
      <c r="G94" s="9">
        <f t="shared" si="3"/>
        <v>4.6706513550260176E-7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598.21587187799992</v>
      </c>
      <c r="C100" s="9">
        <f t="shared" si="2"/>
        <v>2.9469635787939967E-4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242.68014145000001</v>
      </c>
      <c r="C101" s="9">
        <f t="shared" si="2"/>
        <v>1.1955041177770305E-4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2029939.8207113619</v>
      </c>
      <c r="C102" s="9">
        <f t="shared" si="2"/>
        <v>1</v>
      </c>
      <c r="F102" s="6">
        <f>SUM(F11:F101)</f>
        <v>2141029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1928.2538946519999</v>
      </c>
      <c r="C11" s="9">
        <f>B11/B$102</f>
        <v>9.4990692580052547E-4</v>
      </c>
      <c r="E11" s="371">
        <v>0</v>
      </c>
      <c r="F11" s="371">
        <v>21334</v>
      </c>
      <c r="G11" s="9">
        <f>F11/F$102</f>
        <v>9.9643676008125057E-3</v>
      </c>
      <c r="K11" s="6">
        <v>26.420330496551912</v>
      </c>
      <c r="L11" s="6">
        <v>18.759381865879735</v>
      </c>
    </row>
    <row r="12" spans="1:12" x14ac:dyDescent="0.25">
      <c r="A12">
        <v>1</v>
      </c>
      <c r="B12" s="6">
        <v>1838.9710621157001</v>
      </c>
      <c r="C12" s="9">
        <f>B12/B$102</f>
        <v>9.0592393102139354E-4</v>
      </c>
      <c r="E12" s="371">
        <v>1</v>
      </c>
      <c r="F12" s="371">
        <v>67693</v>
      </c>
      <c r="G12" s="9">
        <f>F12/F$102</f>
        <v>3.1617040217577622E-2</v>
      </c>
      <c r="K12" s="6"/>
      <c r="L12" s="371"/>
    </row>
    <row r="13" spans="1:12" x14ac:dyDescent="0.25">
      <c r="A13">
        <v>2</v>
      </c>
      <c r="B13" s="6">
        <v>7623.5141350643999</v>
      </c>
      <c r="C13" s="9">
        <f t="shared" ref="C13:C76" si="0">B13/B$102</f>
        <v>3.7555370150790246E-3</v>
      </c>
      <c r="E13" s="371">
        <v>2</v>
      </c>
      <c r="F13" s="371">
        <v>78947</v>
      </c>
      <c r="G13" s="9">
        <f t="shared" ref="G13:G76" si="1">F13/F$102</f>
        <v>3.6873391252523903E-2</v>
      </c>
    </row>
    <row r="14" spans="1:12" x14ac:dyDescent="0.25">
      <c r="A14">
        <v>3</v>
      </c>
      <c r="B14" s="6">
        <v>18870.844938143699</v>
      </c>
      <c r="C14" s="9">
        <f t="shared" si="0"/>
        <v>9.2962583154463617E-3</v>
      </c>
      <c r="E14" s="371">
        <v>3</v>
      </c>
      <c r="F14" s="371">
        <v>89654</v>
      </c>
      <c r="G14" s="9">
        <f t="shared" si="1"/>
        <v>4.1874257658350261E-2</v>
      </c>
    </row>
    <row r="15" spans="1:12" x14ac:dyDescent="0.25">
      <c r="A15">
        <v>4</v>
      </c>
      <c r="B15" s="6">
        <v>25029.602429170998</v>
      </c>
      <c r="C15" s="9">
        <f t="shared" si="0"/>
        <v>1.2330218942352561E-2</v>
      </c>
      <c r="E15" s="371">
        <v>4</v>
      </c>
      <c r="F15" s="371">
        <v>90755</v>
      </c>
      <c r="G15" s="9">
        <f t="shared" si="1"/>
        <v>4.2388496372538623E-2</v>
      </c>
    </row>
    <row r="16" spans="1:12" x14ac:dyDescent="0.25">
      <c r="A16">
        <v>5</v>
      </c>
      <c r="B16" s="6">
        <v>53986.375810938298</v>
      </c>
      <c r="C16" s="9">
        <f t="shared" si="0"/>
        <v>2.6595062208307031E-2</v>
      </c>
      <c r="E16" s="371">
        <v>5</v>
      </c>
      <c r="F16" s="371">
        <v>83954</v>
      </c>
      <c r="G16" s="9">
        <f t="shared" si="1"/>
        <v>3.9211986385985428E-2</v>
      </c>
    </row>
    <row r="17" spans="1:7" x14ac:dyDescent="0.25">
      <c r="A17">
        <v>6</v>
      </c>
      <c r="B17" s="6">
        <v>24084.615098460799</v>
      </c>
      <c r="C17" s="9">
        <f t="shared" si="0"/>
        <v>1.1864694141534061E-2</v>
      </c>
      <c r="E17" s="371">
        <v>6</v>
      </c>
      <c r="F17" s="371">
        <v>77714</v>
      </c>
      <c r="G17" s="9">
        <f t="shared" si="1"/>
        <v>3.6297499940449195E-2</v>
      </c>
    </row>
    <row r="18" spans="1:7" x14ac:dyDescent="0.25">
      <c r="A18">
        <v>7</v>
      </c>
      <c r="B18" s="6">
        <v>39960.799838258499</v>
      </c>
      <c r="C18" s="9">
        <f t="shared" si="0"/>
        <v>1.9685706655212486E-2</v>
      </c>
      <c r="E18" s="371">
        <v>7</v>
      </c>
      <c r="F18" s="371">
        <v>72620</v>
      </c>
      <c r="G18" s="9">
        <f t="shared" si="1"/>
        <v>3.3918270140198943E-2</v>
      </c>
    </row>
    <row r="19" spans="1:7" x14ac:dyDescent="0.25">
      <c r="A19">
        <v>8</v>
      </c>
      <c r="B19" s="6">
        <v>16572.570070342099</v>
      </c>
      <c r="C19" s="9">
        <f t="shared" si="0"/>
        <v>8.1640696444560054E-3</v>
      </c>
      <c r="E19" s="371">
        <v>8</v>
      </c>
      <c r="F19" s="371">
        <v>65281</v>
      </c>
      <c r="G19" s="9">
        <f t="shared" si="1"/>
        <v>3.0490479110745348E-2</v>
      </c>
    </row>
    <row r="20" spans="1:7" x14ac:dyDescent="0.25">
      <c r="A20">
        <v>9</v>
      </c>
      <c r="B20" s="6">
        <v>41901.002435918403</v>
      </c>
      <c r="C20" s="9">
        <f t="shared" si="0"/>
        <v>2.0641499816105299E-2</v>
      </c>
      <c r="E20" s="371">
        <v>9</v>
      </c>
      <c r="F20" s="371">
        <v>59219</v>
      </c>
      <c r="G20" s="9">
        <f t="shared" si="1"/>
        <v>2.7659130259328576E-2</v>
      </c>
    </row>
    <row r="21" spans="1:7" x14ac:dyDescent="0.25">
      <c r="A21">
        <v>10</v>
      </c>
      <c r="B21" s="6">
        <v>14290.690273554699</v>
      </c>
      <c r="C21" s="9">
        <f t="shared" si="0"/>
        <v>7.0399576025592424E-3</v>
      </c>
      <c r="E21" s="371">
        <v>10</v>
      </c>
      <c r="F21" s="371">
        <v>55059</v>
      </c>
      <c r="G21" s="9">
        <f t="shared" si="1"/>
        <v>2.5716139295637753E-2</v>
      </c>
    </row>
    <row r="22" spans="1:7" x14ac:dyDescent="0.25">
      <c r="A22">
        <v>11</v>
      </c>
      <c r="B22" s="6">
        <v>19308.980298689301</v>
      </c>
      <c r="C22" s="9">
        <f t="shared" si="0"/>
        <v>9.5120949407863521E-3</v>
      </c>
      <c r="E22" s="371">
        <v>11</v>
      </c>
      <c r="F22" s="371">
        <v>48271</v>
      </c>
      <c r="G22" s="9">
        <f t="shared" si="1"/>
        <v>2.2545701155846091E-2</v>
      </c>
    </row>
    <row r="23" spans="1:7" x14ac:dyDescent="0.25">
      <c r="A23">
        <v>12</v>
      </c>
      <c r="B23" s="6">
        <v>43500.6364308009</v>
      </c>
      <c r="C23" s="9">
        <f t="shared" si="0"/>
        <v>2.1429520218760351E-2</v>
      </c>
      <c r="E23" s="371">
        <v>12</v>
      </c>
      <c r="F23" s="371">
        <v>43586</v>
      </c>
      <c r="G23" s="9">
        <f t="shared" si="1"/>
        <v>2.0357500996016402E-2</v>
      </c>
    </row>
    <row r="24" spans="1:7" x14ac:dyDescent="0.25">
      <c r="A24">
        <v>13</v>
      </c>
      <c r="B24" s="6">
        <v>52407.647055785499</v>
      </c>
      <c r="C24" s="9">
        <f t="shared" si="0"/>
        <v>2.58173402585994E-2</v>
      </c>
      <c r="E24" s="371">
        <v>13</v>
      </c>
      <c r="F24" s="371">
        <v>38773</v>
      </c>
      <c r="G24" s="9">
        <f t="shared" si="1"/>
        <v>1.810951649884238E-2</v>
      </c>
    </row>
    <row r="25" spans="1:7" x14ac:dyDescent="0.25">
      <c r="A25">
        <v>14</v>
      </c>
      <c r="B25" s="6">
        <v>27859.4381014104</v>
      </c>
      <c r="C25" s="9">
        <f t="shared" si="0"/>
        <v>1.3724267989209392E-2</v>
      </c>
      <c r="E25" s="371">
        <v>14</v>
      </c>
      <c r="F25" s="371">
        <v>34180</v>
      </c>
      <c r="G25" s="9">
        <f t="shared" si="1"/>
        <v>1.5964286331478929E-2</v>
      </c>
    </row>
    <row r="26" spans="1:7" x14ac:dyDescent="0.25">
      <c r="A26">
        <v>15</v>
      </c>
      <c r="B26" s="6">
        <v>25657.658903926302</v>
      </c>
      <c r="C26" s="9">
        <f t="shared" si="0"/>
        <v>1.2639615540393192E-2</v>
      </c>
      <c r="E26" s="371">
        <v>15</v>
      </c>
      <c r="F26" s="371">
        <v>32377</v>
      </c>
      <c r="G26" s="9">
        <f t="shared" si="1"/>
        <v>1.5122167892167738E-2</v>
      </c>
    </row>
    <row r="27" spans="1:7" x14ac:dyDescent="0.25">
      <c r="A27">
        <v>16</v>
      </c>
      <c r="B27" s="6">
        <v>82814.172138996903</v>
      </c>
      <c r="C27" s="9">
        <f t="shared" si="0"/>
        <v>4.0796368096260069E-2</v>
      </c>
      <c r="E27" s="371">
        <v>16</v>
      </c>
      <c r="F27" s="371">
        <v>29052</v>
      </c>
      <c r="G27" s="9">
        <f t="shared" si="1"/>
        <v>1.3569176316621587E-2</v>
      </c>
    </row>
    <row r="28" spans="1:7" x14ac:dyDescent="0.25">
      <c r="A28">
        <v>17</v>
      </c>
      <c r="B28" s="6">
        <v>59076.627800235699</v>
      </c>
      <c r="C28" s="9">
        <f t="shared" si="0"/>
        <v>2.9102649840886993E-2</v>
      </c>
      <c r="E28" s="371">
        <v>17</v>
      </c>
      <c r="F28" s="371">
        <v>26491</v>
      </c>
      <c r="G28" s="9">
        <f t="shared" si="1"/>
        <v>1.2373022504599424E-2</v>
      </c>
    </row>
    <row r="29" spans="1:7" x14ac:dyDescent="0.25">
      <c r="A29">
        <v>18</v>
      </c>
      <c r="B29" s="6">
        <v>181156.84198242059</v>
      </c>
      <c r="C29" s="9">
        <f t="shared" si="0"/>
        <v>8.9242469226963037E-2</v>
      </c>
      <c r="E29" s="371">
        <v>18</v>
      </c>
      <c r="F29" s="371">
        <v>194886</v>
      </c>
      <c r="G29" s="9">
        <f t="shared" si="1"/>
        <v>9.1024455997560053E-2</v>
      </c>
    </row>
    <row r="30" spans="1:7" x14ac:dyDescent="0.25">
      <c r="A30">
        <v>19</v>
      </c>
      <c r="B30" s="6">
        <v>90493.524156608401</v>
      </c>
      <c r="C30" s="9">
        <f t="shared" si="0"/>
        <v>4.4579412272870385E-2</v>
      </c>
      <c r="E30" s="371">
        <v>19</v>
      </c>
      <c r="F30" s="371">
        <v>74145</v>
      </c>
      <c r="G30" s="9">
        <f t="shared" si="1"/>
        <v>3.4630544471840406E-2</v>
      </c>
    </row>
    <row r="31" spans="1:7" x14ac:dyDescent="0.25">
      <c r="A31">
        <v>20</v>
      </c>
      <c r="B31" s="6">
        <v>146330.04576865849</v>
      </c>
      <c r="C31" s="9">
        <f t="shared" si="0"/>
        <v>7.2085903372928223E-2</v>
      </c>
      <c r="E31" s="371">
        <v>20</v>
      </c>
      <c r="F31" s="371">
        <v>71748</v>
      </c>
      <c r="G31" s="9">
        <f t="shared" si="1"/>
        <v>3.3510989342040672E-2</v>
      </c>
    </row>
    <row r="32" spans="1:7" x14ac:dyDescent="0.25">
      <c r="A32">
        <v>21</v>
      </c>
      <c r="B32" s="6">
        <v>133058.12729116261</v>
      </c>
      <c r="C32" s="9">
        <f t="shared" si="0"/>
        <v>6.5547818675991285E-2</v>
      </c>
      <c r="E32" s="371">
        <v>21</v>
      </c>
      <c r="F32" s="371">
        <v>81051</v>
      </c>
      <c r="G32" s="9">
        <f t="shared" si="1"/>
        <v>3.7856096297621378E-2</v>
      </c>
    </row>
    <row r="33" spans="1:7" x14ac:dyDescent="0.25">
      <c r="A33">
        <v>22</v>
      </c>
      <c r="B33" s="6">
        <v>83422.521552109101</v>
      </c>
      <c r="C33" s="9">
        <f t="shared" si="0"/>
        <v>4.1096056494361946E-2</v>
      </c>
      <c r="E33" s="371">
        <v>22</v>
      </c>
      <c r="F33" s="371">
        <v>78513</v>
      </c>
      <c r="G33" s="9">
        <f t="shared" si="1"/>
        <v>3.6670684983715778E-2</v>
      </c>
    </row>
    <row r="34" spans="1:7" x14ac:dyDescent="0.25">
      <c r="A34">
        <v>23</v>
      </c>
      <c r="B34" s="6">
        <v>64787.7067685242</v>
      </c>
      <c r="C34" s="9">
        <f t="shared" si="0"/>
        <v>3.1916072637966336E-2</v>
      </c>
      <c r="E34" s="371">
        <v>23</v>
      </c>
      <c r="F34" s="371">
        <v>71269</v>
      </c>
      <c r="G34" s="9">
        <f t="shared" si="1"/>
        <v>3.3287265142134925E-2</v>
      </c>
    </row>
    <row r="35" spans="1:7" x14ac:dyDescent="0.25">
      <c r="A35">
        <v>24</v>
      </c>
      <c r="B35" s="6">
        <v>78852.744829489704</v>
      </c>
      <c r="C35" s="9">
        <f t="shared" si="0"/>
        <v>3.8844868219717436E-2</v>
      </c>
      <c r="E35" s="371">
        <v>24</v>
      </c>
      <c r="F35" s="371">
        <v>42997</v>
      </c>
      <c r="G35" s="9">
        <f t="shared" si="1"/>
        <v>2.008239963120537E-2</v>
      </c>
    </row>
    <row r="36" spans="1:7" x14ac:dyDescent="0.25">
      <c r="A36">
        <v>25</v>
      </c>
      <c r="B36" s="6">
        <v>31363.941512171299</v>
      </c>
      <c r="C36" s="9">
        <f t="shared" si="0"/>
        <v>1.5450675528489447E-2</v>
      </c>
      <c r="E36" s="371">
        <v>25</v>
      </c>
      <c r="F36" s="371">
        <v>44092</v>
      </c>
      <c r="G36" s="9">
        <f t="shared" si="1"/>
        <v>2.0593835954580718E-2</v>
      </c>
    </row>
    <row r="37" spans="1:7" x14ac:dyDescent="0.25">
      <c r="A37">
        <v>26</v>
      </c>
      <c r="B37" s="6">
        <v>121371.7756253273</v>
      </c>
      <c r="C37" s="9">
        <f t="shared" si="0"/>
        <v>5.9790824529366772E-2</v>
      </c>
      <c r="E37" s="371">
        <v>26</v>
      </c>
      <c r="F37" s="371">
        <v>43031</v>
      </c>
      <c r="G37" s="9">
        <f t="shared" si="1"/>
        <v>2.0098279845812458E-2</v>
      </c>
    </row>
    <row r="38" spans="1:7" x14ac:dyDescent="0.25">
      <c r="A38">
        <v>27</v>
      </c>
      <c r="B38" s="6">
        <v>17466.8171904011</v>
      </c>
      <c r="C38" s="9">
        <f t="shared" si="0"/>
        <v>8.6045985266105639E-3</v>
      </c>
      <c r="E38" s="371">
        <v>27</v>
      </c>
      <c r="F38" s="371">
        <v>34537</v>
      </c>
      <c r="G38" s="9">
        <f t="shared" si="1"/>
        <v>1.6131028584853359E-2</v>
      </c>
    </row>
    <row r="39" spans="1:7" x14ac:dyDescent="0.25">
      <c r="A39">
        <v>28</v>
      </c>
      <c r="B39" s="6">
        <v>35901.713031650601</v>
      </c>
      <c r="C39" s="9">
        <f t="shared" si="0"/>
        <v>1.7686097225813019E-2</v>
      </c>
      <c r="E39" s="371">
        <v>28</v>
      </c>
      <c r="F39" s="371">
        <v>42894</v>
      </c>
      <c r="G39" s="9">
        <f t="shared" si="1"/>
        <v>2.00342919222486E-2</v>
      </c>
    </row>
    <row r="40" spans="1:7" x14ac:dyDescent="0.25">
      <c r="A40">
        <v>29</v>
      </c>
      <c r="B40" s="6">
        <v>18995.843102864201</v>
      </c>
      <c r="C40" s="9">
        <f t="shared" si="0"/>
        <v>9.3578355915040819E-3</v>
      </c>
      <c r="E40" s="371">
        <v>29</v>
      </c>
      <c r="F40" s="371">
        <v>37764</v>
      </c>
      <c r="G40" s="9">
        <f t="shared" si="1"/>
        <v>1.7638247777120253E-2</v>
      </c>
    </row>
    <row r="41" spans="1:7" x14ac:dyDescent="0.25">
      <c r="A41">
        <v>30</v>
      </c>
      <c r="B41" s="6">
        <v>19495.662296448299</v>
      </c>
      <c r="C41" s="9">
        <f t="shared" si="0"/>
        <v>9.6040592423160282E-3</v>
      </c>
      <c r="E41" s="371">
        <v>30</v>
      </c>
      <c r="F41" s="371">
        <v>27898</v>
      </c>
      <c r="G41" s="9">
        <f t="shared" si="1"/>
        <v>1.3030183150251584E-2</v>
      </c>
    </row>
    <row r="42" spans="1:7" x14ac:dyDescent="0.25">
      <c r="A42">
        <v>31</v>
      </c>
      <c r="B42" s="6">
        <v>11200.638632948299</v>
      </c>
      <c r="C42" s="9">
        <f t="shared" si="0"/>
        <v>5.5177195494510783E-3</v>
      </c>
      <c r="E42" s="371">
        <v>31</v>
      </c>
      <c r="F42" s="371">
        <v>17948</v>
      </c>
      <c r="G42" s="9">
        <f t="shared" si="1"/>
        <v>8.3828850520006968E-3</v>
      </c>
    </row>
    <row r="43" spans="1:7" x14ac:dyDescent="0.25">
      <c r="A43">
        <v>32</v>
      </c>
      <c r="B43" s="6">
        <v>26368.544822794898</v>
      </c>
      <c r="C43" s="9">
        <f t="shared" si="0"/>
        <v>1.2989816029893159E-2</v>
      </c>
      <c r="E43" s="371">
        <v>32</v>
      </c>
      <c r="F43" s="371">
        <v>29908</v>
      </c>
      <c r="G43" s="9">
        <f t="shared" si="1"/>
        <v>1.3968984072611814E-2</v>
      </c>
    </row>
    <row r="44" spans="1:7" x14ac:dyDescent="0.25">
      <c r="A44">
        <v>33</v>
      </c>
      <c r="B44" s="6">
        <v>11368.8734499698</v>
      </c>
      <c r="C44" s="9">
        <f t="shared" si="0"/>
        <v>5.6005963004291167E-3</v>
      </c>
      <c r="E44" s="371">
        <v>33</v>
      </c>
      <c r="F44" s="371">
        <v>29250</v>
      </c>
      <c r="G44" s="9">
        <f t="shared" si="1"/>
        <v>1.3661655213451102E-2</v>
      </c>
    </row>
    <row r="45" spans="1:7" x14ac:dyDescent="0.25">
      <c r="A45">
        <v>34</v>
      </c>
      <c r="B45" s="6">
        <v>23643.2902777245</v>
      </c>
      <c r="C45" s="9">
        <f t="shared" si="0"/>
        <v>1.1647286306960105E-2</v>
      </c>
      <c r="E45" s="371">
        <v>34</v>
      </c>
      <c r="F45" s="371">
        <v>27678</v>
      </c>
      <c r="G45" s="9">
        <f t="shared" si="1"/>
        <v>1.2927428820441011E-2</v>
      </c>
    </row>
    <row r="46" spans="1:7" x14ac:dyDescent="0.25">
      <c r="A46">
        <v>35</v>
      </c>
      <c r="B46" s="6">
        <v>17759.4390997597</v>
      </c>
      <c r="C46" s="9">
        <f t="shared" si="0"/>
        <v>8.7487515238437799E-3</v>
      </c>
      <c r="E46" s="371">
        <v>35</v>
      </c>
      <c r="F46" s="371">
        <v>16433</v>
      </c>
      <c r="G46" s="9">
        <f t="shared" si="1"/>
        <v>7.6752813717142548E-3</v>
      </c>
    </row>
    <row r="47" spans="1:7" x14ac:dyDescent="0.25">
      <c r="A47">
        <v>36</v>
      </c>
      <c r="B47" s="6">
        <v>8793.5905390018997</v>
      </c>
      <c r="C47" s="9">
        <f t="shared" si="0"/>
        <v>4.3319464199289993E-3</v>
      </c>
      <c r="E47" s="371">
        <v>36</v>
      </c>
      <c r="F47" s="371">
        <v>9609</v>
      </c>
      <c r="G47" s="9">
        <f t="shared" si="1"/>
        <v>4.4880288870445002E-3</v>
      </c>
    </row>
    <row r="48" spans="1:7" x14ac:dyDescent="0.25">
      <c r="A48">
        <v>37</v>
      </c>
      <c r="B48" s="6">
        <v>26363.6880420618</v>
      </c>
      <c r="C48" s="9">
        <f t="shared" si="0"/>
        <v>1.2987423456141196E-2</v>
      </c>
      <c r="E48" s="371">
        <v>37</v>
      </c>
      <c r="F48" s="371">
        <v>10743</v>
      </c>
      <c r="G48" s="9">
        <f t="shared" si="1"/>
        <v>5.0176807507044509E-3</v>
      </c>
    </row>
    <row r="49" spans="1:7" x14ac:dyDescent="0.25">
      <c r="A49">
        <v>38</v>
      </c>
      <c r="B49" s="6">
        <v>17597.934219020601</v>
      </c>
      <c r="C49" s="9">
        <f t="shared" si="0"/>
        <v>8.6691901106968113E-3</v>
      </c>
      <c r="E49" s="371">
        <v>38</v>
      </c>
      <c r="F49" s="371">
        <v>9647</v>
      </c>
      <c r="G49" s="9">
        <f t="shared" si="1"/>
        <v>4.5057773621935996E-3</v>
      </c>
    </row>
    <row r="50" spans="1:7" x14ac:dyDescent="0.25">
      <c r="A50">
        <v>39</v>
      </c>
      <c r="B50" s="6">
        <v>3866.5482941869</v>
      </c>
      <c r="C50" s="9">
        <f t="shared" si="0"/>
        <v>1.904760059749912E-3</v>
      </c>
      <c r="E50" s="371">
        <v>39</v>
      </c>
      <c r="F50" s="371">
        <v>10619</v>
      </c>
      <c r="G50" s="9">
        <f t="shared" si="1"/>
        <v>4.9597646739021287E-3</v>
      </c>
    </row>
    <row r="51" spans="1:7" x14ac:dyDescent="0.25">
      <c r="A51">
        <v>40</v>
      </c>
      <c r="B51" s="6">
        <v>6005.4311671087999</v>
      </c>
      <c r="C51" s="9">
        <f t="shared" si="0"/>
        <v>2.9584281789222133E-3</v>
      </c>
      <c r="E51" s="371">
        <v>40</v>
      </c>
      <c r="F51" s="371">
        <v>9123</v>
      </c>
      <c r="G51" s="9">
        <f t="shared" si="1"/>
        <v>4.261035231190236E-3</v>
      </c>
    </row>
    <row r="52" spans="1:7" x14ac:dyDescent="0.25">
      <c r="A52">
        <v>41</v>
      </c>
      <c r="B52" s="6">
        <v>6949.9674741894005</v>
      </c>
      <c r="C52" s="9">
        <f t="shared" si="0"/>
        <v>3.4237307940261441E-3</v>
      </c>
      <c r="E52" s="371">
        <v>41</v>
      </c>
      <c r="F52" s="371">
        <v>7298</v>
      </c>
      <c r="G52" s="9">
        <f t="shared" si="1"/>
        <v>3.4086413588979877E-3</v>
      </c>
    </row>
    <row r="53" spans="1:7" x14ac:dyDescent="0.25">
      <c r="A53">
        <v>42</v>
      </c>
      <c r="B53" s="6">
        <v>2822.7183979430001</v>
      </c>
      <c r="C53" s="9">
        <f t="shared" si="0"/>
        <v>1.3905428964656797E-3</v>
      </c>
      <c r="E53" s="371">
        <v>42</v>
      </c>
      <c r="F53" s="371">
        <v>6176</v>
      </c>
      <c r="G53" s="9">
        <f t="shared" si="1"/>
        <v>2.8845942768640684E-3</v>
      </c>
    </row>
    <row r="54" spans="1:7" x14ac:dyDescent="0.25">
      <c r="A54">
        <v>43</v>
      </c>
      <c r="B54" s="6">
        <v>2693.4751585068998</v>
      </c>
      <c r="C54" s="9">
        <f t="shared" si="0"/>
        <v>1.3268743886028166E-3</v>
      </c>
      <c r="E54" s="371">
        <v>43</v>
      </c>
      <c r="F54" s="371">
        <v>5157</v>
      </c>
      <c r="G54" s="9">
        <f t="shared" si="1"/>
        <v>2.4086549037869174E-3</v>
      </c>
    </row>
    <row r="55" spans="1:7" x14ac:dyDescent="0.25">
      <c r="A55">
        <v>44</v>
      </c>
      <c r="B55" s="6">
        <v>3335.7432707194998</v>
      </c>
      <c r="C55" s="9">
        <f t="shared" si="0"/>
        <v>1.6432720008175111E-3</v>
      </c>
      <c r="E55" s="371">
        <v>44</v>
      </c>
      <c r="F55" s="371">
        <v>5322</v>
      </c>
      <c r="G55" s="9">
        <f t="shared" si="1"/>
        <v>2.4857206511448467E-3</v>
      </c>
    </row>
    <row r="56" spans="1:7" x14ac:dyDescent="0.25">
      <c r="A56">
        <v>45</v>
      </c>
      <c r="B56" s="6">
        <v>100623.47440967109</v>
      </c>
      <c r="C56" s="9">
        <f t="shared" si="0"/>
        <v>4.9569683486680456E-2</v>
      </c>
      <c r="E56" s="371">
        <v>45</v>
      </c>
      <c r="F56" s="371">
        <v>9259</v>
      </c>
      <c r="G56" s="9">
        <f t="shared" si="1"/>
        <v>4.3245560896185897E-3</v>
      </c>
    </row>
    <row r="57" spans="1:7" x14ac:dyDescent="0.25">
      <c r="A57">
        <v>46</v>
      </c>
      <c r="B57" s="6">
        <v>9429.7718086214991</v>
      </c>
      <c r="C57" s="9">
        <f t="shared" si="0"/>
        <v>4.6453454986251641E-3</v>
      </c>
      <c r="E57" s="371">
        <v>46</v>
      </c>
      <c r="F57" s="371">
        <v>3929</v>
      </c>
      <c r="G57" s="9">
        <f t="shared" si="1"/>
        <v>1.8350989173897224E-3</v>
      </c>
    </row>
    <row r="58" spans="1:7" x14ac:dyDescent="0.25">
      <c r="A58">
        <v>47</v>
      </c>
      <c r="B58" s="6">
        <v>2893.2146146180003</v>
      </c>
      <c r="C58" s="9">
        <f t="shared" si="0"/>
        <v>1.4252711263155163E-3</v>
      </c>
      <c r="E58" s="371">
        <v>47</v>
      </c>
      <c r="F58" s="371">
        <v>6864</v>
      </c>
      <c r="G58" s="9">
        <f t="shared" si="1"/>
        <v>3.2059350900898588E-3</v>
      </c>
    </row>
    <row r="59" spans="1:7" x14ac:dyDescent="0.25">
      <c r="A59">
        <v>48</v>
      </c>
      <c r="B59" s="6">
        <v>1856.3849775777001</v>
      </c>
      <c r="C59" s="9">
        <f t="shared" si="0"/>
        <v>9.1450246881070475E-4</v>
      </c>
      <c r="E59" s="371">
        <v>48</v>
      </c>
      <c r="F59" s="371">
        <v>5987</v>
      </c>
      <c r="G59" s="9">
        <f t="shared" si="1"/>
        <v>2.7963189662540771E-3</v>
      </c>
    </row>
    <row r="60" spans="1:7" x14ac:dyDescent="0.25">
      <c r="A60">
        <v>49</v>
      </c>
      <c r="B60" s="6">
        <v>3974.9595683288999</v>
      </c>
      <c r="C60" s="9">
        <f t="shared" si="0"/>
        <v>1.9581662115165238E-3</v>
      </c>
      <c r="E60" s="371">
        <v>49</v>
      </c>
      <c r="F60" s="371">
        <v>3069</v>
      </c>
      <c r="G60" s="9">
        <f t="shared" si="1"/>
        <v>1.4334229008574849E-3</v>
      </c>
    </row>
    <row r="61" spans="1:7" x14ac:dyDescent="0.25">
      <c r="A61">
        <v>50</v>
      </c>
      <c r="B61" s="6">
        <v>1058.475504325</v>
      </c>
      <c r="C61" s="9">
        <f t="shared" si="0"/>
        <v>5.2143196242836057E-4</v>
      </c>
      <c r="E61" s="371">
        <v>50</v>
      </c>
      <c r="F61" s="371">
        <v>3257</v>
      </c>
      <c r="G61" s="9">
        <f t="shared" si="1"/>
        <v>1.5212311463319739E-3</v>
      </c>
    </row>
    <row r="62" spans="1:7" x14ac:dyDescent="0.25">
      <c r="A62">
        <v>51</v>
      </c>
      <c r="B62" s="6">
        <v>814.0671532819</v>
      </c>
      <c r="C62" s="9">
        <f t="shared" si="0"/>
        <v>4.010301906371896E-4</v>
      </c>
      <c r="E62" s="371">
        <v>51</v>
      </c>
      <c r="F62" s="371">
        <v>5983</v>
      </c>
      <c r="G62" s="9">
        <f t="shared" si="1"/>
        <v>2.7944507057120664E-3</v>
      </c>
    </row>
    <row r="63" spans="1:7" x14ac:dyDescent="0.25">
      <c r="A63">
        <v>52</v>
      </c>
      <c r="B63" s="6">
        <v>12823.199834345</v>
      </c>
      <c r="C63" s="9">
        <f t="shared" si="0"/>
        <v>6.3170344773330767E-3</v>
      </c>
      <c r="E63" s="371">
        <v>52</v>
      </c>
      <c r="F63" s="371">
        <v>2331</v>
      </c>
      <c r="G63" s="9">
        <f t="shared" si="1"/>
        <v>1.0887288308565647E-3</v>
      </c>
    </row>
    <row r="64" spans="1:7" x14ac:dyDescent="0.25">
      <c r="A64">
        <v>53</v>
      </c>
      <c r="B64" s="6">
        <v>1475.37451594</v>
      </c>
      <c r="C64" s="9">
        <f t="shared" si="0"/>
        <v>7.2680702200471001E-4</v>
      </c>
      <c r="E64" s="371">
        <v>53</v>
      </c>
      <c r="F64" s="371">
        <v>2307</v>
      </c>
      <c r="G64" s="9">
        <f t="shared" si="1"/>
        <v>1.0775192676045022E-3</v>
      </c>
    </row>
    <row r="65" spans="1:7" x14ac:dyDescent="0.25">
      <c r="A65">
        <v>54</v>
      </c>
      <c r="B65" s="6">
        <v>5816.0031152032998</v>
      </c>
      <c r="C65" s="9">
        <f t="shared" si="0"/>
        <v>2.8651111012567695E-3</v>
      </c>
      <c r="E65" s="371">
        <v>54</v>
      </c>
      <c r="F65" s="371">
        <v>1705</v>
      </c>
      <c r="G65" s="9">
        <f t="shared" si="1"/>
        <v>7.96346056031936E-4</v>
      </c>
    </row>
    <row r="66" spans="1:7" x14ac:dyDescent="0.25">
      <c r="A66">
        <v>55</v>
      </c>
      <c r="B66" s="6">
        <v>662.95707380900001</v>
      </c>
      <c r="C66" s="9">
        <f t="shared" si="0"/>
        <v>3.2658952105125787E-4</v>
      </c>
      <c r="E66" s="371">
        <v>55</v>
      </c>
      <c r="F66" s="371">
        <v>1618</v>
      </c>
      <c r="G66" s="9">
        <f t="shared" si="1"/>
        <v>7.5571138924320966E-4</v>
      </c>
    </row>
    <row r="67" spans="1:7" x14ac:dyDescent="0.25">
      <c r="A67">
        <v>56</v>
      </c>
      <c r="B67" s="6">
        <v>106.37362877</v>
      </c>
      <c r="C67" s="9">
        <f t="shared" si="0"/>
        <v>5.240235581600786E-5</v>
      </c>
      <c r="E67" s="371">
        <v>56</v>
      </c>
      <c r="F67" s="371">
        <v>1598</v>
      </c>
      <c r="G67" s="9">
        <f t="shared" si="1"/>
        <v>7.463700865331577E-4</v>
      </c>
    </row>
    <row r="68" spans="1:7" x14ac:dyDescent="0.25">
      <c r="A68">
        <v>57</v>
      </c>
      <c r="B68" s="6">
        <v>1576.926795032</v>
      </c>
      <c r="C68" s="9">
        <f t="shared" si="0"/>
        <v>7.768342583079086E-4</v>
      </c>
      <c r="E68" s="371">
        <v>57</v>
      </c>
      <c r="F68" s="371">
        <v>1469</v>
      </c>
      <c r="G68" s="9">
        <f t="shared" si="1"/>
        <v>6.8611868405332201E-4</v>
      </c>
    </row>
    <row r="69" spans="1:7" x14ac:dyDescent="0.25">
      <c r="A69">
        <v>58</v>
      </c>
      <c r="B69" s="6">
        <v>4885.84852718</v>
      </c>
      <c r="C69" s="9">
        <f t="shared" si="0"/>
        <v>2.4068932868501623E-3</v>
      </c>
      <c r="E69" s="371">
        <v>58</v>
      </c>
      <c r="F69" s="371">
        <v>1690</v>
      </c>
      <c r="G69" s="9">
        <f t="shared" si="1"/>
        <v>7.89340078999397E-4</v>
      </c>
    </row>
    <row r="70" spans="1:7" x14ac:dyDescent="0.25">
      <c r="A70">
        <v>59</v>
      </c>
      <c r="B70" s="6">
        <v>1504.4063101475999</v>
      </c>
      <c r="C70" s="9">
        <f t="shared" si="0"/>
        <v>7.4110882243809731E-4</v>
      </c>
      <c r="E70" s="371">
        <v>59</v>
      </c>
      <c r="F70" s="371">
        <v>1281</v>
      </c>
      <c r="G70" s="9">
        <f t="shared" si="1"/>
        <v>5.9831043857883287E-4</v>
      </c>
    </row>
    <row r="71" spans="1:7" x14ac:dyDescent="0.25">
      <c r="A71">
        <v>60</v>
      </c>
      <c r="B71" s="6">
        <v>6053.1094642147</v>
      </c>
      <c r="C71" s="9">
        <f t="shared" si="0"/>
        <v>2.981915721074666E-3</v>
      </c>
      <c r="E71" s="371">
        <v>60</v>
      </c>
      <c r="F71" s="371">
        <v>1363</v>
      </c>
      <c r="G71" s="9">
        <f t="shared" si="1"/>
        <v>6.3660977969004625E-4</v>
      </c>
    </row>
    <row r="72" spans="1:7" x14ac:dyDescent="0.25">
      <c r="A72">
        <v>61</v>
      </c>
      <c r="B72" s="6">
        <v>6516.2306965079997</v>
      </c>
      <c r="C72" s="9">
        <f t="shared" si="0"/>
        <v>3.2100610225107478E-3</v>
      </c>
      <c r="E72" s="371">
        <v>61</v>
      </c>
      <c r="F72" s="371">
        <v>1123</v>
      </c>
      <c r="G72" s="9">
        <f t="shared" si="1"/>
        <v>5.2451414716942184E-4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926</v>
      </c>
      <c r="G73" s="9">
        <f t="shared" si="1"/>
        <v>4.3250231547540928E-4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897</v>
      </c>
      <c r="G74" s="9">
        <f t="shared" si="1"/>
        <v>4.1895742654583378E-4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893</v>
      </c>
      <c r="G75" s="9">
        <f t="shared" si="1"/>
        <v>4.1708916600382342E-4</v>
      </c>
    </row>
    <row r="76" spans="1:7" x14ac:dyDescent="0.25">
      <c r="A76">
        <v>65</v>
      </c>
      <c r="B76" s="6">
        <v>6039.2239097660004</v>
      </c>
      <c r="C76" s="9">
        <f t="shared" si="0"/>
        <v>2.9750753436866145E-3</v>
      </c>
      <c r="E76" s="371">
        <v>65</v>
      </c>
      <c r="F76" s="371">
        <v>889</v>
      </c>
      <c r="G76" s="9">
        <f t="shared" si="1"/>
        <v>4.15220905461813E-4</v>
      </c>
    </row>
    <row r="77" spans="1:7" x14ac:dyDescent="0.25">
      <c r="A77">
        <v>66</v>
      </c>
      <c r="B77" s="6">
        <v>1262.824399592</v>
      </c>
      <c r="C77" s="9">
        <f t="shared" ref="C77:C102" si="2">B77/B$102</f>
        <v>6.220994271394026E-4</v>
      </c>
      <c r="E77" s="371">
        <v>66</v>
      </c>
      <c r="F77" s="371">
        <v>794</v>
      </c>
      <c r="G77" s="9">
        <f t="shared" ref="G77:G102" si="3">F77/F$102</f>
        <v>3.7084971758906583E-4</v>
      </c>
    </row>
    <row r="78" spans="1:7" x14ac:dyDescent="0.25">
      <c r="A78">
        <v>67</v>
      </c>
      <c r="B78" s="6">
        <v>2362.3945730780001</v>
      </c>
      <c r="C78" s="9">
        <f t="shared" si="2"/>
        <v>1.1637756690984732E-3</v>
      </c>
      <c r="E78" s="371">
        <v>67</v>
      </c>
      <c r="F78" s="371">
        <v>745</v>
      </c>
      <c r="G78" s="9">
        <f t="shared" si="3"/>
        <v>3.4796352594943831E-4</v>
      </c>
    </row>
    <row r="79" spans="1:7" x14ac:dyDescent="0.25">
      <c r="A79">
        <v>68</v>
      </c>
      <c r="B79" s="6">
        <v>385.51800510500004</v>
      </c>
      <c r="C79" s="9">
        <f t="shared" si="2"/>
        <v>1.8991597739577375E-4</v>
      </c>
      <c r="E79" s="371">
        <v>68</v>
      </c>
      <c r="F79" s="371">
        <v>688</v>
      </c>
      <c r="G79" s="9">
        <f t="shared" si="3"/>
        <v>3.2134081322579002E-4</v>
      </c>
    </row>
    <row r="80" spans="1:7" x14ac:dyDescent="0.25">
      <c r="A80">
        <v>69</v>
      </c>
      <c r="B80" s="6">
        <v>2700.8750317959002</v>
      </c>
      <c r="C80" s="9">
        <f t="shared" si="2"/>
        <v>1.3305197544474096E-3</v>
      </c>
      <c r="E80" s="371">
        <v>69</v>
      </c>
      <c r="F80" s="371">
        <v>678</v>
      </c>
      <c r="G80" s="9">
        <f t="shared" si="3"/>
        <v>3.1667016187076399E-4</v>
      </c>
    </row>
    <row r="81" spans="1:7" x14ac:dyDescent="0.25">
      <c r="A81">
        <v>70</v>
      </c>
      <c r="B81" s="6">
        <v>3317.5744333130001</v>
      </c>
      <c r="C81" s="9">
        <f t="shared" si="2"/>
        <v>1.6343215692721401E-3</v>
      </c>
      <c r="E81" s="371">
        <v>70</v>
      </c>
      <c r="F81" s="371">
        <v>686</v>
      </c>
      <c r="G81" s="9">
        <f t="shared" si="3"/>
        <v>3.2040668295478482E-4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619</v>
      </c>
      <c r="G82" s="9">
        <f t="shared" si="3"/>
        <v>2.8911331887611049E-4</v>
      </c>
    </row>
    <row r="83" spans="1:7" x14ac:dyDescent="0.25">
      <c r="A83">
        <v>72</v>
      </c>
      <c r="B83" s="6">
        <v>10258.778927421799</v>
      </c>
      <c r="C83" s="9">
        <f t="shared" si="2"/>
        <v>5.0537354963689331E-3</v>
      </c>
      <c r="E83" s="371">
        <v>72</v>
      </c>
      <c r="F83" s="371">
        <v>626</v>
      </c>
      <c r="G83" s="9">
        <f t="shared" si="3"/>
        <v>2.9238277482462871E-4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491</v>
      </c>
      <c r="G84" s="9">
        <f t="shared" si="3"/>
        <v>2.2932898153177748E-4</v>
      </c>
    </row>
    <row r="85" spans="1:7" x14ac:dyDescent="0.25">
      <c r="A85">
        <v>74</v>
      </c>
      <c r="B85" s="6">
        <v>3967.3645349879998</v>
      </c>
      <c r="C85" s="9">
        <f t="shared" si="2"/>
        <v>1.9544247048652388E-3</v>
      </c>
      <c r="E85" s="371">
        <v>74</v>
      </c>
      <c r="F85" s="371">
        <v>460</v>
      </c>
      <c r="G85" s="9">
        <f t="shared" si="3"/>
        <v>2.1484996233119683E-4</v>
      </c>
    </row>
    <row r="86" spans="1:7" x14ac:dyDescent="0.25">
      <c r="A86">
        <v>75</v>
      </c>
      <c r="B86" s="6">
        <v>5834.9573194519999</v>
      </c>
      <c r="C86" s="9">
        <f t="shared" si="2"/>
        <v>2.8744484244893655E-3</v>
      </c>
      <c r="E86" s="371">
        <v>75</v>
      </c>
      <c r="F86" s="371">
        <v>562</v>
      </c>
      <c r="G86" s="9">
        <f t="shared" si="3"/>
        <v>2.624906061524622E-4</v>
      </c>
    </row>
    <row r="87" spans="1:7" x14ac:dyDescent="0.25">
      <c r="A87">
        <v>76</v>
      </c>
      <c r="B87" s="6">
        <v>3993.8384281549997</v>
      </c>
      <c r="C87" s="9">
        <f t="shared" si="2"/>
        <v>1.9674664181696866E-3</v>
      </c>
      <c r="E87" s="371">
        <v>76</v>
      </c>
      <c r="F87" s="371">
        <v>418</v>
      </c>
      <c r="G87" s="9">
        <f t="shared" si="3"/>
        <v>1.9523322664008754E-4</v>
      </c>
    </row>
    <row r="88" spans="1:7" x14ac:dyDescent="0.25">
      <c r="A88">
        <v>77</v>
      </c>
      <c r="B88" s="6">
        <v>1083.714443592</v>
      </c>
      <c r="C88" s="9">
        <f t="shared" si="2"/>
        <v>5.3386530602282992E-4</v>
      </c>
      <c r="E88" s="371">
        <v>77</v>
      </c>
      <c r="F88" s="371">
        <v>375</v>
      </c>
      <c r="G88" s="9">
        <f t="shared" si="3"/>
        <v>1.7514942581347567E-4</v>
      </c>
    </row>
    <row r="89" spans="1:7" x14ac:dyDescent="0.25">
      <c r="A89">
        <v>78</v>
      </c>
      <c r="B89" s="6">
        <v>523.29998548799995</v>
      </c>
      <c r="C89" s="9">
        <f t="shared" si="2"/>
        <v>2.5779088628579013E-4</v>
      </c>
      <c r="E89" s="371">
        <v>78</v>
      </c>
      <c r="F89" s="371">
        <v>477</v>
      </c>
      <c r="G89" s="9">
        <f t="shared" si="3"/>
        <v>2.2279006963474106E-4</v>
      </c>
    </row>
    <row r="90" spans="1:7" x14ac:dyDescent="0.25">
      <c r="A90">
        <v>79</v>
      </c>
      <c r="B90" s="6">
        <v>649.46094497400009</v>
      </c>
      <c r="C90" s="9">
        <f t="shared" si="2"/>
        <v>3.1994098462801037E-4</v>
      </c>
      <c r="E90" s="371">
        <v>79</v>
      </c>
      <c r="F90" s="371">
        <v>508</v>
      </c>
      <c r="G90" s="9">
        <f t="shared" si="3"/>
        <v>2.3726908883532172E-4</v>
      </c>
    </row>
    <row r="91" spans="1:7" x14ac:dyDescent="0.25">
      <c r="A91">
        <v>80</v>
      </c>
      <c r="B91" s="6">
        <v>5404.0538728265001</v>
      </c>
      <c r="C91" s="9">
        <f t="shared" si="2"/>
        <v>2.6621744239357448E-3</v>
      </c>
      <c r="E91" s="371">
        <v>80</v>
      </c>
      <c r="F91" s="371">
        <v>348</v>
      </c>
      <c r="G91" s="9">
        <f t="shared" si="3"/>
        <v>1.6253866715490543E-4</v>
      </c>
    </row>
    <row r="92" spans="1:7" x14ac:dyDescent="0.25">
      <c r="A92">
        <v>81</v>
      </c>
      <c r="B92" s="6">
        <v>668.71153577099994</v>
      </c>
      <c r="C92" s="9">
        <f t="shared" si="2"/>
        <v>3.294243154147594E-4</v>
      </c>
      <c r="E92" s="371">
        <v>81</v>
      </c>
      <c r="F92" s="371">
        <v>340</v>
      </c>
      <c r="G92" s="9">
        <f t="shared" si="3"/>
        <v>1.588021460708846E-4</v>
      </c>
    </row>
    <row r="93" spans="1:7" x14ac:dyDescent="0.25">
      <c r="A93">
        <v>82</v>
      </c>
      <c r="B93" s="6">
        <v>3436.0861575477002</v>
      </c>
      <c r="C93" s="9">
        <f t="shared" si="2"/>
        <v>1.6927034597230448E-3</v>
      </c>
      <c r="E93" s="371">
        <v>82</v>
      </c>
      <c r="F93" s="371">
        <v>290</v>
      </c>
      <c r="G93" s="9">
        <f t="shared" si="3"/>
        <v>1.3544888929575453E-4</v>
      </c>
    </row>
    <row r="94" spans="1:7" x14ac:dyDescent="0.25">
      <c r="A94">
        <v>83</v>
      </c>
      <c r="B94" s="6">
        <v>4707.4822341093995</v>
      </c>
      <c r="C94" s="9">
        <f t="shared" si="2"/>
        <v>2.3190255130123671E-3</v>
      </c>
      <c r="E94" s="371">
        <v>83</v>
      </c>
      <c r="F94" s="371">
        <v>314</v>
      </c>
      <c r="G94" s="9">
        <f t="shared" si="3"/>
        <v>1.4665845254781696E-4</v>
      </c>
    </row>
    <row r="95" spans="1:7" x14ac:dyDescent="0.25">
      <c r="A95">
        <v>84</v>
      </c>
      <c r="B95" s="6">
        <v>4050.4151157998999</v>
      </c>
      <c r="C95" s="9">
        <f t="shared" si="2"/>
        <v>1.9953375338883162E-3</v>
      </c>
      <c r="E95" s="371">
        <v>84</v>
      </c>
      <c r="F95" s="371">
        <v>353</v>
      </c>
      <c r="G95" s="9">
        <f t="shared" si="3"/>
        <v>1.6487399283241844E-4</v>
      </c>
    </row>
    <row r="96" spans="1:7" x14ac:dyDescent="0.25">
      <c r="A96">
        <v>85</v>
      </c>
      <c r="B96" s="6">
        <v>745.69252313390007</v>
      </c>
      <c r="C96" s="9">
        <f t="shared" si="2"/>
        <v>3.6734710828648272E-4</v>
      </c>
      <c r="E96" s="371">
        <v>85</v>
      </c>
      <c r="F96" s="371">
        <v>259</v>
      </c>
      <c r="G96" s="9">
        <f t="shared" si="3"/>
        <v>1.2096987009517386E-4</v>
      </c>
    </row>
    <row r="97" spans="1:7" x14ac:dyDescent="0.25">
      <c r="A97">
        <v>86</v>
      </c>
      <c r="B97" s="6">
        <v>2097.1040707583998</v>
      </c>
      <c r="C97" s="9">
        <f t="shared" si="2"/>
        <v>1.0330868183193239E-3</v>
      </c>
      <c r="E97" s="371">
        <v>86</v>
      </c>
      <c r="F97" s="371">
        <v>278</v>
      </c>
      <c r="G97" s="9">
        <f t="shared" si="3"/>
        <v>1.2984410766972329E-4</v>
      </c>
    </row>
    <row r="98" spans="1:7" x14ac:dyDescent="0.25">
      <c r="A98">
        <v>87</v>
      </c>
      <c r="B98" s="6">
        <v>2490.6570966944</v>
      </c>
      <c r="C98" s="9">
        <f t="shared" si="2"/>
        <v>1.2269610513978618E-3</v>
      </c>
      <c r="E98" s="371">
        <v>87</v>
      </c>
      <c r="F98" s="371">
        <v>327</v>
      </c>
      <c r="G98" s="9">
        <f t="shared" si="3"/>
        <v>1.5273029930935078E-4</v>
      </c>
    </row>
    <row r="99" spans="1:7" x14ac:dyDescent="0.25">
      <c r="A99">
        <v>88</v>
      </c>
      <c r="B99" s="6">
        <v>289.14310823099999</v>
      </c>
      <c r="C99" s="9">
        <f t="shared" si="2"/>
        <v>1.4243925129252063E-4</v>
      </c>
      <c r="E99" s="371">
        <v>88</v>
      </c>
      <c r="F99" s="371">
        <v>282</v>
      </c>
      <c r="G99" s="9">
        <f t="shared" si="3"/>
        <v>1.317123682117337E-4</v>
      </c>
    </row>
    <row r="100" spans="1:7" x14ac:dyDescent="0.25">
      <c r="A100">
        <v>89</v>
      </c>
      <c r="B100" s="6">
        <v>2614.6389136737998</v>
      </c>
      <c r="C100" s="9">
        <f t="shared" si="2"/>
        <v>1.2880376487011021E-3</v>
      </c>
      <c r="E100" s="371">
        <v>89</v>
      </c>
      <c r="F100" s="371">
        <v>228</v>
      </c>
      <c r="G100" s="9">
        <f t="shared" si="3"/>
        <v>1.0649085089459321E-4</v>
      </c>
    </row>
    <row r="101" spans="1:7" ht="15.75" thickBot="1" x14ac:dyDescent="0.3">
      <c r="A101" s="1">
        <v>90</v>
      </c>
      <c r="B101" s="7">
        <v>50805.684478285002</v>
      </c>
      <c r="C101" s="9">
        <f t="shared" si="2"/>
        <v>2.5028172736904539E-2</v>
      </c>
      <c r="E101" s="372">
        <v>90</v>
      </c>
      <c r="F101" s="372">
        <v>16749</v>
      </c>
      <c r="G101" s="9">
        <f t="shared" si="3"/>
        <v>7.8228739545330769E-3</v>
      </c>
    </row>
    <row r="102" spans="1:7" x14ac:dyDescent="0.25">
      <c r="B102" s="6">
        <f>SUM(B11:B101)</f>
        <v>2029939.8207113622</v>
      </c>
      <c r="C102" s="9">
        <f t="shared" si="2"/>
        <v>1</v>
      </c>
      <c r="F102" s="6">
        <f>SUM(F11:F101)</f>
        <v>2141029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99734.624481182298</v>
      </c>
      <c r="C11" s="9">
        <f>B11/B$102</f>
        <v>0.12049175269376761</v>
      </c>
      <c r="E11" s="371">
        <v>0</v>
      </c>
      <c r="F11" s="371">
        <v>221329</v>
      </c>
      <c r="G11" s="9">
        <f>F11/F$102</f>
        <v>0.25228370618099583</v>
      </c>
      <c r="K11" s="6">
        <v>5.1336132323735608</v>
      </c>
      <c r="L11" s="6">
        <v>4.9328946750843166</v>
      </c>
    </row>
    <row r="12" spans="1:12" x14ac:dyDescent="0.25">
      <c r="A12">
        <v>1</v>
      </c>
      <c r="B12" s="6">
        <v>66863.818875988407</v>
      </c>
      <c r="C12" s="9">
        <f>B12/B$102</f>
        <v>8.0779756980852269E-2</v>
      </c>
      <c r="E12" s="371">
        <v>1</v>
      </c>
      <c r="F12" s="371">
        <v>117497</v>
      </c>
      <c r="G12" s="9">
        <f>F12/F$102</f>
        <v>0.13392993518765489</v>
      </c>
      <c r="K12" s="6"/>
      <c r="L12" s="371"/>
    </row>
    <row r="13" spans="1:12" x14ac:dyDescent="0.25">
      <c r="A13">
        <v>2</v>
      </c>
      <c r="B13" s="6">
        <v>56287.060190633601</v>
      </c>
      <c r="C13" s="9">
        <f t="shared" ref="C13:C76" si="0">B13/B$102</f>
        <v>6.8001725294796408E-2</v>
      </c>
      <c r="E13" s="371">
        <v>2</v>
      </c>
      <c r="F13" s="371">
        <v>68022</v>
      </c>
      <c r="G13" s="9">
        <f t="shared" ref="G13:G76" si="1">F13/F$102</f>
        <v>7.7535443895032724E-2</v>
      </c>
    </row>
    <row r="14" spans="1:12" x14ac:dyDescent="0.25">
      <c r="A14">
        <v>3</v>
      </c>
      <c r="B14" s="6">
        <v>110832.9786498835</v>
      </c>
      <c r="C14" s="9">
        <f t="shared" si="0"/>
        <v>0.13389993618831017</v>
      </c>
      <c r="E14" s="371">
        <v>3</v>
      </c>
      <c r="F14" s="371">
        <v>39399</v>
      </c>
      <c r="G14" s="9">
        <f t="shared" si="1"/>
        <v>4.4909278674846287E-2</v>
      </c>
    </row>
    <row r="15" spans="1:12" x14ac:dyDescent="0.25">
      <c r="A15">
        <v>4</v>
      </c>
      <c r="B15" s="6">
        <v>158008.07101755001</v>
      </c>
      <c r="C15" s="9">
        <f t="shared" si="0"/>
        <v>0.19089327819405463</v>
      </c>
      <c r="E15" s="371">
        <v>4</v>
      </c>
      <c r="F15" s="371">
        <v>117111</v>
      </c>
      <c r="G15" s="9">
        <f t="shared" si="1"/>
        <v>0.13348994986903029</v>
      </c>
    </row>
    <row r="16" spans="1:12" x14ac:dyDescent="0.25">
      <c r="A16">
        <v>5</v>
      </c>
      <c r="B16" s="6">
        <v>97161.198895348702</v>
      </c>
      <c r="C16" s="9">
        <f t="shared" si="0"/>
        <v>0.11738273653336104</v>
      </c>
      <c r="E16" s="371">
        <v>5</v>
      </c>
      <c r="F16" s="371">
        <v>63065</v>
      </c>
      <c r="G16" s="9">
        <f t="shared" si="1"/>
        <v>7.1885166111555654E-2</v>
      </c>
    </row>
    <row r="17" spans="1:7" x14ac:dyDescent="0.25">
      <c r="A17">
        <v>6</v>
      </c>
      <c r="B17" s="6">
        <v>63476.489138303601</v>
      </c>
      <c r="C17" s="9">
        <f t="shared" si="0"/>
        <v>7.6687444013630229E-2</v>
      </c>
      <c r="E17" s="371">
        <v>6</v>
      </c>
      <c r="F17" s="371">
        <v>58035</v>
      </c>
      <c r="G17" s="9">
        <f t="shared" si="1"/>
        <v>6.6151678669374964E-2</v>
      </c>
    </row>
    <row r="18" spans="1:7" x14ac:dyDescent="0.25">
      <c r="A18">
        <v>7</v>
      </c>
      <c r="B18" s="6">
        <v>20608.084004758199</v>
      </c>
      <c r="C18" s="9">
        <f t="shared" si="0"/>
        <v>2.4897112455285968E-2</v>
      </c>
      <c r="E18" s="371">
        <v>7</v>
      </c>
      <c r="F18" s="371">
        <v>32847</v>
      </c>
      <c r="G18" s="9">
        <f t="shared" si="1"/>
        <v>3.7440926841612127E-2</v>
      </c>
    </row>
    <row r="19" spans="1:7" x14ac:dyDescent="0.25">
      <c r="A19">
        <v>8</v>
      </c>
      <c r="B19" s="6">
        <v>28640.007676781701</v>
      </c>
      <c r="C19" s="9">
        <f t="shared" si="0"/>
        <v>3.4600668926060792E-2</v>
      </c>
      <c r="E19" s="371">
        <v>8</v>
      </c>
      <c r="F19" s="371">
        <v>31298</v>
      </c>
      <c r="G19" s="9">
        <f t="shared" si="1"/>
        <v>3.5675286275421693E-2</v>
      </c>
    </row>
    <row r="20" spans="1:7" x14ac:dyDescent="0.25">
      <c r="A20">
        <v>9</v>
      </c>
      <c r="B20" s="6">
        <v>12865.867446971301</v>
      </c>
      <c r="C20" s="9">
        <f t="shared" si="0"/>
        <v>1.554355798375473E-2</v>
      </c>
      <c r="E20" s="371">
        <v>9</v>
      </c>
      <c r="F20" s="371">
        <v>16693</v>
      </c>
      <c r="G20" s="9">
        <f t="shared" si="1"/>
        <v>1.9027655243006401E-2</v>
      </c>
    </row>
    <row r="21" spans="1:7" x14ac:dyDescent="0.25">
      <c r="A21">
        <v>10</v>
      </c>
      <c r="B21" s="6">
        <v>38226.146798972703</v>
      </c>
      <c r="C21" s="9">
        <f t="shared" si="0"/>
        <v>4.618190974796834E-2</v>
      </c>
      <c r="E21" s="371">
        <v>10</v>
      </c>
      <c r="F21" s="371">
        <v>15043</v>
      </c>
      <c r="G21" s="9">
        <f t="shared" si="1"/>
        <v>1.7146888984636989E-2</v>
      </c>
    </row>
    <row r="22" spans="1:7" x14ac:dyDescent="0.25">
      <c r="A22">
        <v>11</v>
      </c>
      <c r="B22" s="6">
        <v>7826.5269435087002</v>
      </c>
      <c r="C22" s="9">
        <f t="shared" si="0"/>
        <v>9.4554118375037178E-3</v>
      </c>
      <c r="E22" s="371">
        <v>11</v>
      </c>
      <c r="F22" s="371">
        <v>14065</v>
      </c>
      <c r="G22" s="9">
        <f t="shared" si="1"/>
        <v>1.6032107529676213E-2</v>
      </c>
    </row>
    <row r="23" spans="1:7" x14ac:dyDescent="0.25">
      <c r="A23">
        <v>12</v>
      </c>
      <c r="B23" s="6">
        <v>6689.1261270044997</v>
      </c>
      <c r="C23" s="9">
        <f t="shared" si="0"/>
        <v>8.0812910784510642E-3</v>
      </c>
      <c r="E23" s="371">
        <v>12</v>
      </c>
      <c r="F23" s="371">
        <v>10671</v>
      </c>
      <c r="G23" s="9">
        <f t="shared" si="1"/>
        <v>1.2163428329127255E-2</v>
      </c>
    </row>
    <row r="24" spans="1:7" x14ac:dyDescent="0.25">
      <c r="A24">
        <v>13</v>
      </c>
      <c r="B24" s="6">
        <v>13864.623215797401</v>
      </c>
      <c r="C24" s="9">
        <f t="shared" si="0"/>
        <v>1.6750178389906396E-2</v>
      </c>
      <c r="E24" s="371">
        <v>13</v>
      </c>
      <c r="F24" s="371">
        <v>10031</v>
      </c>
      <c r="G24" s="9">
        <f t="shared" si="1"/>
        <v>1.1433918992547606E-2</v>
      </c>
    </row>
    <row r="25" spans="1:7" x14ac:dyDescent="0.25">
      <c r="A25">
        <v>14</v>
      </c>
      <c r="B25" s="6">
        <v>3916.8668729669998</v>
      </c>
      <c r="C25" s="9">
        <f t="shared" si="0"/>
        <v>4.7320592727653678E-3</v>
      </c>
      <c r="E25" s="371">
        <v>14</v>
      </c>
      <c r="F25" s="371">
        <v>8509</v>
      </c>
      <c r="G25" s="9">
        <f t="shared" si="1"/>
        <v>9.6990546014941257E-3</v>
      </c>
    </row>
    <row r="26" spans="1:7" x14ac:dyDescent="0.25">
      <c r="A26">
        <v>15</v>
      </c>
      <c r="B26" s="6">
        <v>10321.8034266164</v>
      </c>
      <c r="C26" s="9">
        <f t="shared" si="0"/>
        <v>1.2470014223277126E-2</v>
      </c>
      <c r="E26" s="371">
        <v>15</v>
      </c>
      <c r="F26" s="371">
        <v>7734</v>
      </c>
      <c r="G26" s="9">
        <f t="shared" si="1"/>
        <v>8.8156643892297066E-3</v>
      </c>
    </row>
    <row r="27" spans="1:7" x14ac:dyDescent="0.25">
      <c r="A27">
        <v>16</v>
      </c>
      <c r="B27" s="6">
        <v>7911.9769347471001</v>
      </c>
      <c r="C27" s="9">
        <f t="shared" si="0"/>
        <v>9.558645987785443E-3</v>
      </c>
      <c r="E27" s="371">
        <v>16</v>
      </c>
      <c r="F27" s="371">
        <v>7662</v>
      </c>
      <c r="G27" s="9">
        <f t="shared" si="1"/>
        <v>8.7335945888644961E-3</v>
      </c>
    </row>
    <row r="28" spans="1:7" x14ac:dyDescent="0.25">
      <c r="A28">
        <v>17</v>
      </c>
      <c r="B28" s="6">
        <v>2591.5978135515998</v>
      </c>
      <c r="C28" s="9">
        <f t="shared" si="0"/>
        <v>3.1309704574170815E-3</v>
      </c>
      <c r="E28" s="371">
        <v>17</v>
      </c>
      <c r="F28" s="371">
        <v>5005</v>
      </c>
      <c r="G28" s="9">
        <f t="shared" si="1"/>
        <v>5.7049909837205435E-3</v>
      </c>
    </row>
    <row r="29" spans="1:7" x14ac:dyDescent="0.25">
      <c r="A29">
        <v>18</v>
      </c>
      <c r="B29" s="6">
        <v>4600.4915824173004</v>
      </c>
      <c r="C29" s="9">
        <f t="shared" si="0"/>
        <v>5.5579624117697759E-3</v>
      </c>
      <c r="E29" s="371">
        <v>18</v>
      </c>
      <c r="F29" s="371">
        <v>4597</v>
      </c>
      <c r="G29" s="9">
        <f t="shared" si="1"/>
        <v>5.2399287816510161E-3</v>
      </c>
    </row>
    <row r="30" spans="1:7" x14ac:dyDescent="0.25">
      <c r="A30">
        <v>19</v>
      </c>
      <c r="B30" s="6">
        <v>402.0374973392</v>
      </c>
      <c r="C30" s="9">
        <f t="shared" si="0"/>
        <v>4.8571098507676342E-4</v>
      </c>
      <c r="E30" s="371">
        <v>19</v>
      </c>
      <c r="F30" s="371">
        <v>4101</v>
      </c>
      <c r="G30" s="9">
        <f t="shared" si="1"/>
        <v>4.6745590458017877E-3</v>
      </c>
    </row>
    <row r="31" spans="1:7" x14ac:dyDescent="0.25">
      <c r="A31">
        <v>20</v>
      </c>
      <c r="B31" s="6">
        <v>1086.216272507</v>
      </c>
      <c r="C31" s="9">
        <f t="shared" si="0"/>
        <v>1.3122835039455498E-3</v>
      </c>
      <c r="E31" s="371">
        <v>20</v>
      </c>
      <c r="F31" s="371">
        <v>3453</v>
      </c>
      <c r="G31" s="9">
        <f t="shared" si="1"/>
        <v>3.9359308425148919E-3</v>
      </c>
    </row>
    <row r="32" spans="1:7" x14ac:dyDescent="0.25">
      <c r="A32">
        <v>21</v>
      </c>
      <c r="B32" s="6">
        <v>2507.3412075616002</v>
      </c>
      <c r="C32" s="9">
        <f t="shared" si="0"/>
        <v>3.0291780640073211E-3</v>
      </c>
      <c r="E32" s="371">
        <v>21</v>
      </c>
      <c r="F32" s="371">
        <v>2598</v>
      </c>
      <c r="G32" s="9">
        <f t="shared" si="1"/>
        <v>2.9613519631780162E-3</v>
      </c>
    </row>
    <row r="33" spans="1:7" x14ac:dyDescent="0.25">
      <c r="A33">
        <v>22</v>
      </c>
      <c r="B33" s="6">
        <v>2371.8295400659999</v>
      </c>
      <c r="C33" s="9">
        <f t="shared" si="0"/>
        <v>2.8654632216249679E-3</v>
      </c>
      <c r="E33" s="371">
        <v>22</v>
      </c>
      <c r="F33" s="371">
        <v>2668</v>
      </c>
      <c r="G33" s="9">
        <f t="shared" si="1"/>
        <v>3.0411420468664154E-3</v>
      </c>
    </row>
    <row r="34" spans="1:7" x14ac:dyDescent="0.25">
      <c r="A34">
        <v>23</v>
      </c>
      <c r="B34" s="6">
        <v>1770.2506230066001</v>
      </c>
      <c r="C34" s="9">
        <f t="shared" si="0"/>
        <v>2.1386815399655349E-3</v>
      </c>
      <c r="E34" s="371">
        <v>23</v>
      </c>
      <c r="F34" s="371">
        <v>2329</v>
      </c>
      <c r="G34" s="9">
        <f t="shared" si="1"/>
        <v>2.6547300701468823E-3</v>
      </c>
    </row>
    <row r="35" spans="1:7" x14ac:dyDescent="0.25">
      <c r="A35">
        <v>24</v>
      </c>
      <c r="B35" s="6">
        <v>736.56307327800005</v>
      </c>
      <c r="C35" s="9">
        <f t="shared" si="0"/>
        <v>8.8985922522342585E-4</v>
      </c>
      <c r="E35" s="371">
        <v>24</v>
      </c>
      <c r="F35" s="371">
        <v>1923</v>
      </c>
      <c r="G35" s="9">
        <f t="shared" si="1"/>
        <v>2.1919475847541666E-3</v>
      </c>
    </row>
    <row r="36" spans="1:7" x14ac:dyDescent="0.25">
      <c r="A36">
        <v>25</v>
      </c>
      <c r="B36" s="6">
        <v>1160.436957656</v>
      </c>
      <c r="C36" s="9">
        <f t="shared" si="0"/>
        <v>1.4019512646280261E-3</v>
      </c>
      <c r="E36" s="371">
        <v>25</v>
      </c>
      <c r="F36" s="371">
        <v>2003</v>
      </c>
      <c r="G36" s="9">
        <f t="shared" si="1"/>
        <v>2.2831362518266232E-3</v>
      </c>
    </row>
    <row r="37" spans="1:7" x14ac:dyDescent="0.25">
      <c r="A37">
        <v>26</v>
      </c>
      <c r="B37" s="6">
        <v>1124.4476883681</v>
      </c>
      <c r="C37" s="9">
        <f t="shared" si="0"/>
        <v>1.3584717793717776E-3</v>
      </c>
      <c r="E37" s="371">
        <v>26</v>
      </c>
      <c r="F37" s="371">
        <v>1499</v>
      </c>
      <c r="G37" s="9">
        <f t="shared" si="1"/>
        <v>1.7086476492701487E-3</v>
      </c>
    </row>
    <row r="38" spans="1:7" x14ac:dyDescent="0.25">
      <c r="A38">
        <v>27</v>
      </c>
      <c r="B38" s="6">
        <v>306.24001645700002</v>
      </c>
      <c r="C38" s="9">
        <f t="shared" si="0"/>
        <v>3.6997578844681227E-4</v>
      </c>
      <c r="E38" s="371">
        <v>27</v>
      </c>
      <c r="F38" s="371">
        <v>1115</v>
      </c>
      <c r="G38" s="9">
        <f t="shared" si="1"/>
        <v>1.2709420473223589E-3</v>
      </c>
    </row>
    <row r="39" spans="1:7" x14ac:dyDescent="0.25">
      <c r="A39">
        <v>28</v>
      </c>
      <c r="B39" s="6">
        <v>948.55718125099997</v>
      </c>
      <c r="C39" s="9">
        <f t="shared" si="0"/>
        <v>1.145974308257985E-3</v>
      </c>
      <c r="E39" s="371">
        <v>28</v>
      </c>
      <c r="F39" s="371">
        <v>838</v>
      </c>
      <c r="G39" s="9">
        <f t="shared" si="1"/>
        <v>9.5520128758397901E-4</v>
      </c>
    </row>
    <row r="40" spans="1:7" x14ac:dyDescent="0.25">
      <c r="A40">
        <v>29</v>
      </c>
      <c r="B40" s="6">
        <v>0</v>
      </c>
      <c r="C40" s="9">
        <f t="shared" si="0"/>
        <v>0</v>
      </c>
      <c r="E40" s="371">
        <v>29</v>
      </c>
      <c r="F40" s="371">
        <v>858</v>
      </c>
      <c r="G40" s="9">
        <f t="shared" si="1"/>
        <v>9.7799845435209316E-4</v>
      </c>
    </row>
    <row r="41" spans="1:7" x14ac:dyDescent="0.25">
      <c r="A41">
        <v>30</v>
      </c>
      <c r="B41" s="6">
        <v>0</v>
      </c>
      <c r="C41" s="9">
        <f t="shared" si="0"/>
        <v>0</v>
      </c>
      <c r="E41" s="371">
        <v>30</v>
      </c>
      <c r="F41" s="371">
        <v>638</v>
      </c>
      <c r="G41" s="9">
        <f t="shared" si="1"/>
        <v>7.2722961990283851E-4</v>
      </c>
    </row>
    <row r="42" spans="1:7" x14ac:dyDescent="0.25">
      <c r="A42">
        <v>31</v>
      </c>
      <c r="B42" s="6">
        <v>61.665446701900002</v>
      </c>
      <c r="C42" s="9">
        <f t="shared" si="0"/>
        <v>7.4499480921572537E-5</v>
      </c>
      <c r="E42" s="371">
        <v>31</v>
      </c>
      <c r="F42" s="371">
        <v>699</v>
      </c>
      <c r="G42" s="9">
        <f t="shared" si="1"/>
        <v>7.9676097854558634E-4</v>
      </c>
    </row>
    <row r="43" spans="1:7" x14ac:dyDescent="0.25">
      <c r="A43">
        <v>32</v>
      </c>
      <c r="B43" s="6">
        <v>290.87358263099998</v>
      </c>
      <c r="C43" s="9">
        <f t="shared" si="0"/>
        <v>3.5141123722922703E-4</v>
      </c>
      <c r="E43" s="371">
        <v>32</v>
      </c>
      <c r="F43" s="371">
        <v>500</v>
      </c>
      <c r="G43" s="9">
        <f t="shared" si="1"/>
        <v>5.6992916920285143E-4</v>
      </c>
    </row>
    <row r="44" spans="1:7" x14ac:dyDescent="0.25">
      <c r="A44">
        <v>33</v>
      </c>
      <c r="B44" s="6">
        <v>139.99557747</v>
      </c>
      <c r="C44" s="9">
        <f t="shared" si="0"/>
        <v>1.6913195980317847E-4</v>
      </c>
      <c r="E44" s="371">
        <v>33</v>
      </c>
      <c r="F44" s="371">
        <v>498</v>
      </c>
      <c r="G44" s="9">
        <f t="shared" si="1"/>
        <v>5.6764945252604012E-4</v>
      </c>
    </row>
    <row r="45" spans="1:7" x14ac:dyDescent="0.25">
      <c r="A45">
        <v>34</v>
      </c>
      <c r="B45" s="6">
        <v>1343.61970522</v>
      </c>
      <c r="C45" s="9">
        <f t="shared" si="0"/>
        <v>1.6232586634583174E-3</v>
      </c>
      <c r="E45" s="371">
        <v>34</v>
      </c>
      <c r="F45" s="371">
        <v>386</v>
      </c>
      <c r="G45" s="9">
        <f t="shared" si="1"/>
        <v>4.3998531862460131E-4</v>
      </c>
    </row>
    <row r="46" spans="1:7" x14ac:dyDescent="0.25">
      <c r="A46">
        <v>35</v>
      </c>
      <c r="B46" s="6">
        <v>342.481278879</v>
      </c>
      <c r="C46" s="9">
        <f t="shared" si="0"/>
        <v>4.1375971255318386E-4</v>
      </c>
      <c r="E46" s="371">
        <v>35</v>
      </c>
      <c r="F46" s="371">
        <v>284</v>
      </c>
      <c r="G46" s="9">
        <f t="shared" si="1"/>
        <v>3.2371976810721963E-4</v>
      </c>
    </row>
    <row r="47" spans="1:7" x14ac:dyDescent="0.25">
      <c r="A47">
        <v>36</v>
      </c>
      <c r="B47" s="6">
        <v>0</v>
      </c>
      <c r="C47" s="9">
        <f t="shared" si="0"/>
        <v>0</v>
      </c>
      <c r="E47" s="371">
        <v>36</v>
      </c>
      <c r="F47" s="371">
        <v>415</v>
      </c>
      <c r="G47" s="9">
        <f t="shared" si="1"/>
        <v>4.7304121043836671E-4</v>
      </c>
    </row>
    <row r="48" spans="1:7" x14ac:dyDescent="0.25">
      <c r="A48">
        <v>37</v>
      </c>
      <c r="B48" s="6">
        <v>0</v>
      </c>
      <c r="C48" s="9">
        <f t="shared" si="0"/>
        <v>0</v>
      </c>
      <c r="E48" s="371">
        <v>37</v>
      </c>
      <c r="F48" s="371">
        <v>294</v>
      </c>
      <c r="G48" s="9">
        <f t="shared" si="1"/>
        <v>3.3511835149127665E-4</v>
      </c>
    </row>
    <row r="49" spans="1:7" x14ac:dyDescent="0.25">
      <c r="A49">
        <v>38</v>
      </c>
      <c r="B49" s="6">
        <v>0</v>
      </c>
      <c r="C49" s="9">
        <f t="shared" si="0"/>
        <v>0</v>
      </c>
      <c r="E49" s="371">
        <v>38</v>
      </c>
      <c r="F49" s="371">
        <v>313</v>
      </c>
      <c r="G49" s="9">
        <f t="shared" si="1"/>
        <v>3.5677565992098503E-4</v>
      </c>
    </row>
    <row r="50" spans="1:7" x14ac:dyDescent="0.25">
      <c r="A50">
        <v>39</v>
      </c>
      <c r="B50" s="6">
        <v>357.90788320479999</v>
      </c>
      <c r="C50" s="9">
        <f t="shared" si="0"/>
        <v>4.3239695717107085E-4</v>
      </c>
      <c r="E50" s="371">
        <v>39</v>
      </c>
      <c r="F50" s="371">
        <v>273</v>
      </c>
      <c r="G50" s="9">
        <f t="shared" si="1"/>
        <v>3.111813263847569E-4</v>
      </c>
    </row>
    <row r="51" spans="1:7" x14ac:dyDescent="0.25">
      <c r="A51">
        <v>40</v>
      </c>
      <c r="B51" s="6">
        <v>417.967608267</v>
      </c>
      <c r="C51" s="9">
        <f t="shared" si="0"/>
        <v>5.0495652789884441E-4</v>
      </c>
      <c r="E51" s="371">
        <v>40</v>
      </c>
      <c r="F51" s="371">
        <v>194</v>
      </c>
      <c r="G51" s="9">
        <f t="shared" si="1"/>
        <v>2.2113251765070637E-4</v>
      </c>
    </row>
    <row r="52" spans="1:7" x14ac:dyDescent="0.25">
      <c r="A52">
        <v>41</v>
      </c>
      <c r="B52" s="6">
        <v>1433.5707232769998</v>
      </c>
      <c r="C52" s="9">
        <f t="shared" si="0"/>
        <v>1.7319306104241537E-3</v>
      </c>
      <c r="E52" s="371">
        <v>41</v>
      </c>
      <c r="F52" s="371">
        <v>172</v>
      </c>
      <c r="G52" s="9">
        <f t="shared" si="1"/>
        <v>1.960556342057809E-4</v>
      </c>
    </row>
    <row r="53" spans="1:7" x14ac:dyDescent="0.25">
      <c r="A53">
        <v>42</v>
      </c>
      <c r="B53" s="6">
        <v>0</v>
      </c>
      <c r="C53" s="9">
        <f t="shared" si="0"/>
        <v>0</v>
      </c>
      <c r="E53" s="371">
        <v>42</v>
      </c>
      <c r="F53" s="371">
        <v>93</v>
      </c>
      <c r="G53" s="9">
        <f t="shared" si="1"/>
        <v>1.0600682547173037E-4</v>
      </c>
    </row>
    <row r="54" spans="1:7" x14ac:dyDescent="0.25">
      <c r="A54">
        <v>43</v>
      </c>
      <c r="B54" s="6">
        <v>0</v>
      </c>
      <c r="C54" s="9">
        <f t="shared" si="0"/>
        <v>0</v>
      </c>
      <c r="E54" s="371">
        <v>43</v>
      </c>
      <c r="F54" s="371">
        <v>82</v>
      </c>
      <c r="G54" s="9">
        <f t="shared" si="1"/>
        <v>9.346838374926764E-5</v>
      </c>
    </row>
    <row r="55" spans="1:7" x14ac:dyDescent="0.25">
      <c r="A55">
        <v>44</v>
      </c>
      <c r="B55" s="6">
        <v>0</v>
      </c>
      <c r="C55" s="9">
        <f t="shared" si="0"/>
        <v>0</v>
      </c>
      <c r="E55" s="371">
        <v>44</v>
      </c>
      <c r="F55" s="371">
        <v>65</v>
      </c>
      <c r="G55" s="9">
        <f t="shared" si="1"/>
        <v>7.4090791996370684E-5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73</v>
      </c>
      <c r="G56" s="9">
        <f t="shared" si="1"/>
        <v>8.3209658703616319E-5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43</v>
      </c>
      <c r="G57" s="9">
        <f t="shared" si="1"/>
        <v>4.9013908551445225E-5</v>
      </c>
    </row>
    <row r="58" spans="1:7" x14ac:dyDescent="0.25">
      <c r="A58">
        <v>47</v>
      </c>
      <c r="B58" s="6">
        <v>381.90013443599997</v>
      </c>
      <c r="C58" s="9">
        <f t="shared" si="0"/>
        <v>4.6138256188913877E-4</v>
      </c>
      <c r="E58" s="371">
        <v>47</v>
      </c>
      <c r="F58" s="371">
        <v>47</v>
      </c>
      <c r="G58" s="9">
        <f t="shared" si="1"/>
        <v>5.3573341905068036E-5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36</v>
      </c>
      <c r="G59" s="9">
        <f t="shared" si="1"/>
        <v>4.1034900182605303E-5</v>
      </c>
    </row>
    <row r="60" spans="1:7" x14ac:dyDescent="0.25">
      <c r="A60">
        <v>49</v>
      </c>
      <c r="B60" s="6">
        <v>0</v>
      </c>
      <c r="C60" s="9">
        <f t="shared" si="0"/>
        <v>0</v>
      </c>
      <c r="E60" s="371">
        <v>49</v>
      </c>
      <c r="F60" s="371">
        <v>39</v>
      </c>
      <c r="G60" s="9">
        <f t="shared" si="1"/>
        <v>4.4454475197822415E-5</v>
      </c>
    </row>
    <row r="61" spans="1:7" x14ac:dyDescent="0.25">
      <c r="A61">
        <v>50</v>
      </c>
      <c r="B61" s="6">
        <v>14.08625</v>
      </c>
      <c r="C61" s="9">
        <f t="shared" si="0"/>
        <v>1.7017930936340188E-5</v>
      </c>
      <c r="E61" s="371">
        <v>50</v>
      </c>
      <c r="F61" s="371">
        <v>32</v>
      </c>
      <c r="G61" s="9">
        <f t="shared" si="1"/>
        <v>3.6475466828982493E-5</v>
      </c>
    </row>
    <row r="62" spans="1:7" x14ac:dyDescent="0.25">
      <c r="A62">
        <v>51</v>
      </c>
      <c r="B62" s="6">
        <v>41.760922228299997</v>
      </c>
      <c r="C62" s="9">
        <f t="shared" si="0"/>
        <v>5.0452355333682363E-5</v>
      </c>
      <c r="E62" s="371">
        <v>51</v>
      </c>
      <c r="F62" s="371">
        <v>26</v>
      </c>
      <c r="G62" s="9">
        <f t="shared" si="1"/>
        <v>2.9636316798548276E-5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21</v>
      </c>
      <c r="G63" s="9">
        <f t="shared" si="1"/>
        <v>2.3937025106519763E-5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8</v>
      </c>
      <c r="G64" s="9">
        <f t="shared" si="1"/>
        <v>9.1188667072456231E-6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8</v>
      </c>
      <c r="G65" s="9">
        <f t="shared" si="1"/>
        <v>9.1188667072456231E-6</v>
      </c>
    </row>
    <row r="66" spans="1:7" x14ac:dyDescent="0.25">
      <c r="A66">
        <v>55</v>
      </c>
      <c r="B66" s="6">
        <v>4.59375</v>
      </c>
      <c r="C66" s="9">
        <f t="shared" si="0"/>
        <v>5.5498177470095129E-6</v>
      </c>
      <c r="E66" s="371">
        <v>55</v>
      </c>
      <c r="F66" s="371">
        <v>9</v>
      </c>
      <c r="G66" s="9">
        <f t="shared" si="1"/>
        <v>1.0258725045651326E-5</v>
      </c>
    </row>
    <row r="67" spans="1:7" x14ac:dyDescent="0.25">
      <c r="A67">
        <v>56</v>
      </c>
      <c r="B67" s="6">
        <v>0</v>
      </c>
      <c r="C67" s="9">
        <f t="shared" si="0"/>
        <v>0</v>
      </c>
      <c r="E67" s="371">
        <v>56</v>
      </c>
      <c r="F67" s="371">
        <v>11</v>
      </c>
      <c r="G67" s="9">
        <f t="shared" si="1"/>
        <v>1.2538441722462733E-5</v>
      </c>
    </row>
    <row r="68" spans="1:7" x14ac:dyDescent="0.25">
      <c r="A68">
        <v>57</v>
      </c>
      <c r="B68" s="6">
        <v>0</v>
      </c>
      <c r="C68" s="9">
        <f t="shared" si="0"/>
        <v>0</v>
      </c>
      <c r="E68" s="371">
        <v>57</v>
      </c>
      <c r="F68" s="371">
        <v>9</v>
      </c>
      <c r="G68" s="9">
        <f t="shared" si="1"/>
        <v>1.0258725045651326E-5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3</v>
      </c>
      <c r="G69" s="9">
        <f t="shared" si="1"/>
        <v>3.4195750152171089E-6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6</v>
      </c>
      <c r="G70" s="9">
        <f t="shared" si="1"/>
        <v>6.8391500304342178E-6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5</v>
      </c>
      <c r="G71" s="9">
        <f t="shared" si="1"/>
        <v>5.6992916920285151E-6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1</v>
      </c>
      <c r="G72" s="9">
        <f t="shared" si="1"/>
        <v>1.1398583384057029E-6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4</v>
      </c>
      <c r="G73" s="9">
        <f t="shared" si="1"/>
        <v>4.5594333536228116E-6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3</v>
      </c>
      <c r="G74" s="9">
        <f t="shared" si="1"/>
        <v>3.4195750152171089E-6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0</v>
      </c>
      <c r="G75" s="9">
        <f t="shared" si="1"/>
        <v>0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1</v>
      </c>
      <c r="G76" s="9">
        <f t="shared" si="1"/>
        <v>1.1398583384057029E-6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3</v>
      </c>
      <c r="G77" s="9">
        <f t="shared" ref="G77:G102" si="3">F77/F$102</f>
        <v>3.4195750152171089E-6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1</v>
      </c>
      <c r="G78" s="9">
        <f t="shared" si="3"/>
        <v>1.1398583384057029E-6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2</v>
      </c>
      <c r="G79" s="9">
        <f t="shared" si="3"/>
        <v>2.2797166768114058E-6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58.180995620799997</v>
      </c>
      <c r="C82" s="9">
        <f t="shared" si="2"/>
        <v>7.0289833368162948E-5</v>
      </c>
      <c r="E82" s="371">
        <v>71</v>
      </c>
      <c r="F82" s="371">
        <v>3</v>
      </c>
      <c r="G82" s="9">
        <f t="shared" si="3"/>
        <v>3.4195750152171089E-6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</v>
      </c>
      <c r="G85" s="9">
        <f t="shared" si="3"/>
        <v>1.1398583384057029E-6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1</v>
      </c>
      <c r="G86" s="9">
        <f t="shared" si="3"/>
        <v>1.1398583384057029E-6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</v>
      </c>
      <c r="G87" s="9">
        <f t="shared" si="3"/>
        <v>1.1398583384057029E-6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1</v>
      </c>
      <c r="G91" s="9">
        <f t="shared" si="3"/>
        <v>1.1398583384057029E-6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827729.88400841015</v>
      </c>
      <c r="C102" s="9">
        <f t="shared" si="2"/>
        <v>1</v>
      </c>
      <c r="F102" s="6">
        <f>SUM(F11:F101)</f>
        <v>877302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0</v>
      </c>
      <c r="C11" s="9">
        <f>B11/B$102</f>
        <v>0</v>
      </c>
      <c r="E11" s="371">
        <v>0</v>
      </c>
      <c r="F11" s="371">
        <v>7002</v>
      </c>
      <c r="G11" s="9">
        <f>F11/F$102</f>
        <v>7.9812880855167322E-3</v>
      </c>
      <c r="K11" s="6">
        <v>27.432840636719497</v>
      </c>
      <c r="L11" s="6">
        <v>18.199958528302954</v>
      </c>
    </row>
    <row r="12" spans="1:12" x14ac:dyDescent="0.25">
      <c r="A12">
        <v>1</v>
      </c>
      <c r="B12" s="6">
        <v>193.99883921399999</v>
      </c>
      <c r="C12" s="9">
        <f>B12/B$102</f>
        <v>2.3437457431708345E-4</v>
      </c>
      <c r="E12" s="371">
        <v>1</v>
      </c>
      <c r="F12" s="371">
        <v>29089</v>
      </c>
      <c r="G12" s="9">
        <f>F12/F$102</f>
        <v>3.3157339205883492E-2</v>
      </c>
      <c r="K12" s="6"/>
      <c r="L12" s="371"/>
    </row>
    <row r="13" spans="1:12" x14ac:dyDescent="0.25">
      <c r="A13">
        <v>2</v>
      </c>
      <c r="B13" s="6">
        <v>1261.3043626441001</v>
      </c>
      <c r="C13" s="9">
        <f t="shared" ref="C13:C76" si="0">B13/B$102</f>
        <v>1.5238115561758364E-3</v>
      </c>
      <c r="E13" s="371">
        <v>2</v>
      </c>
      <c r="F13" s="371">
        <v>34191</v>
      </c>
      <c r="G13" s="9">
        <f t="shared" ref="G13:G76" si="1">F13/F$102</f>
        <v>3.8972896448429391E-2</v>
      </c>
    </row>
    <row r="14" spans="1:12" x14ac:dyDescent="0.25">
      <c r="A14">
        <v>3</v>
      </c>
      <c r="B14" s="6">
        <v>10100.747637068</v>
      </c>
      <c r="C14" s="9">
        <f t="shared" si="0"/>
        <v>1.2202951508955511E-2</v>
      </c>
      <c r="E14" s="371">
        <v>3</v>
      </c>
      <c r="F14" s="371">
        <v>39393</v>
      </c>
      <c r="G14" s="9">
        <f t="shared" si="1"/>
        <v>4.4902439524815853E-2</v>
      </c>
    </row>
    <row r="15" spans="1:12" x14ac:dyDescent="0.25">
      <c r="A15">
        <v>4</v>
      </c>
      <c r="B15" s="6">
        <v>8791.3304586004997</v>
      </c>
      <c r="C15" s="9">
        <f t="shared" si="0"/>
        <v>1.0621013724945052E-2</v>
      </c>
      <c r="E15" s="371">
        <v>4</v>
      </c>
      <c r="F15" s="371">
        <v>39248</v>
      </c>
      <c r="G15" s="9">
        <f t="shared" si="1"/>
        <v>4.4737160065747031E-2</v>
      </c>
    </row>
    <row r="16" spans="1:12" x14ac:dyDescent="0.25">
      <c r="A16">
        <v>5</v>
      </c>
      <c r="B16" s="6">
        <v>21057.736233681801</v>
      </c>
      <c r="C16" s="9">
        <f t="shared" si="0"/>
        <v>2.5440347920877824E-2</v>
      </c>
      <c r="E16" s="371">
        <v>5</v>
      </c>
      <c r="F16" s="371">
        <v>37012</v>
      </c>
      <c r="G16" s="9">
        <f t="shared" si="1"/>
        <v>4.218843682107188E-2</v>
      </c>
    </row>
    <row r="17" spans="1:7" x14ac:dyDescent="0.25">
      <c r="A17">
        <v>6</v>
      </c>
      <c r="B17" s="6">
        <v>16944.011316876</v>
      </c>
      <c r="C17" s="9">
        <f t="shared" si="0"/>
        <v>2.0470459801236126E-2</v>
      </c>
      <c r="E17" s="371">
        <v>6</v>
      </c>
      <c r="F17" s="371">
        <v>34128</v>
      </c>
      <c r="G17" s="9">
        <f t="shared" si="1"/>
        <v>3.890108537310983E-2</v>
      </c>
    </row>
    <row r="18" spans="1:7" x14ac:dyDescent="0.25">
      <c r="A18">
        <v>7</v>
      </c>
      <c r="B18" s="6">
        <v>19388.470521528201</v>
      </c>
      <c r="C18" s="9">
        <f t="shared" si="0"/>
        <v>2.3423668634067588E-2</v>
      </c>
      <c r="E18" s="371">
        <v>7</v>
      </c>
      <c r="F18" s="371">
        <v>31712</v>
      </c>
      <c r="G18" s="9">
        <f t="shared" si="1"/>
        <v>3.614718762752165E-2</v>
      </c>
    </row>
    <row r="19" spans="1:7" x14ac:dyDescent="0.25">
      <c r="A19">
        <v>8</v>
      </c>
      <c r="B19" s="6">
        <v>11538.2597059862</v>
      </c>
      <c r="C19" s="9">
        <f t="shared" si="0"/>
        <v>1.3939643752029817E-2</v>
      </c>
      <c r="E19" s="371">
        <v>8</v>
      </c>
      <c r="F19" s="371">
        <v>28589</v>
      </c>
      <c r="G19" s="9">
        <f t="shared" si="1"/>
        <v>3.2587410036680642E-2</v>
      </c>
    </row>
    <row r="20" spans="1:7" x14ac:dyDescent="0.25">
      <c r="A20">
        <v>9</v>
      </c>
      <c r="B20" s="6">
        <v>27215.8770255288</v>
      </c>
      <c r="C20" s="9">
        <f t="shared" si="0"/>
        <v>3.2880143089351443E-2</v>
      </c>
      <c r="E20" s="371">
        <v>9</v>
      </c>
      <c r="F20" s="371">
        <v>25589</v>
      </c>
      <c r="G20" s="9">
        <f t="shared" si="1"/>
        <v>2.9167835021463532E-2</v>
      </c>
    </row>
    <row r="21" spans="1:7" x14ac:dyDescent="0.25">
      <c r="A21">
        <v>10</v>
      </c>
      <c r="B21" s="6">
        <v>8595.7013775267005</v>
      </c>
      <c r="C21" s="9">
        <f t="shared" si="0"/>
        <v>1.0384669616977807E-2</v>
      </c>
      <c r="E21" s="371">
        <v>10</v>
      </c>
      <c r="F21" s="371">
        <v>23314</v>
      </c>
      <c r="G21" s="9">
        <f t="shared" si="1"/>
        <v>2.657465730159056E-2</v>
      </c>
    </row>
    <row r="22" spans="1:7" x14ac:dyDescent="0.25">
      <c r="A22">
        <v>11</v>
      </c>
      <c r="B22" s="6">
        <v>12579.7285983122</v>
      </c>
      <c r="C22" s="9">
        <f t="shared" si="0"/>
        <v>1.5197866890334944E-2</v>
      </c>
      <c r="E22" s="371">
        <v>11</v>
      </c>
      <c r="F22" s="371">
        <v>20136</v>
      </c>
      <c r="G22" s="9">
        <f t="shared" si="1"/>
        <v>2.2952187502137233E-2</v>
      </c>
    </row>
    <row r="23" spans="1:7" x14ac:dyDescent="0.25">
      <c r="A23">
        <v>12</v>
      </c>
      <c r="B23" s="6">
        <v>12466.883373857001</v>
      </c>
      <c r="C23" s="9">
        <f t="shared" si="0"/>
        <v>1.5061535912517967E-2</v>
      </c>
      <c r="E23" s="371">
        <v>12</v>
      </c>
      <c r="F23" s="371">
        <v>17768</v>
      </c>
      <c r="G23" s="9">
        <f t="shared" si="1"/>
        <v>2.025300295679253E-2</v>
      </c>
    </row>
    <row r="24" spans="1:7" x14ac:dyDescent="0.25">
      <c r="A24">
        <v>13</v>
      </c>
      <c r="B24" s="6">
        <v>23774.698738488099</v>
      </c>
      <c r="C24" s="9">
        <f t="shared" si="0"/>
        <v>2.8722774419301426E-2</v>
      </c>
      <c r="E24" s="371">
        <v>13</v>
      </c>
      <c r="F24" s="371">
        <v>15739</v>
      </c>
      <c r="G24" s="9">
        <f t="shared" si="1"/>
        <v>1.7940230388167357E-2</v>
      </c>
    </row>
    <row r="25" spans="1:7" x14ac:dyDescent="0.25">
      <c r="A25">
        <v>14</v>
      </c>
      <c r="B25" s="6">
        <v>24776.0882145826</v>
      </c>
      <c r="C25" s="9">
        <f t="shared" si="0"/>
        <v>2.9932576669336325E-2</v>
      </c>
      <c r="E25" s="371">
        <v>14</v>
      </c>
      <c r="F25" s="371">
        <v>13872</v>
      </c>
      <c r="G25" s="9">
        <f t="shared" si="1"/>
        <v>1.5812114870363912E-2</v>
      </c>
    </row>
    <row r="26" spans="1:7" x14ac:dyDescent="0.25">
      <c r="A26">
        <v>15</v>
      </c>
      <c r="B26" s="6">
        <v>19898.597224972302</v>
      </c>
      <c r="C26" s="9">
        <f t="shared" si="0"/>
        <v>2.4039964738992222E-2</v>
      </c>
      <c r="E26" s="371">
        <v>15</v>
      </c>
      <c r="F26" s="371">
        <v>12879</v>
      </c>
      <c r="G26" s="9">
        <f t="shared" si="1"/>
        <v>1.4680235540327049E-2</v>
      </c>
    </row>
    <row r="27" spans="1:7" x14ac:dyDescent="0.25">
      <c r="A27">
        <v>16</v>
      </c>
      <c r="B27" s="6">
        <v>29893.406161748499</v>
      </c>
      <c r="C27" s="9">
        <f t="shared" si="0"/>
        <v>3.6114929204905652E-2</v>
      </c>
      <c r="E27" s="371">
        <v>16</v>
      </c>
      <c r="F27" s="371">
        <v>11666</v>
      </c>
      <c r="G27" s="9">
        <f t="shared" si="1"/>
        <v>1.3297587375840931E-2</v>
      </c>
    </row>
    <row r="28" spans="1:7" x14ac:dyDescent="0.25">
      <c r="A28">
        <v>17</v>
      </c>
      <c r="B28" s="6">
        <v>18307.9495975561</v>
      </c>
      <c r="C28" s="9">
        <f t="shared" si="0"/>
        <v>2.2118265815047077E-2</v>
      </c>
      <c r="E28" s="371">
        <v>17</v>
      </c>
      <c r="F28" s="371">
        <v>10813</v>
      </c>
      <c r="G28" s="9">
        <f t="shared" si="1"/>
        <v>1.2325288213180866E-2</v>
      </c>
    </row>
    <row r="29" spans="1:7" x14ac:dyDescent="0.25">
      <c r="A29">
        <v>18</v>
      </c>
      <c r="B29" s="6">
        <v>64111.614165000698</v>
      </c>
      <c r="C29" s="9">
        <f t="shared" si="0"/>
        <v>7.7454753541735477E-2</v>
      </c>
      <c r="E29" s="371">
        <v>18</v>
      </c>
      <c r="F29" s="371">
        <v>79362</v>
      </c>
      <c r="G29" s="9">
        <f t="shared" si="1"/>
        <v>9.0461437452553403E-2</v>
      </c>
    </row>
    <row r="30" spans="1:7" x14ac:dyDescent="0.25">
      <c r="A30">
        <v>19</v>
      </c>
      <c r="B30" s="6">
        <v>34934.034287892697</v>
      </c>
      <c r="C30" s="9">
        <f t="shared" si="0"/>
        <v>4.2204630958494846E-2</v>
      </c>
      <c r="E30" s="371">
        <v>19</v>
      </c>
      <c r="F30" s="371">
        <v>29615</v>
      </c>
      <c r="G30" s="9">
        <f t="shared" si="1"/>
        <v>3.3756904691884894E-2</v>
      </c>
    </row>
    <row r="31" spans="1:7" x14ac:dyDescent="0.25">
      <c r="A31">
        <v>20</v>
      </c>
      <c r="B31" s="6">
        <v>67232.074593432393</v>
      </c>
      <c r="C31" s="9">
        <f t="shared" si="0"/>
        <v>8.122465540068538E-2</v>
      </c>
      <c r="E31" s="371">
        <v>20</v>
      </c>
      <c r="F31" s="371">
        <v>30517</v>
      </c>
      <c r="G31" s="9">
        <f t="shared" si="1"/>
        <v>3.478505691312684E-2</v>
      </c>
    </row>
    <row r="32" spans="1:7" x14ac:dyDescent="0.25">
      <c r="A32">
        <v>21</v>
      </c>
      <c r="B32" s="6">
        <v>39999.750391070796</v>
      </c>
      <c r="C32" s="9">
        <f t="shared" si="0"/>
        <v>4.8324642088993827E-2</v>
      </c>
      <c r="E32" s="371">
        <v>21</v>
      </c>
      <c r="F32" s="371">
        <v>35110</v>
      </c>
      <c r="G32" s="9">
        <f t="shared" si="1"/>
        <v>4.0020426261424227E-2</v>
      </c>
    </row>
    <row r="33" spans="1:7" x14ac:dyDescent="0.25">
      <c r="A33">
        <v>22</v>
      </c>
      <c r="B33" s="6">
        <v>31371.310966473698</v>
      </c>
      <c r="C33" s="9">
        <f t="shared" si="0"/>
        <v>3.7900420865020927E-2</v>
      </c>
      <c r="E33" s="371">
        <v>22</v>
      </c>
      <c r="F33" s="371">
        <v>31669</v>
      </c>
      <c r="G33" s="9">
        <f t="shared" si="1"/>
        <v>3.6098173718970207E-2</v>
      </c>
    </row>
    <row r="34" spans="1:7" x14ac:dyDescent="0.25">
      <c r="A34">
        <v>23</v>
      </c>
      <c r="B34" s="6">
        <v>14483.9621031227</v>
      </c>
      <c r="C34" s="9">
        <f t="shared" si="0"/>
        <v>1.7498416310622822E-2</v>
      </c>
      <c r="E34" s="371">
        <v>23</v>
      </c>
      <c r="F34" s="371">
        <v>27601</v>
      </c>
      <c r="G34" s="9">
        <f t="shared" si="1"/>
        <v>3.146122999833581E-2</v>
      </c>
    </row>
    <row r="35" spans="1:7" x14ac:dyDescent="0.25">
      <c r="A35">
        <v>24</v>
      </c>
      <c r="B35" s="6">
        <v>21641.0403248742</v>
      </c>
      <c r="C35" s="9">
        <f t="shared" si="0"/>
        <v>2.6145051354282522E-2</v>
      </c>
      <c r="E35" s="371">
        <v>24</v>
      </c>
      <c r="F35" s="371">
        <v>18381</v>
      </c>
      <c r="G35" s="9">
        <f t="shared" si="1"/>
        <v>2.0951736118235226E-2</v>
      </c>
    </row>
    <row r="36" spans="1:7" x14ac:dyDescent="0.25">
      <c r="A36">
        <v>25</v>
      </c>
      <c r="B36" s="6">
        <v>18315.077314993101</v>
      </c>
      <c r="C36" s="9">
        <f t="shared" si="0"/>
        <v>2.2126876978634025E-2</v>
      </c>
      <c r="E36" s="371">
        <v>25</v>
      </c>
      <c r="F36" s="371">
        <v>19413</v>
      </c>
      <c r="G36" s="9">
        <f t="shared" si="1"/>
        <v>2.2128069923469912E-2</v>
      </c>
    </row>
    <row r="37" spans="1:7" x14ac:dyDescent="0.25">
      <c r="A37">
        <v>26</v>
      </c>
      <c r="B37" s="6">
        <v>27253.731468765702</v>
      </c>
      <c r="C37" s="9">
        <f t="shared" si="0"/>
        <v>3.292587593525715E-2</v>
      </c>
      <c r="E37" s="371">
        <v>26</v>
      </c>
      <c r="F37" s="371">
        <v>15683</v>
      </c>
      <c r="G37" s="9">
        <f t="shared" si="1"/>
        <v>1.7876398321216638E-2</v>
      </c>
    </row>
    <row r="38" spans="1:7" x14ac:dyDescent="0.25">
      <c r="A38">
        <v>27</v>
      </c>
      <c r="B38" s="6">
        <v>13933.790947588999</v>
      </c>
      <c r="C38" s="9">
        <f t="shared" si="0"/>
        <v>1.6833741558432636E-2</v>
      </c>
      <c r="E38" s="371">
        <v>27</v>
      </c>
      <c r="F38" s="371">
        <v>13963</v>
      </c>
      <c r="G38" s="9">
        <f t="shared" si="1"/>
        <v>1.591584197915883E-2</v>
      </c>
    </row>
    <row r="39" spans="1:7" x14ac:dyDescent="0.25">
      <c r="A39">
        <v>28</v>
      </c>
      <c r="B39" s="6">
        <v>13873.6430692714</v>
      </c>
      <c r="C39" s="9">
        <f t="shared" si="0"/>
        <v>1.6761075487677374E-2</v>
      </c>
      <c r="E39" s="371">
        <v>28</v>
      </c>
      <c r="F39" s="371">
        <v>13813</v>
      </c>
      <c r="G39" s="9">
        <f t="shared" si="1"/>
        <v>1.5744863228397975E-2</v>
      </c>
    </row>
    <row r="40" spans="1:7" x14ac:dyDescent="0.25">
      <c r="A40">
        <v>29</v>
      </c>
      <c r="B40" s="6">
        <v>10175.7087463841</v>
      </c>
      <c r="C40" s="9">
        <f t="shared" si="0"/>
        <v>1.2293513793541747E-2</v>
      </c>
      <c r="E40" s="371">
        <v>29</v>
      </c>
      <c r="F40" s="371">
        <v>12700</v>
      </c>
      <c r="G40" s="9">
        <f t="shared" si="1"/>
        <v>1.4476200897752428E-2</v>
      </c>
    </row>
    <row r="41" spans="1:7" x14ac:dyDescent="0.25">
      <c r="A41">
        <v>30</v>
      </c>
      <c r="B41" s="6">
        <v>9297.3868442496005</v>
      </c>
      <c r="C41" s="9">
        <f t="shared" si="0"/>
        <v>1.123239238291792E-2</v>
      </c>
      <c r="E41" s="371">
        <v>30</v>
      </c>
      <c r="F41" s="371">
        <v>9600</v>
      </c>
      <c r="G41" s="9">
        <f t="shared" si="1"/>
        <v>1.0942640048694748E-2</v>
      </c>
    </row>
    <row r="42" spans="1:7" x14ac:dyDescent="0.25">
      <c r="A42">
        <v>31</v>
      </c>
      <c r="B42" s="6">
        <v>5360.1951048411001</v>
      </c>
      <c r="C42" s="9">
        <f t="shared" si="0"/>
        <v>6.4757781595168769E-3</v>
      </c>
      <c r="E42" s="371">
        <v>31</v>
      </c>
      <c r="F42" s="371">
        <v>8221</v>
      </c>
      <c r="G42" s="9">
        <f t="shared" si="1"/>
        <v>9.3707754000332839E-3</v>
      </c>
    </row>
    <row r="43" spans="1:7" x14ac:dyDescent="0.25">
      <c r="A43">
        <v>32</v>
      </c>
      <c r="B43" s="6">
        <v>2913.8867434077001</v>
      </c>
      <c r="C43" s="9">
        <f t="shared" si="0"/>
        <v>3.5203353167542438E-3</v>
      </c>
      <c r="E43" s="371">
        <v>32</v>
      </c>
      <c r="F43" s="371">
        <v>9049</v>
      </c>
      <c r="G43" s="9">
        <f t="shared" si="1"/>
        <v>1.0314578104233207E-2</v>
      </c>
    </row>
    <row r="44" spans="1:7" x14ac:dyDescent="0.25">
      <c r="A44">
        <v>33</v>
      </c>
      <c r="B44" s="6">
        <v>8293.4907287758997</v>
      </c>
      <c r="C44" s="9">
        <f t="shared" si="0"/>
        <v>1.0019561802714416E-2</v>
      </c>
      <c r="E44" s="371">
        <v>33</v>
      </c>
      <c r="F44" s="371">
        <v>8470</v>
      </c>
      <c r="G44" s="9">
        <f t="shared" si="1"/>
        <v>9.6546001262963043E-3</v>
      </c>
    </row>
    <row r="45" spans="1:7" x14ac:dyDescent="0.25">
      <c r="A45">
        <v>34</v>
      </c>
      <c r="B45" s="6">
        <v>11042.465799542601</v>
      </c>
      <c r="C45" s="9">
        <f t="shared" si="0"/>
        <v>1.3340663437289168E-2</v>
      </c>
      <c r="E45" s="371">
        <v>34</v>
      </c>
      <c r="F45" s="371">
        <v>9178</v>
      </c>
      <c r="G45" s="9">
        <f t="shared" si="1"/>
        <v>1.0461619829887541E-2</v>
      </c>
    </row>
    <row r="46" spans="1:7" x14ac:dyDescent="0.25">
      <c r="A46">
        <v>35</v>
      </c>
      <c r="B46" s="6">
        <v>2890.6258853281001</v>
      </c>
      <c r="C46" s="9">
        <f t="shared" si="0"/>
        <v>3.4922333253570555E-3</v>
      </c>
      <c r="E46" s="371">
        <v>35</v>
      </c>
      <c r="F46" s="371">
        <v>6251</v>
      </c>
      <c r="G46" s="9">
        <f t="shared" si="1"/>
        <v>7.1252544733740493E-3</v>
      </c>
    </row>
    <row r="47" spans="1:7" x14ac:dyDescent="0.25">
      <c r="A47">
        <v>36</v>
      </c>
      <c r="B47" s="6">
        <v>3595.7369614325003</v>
      </c>
      <c r="C47" s="9">
        <f t="shared" si="0"/>
        <v>4.3440946508051482E-3</v>
      </c>
      <c r="E47" s="371">
        <v>36</v>
      </c>
      <c r="F47" s="371">
        <v>4592</v>
      </c>
      <c r="G47" s="9">
        <f t="shared" si="1"/>
        <v>5.2342294899589883E-3</v>
      </c>
    </row>
    <row r="48" spans="1:7" x14ac:dyDescent="0.25">
      <c r="A48">
        <v>37</v>
      </c>
      <c r="B48" s="6">
        <v>4397.7934521712004</v>
      </c>
      <c r="C48" s="9">
        <f t="shared" si="0"/>
        <v>5.313078018730222E-3</v>
      </c>
      <c r="E48" s="371">
        <v>37</v>
      </c>
      <c r="F48" s="371">
        <v>4859</v>
      </c>
      <c r="G48" s="9">
        <f t="shared" si="1"/>
        <v>5.5385716663133109E-3</v>
      </c>
    </row>
    <row r="49" spans="1:7" x14ac:dyDescent="0.25">
      <c r="A49">
        <v>38</v>
      </c>
      <c r="B49" s="6">
        <v>7401.8104657560998</v>
      </c>
      <c r="C49" s="9">
        <f t="shared" si="0"/>
        <v>8.9423018411654859E-3</v>
      </c>
      <c r="E49" s="371">
        <v>38</v>
      </c>
      <c r="F49" s="371">
        <v>4310</v>
      </c>
      <c r="G49" s="9">
        <f t="shared" si="1"/>
        <v>4.9127894385285796E-3</v>
      </c>
    </row>
    <row r="50" spans="1:7" x14ac:dyDescent="0.25">
      <c r="A50">
        <v>39</v>
      </c>
      <c r="B50" s="6">
        <v>7257.3489524035003</v>
      </c>
      <c r="C50" s="9">
        <f t="shared" si="0"/>
        <v>8.7677744788658158E-3</v>
      </c>
      <c r="E50" s="371">
        <v>39</v>
      </c>
      <c r="F50" s="371">
        <v>4281</v>
      </c>
      <c r="G50" s="9">
        <f t="shared" si="1"/>
        <v>4.8797335467148139E-3</v>
      </c>
    </row>
    <row r="51" spans="1:7" x14ac:dyDescent="0.25">
      <c r="A51">
        <v>40</v>
      </c>
      <c r="B51" s="6">
        <v>2179.8435373172001</v>
      </c>
      <c r="C51" s="9">
        <f t="shared" si="0"/>
        <v>2.6335204025266915E-3</v>
      </c>
      <c r="E51" s="371">
        <v>40</v>
      </c>
      <c r="F51" s="371">
        <v>3481</v>
      </c>
      <c r="G51" s="9">
        <f t="shared" si="1"/>
        <v>3.9678468759902523E-3</v>
      </c>
    </row>
    <row r="52" spans="1:7" x14ac:dyDescent="0.25">
      <c r="A52">
        <v>41</v>
      </c>
      <c r="B52" s="6">
        <v>1361.2943780764001</v>
      </c>
      <c r="C52" s="9">
        <f t="shared" si="0"/>
        <v>1.6446118527026247E-3</v>
      </c>
      <c r="E52" s="371">
        <v>41</v>
      </c>
      <c r="F52" s="371">
        <v>3276</v>
      </c>
      <c r="G52" s="9">
        <f t="shared" si="1"/>
        <v>3.7341759166170828E-3</v>
      </c>
    </row>
    <row r="53" spans="1:7" x14ac:dyDescent="0.25">
      <c r="A53">
        <v>42</v>
      </c>
      <c r="B53" s="6">
        <v>1570.4290648189999</v>
      </c>
      <c r="C53" s="9">
        <f t="shared" si="0"/>
        <v>1.8972724014916001E-3</v>
      </c>
      <c r="E53" s="371">
        <v>42</v>
      </c>
      <c r="F53" s="371">
        <v>2763</v>
      </c>
      <c r="G53" s="9">
        <f t="shared" si="1"/>
        <v>3.1494285890149572E-3</v>
      </c>
    </row>
    <row r="54" spans="1:7" x14ac:dyDescent="0.25">
      <c r="A54">
        <v>43</v>
      </c>
      <c r="B54" s="6">
        <v>166.816897117</v>
      </c>
      <c r="C54" s="9">
        <f t="shared" si="0"/>
        <v>2.0153542881545285E-4</v>
      </c>
      <c r="E54" s="371">
        <v>43</v>
      </c>
      <c r="F54" s="371">
        <v>2603</v>
      </c>
      <c r="G54" s="9">
        <f t="shared" si="1"/>
        <v>2.9670512548700448E-3</v>
      </c>
    </row>
    <row r="55" spans="1:7" x14ac:dyDescent="0.25">
      <c r="A55">
        <v>44</v>
      </c>
      <c r="B55" s="6">
        <v>1677.8794614230001</v>
      </c>
      <c r="C55" s="9">
        <f t="shared" si="0"/>
        <v>2.0270857605111572E-3</v>
      </c>
      <c r="E55" s="371">
        <v>44</v>
      </c>
      <c r="F55" s="371">
        <v>2496</v>
      </c>
      <c r="G55" s="9">
        <f t="shared" si="1"/>
        <v>2.8450864126606345E-3</v>
      </c>
    </row>
    <row r="56" spans="1:7" x14ac:dyDescent="0.25">
      <c r="A56">
        <v>45</v>
      </c>
      <c r="B56" s="6">
        <v>34981.931586099097</v>
      </c>
      <c r="C56" s="9">
        <f t="shared" si="0"/>
        <v>4.2262496814412062E-2</v>
      </c>
      <c r="E56" s="371">
        <v>45</v>
      </c>
      <c r="F56" s="371">
        <v>2837</v>
      </c>
      <c r="G56" s="9">
        <f t="shared" si="1"/>
        <v>3.2337781060569793E-3</v>
      </c>
    </row>
    <row r="57" spans="1:7" x14ac:dyDescent="0.25">
      <c r="A57">
        <v>46</v>
      </c>
      <c r="B57" s="6">
        <v>2656.6600039385999</v>
      </c>
      <c r="C57" s="9">
        <f t="shared" si="0"/>
        <v>3.2095736245178349E-3</v>
      </c>
      <c r="E57" s="371">
        <v>46</v>
      </c>
      <c r="F57" s="371">
        <v>1948</v>
      </c>
      <c r="G57" s="9">
        <f t="shared" si="1"/>
        <v>2.2204440432143095E-3</v>
      </c>
    </row>
    <row r="58" spans="1:7" x14ac:dyDescent="0.25">
      <c r="A58">
        <v>47</v>
      </c>
      <c r="B58" s="6">
        <v>918.58792278100009</v>
      </c>
      <c r="C58" s="9">
        <f t="shared" si="0"/>
        <v>1.109767740090035E-3</v>
      </c>
      <c r="E58" s="371">
        <v>47</v>
      </c>
      <c r="F58" s="371">
        <v>2211</v>
      </c>
      <c r="G58" s="9">
        <f t="shared" si="1"/>
        <v>2.5202267862150093E-3</v>
      </c>
    </row>
    <row r="59" spans="1:7" x14ac:dyDescent="0.25">
      <c r="A59">
        <v>48</v>
      </c>
      <c r="B59" s="6">
        <v>1523.3438377319999</v>
      </c>
      <c r="C59" s="9">
        <f t="shared" si="0"/>
        <v>1.8403876278514574E-3</v>
      </c>
      <c r="E59" s="371">
        <v>48</v>
      </c>
      <c r="F59" s="371">
        <v>2025</v>
      </c>
      <c r="G59" s="9">
        <f t="shared" si="1"/>
        <v>2.3082131352715487E-3</v>
      </c>
    </row>
    <row r="60" spans="1:7" x14ac:dyDescent="0.25">
      <c r="A60">
        <v>49</v>
      </c>
      <c r="B60" s="6">
        <v>1317.0669416869</v>
      </c>
      <c r="C60" s="9">
        <f t="shared" si="0"/>
        <v>1.5911796434228027E-3</v>
      </c>
      <c r="E60" s="371">
        <v>49</v>
      </c>
      <c r="F60" s="371">
        <v>1447</v>
      </c>
      <c r="G60" s="9">
        <f t="shared" si="1"/>
        <v>1.6493750156730521E-3</v>
      </c>
    </row>
    <row r="61" spans="1:7" x14ac:dyDescent="0.25">
      <c r="A61">
        <v>50</v>
      </c>
      <c r="B61" s="6">
        <v>576.39533884100001</v>
      </c>
      <c r="C61" s="9">
        <f t="shared" si="0"/>
        <v>6.9635680670331285E-4</v>
      </c>
      <c r="E61" s="371">
        <v>50</v>
      </c>
      <c r="F61" s="371">
        <v>1378</v>
      </c>
      <c r="G61" s="9">
        <f t="shared" si="1"/>
        <v>1.5707247903230586E-3</v>
      </c>
    </row>
    <row r="62" spans="1:7" x14ac:dyDescent="0.25">
      <c r="A62">
        <v>51</v>
      </c>
      <c r="B62" s="6">
        <v>1820.3334592241001</v>
      </c>
      <c r="C62" s="9">
        <f t="shared" si="0"/>
        <v>2.1991877959133882E-3</v>
      </c>
      <c r="E62" s="371">
        <v>51</v>
      </c>
      <c r="F62" s="371">
        <v>1834</v>
      </c>
      <c r="G62" s="9">
        <f t="shared" si="1"/>
        <v>2.0905001926360594E-3</v>
      </c>
    </row>
    <row r="63" spans="1:7" x14ac:dyDescent="0.25">
      <c r="A63">
        <v>52</v>
      </c>
      <c r="B63" s="6">
        <v>2367.2737567569998</v>
      </c>
      <c r="C63" s="9">
        <f t="shared" si="0"/>
        <v>2.8599592723330346E-3</v>
      </c>
      <c r="E63" s="371">
        <v>52</v>
      </c>
      <c r="F63" s="371">
        <v>1127</v>
      </c>
      <c r="G63" s="9">
        <f t="shared" si="1"/>
        <v>1.2846203473832272E-3</v>
      </c>
    </row>
    <row r="64" spans="1:7" x14ac:dyDescent="0.25">
      <c r="A64">
        <v>53</v>
      </c>
      <c r="B64" s="6">
        <v>1634.4932878509999</v>
      </c>
      <c r="C64" s="9">
        <f t="shared" si="0"/>
        <v>1.9746699006875442E-3</v>
      </c>
      <c r="E64" s="371">
        <v>53</v>
      </c>
      <c r="F64" s="371">
        <v>1053</v>
      </c>
      <c r="G64" s="9">
        <f t="shared" si="1"/>
        <v>1.2002708303412051E-3</v>
      </c>
    </row>
    <row r="65" spans="1:7" x14ac:dyDescent="0.25">
      <c r="A65">
        <v>54</v>
      </c>
      <c r="B65" s="6">
        <v>497.29494586099997</v>
      </c>
      <c r="C65" s="9">
        <f t="shared" si="0"/>
        <v>6.007937558721115E-4</v>
      </c>
      <c r="E65" s="371">
        <v>54</v>
      </c>
      <c r="F65" s="371">
        <v>872</v>
      </c>
      <c r="G65" s="9">
        <f t="shared" si="1"/>
        <v>9.9395647108977293E-4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833</v>
      </c>
      <c r="G66" s="9">
        <f t="shared" si="1"/>
        <v>9.4950199589195056E-4</v>
      </c>
    </row>
    <row r="67" spans="1:7" x14ac:dyDescent="0.25">
      <c r="A67">
        <v>56</v>
      </c>
      <c r="B67" s="6">
        <v>1411.8223124199999</v>
      </c>
      <c r="C67" s="9">
        <f t="shared" si="0"/>
        <v>1.7056558421970119E-3</v>
      </c>
      <c r="E67" s="371">
        <v>56</v>
      </c>
      <c r="F67" s="371">
        <v>734</v>
      </c>
      <c r="G67" s="9">
        <f t="shared" si="1"/>
        <v>8.3665602038978596E-4</v>
      </c>
    </row>
    <row r="68" spans="1:7" x14ac:dyDescent="0.25">
      <c r="A68">
        <v>57</v>
      </c>
      <c r="B68" s="6">
        <v>407.70754470179997</v>
      </c>
      <c r="C68" s="9">
        <f t="shared" si="0"/>
        <v>4.9256110305866097E-4</v>
      </c>
      <c r="E68" s="371">
        <v>57</v>
      </c>
      <c r="F68" s="371">
        <v>779</v>
      </c>
      <c r="G68" s="9">
        <f t="shared" si="1"/>
        <v>8.8794964561804261E-4</v>
      </c>
    </row>
    <row r="69" spans="1:7" x14ac:dyDescent="0.25">
      <c r="A69">
        <v>58</v>
      </c>
      <c r="B69" s="6">
        <v>401.23642248200002</v>
      </c>
      <c r="C69" s="9">
        <f t="shared" si="0"/>
        <v>4.8474318764347437E-4</v>
      </c>
      <c r="E69" s="371">
        <v>58</v>
      </c>
      <c r="F69" s="371">
        <v>736</v>
      </c>
      <c r="G69" s="9">
        <f t="shared" si="1"/>
        <v>8.3893573706659739E-4</v>
      </c>
    </row>
    <row r="70" spans="1:7" x14ac:dyDescent="0.25">
      <c r="A70">
        <v>59</v>
      </c>
      <c r="B70" s="6">
        <v>5013.6074087342995</v>
      </c>
      <c r="C70" s="9">
        <f t="shared" si="0"/>
        <v>6.0570573874355353E-3</v>
      </c>
      <c r="E70" s="371">
        <v>59</v>
      </c>
      <c r="F70" s="371">
        <v>621</v>
      </c>
      <c r="G70" s="9">
        <f t="shared" si="1"/>
        <v>7.078520281499415E-4</v>
      </c>
    </row>
    <row r="71" spans="1:7" x14ac:dyDescent="0.25">
      <c r="A71">
        <v>60</v>
      </c>
      <c r="B71" s="6">
        <v>4757.6773804485001</v>
      </c>
      <c r="C71" s="9">
        <f t="shared" si="0"/>
        <v>5.747862282570626E-3</v>
      </c>
      <c r="E71" s="371">
        <v>60</v>
      </c>
      <c r="F71" s="371">
        <v>584</v>
      </c>
      <c r="G71" s="9">
        <f t="shared" si="1"/>
        <v>6.6567726962893055E-4</v>
      </c>
    </row>
    <row r="72" spans="1:7" x14ac:dyDescent="0.25">
      <c r="A72">
        <v>61</v>
      </c>
      <c r="B72" s="6">
        <v>5067.7077598630003</v>
      </c>
      <c r="C72" s="9">
        <f t="shared" si="0"/>
        <v>6.1224172979255512E-3</v>
      </c>
      <c r="E72" s="371">
        <v>61</v>
      </c>
      <c r="F72" s="371">
        <v>491</v>
      </c>
      <c r="G72" s="9">
        <f t="shared" si="1"/>
        <v>5.5967044415720013E-4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490</v>
      </c>
      <c r="G73" s="9">
        <f t="shared" si="1"/>
        <v>5.5853058581879441E-4</v>
      </c>
    </row>
    <row r="74" spans="1:7" x14ac:dyDescent="0.25">
      <c r="A74">
        <v>63</v>
      </c>
      <c r="B74" s="6">
        <v>292.68161738200001</v>
      </c>
      <c r="C74" s="9">
        <f t="shared" si="0"/>
        <v>3.5359556666559379E-4</v>
      </c>
      <c r="E74" s="371">
        <v>63</v>
      </c>
      <c r="F74" s="371">
        <v>423</v>
      </c>
      <c r="G74" s="9">
        <f t="shared" si="1"/>
        <v>4.8216007714561236E-4</v>
      </c>
    </row>
    <row r="75" spans="1:7" x14ac:dyDescent="0.25">
      <c r="A75">
        <v>64</v>
      </c>
      <c r="B75" s="6">
        <v>139.99557747</v>
      </c>
      <c r="C75" s="9">
        <f t="shared" si="0"/>
        <v>1.6913195980317847E-4</v>
      </c>
      <c r="E75" s="371">
        <v>64</v>
      </c>
      <c r="F75" s="371">
        <v>413</v>
      </c>
      <c r="G75" s="9">
        <f t="shared" si="1"/>
        <v>4.7076149376155534E-4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351</v>
      </c>
      <c r="G76" s="9">
        <f t="shared" si="1"/>
        <v>4.0009027678040174E-4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338</v>
      </c>
      <c r="G77" s="9">
        <f t="shared" ref="G77:G102" si="3">F77/F$102</f>
        <v>3.8527211838112758E-4</v>
      </c>
    </row>
    <row r="78" spans="1:7" x14ac:dyDescent="0.25">
      <c r="A78">
        <v>67</v>
      </c>
      <c r="B78" s="6">
        <v>572.78052627399995</v>
      </c>
      <c r="C78" s="9">
        <f t="shared" si="2"/>
        <v>6.9198966636340538E-4</v>
      </c>
      <c r="E78" s="371">
        <v>67</v>
      </c>
      <c r="F78" s="371">
        <v>283</v>
      </c>
      <c r="G78" s="9">
        <f t="shared" si="3"/>
        <v>3.2257990976881392E-4</v>
      </c>
    </row>
    <row r="79" spans="1:7" x14ac:dyDescent="0.25">
      <c r="A79">
        <v>68</v>
      </c>
      <c r="B79" s="6">
        <v>417.967608267</v>
      </c>
      <c r="C79" s="9">
        <f t="shared" si="2"/>
        <v>5.0495652789884441E-4</v>
      </c>
      <c r="E79" s="371">
        <v>68</v>
      </c>
      <c r="F79" s="371">
        <v>303</v>
      </c>
      <c r="G79" s="9">
        <f t="shared" si="3"/>
        <v>3.4537707653692801E-4</v>
      </c>
    </row>
    <row r="80" spans="1:7" x14ac:dyDescent="0.25">
      <c r="A80">
        <v>69</v>
      </c>
      <c r="B80" s="6">
        <v>1800.3456108754001</v>
      </c>
      <c r="C80" s="9">
        <f t="shared" si="2"/>
        <v>2.1750400047862808E-3</v>
      </c>
      <c r="E80" s="371">
        <v>69</v>
      </c>
      <c r="F80" s="371">
        <v>296</v>
      </c>
      <c r="G80" s="9">
        <f t="shared" si="3"/>
        <v>3.3739806816808807E-4</v>
      </c>
    </row>
    <row r="81" spans="1:7" x14ac:dyDescent="0.25">
      <c r="A81">
        <v>70</v>
      </c>
      <c r="B81" s="6">
        <v>447.66186162099996</v>
      </c>
      <c r="C81" s="9">
        <f t="shared" si="2"/>
        <v>5.4083085589845818E-4</v>
      </c>
      <c r="E81" s="371">
        <v>70</v>
      </c>
      <c r="F81" s="371">
        <v>298</v>
      </c>
      <c r="G81" s="9">
        <f t="shared" si="3"/>
        <v>3.396777848448995E-4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238</v>
      </c>
      <c r="G82" s="9">
        <f t="shared" si="3"/>
        <v>2.7128628454055733E-4</v>
      </c>
    </row>
    <row r="83" spans="1:7" x14ac:dyDescent="0.25">
      <c r="A83">
        <v>72</v>
      </c>
      <c r="B83" s="6">
        <v>5043.1483091937998</v>
      </c>
      <c r="C83" s="9">
        <f t="shared" si="2"/>
        <v>6.0927464461855273E-3</v>
      </c>
      <c r="E83" s="371">
        <v>72</v>
      </c>
      <c r="F83" s="371">
        <v>296</v>
      </c>
      <c r="G83" s="9">
        <f t="shared" si="3"/>
        <v>3.3739806816808807E-4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181</v>
      </c>
      <c r="G84" s="9">
        <f t="shared" si="3"/>
        <v>2.0631435925143224E-4</v>
      </c>
    </row>
    <row r="85" spans="1:7" x14ac:dyDescent="0.25">
      <c r="A85">
        <v>74</v>
      </c>
      <c r="B85" s="6">
        <v>1148.663232487</v>
      </c>
      <c r="C85" s="9">
        <f t="shared" si="2"/>
        <v>1.3877271494952199E-3</v>
      </c>
      <c r="E85" s="371">
        <v>74</v>
      </c>
      <c r="F85" s="371">
        <v>225</v>
      </c>
      <c r="G85" s="9">
        <f t="shared" si="3"/>
        <v>2.5646812614128317E-4</v>
      </c>
    </row>
    <row r="86" spans="1:7" x14ac:dyDescent="0.25">
      <c r="A86">
        <v>75</v>
      </c>
      <c r="B86" s="6">
        <v>163.60110245000001</v>
      </c>
      <c r="C86" s="9">
        <f t="shared" si="2"/>
        <v>1.9765035141384088E-4</v>
      </c>
      <c r="E86" s="371">
        <v>75</v>
      </c>
      <c r="F86" s="371">
        <v>218</v>
      </c>
      <c r="G86" s="9">
        <f t="shared" si="3"/>
        <v>2.4848911777244323E-4</v>
      </c>
    </row>
    <row r="87" spans="1:7" x14ac:dyDescent="0.25">
      <c r="A87">
        <v>76</v>
      </c>
      <c r="B87" s="6">
        <v>389.70608969030002</v>
      </c>
      <c r="C87" s="9">
        <f t="shared" si="2"/>
        <v>4.7081312058359898E-4</v>
      </c>
      <c r="E87" s="371">
        <v>76</v>
      </c>
      <c r="F87" s="371">
        <v>172</v>
      </c>
      <c r="G87" s="9">
        <f t="shared" si="3"/>
        <v>1.960556342057809E-4</v>
      </c>
    </row>
    <row r="88" spans="1:7" x14ac:dyDescent="0.25">
      <c r="A88">
        <v>77</v>
      </c>
      <c r="B88" s="6">
        <v>675.19772548600008</v>
      </c>
      <c r="C88" s="9">
        <f t="shared" si="2"/>
        <v>8.1572230087459277E-4</v>
      </c>
      <c r="E88" s="371">
        <v>77</v>
      </c>
      <c r="F88" s="371">
        <v>170</v>
      </c>
      <c r="G88" s="9">
        <f t="shared" si="3"/>
        <v>1.937759175289695E-4</v>
      </c>
    </row>
    <row r="89" spans="1:7" x14ac:dyDescent="0.25">
      <c r="A89">
        <v>78</v>
      </c>
      <c r="B89" s="6">
        <v>396.70134919100002</v>
      </c>
      <c r="C89" s="9">
        <f t="shared" si="2"/>
        <v>4.7926425861286086E-4</v>
      </c>
      <c r="E89" s="371">
        <v>78</v>
      </c>
      <c r="F89" s="371">
        <v>192</v>
      </c>
      <c r="G89" s="9">
        <f t="shared" si="3"/>
        <v>2.1885280097389497E-4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173</v>
      </c>
      <c r="G90" s="9">
        <f t="shared" si="3"/>
        <v>1.9719549254418661E-4</v>
      </c>
    </row>
    <row r="91" spans="1:7" x14ac:dyDescent="0.25">
      <c r="A91">
        <v>80</v>
      </c>
      <c r="B91" s="6">
        <v>5233.4319689764998</v>
      </c>
      <c r="C91" s="9">
        <f t="shared" si="2"/>
        <v>6.3226326245861691E-3</v>
      </c>
      <c r="E91" s="371">
        <v>80</v>
      </c>
      <c r="F91" s="371">
        <v>143</v>
      </c>
      <c r="G91" s="9">
        <f t="shared" si="3"/>
        <v>1.6299974239201553E-4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137</v>
      </c>
      <c r="G92" s="9">
        <f t="shared" si="3"/>
        <v>1.561605923615813E-4</v>
      </c>
    </row>
    <row r="93" spans="1:7" x14ac:dyDescent="0.25">
      <c r="A93">
        <v>82</v>
      </c>
      <c r="B93" s="6">
        <v>5586.8327977748004</v>
      </c>
      <c r="C93" s="9">
        <f t="shared" si="2"/>
        <v>6.7495845030019902E-3</v>
      </c>
      <c r="E93" s="371">
        <v>82</v>
      </c>
      <c r="F93" s="371">
        <v>114</v>
      </c>
      <c r="G93" s="9">
        <f t="shared" si="3"/>
        <v>1.2994385057825013E-4</v>
      </c>
    </row>
    <row r="94" spans="1:7" x14ac:dyDescent="0.25">
      <c r="A94">
        <v>83</v>
      </c>
      <c r="B94" s="6">
        <v>4737.5454665157004</v>
      </c>
      <c r="C94" s="9">
        <f t="shared" si="2"/>
        <v>5.7235404424126899E-3</v>
      </c>
      <c r="E94" s="371">
        <v>83</v>
      </c>
      <c r="F94" s="371">
        <v>143</v>
      </c>
      <c r="G94" s="9">
        <f t="shared" si="3"/>
        <v>1.6299974239201553E-4</v>
      </c>
    </row>
    <row r="95" spans="1:7" x14ac:dyDescent="0.25">
      <c r="A95">
        <v>84</v>
      </c>
      <c r="B95" s="6">
        <v>1122.5382264592999</v>
      </c>
      <c r="C95" s="9">
        <f t="shared" si="2"/>
        <v>1.3561649133932857E-3</v>
      </c>
      <c r="E95" s="371">
        <v>84</v>
      </c>
      <c r="F95" s="371">
        <v>147</v>
      </c>
      <c r="G95" s="9">
        <f t="shared" si="3"/>
        <v>1.6755917574563832E-4</v>
      </c>
    </row>
    <row r="96" spans="1:7" x14ac:dyDescent="0.25">
      <c r="A96">
        <v>85</v>
      </c>
      <c r="B96" s="6">
        <v>2026.8807861107</v>
      </c>
      <c r="C96" s="9">
        <f t="shared" si="2"/>
        <v>2.4487224942214432E-3</v>
      </c>
      <c r="E96" s="371">
        <v>85</v>
      </c>
      <c r="F96" s="371">
        <v>100</v>
      </c>
      <c r="G96" s="9">
        <f t="shared" si="3"/>
        <v>1.139858338405703E-4</v>
      </c>
    </row>
    <row r="97" spans="1:7" x14ac:dyDescent="0.25">
      <c r="A97">
        <v>86</v>
      </c>
      <c r="B97" s="6">
        <v>4191.5226006486</v>
      </c>
      <c r="C97" s="9">
        <f t="shared" si="2"/>
        <v>5.0638773368317964E-3</v>
      </c>
      <c r="E97" s="371">
        <v>86</v>
      </c>
      <c r="F97" s="371">
        <v>124</v>
      </c>
      <c r="G97" s="9">
        <f t="shared" si="3"/>
        <v>1.4134243396230717E-4</v>
      </c>
    </row>
    <row r="98" spans="1:7" x14ac:dyDescent="0.25">
      <c r="A98">
        <v>87</v>
      </c>
      <c r="B98" s="6">
        <v>180.749366264</v>
      </c>
      <c r="C98" s="9">
        <f t="shared" si="2"/>
        <v>2.1836757347541108E-4</v>
      </c>
      <c r="E98" s="371">
        <v>87</v>
      </c>
      <c r="F98" s="371">
        <v>114</v>
      </c>
      <c r="G98" s="9">
        <f t="shared" si="3"/>
        <v>1.2994385057825013E-4</v>
      </c>
    </row>
    <row r="99" spans="1:7" x14ac:dyDescent="0.25">
      <c r="A99">
        <v>88</v>
      </c>
      <c r="B99" s="6">
        <v>418.03784144119999</v>
      </c>
      <c r="C99" s="9">
        <f t="shared" si="2"/>
        <v>5.0504137825347923E-4</v>
      </c>
      <c r="E99" s="371">
        <v>88</v>
      </c>
      <c r="F99" s="371">
        <v>114</v>
      </c>
      <c r="G99" s="9">
        <f t="shared" si="3"/>
        <v>1.2994385057825013E-4</v>
      </c>
    </row>
    <row r="100" spans="1:7" x14ac:dyDescent="0.25">
      <c r="A100">
        <v>89</v>
      </c>
      <c r="B100" s="6">
        <v>3949.6120293596</v>
      </c>
      <c r="C100" s="9">
        <f t="shared" si="2"/>
        <v>4.771619468700335E-3</v>
      </c>
      <c r="E100" s="371">
        <v>89</v>
      </c>
      <c r="F100" s="371">
        <v>78</v>
      </c>
      <c r="G100" s="9">
        <f t="shared" si="3"/>
        <v>8.8908950395644829E-5</v>
      </c>
    </row>
    <row r="101" spans="1:7" ht="15.75" thickBot="1" x14ac:dyDescent="0.3">
      <c r="A101" s="1">
        <v>90</v>
      </c>
      <c r="B101" s="7">
        <v>29923.610361348601</v>
      </c>
      <c r="C101" s="9">
        <f t="shared" si="2"/>
        <v>3.6151419610995418E-2</v>
      </c>
      <c r="E101" s="372">
        <v>90</v>
      </c>
      <c r="F101" s="372">
        <v>6121</v>
      </c>
      <c r="G101" s="9">
        <f t="shared" si="3"/>
        <v>6.9770728893813073E-3</v>
      </c>
    </row>
    <row r="102" spans="1:7" x14ac:dyDescent="0.25">
      <c r="B102" s="6">
        <f>SUM(B11:B101)</f>
        <v>827729.88400841015</v>
      </c>
      <c r="C102" s="9">
        <f t="shared" si="2"/>
        <v>1</v>
      </c>
      <c r="F102" s="6">
        <f>SUM(F11:F101)</f>
        <v>877302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6" max="6" width="12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88989.082289453305</v>
      </c>
      <c r="C11" s="9">
        <f>B11/B$102</f>
        <v>5.2146290719061919E-2</v>
      </c>
      <c r="E11" s="371">
        <v>0</v>
      </c>
      <c r="F11" s="371">
        <v>205653</v>
      </c>
      <c r="G11" s="9">
        <f>F11/F$102</f>
        <v>0.1148460588244492</v>
      </c>
      <c r="K11" s="6">
        <v>6.8425498388975505</v>
      </c>
      <c r="L11" s="6">
        <v>5.7394967812449051</v>
      </c>
    </row>
    <row r="12" spans="1:12" x14ac:dyDescent="0.25">
      <c r="A12">
        <v>1</v>
      </c>
      <c r="B12" s="6">
        <v>144351.97750619031</v>
      </c>
      <c r="C12" s="9">
        <f>B12/B$102</f>
        <v>8.4588131389252585E-2</v>
      </c>
      <c r="E12" s="371">
        <v>1</v>
      </c>
      <c r="F12" s="371">
        <v>202761</v>
      </c>
      <c r="G12" s="9">
        <f>F12/F$102</f>
        <v>0.11323103350451559</v>
      </c>
      <c r="K12" s="6"/>
      <c r="L12" s="371"/>
    </row>
    <row r="13" spans="1:12" x14ac:dyDescent="0.25">
      <c r="A13">
        <v>2</v>
      </c>
      <c r="B13" s="6">
        <v>158978.2238425212</v>
      </c>
      <c r="C13" s="9">
        <f t="shared" ref="C13:C76" si="0">B13/B$102</f>
        <v>9.3158896183770726E-2</v>
      </c>
      <c r="E13" s="371">
        <v>2</v>
      </c>
      <c r="F13" s="371">
        <v>132242</v>
      </c>
      <c r="G13" s="9">
        <f t="shared" ref="G13:G76" si="1">F13/F$102</f>
        <v>7.3849992516825974E-2</v>
      </c>
    </row>
    <row r="14" spans="1:12" x14ac:dyDescent="0.25">
      <c r="A14">
        <v>3</v>
      </c>
      <c r="B14" s="6">
        <v>169110.30440107221</v>
      </c>
      <c r="C14" s="9">
        <f t="shared" si="0"/>
        <v>9.9096146066588939E-2</v>
      </c>
      <c r="E14" s="371">
        <v>3</v>
      </c>
      <c r="F14" s="371">
        <v>91704</v>
      </c>
      <c r="G14" s="9">
        <f t="shared" si="1"/>
        <v>5.1211715746608558E-2</v>
      </c>
    </row>
    <row r="15" spans="1:12" x14ac:dyDescent="0.25">
      <c r="A15">
        <v>4</v>
      </c>
      <c r="B15" s="6">
        <v>268965.1926010485</v>
      </c>
      <c r="C15" s="9">
        <f t="shared" si="0"/>
        <v>0.15760963891123325</v>
      </c>
      <c r="E15" s="371">
        <v>4</v>
      </c>
      <c r="F15" s="371">
        <v>297084</v>
      </c>
      <c r="G15" s="9">
        <f t="shared" si="1"/>
        <v>0.16590531886139598</v>
      </c>
    </row>
    <row r="16" spans="1:12" x14ac:dyDescent="0.25">
      <c r="A16">
        <v>5</v>
      </c>
      <c r="B16" s="6">
        <v>180812.66857143899</v>
      </c>
      <c r="C16" s="9">
        <f t="shared" si="0"/>
        <v>0.10595355900341841</v>
      </c>
      <c r="E16" s="371">
        <v>5</v>
      </c>
      <c r="F16" s="371">
        <v>170305</v>
      </c>
      <c r="G16" s="9">
        <f t="shared" si="1"/>
        <v>9.5106115875274483E-2</v>
      </c>
    </row>
    <row r="17" spans="1:7" x14ac:dyDescent="0.25">
      <c r="A17">
        <v>6</v>
      </c>
      <c r="B17" s="6">
        <v>169934.73940243619</v>
      </c>
      <c r="C17" s="9">
        <f t="shared" si="0"/>
        <v>9.9579252827036918E-2</v>
      </c>
      <c r="E17" s="371">
        <v>6</v>
      </c>
      <c r="F17" s="371">
        <v>172867</v>
      </c>
      <c r="G17" s="9">
        <f t="shared" si="1"/>
        <v>9.6536854073638906E-2</v>
      </c>
    </row>
    <row r="18" spans="1:7" x14ac:dyDescent="0.25">
      <c r="A18">
        <v>7</v>
      </c>
      <c r="B18" s="6">
        <v>79434.488913626294</v>
      </c>
      <c r="C18" s="9">
        <f t="shared" si="0"/>
        <v>4.6547439814434169E-2</v>
      </c>
      <c r="E18" s="371">
        <v>7</v>
      </c>
      <c r="F18" s="371">
        <v>101659</v>
      </c>
      <c r="G18" s="9">
        <f t="shared" si="1"/>
        <v>5.6771043913945732E-2</v>
      </c>
    </row>
    <row r="19" spans="1:7" x14ac:dyDescent="0.25">
      <c r="A19">
        <v>8</v>
      </c>
      <c r="B19" s="6">
        <v>65695.442065757496</v>
      </c>
      <c r="C19" s="9">
        <f t="shared" si="0"/>
        <v>3.8496560844793561E-2</v>
      </c>
      <c r="E19" s="371">
        <v>8</v>
      </c>
      <c r="F19" s="371">
        <v>124835</v>
      </c>
      <c r="G19" s="9">
        <f t="shared" si="1"/>
        <v>6.9713584306332108E-2</v>
      </c>
    </row>
    <row r="20" spans="1:7" x14ac:dyDescent="0.25">
      <c r="A20">
        <v>9</v>
      </c>
      <c r="B20" s="6">
        <v>52864.055862990703</v>
      </c>
      <c r="C20" s="9">
        <f t="shared" si="0"/>
        <v>3.0977557636269203E-2</v>
      </c>
      <c r="E20" s="371">
        <v>9</v>
      </c>
      <c r="F20" s="371">
        <v>49958</v>
      </c>
      <c r="G20" s="9">
        <f t="shared" si="1"/>
        <v>2.789883642228333E-2</v>
      </c>
    </row>
    <row r="21" spans="1:7" x14ac:dyDescent="0.25">
      <c r="A21">
        <v>10</v>
      </c>
      <c r="B21" s="6">
        <v>69887.936985082604</v>
      </c>
      <c r="C21" s="9">
        <f t="shared" si="0"/>
        <v>4.0953301079401275E-2</v>
      </c>
      <c r="E21" s="371">
        <v>10</v>
      </c>
      <c r="F21" s="371">
        <v>36717</v>
      </c>
      <c r="G21" s="9">
        <f t="shared" si="1"/>
        <v>2.050445528077539E-2</v>
      </c>
    </row>
    <row r="22" spans="1:7" x14ac:dyDescent="0.25">
      <c r="A22">
        <v>11</v>
      </c>
      <c r="B22" s="6">
        <v>20370.342574280599</v>
      </c>
      <c r="C22" s="9">
        <f t="shared" si="0"/>
        <v>1.1936720534662859E-2</v>
      </c>
      <c r="E22" s="371">
        <v>11</v>
      </c>
      <c r="F22" s="371">
        <v>42786</v>
      </c>
      <c r="G22" s="9">
        <f t="shared" si="1"/>
        <v>2.3893662980179642E-2</v>
      </c>
    </row>
    <row r="23" spans="1:7" x14ac:dyDescent="0.25">
      <c r="A23">
        <v>12</v>
      </c>
      <c r="B23" s="6">
        <v>40885.8840611204</v>
      </c>
      <c r="C23" s="9">
        <f t="shared" si="0"/>
        <v>2.3958525492174084E-2</v>
      </c>
      <c r="E23" s="371">
        <v>12</v>
      </c>
      <c r="F23" s="371">
        <v>26261</v>
      </c>
      <c r="G23" s="9">
        <f t="shared" si="1"/>
        <v>1.4665345756146813E-2</v>
      </c>
    </row>
    <row r="24" spans="1:7" x14ac:dyDescent="0.25">
      <c r="A24">
        <v>13</v>
      </c>
      <c r="B24" s="6">
        <v>18813.9798094492</v>
      </c>
      <c r="C24" s="9">
        <f t="shared" si="0"/>
        <v>1.1024714891821885E-2</v>
      </c>
      <c r="E24" s="371">
        <v>13</v>
      </c>
      <c r="F24" s="371">
        <v>27092</v>
      </c>
      <c r="G24" s="9">
        <f t="shared" si="1"/>
        <v>1.5129414235007405E-2</v>
      </c>
    </row>
    <row r="25" spans="1:7" x14ac:dyDescent="0.25">
      <c r="A25">
        <v>14</v>
      </c>
      <c r="B25" s="6">
        <v>16201.9636071072</v>
      </c>
      <c r="C25" s="9">
        <f t="shared" si="0"/>
        <v>9.4941118926001617E-3</v>
      </c>
      <c r="E25" s="371">
        <v>14</v>
      </c>
      <c r="F25" s="371">
        <v>18800</v>
      </c>
      <c r="G25" s="9">
        <f t="shared" si="1"/>
        <v>1.0498781471214351E-2</v>
      </c>
    </row>
    <row r="26" spans="1:7" x14ac:dyDescent="0.25">
      <c r="A26">
        <v>15</v>
      </c>
      <c r="B26" s="6">
        <v>24241.415518187998</v>
      </c>
      <c r="C26" s="9">
        <f t="shared" si="0"/>
        <v>1.4205112228725919E-2</v>
      </c>
      <c r="E26" s="371">
        <v>15</v>
      </c>
      <c r="F26" s="371">
        <v>17742</v>
      </c>
      <c r="G26" s="9">
        <f t="shared" si="1"/>
        <v>9.9079457905470753E-3</v>
      </c>
    </row>
    <row r="27" spans="1:7" x14ac:dyDescent="0.25">
      <c r="A27">
        <v>16</v>
      </c>
      <c r="B27" s="6">
        <v>22263.991603392602</v>
      </c>
      <c r="C27" s="9">
        <f t="shared" si="0"/>
        <v>1.3046370957517563E-2</v>
      </c>
      <c r="E27" s="371">
        <v>16</v>
      </c>
      <c r="F27" s="371">
        <v>17963</v>
      </c>
      <c r="G27" s="9">
        <f t="shared" si="1"/>
        <v>1.0031362317416139E-2</v>
      </c>
    </row>
    <row r="28" spans="1:7" x14ac:dyDescent="0.25">
      <c r="A28">
        <v>17</v>
      </c>
      <c r="B28" s="6">
        <v>13011.907655539801</v>
      </c>
      <c r="C28" s="9">
        <f t="shared" si="0"/>
        <v>7.6247861193617693E-3</v>
      </c>
      <c r="E28" s="371">
        <v>17</v>
      </c>
      <c r="F28" s="371">
        <v>11831</v>
      </c>
      <c r="G28" s="9">
        <f t="shared" si="1"/>
        <v>6.6069725311668614E-3</v>
      </c>
    </row>
    <row r="29" spans="1:7" x14ac:dyDescent="0.25">
      <c r="A29">
        <v>18</v>
      </c>
      <c r="B29" s="6">
        <v>10901.843719188901</v>
      </c>
      <c r="C29" s="9">
        <f t="shared" si="0"/>
        <v>6.3883197503428945E-3</v>
      </c>
      <c r="E29" s="371">
        <v>18</v>
      </c>
      <c r="F29" s="371">
        <v>8767</v>
      </c>
      <c r="G29" s="9">
        <f t="shared" si="1"/>
        <v>4.8958945296880968E-3</v>
      </c>
    </row>
    <row r="30" spans="1:7" x14ac:dyDescent="0.25">
      <c r="A30">
        <v>19</v>
      </c>
      <c r="B30" s="6">
        <v>5698.4546146293005</v>
      </c>
      <c r="C30" s="9">
        <f t="shared" si="0"/>
        <v>3.3392104215356887E-3</v>
      </c>
      <c r="E30" s="371">
        <v>19</v>
      </c>
      <c r="F30" s="371">
        <v>5884</v>
      </c>
      <c r="G30" s="9">
        <f t="shared" si="1"/>
        <v>3.2858952221609173E-3</v>
      </c>
    </row>
    <row r="31" spans="1:7" x14ac:dyDescent="0.25">
      <c r="A31">
        <v>20</v>
      </c>
      <c r="B31" s="6">
        <v>6297.8179559432001</v>
      </c>
      <c r="C31" s="9">
        <f t="shared" si="0"/>
        <v>3.6904285062535611E-3</v>
      </c>
      <c r="E31" s="371">
        <v>20</v>
      </c>
      <c r="F31" s="371">
        <v>4858</v>
      </c>
      <c r="G31" s="9">
        <f t="shared" si="1"/>
        <v>2.7129298078276236E-3</v>
      </c>
    </row>
    <row r="32" spans="1:7" x14ac:dyDescent="0.25">
      <c r="A32">
        <v>21</v>
      </c>
      <c r="B32" s="6">
        <v>4027.3734591740999</v>
      </c>
      <c r="C32" s="9">
        <f t="shared" si="0"/>
        <v>2.3599814924849119E-3</v>
      </c>
      <c r="E32" s="371">
        <v>21</v>
      </c>
      <c r="F32" s="371">
        <v>3630</v>
      </c>
      <c r="G32" s="9">
        <f t="shared" si="1"/>
        <v>2.0271583372610692E-3</v>
      </c>
    </row>
    <row r="33" spans="1:7" x14ac:dyDescent="0.25">
      <c r="A33">
        <v>22</v>
      </c>
      <c r="B33" s="6">
        <v>4862.7571396640997</v>
      </c>
      <c r="C33" s="9">
        <f t="shared" si="0"/>
        <v>2.8495040175413851E-3</v>
      </c>
      <c r="E33" s="371">
        <v>22</v>
      </c>
      <c r="F33" s="371">
        <v>3203</v>
      </c>
      <c r="G33" s="9">
        <f t="shared" si="1"/>
        <v>1.7887019708669983E-3</v>
      </c>
    </row>
    <row r="34" spans="1:7" x14ac:dyDescent="0.25">
      <c r="A34">
        <v>23</v>
      </c>
      <c r="B34" s="6">
        <v>10382.759959523701</v>
      </c>
      <c r="C34" s="9">
        <f t="shared" si="0"/>
        <v>6.0841443173274079E-3</v>
      </c>
      <c r="E34" s="371">
        <v>23</v>
      </c>
      <c r="F34" s="371">
        <v>2880</v>
      </c>
      <c r="G34" s="9">
        <f t="shared" si="1"/>
        <v>1.6083239700583687E-3</v>
      </c>
    </row>
    <row r="35" spans="1:7" x14ac:dyDescent="0.25">
      <c r="A35">
        <v>24</v>
      </c>
      <c r="B35" s="6">
        <v>9946.7736566009007</v>
      </c>
      <c r="C35" s="9">
        <f t="shared" si="0"/>
        <v>5.8286627692899608E-3</v>
      </c>
      <c r="E35" s="371">
        <v>24</v>
      </c>
      <c r="F35" s="371">
        <v>1958</v>
      </c>
      <c r="G35" s="9">
        <f t="shared" si="1"/>
        <v>1.0934369213105161E-3</v>
      </c>
    </row>
    <row r="36" spans="1:7" x14ac:dyDescent="0.25">
      <c r="A36">
        <v>25</v>
      </c>
      <c r="B36" s="6">
        <v>3525.9640481339998</v>
      </c>
      <c r="C36" s="9">
        <f t="shared" si="0"/>
        <v>2.0661629672828661E-3</v>
      </c>
      <c r="E36" s="371">
        <v>25</v>
      </c>
      <c r="F36" s="371">
        <v>2220</v>
      </c>
      <c r="G36" s="9">
        <f t="shared" si="1"/>
        <v>1.2397497269199926E-3</v>
      </c>
    </row>
    <row r="37" spans="1:7" x14ac:dyDescent="0.25">
      <c r="A37">
        <v>26</v>
      </c>
      <c r="B37" s="6">
        <v>9469.2530238679992</v>
      </c>
      <c r="C37" s="9">
        <f t="shared" si="0"/>
        <v>5.5488427161080947E-3</v>
      </c>
      <c r="E37" s="371">
        <v>26</v>
      </c>
      <c r="F37" s="371">
        <v>1453</v>
      </c>
      <c r="G37" s="9">
        <f t="shared" si="1"/>
        <v>8.1142178072736448E-4</v>
      </c>
    </row>
    <row r="38" spans="1:7" x14ac:dyDescent="0.25">
      <c r="A38">
        <v>27</v>
      </c>
      <c r="B38" s="6">
        <v>2080.8308796920001</v>
      </c>
      <c r="C38" s="9">
        <f t="shared" si="0"/>
        <v>1.2193362286474592E-3</v>
      </c>
      <c r="E38" s="371">
        <v>27</v>
      </c>
      <c r="F38" s="371">
        <v>1479</v>
      </c>
      <c r="G38" s="9">
        <f t="shared" si="1"/>
        <v>8.259413721237248E-4</v>
      </c>
    </row>
    <row r="39" spans="1:7" x14ac:dyDescent="0.25">
      <c r="A39">
        <v>28</v>
      </c>
      <c r="B39" s="6">
        <v>638.52520720000007</v>
      </c>
      <c r="C39" s="9">
        <f t="shared" si="0"/>
        <v>3.741663609677057E-4</v>
      </c>
      <c r="E39" s="371">
        <v>28</v>
      </c>
      <c r="F39" s="371">
        <v>816</v>
      </c>
      <c r="G39" s="9">
        <f t="shared" si="1"/>
        <v>4.5569179151653779E-4</v>
      </c>
    </row>
    <row r="40" spans="1:7" x14ac:dyDescent="0.25">
      <c r="A40">
        <v>29</v>
      </c>
      <c r="B40" s="6">
        <v>1162.7322729417999</v>
      </c>
      <c r="C40" s="9">
        <f t="shared" si="0"/>
        <v>6.8134397583786163E-4</v>
      </c>
      <c r="E40" s="371">
        <v>29</v>
      </c>
      <c r="F40" s="371">
        <v>803</v>
      </c>
      <c r="G40" s="9">
        <f t="shared" si="1"/>
        <v>4.4843199581835768E-4</v>
      </c>
    </row>
    <row r="41" spans="1:7" x14ac:dyDescent="0.25">
      <c r="A41">
        <v>30</v>
      </c>
      <c r="B41" s="6">
        <v>367.06063116299998</v>
      </c>
      <c r="C41" s="9">
        <f t="shared" si="0"/>
        <v>2.1509212019839728E-4</v>
      </c>
      <c r="E41" s="371">
        <v>30</v>
      </c>
      <c r="F41" s="371">
        <v>642</v>
      </c>
      <c r="G41" s="9">
        <f t="shared" si="1"/>
        <v>3.5852221832551138E-4</v>
      </c>
    </row>
    <row r="42" spans="1:7" x14ac:dyDescent="0.25">
      <c r="A42">
        <v>31</v>
      </c>
      <c r="B42" s="6">
        <v>1676.0313286349999</v>
      </c>
      <c r="C42" s="9">
        <f t="shared" si="0"/>
        <v>9.8212965757951774E-4</v>
      </c>
      <c r="E42" s="371">
        <v>31</v>
      </c>
      <c r="F42" s="371">
        <v>607</v>
      </c>
      <c r="G42" s="9">
        <f t="shared" si="1"/>
        <v>3.3897661452271868E-4</v>
      </c>
    </row>
    <row r="43" spans="1:7" x14ac:dyDescent="0.25">
      <c r="A43">
        <v>32</v>
      </c>
      <c r="B43" s="6">
        <v>1387.7529686497001</v>
      </c>
      <c r="C43" s="9">
        <f t="shared" si="0"/>
        <v>8.132027872145511E-4</v>
      </c>
      <c r="E43" s="371">
        <v>32</v>
      </c>
      <c r="F43" s="371">
        <v>450</v>
      </c>
      <c r="G43" s="9">
        <f t="shared" si="1"/>
        <v>2.5130062032162012E-4</v>
      </c>
    </row>
    <row r="44" spans="1:7" x14ac:dyDescent="0.25">
      <c r="A44">
        <v>33</v>
      </c>
      <c r="B44" s="6">
        <v>1376.8589942619999</v>
      </c>
      <c r="C44" s="9">
        <f t="shared" si="0"/>
        <v>8.068190787764841E-4</v>
      </c>
      <c r="E44" s="371">
        <v>33</v>
      </c>
      <c r="F44" s="371">
        <v>367</v>
      </c>
      <c r="G44" s="9">
        <f t="shared" si="1"/>
        <v>2.0494961701785462E-4</v>
      </c>
    </row>
    <row r="45" spans="1:7" x14ac:dyDescent="0.25">
      <c r="A45">
        <v>34</v>
      </c>
      <c r="B45" s="6">
        <v>2187.712304919</v>
      </c>
      <c r="C45" s="9">
        <f t="shared" si="0"/>
        <v>1.2819671686343003E-3</v>
      </c>
      <c r="E45" s="371">
        <v>34</v>
      </c>
      <c r="F45" s="371">
        <v>318</v>
      </c>
      <c r="G45" s="9">
        <f t="shared" si="1"/>
        <v>1.7758577169394487E-4</v>
      </c>
    </row>
    <row r="46" spans="1:7" x14ac:dyDescent="0.25">
      <c r="A46">
        <v>35</v>
      </c>
      <c r="B46" s="6">
        <v>1254.4259388313999</v>
      </c>
      <c r="C46" s="9">
        <f t="shared" si="0"/>
        <v>7.3507511268701973E-4</v>
      </c>
      <c r="E46" s="371">
        <v>35</v>
      </c>
      <c r="F46" s="371">
        <v>229</v>
      </c>
      <c r="G46" s="9">
        <f t="shared" si="1"/>
        <v>1.278840934525578E-4</v>
      </c>
    </row>
    <row r="47" spans="1:7" x14ac:dyDescent="0.25">
      <c r="A47">
        <v>36</v>
      </c>
      <c r="B47" s="6">
        <v>2138.1395495840002</v>
      </c>
      <c r="C47" s="9">
        <f t="shared" si="0"/>
        <v>1.2529182646009321E-3</v>
      </c>
      <c r="E47" s="371">
        <v>36</v>
      </c>
      <c r="F47" s="371">
        <v>300</v>
      </c>
      <c r="G47" s="9">
        <f t="shared" si="1"/>
        <v>1.6753374688108008E-4</v>
      </c>
    </row>
    <row r="48" spans="1:7" x14ac:dyDescent="0.25">
      <c r="A48">
        <v>37</v>
      </c>
      <c r="B48" s="6">
        <v>435.6266693499</v>
      </c>
      <c r="C48" s="9">
        <f t="shared" si="0"/>
        <v>2.5527080806393265E-4</v>
      </c>
      <c r="E48" s="371">
        <v>37</v>
      </c>
      <c r="F48" s="371">
        <v>231</v>
      </c>
      <c r="G48" s="9">
        <f t="shared" si="1"/>
        <v>1.2900098509843167E-4</v>
      </c>
    </row>
    <row r="49" spans="1:7" x14ac:dyDescent="0.25">
      <c r="A49">
        <v>38</v>
      </c>
      <c r="B49" s="6">
        <v>697.23633098000005</v>
      </c>
      <c r="C49" s="9">
        <f t="shared" si="0"/>
        <v>4.0857021423047334E-4</v>
      </c>
      <c r="E49" s="371">
        <v>38</v>
      </c>
      <c r="F49" s="371">
        <v>250</v>
      </c>
      <c r="G49" s="9">
        <f t="shared" si="1"/>
        <v>1.3961145573423341E-4</v>
      </c>
    </row>
    <row r="50" spans="1:7" x14ac:dyDescent="0.25">
      <c r="A50">
        <v>39</v>
      </c>
      <c r="B50" s="6">
        <v>1276.8198686870001</v>
      </c>
      <c r="C50" s="9">
        <f t="shared" si="0"/>
        <v>7.4819762554532803E-4</v>
      </c>
      <c r="E50" s="371">
        <v>39</v>
      </c>
      <c r="F50" s="371">
        <v>198</v>
      </c>
      <c r="G50" s="9">
        <f t="shared" si="1"/>
        <v>1.1057227294151285E-4</v>
      </c>
    </row>
    <row r="51" spans="1:7" x14ac:dyDescent="0.25">
      <c r="A51">
        <v>40</v>
      </c>
      <c r="B51" s="6">
        <v>336.09786262199998</v>
      </c>
      <c r="C51" s="9">
        <f t="shared" si="0"/>
        <v>1.9694839415620424E-4</v>
      </c>
      <c r="E51" s="371">
        <v>40</v>
      </c>
      <c r="F51" s="371">
        <v>140</v>
      </c>
      <c r="G51" s="9">
        <f t="shared" si="1"/>
        <v>7.8182415211170707E-5</v>
      </c>
    </row>
    <row r="52" spans="1:7" x14ac:dyDescent="0.25">
      <c r="A52">
        <v>41</v>
      </c>
      <c r="B52" s="6">
        <v>1460.3671165790001</v>
      </c>
      <c r="C52" s="9">
        <f t="shared" si="0"/>
        <v>8.5575360772893489E-4</v>
      </c>
      <c r="E52" s="371">
        <v>41</v>
      </c>
      <c r="F52" s="371">
        <v>124</v>
      </c>
      <c r="G52" s="9">
        <f t="shared" si="1"/>
        <v>6.9247282044179769E-5</v>
      </c>
    </row>
    <row r="53" spans="1:7" x14ac:dyDescent="0.25">
      <c r="A53">
        <v>42</v>
      </c>
      <c r="B53" s="6">
        <v>435.79943215510002</v>
      </c>
      <c r="C53" s="9">
        <f t="shared" si="0"/>
        <v>2.5537204452163765E-4</v>
      </c>
      <c r="E53" s="371">
        <v>42</v>
      </c>
      <c r="F53" s="371">
        <v>77</v>
      </c>
      <c r="G53" s="9">
        <f t="shared" si="1"/>
        <v>4.3000328366143888E-5</v>
      </c>
    </row>
    <row r="54" spans="1:7" x14ac:dyDescent="0.25">
      <c r="A54">
        <v>43</v>
      </c>
      <c r="B54" s="6">
        <v>1712.0919866920001</v>
      </c>
      <c r="C54" s="9">
        <f t="shared" si="0"/>
        <v>1.0032606717464531E-3</v>
      </c>
      <c r="E54" s="371">
        <v>43</v>
      </c>
      <c r="F54" s="371">
        <v>72</v>
      </c>
      <c r="G54" s="9">
        <f t="shared" si="1"/>
        <v>4.0208099251459216E-5</v>
      </c>
    </row>
    <row r="55" spans="1:7" x14ac:dyDescent="0.25">
      <c r="A55">
        <v>44</v>
      </c>
      <c r="B55" s="6">
        <v>4102.9624441309998</v>
      </c>
      <c r="C55" s="9">
        <f t="shared" si="0"/>
        <v>2.4042755236549406E-3</v>
      </c>
      <c r="E55" s="371">
        <v>44</v>
      </c>
      <c r="F55" s="371">
        <v>64</v>
      </c>
      <c r="G55" s="9">
        <f t="shared" si="1"/>
        <v>3.5740532667963754E-5</v>
      </c>
    </row>
    <row r="56" spans="1:7" x14ac:dyDescent="0.25">
      <c r="A56">
        <v>45</v>
      </c>
      <c r="B56" s="6">
        <v>0</v>
      </c>
      <c r="C56" s="9">
        <f t="shared" si="0"/>
        <v>0</v>
      </c>
      <c r="E56" s="371">
        <v>45</v>
      </c>
      <c r="F56" s="371">
        <v>80</v>
      </c>
      <c r="G56" s="9">
        <f t="shared" si="1"/>
        <v>4.4675665834954685E-5</v>
      </c>
    </row>
    <row r="57" spans="1:7" x14ac:dyDescent="0.25">
      <c r="A57">
        <v>46</v>
      </c>
      <c r="B57" s="6">
        <v>0</v>
      </c>
      <c r="C57" s="9">
        <f t="shared" si="0"/>
        <v>0</v>
      </c>
      <c r="E57" s="371">
        <v>46</v>
      </c>
      <c r="F57" s="371">
        <v>49</v>
      </c>
      <c r="G57" s="9">
        <f t="shared" si="1"/>
        <v>2.7363845323909746E-5</v>
      </c>
    </row>
    <row r="58" spans="1:7" x14ac:dyDescent="0.25">
      <c r="A58">
        <v>47</v>
      </c>
      <c r="B58" s="6">
        <v>803.50535596700001</v>
      </c>
      <c r="C58" s="9">
        <f t="shared" si="0"/>
        <v>4.7084229670210171E-4</v>
      </c>
      <c r="E58" s="371">
        <v>47</v>
      </c>
      <c r="F58" s="371">
        <v>37</v>
      </c>
      <c r="G58" s="9">
        <f t="shared" si="1"/>
        <v>2.0662495448666542E-5</v>
      </c>
    </row>
    <row r="59" spans="1:7" x14ac:dyDescent="0.25">
      <c r="A59">
        <v>48</v>
      </c>
      <c r="B59" s="6">
        <v>0</v>
      </c>
      <c r="C59" s="9">
        <f t="shared" si="0"/>
        <v>0</v>
      </c>
      <c r="E59" s="371">
        <v>48</v>
      </c>
      <c r="F59" s="371">
        <v>26</v>
      </c>
      <c r="G59" s="9">
        <f t="shared" si="1"/>
        <v>1.4519591396360273E-5</v>
      </c>
    </row>
    <row r="60" spans="1:7" x14ac:dyDescent="0.25">
      <c r="A60">
        <v>49</v>
      </c>
      <c r="B60" s="6">
        <v>667.99538554000003</v>
      </c>
      <c r="C60" s="9">
        <f t="shared" si="0"/>
        <v>3.9143545114959612E-4</v>
      </c>
      <c r="E60" s="371">
        <v>49</v>
      </c>
      <c r="F60" s="371">
        <v>25</v>
      </c>
      <c r="G60" s="9">
        <f t="shared" si="1"/>
        <v>1.396114557342334E-5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24</v>
      </c>
      <c r="G61" s="9">
        <f t="shared" si="1"/>
        <v>1.3402699750486406E-5</v>
      </c>
    </row>
    <row r="62" spans="1:7" x14ac:dyDescent="0.25">
      <c r="A62">
        <v>51</v>
      </c>
      <c r="B62" s="6">
        <v>387.67438217400002</v>
      </c>
      <c r="C62" s="9">
        <f t="shared" si="0"/>
        <v>2.2717147448967487E-4</v>
      </c>
      <c r="E62" s="371">
        <v>51</v>
      </c>
      <c r="F62" s="371">
        <v>26</v>
      </c>
      <c r="G62" s="9">
        <f t="shared" si="1"/>
        <v>1.4519591396360273E-5</v>
      </c>
    </row>
    <row r="63" spans="1:7" x14ac:dyDescent="0.25">
      <c r="A63">
        <v>52</v>
      </c>
      <c r="B63" s="6">
        <v>181.031838601</v>
      </c>
      <c r="C63" s="9">
        <f t="shared" si="0"/>
        <v>1.0608198941065893E-4</v>
      </c>
      <c r="E63" s="371">
        <v>52</v>
      </c>
      <c r="F63" s="371">
        <v>20</v>
      </c>
      <c r="G63" s="9">
        <f t="shared" si="1"/>
        <v>1.1168916458738671E-5</v>
      </c>
    </row>
    <row r="64" spans="1:7" x14ac:dyDescent="0.25">
      <c r="A64">
        <v>53</v>
      </c>
      <c r="B64" s="6">
        <v>706.81565937350001</v>
      </c>
      <c r="C64" s="9">
        <f t="shared" si="0"/>
        <v>4.1418355949091794E-4</v>
      </c>
      <c r="E64" s="371">
        <v>53</v>
      </c>
      <c r="F64" s="371">
        <v>14</v>
      </c>
      <c r="G64" s="9">
        <f t="shared" si="1"/>
        <v>7.8182415211170711E-6</v>
      </c>
    </row>
    <row r="65" spans="1:7" x14ac:dyDescent="0.25">
      <c r="A65">
        <v>54</v>
      </c>
      <c r="B65" s="6">
        <v>1175.9043149930001</v>
      </c>
      <c r="C65" s="9">
        <f t="shared" si="0"/>
        <v>6.8906259835305292E-4</v>
      </c>
      <c r="E65" s="371">
        <v>54</v>
      </c>
      <c r="F65" s="371">
        <v>15</v>
      </c>
      <c r="G65" s="9">
        <f t="shared" si="1"/>
        <v>8.3766873440540039E-6</v>
      </c>
    </row>
    <row r="66" spans="1:7" x14ac:dyDescent="0.25">
      <c r="A66">
        <v>55</v>
      </c>
      <c r="B66" s="6">
        <v>0</v>
      </c>
      <c r="C66" s="9">
        <f t="shared" si="0"/>
        <v>0</v>
      </c>
      <c r="E66" s="371">
        <v>55</v>
      </c>
      <c r="F66" s="371">
        <v>12</v>
      </c>
      <c r="G66" s="9">
        <f t="shared" si="1"/>
        <v>6.7013498752432029E-6</v>
      </c>
    </row>
    <row r="67" spans="1:7" x14ac:dyDescent="0.25">
      <c r="A67">
        <v>56</v>
      </c>
      <c r="B67" s="6">
        <v>1829.478686078</v>
      </c>
      <c r="C67" s="9">
        <f t="shared" si="0"/>
        <v>1.072047547565926E-3</v>
      </c>
      <c r="E67" s="371">
        <v>56</v>
      </c>
      <c r="F67" s="371">
        <v>17</v>
      </c>
      <c r="G67" s="9">
        <f t="shared" si="1"/>
        <v>9.4935789899278712E-6</v>
      </c>
    </row>
    <row r="68" spans="1:7" x14ac:dyDescent="0.25">
      <c r="A68">
        <v>57</v>
      </c>
      <c r="B68" s="6">
        <v>542.14004572700003</v>
      </c>
      <c r="C68" s="9">
        <f t="shared" si="0"/>
        <v>3.1768607684895973E-4</v>
      </c>
      <c r="E68" s="371">
        <v>57</v>
      </c>
      <c r="F68" s="371">
        <v>9</v>
      </c>
      <c r="G68" s="9">
        <f t="shared" si="1"/>
        <v>5.026012406432402E-6</v>
      </c>
    </row>
    <row r="69" spans="1:7" x14ac:dyDescent="0.25">
      <c r="A69">
        <v>58</v>
      </c>
      <c r="B69" s="6">
        <v>0</v>
      </c>
      <c r="C69" s="9">
        <f t="shared" si="0"/>
        <v>0</v>
      </c>
      <c r="E69" s="371">
        <v>58</v>
      </c>
      <c r="F69" s="371">
        <v>9</v>
      </c>
      <c r="G69" s="9">
        <f t="shared" si="1"/>
        <v>5.026012406432402E-6</v>
      </c>
    </row>
    <row r="70" spans="1:7" x14ac:dyDescent="0.25">
      <c r="A70">
        <v>59</v>
      </c>
      <c r="B70" s="6">
        <v>0</v>
      </c>
      <c r="C70" s="9">
        <f t="shared" si="0"/>
        <v>0</v>
      </c>
      <c r="E70" s="371">
        <v>59</v>
      </c>
      <c r="F70" s="371">
        <v>3</v>
      </c>
      <c r="G70" s="9">
        <f t="shared" si="1"/>
        <v>1.6753374688108007E-6</v>
      </c>
    </row>
    <row r="71" spans="1:7" x14ac:dyDescent="0.25">
      <c r="A71">
        <v>60</v>
      </c>
      <c r="B71" s="6">
        <v>0</v>
      </c>
      <c r="C71" s="9">
        <f t="shared" si="0"/>
        <v>0</v>
      </c>
      <c r="E71" s="371">
        <v>60</v>
      </c>
      <c r="F71" s="371">
        <v>1</v>
      </c>
      <c r="G71" s="9">
        <f t="shared" si="1"/>
        <v>5.5844582293693365E-7</v>
      </c>
    </row>
    <row r="72" spans="1:7" x14ac:dyDescent="0.25">
      <c r="A72">
        <v>61</v>
      </c>
      <c r="B72" s="6">
        <v>0</v>
      </c>
      <c r="C72" s="9">
        <f t="shared" si="0"/>
        <v>0</v>
      </c>
      <c r="E72" s="371">
        <v>61</v>
      </c>
      <c r="F72" s="371">
        <v>3</v>
      </c>
      <c r="G72" s="9">
        <f t="shared" si="1"/>
        <v>1.6753374688108007E-6</v>
      </c>
    </row>
    <row r="73" spans="1:7" x14ac:dyDescent="0.25">
      <c r="A73">
        <v>62</v>
      </c>
      <c r="B73" s="6">
        <v>0</v>
      </c>
      <c r="C73" s="9">
        <f t="shared" si="0"/>
        <v>0</v>
      </c>
      <c r="E73" s="371">
        <v>62</v>
      </c>
      <c r="F73" s="371">
        <v>4</v>
      </c>
      <c r="G73" s="9">
        <f t="shared" si="1"/>
        <v>2.2337832917477346E-6</v>
      </c>
    </row>
    <row r="74" spans="1:7" x14ac:dyDescent="0.25">
      <c r="A74">
        <v>63</v>
      </c>
      <c r="B74" s="6">
        <v>0</v>
      </c>
      <c r="C74" s="9">
        <f t="shared" si="0"/>
        <v>0</v>
      </c>
      <c r="E74" s="371">
        <v>63</v>
      </c>
      <c r="F74" s="371">
        <v>3</v>
      </c>
      <c r="G74" s="9">
        <f t="shared" si="1"/>
        <v>1.6753374688108007E-6</v>
      </c>
    </row>
    <row r="75" spans="1:7" x14ac:dyDescent="0.25">
      <c r="A75">
        <v>64</v>
      </c>
      <c r="B75" s="6">
        <v>0</v>
      </c>
      <c r="C75" s="9">
        <f t="shared" si="0"/>
        <v>0</v>
      </c>
      <c r="E75" s="371">
        <v>64</v>
      </c>
      <c r="F75" s="371">
        <v>1</v>
      </c>
      <c r="G75" s="9">
        <f t="shared" si="1"/>
        <v>5.5844582293693365E-7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4</v>
      </c>
      <c r="G76" s="9">
        <f t="shared" si="1"/>
        <v>2.2337832917477346E-6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3</v>
      </c>
      <c r="G77" s="9">
        <f t="shared" ref="G77:G102" si="3">F77/F$102</f>
        <v>1.6753374688108007E-6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4</v>
      </c>
      <c r="G78" s="9">
        <f t="shared" si="3"/>
        <v>2.2337832917477346E-6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5</v>
      </c>
      <c r="G79" s="9">
        <f t="shared" si="3"/>
        <v>2.7922291146846678E-6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1</v>
      </c>
      <c r="G80" s="9">
        <f t="shared" si="3"/>
        <v>5.5844582293693365E-7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1</v>
      </c>
      <c r="G81" s="9">
        <f t="shared" si="3"/>
        <v>5.5844582293693365E-7</v>
      </c>
    </row>
    <row r="82" spans="1:7" x14ac:dyDescent="0.25">
      <c r="A82">
        <v>71</v>
      </c>
      <c r="B82" s="6">
        <v>215.69589429999999</v>
      </c>
      <c r="C82" s="9">
        <f t="shared" si="2"/>
        <v>1.263946151786408E-4</v>
      </c>
      <c r="E82" s="371">
        <v>71</v>
      </c>
      <c r="F82" s="371">
        <v>2</v>
      </c>
      <c r="G82" s="9">
        <f t="shared" si="3"/>
        <v>1.1168916458738673E-6</v>
      </c>
    </row>
    <row r="83" spans="1:7" x14ac:dyDescent="0.25">
      <c r="A83">
        <v>72</v>
      </c>
      <c r="B83" s="6">
        <v>4605.9932193000004</v>
      </c>
      <c r="C83" s="9">
        <f t="shared" si="2"/>
        <v>2.6990441443411955E-3</v>
      </c>
      <c r="E83" s="371">
        <v>72</v>
      </c>
      <c r="F83" s="371">
        <v>2</v>
      </c>
      <c r="G83" s="9">
        <f t="shared" si="3"/>
        <v>1.1168916458738673E-6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1</v>
      </c>
      <c r="G84" s="9">
        <f t="shared" si="3"/>
        <v>5.5844582293693365E-7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0</v>
      </c>
      <c r="G85" s="9">
        <f t="shared" si="3"/>
        <v>0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1</v>
      </c>
      <c r="G86" s="9">
        <f t="shared" si="3"/>
        <v>5.5844582293693365E-7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</v>
      </c>
      <c r="G87" s="9">
        <f t="shared" si="3"/>
        <v>5.5844582293693365E-7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757.65907441399997</v>
      </c>
      <c r="C98" s="9">
        <f t="shared" si="2"/>
        <v>4.4397705138499106E-4</v>
      </c>
      <c r="E98" s="371">
        <v>87</v>
      </c>
      <c r="F98" s="371">
        <v>1</v>
      </c>
      <c r="G98" s="9">
        <f t="shared" si="3"/>
        <v>5.5844582293693365E-7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1706527.5604909635</v>
      </c>
      <c r="C102" s="9">
        <f t="shared" si="2"/>
        <v>1</v>
      </c>
      <c r="F102" s="6">
        <f>SUM(F11:F101)</f>
        <v>1790684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368.29924999999997</v>
      </c>
      <c r="C11" s="9">
        <f>B11/B$102</f>
        <v>2.1581793258237288E-4</v>
      </c>
      <c r="E11" s="371">
        <v>0</v>
      </c>
      <c r="F11" s="371">
        <v>4673</v>
      </c>
      <c r="G11" s="9">
        <f>F11/F$102</f>
        <v>2.6096173305842907E-3</v>
      </c>
      <c r="K11" s="6">
        <v>38.263133827731806</v>
      </c>
      <c r="L11" s="6">
        <v>26.390165999278523</v>
      </c>
    </row>
    <row r="12" spans="1:12" x14ac:dyDescent="0.25">
      <c r="A12">
        <v>1</v>
      </c>
      <c r="B12" s="6">
        <v>2411.760922769</v>
      </c>
      <c r="C12" s="9">
        <f>B12/B$102</f>
        <v>1.4132563567125416E-3</v>
      </c>
      <c r="E12" s="371">
        <v>1</v>
      </c>
      <c r="F12" s="371">
        <v>18606</v>
      </c>
      <c r="G12" s="9">
        <f>F12/F$102</f>
        <v>1.0390442981564586E-2</v>
      </c>
      <c r="K12" s="6"/>
      <c r="L12" s="371"/>
    </row>
    <row r="13" spans="1:12" x14ac:dyDescent="0.25">
      <c r="A13">
        <v>2</v>
      </c>
      <c r="B13" s="6">
        <v>4038.5571738369999</v>
      </c>
      <c r="C13" s="9">
        <f t="shared" ref="C13:C76" si="0">B13/B$102</f>
        <v>2.3665349844541146E-3</v>
      </c>
      <c r="E13" s="371">
        <v>2</v>
      </c>
      <c r="F13" s="371">
        <v>20278</v>
      </c>
      <c r="G13" s="9">
        <f t="shared" ref="G13:G76" si="1">F13/F$102</f>
        <v>1.132416439751514E-2</v>
      </c>
    </row>
    <row r="14" spans="1:12" x14ac:dyDescent="0.25">
      <c r="A14">
        <v>3</v>
      </c>
      <c r="B14" s="6">
        <v>6571.0108476904006</v>
      </c>
      <c r="C14" s="9">
        <f t="shared" si="0"/>
        <v>3.8505155145574905E-3</v>
      </c>
      <c r="E14" s="371">
        <v>3</v>
      </c>
      <c r="F14" s="371">
        <v>24257</v>
      </c>
      <c r="G14" s="9">
        <f t="shared" si="1"/>
        <v>1.3546220326981199E-2</v>
      </c>
    </row>
    <row r="15" spans="1:12" x14ac:dyDescent="0.25">
      <c r="A15">
        <v>4</v>
      </c>
      <c r="B15" s="6">
        <v>16601.603950737201</v>
      </c>
      <c r="C15" s="9">
        <f t="shared" si="0"/>
        <v>9.7282952441512076E-3</v>
      </c>
      <c r="E15" s="371">
        <v>4</v>
      </c>
      <c r="F15" s="371">
        <v>28083</v>
      </c>
      <c r="G15" s="9">
        <f t="shared" si="1"/>
        <v>1.5682834045537906E-2</v>
      </c>
    </row>
    <row r="16" spans="1:12" x14ac:dyDescent="0.25">
      <c r="A16">
        <v>5</v>
      </c>
      <c r="B16" s="6">
        <v>16278.711525201299</v>
      </c>
      <c r="C16" s="9">
        <f t="shared" si="0"/>
        <v>9.5390850415084764E-3</v>
      </c>
      <c r="E16" s="371">
        <v>5</v>
      </c>
      <c r="F16" s="371">
        <v>30515</v>
      </c>
      <c r="G16" s="9">
        <f t="shared" si="1"/>
        <v>1.7040974286920529E-2</v>
      </c>
    </row>
    <row r="17" spans="1:7" x14ac:dyDescent="0.25">
      <c r="A17">
        <v>6</v>
      </c>
      <c r="B17" s="6">
        <v>20724.589436695798</v>
      </c>
      <c r="C17" s="9">
        <f t="shared" si="0"/>
        <v>1.2144303975221702E-2</v>
      </c>
      <c r="E17" s="371">
        <v>6</v>
      </c>
      <c r="F17" s="371">
        <v>32682</v>
      </c>
      <c r="G17" s="9">
        <f t="shared" si="1"/>
        <v>1.8251126385224865E-2</v>
      </c>
    </row>
    <row r="18" spans="1:7" x14ac:dyDescent="0.25">
      <c r="A18">
        <v>7</v>
      </c>
      <c r="B18" s="6">
        <v>25749.0615776126</v>
      </c>
      <c r="C18" s="9">
        <f t="shared" si="0"/>
        <v>1.5088570600175169E-2</v>
      </c>
      <c r="E18" s="371">
        <v>7</v>
      </c>
      <c r="F18" s="371">
        <v>34908</v>
      </c>
      <c r="G18" s="9">
        <f t="shared" si="1"/>
        <v>1.9494226787082479E-2</v>
      </c>
    </row>
    <row r="19" spans="1:7" x14ac:dyDescent="0.25">
      <c r="A19">
        <v>8</v>
      </c>
      <c r="B19" s="6">
        <v>17257.353669429402</v>
      </c>
      <c r="C19" s="9">
        <f t="shared" si="0"/>
        <v>1.011255491500208E-2</v>
      </c>
      <c r="E19" s="371">
        <v>8</v>
      </c>
      <c r="F19" s="371">
        <v>35832</v>
      </c>
      <c r="G19" s="9">
        <f t="shared" si="1"/>
        <v>2.0010230727476205E-2</v>
      </c>
    </row>
    <row r="20" spans="1:7" x14ac:dyDescent="0.25">
      <c r="A20">
        <v>9</v>
      </c>
      <c r="B20" s="6">
        <v>39041.551655352698</v>
      </c>
      <c r="C20" s="9">
        <f t="shared" si="0"/>
        <v>2.2877773883781021E-2</v>
      </c>
      <c r="E20" s="371">
        <v>9</v>
      </c>
      <c r="F20" s="371">
        <v>34677</v>
      </c>
      <c r="G20" s="9">
        <f t="shared" si="1"/>
        <v>1.9365225801984045E-2</v>
      </c>
    </row>
    <row r="21" spans="1:7" x14ac:dyDescent="0.25">
      <c r="A21">
        <v>10</v>
      </c>
      <c r="B21" s="6">
        <v>16682.669795848899</v>
      </c>
      <c r="C21" s="9">
        <f t="shared" si="0"/>
        <v>9.7757986346551241E-3</v>
      </c>
      <c r="E21" s="371">
        <v>10</v>
      </c>
      <c r="F21" s="371">
        <v>34257</v>
      </c>
      <c r="G21" s="9">
        <f t="shared" si="1"/>
        <v>1.9130678556350533E-2</v>
      </c>
    </row>
    <row r="22" spans="1:7" x14ac:dyDescent="0.25">
      <c r="A22">
        <v>11</v>
      </c>
      <c r="B22" s="6">
        <v>14319.210166365301</v>
      </c>
      <c r="C22" s="9">
        <f t="shared" si="0"/>
        <v>8.3908461239534295E-3</v>
      </c>
      <c r="E22" s="371">
        <v>11</v>
      </c>
      <c r="F22" s="371">
        <v>32234</v>
      </c>
      <c r="G22" s="9">
        <f t="shared" si="1"/>
        <v>1.8000942656549116E-2</v>
      </c>
    </row>
    <row r="23" spans="1:7" x14ac:dyDescent="0.25">
      <c r="A23">
        <v>12</v>
      </c>
      <c r="B23" s="6">
        <v>36046.3612831153</v>
      </c>
      <c r="C23" s="9">
        <f t="shared" si="0"/>
        <v>2.1122636468141692E-2</v>
      </c>
      <c r="E23" s="371">
        <v>12</v>
      </c>
      <c r="F23" s="371">
        <v>30840</v>
      </c>
      <c r="G23" s="9">
        <f t="shared" si="1"/>
        <v>1.7222469179375033E-2</v>
      </c>
    </row>
    <row r="24" spans="1:7" x14ac:dyDescent="0.25">
      <c r="A24">
        <v>13</v>
      </c>
      <c r="B24" s="6">
        <v>31006.387511847202</v>
      </c>
      <c r="C24" s="9">
        <f t="shared" si="0"/>
        <v>1.8169286116262166E-2</v>
      </c>
      <c r="E24" s="371">
        <v>13</v>
      </c>
      <c r="F24" s="371">
        <v>27656</v>
      </c>
      <c r="G24" s="9">
        <f t="shared" si="1"/>
        <v>1.5444377679143835E-2</v>
      </c>
    </row>
    <row r="25" spans="1:7" x14ac:dyDescent="0.25">
      <c r="A25">
        <v>14</v>
      </c>
      <c r="B25" s="6">
        <v>18556.994795091799</v>
      </c>
      <c r="C25" s="9">
        <f t="shared" si="0"/>
        <v>1.0874125460800061E-2</v>
      </c>
      <c r="E25" s="371">
        <v>14</v>
      </c>
      <c r="F25" s="371">
        <v>25673</v>
      </c>
      <c r="G25" s="9">
        <f t="shared" si="1"/>
        <v>1.4336979612259897E-2</v>
      </c>
    </row>
    <row r="26" spans="1:7" x14ac:dyDescent="0.25">
      <c r="A26">
        <v>15</v>
      </c>
      <c r="B26" s="6">
        <v>12120.2283892984</v>
      </c>
      <c r="C26" s="9">
        <f t="shared" si="0"/>
        <v>7.1022752107275915E-3</v>
      </c>
      <c r="E26" s="371">
        <v>15</v>
      </c>
      <c r="F26" s="371">
        <v>26351</v>
      </c>
      <c r="G26" s="9">
        <f t="shared" si="1"/>
        <v>1.4715605880211138E-2</v>
      </c>
    </row>
    <row r="27" spans="1:7" x14ac:dyDescent="0.25">
      <c r="A27">
        <v>16</v>
      </c>
      <c r="B27" s="6">
        <v>44631.4887250049</v>
      </c>
      <c r="C27" s="9">
        <f t="shared" si="0"/>
        <v>2.6153394623269103E-2</v>
      </c>
      <c r="E27" s="371">
        <v>16</v>
      </c>
      <c r="F27" s="371">
        <v>26866</v>
      </c>
      <c r="G27" s="9">
        <f t="shared" si="1"/>
        <v>1.5003205479023658E-2</v>
      </c>
    </row>
    <row r="28" spans="1:7" x14ac:dyDescent="0.25">
      <c r="A28">
        <v>17</v>
      </c>
      <c r="B28" s="6">
        <v>25216.9409814584</v>
      </c>
      <c r="C28" s="9">
        <f t="shared" si="0"/>
        <v>1.4776755773111308E-2</v>
      </c>
      <c r="E28" s="371">
        <v>17</v>
      </c>
      <c r="F28" s="371">
        <v>25408</v>
      </c>
      <c r="G28" s="9">
        <f t="shared" si="1"/>
        <v>1.4188991469181608E-2</v>
      </c>
    </row>
    <row r="29" spans="1:7" x14ac:dyDescent="0.25">
      <c r="A29">
        <v>18</v>
      </c>
      <c r="B29" s="6">
        <v>84915.001221767801</v>
      </c>
      <c r="C29" s="9">
        <f t="shared" si="0"/>
        <v>4.9758939256356334E-2</v>
      </c>
      <c r="E29" s="371">
        <v>18</v>
      </c>
      <c r="F29" s="371">
        <v>195133</v>
      </c>
      <c r="G29" s="9">
        <f t="shared" si="1"/>
        <v>0.10897120876715266</v>
      </c>
    </row>
    <row r="30" spans="1:7" x14ac:dyDescent="0.25">
      <c r="A30">
        <v>19</v>
      </c>
      <c r="B30" s="6">
        <v>79424.410876252296</v>
      </c>
      <c r="C30" s="9">
        <f t="shared" si="0"/>
        <v>4.6541534233061031E-2</v>
      </c>
      <c r="E30" s="371">
        <v>19</v>
      </c>
      <c r="F30" s="371">
        <v>83542</v>
      </c>
      <c r="G30" s="9">
        <f t="shared" si="1"/>
        <v>4.6653680939797305E-2</v>
      </c>
    </row>
    <row r="31" spans="1:7" x14ac:dyDescent="0.25">
      <c r="A31">
        <v>20</v>
      </c>
      <c r="B31" s="6">
        <v>82049.990097483096</v>
      </c>
      <c r="C31" s="9">
        <f t="shared" si="0"/>
        <v>4.8080084961462641E-2</v>
      </c>
      <c r="E31" s="371">
        <v>20</v>
      </c>
      <c r="F31" s="371">
        <v>83313</v>
      </c>
      <c r="G31" s="9">
        <f t="shared" si="1"/>
        <v>4.6525796846344745E-2</v>
      </c>
    </row>
    <row r="32" spans="1:7" x14ac:dyDescent="0.25">
      <c r="A32">
        <v>21</v>
      </c>
      <c r="B32" s="6">
        <v>68277.350192033802</v>
      </c>
      <c r="C32" s="9">
        <f t="shared" si="0"/>
        <v>4.0009520955167341E-2</v>
      </c>
      <c r="E32" s="371">
        <v>21</v>
      </c>
      <c r="F32" s="371">
        <v>92713</v>
      </c>
      <c r="G32" s="9">
        <f t="shared" si="1"/>
        <v>5.1775187581951924E-2</v>
      </c>
    </row>
    <row r="33" spans="1:7" x14ac:dyDescent="0.25">
      <c r="A33">
        <v>22</v>
      </c>
      <c r="B33" s="6">
        <v>68910.125058940903</v>
      </c>
      <c r="C33" s="9">
        <f t="shared" si="0"/>
        <v>4.0380317701470728E-2</v>
      </c>
      <c r="E33" s="371">
        <v>22</v>
      </c>
      <c r="F33" s="371">
        <v>83947</v>
      </c>
      <c r="G33" s="9">
        <f t="shared" si="1"/>
        <v>4.6879851498086766E-2</v>
      </c>
    </row>
    <row r="34" spans="1:7" x14ac:dyDescent="0.25">
      <c r="A34">
        <v>23</v>
      </c>
      <c r="B34" s="6">
        <v>50837.407848923802</v>
      </c>
      <c r="C34" s="9">
        <f t="shared" si="0"/>
        <v>2.978997176834227E-2</v>
      </c>
      <c r="E34" s="371">
        <v>23</v>
      </c>
      <c r="F34" s="371">
        <v>77540</v>
      </c>
      <c r="G34" s="9">
        <f t="shared" si="1"/>
        <v>4.3301889110529831E-2</v>
      </c>
    </row>
    <row r="35" spans="1:7" x14ac:dyDescent="0.25">
      <c r="A35">
        <v>24</v>
      </c>
      <c r="B35" s="6">
        <v>41929.796830502601</v>
      </c>
      <c r="C35" s="9">
        <f t="shared" si="0"/>
        <v>2.4570242990063117E-2</v>
      </c>
      <c r="E35" s="371">
        <v>24</v>
      </c>
      <c r="F35" s="371">
        <v>56464</v>
      </c>
      <c r="G35" s="9">
        <f t="shared" si="1"/>
        <v>3.1532084946311018E-2</v>
      </c>
    </row>
    <row r="36" spans="1:7" x14ac:dyDescent="0.25">
      <c r="A36">
        <v>25</v>
      </c>
      <c r="B36" s="6">
        <v>31284.4027934759</v>
      </c>
      <c r="C36" s="9">
        <f t="shared" si="0"/>
        <v>1.8332198973965274E-2</v>
      </c>
      <c r="E36" s="371">
        <v>25</v>
      </c>
      <c r="F36" s="371">
        <v>63597</v>
      </c>
      <c r="G36" s="9">
        <f t="shared" si="1"/>
        <v>3.5515479001320169E-2</v>
      </c>
    </row>
    <row r="37" spans="1:7" x14ac:dyDescent="0.25">
      <c r="A37">
        <v>26</v>
      </c>
      <c r="B37" s="6">
        <v>84672.254903389301</v>
      </c>
      <c r="C37" s="9">
        <f t="shared" si="0"/>
        <v>4.9616693491331208E-2</v>
      </c>
      <c r="E37" s="371">
        <v>26</v>
      </c>
      <c r="F37" s="371">
        <v>48457</v>
      </c>
      <c r="G37" s="9">
        <f t="shared" si="1"/>
        <v>2.706060924205499E-2</v>
      </c>
    </row>
    <row r="38" spans="1:7" x14ac:dyDescent="0.25">
      <c r="A38">
        <v>27</v>
      </c>
      <c r="B38" s="6">
        <v>28838.155832383</v>
      </c>
      <c r="C38" s="9">
        <f t="shared" si="0"/>
        <v>1.6898734307042976E-2</v>
      </c>
      <c r="E38" s="371">
        <v>27</v>
      </c>
      <c r="F38" s="371">
        <v>41246</v>
      </c>
      <c r="G38" s="9">
        <f t="shared" si="1"/>
        <v>2.3033656412856762E-2</v>
      </c>
    </row>
    <row r="39" spans="1:7" x14ac:dyDescent="0.25">
      <c r="A39">
        <v>28</v>
      </c>
      <c r="B39" s="6">
        <v>22226.676152254899</v>
      </c>
      <c r="C39" s="9">
        <f t="shared" si="0"/>
        <v>1.3024504653098215E-2</v>
      </c>
      <c r="E39" s="371">
        <v>28</v>
      </c>
      <c r="F39" s="371">
        <v>40000</v>
      </c>
      <c r="G39" s="9">
        <f t="shared" si="1"/>
        <v>2.2337832917477343E-2</v>
      </c>
    </row>
    <row r="40" spans="1:7" x14ac:dyDescent="0.25">
      <c r="A40">
        <v>29</v>
      </c>
      <c r="B40" s="6">
        <v>43361.808919700001</v>
      </c>
      <c r="C40" s="9">
        <f t="shared" si="0"/>
        <v>2.5409380969636922E-2</v>
      </c>
      <c r="E40" s="371">
        <v>29</v>
      </c>
      <c r="F40" s="371">
        <v>40692</v>
      </c>
      <c r="G40" s="9">
        <f t="shared" si="1"/>
        <v>2.2724277426949702E-2</v>
      </c>
    </row>
    <row r="41" spans="1:7" x14ac:dyDescent="0.25">
      <c r="A41">
        <v>30</v>
      </c>
      <c r="B41" s="6">
        <v>25489.211956623498</v>
      </c>
      <c r="C41" s="9">
        <f t="shared" si="0"/>
        <v>1.493630255188514E-2</v>
      </c>
      <c r="E41" s="371">
        <v>30</v>
      </c>
      <c r="F41" s="371">
        <v>27840</v>
      </c>
      <c r="G41" s="9">
        <f t="shared" si="1"/>
        <v>1.5547131710564231E-2</v>
      </c>
    </row>
    <row r="42" spans="1:7" x14ac:dyDescent="0.25">
      <c r="A42">
        <v>31</v>
      </c>
      <c r="B42" s="6">
        <v>23761.499522065402</v>
      </c>
      <c r="C42" s="9">
        <f t="shared" si="0"/>
        <v>1.3923888527900061E-2</v>
      </c>
      <c r="E42" s="371">
        <v>31</v>
      </c>
      <c r="F42" s="371">
        <v>25533</v>
      </c>
      <c r="G42" s="9">
        <f t="shared" si="1"/>
        <v>1.4258797197048725E-2</v>
      </c>
    </row>
    <row r="43" spans="1:7" x14ac:dyDescent="0.25">
      <c r="A43">
        <v>32</v>
      </c>
      <c r="B43" s="6">
        <v>19434.931121753099</v>
      </c>
      <c r="C43" s="9">
        <f t="shared" si="0"/>
        <v>1.1388583209380881E-2</v>
      </c>
      <c r="E43" s="371">
        <v>32</v>
      </c>
      <c r="F43" s="371">
        <v>21947</v>
      </c>
      <c r="G43" s="9">
        <f t="shared" si="1"/>
        <v>1.2256210475996881E-2</v>
      </c>
    </row>
    <row r="44" spans="1:7" x14ac:dyDescent="0.25">
      <c r="A44">
        <v>33</v>
      </c>
      <c r="B44" s="6">
        <v>13879.9921380944</v>
      </c>
      <c r="C44" s="9">
        <f t="shared" si="0"/>
        <v>8.13347083249049E-3</v>
      </c>
      <c r="E44" s="371">
        <v>33</v>
      </c>
      <c r="F44" s="371">
        <v>29387</v>
      </c>
      <c r="G44" s="9">
        <f t="shared" si="1"/>
        <v>1.6411047398647668E-2</v>
      </c>
    </row>
    <row r="45" spans="1:7" x14ac:dyDescent="0.25">
      <c r="A45">
        <v>34</v>
      </c>
      <c r="B45" s="6">
        <v>23300.518411095702</v>
      </c>
      <c r="C45" s="9">
        <f t="shared" si="0"/>
        <v>1.3653760390715405E-2</v>
      </c>
      <c r="E45" s="371">
        <v>34</v>
      </c>
      <c r="F45" s="371">
        <v>22875</v>
      </c>
      <c r="G45" s="9">
        <f t="shared" si="1"/>
        <v>1.2774448199682356E-2</v>
      </c>
    </row>
    <row r="46" spans="1:7" x14ac:dyDescent="0.25">
      <c r="A46">
        <v>35</v>
      </c>
      <c r="B46" s="6">
        <v>19565.3307746215</v>
      </c>
      <c r="C46" s="9">
        <f t="shared" si="0"/>
        <v>1.1464995484158842E-2</v>
      </c>
      <c r="E46" s="371">
        <v>35</v>
      </c>
      <c r="F46" s="371">
        <v>20331</v>
      </c>
      <c r="G46" s="9">
        <f t="shared" si="1"/>
        <v>1.1353762026130797E-2</v>
      </c>
    </row>
    <row r="47" spans="1:7" x14ac:dyDescent="0.25">
      <c r="A47">
        <v>36</v>
      </c>
      <c r="B47" s="6">
        <v>19454.991889252298</v>
      </c>
      <c r="C47" s="9">
        <f t="shared" si="0"/>
        <v>1.1400338523483999E-2</v>
      </c>
      <c r="E47" s="371">
        <v>36</v>
      </c>
      <c r="F47" s="371">
        <v>11684</v>
      </c>
      <c r="G47" s="9">
        <f t="shared" si="1"/>
        <v>6.5248809951951323E-3</v>
      </c>
    </row>
    <row r="48" spans="1:7" x14ac:dyDescent="0.25">
      <c r="A48">
        <v>37</v>
      </c>
      <c r="B48" s="6">
        <v>17439.143684639199</v>
      </c>
      <c r="C48" s="9">
        <f t="shared" si="0"/>
        <v>1.0219081184731646E-2</v>
      </c>
      <c r="E48" s="371">
        <v>37</v>
      </c>
      <c r="F48" s="371">
        <v>13299</v>
      </c>
      <c r="G48" s="9">
        <f t="shared" si="1"/>
        <v>7.4267709992382799E-3</v>
      </c>
    </row>
    <row r="49" spans="1:7" x14ac:dyDescent="0.25">
      <c r="A49">
        <v>38</v>
      </c>
      <c r="B49" s="6">
        <v>18335.153339625802</v>
      </c>
      <c r="C49" s="9">
        <f t="shared" si="0"/>
        <v>1.0744129637350145E-2</v>
      </c>
      <c r="E49" s="371">
        <v>38</v>
      </c>
      <c r="F49" s="371">
        <v>12164</v>
      </c>
      <c r="G49" s="9">
        <f t="shared" si="1"/>
        <v>6.7929349902048604E-3</v>
      </c>
    </row>
    <row r="50" spans="1:7" x14ac:dyDescent="0.25">
      <c r="A50">
        <v>39</v>
      </c>
      <c r="B50" s="6">
        <v>4167.0391510542004</v>
      </c>
      <c r="C50" s="9">
        <f t="shared" si="0"/>
        <v>2.4418235295627774E-3</v>
      </c>
      <c r="E50" s="371">
        <v>39</v>
      </c>
      <c r="F50" s="371">
        <v>11710</v>
      </c>
      <c r="G50" s="9">
        <f t="shared" si="1"/>
        <v>6.5394005865914923E-3</v>
      </c>
    </row>
    <row r="51" spans="1:7" x14ac:dyDescent="0.25">
      <c r="A51">
        <v>40</v>
      </c>
      <c r="B51" s="6">
        <v>7278.7932509961001</v>
      </c>
      <c r="C51" s="9">
        <f t="shared" si="0"/>
        <v>4.2652655717450071E-3</v>
      </c>
      <c r="E51" s="371">
        <v>40</v>
      </c>
      <c r="F51" s="371">
        <v>9244</v>
      </c>
      <c r="G51" s="9">
        <f t="shared" si="1"/>
        <v>5.1622731872290138E-3</v>
      </c>
    </row>
    <row r="52" spans="1:7" x14ac:dyDescent="0.25">
      <c r="A52">
        <v>41</v>
      </c>
      <c r="B52" s="6">
        <v>5349.7895883290003</v>
      </c>
      <c r="C52" s="9">
        <f t="shared" si="0"/>
        <v>3.134897854676241E-3</v>
      </c>
      <c r="E52" s="371">
        <v>41</v>
      </c>
      <c r="F52" s="371">
        <v>8792</v>
      </c>
      <c r="G52" s="9">
        <f t="shared" si="1"/>
        <v>4.9098556752615206E-3</v>
      </c>
    </row>
    <row r="53" spans="1:7" x14ac:dyDescent="0.25">
      <c r="A53">
        <v>42</v>
      </c>
      <c r="B53" s="6">
        <v>8051.5280820192002</v>
      </c>
      <c r="C53" s="9">
        <f t="shared" si="0"/>
        <v>4.7180767943195701E-3</v>
      </c>
      <c r="E53" s="371">
        <v>42</v>
      </c>
      <c r="F53" s="371">
        <v>7065</v>
      </c>
      <c r="G53" s="9">
        <f t="shared" si="1"/>
        <v>3.9454197390494357E-3</v>
      </c>
    </row>
    <row r="54" spans="1:7" x14ac:dyDescent="0.25">
      <c r="A54">
        <v>43</v>
      </c>
      <c r="B54" s="6">
        <v>3386.0244571352</v>
      </c>
      <c r="C54" s="9">
        <f t="shared" si="0"/>
        <v>1.9841604293581111E-3</v>
      </c>
      <c r="E54" s="371">
        <v>43</v>
      </c>
      <c r="F54" s="371">
        <v>6937</v>
      </c>
      <c r="G54" s="9">
        <f t="shared" si="1"/>
        <v>3.8739386737135085E-3</v>
      </c>
    </row>
    <row r="55" spans="1:7" x14ac:dyDescent="0.25">
      <c r="A55">
        <v>44</v>
      </c>
      <c r="B55" s="6">
        <v>2497.7442771053002</v>
      </c>
      <c r="C55" s="9">
        <f t="shared" si="0"/>
        <v>1.463641335148848E-3</v>
      </c>
      <c r="E55" s="371">
        <v>44</v>
      </c>
      <c r="F55" s="371">
        <v>6245</v>
      </c>
      <c r="G55" s="9">
        <f t="shared" si="1"/>
        <v>3.4874941642411505E-3</v>
      </c>
    </row>
    <row r="56" spans="1:7" x14ac:dyDescent="0.25">
      <c r="A56">
        <v>45</v>
      </c>
      <c r="B56" s="6">
        <v>53948.408006204103</v>
      </c>
      <c r="C56" s="9">
        <f t="shared" si="0"/>
        <v>3.1612972011236251E-2</v>
      </c>
      <c r="E56" s="371">
        <v>45</v>
      </c>
      <c r="F56" s="371">
        <v>6716</v>
      </c>
      <c r="G56" s="9">
        <f t="shared" si="1"/>
        <v>3.7505221468444459E-3</v>
      </c>
    </row>
    <row r="57" spans="1:7" x14ac:dyDescent="0.25">
      <c r="A57">
        <v>46</v>
      </c>
      <c r="B57" s="6">
        <v>6923.3587785404998</v>
      </c>
      <c r="C57" s="9">
        <f t="shared" si="0"/>
        <v>4.0569862092052402E-3</v>
      </c>
      <c r="E57" s="371">
        <v>46</v>
      </c>
      <c r="F57" s="371">
        <v>5022</v>
      </c>
      <c r="G57" s="9">
        <f t="shared" si="1"/>
        <v>2.8045149227892805E-3</v>
      </c>
    </row>
    <row r="58" spans="1:7" x14ac:dyDescent="0.25">
      <c r="A58">
        <v>47</v>
      </c>
      <c r="B58" s="6">
        <v>3929.6750976079002</v>
      </c>
      <c r="C58" s="9">
        <f t="shared" si="0"/>
        <v>2.3027316924652207E-3</v>
      </c>
      <c r="E58" s="371">
        <v>47</v>
      </c>
      <c r="F58" s="371">
        <v>6524</v>
      </c>
      <c r="G58" s="9">
        <f t="shared" si="1"/>
        <v>3.643300548840555E-3</v>
      </c>
    </row>
    <row r="59" spans="1:7" x14ac:dyDescent="0.25">
      <c r="A59">
        <v>48</v>
      </c>
      <c r="B59" s="6">
        <v>17507.042086426602</v>
      </c>
      <c r="C59" s="9">
        <f t="shared" si="0"/>
        <v>1.0258868647506563E-2</v>
      </c>
      <c r="E59" s="371">
        <v>48</v>
      </c>
      <c r="F59" s="371">
        <v>5974</v>
      </c>
      <c r="G59" s="9">
        <f t="shared" si="1"/>
        <v>3.3361553462252411E-3</v>
      </c>
    </row>
    <row r="60" spans="1:7" x14ac:dyDescent="0.25">
      <c r="A60">
        <v>49</v>
      </c>
      <c r="B60" s="6">
        <v>7260.8377199875003</v>
      </c>
      <c r="C60" s="9">
        <f t="shared" si="0"/>
        <v>4.2547438951988431E-3</v>
      </c>
      <c r="E60" s="371">
        <v>49</v>
      </c>
      <c r="F60" s="371">
        <v>4407</v>
      </c>
      <c r="G60" s="9">
        <f t="shared" si="1"/>
        <v>2.4610707416830662E-3</v>
      </c>
    </row>
    <row r="61" spans="1:7" x14ac:dyDescent="0.25">
      <c r="A61">
        <v>50</v>
      </c>
      <c r="B61" s="6">
        <v>745.499793006</v>
      </c>
      <c r="C61" s="9">
        <f t="shared" si="0"/>
        <v>4.3685189168085967E-4</v>
      </c>
      <c r="E61" s="371">
        <v>50</v>
      </c>
      <c r="F61" s="371">
        <v>4433</v>
      </c>
      <c r="G61" s="9">
        <f t="shared" si="1"/>
        <v>2.4755903330794266E-3</v>
      </c>
    </row>
    <row r="62" spans="1:7" x14ac:dyDescent="0.25">
      <c r="A62">
        <v>51</v>
      </c>
      <c r="B62" s="6">
        <v>10964.093927625401</v>
      </c>
      <c r="C62" s="9">
        <f t="shared" si="0"/>
        <v>6.4247974550560799E-3</v>
      </c>
      <c r="E62" s="371">
        <v>51</v>
      </c>
      <c r="F62" s="371">
        <v>5553</v>
      </c>
      <c r="G62" s="9">
        <f t="shared" si="1"/>
        <v>3.1010496547687924E-3</v>
      </c>
    </row>
    <row r="63" spans="1:7" x14ac:dyDescent="0.25">
      <c r="A63">
        <v>52</v>
      </c>
      <c r="B63" s="6">
        <v>4978.2120747737999</v>
      </c>
      <c r="C63" s="9">
        <f t="shared" si="0"/>
        <v>2.9171589079648864E-3</v>
      </c>
      <c r="E63" s="371">
        <v>52</v>
      </c>
      <c r="F63" s="371">
        <v>3457</v>
      </c>
      <c r="G63" s="9">
        <f t="shared" si="1"/>
        <v>1.9305472098929794E-3</v>
      </c>
    </row>
    <row r="64" spans="1:7" x14ac:dyDescent="0.25">
      <c r="A64">
        <v>53</v>
      </c>
      <c r="B64" s="6">
        <v>1480.5867408828999</v>
      </c>
      <c r="C64" s="9">
        <f t="shared" si="0"/>
        <v>8.6760200957840912E-4</v>
      </c>
      <c r="E64" s="371">
        <v>53</v>
      </c>
      <c r="F64" s="371">
        <v>3778</v>
      </c>
      <c r="G64" s="9">
        <f t="shared" si="1"/>
        <v>2.1098083190557353E-3</v>
      </c>
    </row>
    <row r="65" spans="1:7" x14ac:dyDescent="0.25">
      <c r="A65">
        <v>54</v>
      </c>
      <c r="B65" s="6">
        <v>22755.619428005801</v>
      </c>
      <c r="C65" s="9">
        <f t="shared" si="0"/>
        <v>1.3334457617232429E-2</v>
      </c>
      <c r="E65" s="371">
        <v>54</v>
      </c>
      <c r="F65" s="371">
        <v>3093</v>
      </c>
      <c r="G65" s="9">
        <f t="shared" si="1"/>
        <v>1.7272729303439355E-3</v>
      </c>
    </row>
    <row r="66" spans="1:7" x14ac:dyDescent="0.25">
      <c r="A66">
        <v>55</v>
      </c>
      <c r="B66" s="6">
        <v>334.505088392</v>
      </c>
      <c r="C66" s="9">
        <f t="shared" si="0"/>
        <v>1.9601505193139911E-4</v>
      </c>
      <c r="E66" s="371">
        <v>55</v>
      </c>
      <c r="F66" s="371">
        <v>2873</v>
      </c>
      <c r="G66" s="9">
        <f t="shared" si="1"/>
        <v>1.6044148492978102E-3</v>
      </c>
    </row>
    <row r="67" spans="1:7" x14ac:dyDescent="0.25">
      <c r="A67">
        <v>56</v>
      </c>
      <c r="B67" s="6">
        <v>8196.8429289002997</v>
      </c>
      <c r="C67" s="9">
        <f t="shared" si="0"/>
        <v>4.8032291529719511E-3</v>
      </c>
      <c r="E67" s="371">
        <v>56</v>
      </c>
      <c r="F67" s="371">
        <v>2668</v>
      </c>
      <c r="G67" s="9">
        <f t="shared" si="1"/>
        <v>1.4899334555957388E-3</v>
      </c>
    </row>
    <row r="68" spans="1:7" x14ac:dyDescent="0.25">
      <c r="A68">
        <v>57</v>
      </c>
      <c r="B68" s="6">
        <v>2037.2240373599998</v>
      </c>
      <c r="C68" s="9">
        <f t="shared" si="0"/>
        <v>1.1937832617094659E-3</v>
      </c>
      <c r="E68" s="371">
        <v>57</v>
      </c>
      <c r="F68" s="371">
        <v>2860</v>
      </c>
      <c r="G68" s="9">
        <f t="shared" si="1"/>
        <v>1.59715505359963E-3</v>
      </c>
    </row>
    <row r="69" spans="1:7" x14ac:dyDescent="0.25">
      <c r="A69">
        <v>58</v>
      </c>
      <c r="B69" s="6">
        <v>3553.0490430719997</v>
      </c>
      <c r="C69" s="9">
        <f t="shared" si="0"/>
        <v>2.0820343751435208E-3</v>
      </c>
      <c r="E69" s="371">
        <v>58</v>
      </c>
      <c r="F69" s="371">
        <v>2499</v>
      </c>
      <c r="G69" s="9">
        <f t="shared" si="1"/>
        <v>1.3955561115193971E-3</v>
      </c>
    </row>
    <row r="70" spans="1:7" x14ac:dyDescent="0.25">
      <c r="A70">
        <v>59</v>
      </c>
      <c r="B70" s="6">
        <v>19937.523789111601</v>
      </c>
      <c r="C70" s="9">
        <f t="shared" si="0"/>
        <v>1.1683095105346925E-2</v>
      </c>
      <c r="E70" s="371">
        <v>59</v>
      </c>
      <c r="F70" s="371">
        <v>2499</v>
      </c>
      <c r="G70" s="9">
        <f t="shared" si="1"/>
        <v>1.3955561115193971E-3</v>
      </c>
    </row>
    <row r="71" spans="1:7" x14ac:dyDescent="0.25">
      <c r="A71">
        <v>60</v>
      </c>
      <c r="B71" s="6">
        <v>15085.353204798701</v>
      </c>
      <c r="C71" s="9">
        <f t="shared" si="0"/>
        <v>8.8397946532188954E-3</v>
      </c>
      <c r="E71" s="371">
        <v>60</v>
      </c>
      <c r="F71" s="371">
        <v>2605</v>
      </c>
      <c r="G71" s="9">
        <f t="shared" si="1"/>
        <v>1.454751368750712E-3</v>
      </c>
    </row>
    <row r="72" spans="1:7" x14ac:dyDescent="0.25">
      <c r="A72">
        <v>61</v>
      </c>
      <c r="B72" s="6">
        <v>10052.4940107454</v>
      </c>
      <c r="C72" s="9">
        <f t="shared" si="0"/>
        <v>5.8906133387340819E-3</v>
      </c>
      <c r="E72" s="371">
        <v>61</v>
      </c>
      <c r="F72" s="371">
        <v>2095</v>
      </c>
      <c r="G72" s="9">
        <f t="shared" si="1"/>
        <v>1.1699439990528759E-3</v>
      </c>
    </row>
    <row r="73" spans="1:7" x14ac:dyDescent="0.25">
      <c r="A73">
        <v>62</v>
      </c>
      <c r="B73" s="6">
        <v>2169.815863151</v>
      </c>
      <c r="C73" s="9">
        <f t="shared" si="0"/>
        <v>1.2714801175122833E-3</v>
      </c>
      <c r="E73" s="371">
        <v>62</v>
      </c>
      <c r="F73" s="371">
        <v>2021</v>
      </c>
      <c r="G73" s="9">
        <f t="shared" si="1"/>
        <v>1.1286190081555428E-3</v>
      </c>
    </row>
    <row r="74" spans="1:7" x14ac:dyDescent="0.25">
      <c r="A74">
        <v>63</v>
      </c>
      <c r="B74" s="6">
        <v>210.14965919100001</v>
      </c>
      <c r="C74" s="9">
        <f t="shared" si="0"/>
        <v>1.2314460314402455E-4</v>
      </c>
      <c r="E74" s="371">
        <v>63</v>
      </c>
      <c r="F74" s="371">
        <v>2041</v>
      </c>
      <c r="G74" s="9">
        <f t="shared" si="1"/>
        <v>1.1397879246142814E-3</v>
      </c>
    </row>
    <row r="75" spans="1:7" x14ac:dyDescent="0.25">
      <c r="A75">
        <v>64</v>
      </c>
      <c r="B75" s="6">
        <v>909.11516691099996</v>
      </c>
      <c r="C75" s="9">
        <f t="shared" si="0"/>
        <v>5.3272808945989132E-4</v>
      </c>
      <c r="E75" s="371">
        <v>64</v>
      </c>
      <c r="F75" s="371">
        <v>1902</v>
      </c>
      <c r="G75" s="9">
        <f t="shared" si="1"/>
        <v>1.0621639552260476E-3</v>
      </c>
    </row>
    <row r="76" spans="1:7" x14ac:dyDescent="0.25">
      <c r="A76">
        <v>65</v>
      </c>
      <c r="B76" s="6">
        <v>927.89834199400002</v>
      </c>
      <c r="C76" s="9">
        <f t="shared" si="0"/>
        <v>5.4373475323600767E-4</v>
      </c>
      <c r="E76" s="371">
        <v>65</v>
      </c>
      <c r="F76" s="371">
        <v>1813</v>
      </c>
      <c r="G76" s="9">
        <f t="shared" si="1"/>
        <v>1.0124622769846607E-3</v>
      </c>
    </row>
    <row r="77" spans="1:7" x14ac:dyDescent="0.25">
      <c r="A77">
        <v>66</v>
      </c>
      <c r="B77" s="6">
        <v>1452.8002120159999</v>
      </c>
      <c r="C77" s="9">
        <f t="shared" ref="C77:C102" si="2">B77/B$102</f>
        <v>8.5131951317448003E-4</v>
      </c>
      <c r="E77" s="371">
        <v>66</v>
      </c>
      <c r="F77" s="371">
        <v>1661</v>
      </c>
      <c r="G77" s="9">
        <f t="shared" ref="G77:G102" si="3">F77/F$102</f>
        <v>9.2757851189824675E-4</v>
      </c>
    </row>
    <row r="78" spans="1:7" x14ac:dyDescent="0.25">
      <c r="A78">
        <v>67</v>
      </c>
      <c r="B78" s="6">
        <v>437.38925527129999</v>
      </c>
      <c r="C78" s="9">
        <f t="shared" si="2"/>
        <v>2.5630365743724894E-4</v>
      </c>
      <c r="E78" s="371">
        <v>67</v>
      </c>
      <c r="F78" s="371">
        <v>1738</v>
      </c>
      <c r="G78" s="9">
        <f t="shared" si="3"/>
        <v>9.7057884026439055E-4</v>
      </c>
    </row>
    <row r="79" spans="1:7" x14ac:dyDescent="0.25">
      <c r="A79">
        <v>68</v>
      </c>
      <c r="B79" s="6">
        <v>216.45170917600001</v>
      </c>
      <c r="C79" s="9">
        <f t="shared" si="2"/>
        <v>1.2683751155693462E-4</v>
      </c>
      <c r="E79" s="371">
        <v>68</v>
      </c>
      <c r="F79" s="371">
        <v>1684</v>
      </c>
      <c r="G79" s="9">
        <f t="shared" si="3"/>
        <v>9.4042276582579623E-4</v>
      </c>
    </row>
    <row r="80" spans="1:7" x14ac:dyDescent="0.25">
      <c r="A80">
        <v>69</v>
      </c>
      <c r="B80" s="6">
        <v>6926.1072900615</v>
      </c>
      <c r="C80" s="9">
        <f t="shared" si="2"/>
        <v>4.0585967964495559E-3</v>
      </c>
      <c r="E80" s="371">
        <v>69</v>
      </c>
      <c r="F80" s="371">
        <v>1492</v>
      </c>
      <c r="G80" s="9">
        <f t="shared" si="3"/>
        <v>8.3320116782190491E-4</v>
      </c>
    </row>
    <row r="81" spans="1:7" x14ac:dyDescent="0.25">
      <c r="A81">
        <v>70</v>
      </c>
      <c r="B81" s="6">
        <v>4848.6279832350001</v>
      </c>
      <c r="C81" s="9">
        <f t="shared" si="2"/>
        <v>2.8412245401064976E-3</v>
      </c>
      <c r="E81" s="371">
        <v>70</v>
      </c>
      <c r="F81" s="371">
        <v>1576</v>
      </c>
      <c r="G81" s="9">
        <f t="shared" si="3"/>
        <v>8.8011061694860736E-4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1520</v>
      </c>
      <c r="G82" s="9">
        <f t="shared" si="3"/>
        <v>8.4883765086413902E-4</v>
      </c>
    </row>
    <row r="83" spans="1:7" x14ac:dyDescent="0.25">
      <c r="A83">
        <v>72</v>
      </c>
      <c r="B83" s="6">
        <v>22938.652547129201</v>
      </c>
      <c r="C83" s="9">
        <f t="shared" si="2"/>
        <v>1.3441712327534759E-2</v>
      </c>
      <c r="E83" s="371">
        <v>72</v>
      </c>
      <c r="F83" s="371">
        <v>1635</v>
      </c>
      <c r="G83" s="9">
        <f t="shared" si="3"/>
        <v>9.1305892050188642E-4</v>
      </c>
    </row>
    <row r="84" spans="1:7" x14ac:dyDescent="0.25">
      <c r="A84">
        <v>73</v>
      </c>
      <c r="B84" s="6">
        <v>670.27665725600002</v>
      </c>
      <c r="C84" s="9">
        <f t="shared" si="2"/>
        <v>3.9277224275426482E-4</v>
      </c>
      <c r="E84" s="371">
        <v>73</v>
      </c>
      <c r="F84" s="371">
        <v>1321</v>
      </c>
      <c r="G84" s="9">
        <f t="shared" si="3"/>
        <v>7.3770693209968929E-4</v>
      </c>
    </row>
    <row r="85" spans="1:7" x14ac:dyDescent="0.25">
      <c r="A85">
        <v>74</v>
      </c>
      <c r="B85" s="6">
        <v>6789.006051028</v>
      </c>
      <c r="C85" s="9">
        <f t="shared" si="2"/>
        <v>3.9782574909454273E-3</v>
      </c>
      <c r="E85" s="371">
        <v>74</v>
      </c>
      <c r="F85" s="371">
        <v>1256</v>
      </c>
      <c r="G85" s="9">
        <f t="shared" si="3"/>
        <v>7.0140795360878864E-4</v>
      </c>
    </row>
    <row r="86" spans="1:7" x14ac:dyDescent="0.25">
      <c r="A86">
        <v>75</v>
      </c>
      <c r="B86" s="6">
        <v>7010.7300745952998</v>
      </c>
      <c r="C86" s="9">
        <f t="shared" si="2"/>
        <v>4.1081845010333918E-3</v>
      </c>
      <c r="E86" s="371">
        <v>75</v>
      </c>
      <c r="F86" s="371">
        <v>1301</v>
      </c>
      <c r="G86" s="9">
        <f t="shared" si="3"/>
        <v>7.2653801564095065E-4</v>
      </c>
    </row>
    <row r="87" spans="1:7" x14ac:dyDescent="0.25">
      <c r="A87">
        <v>76</v>
      </c>
      <c r="B87" s="6">
        <v>9914.513539693</v>
      </c>
      <c r="C87" s="9">
        <f t="shared" si="2"/>
        <v>5.8097588162248151E-3</v>
      </c>
      <c r="E87" s="371">
        <v>76</v>
      </c>
      <c r="F87" s="371">
        <v>1155</v>
      </c>
      <c r="G87" s="9">
        <f t="shared" si="3"/>
        <v>6.450049254921583E-4</v>
      </c>
    </row>
    <row r="88" spans="1:7" x14ac:dyDescent="0.25">
      <c r="A88">
        <v>77</v>
      </c>
      <c r="B88" s="6">
        <v>1693.4946664940001</v>
      </c>
      <c r="C88" s="9">
        <f t="shared" si="2"/>
        <v>9.9236291619385635E-4</v>
      </c>
      <c r="E88" s="371">
        <v>77</v>
      </c>
      <c r="F88" s="371">
        <v>1089</v>
      </c>
      <c r="G88" s="9">
        <f t="shared" si="3"/>
        <v>6.081475011783207E-4</v>
      </c>
    </row>
    <row r="89" spans="1:7" x14ac:dyDescent="0.25">
      <c r="A89">
        <v>78</v>
      </c>
      <c r="B89" s="6">
        <v>3658.3360445950002</v>
      </c>
      <c r="C89" s="9">
        <f t="shared" si="2"/>
        <v>2.1437310063381026E-3</v>
      </c>
      <c r="E89" s="371">
        <v>78</v>
      </c>
      <c r="F89" s="371">
        <v>1076</v>
      </c>
      <c r="G89" s="9">
        <f t="shared" si="3"/>
        <v>6.008877054801406E-4</v>
      </c>
    </row>
    <row r="90" spans="1:7" x14ac:dyDescent="0.25">
      <c r="A90">
        <v>79</v>
      </c>
      <c r="B90" s="6">
        <v>815.65893133999998</v>
      </c>
      <c r="C90" s="9">
        <f t="shared" si="2"/>
        <v>4.7796411275381756E-4</v>
      </c>
      <c r="E90" s="371">
        <v>79</v>
      </c>
      <c r="F90" s="371">
        <v>959</v>
      </c>
      <c r="G90" s="9">
        <f t="shared" si="3"/>
        <v>5.355495441965193E-4</v>
      </c>
    </row>
    <row r="91" spans="1:7" x14ac:dyDescent="0.25">
      <c r="A91">
        <v>80</v>
      </c>
      <c r="B91" s="6">
        <v>17566.853554128698</v>
      </c>
      <c r="C91" s="9">
        <f t="shared" si="2"/>
        <v>1.0293917286091039E-2</v>
      </c>
      <c r="E91" s="371">
        <v>80</v>
      </c>
      <c r="F91" s="371">
        <v>1030</v>
      </c>
      <c r="G91" s="9">
        <f t="shared" si="3"/>
        <v>5.7519919762504164E-4</v>
      </c>
    </row>
    <row r="92" spans="1:7" x14ac:dyDescent="0.25">
      <c r="A92">
        <v>81</v>
      </c>
      <c r="B92" s="6">
        <v>1969.6146971590001</v>
      </c>
      <c r="C92" s="9">
        <f t="shared" si="2"/>
        <v>1.1541651847640523E-3</v>
      </c>
      <c r="E92" s="371">
        <v>81</v>
      </c>
      <c r="F92" s="371">
        <v>908</v>
      </c>
      <c r="G92" s="9">
        <f t="shared" si="3"/>
        <v>5.0706880722673571E-4</v>
      </c>
    </row>
    <row r="93" spans="1:7" x14ac:dyDescent="0.25">
      <c r="A93">
        <v>82</v>
      </c>
      <c r="B93" s="6">
        <v>12908.516398837501</v>
      </c>
      <c r="C93" s="9">
        <f t="shared" si="2"/>
        <v>7.5642003666930267E-3</v>
      </c>
      <c r="E93" s="371">
        <v>82</v>
      </c>
      <c r="F93" s="371">
        <v>865</v>
      </c>
      <c r="G93" s="9">
        <f t="shared" si="3"/>
        <v>4.8305563684044754E-4</v>
      </c>
    </row>
    <row r="94" spans="1:7" x14ac:dyDescent="0.25">
      <c r="A94">
        <v>83</v>
      </c>
      <c r="B94" s="6">
        <v>1983.3277993009001</v>
      </c>
      <c r="C94" s="9">
        <f t="shared" si="2"/>
        <v>1.1622008605183629E-3</v>
      </c>
      <c r="E94" s="371">
        <v>83</v>
      </c>
      <c r="F94" s="371">
        <v>901</v>
      </c>
      <c r="G94" s="9">
        <f t="shared" si="3"/>
        <v>5.0315968646617718E-4</v>
      </c>
    </row>
    <row r="95" spans="1:7" x14ac:dyDescent="0.25">
      <c r="A95">
        <v>84</v>
      </c>
      <c r="B95" s="6">
        <v>5913.2443083910994</v>
      </c>
      <c r="C95" s="9">
        <f t="shared" si="2"/>
        <v>3.4650740165543389E-3</v>
      </c>
      <c r="E95" s="371">
        <v>84</v>
      </c>
      <c r="F95" s="371">
        <v>947</v>
      </c>
      <c r="G95" s="9">
        <f t="shared" si="3"/>
        <v>5.2884819432127614E-4</v>
      </c>
    </row>
    <row r="96" spans="1:7" x14ac:dyDescent="0.25">
      <c r="A96">
        <v>85</v>
      </c>
      <c r="B96" s="6">
        <v>1408.8821269998</v>
      </c>
      <c r="C96" s="9">
        <f t="shared" si="2"/>
        <v>8.2558416261057537E-4</v>
      </c>
      <c r="E96" s="371">
        <v>85</v>
      </c>
      <c r="F96" s="371">
        <v>786</v>
      </c>
      <c r="G96" s="9">
        <f t="shared" si="3"/>
        <v>4.3893841682842978E-4</v>
      </c>
    </row>
    <row r="97" spans="1:7" x14ac:dyDescent="0.25">
      <c r="A97">
        <v>86</v>
      </c>
      <c r="B97" s="6">
        <v>1571.3901850463999</v>
      </c>
      <c r="C97" s="9">
        <f t="shared" si="2"/>
        <v>9.2081148961597505E-4</v>
      </c>
      <c r="E97" s="371">
        <v>86</v>
      </c>
      <c r="F97" s="371">
        <v>699</v>
      </c>
      <c r="G97" s="9">
        <f t="shared" si="3"/>
        <v>3.903536302329166E-4</v>
      </c>
    </row>
    <row r="98" spans="1:7" x14ac:dyDescent="0.25">
      <c r="A98">
        <v>87</v>
      </c>
      <c r="B98" s="6">
        <v>4902.1787563389998</v>
      </c>
      <c r="C98" s="9">
        <f t="shared" si="2"/>
        <v>2.8726045039253025E-3</v>
      </c>
      <c r="E98" s="371">
        <v>87</v>
      </c>
      <c r="F98" s="371">
        <v>770</v>
      </c>
      <c r="G98" s="9">
        <f t="shared" si="3"/>
        <v>4.3000328366143888E-4</v>
      </c>
    </row>
    <row r="99" spans="1:7" x14ac:dyDescent="0.25">
      <c r="A99">
        <v>88</v>
      </c>
      <c r="B99" s="6">
        <v>5592.4941541029002</v>
      </c>
      <c r="C99" s="9">
        <f t="shared" si="2"/>
        <v>3.2771191532904131E-3</v>
      </c>
      <c r="E99" s="371">
        <v>88</v>
      </c>
      <c r="F99" s="371">
        <v>733</v>
      </c>
      <c r="G99" s="9">
        <f t="shared" si="3"/>
        <v>4.0934078821277235E-4</v>
      </c>
    </row>
    <row r="100" spans="1:7" x14ac:dyDescent="0.25">
      <c r="A100">
        <v>89</v>
      </c>
      <c r="B100" s="6">
        <v>5038.3174449458002</v>
      </c>
      <c r="C100" s="9">
        <f t="shared" si="2"/>
        <v>2.9523797690652531E-3</v>
      </c>
      <c r="E100" s="371">
        <v>89</v>
      </c>
      <c r="F100" s="371">
        <v>655</v>
      </c>
      <c r="G100" s="9">
        <f t="shared" si="3"/>
        <v>3.6578201402369148E-4</v>
      </c>
    </row>
    <row r="101" spans="1:7" ht="15.75" thickBot="1" x14ac:dyDescent="0.3">
      <c r="A101" s="1">
        <v>90</v>
      </c>
      <c r="B101" s="7">
        <v>140651.5372882614</v>
      </c>
      <c r="C101" s="9">
        <f t="shared" si="2"/>
        <v>8.2419727957863356E-2</v>
      </c>
      <c r="E101" s="372">
        <v>90</v>
      </c>
      <c r="F101" s="372">
        <v>52601</v>
      </c>
      <c r="G101" s="9">
        <f t="shared" si="3"/>
        <v>2.9374808732305645E-2</v>
      </c>
    </row>
    <row r="102" spans="1:7" x14ac:dyDescent="0.25">
      <c r="B102" s="6">
        <f>SUM(B11:B101)</f>
        <v>1706527.5604909633</v>
      </c>
      <c r="C102" s="9">
        <f t="shared" si="2"/>
        <v>1</v>
      </c>
      <c r="F102" s="6">
        <f>SUM(F11:F101)</f>
        <v>1790684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2019-10-07T21:08:22Z</dcterms:modified>
</cp:coreProperties>
</file>