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B6B4C825-58B8-42E7-904E-F80A6132CF59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M54" i="6" s="1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M31" i="6" s="1"/>
  <c r="P30" i="6"/>
  <c r="O30" i="6"/>
  <c r="N30" i="6"/>
  <c r="M30" i="6" s="1"/>
  <c r="P29" i="6"/>
  <c r="O29" i="6"/>
  <c r="N29" i="6"/>
  <c r="M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Q79" i="6" l="1"/>
  <c r="Q84" i="6"/>
  <c r="Q78" i="6"/>
  <c r="Q80" i="6"/>
  <c r="D25" i="6"/>
  <c r="Q4" i="6"/>
  <c r="Q77" i="6"/>
  <c r="Q11" i="6"/>
  <c r="Q12" i="6"/>
  <c r="Q58" i="6"/>
  <c r="Q82" i="6"/>
  <c r="Q28" i="6"/>
  <c r="M12" i="6"/>
  <c r="Q13" i="6"/>
  <c r="Q14" i="6"/>
  <c r="Q15" i="6"/>
  <c r="Q22" i="6"/>
  <c r="Q17" i="6"/>
  <c r="Q16" i="6"/>
  <c r="Q18" i="6"/>
  <c r="Q10" i="6"/>
  <c r="Q47" i="6"/>
  <c r="Q48" i="6"/>
  <c r="Q49" i="6"/>
  <c r="Q50" i="6"/>
  <c r="Q98" i="6"/>
  <c r="Q53" i="6"/>
  <c r="Q54" i="6"/>
  <c r="Q75" i="6"/>
  <c r="Q70" i="6"/>
  <c r="Q38" i="6"/>
  <c r="Q43" i="6"/>
  <c r="Q103" i="6"/>
  <c r="Q99" i="6"/>
  <c r="Q41" i="6"/>
  <c r="Q37" i="6"/>
  <c r="Q6" i="6"/>
  <c r="Q71" i="6"/>
  <c r="Q72" i="6"/>
  <c r="Q8" i="6"/>
  <c r="Q44" i="6"/>
  <c r="Q73" i="6"/>
  <c r="Q104" i="6"/>
  <c r="Q45" i="6"/>
  <c r="Q51" i="6"/>
  <c r="Q57" i="6"/>
  <c r="Q81" i="6"/>
  <c r="Q93" i="6"/>
  <c r="Q101" i="6"/>
  <c r="Q102" i="6"/>
  <c r="Q7" i="6"/>
  <c r="Q9" i="6"/>
  <c r="Q46" i="6"/>
  <c r="Q74" i="6"/>
  <c r="Q85" i="6"/>
  <c r="Q59" i="6"/>
  <c r="Q29" i="6"/>
  <c r="Q21" i="6"/>
  <c r="Q60" i="6"/>
  <c r="Q88" i="6"/>
  <c r="Q26" i="6"/>
  <c r="Q61" i="6"/>
  <c r="Q89" i="6"/>
  <c r="Q83" i="6"/>
  <c r="Q86" i="6"/>
  <c r="Q87" i="6"/>
  <c r="Q27" i="6"/>
  <c r="Q90" i="6"/>
  <c r="Q55" i="6"/>
  <c r="Q20" i="6"/>
  <c r="Q23" i="6"/>
  <c r="Q62" i="6"/>
  <c r="Q30" i="6"/>
  <c r="Q63" i="6"/>
  <c r="Q91" i="6"/>
  <c r="Q31" i="6"/>
  <c r="Q64" i="6"/>
  <c r="Q92" i="6"/>
  <c r="Q94" i="6"/>
  <c r="Q19" i="6"/>
  <c r="Q33" i="6"/>
  <c r="Q95" i="6"/>
  <c r="Q67" i="6"/>
  <c r="Q25" i="6"/>
  <c r="Q35" i="6"/>
  <c r="Q68" i="6"/>
  <c r="Q97" i="6"/>
  <c r="Q56" i="6"/>
  <c r="Q32" i="6"/>
  <c r="Q65" i="6"/>
  <c r="Q66" i="6"/>
  <c r="Q34" i="6"/>
  <c r="Q96" i="6"/>
  <c r="Q3" i="6"/>
  <c r="Q36" i="6"/>
  <c r="Q69" i="6"/>
  <c r="M40" i="6"/>
  <c r="M42" i="6"/>
  <c r="Q24" i="6"/>
  <c r="Q52" i="6"/>
  <c r="Q76" i="6"/>
  <c r="Q100" i="6"/>
  <c r="D24" i="6"/>
  <c r="D26" i="6"/>
  <c r="Q5" i="6"/>
  <c r="D23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H15" i="1" l="1"/>
  <c r="J13" i="1"/>
  <c r="U13" i="1" l="1"/>
  <c r="S15" i="1"/>
  <c r="S28" i="1" s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U26" i="1" l="1"/>
  <c r="G26" i="1"/>
  <c r="C26" i="1"/>
  <c r="F26" i="1"/>
  <c r="B26" i="1"/>
  <c r="H26" i="1"/>
  <c r="D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3" i="1" l="1"/>
  <c r="H25" i="1"/>
  <c r="H24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1" i="1" l="1"/>
  <c r="H20" i="1"/>
  <c r="H22" i="1"/>
  <c r="J24" i="1"/>
  <c r="J23" i="1"/>
  <c r="U22" i="1"/>
  <c r="U20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4" i="6" s="1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D4" i="6" s="1"/>
  <c r="G6" i="6" l="1"/>
  <c r="G5" i="6"/>
  <c r="E28" i="1"/>
  <c r="S36" i="1"/>
  <c r="S38" i="1"/>
  <c r="S35" i="1"/>
  <c r="M39" i="1"/>
  <c r="O39" i="1"/>
  <c r="S37" i="1"/>
  <c r="N39" i="1"/>
  <c r="P39" i="1"/>
  <c r="S34" i="1"/>
  <c r="R39" i="1"/>
  <c r="S33" i="1"/>
  <c r="S39" i="1"/>
  <c r="Q39" i="1"/>
  <c r="D7" i="6"/>
  <c r="D5" i="6"/>
  <c r="G7" i="6"/>
  <c r="G8" i="6" s="1"/>
  <c r="D6" i="6"/>
  <c r="H28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D8" i="6" l="1"/>
  <c r="D15" i="6" s="1"/>
  <c r="G14" i="6"/>
  <c r="G12" i="6"/>
  <c r="G13" i="6"/>
  <c r="G15" i="6"/>
  <c r="G16" i="6"/>
  <c r="F32" i="4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D14" i="6" l="1"/>
  <c r="I14" i="6" s="1"/>
  <c r="J14" i="6" s="1"/>
  <c r="D12" i="6"/>
  <c r="I12" i="6" s="1"/>
  <c r="J12" i="6" s="1"/>
  <c r="K12" i="6" s="1"/>
  <c r="D33" i="6" s="1"/>
  <c r="D43" i="6" s="1"/>
  <c r="Q39" i="6" s="1"/>
  <c r="D13" i="6"/>
  <c r="I13" i="6" s="1"/>
  <c r="J13" i="6" s="1"/>
  <c r="D16" i="6"/>
  <c r="I15" i="6"/>
  <c r="J15" i="6" s="1"/>
  <c r="E39" i="1"/>
  <c r="AA39" i="1" s="1"/>
  <c r="H39" i="1"/>
  <c r="AD39" i="1" s="1"/>
  <c r="B39" i="1"/>
  <c r="X39" i="1" s="1"/>
  <c r="C39" i="1"/>
  <c r="Y39" i="1" s="1"/>
  <c r="D39" i="1"/>
  <c r="Z39" i="1" s="1"/>
  <c r="F39" i="1"/>
  <c r="AB39" i="1" s="1"/>
  <c r="G39" i="1"/>
  <c r="AC39" i="1" s="1"/>
  <c r="H37" i="1"/>
  <c r="AD37" i="1" s="1"/>
  <c r="H38" i="1"/>
  <c r="AD38" i="1" s="1"/>
  <c r="H36" i="1"/>
  <c r="AD36" i="1" s="1"/>
  <c r="H35" i="1"/>
  <c r="AD35" i="1" s="1"/>
  <c r="H33" i="1"/>
  <c r="AD33" i="1" s="1"/>
  <c r="H34" i="1"/>
  <c r="AD34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AE41" i="1" s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  <c r="K13" i="6" l="1"/>
  <c r="D34" i="6" s="1"/>
  <c r="D44" i="6" s="1"/>
  <c r="Q40" i="6" s="1"/>
  <c r="K15" i="6"/>
  <c r="D36" i="6" s="1"/>
  <c r="D46" i="6" s="1"/>
  <c r="Q42" i="6" s="1"/>
  <c r="K14" i="6"/>
  <c r="D35" i="6" s="1"/>
  <c r="D45" i="6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<sst xmlns="http://schemas.openxmlformats.org/spreadsheetml/2006/main" count="736" uniqueCount="288">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</sst>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56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0" fontId="5" fillId="4" borderId="5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7" fillId="4" borderId="0" xfId="0" applyFont="1" applyFill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3" xfId="0" applyFont="1" applyFill="1" applyBorder="1"/>
    <xf numFmtId="0" fontId="7" fillId="4" borderId="11" xfId="0" applyFont="1" applyFill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" xfId="0" applyFont="1" applyBorder="1"/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0" fillId="0" borderId="0" xfId="0" applyNumberFormat="1" applyFont="1" applyFill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0.19477466398115215</c:v>
                </c:pt>
                <c:pt idx="1">
                  <c:v>0.1211379359305903</c:v>
                </c:pt>
                <c:pt idx="2">
                  <c:v>5.5971400860087984E-2</c:v>
                </c:pt>
                <c:pt idx="3">
                  <c:v>0.14324859490567635</c:v>
                </c:pt>
                <c:pt idx="4">
                  <c:v>0.1959613433341772</c:v>
                </c:pt>
                <c:pt idx="5">
                  <c:v>0.10682144141510649</c:v>
                </c:pt>
                <c:pt idx="6">
                  <c:v>4.7019832236307076E-2</c:v>
                </c:pt>
                <c:pt idx="7">
                  <c:v>6.5006609592373624E-3</c:v>
                </c:pt>
                <c:pt idx="8">
                  <c:v>3.471027218499366E-2</c:v>
                </c:pt>
                <c:pt idx="9">
                  <c:v>8.6108040922837775E-3</c:v>
                </c:pt>
                <c:pt idx="10">
                  <c:v>3.5856687869014782E-2</c:v>
                </c:pt>
                <c:pt idx="11">
                  <c:v>0</c:v>
                </c:pt>
                <c:pt idx="12">
                  <c:v>7.2052406558508345E-3</c:v>
                </c:pt>
                <c:pt idx="13">
                  <c:v>7.9296370434108251E-3</c:v>
                </c:pt>
                <c:pt idx="14">
                  <c:v>3.4464279568013636E-3</c:v>
                </c:pt>
                <c:pt idx="15">
                  <c:v>0</c:v>
                </c:pt>
                <c:pt idx="16">
                  <c:v>2.0821558603629801E-3</c:v>
                </c:pt>
                <c:pt idx="17">
                  <c:v>1.314286543122483E-3</c:v>
                </c:pt>
                <c:pt idx="18">
                  <c:v>1.4367974097673336E-3</c:v>
                </c:pt>
                <c:pt idx="19">
                  <c:v>6.2459081704546058E-3</c:v>
                </c:pt>
                <c:pt idx="20">
                  <c:v>7.4594637105345862E-4</c:v>
                </c:pt>
                <c:pt idx="21">
                  <c:v>1.7769736543749818E-3</c:v>
                </c:pt>
                <c:pt idx="22">
                  <c:v>5.9419309214147299E-3</c:v>
                </c:pt>
                <c:pt idx="23">
                  <c:v>0</c:v>
                </c:pt>
                <c:pt idx="24">
                  <c:v>3.6135068826538872E-4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4.5314274349395224E-4</c:v>
                </c:pt>
                <c:pt idx="29">
                  <c:v>9.8829645606902656E-4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1.4958987092647189E-3</c:v>
                </c:pt>
                <c:pt idx="34">
                  <c:v>5.1340164912161649E-3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2.8283525564502458E-3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0.3416089687252149</c:v>
                </c:pt>
                <c:pt idx="1">
                  <c:v>0.1078776446378427</c:v>
                </c:pt>
                <c:pt idx="2">
                  <c:v>6.2888255342865101E-2</c:v>
                </c:pt>
                <c:pt idx="3">
                  <c:v>3.4927439926260961E-2</c:v>
                </c:pt>
                <c:pt idx="4">
                  <c:v>0.11069001736297185</c:v>
                </c:pt>
                <c:pt idx="5">
                  <c:v>7.282159010524962E-2</c:v>
                </c:pt>
                <c:pt idx="6">
                  <c:v>5.4905575443184501E-2</c:v>
                </c:pt>
                <c:pt idx="7">
                  <c:v>3.338406465027545E-2</c:v>
                </c:pt>
                <c:pt idx="8">
                  <c:v>3.1197616342629311E-2</c:v>
                </c:pt>
                <c:pt idx="9">
                  <c:v>1.9150714882853529E-2</c:v>
                </c:pt>
                <c:pt idx="10">
                  <c:v>1.2411309511050139E-2</c:v>
                </c:pt>
                <c:pt idx="11">
                  <c:v>1.3954684787035647E-2</c:v>
                </c:pt>
                <c:pt idx="12">
                  <c:v>1.0250584124670425E-2</c:v>
                </c:pt>
                <c:pt idx="13">
                  <c:v>1.1965445542432103E-2</c:v>
                </c:pt>
                <c:pt idx="14">
                  <c:v>7.9826798996806073E-3</c:v>
                </c:pt>
                <c:pt idx="15">
                  <c:v>9.1187755889477178E-3</c:v>
                </c:pt>
                <c:pt idx="16">
                  <c:v>8.1241559666459448E-3</c:v>
                </c:pt>
                <c:pt idx="17">
                  <c:v>6.5078990804055643E-3</c:v>
                </c:pt>
                <c:pt idx="18">
                  <c:v>5.9934406550770612E-3</c:v>
                </c:pt>
                <c:pt idx="19">
                  <c:v>4.4629268397247644E-3</c:v>
                </c:pt>
                <c:pt idx="20">
                  <c:v>4.4757883003579777E-3</c:v>
                </c:pt>
                <c:pt idx="21">
                  <c:v>3.3182568433688451E-3</c:v>
                </c:pt>
                <c:pt idx="22">
                  <c:v>3.249662386658378E-3</c:v>
                </c:pt>
                <c:pt idx="23">
                  <c:v>3.3697026859016957E-3</c:v>
                </c:pt>
                <c:pt idx="24">
                  <c:v>3.0610276307045936E-3</c:v>
                </c:pt>
                <c:pt idx="25">
                  <c:v>2.7009067329746414E-3</c:v>
                </c:pt>
                <c:pt idx="26">
                  <c:v>2.1735868470129259E-3</c:v>
                </c:pt>
                <c:pt idx="27">
                  <c:v>1.5305138153522968E-3</c:v>
                </c:pt>
                <c:pt idx="28">
                  <c:v>1.3847505948425542E-3</c:v>
                </c:pt>
                <c:pt idx="29">
                  <c:v>1.3590276735761292E-3</c:v>
                </c:pt>
                <c:pt idx="30">
                  <c:v>1.3204432916764915E-3</c:v>
                </c:pt>
                <c:pt idx="31">
                  <c:v>1.3590276735761292E-3</c:v>
                </c:pt>
                <c:pt idx="32">
                  <c:v>1.1060856144562818E-3</c:v>
                </c:pt>
                <c:pt idx="33">
                  <c:v>7.5453902381513794E-4</c:v>
                </c:pt>
                <c:pt idx="34">
                  <c:v>1.0160553900237937E-3</c:v>
                </c:pt>
                <c:pt idx="35">
                  <c:v>6.387858781162247E-4</c:v>
                </c:pt>
                <c:pt idx="36">
                  <c:v>8.2742063407000921E-4</c:v>
                </c:pt>
                <c:pt idx="37">
                  <c:v>6.5164733874943735E-4</c:v>
                </c:pt>
                <c:pt idx="38">
                  <c:v>7.6740048444835047E-4</c:v>
                </c:pt>
                <c:pt idx="39">
                  <c:v>7.5453902381513794E-4</c:v>
                </c:pt>
                <c:pt idx="40">
                  <c:v>4.6301258279565283E-4</c:v>
                </c:pt>
                <c:pt idx="41">
                  <c:v>3.6440805127435638E-4</c:v>
                </c:pt>
                <c:pt idx="42">
                  <c:v>5.5732996077254504E-4</c:v>
                </c:pt>
                <c:pt idx="43">
                  <c:v>2.3150629139782642E-4</c:v>
                </c:pt>
                <c:pt idx="44">
                  <c:v>2.3579344494223061E-4</c:v>
                </c:pt>
                <c:pt idx="45">
                  <c:v>2.7437782684186832E-4</c:v>
                </c:pt>
                <c:pt idx="46">
                  <c:v>3.0867505519710189E-4</c:v>
                </c:pt>
                <c:pt idx="47">
                  <c:v>1.8006044886497609E-4</c:v>
                </c:pt>
                <c:pt idx="48">
                  <c:v>1.8434760240938029E-4</c:v>
                </c:pt>
                <c:pt idx="49">
                  <c:v>1.5005037405414675E-4</c:v>
                </c:pt>
                <c:pt idx="50">
                  <c:v>1.0717883861010482E-4</c:v>
                </c:pt>
                <c:pt idx="51">
                  <c:v>9.0030224432488046E-5</c:v>
                </c:pt>
                <c:pt idx="52">
                  <c:v>9.0030224432488046E-5</c:v>
                </c:pt>
                <c:pt idx="53">
                  <c:v>9.0030224432488046E-5</c:v>
                </c:pt>
                <c:pt idx="54">
                  <c:v>1.0289168506570063E-4</c:v>
                </c:pt>
                <c:pt idx="55">
                  <c:v>7.7168763799275472E-5</c:v>
                </c:pt>
                <c:pt idx="56">
                  <c:v>5.1445842532850317E-5</c:v>
                </c:pt>
                <c:pt idx="57">
                  <c:v>2.5722921266425159E-5</c:v>
                </c:pt>
                <c:pt idx="58">
                  <c:v>8.1455917343679668E-5</c:v>
                </c:pt>
                <c:pt idx="59">
                  <c:v>5.1445842532850317E-5</c:v>
                </c:pt>
                <c:pt idx="60">
                  <c:v>8.574307088808385E-6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7648"/>
        <c:axId val="123750000"/>
      </c:lineChart>
      <c:catAx>
        <c:axId val="12374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3750000"/>
        <c:crosses val="autoZero"/>
        <c:auto val="1"/>
        <c:lblAlgn val="ctr"/>
        <c:lblOffset val="100"/>
        <c:tickLblSkip val="10"/>
        <c:noMultiLvlLbl val="0"/>
      </c:catAx>
      <c:valAx>
        <c:axId val="123750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747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3.7241127198228063E-3</c:v>
                </c:pt>
                <c:pt idx="2">
                  <c:v>4.0518901434828123E-3</c:v>
                </c:pt>
                <c:pt idx="3">
                  <c:v>4.2468796602436569E-2</c:v>
                </c:pt>
                <c:pt idx="4">
                  <c:v>4.8018915842663441E-2</c:v>
                </c:pt>
                <c:pt idx="5">
                  <c:v>9.4224479117550025E-2</c:v>
                </c:pt>
                <c:pt idx="6">
                  <c:v>5.9257177625129769E-2</c:v>
                </c:pt>
                <c:pt idx="7">
                  <c:v>4.2202869951498377E-2</c:v>
                </c:pt>
                <c:pt idx="8">
                  <c:v>1.7522104649697216E-2</c:v>
                </c:pt>
                <c:pt idx="9">
                  <c:v>3.0984031620256026E-2</c:v>
                </c:pt>
                <c:pt idx="10">
                  <c:v>4.3098732417645178E-3</c:v>
                </c:pt>
                <c:pt idx="11">
                  <c:v>1.7951157697383521E-2</c:v>
                </c:pt>
                <c:pt idx="12">
                  <c:v>1.4327767640141913E-2</c:v>
                </c:pt>
                <c:pt idx="13">
                  <c:v>1.2087496768924486E-2</c:v>
                </c:pt>
                <c:pt idx="14">
                  <c:v>3.6771588022503209E-2</c:v>
                </c:pt>
                <c:pt idx="15">
                  <c:v>2.9154178995536854E-2</c:v>
                </c:pt>
                <c:pt idx="16">
                  <c:v>5.114617700983827E-2</c:v>
                </c:pt>
                <c:pt idx="17">
                  <c:v>2.3457277117362712E-2</c:v>
                </c:pt>
                <c:pt idx="18">
                  <c:v>7.5692790949236574E-2</c:v>
                </c:pt>
                <c:pt idx="19">
                  <c:v>8.2860212659528795E-2</c:v>
                </c:pt>
                <c:pt idx="20">
                  <c:v>4.8306682721156499E-2</c:v>
                </c:pt>
                <c:pt idx="21">
                  <c:v>5.6361827889754273E-2</c:v>
                </c:pt>
                <c:pt idx="22">
                  <c:v>3.6231820054256826E-2</c:v>
                </c:pt>
                <c:pt idx="23">
                  <c:v>1.1504704800677884E-2</c:v>
                </c:pt>
                <c:pt idx="24">
                  <c:v>1.591335305553699E-2</c:v>
                </c:pt>
                <c:pt idx="25">
                  <c:v>2.0822711524622773E-3</c:v>
                </c:pt>
                <c:pt idx="26">
                  <c:v>2.4034232465362758E-2</c:v>
                </c:pt>
                <c:pt idx="27">
                  <c:v>7.7460459824788058E-3</c:v>
                </c:pt>
                <c:pt idx="28">
                  <c:v>6.3875028263149676E-4</c:v>
                </c:pt>
                <c:pt idx="29">
                  <c:v>1.9996284063822705E-3</c:v>
                </c:pt>
                <c:pt idx="30">
                  <c:v>3.7400120737688287E-3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2.5918900579497216E-2</c:v>
                </c:pt>
                <c:pt idx="35">
                  <c:v>3.160866004313691E-4</c:v>
                </c:pt>
                <c:pt idx="36">
                  <c:v>4.4461015659452048E-3</c:v>
                </c:pt>
                <c:pt idx="37">
                  <c:v>1.16589206263947E-3</c:v>
                </c:pt>
                <c:pt idx="38">
                  <c:v>1.2679600242534518E-2</c:v>
                </c:pt>
                <c:pt idx="39">
                  <c:v>0</c:v>
                </c:pt>
                <c:pt idx="40">
                  <c:v>3.6135068826538867E-4</c:v>
                </c:pt>
                <c:pt idx="41">
                  <c:v>6.7871367758298847E-3</c:v>
                </c:pt>
                <c:pt idx="42">
                  <c:v>0</c:v>
                </c:pt>
                <c:pt idx="43">
                  <c:v>4.2985977062208925E-4</c:v>
                </c:pt>
                <c:pt idx="44">
                  <c:v>0</c:v>
                </c:pt>
                <c:pt idx="45">
                  <c:v>3.5047003028974059E-2</c:v>
                </c:pt>
                <c:pt idx="46">
                  <c:v>3.208623325478104E-3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5.1340164912161649E-3</c:v>
                </c:pt>
                <c:pt idx="53">
                  <c:v>0</c:v>
                </c:pt>
                <c:pt idx="54">
                  <c:v>4.5314274349395213E-4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1.4958987092647186E-3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4.638271419690896E-2</c:v>
                </c:pt>
                <c:pt idx="1">
                  <c:v>8.8088143876872957E-2</c:v>
                </c:pt>
                <c:pt idx="2">
                  <c:v>9.2310990118111086E-2</c:v>
                </c:pt>
                <c:pt idx="3">
                  <c:v>7.5702557287089231E-2</c:v>
                </c:pt>
                <c:pt idx="4">
                  <c:v>4.8054704079226594E-2</c:v>
                </c:pt>
                <c:pt idx="5">
                  <c:v>3.7126749694540308E-2</c:v>
                </c:pt>
                <c:pt idx="6">
                  <c:v>2.9521339306767272E-2</c:v>
                </c:pt>
                <c:pt idx="7">
                  <c:v>2.5006966624509658E-2</c:v>
                </c:pt>
                <c:pt idx="8">
                  <c:v>2.1547233714175475E-2</c:v>
                </c:pt>
                <c:pt idx="9">
                  <c:v>1.9965274056290325E-2</c:v>
                </c:pt>
                <c:pt idx="10">
                  <c:v>1.62568862403807E-2</c:v>
                </c:pt>
                <c:pt idx="11">
                  <c:v>1.3860367409058756E-2</c:v>
                </c:pt>
                <c:pt idx="12">
                  <c:v>1.2128357377119462E-2</c:v>
                </c:pt>
                <c:pt idx="13">
                  <c:v>1.004051360099462E-2</c:v>
                </c:pt>
                <c:pt idx="14">
                  <c:v>8.7457932305845532E-3</c:v>
                </c:pt>
                <c:pt idx="15">
                  <c:v>6.9023172064907505E-3</c:v>
                </c:pt>
                <c:pt idx="16">
                  <c:v>7.6139846948618467E-3</c:v>
                </c:pt>
                <c:pt idx="17">
                  <c:v>7.0052088915564508E-3</c:v>
                </c:pt>
                <c:pt idx="18">
                  <c:v>6.3994340957321386E-2</c:v>
                </c:pt>
                <c:pt idx="19">
                  <c:v>3.5223253520824852E-2</c:v>
                </c:pt>
                <c:pt idx="20">
                  <c:v>3.2526633941394614E-2</c:v>
                </c:pt>
                <c:pt idx="21">
                  <c:v>3.2728130157981608E-2</c:v>
                </c:pt>
                <c:pt idx="22">
                  <c:v>3.4404407193843647E-2</c:v>
                </c:pt>
                <c:pt idx="23">
                  <c:v>2.6108765085421533E-2</c:v>
                </c:pt>
                <c:pt idx="24">
                  <c:v>1.9266468028552444E-2</c:v>
                </c:pt>
                <c:pt idx="25">
                  <c:v>2.1980236222160297E-2</c:v>
                </c:pt>
                <c:pt idx="26">
                  <c:v>1.4889284259715762E-2</c:v>
                </c:pt>
                <c:pt idx="27">
                  <c:v>1.23727251291505E-2</c:v>
                </c:pt>
                <c:pt idx="28">
                  <c:v>1.2076911534586612E-2</c:v>
                </c:pt>
                <c:pt idx="29">
                  <c:v>1.271998456624724E-2</c:v>
                </c:pt>
                <c:pt idx="30">
                  <c:v>1.2158367451930292E-2</c:v>
                </c:pt>
                <c:pt idx="31">
                  <c:v>8.8101005337506162E-3</c:v>
                </c:pt>
                <c:pt idx="32">
                  <c:v>6.8937428994019423E-3</c:v>
                </c:pt>
                <c:pt idx="33">
                  <c:v>1.4070437932734561E-2</c:v>
                </c:pt>
                <c:pt idx="34">
                  <c:v>6.276392789007738E-3</c:v>
                </c:pt>
                <c:pt idx="35">
                  <c:v>6.2378084071081008E-3</c:v>
                </c:pt>
                <c:pt idx="36">
                  <c:v>6.1392038755868038E-3</c:v>
                </c:pt>
                <c:pt idx="37">
                  <c:v>6.7051081434481574E-3</c:v>
                </c:pt>
                <c:pt idx="38">
                  <c:v>5.539002379370217E-3</c:v>
                </c:pt>
                <c:pt idx="39">
                  <c:v>3.5240402135002465E-3</c:v>
                </c:pt>
                <c:pt idx="40">
                  <c:v>3.6526548198323721E-3</c:v>
                </c:pt>
                <c:pt idx="41">
                  <c:v>3.6826648946432015E-3</c:v>
                </c:pt>
                <c:pt idx="42">
                  <c:v>2.4393903667659857E-3</c:v>
                </c:pt>
                <c:pt idx="43">
                  <c:v>2.6708966581638119E-3</c:v>
                </c:pt>
                <c:pt idx="44">
                  <c:v>2.3493601423334978E-3</c:v>
                </c:pt>
                <c:pt idx="45">
                  <c:v>2.5337077447428781E-3</c:v>
                </c:pt>
                <c:pt idx="46">
                  <c:v>1.9806649375147369E-3</c:v>
                </c:pt>
                <c:pt idx="47">
                  <c:v>2.3922316777775397E-3</c:v>
                </c:pt>
                <c:pt idx="48">
                  <c:v>1.4919294334526591E-3</c:v>
                </c:pt>
                <c:pt idx="49">
                  <c:v>1.5948211185183598E-3</c:v>
                </c:pt>
                <c:pt idx="50">
                  <c:v>1.0589269254678356E-3</c:v>
                </c:pt>
                <c:pt idx="51">
                  <c:v>1.2604231420548326E-3</c:v>
                </c:pt>
                <c:pt idx="52">
                  <c:v>1.0846498467342609E-3</c:v>
                </c:pt>
                <c:pt idx="53">
                  <c:v>1.0289168506570064E-3</c:v>
                </c:pt>
                <c:pt idx="54">
                  <c:v>9.946196223017728E-4</c:v>
                </c:pt>
                <c:pt idx="55">
                  <c:v>8.4885640179203014E-4</c:v>
                </c:pt>
                <c:pt idx="56">
                  <c:v>7.5882617735954208E-4</c:v>
                </c:pt>
                <c:pt idx="57">
                  <c:v>8.44569248247626E-4</c:v>
                </c:pt>
                <c:pt idx="58">
                  <c:v>7.5453902381513794E-4</c:v>
                </c:pt>
                <c:pt idx="59">
                  <c:v>6.6022164583824574E-4</c:v>
                </c:pt>
                <c:pt idx="60">
                  <c:v>4.973098111508864E-4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8040"/>
        <c:axId val="123747256"/>
      </c:lineChart>
      <c:catAx>
        <c:axId val="1237480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3747256"/>
        <c:crosses val="autoZero"/>
        <c:auto val="1"/>
        <c:lblAlgn val="ctr"/>
        <c:lblOffset val="100"/>
        <c:tickLblSkip val="10"/>
        <c:noMultiLvlLbl val="0"/>
      </c:catAx>
      <c:valAx>
        <c:axId val="123747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7480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topLeftCell="C1" workbookViewId="0">
      <selection activeCell="O29" sqref="O29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265625" collapsed="true"/>
    <col min="5" max="5" bestFit="true" customWidth="true" width="10.59765625" collapsed="true"/>
    <col min="9" max="9" bestFit="true" customWidth="true" width="10.59765625" collapsed="true"/>
    <col min="10" max="11" bestFit="true" customWidth="true" width="9.59765625" collapsed="true"/>
    <col min="12" max="12" bestFit="true" customWidth="true" width="10.59765625" collapsed="true"/>
  </cols>
  <sheetData>
    <row r="1" spans="1:18" x14ac:dyDescent="0.45">
      <c r="A1" t="s">
        <v>1</v>
      </c>
    </row>
    <row r="2" spans="1:18" x14ac:dyDescent="0.45">
      <c r="A2" t="s">
        <v>247</v>
      </c>
    </row>
    <row r="3" spans="1:18" x14ac:dyDescent="0.45">
      <c r="A3" t="s">
        <v>248</v>
      </c>
    </row>
    <row r="4" spans="1:18" x14ac:dyDescent="0.45">
      <c r="A4" t="s">
        <v>5</v>
      </c>
    </row>
    <row r="5" spans="1:18" x14ac:dyDescent="0.45">
      <c r="A5" t="s">
        <v>6</v>
      </c>
    </row>
    <row r="7" spans="1:18" x14ac:dyDescent="0.45">
      <c r="A7" t="s">
        <v>12</v>
      </c>
    </row>
    <row r="9" spans="1:18" ht="14.65" thickBot="1" x14ac:dyDescent="0.5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4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520" t="n">
        <v>33529.2496428338</v>
      </c>
      <c r="C11" s="520" t="n">
        <v>623.8512507065</v>
      </c>
      <c r="D11" s="520" t="n">
        <v>1693.8448047706</v>
      </c>
      <c r="E11" s="520">
        <f>SUM(B11:D11)</f>
        <v>35846.945698310898</v>
      </c>
      <c r="F11" s="21">
        <f>E11/$E$102</f>
        <v>0.19477466398115215</v>
      </c>
      <c r="H11" s="23">
        <v>0</v>
      </c>
      <c r="I11" s="522" t="n">
        <v>68049.0</v>
      </c>
      <c r="J11" s="522" t="n">
        <v>5898.0</v>
      </c>
      <c r="K11" s="522" t="n">
        <v>5687.0</v>
      </c>
      <c r="L11" s="520">
        <f>SUM(I11:K11)</f>
        <v>79682</v>
      </c>
      <c r="M11" s="21">
        <f>L11/$L$102</f>
        <v>0.3416089687252149</v>
      </c>
      <c r="P11" t="s">
        <v>9</v>
      </c>
      <c r="Q11" s="8" t="n">
        <v>3.996223974169072</v>
      </c>
      <c r="R11" s="8" t="n">
        <v>4.9197091859074416</v>
      </c>
    </row>
    <row r="12" spans="1:18" x14ac:dyDescent="0.45">
      <c r="A12">
        <v>1</v>
      </c>
      <c r="B12" s="520" t="n">
        <v>19741.0888088627</v>
      </c>
      <c r="C12" s="520" t="n">
        <v>1282.9672045295</v>
      </c>
      <c r="D12" s="520" t="n">
        <v>1270.553164984</v>
      </c>
      <c r="E12" s="520">
        <f t="shared" ref="E12:E75" si="0">SUM(B12:D12)</f>
        <v>22294.609178376202</v>
      </c>
      <c r="F12" s="21">
        <f t="shared" ref="F12:F75" si="1">E12/$E$102</f>
        <v>0.1211379359305903</v>
      </c>
      <c r="H12" s="24">
        <v>1</v>
      </c>
      <c r="I12" s="522" t="n">
        <v>20898.0</v>
      </c>
      <c r="J12" s="522" t="n">
        <v>2317.0</v>
      </c>
      <c r="K12" s="522" t="n">
        <v>2090.0</v>
      </c>
      <c r="L12" s="520">
        <f t="shared" ref="L12:L75" si="2">SUM(I12:K12)</f>
        <v>25163</v>
      </c>
      <c r="M12" s="21">
        <f t="shared" ref="M12:M75" si="3">L12/$L$102</f>
        <v>0.1078776446378427</v>
      </c>
      <c r="P12" t="s">
        <v>10</v>
      </c>
      <c r="Q12" s="8" t="n">
        <v>4.367656827552512</v>
      </c>
      <c r="R12" s="8" t="n">
        <v>4.9438657532403925</v>
      </c>
    </row>
    <row r="13" spans="1:18" x14ac:dyDescent="0.45">
      <c r="A13">
        <v>2</v>
      </c>
      <c r="B13" s="520" t="n">
        <v>9929.634844345701</v>
      </c>
      <c r="C13" s="520" t="n">
        <v>371.518941673</v>
      </c>
      <c r="D13" s="520" t="n">
        <v>0.0</v>
      </c>
      <c r="E13" s="520">
        <f t="shared" si="0"/>
        <v>10301.153786018702</v>
      </c>
      <c r="F13" s="21">
        <f t="shared" si="1"/>
        <v>5.5971400860087984E-2</v>
      </c>
      <c r="H13" s="25">
        <v>2</v>
      </c>
      <c r="I13" s="522" t="n">
        <v>12166.0</v>
      </c>
      <c r="J13" s="522" t="n">
        <v>1332.0</v>
      </c>
      <c r="K13" s="522" t="n">
        <v>1249.0</v>
      </c>
      <c r="L13" s="520">
        <f t="shared" si="2"/>
        <v>14669</v>
      </c>
      <c r="M13" s="21">
        <f t="shared" si="3"/>
        <v>6.2888255342865101E-2</v>
      </c>
      <c r="P13" s="6" t="s">
        <v>11</v>
      </c>
      <c r="Q13" s="11" t="n">
        <v>4.455458028041579</v>
      </c>
      <c r="R13" s="11" t="n">
        <v>4.696744651540875</v>
      </c>
    </row>
    <row r="14" spans="1:18" ht="14.65" thickBot="1" x14ac:dyDescent="0.5">
      <c r="A14">
        <v>3</v>
      </c>
      <c r="B14" s="520" t="n">
        <v>25599.561736635</v>
      </c>
      <c r="C14" s="520" t="n">
        <v>764.363108539</v>
      </c>
      <c r="D14" s="520" t="n">
        <v>0.0</v>
      </c>
      <c r="E14" s="520">
        <f t="shared" si="0"/>
        <v>26363.924845174002</v>
      </c>
      <c r="F14" s="21">
        <f t="shared" si="1"/>
        <v>0.14324859490567635</v>
      </c>
      <c r="H14" s="26">
        <v>3</v>
      </c>
      <c r="I14" s="522" t="n">
        <v>6805.0</v>
      </c>
      <c r="J14" s="522" t="n">
        <v>853.0</v>
      </c>
      <c r="K14" s="522" t="n">
        <v>738.0</v>
      </c>
      <c r="L14" s="520">
        <f t="shared" si="2"/>
        <v>8147</v>
      </c>
      <c r="M14" s="21">
        <f t="shared" si="3"/>
        <v>3.4927439926260961E-2</v>
      </c>
      <c r="P14" s="1" t="s">
        <v>4</v>
      </c>
      <c r="Q14" s="9" t="n">
        <v>4.024516630604764</v>
      </c>
      <c r="R14" s="9" t="n">
        <v>4.9045570922445565</v>
      </c>
    </row>
    <row r="15" spans="1:18" x14ac:dyDescent="0.45">
      <c r="A15">
        <v>4</v>
      </c>
      <c r="B15" s="520" t="n">
        <v>34768.3191834659</v>
      </c>
      <c r="C15" s="520" t="n">
        <v>1001.4134433272001</v>
      </c>
      <c r="D15" s="520" t="n">
        <v>295.6132959603</v>
      </c>
      <c r="E15" s="520">
        <f t="shared" si="0"/>
        <v>36065.345922753397</v>
      </c>
      <c r="F15" s="21">
        <f t="shared" si="1"/>
        <v>0.1959613433341772</v>
      </c>
      <c r="H15" s="27">
        <v>4</v>
      </c>
      <c r="I15" s="522" t="n">
        <v>21186.0</v>
      </c>
      <c r="J15" s="522" t="n">
        <v>2577.0</v>
      </c>
      <c r="K15" s="522" t="n">
        <v>2172.0</v>
      </c>
      <c r="L15" s="520">
        <f t="shared" si="2"/>
        <v>25819</v>
      </c>
      <c r="M15" s="21">
        <f t="shared" si="3"/>
        <v>0.11069001736297185</v>
      </c>
    </row>
    <row r="16" spans="1:18" x14ac:dyDescent="0.45">
      <c r="A16">
        <v>5</v>
      </c>
      <c r="B16" s="520" t="n">
        <v>17811.0833723785</v>
      </c>
      <c r="C16" s="520" t="n">
        <v>1762.380686484</v>
      </c>
      <c r="D16" s="520" t="n">
        <v>86.2921514892</v>
      </c>
      <c r="E16" s="520">
        <f t="shared" si="0"/>
        <v>19659.756210351701</v>
      </c>
      <c r="F16" s="21">
        <f t="shared" si="1"/>
        <v>0.10682144141510649</v>
      </c>
      <c r="H16" s="28">
        <v>5</v>
      </c>
      <c r="I16" s="522" t="n">
        <v>14200.0</v>
      </c>
      <c r="J16" s="522" t="n">
        <v>1572.0</v>
      </c>
      <c r="K16" s="522" t="n">
        <v>1412.0</v>
      </c>
      <c r="L16" s="520">
        <f t="shared" si="2"/>
        <v>16986</v>
      </c>
      <c r="M16" s="21">
        <f t="shared" si="3"/>
        <v>7.282159010524962E-2</v>
      </c>
    </row>
    <row r="17" spans="1:13" x14ac:dyDescent="0.45">
      <c r="A17">
        <v>6</v>
      </c>
      <c r="B17" s="520" t="n">
        <v>8332.5743277309</v>
      </c>
      <c r="C17" s="520" t="n">
        <v>321.1044334949</v>
      </c>
      <c r="D17" s="520" t="n">
        <v>0.0</v>
      </c>
      <c r="E17" s="520">
        <f t="shared" si="0"/>
        <v>8653.6787612257995</v>
      </c>
      <c r="F17" s="21">
        <f t="shared" si="1"/>
        <v>4.7019832236307076E-2</v>
      </c>
      <c r="H17" s="29">
        <v>6</v>
      </c>
      <c r="I17" s="522" t="n">
        <v>10567.0</v>
      </c>
      <c r="J17" s="522" t="n">
        <v>1244.0</v>
      </c>
      <c r="K17" s="522" t="n">
        <v>1049.0</v>
      </c>
      <c r="L17" s="520">
        <f t="shared" si="2"/>
        <v>12807</v>
      </c>
      <c r="M17" s="21">
        <f t="shared" si="3"/>
        <v>5.4905575443184501E-2</v>
      </c>
    </row>
    <row r="18" spans="1:13" x14ac:dyDescent="0.45">
      <c r="A18">
        <v>7</v>
      </c>
      <c r="B18" s="520" t="n">
        <v>1104.0112126568</v>
      </c>
      <c r="C18" s="520" t="n">
        <v>92.3910074567</v>
      </c>
      <c r="D18" s="520" t="n">
        <v>0.0</v>
      </c>
      <c r="E18" s="520">
        <f t="shared" si="0"/>
        <v>1196.4022201134999</v>
      </c>
      <c r="F18" s="21">
        <f t="shared" si="1"/>
        <v>6.5006609592373624E-3</v>
      </c>
      <c r="H18" s="30">
        <v>7</v>
      </c>
      <c r="I18" s="522" t="n">
        <v>5687.0</v>
      </c>
      <c r="J18" s="522" t="n">
        <v>652.0</v>
      </c>
      <c r="K18" s="522" t="n">
        <v>583.0</v>
      </c>
      <c r="L18" s="520">
        <f t="shared" si="2"/>
        <v>7787</v>
      </c>
      <c r="M18" s="21">
        <f t="shared" si="3"/>
        <v>3.338406465027545E-2</v>
      </c>
    </row>
    <row r="19" spans="1:13" x14ac:dyDescent="0.45">
      <c r="A19">
        <v>8</v>
      </c>
      <c r="B19" s="520" t="n">
        <v>4243.7919333589</v>
      </c>
      <c r="C19" s="520" t="n">
        <v>0.0</v>
      </c>
      <c r="D19" s="520" t="n">
        <v>2144.3964313735</v>
      </c>
      <c r="E19" s="520">
        <f t="shared" si="0"/>
        <v>6388.1883647323994</v>
      </c>
      <c r="F19" s="21">
        <f t="shared" si="1"/>
        <v>3.471027218499366E-2</v>
      </c>
      <c r="H19" s="31">
        <v>8</v>
      </c>
      <c r="I19" s="522" t="n">
        <v>6818.0</v>
      </c>
      <c r="J19" s="522" t="n">
        <v>756.0</v>
      </c>
      <c r="K19" s="522" t="n">
        <v>654.0</v>
      </c>
      <c r="L19" s="520">
        <f t="shared" si="2"/>
        <v>7277</v>
      </c>
      <c r="M19" s="21">
        <f t="shared" si="3"/>
        <v>3.1197616342629311E-2</v>
      </c>
    </row>
    <row r="20" spans="1:13" x14ac:dyDescent="0.45">
      <c r="A20">
        <v>9</v>
      </c>
      <c r="B20" s="520" t="n">
        <v>1584.759641761</v>
      </c>
      <c r="C20" s="520" t="n">
        <v>0.0</v>
      </c>
      <c r="D20" s="520" t="n">
        <v>0.0</v>
      </c>
      <c r="E20" s="520">
        <f t="shared" si="0"/>
        <v>1584.759641761</v>
      </c>
      <c r="F20" s="21">
        <f t="shared" si="1"/>
        <v>8.6108040922837775E-3</v>
      </c>
      <c r="H20" s="32">
        <v>9</v>
      </c>
      <c r="I20" s="522" t="n">
        <v>3281.0</v>
      </c>
      <c r="J20" s="522" t="n">
        <v>373.0</v>
      </c>
      <c r="K20" s="522" t="n">
        <v>362.0</v>
      </c>
      <c r="L20" s="520">
        <f t="shared" si="2"/>
        <v>4467</v>
      </c>
      <c r="M20" s="21">
        <f t="shared" si="3"/>
        <v>1.9150714882853529E-2</v>
      </c>
    </row>
    <row r="21" spans="1:13" x14ac:dyDescent="0.45">
      <c r="A21">
        <v>10</v>
      </c>
      <c r="B21" s="520" t="n">
        <v>6599.1783360809</v>
      </c>
      <c r="C21" s="520" t="n">
        <v>0.0</v>
      </c>
      <c r="D21" s="520" t="n">
        <v>0.0</v>
      </c>
      <c r="E21" s="520">
        <f t="shared" si="0"/>
        <v>6599.1783360809004</v>
      </c>
      <c r="F21" s="21">
        <f t="shared" si="1"/>
        <v>3.5856687869014782E-2</v>
      </c>
      <c r="H21" s="33">
        <v>10</v>
      </c>
      <c r="I21" s="522" t="n">
        <v>2311.0</v>
      </c>
      <c r="J21" s="522" t="n">
        <v>222.0</v>
      </c>
      <c r="K21" s="522" t="n">
        <v>214.0</v>
      </c>
      <c r="L21" s="520">
        <f t="shared" si="2"/>
        <v>2895</v>
      </c>
      <c r="M21" s="21">
        <f t="shared" si="3"/>
        <v>1.2411309511050139E-2</v>
      </c>
    </row>
    <row r="22" spans="1:13" x14ac:dyDescent="0.45">
      <c r="A22">
        <v>11</v>
      </c>
      <c r="B22" s="520" t="n">
        <v>0.0</v>
      </c>
      <c r="C22" s="520" t="n">
        <v>0.0</v>
      </c>
      <c r="D22" s="520" t="n">
        <v>0.0</v>
      </c>
      <c r="E22" s="520">
        <f t="shared" si="0"/>
        <v>0</v>
      </c>
      <c r="F22" s="21">
        <f t="shared" si="1"/>
        <v>0</v>
      </c>
      <c r="H22" s="34">
        <v>11</v>
      </c>
      <c r="I22" s="522" t="n">
        <v>2855.0</v>
      </c>
      <c r="J22" s="522" t="n">
        <v>287.0</v>
      </c>
      <c r="K22" s="522" t="n">
        <v>230.0</v>
      </c>
      <c r="L22" s="520">
        <f t="shared" si="2"/>
        <v>3255</v>
      </c>
      <c r="M22" s="21">
        <f t="shared" si="3"/>
        <v>1.3954684787035647E-2</v>
      </c>
    </row>
    <row r="23" spans="1:13" x14ac:dyDescent="0.45">
      <c r="A23">
        <v>12</v>
      </c>
      <c r="B23" s="520" t="n">
        <v>1326.075297753</v>
      </c>
      <c r="C23" s="520" t="n">
        <v>0.0</v>
      </c>
      <c r="D23" s="520" t="n">
        <v>0.0</v>
      </c>
      <c r="E23" s="520">
        <f t="shared" si="0"/>
        <v>1326.0752977530001</v>
      </c>
      <c r="F23" s="21">
        <f t="shared" si="1"/>
        <v>7.2052406558508345E-3</v>
      </c>
      <c r="H23" s="35">
        <v>12</v>
      </c>
      <c r="I23" s="522" t="n">
        <v>2094.0</v>
      </c>
      <c r="J23" s="522" t="n">
        <v>225.0</v>
      </c>
      <c r="K23" s="522" t="n">
        <v>162.0</v>
      </c>
      <c r="L23" s="520">
        <f t="shared" si="2"/>
        <v>2391</v>
      </c>
      <c r="M23" s="21">
        <f t="shared" si="3"/>
        <v>1.0250584124670425E-2</v>
      </c>
    </row>
    <row r="24" spans="1:13" x14ac:dyDescent="0.45">
      <c r="A24">
        <v>13</v>
      </c>
      <c r="B24" s="520" t="n">
        <v>1459.395501922</v>
      </c>
      <c r="C24" s="520" t="n">
        <v>0.0</v>
      </c>
      <c r="D24" s="520" t="n">
        <v>0.0</v>
      </c>
      <c r="E24" s="520">
        <f t="shared" si="0"/>
        <v>1459.395501922</v>
      </c>
      <c r="F24" s="21">
        <f t="shared" si="1"/>
        <v>7.9296370434108251E-3</v>
      </c>
      <c r="H24" s="36">
        <v>13</v>
      </c>
      <c r="I24" s="522" t="n">
        <v>2413.0</v>
      </c>
      <c r="J24" s="522" t="n">
        <v>228.0</v>
      </c>
      <c r="K24" s="522" t="n">
        <v>224.0</v>
      </c>
      <c r="L24" s="520">
        <f t="shared" si="2"/>
        <v>2791</v>
      </c>
      <c r="M24" s="21">
        <f t="shared" si="3"/>
        <v>1.1965445542432103E-2</v>
      </c>
    </row>
    <row r="25" spans="1:13" x14ac:dyDescent="0.45">
      <c r="A25">
        <v>14</v>
      </c>
      <c r="B25" s="520" t="n">
        <v>424.8588006925</v>
      </c>
      <c r="C25" s="520" t="n">
        <v>209.43270979140001</v>
      </c>
      <c r="D25" s="520" t="n">
        <v>0.0</v>
      </c>
      <c r="E25" s="520">
        <f t="shared" si="0"/>
        <v>634.29151048389997</v>
      </c>
      <c r="F25" s="21">
        <f t="shared" si="1"/>
        <v>3.4464279568013636E-3</v>
      </c>
      <c r="H25" s="37">
        <v>14</v>
      </c>
      <c r="I25" s="522" t="n">
        <v>1561.0</v>
      </c>
      <c r="J25" s="522" t="n">
        <v>153.0</v>
      </c>
      <c r="K25" s="522" t="n">
        <v>117.0</v>
      </c>
      <c r="L25" s="520">
        <f t="shared" si="2"/>
        <v>1862</v>
      </c>
      <c r="M25" s="21">
        <f t="shared" si="3"/>
        <v>7.9826798996806073E-3</v>
      </c>
    </row>
    <row r="26" spans="1:13" x14ac:dyDescent="0.45">
      <c r="A26">
        <v>15</v>
      </c>
      <c r="B26" s="520" t="n">
        <v>0.0</v>
      </c>
      <c r="C26" s="520" t="n">
        <v>0.0</v>
      </c>
      <c r="D26" s="520" t="n">
        <v>0.0</v>
      </c>
      <c r="E26" s="520">
        <f t="shared" si="0"/>
        <v>0</v>
      </c>
      <c r="F26" s="21">
        <f t="shared" si="1"/>
        <v>0</v>
      </c>
      <c r="H26" s="38">
        <v>15</v>
      </c>
      <c r="I26" s="522" t="n">
        <v>2111.0</v>
      </c>
      <c r="J26" s="522" t="n">
        <v>238.0</v>
      </c>
      <c r="K26" s="522" t="n">
        <v>176.0</v>
      </c>
      <c r="L26" s="520">
        <f t="shared" si="2"/>
        <v>2127</v>
      </c>
      <c r="M26" s="21">
        <f t="shared" si="3"/>
        <v>9.1187755889477178E-3</v>
      </c>
    </row>
    <row r="27" spans="1:13" x14ac:dyDescent="0.45">
      <c r="A27">
        <v>16</v>
      </c>
      <c r="B27" s="520" t="n">
        <v>0.0</v>
      </c>
      <c r="C27" s="520" t="n">
        <v>0.0</v>
      </c>
      <c r="D27" s="520" t="n">
        <v>383.206555392</v>
      </c>
      <c r="E27" s="520">
        <f t="shared" si="0"/>
        <v>383.20655539199998</v>
      </c>
      <c r="F27" s="21">
        <f t="shared" si="1"/>
        <v>2.0821558603629801E-3</v>
      </c>
      <c r="H27" s="39">
        <v>16</v>
      </c>
      <c r="I27" s="522" t="n">
        <v>1547.0</v>
      </c>
      <c r="J27" s="522" t="n">
        <v>156.0</v>
      </c>
      <c r="K27" s="522" t="n">
        <v>146.0</v>
      </c>
      <c r="L27" s="520">
        <f t="shared" si="2"/>
        <v>1895</v>
      </c>
      <c r="M27" s="21">
        <f t="shared" si="3"/>
        <v>8.1241559666459448E-3</v>
      </c>
    </row>
    <row r="28" spans="1:13" x14ac:dyDescent="0.45">
      <c r="A28">
        <v>17</v>
      </c>
      <c r="B28" s="520" t="n">
        <v>241.8854556355</v>
      </c>
      <c r="C28" s="520" t="n">
        <v>0.0</v>
      </c>
      <c r="D28" s="520" t="n">
        <v>0.0</v>
      </c>
      <c r="E28" s="520">
        <f t="shared" si="0"/>
        <v>241.88545563549999</v>
      </c>
      <c r="F28" s="21">
        <f t="shared" si="1"/>
        <v>1.314286543122483E-3</v>
      </c>
      <c r="H28" s="40">
        <v>17</v>
      </c>
      <c r="I28" s="522" t="n">
        <v>1275.0</v>
      </c>
      <c r="J28" s="522" t="n">
        <v>144.0</v>
      </c>
      <c r="K28" s="522" t="n">
        <v>103.0</v>
      </c>
      <c r="L28" s="520">
        <f t="shared" si="2"/>
        <v>1518</v>
      </c>
      <c r="M28" s="21">
        <f t="shared" si="3"/>
        <v>6.5078990804055643E-3</v>
      </c>
    </row>
    <row r="29" spans="1:13" x14ac:dyDescent="0.45">
      <c r="A29">
        <v>18</v>
      </c>
      <c r="B29" s="520" t="n">
        <v>264.4327433284</v>
      </c>
      <c r="C29" s="520" t="n">
        <v>0.0</v>
      </c>
      <c r="D29" s="520" t="n">
        <v>0.0</v>
      </c>
      <c r="E29" s="520">
        <f t="shared" si="0"/>
        <v>264.43274332840002</v>
      </c>
      <c r="F29" s="21">
        <f t="shared" si="1"/>
        <v>1.4367974097673336E-3</v>
      </c>
      <c r="H29" s="41">
        <v>18</v>
      </c>
      <c r="I29" s="522" t="n">
        <v>1062.0</v>
      </c>
      <c r="J29" s="522" t="n">
        <v>90.0</v>
      </c>
      <c r="K29" s="522" t="n">
        <v>95.0</v>
      </c>
      <c r="L29" s="520">
        <f t="shared" si="2"/>
        <v>1398</v>
      </c>
      <c r="M29" s="21">
        <f t="shared" si="3"/>
        <v>5.9934406550770612E-3</v>
      </c>
    </row>
    <row r="30" spans="1:13" x14ac:dyDescent="0.45">
      <c r="A30">
        <v>19</v>
      </c>
      <c r="B30" s="520" t="n">
        <v>1149.5167104721</v>
      </c>
      <c r="C30" s="520" t="n">
        <v>0.0</v>
      </c>
      <c r="D30" s="520" t="n">
        <v>0.0</v>
      </c>
      <c r="E30" s="520">
        <f t="shared" si="0"/>
        <v>1149.5167104720999</v>
      </c>
      <c r="F30" s="21">
        <f t="shared" si="1"/>
        <v>6.2459081704546058E-3</v>
      </c>
      <c r="H30" s="42">
        <v>19</v>
      </c>
      <c r="I30" s="522" t="n">
        <v>942.0</v>
      </c>
      <c r="J30" s="522" t="n">
        <v>89.0</v>
      </c>
      <c r="K30" s="522" t="n">
        <v>71.0</v>
      </c>
      <c r="L30" s="520">
        <f t="shared" si="2"/>
        <v>1041</v>
      </c>
      <c r="M30" s="21">
        <f t="shared" si="3"/>
        <v>4.4629268397247644E-3</v>
      </c>
    </row>
    <row r="31" spans="1:13" x14ac:dyDescent="0.45">
      <c r="A31">
        <v>20</v>
      </c>
      <c r="B31" s="520" t="n">
        <v>137.28633134540001</v>
      </c>
      <c r="C31" s="520" t="n">
        <v>0.0</v>
      </c>
      <c r="D31" s="520" t="n">
        <v>0.0</v>
      </c>
      <c r="E31" s="520">
        <f t="shared" si="0"/>
        <v>137.28633134540001</v>
      </c>
      <c r="F31" s="21">
        <f t="shared" si="1"/>
        <v>7.4594637105345862E-4</v>
      </c>
      <c r="H31" s="43">
        <v>20</v>
      </c>
      <c r="I31" s="522" t="n">
        <v>861.0</v>
      </c>
      <c r="J31" s="522" t="n">
        <v>71.0</v>
      </c>
      <c r="K31" s="522" t="n">
        <v>64.0</v>
      </c>
      <c r="L31" s="520">
        <f t="shared" si="2"/>
        <v>1044</v>
      </c>
      <c r="M31" s="21">
        <f t="shared" si="3"/>
        <v>4.4757883003579777E-3</v>
      </c>
    </row>
    <row r="32" spans="1:13" x14ac:dyDescent="0.45">
      <c r="A32">
        <v>21</v>
      </c>
      <c r="B32" s="520" t="n">
        <v>0.0</v>
      </c>
      <c r="C32" s="520" t="n">
        <v>327.039856179</v>
      </c>
      <c r="D32" s="520" t="n">
        <v>0.0</v>
      </c>
      <c r="E32" s="520">
        <f t="shared" si="0"/>
        <v>327.03985617900003</v>
      </c>
      <c r="F32" s="21">
        <f t="shared" si="1"/>
        <v>1.7769736543749818E-3</v>
      </c>
      <c r="H32" s="44">
        <v>21</v>
      </c>
      <c r="I32" s="522" t="n">
        <v>693.0</v>
      </c>
      <c r="J32" s="522" t="n">
        <v>72.0</v>
      </c>
      <c r="K32" s="522" t="n">
        <v>50.0</v>
      </c>
      <c r="L32" s="520">
        <f t="shared" si="2"/>
        <v>774</v>
      </c>
      <c r="M32" s="21">
        <f t="shared" si="3"/>
        <v>3.3182568433688451E-3</v>
      </c>
    </row>
    <row r="33" spans="1:13" x14ac:dyDescent="0.45">
      <c r="A33">
        <v>22</v>
      </c>
      <c r="B33" s="520" t="n">
        <v>1093.57177535</v>
      </c>
      <c r="C33" s="520" t="n">
        <v>0.0</v>
      </c>
      <c r="D33" s="520" t="n">
        <v>0.0</v>
      </c>
      <c r="E33" s="520">
        <f t="shared" si="0"/>
        <v>1093.5717753500001</v>
      </c>
      <c r="F33" s="21">
        <f t="shared" si="1"/>
        <v>5.9419309214147299E-3</v>
      </c>
      <c r="H33" s="45">
        <v>22</v>
      </c>
      <c r="I33" s="522" t="n">
        <v>679.0</v>
      </c>
      <c r="J33" s="522" t="n">
        <v>62.0</v>
      </c>
      <c r="K33" s="522" t="n">
        <v>50.0</v>
      </c>
      <c r="L33" s="520">
        <f t="shared" si="2"/>
        <v>758</v>
      </c>
      <c r="M33" s="21">
        <f t="shared" si="3"/>
        <v>3.249662386658378E-3</v>
      </c>
    </row>
    <row r="34" spans="1:13" x14ac:dyDescent="0.45">
      <c r="A34">
        <v>23</v>
      </c>
      <c r="B34" s="520" t="n">
        <v>0.0</v>
      </c>
      <c r="C34" s="520" t="n">
        <v>0.0</v>
      </c>
      <c r="D34" s="520" t="n">
        <v>0.0</v>
      </c>
      <c r="E34" s="520">
        <f t="shared" si="0"/>
        <v>0</v>
      </c>
      <c r="F34" s="21">
        <f t="shared" si="1"/>
        <v>0</v>
      </c>
      <c r="H34" s="46">
        <v>23</v>
      </c>
      <c r="I34" s="522" t="n">
        <v>588.0</v>
      </c>
      <c r="J34" s="522" t="n">
        <v>61.0</v>
      </c>
      <c r="K34" s="522" t="n">
        <v>34.0</v>
      </c>
      <c r="L34" s="520">
        <f t="shared" si="2"/>
        <v>786</v>
      </c>
      <c r="M34" s="21">
        <f t="shared" si="3"/>
        <v>3.3697026859016957E-3</v>
      </c>
    </row>
    <row r="35" spans="1:13" x14ac:dyDescent="0.45">
      <c r="A35">
        <v>24</v>
      </c>
      <c r="B35" s="520" t="n">
        <v>66.5041244869</v>
      </c>
      <c r="C35" s="520" t="n">
        <v>0.0</v>
      </c>
      <c r="D35" s="520" t="n">
        <v>0.0</v>
      </c>
      <c r="E35" s="520">
        <f t="shared" si="0"/>
        <v>66.504124486899997</v>
      </c>
      <c r="F35" s="21">
        <f t="shared" si="1"/>
        <v>3.6135068826538872E-4</v>
      </c>
      <c r="H35" s="47">
        <v>24</v>
      </c>
      <c r="I35" s="522" t="n">
        <v>612.0</v>
      </c>
      <c r="J35" s="522" t="n">
        <v>63.0</v>
      </c>
      <c r="K35" s="522" t="n">
        <v>39.0</v>
      </c>
      <c r="L35" s="520">
        <f t="shared" si="2"/>
        <v>714</v>
      </c>
      <c r="M35" s="21">
        <f t="shared" si="3"/>
        <v>3.0610276307045936E-3</v>
      </c>
    </row>
    <row r="36" spans="1:13" x14ac:dyDescent="0.45">
      <c r="A36">
        <v>25</v>
      </c>
      <c r="B36" s="520" t="n">
        <v>0.0</v>
      </c>
      <c r="C36" s="520" t="n">
        <v>0.0</v>
      </c>
      <c r="D36" s="520" t="n">
        <v>0.0</v>
      </c>
      <c r="E36" s="520">
        <f t="shared" si="0"/>
        <v>0</v>
      </c>
      <c r="F36" s="21">
        <f t="shared" si="1"/>
        <v>0</v>
      </c>
      <c r="H36" s="48">
        <v>25</v>
      </c>
      <c r="I36" s="522" t="n">
        <v>502.0</v>
      </c>
      <c r="J36" s="522" t="n">
        <v>41.0</v>
      </c>
      <c r="K36" s="522" t="n">
        <v>43.0</v>
      </c>
      <c r="L36" s="520">
        <f t="shared" si="2"/>
        <v>630</v>
      </c>
      <c r="M36" s="21">
        <f t="shared" si="3"/>
        <v>2.7009067329746414E-3</v>
      </c>
    </row>
    <row r="37" spans="1:13" x14ac:dyDescent="0.45">
      <c r="A37">
        <v>26</v>
      </c>
      <c r="B37" s="520" t="n">
        <v>0.0</v>
      </c>
      <c r="C37" s="520" t="n">
        <v>0.0</v>
      </c>
      <c r="D37" s="520" t="n">
        <v>0.0</v>
      </c>
      <c r="E37" s="520">
        <f t="shared" si="0"/>
        <v>0</v>
      </c>
      <c r="F37" s="21">
        <f t="shared" si="1"/>
        <v>0</v>
      </c>
      <c r="H37" s="49">
        <v>26</v>
      </c>
      <c r="I37" s="522" t="n">
        <v>391.0</v>
      </c>
      <c r="J37" s="522" t="n">
        <v>34.0</v>
      </c>
      <c r="K37" s="522" t="n">
        <v>32.0</v>
      </c>
      <c r="L37" s="520">
        <f t="shared" si="2"/>
        <v>507</v>
      </c>
      <c r="M37" s="21">
        <f t="shared" si="3"/>
        <v>2.1735868470129259E-3</v>
      </c>
    </row>
    <row r="38" spans="1:13" x14ac:dyDescent="0.45">
      <c r="A38">
        <v>27</v>
      </c>
      <c r="B38" s="520" t="n">
        <v>0.0</v>
      </c>
      <c r="C38" s="520" t="n">
        <v>0.0</v>
      </c>
      <c r="D38" s="520" t="n">
        <v>0.0</v>
      </c>
      <c r="E38" s="520">
        <f t="shared" si="0"/>
        <v>0</v>
      </c>
      <c r="F38" s="21">
        <f t="shared" si="1"/>
        <v>0</v>
      </c>
      <c r="H38" s="50">
        <v>27</v>
      </c>
      <c r="I38" s="522" t="n">
        <v>296.0</v>
      </c>
      <c r="J38" s="522" t="n">
        <v>28.0</v>
      </c>
      <c r="K38" s="522" t="n">
        <v>25.0</v>
      </c>
      <c r="L38" s="520">
        <f t="shared" si="2"/>
        <v>357</v>
      </c>
      <c r="M38" s="21">
        <f t="shared" si="3"/>
        <v>1.5305138153522968E-3</v>
      </c>
    </row>
    <row r="39" spans="1:13" x14ac:dyDescent="0.45">
      <c r="A39">
        <v>28</v>
      </c>
      <c r="B39" s="520" t="n">
        <v>83.3978248895</v>
      </c>
      <c r="C39" s="520" t="n">
        <v>0.0</v>
      </c>
      <c r="D39" s="520" t="n">
        <v>0.0</v>
      </c>
      <c r="E39" s="520">
        <f t="shared" si="0"/>
        <v>83.397824889500001</v>
      </c>
      <c r="F39" s="21">
        <f t="shared" si="1"/>
        <v>4.5314274349395224E-4</v>
      </c>
      <c r="H39" s="51">
        <v>28</v>
      </c>
      <c r="I39" s="522" t="n">
        <v>308.0</v>
      </c>
      <c r="J39" s="522" t="n">
        <v>32.0</v>
      </c>
      <c r="K39" s="522" t="n">
        <v>16.0</v>
      </c>
      <c r="L39" s="520">
        <f t="shared" si="2"/>
        <v>323</v>
      </c>
      <c r="M39" s="21">
        <f t="shared" si="3"/>
        <v>1.3847505948425542E-3</v>
      </c>
    </row>
    <row r="40" spans="1:13" x14ac:dyDescent="0.45">
      <c r="A40">
        <v>29</v>
      </c>
      <c r="B40" s="520" t="n">
        <v>181.889208126</v>
      </c>
      <c r="C40" s="520" t="n">
        <v>0.0</v>
      </c>
      <c r="D40" s="520" t="n">
        <v>0.0</v>
      </c>
      <c r="E40" s="520">
        <f t="shared" si="0"/>
        <v>181.889208126</v>
      </c>
      <c r="F40" s="21">
        <f t="shared" si="1"/>
        <v>9.8829645606902656E-4</v>
      </c>
      <c r="H40" s="52">
        <v>29</v>
      </c>
      <c r="I40" s="522" t="n">
        <v>337.0</v>
      </c>
      <c r="J40" s="522" t="n">
        <v>31.0</v>
      </c>
      <c r="K40" s="522" t="n">
        <v>25.0</v>
      </c>
      <c r="L40" s="520">
        <f t="shared" si="2"/>
        <v>317</v>
      </c>
      <c r="M40" s="21">
        <f t="shared" si="3"/>
        <v>1.3590276735761292E-3</v>
      </c>
    </row>
    <row r="41" spans="1:13" x14ac:dyDescent="0.45">
      <c r="A41">
        <v>30</v>
      </c>
      <c r="B41" s="520" t="n">
        <v>0.0</v>
      </c>
      <c r="C41" s="520" t="n">
        <v>0.0</v>
      </c>
      <c r="D41" s="520" t="n">
        <v>0.0</v>
      </c>
      <c r="E41" s="520">
        <f t="shared" si="0"/>
        <v>0</v>
      </c>
      <c r="F41" s="21">
        <f t="shared" si="1"/>
        <v>0</v>
      </c>
      <c r="H41" s="53">
        <v>30</v>
      </c>
      <c r="I41" s="522" t="n">
        <v>247.0</v>
      </c>
      <c r="J41" s="522" t="n">
        <v>24.0</v>
      </c>
      <c r="K41" s="522" t="n">
        <v>14.0</v>
      </c>
      <c r="L41" s="520">
        <f t="shared" si="2"/>
        <v>308</v>
      </c>
      <c r="M41" s="21">
        <f t="shared" si="3"/>
        <v>1.3204432916764915E-3</v>
      </c>
    </row>
    <row r="42" spans="1:13" x14ac:dyDescent="0.45">
      <c r="A42">
        <v>31</v>
      </c>
      <c r="B42" s="520" t="n">
        <v>0.0</v>
      </c>
      <c r="C42" s="520" t="n">
        <v>0.0</v>
      </c>
      <c r="D42" s="520" t="n">
        <v>0.0</v>
      </c>
      <c r="E42" s="520">
        <f t="shared" si="0"/>
        <v>0</v>
      </c>
      <c r="F42" s="21">
        <f t="shared" si="1"/>
        <v>0</v>
      </c>
      <c r="H42" s="54">
        <v>31</v>
      </c>
      <c r="I42" s="522" t="n">
        <v>253.0</v>
      </c>
      <c r="J42" s="522" t="n">
        <v>16.0</v>
      </c>
      <c r="K42" s="522" t="n">
        <v>17.0</v>
      </c>
      <c r="L42" s="520">
        <f t="shared" si="2"/>
        <v>317</v>
      </c>
      <c r="M42" s="21">
        <f t="shared" si="3"/>
        <v>1.3590276735761292E-3</v>
      </c>
    </row>
    <row r="43" spans="1:13" x14ac:dyDescent="0.45">
      <c r="A43">
        <v>32</v>
      </c>
      <c r="B43" s="520" t="n">
        <v>0.0</v>
      </c>
      <c r="C43" s="520" t="n">
        <v>0.0</v>
      </c>
      <c r="D43" s="520" t="n">
        <v>0.0</v>
      </c>
      <c r="E43" s="520">
        <f t="shared" si="0"/>
        <v>0</v>
      </c>
      <c r="F43" s="21">
        <f t="shared" si="1"/>
        <v>0</v>
      </c>
      <c r="H43" s="55">
        <v>32</v>
      </c>
      <c r="I43" s="522" t="n">
        <v>167.0</v>
      </c>
      <c r="J43" s="522" t="n">
        <v>11.0</v>
      </c>
      <c r="K43" s="522" t="n">
        <v>10.0</v>
      </c>
      <c r="L43" s="520">
        <f t="shared" si="2"/>
        <v>258</v>
      </c>
      <c r="M43" s="21">
        <f t="shared" si="3"/>
        <v>1.1060856144562818E-3</v>
      </c>
    </row>
    <row r="44" spans="1:13" x14ac:dyDescent="0.45">
      <c r="A44">
        <v>33</v>
      </c>
      <c r="B44" s="520" t="n">
        <v>275.309933567</v>
      </c>
      <c r="C44" s="520" t="n">
        <v>0.0</v>
      </c>
      <c r="D44" s="520" t="n">
        <v>0.0</v>
      </c>
      <c r="E44" s="520">
        <f t="shared" si="0"/>
        <v>275.30993356699997</v>
      </c>
      <c r="F44" s="21">
        <f t="shared" si="1"/>
        <v>1.4958987092647189E-3</v>
      </c>
      <c r="H44" s="56">
        <v>33</v>
      </c>
      <c r="I44" s="522" t="n">
        <v>170.0</v>
      </c>
      <c r="J44" s="522" t="n">
        <v>10.0</v>
      </c>
      <c r="K44" s="522" t="n">
        <v>11.0</v>
      </c>
      <c r="L44" s="520">
        <f t="shared" si="2"/>
        <v>176</v>
      </c>
      <c r="M44" s="21">
        <f t="shared" si="3"/>
        <v>7.5453902381513794E-4</v>
      </c>
    </row>
    <row r="45" spans="1:13" x14ac:dyDescent="0.45">
      <c r="A45">
        <v>34</v>
      </c>
      <c r="B45" s="520" t="n">
        <v>944.880646246</v>
      </c>
      <c r="C45" s="520" t="n">
        <v>0.0</v>
      </c>
      <c r="D45" s="520" t="n">
        <v>0.0</v>
      </c>
      <c r="E45" s="520">
        <f t="shared" si="0"/>
        <v>944.88064624599997</v>
      </c>
      <c r="F45" s="21">
        <f t="shared" si="1"/>
        <v>5.1340164912161649E-3</v>
      </c>
      <c r="H45" s="57">
        <v>34</v>
      </c>
      <c r="I45" s="522" t="n">
        <v>194.0</v>
      </c>
      <c r="J45" s="522" t="n">
        <v>14.0</v>
      </c>
      <c r="K45" s="522" t="n">
        <v>14.0</v>
      </c>
      <c r="L45" s="520">
        <f t="shared" si="2"/>
        <v>237</v>
      </c>
      <c r="M45" s="21">
        <f t="shared" si="3"/>
        <v>1.0160553900237937E-3</v>
      </c>
    </row>
    <row r="46" spans="1:13" x14ac:dyDescent="0.45">
      <c r="A46">
        <v>35</v>
      </c>
      <c r="B46" s="520" t="n">
        <v>0.0</v>
      </c>
      <c r="C46" s="520" t="n">
        <v>0.0</v>
      </c>
      <c r="D46" s="520" t="n">
        <v>0.0</v>
      </c>
      <c r="E46" s="520">
        <f t="shared" si="0"/>
        <v>0</v>
      </c>
      <c r="F46" s="21">
        <f t="shared" si="1"/>
        <v>0</v>
      </c>
      <c r="H46" s="58">
        <v>35</v>
      </c>
      <c r="I46" s="522" t="n">
        <v>197.0</v>
      </c>
      <c r="J46" s="522" t="n">
        <v>13.0</v>
      </c>
      <c r="K46" s="522" t="n">
        <v>11.0</v>
      </c>
      <c r="L46" s="520">
        <f t="shared" si="2"/>
        <v>149</v>
      </c>
      <c r="M46" s="21">
        <f t="shared" si="3"/>
        <v>6.387858781162247E-4</v>
      </c>
    </row>
    <row r="47" spans="1:13" x14ac:dyDescent="0.45">
      <c r="A47">
        <v>36</v>
      </c>
      <c r="B47" s="520" t="n">
        <v>0.0</v>
      </c>
      <c r="C47" s="520" t="n">
        <v>0.0</v>
      </c>
      <c r="D47" s="520" t="n">
        <v>0.0</v>
      </c>
      <c r="E47" s="520">
        <f t="shared" si="0"/>
        <v>0</v>
      </c>
      <c r="F47" s="21">
        <f t="shared" si="1"/>
        <v>0</v>
      </c>
      <c r="H47" s="59">
        <v>36</v>
      </c>
      <c r="I47" s="522" t="n">
        <v>166.0</v>
      </c>
      <c r="J47" s="522" t="n">
        <v>18.0</v>
      </c>
      <c r="K47" s="522" t="n">
        <v>10.0</v>
      </c>
      <c r="L47" s="520">
        <f t="shared" si="2"/>
        <v>193</v>
      </c>
      <c r="M47" s="21">
        <f t="shared" si="3"/>
        <v>8.2742063407000921E-4</v>
      </c>
    </row>
    <row r="48" spans="1:13" x14ac:dyDescent="0.45">
      <c r="A48">
        <v>37</v>
      </c>
      <c r="B48" s="520" t="n">
        <v>0.0</v>
      </c>
      <c r="C48" s="520" t="n">
        <v>0.0</v>
      </c>
      <c r="D48" s="520" t="n">
        <v>0.0</v>
      </c>
      <c r="E48" s="520">
        <f t="shared" si="0"/>
        <v>0</v>
      </c>
      <c r="F48" s="21">
        <f t="shared" si="1"/>
        <v>0</v>
      </c>
      <c r="H48" s="60">
        <v>37</v>
      </c>
      <c r="I48" s="522" t="n">
        <v>115.0</v>
      </c>
      <c r="J48" s="522" t="n">
        <v>8.0</v>
      </c>
      <c r="K48" s="522" t="n">
        <v>3.0</v>
      </c>
      <c r="L48" s="520">
        <f t="shared" si="2"/>
        <v>152</v>
      </c>
      <c r="M48" s="21">
        <f t="shared" si="3"/>
        <v>6.5164733874943735E-4</v>
      </c>
    </row>
    <row r="49" spans="1:13" x14ac:dyDescent="0.45">
      <c r="A49">
        <v>38</v>
      </c>
      <c r="B49" s="520" t="n">
        <v>520.538957349</v>
      </c>
      <c r="C49" s="520" t="n">
        <v>0.0</v>
      </c>
      <c r="D49" s="520" t="n">
        <v>0.0</v>
      </c>
      <c r="E49" s="520">
        <f t="shared" si="0"/>
        <v>520.53895734900004</v>
      </c>
      <c r="F49" s="21">
        <f t="shared" si="1"/>
        <v>2.8283525564502458E-3</v>
      </c>
      <c r="H49" s="61">
        <v>38</v>
      </c>
      <c r="I49" s="522" t="n">
        <v>125.0</v>
      </c>
      <c r="J49" s="522" t="n">
        <v>7.0</v>
      </c>
      <c r="K49" s="522" t="n">
        <v>10.0</v>
      </c>
      <c r="L49" s="520">
        <f t="shared" si="2"/>
        <v>179</v>
      </c>
      <c r="M49" s="21">
        <f t="shared" si="3"/>
        <v>7.6740048444835047E-4</v>
      </c>
    </row>
    <row r="50" spans="1:13" x14ac:dyDescent="0.45">
      <c r="A50">
        <v>39</v>
      </c>
      <c r="B50" s="520" t="n">
        <v>0.0</v>
      </c>
      <c r="C50" s="520" t="n">
        <v>0.0</v>
      </c>
      <c r="D50" s="520" t="n">
        <v>0.0</v>
      </c>
      <c r="E50" s="520">
        <f t="shared" si="0"/>
        <v>0</v>
      </c>
      <c r="F50" s="21">
        <f t="shared" si="1"/>
        <v>0</v>
      </c>
      <c r="H50" s="62">
        <v>39</v>
      </c>
      <c r="I50" s="522" t="n">
        <v>135.0</v>
      </c>
      <c r="J50" s="522" t="n">
        <v>8.0</v>
      </c>
      <c r="K50" s="522" t="n">
        <v>4.0</v>
      </c>
      <c r="L50" s="520">
        <f t="shared" si="2"/>
        <v>176</v>
      </c>
      <c r="M50" s="21">
        <f t="shared" si="3"/>
        <v>7.5453902381513794E-4</v>
      </c>
    </row>
    <row r="51" spans="1:13" x14ac:dyDescent="0.45">
      <c r="A51">
        <v>40</v>
      </c>
      <c r="B51" s="520" t="n">
        <v>0.0</v>
      </c>
      <c r="C51" s="520" t="n">
        <v>0.0</v>
      </c>
      <c r="D51" s="520" t="n">
        <v>0.0</v>
      </c>
      <c r="E51" s="520">
        <f t="shared" si="0"/>
        <v>0</v>
      </c>
      <c r="F51" s="21">
        <f t="shared" si="1"/>
        <v>0</v>
      </c>
      <c r="H51" s="63">
        <v>40</v>
      </c>
      <c r="I51" s="522" t="n">
        <v>83.0</v>
      </c>
      <c r="J51" s="522" t="n">
        <v>6.0</v>
      </c>
      <c r="K51" s="522" t="n">
        <v>6.0</v>
      </c>
      <c r="L51" s="520">
        <f t="shared" si="2"/>
        <v>108</v>
      </c>
      <c r="M51" s="21">
        <f t="shared" si="3"/>
        <v>4.6301258279565283E-4</v>
      </c>
    </row>
    <row r="52" spans="1:13" x14ac:dyDescent="0.45">
      <c r="A52">
        <v>41</v>
      </c>
      <c r="B52" s="520" t="n">
        <v>0.0</v>
      </c>
      <c r="C52" s="520" t="n">
        <v>0.0</v>
      </c>
      <c r="D52" s="520" t="n">
        <v>0.0</v>
      </c>
      <c r="E52" s="520">
        <f t="shared" si="0"/>
        <v>0</v>
      </c>
      <c r="F52" s="21">
        <f t="shared" si="1"/>
        <v>0</v>
      </c>
      <c r="H52" s="64">
        <v>41</v>
      </c>
      <c r="I52" s="522" t="n">
        <v>74.0</v>
      </c>
      <c r="J52" s="522" t="n">
        <v>8.0</v>
      </c>
      <c r="K52" s="522" t="n">
        <v>6.0</v>
      </c>
      <c r="L52" s="520">
        <f t="shared" si="2"/>
        <v>85</v>
      </c>
      <c r="M52" s="21">
        <f t="shared" si="3"/>
        <v>3.6440805127435638E-4</v>
      </c>
    </row>
    <row r="53" spans="1:13" x14ac:dyDescent="0.45">
      <c r="A53">
        <v>42</v>
      </c>
      <c r="B53" s="520" t="n">
        <v>0.0</v>
      </c>
      <c r="C53" s="520" t="n">
        <v>0.0</v>
      </c>
      <c r="D53" s="520" t="n">
        <v>0.0</v>
      </c>
      <c r="E53" s="520">
        <f t="shared" si="0"/>
        <v>0</v>
      </c>
      <c r="F53" s="21">
        <f t="shared" si="1"/>
        <v>0</v>
      </c>
      <c r="H53" s="65">
        <v>42</v>
      </c>
      <c r="I53" s="522" t="n">
        <v>82.0</v>
      </c>
      <c r="J53" s="522" t="n">
        <v>3.0</v>
      </c>
      <c r="K53" s="522" t="n">
        <v>5.0</v>
      </c>
      <c r="L53" s="520">
        <f t="shared" si="2"/>
        <v>130</v>
      </c>
      <c r="M53" s="21">
        <f t="shared" si="3"/>
        <v>5.5732996077254504E-4</v>
      </c>
    </row>
    <row r="54" spans="1:13" x14ac:dyDescent="0.45">
      <c r="A54">
        <v>43</v>
      </c>
      <c r="B54" s="520" t="n">
        <v>0.0</v>
      </c>
      <c r="C54" s="520" t="n">
        <v>0.0</v>
      </c>
      <c r="D54" s="520" t="n">
        <v>0.0</v>
      </c>
      <c r="E54" s="520">
        <f t="shared" si="0"/>
        <v>0</v>
      </c>
      <c r="F54" s="21">
        <f t="shared" si="1"/>
        <v>0</v>
      </c>
      <c r="H54" s="66">
        <v>43</v>
      </c>
      <c r="I54" s="522" t="n">
        <v>53.0</v>
      </c>
      <c r="J54" s="522" t="n">
        <v>2.0</v>
      </c>
      <c r="K54" s="522" t="n">
        <v>5.0</v>
      </c>
      <c r="L54" s="520">
        <f t="shared" si="2"/>
        <v>54</v>
      </c>
      <c r="M54" s="21">
        <f t="shared" si="3"/>
        <v>2.3150629139782642E-4</v>
      </c>
    </row>
    <row r="55" spans="1:13" x14ac:dyDescent="0.45">
      <c r="A55">
        <v>44</v>
      </c>
      <c r="B55" s="520" t="n">
        <v>0.0</v>
      </c>
      <c r="C55" s="520" t="n">
        <v>0.0</v>
      </c>
      <c r="D55" s="520" t="n">
        <v>0.0</v>
      </c>
      <c r="E55" s="520">
        <f t="shared" si="0"/>
        <v>0</v>
      </c>
      <c r="F55" s="21">
        <f t="shared" si="1"/>
        <v>0</v>
      </c>
      <c r="H55" s="67">
        <v>44</v>
      </c>
      <c r="I55" s="522" t="n">
        <v>62.0</v>
      </c>
      <c r="J55" s="522" t="n">
        <v>3.0</v>
      </c>
      <c r="K55" s="522" t="n">
        <v>2.0</v>
      </c>
      <c r="L55" s="520">
        <f t="shared" si="2"/>
        <v>55</v>
      </c>
      <c r="M55" s="21">
        <f t="shared" si="3"/>
        <v>2.3579344494223061E-4</v>
      </c>
    </row>
    <row r="56" spans="1:13" x14ac:dyDescent="0.45">
      <c r="A56">
        <v>45</v>
      </c>
      <c r="B56" s="520" t="n">
        <v>0.0</v>
      </c>
      <c r="C56" s="520" t="n">
        <v>0.0</v>
      </c>
      <c r="D56" s="520" t="n">
        <v>0.0</v>
      </c>
      <c r="E56" s="520">
        <f t="shared" si="0"/>
        <v>0</v>
      </c>
      <c r="F56" s="21">
        <f t="shared" si="1"/>
        <v>0</v>
      </c>
      <c r="H56" s="68">
        <v>45</v>
      </c>
      <c r="I56" s="522" t="n">
        <v>70.0</v>
      </c>
      <c r="J56" s="522" t="n">
        <v>3.0</v>
      </c>
      <c r="K56" s="522" t="n">
        <v>2.0</v>
      </c>
      <c r="L56" s="520">
        <f t="shared" si="2"/>
        <v>64</v>
      </c>
      <c r="M56" s="21">
        <f t="shared" si="3"/>
        <v>2.7437782684186832E-4</v>
      </c>
    </row>
    <row r="57" spans="1:13" x14ac:dyDescent="0.45">
      <c r="A57">
        <v>46</v>
      </c>
      <c r="B57" s="520" t="n">
        <v>0.0</v>
      </c>
      <c r="C57" s="520" t="n">
        <v>0.0</v>
      </c>
      <c r="D57" s="520" t="n">
        <v>0.0</v>
      </c>
      <c r="E57" s="520">
        <f t="shared" si="0"/>
        <v>0</v>
      </c>
      <c r="F57" s="21">
        <f t="shared" si="1"/>
        <v>0</v>
      </c>
      <c r="H57" s="69">
        <v>46</v>
      </c>
      <c r="I57" s="522" t="n">
        <v>49.0</v>
      </c>
      <c r="J57" s="522" t="n">
        <v>2.0</v>
      </c>
      <c r="K57" s="522" t="n">
        <v>2.0</v>
      </c>
      <c r="L57" s="520">
        <f t="shared" si="2"/>
        <v>72</v>
      </c>
      <c r="M57" s="21">
        <f t="shared" si="3"/>
        <v>3.0867505519710189E-4</v>
      </c>
    </row>
    <row r="58" spans="1:13" x14ac:dyDescent="0.45">
      <c r="A58">
        <v>47</v>
      </c>
      <c r="B58" s="520" t="n">
        <v>0.0</v>
      </c>
      <c r="C58" s="520" t="n">
        <v>0.0</v>
      </c>
      <c r="D58" s="520" t="n">
        <v>0.0</v>
      </c>
      <c r="E58" s="520">
        <f t="shared" si="0"/>
        <v>0</v>
      </c>
      <c r="F58" s="21">
        <f t="shared" si="1"/>
        <v>0</v>
      </c>
      <c r="H58" s="70">
        <v>47</v>
      </c>
      <c r="I58" s="522" t="n">
        <v>37.0</v>
      </c>
      <c r="J58" s="522" t="n">
        <v>2.0</v>
      </c>
      <c r="K58" s="522" t="n">
        <v>2.0</v>
      </c>
      <c r="L58" s="520">
        <f t="shared" si="2"/>
        <v>42</v>
      </c>
      <c r="M58" s="21">
        <f t="shared" si="3"/>
        <v>1.8006044886497609E-4</v>
      </c>
    </row>
    <row r="59" spans="1:13" x14ac:dyDescent="0.45">
      <c r="A59">
        <v>48</v>
      </c>
      <c r="B59" s="520" t="n">
        <v>0.0</v>
      </c>
      <c r="C59" s="520" t="n">
        <v>0.0</v>
      </c>
      <c r="D59" s="520" t="n">
        <v>0.0</v>
      </c>
      <c r="E59" s="520">
        <f t="shared" si="0"/>
        <v>0</v>
      </c>
      <c r="F59" s="21">
        <f t="shared" si="1"/>
        <v>0</v>
      </c>
      <c r="H59" s="71">
        <v>48</v>
      </c>
      <c r="I59" s="522" t="n">
        <v>32.0</v>
      </c>
      <c r="J59" s="522" t="n">
        <v>5.0</v>
      </c>
      <c r="K59" s="522" t="n">
        <v>3.0</v>
      </c>
      <c r="L59" s="520">
        <f t="shared" si="2"/>
        <v>43</v>
      </c>
      <c r="M59" s="21">
        <f t="shared" si="3"/>
        <v>1.8434760240938029E-4</v>
      </c>
    </row>
    <row r="60" spans="1:13" x14ac:dyDescent="0.45">
      <c r="A60">
        <v>49</v>
      </c>
      <c r="B60" s="520" t="n">
        <v>0.0</v>
      </c>
      <c r="C60" s="520" t="n">
        <v>0.0</v>
      </c>
      <c r="D60" s="520" t="n">
        <v>0.0</v>
      </c>
      <c r="E60" s="520">
        <f t="shared" si="0"/>
        <v>0</v>
      </c>
      <c r="F60" s="21">
        <f t="shared" si="1"/>
        <v>0</v>
      </c>
      <c r="H60" s="72">
        <v>49</v>
      </c>
      <c r="I60" s="522" t="n">
        <v>26.0</v>
      </c>
      <c r="J60" s="522" t="n">
        <v>1.0</v>
      </c>
      <c r="K60" s="522" t="n">
        <v>0.0</v>
      </c>
      <c r="L60" s="520">
        <f t="shared" si="2"/>
        <v>35</v>
      </c>
      <c r="M60" s="21">
        <f t="shared" si="3"/>
        <v>1.5005037405414675E-4</v>
      </c>
    </row>
    <row r="61" spans="1:13" x14ac:dyDescent="0.45">
      <c r="A61">
        <v>50</v>
      </c>
      <c r="B61" s="520" t="n">
        <v>0.0</v>
      </c>
      <c r="C61" s="520" t="n">
        <v>0.0</v>
      </c>
      <c r="D61" s="520" t="n">
        <v>0.0</v>
      </c>
      <c r="E61" s="520">
        <f t="shared" si="0"/>
        <v>0</v>
      </c>
      <c r="F61" s="21">
        <f t="shared" si="1"/>
        <v>0</v>
      </c>
      <c r="H61" s="73">
        <v>50</v>
      </c>
      <c r="I61" s="522" t="n">
        <v>27.0</v>
      </c>
      <c r="J61" s="522" t="n">
        <v>0.0</v>
      </c>
      <c r="K61" s="522" t="n">
        <v>3.0</v>
      </c>
      <c r="L61" s="520">
        <f t="shared" si="2"/>
        <v>25</v>
      </c>
      <c r="M61" s="21">
        <f t="shared" si="3"/>
        <v>1.0717883861010482E-4</v>
      </c>
    </row>
    <row r="62" spans="1:13" x14ac:dyDescent="0.45">
      <c r="A62">
        <v>51</v>
      </c>
      <c r="B62" s="520" t="n">
        <v>0.0</v>
      </c>
      <c r="C62" s="520" t="n">
        <v>0.0</v>
      </c>
      <c r="D62" s="520" t="n">
        <v>0.0</v>
      </c>
      <c r="E62" s="520">
        <f t="shared" si="0"/>
        <v>0</v>
      </c>
      <c r="F62" s="21">
        <f t="shared" si="1"/>
        <v>0</v>
      </c>
      <c r="H62" s="74">
        <v>51</v>
      </c>
      <c r="I62" s="522" t="n">
        <v>22.0</v>
      </c>
      <c r="J62" s="522" t="n">
        <v>1.0</v>
      </c>
      <c r="K62" s="522" t="n">
        <v>1.0</v>
      </c>
      <c r="L62" s="520">
        <f t="shared" si="2"/>
        <v>21</v>
      </c>
      <c r="M62" s="21">
        <f t="shared" si="3"/>
        <v>9.0030224432488046E-5</v>
      </c>
    </row>
    <row r="63" spans="1:13" x14ac:dyDescent="0.45">
      <c r="A63">
        <v>52</v>
      </c>
      <c r="B63" s="520" t="n">
        <v>0.0</v>
      </c>
      <c r="C63" s="520" t="n">
        <v>0.0</v>
      </c>
      <c r="D63" s="520" t="n">
        <v>0.0</v>
      </c>
      <c r="E63" s="520">
        <f t="shared" si="0"/>
        <v>0</v>
      </c>
      <c r="F63" s="21">
        <f t="shared" si="1"/>
        <v>0</v>
      </c>
      <c r="H63" s="75">
        <v>52</v>
      </c>
      <c r="I63" s="522" t="n">
        <v>36.0</v>
      </c>
      <c r="J63" s="522" t="n">
        <v>3.0</v>
      </c>
      <c r="K63" s="522" t="n">
        <v>1.0</v>
      </c>
      <c r="L63" s="520">
        <f t="shared" si="2"/>
        <v>21</v>
      </c>
      <c r="M63" s="21">
        <f t="shared" si="3"/>
        <v>9.0030224432488046E-5</v>
      </c>
    </row>
    <row r="64" spans="1:13" x14ac:dyDescent="0.45">
      <c r="A64">
        <v>53</v>
      </c>
      <c r="B64" s="520" t="n">
        <v>0.0</v>
      </c>
      <c r="C64" s="520" t="n">
        <v>0.0</v>
      </c>
      <c r="D64" s="520" t="n">
        <v>0.0</v>
      </c>
      <c r="E64" s="520">
        <f t="shared" si="0"/>
        <v>0</v>
      </c>
      <c r="F64" s="21">
        <f t="shared" si="1"/>
        <v>0</v>
      </c>
      <c r="H64" s="76">
        <v>53</v>
      </c>
      <c r="I64" s="522" t="n">
        <v>15.0</v>
      </c>
      <c r="J64" s="522" t="n">
        <v>4.0</v>
      </c>
      <c r="K64" s="522" t="n">
        <v>0.0</v>
      </c>
      <c r="L64" s="520">
        <f t="shared" si="2"/>
        <v>21</v>
      </c>
      <c r="M64" s="21">
        <f t="shared" si="3"/>
        <v>9.0030224432488046E-5</v>
      </c>
    </row>
    <row r="65" spans="1:13" x14ac:dyDescent="0.45">
      <c r="A65">
        <v>54</v>
      </c>
      <c r="B65" s="520" t="n">
        <v>0.0</v>
      </c>
      <c r="C65" s="520" t="n">
        <v>0.0</v>
      </c>
      <c r="D65" s="520" t="n">
        <v>0.0</v>
      </c>
      <c r="E65" s="520">
        <f t="shared" si="0"/>
        <v>0</v>
      </c>
      <c r="F65" s="21">
        <f t="shared" si="1"/>
        <v>0</v>
      </c>
      <c r="H65" s="77">
        <v>54</v>
      </c>
      <c r="I65" s="522" t="n">
        <v>15.0</v>
      </c>
      <c r="J65" s="522" t="n">
        <v>0.0</v>
      </c>
      <c r="K65" s="522" t="n">
        <v>4.0</v>
      </c>
      <c r="L65" s="520">
        <f t="shared" si="2"/>
        <v>24</v>
      </c>
      <c r="M65" s="21">
        <f t="shared" si="3"/>
        <v>1.0289168506570063E-4</v>
      </c>
    </row>
    <row r="66" spans="1:13" x14ac:dyDescent="0.45">
      <c r="A66">
        <v>55</v>
      </c>
      <c r="B66" s="520" t="n">
        <v>0.0</v>
      </c>
      <c r="C66" s="520" t="n">
        <v>0.0</v>
      </c>
      <c r="D66" s="520" t="n">
        <v>0.0</v>
      </c>
      <c r="E66" s="520">
        <f t="shared" si="0"/>
        <v>0</v>
      </c>
      <c r="F66" s="21">
        <f t="shared" si="1"/>
        <v>0</v>
      </c>
      <c r="H66" s="78">
        <v>55</v>
      </c>
      <c r="I66" s="522" t="n">
        <v>9.0</v>
      </c>
      <c r="J66" s="522" t="n">
        <v>0.0</v>
      </c>
      <c r="K66" s="522" t="n">
        <v>0.0</v>
      </c>
      <c r="L66" s="520">
        <f t="shared" si="2"/>
        <v>18</v>
      </c>
      <c r="M66" s="21">
        <f t="shared" si="3"/>
        <v>7.7168763799275472E-5</v>
      </c>
    </row>
    <row r="67" spans="1:13" x14ac:dyDescent="0.45">
      <c r="A67">
        <v>56</v>
      </c>
      <c r="B67" s="520" t="n">
        <v>0.0</v>
      </c>
      <c r="C67" s="520" t="n">
        <v>0.0</v>
      </c>
      <c r="D67" s="520" t="n">
        <v>0.0</v>
      </c>
      <c r="E67" s="520">
        <f t="shared" si="0"/>
        <v>0</v>
      </c>
      <c r="F67" s="21">
        <f t="shared" si="1"/>
        <v>0</v>
      </c>
      <c r="H67" s="79">
        <v>56</v>
      </c>
      <c r="I67" s="522" t="n">
        <v>7.0</v>
      </c>
      <c r="J67" s="522" t="n">
        <v>0.0</v>
      </c>
      <c r="K67" s="522" t="n">
        <v>0.0</v>
      </c>
      <c r="L67" s="520">
        <f t="shared" si="2"/>
        <v>12</v>
      </c>
      <c r="M67" s="21">
        <f t="shared" si="3"/>
        <v>5.1445842532850317E-5</v>
      </c>
    </row>
    <row r="68" spans="1:13" x14ac:dyDescent="0.45">
      <c r="A68">
        <v>57</v>
      </c>
      <c r="B68" s="520" t="n">
        <v>0.0</v>
      </c>
      <c r="C68" s="520" t="n">
        <v>0.0</v>
      </c>
      <c r="D68" s="520" t="n">
        <v>0.0</v>
      </c>
      <c r="E68" s="520">
        <f t="shared" si="0"/>
        <v>0</v>
      </c>
      <c r="F68" s="21">
        <f t="shared" si="1"/>
        <v>0</v>
      </c>
      <c r="H68" s="80">
        <v>57</v>
      </c>
      <c r="I68" s="522" t="n">
        <v>5.0</v>
      </c>
      <c r="J68" s="522" t="n">
        <v>0.0</v>
      </c>
      <c r="K68" s="522" t="n">
        <v>1.0</v>
      </c>
      <c r="L68" s="520">
        <f t="shared" si="2"/>
        <v>6</v>
      </c>
      <c r="M68" s="21">
        <f t="shared" si="3"/>
        <v>2.5722921266425159E-5</v>
      </c>
    </row>
    <row r="69" spans="1:13" x14ac:dyDescent="0.45">
      <c r="A69">
        <v>58</v>
      </c>
      <c r="B69" s="520" t="n">
        <v>0.0</v>
      </c>
      <c r="C69" s="520" t="n">
        <v>0.0</v>
      </c>
      <c r="D69" s="520" t="n">
        <v>0.0</v>
      </c>
      <c r="E69" s="520">
        <f t="shared" si="0"/>
        <v>0</v>
      </c>
      <c r="F69" s="21">
        <f t="shared" si="1"/>
        <v>0</v>
      </c>
      <c r="H69" s="81">
        <v>58</v>
      </c>
      <c r="I69" s="522" t="n">
        <v>19.0</v>
      </c>
      <c r="J69" s="522" t="n">
        <v>0.0</v>
      </c>
      <c r="K69" s="522" t="n">
        <v>0.0</v>
      </c>
      <c r="L69" s="520">
        <f t="shared" si="2"/>
        <v>19</v>
      </c>
      <c r="M69" s="21">
        <f t="shared" si="3"/>
        <v>8.1455917343679668E-5</v>
      </c>
    </row>
    <row r="70" spans="1:13" x14ac:dyDescent="0.45">
      <c r="A70">
        <v>59</v>
      </c>
      <c r="B70" s="520" t="n">
        <v>0.0</v>
      </c>
      <c r="C70" s="520" t="n">
        <v>0.0</v>
      </c>
      <c r="D70" s="520" t="n">
        <v>0.0</v>
      </c>
      <c r="E70" s="520">
        <f t="shared" si="0"/>
        <v>0</v>
      </c>
      <c r="F70" s="21">
        <f t="shared" si="1"/>
        <v>0</v>
      </c>
      <c r="H70" s="82">
        <v>59</v>
      </c>
      <c r="I70" s="522" t="n">
        <v>13.0</v>
      </c>
      <c r="J70" s="522" t="n">
        <v>0.0</v>
      </c>
      <c r="K70" s="522" t="n">
        <v>1.0</v>
      </c>
      <c r="L70" s="520">
        <f t="shared" si="2"/>
        <v>12</v>
      </c>
      <c r="M70" s="21">
        <f t="shared" si="3"/>
        <v>5.1445842532850317E-5</v>
      </c>
    </row>
    <row r="71" spans="1:13" x14ac:dyDescent="0.45">
      <c r="A71">
        <v>60</v>
      </c>
      <c r="B71" s="520" t="n">
        <v>0.0</v>
      </c>
      <c r="C71" s="520" t="n">
        <v>0.0</v>
      </c>
      <c r="D71" s="520" t="n">
        <v>0.0</v>
      </c>
      <c r="E71" s="520">
        <f t="shared" si="0"/>
        <v>0</v>
      </c>
      <c r="F71" s="21">
        <f t="shared" si="1"/>
        <v>0</v>
      </c>
      <c r="H71" s="83">
        <v>60</v>
      </c>
      <c r="I71" s="522" t="n">
        <v>9.0</v>
      </c>
      <c r="J71" s="522" t="n">
        <v>0.0</v>
      </c>
      <c r="K71" s="522" t="n">
        <v>0.0</v>
      </c>
      <c r="L71" s="520">
        <f t="shared" si="2"/>
        <v>2</v>
      </c>
      <c r="M71" s="21">
        <f t="shared" si="3"/>
        <v>8.574307088808385E-6</v>
      </c>
    </row>
    <row r="72" spans="1:13" x14ac:dyDescent="0.45">
      <c r="A72">
        <v>61</v>
      </c>
      <c r="B72" s="520" t="n">
        <v>0.0</v>
      </c>
      <c r="C72" s="520" t="n">
        <v>0.0</v>
      </c>
      <c r="D72" s="520" t="n">
        <v>0.0</v>
      </c>
      <c r="E72" s="520">
        <f t="shared" si="0"/>
        <v>0</v>
      </c>
      <c r="F72" s="21">
        <f t="shared" si="1"/>
        <v>0</v>
      </c>
      <c r="H72" s="84">
        <v>61</v>
      </c>
      <c r="I72" s="522" t="n">
        <v>12.0</v>
      </c>
      <c r="J72" s="522" t="n">
        <v>2.0</v>
      </c>
      <c r="K72" s="522" t="n">
        <v>0.0</v>
      </c>
      <c r="L72" s="520">
        <f t="shared" si="2"/>
        <v>14</v>
      </c>
      <c r="M72" s="21">
        <f t="shared" si="3"/>
        <v>6.0020149621658702E-5</v>
      </c>
    </row>
    <row r="73" spans="1:13" x14ac:dyDescent="0.45">
      <c r="A73">
        <v>62</v>
      </c>
      <c r="B73" s="520" t="n">
        <v>0.0</v>
      </c>
      <c r="C73" s="520" t="n">
        <v>0.0</v>
      </c>
      <c r="D73" s="520" t="n">
        <v>0.0</v>
      </c>
      <c r="E73" s="520">
        <f t="shared" si="0"/>
        <v>0</v>
      </c>
      <c r="F73" s="21">
        <f t="shared" si="1"/>
        <v>0</v>
      </c>
      <c r="H73" s="85">
        <v>62</v>
      </c>
      <c r="I73" s="522" t="n">
        <v>1.0</v>
      </c>
      <c r="J73" s="522" t="n">
        <v>1.0</v>
      </c>
      <c r="K73" s="522" t="n">
        <v>0.0</v>
      </c>
      <c r="L73" s="520">
        <f t="shared" si="2"/>
        <v>4</v>
      </c>
      <c r="M73" s="21">
        <f t="shared" si="3"/>
        <v>1.714861417761677E-5</v>
      </c>
    </row>
    <row r="74" spans="1:13" x14ac:dyDescent="0.45">
      <c r="A74">
        <v>63</v>
      </c>
      <c r="B74" s="520" t="n">
        <v>0.0</v>
      </c>
      <c r="C74" s="520" t="n">
        <v>0.0</v>
      </c>
      <c r="D74" s="520" t="n">
        <v>0.0</v>
      </c>
      <c r="E74" s="520">
        <f t="shared" si="0"/>
        <v>0</v>
      </c>
      <c r="F74" s="21">
        <f t="shared" si="1"/>
        <v>0</v>
      </c>
      <c r="H74" s="86">
        <v>63</v>
      </c>
      <c r="I74" s="522" t="n">
        <v>1.0</v>
      </c>
      <c r="J74" s="522" t="n">
        <v>0.0</v>
      </c>
      <c r="K74" s="522" t="n">
        <v>2.0</v>
      </c>
      <c r="L74" s="520">
        <f t="shared" si="2"/>
        <v>4</v>
      </c>
      <c r="M74" s="21">
        <f t="shared" si="3"/>
        <v>1.714861417761677E-5</v>
      </c>
    </row>
    <row r="75" spans="1:13" x14ac:dyDescent="0.45">
      <c r="A75">
        <v>64</v>
      </c>
      <c r="B75" s="520" t="n">
        <v>0.0</v>
      </c>
      <c r="C75" s="520" t="n">
        <v>0.0</v>
      </c>
      <c r="D75" s="520" t="n">
        <v>0.0</v>
      </c>
      <c r="E75" s="520">
        <f t="shared" si="0"/>
        <v>0</v>
      </c>
      <c r="F75" s="21">
        <f t="shared" si="1"/>
        <v>0</v>
      </c>
      <c r="H75" s="87">
        <v>64</v>
      </c>
      <c r="I75" s="522" t="n">
        <v>1.0</v>
      </c>
      <c r="J75" s="522" t="n">
        <v>0.0</v>
      </c>
      <c r="K75" s="522" t="n">
        <v>0.0</v>
      </c>
      <c r="L75" s="520">
        <f t="shared" si="2"/>
        <v>2</v>
      </c>
      <c r="M75" s="21">
        <f t="shared" si="3"/>
        <v>8.574307088808385E-6</v>
      </c>
    </row>
    <row r="76" spans="1:13" x14ac:dyDescent="0.45">
      <c r="A76">
        <v>65</v>
      </c>
      <c r="B76" s="520" t="n">
        <v>0.0</v>
      </c>
      <c r="C76" s="520" t="n">
        <v>0.0</v>
      </c>
      <c r="D76" s="520" t="n">
        <v>0.0</v>
      </c>
      <c r="E76" s="520">
        <f t="shared" ref="E76:E101" si="4">SUM(B76:D76)</f>
        <v>0</v>
      </c>
      <c r="F76" s="21">
        <f t="shared" ref="F76:F102" si="5">E76/$E$102</f>
        <v>0</v>
      </c>
      <c r="H76" s="88">
        <v>65</v>
      </c>
      <c r="I76" s="522" t="n">
        <v>3.0</v>
      </c>
      <c r="J76" s="522" t="n">
        <v>0.0</v>
      </c>
      <c r="K76" s="522" t="n">
        <v>0.0</v>
      </c>
      <c r="L76" s="520">
        <f t="shared" ref="L76:L101" si="6">SUM(I76:K76)</f>
        <v>7</v>
      </c>
      <c r="M76" s="21">
        <f t="shared" ref="M76:M102" si="7">L76/$L$102</f>
        <v>3.0010074810829351E-5</v>
      </c>
    </row>
    <row r="77" spans="1:13" x14ac:dyDescent="0.45">
      <c r="A77">
        <v>66</v>
      </c>
      <c r="B77" s="520" t="n">
        <v>0.0</v>
      </c>
      <c r="C77" s="520" t="n">
        <v>0.0</v>
      </c>
      <c r="D77" s="520" t="n">
        <v>0.0</v>
      </c>
      <c r="E77" s="520">
        <f t="shared" si="4"/>
        <v>0</v>
      </c>
      <c r="F77" s="21">
        <f t="shared" si="5"/>
        <v>0</v>
      </c>
      <c r="H77" s="89">
        <v>66</v>
      </c>
      <c r="I77" s="522" t="n">
        <v>7.0</v>
      </c>
      <c r="J77" s="522" t="n">
        <v>0.0</v>
      </c>
      <c r="K77" s="522" t="n">
        <v>1.0</v>
      </c>
      <c r="L77" s="520">
        <f t="shared" si="6"/>
        <v>6</v>
      </c>
      <c r="M77" s="21">
        <f t="shared" si="7"/>
        <v>2.5722921266425159E-5</v>
      </c>
    </row>
    <row r="78" spans="1:13" x14ac:dyDescent="0.45">
      <c r="A78">
        <v>67</v>
      </c>
      <c r="B78" s="520" t="n">
        <v>0.0</v>
      </c>
      <c r="C78" s="520" t="n">
        <v>0.0</v>
      </c>
      <c r="D78" s="520" t="n">
        <v>0.0</v>
      </c>
      <c r="E78" s="520">
        <f t="shared" si="4"/>
        <v>0</v>
      </c>
      <c r="F78" s="21">
        <f t="shared" si="5"/>
        <v>0</v>
      </c>
      <c r="H78" s="90">
        <v>67</v>
      </c>
      <c r="I78" s="522" t="n">
        <v>3.0</v>
      </c>
      <c r="J78" s="522" t="n">
        <v>0.0</v>
      </c>
      <c r="K78" s="522" t="n">
        <v>0.0</v>
      </c>
      <c r="L78" s="520">
        <f t="shared" si="6"/>
        <v>3</v>
      </c>
      <c r="M78" s="21">
        <f t="shared" si="7"/>
        <v>1.2861460633212579E-5</v>
      </c>
    </row>
    <row r="79" spans="1:13" x14ac:dyDescent="0.45">
      <c r="A79">
        <v>68</v>
      </c>
      <c r="B79" s="520" t="n">
        <v>0.0</v>
      </c>
      <c r="C79" s="520" t="n">
        <v>0.0</v>
      </c>
      <c r="D79" s="520" t="n">
        <v>0.0</v>
      </c>
      <c r="E79" s="520">
        <f t="shared" si="4"/>
        <v>0</v>
      </c>
      <c r="F79" s="21">
        <f t="shared" si="5"/>
        <v>0</v>
      </c>
      <c r="H79" s="91">
        <v>68</v>
      </c>
      <c r="I79" s="522" t="n">
        <v>1.0</v>
      </c>
      <c r="J79" s="522" t="n">
        <v>1.0</v>
      </c>
      <c r="K79" s="522" t="n">
        <v>0.0</v>
      </c>
      <c r="L79" s="520">
        <f t="shared" si="6"/>
        <v>1</v>
      </c>
      <c r="M79" s="21">
        <f t="shared" si="7"/>
        <v>4.2871535444041925E-6</v>
      </c>
    </row>
    <row r="80" spans="1:13" x14ac:dyDescent="0.45">
      <c r="A80">
        <v>69</v>
      </c>
      <c r="B80" s="520" t="n">
        <v>0.0</v>
      </c>
      <c r="C80" s="520" t="n">
        <v>0.0</v>
      </c>
      <c r="D80" s="520" t="n">
        <v>0.0</v>
      </c>
      <c r="E80" s="520">
        <f t="shared" si="4"/>
        <v>0</v>
      </c>
      <c r="F80" s="21">
        <f t="shared" si="5"/>
        <v>0</v>
      </c>
      <c r="H80" s="92">
        <v>69</v>
      </c>
      <c r="I80" s="522" t="n">
        <v>1.0</v>
      </c>
      <c r="J80" s="522" t="n">
        <v>0.0</v>
      </c>
      <c r="K80" s="522" t="n">
        <v>0.0</v>
      </c>
      <c r="L80" s="520">
        <f t="shared" si="6"/>
        <v>1</v>
      </c>
      <c r="M80" s="21">
        <f t="shared" si="7"/>
        <v>4.2871535444041925E-6</v>
      </c>
    </row>
    <row r="81" spans="1:13" x14ac:dyDescent="0.45">
      <c r="A81">
        <v>70</v>
      </c>
      <c r="B81" s="520" t="n">
        <v>0.0</v>
      </c>
      <c r="C81" s="520" t="n">
        <v>0.0</v>
      </c>
      <c r="D81" s="520" t="n">
        <v>0.0</v>
      </c>
      <c r="E81" s="520">
        <f t="shared" si="4"/>
        <v>0</v>
      </c>
      <c r="F81" s="21">
        <f t="shared" si="5"/>
        <v>0</v>
      </c>
      <c r="H81" s="93">
        <v>70</v>
      </c>
      <c r="I81" s="522" t="n">
        <v>1.0</v>
      </c>
      <c r="J81" s="522" t="n">
        <v>1.0</v>
      </c>
      <c r="K81" s="522" t="n">
        <v>0.0</v>
      </c>
      <c r="L81" s="520">
        <f t="shared" si="6"/>
        <v>0</v>
      </c>
      <c r="M81" s="21">
        <f t="shared" si="7"/>
        <v>0</v>
      </c>
    </row>
    <row r="82" spans="1:13" x14ac:dyDescent="0.45">
      <c r="A82">
        <v>71</v>
      </c>
      <c r="B82" s="520" t="n">
        <v>0.0</v>
      </c>
      <c r="C82" s="520" t="n">
        <v>0.0</v>
      </c>
      <c r="D82" s="520" t="n">
        <v>0.0</v>
      </c>
      <c r="E82" s="520">
        <f t="shared" si="4"/>
        <v>0</v>
      </c>
      <c r="F82" s="21">
        <f t="shared" si="5"/>
        <v>0</v>
      </c>
      <c r="H82" s="94">
        <v>71</v>
      </c>
      <c r="I82" s="522" t="n">
        <v>1.0</v>
      </c>
      <c r="J82" s="522" t="n">
        <v>0.0</v>
      </c>
      <c r="K82" s="522" t="n">
        <v>0.0</v>
      </c>
      <c r="L82" s="520">
        <f t="shared" si="6"/>
        <v>3</v>
      </c>
      <c r="M82" s="21">
        <f t="shared" si="7"/>
        <v>1.2861460633212579E-5</v>
      </c>
    </row>
    <row r="83" spans="1:13" x14ac:dyDescent="0.45">
      <c r="A83">
        <v>72</v>
      </c>
      <c r="B83" s="520" t="n">
        <v>0.0</v>
      </c>
      <c r="C83" s="520" t="n">
        <v>0.0</v>
      </c>
      <c r="D83" s="520" t="n">
        <v>0.0</v>
      </c>
      <c r="E83" s="520">
        <f t="shared" si="4"/>
        <v>0</v>
      </c>
      <c r="F83" s="21">
        <f t="shared" si="5"/>
        <v>0</v>
      </c>
      <c r="H83" s="95">
        <v>72</v>
      </c>
      <c r="I83" s="522" t="n">
        <v>1.0</v>
      </c>
      <c r="J83" s="522" t="n">
        <v>0.0</v>
      </c>
      <c r="K83" s="522" t="n">
        <v>0.0</v>
      </c>
      <c r="L83" s="520">
        <f t="shared" si="6"/>
        <v>0</v>
      </c>
      <c r="M83" s="21">
        <f t="shared" si="7"/>
        <v>0</v>
      </c>
    </row>
    <row r="84" spans="1:13" x14ac:dyDescent="0.45">
      <c r="A84">
        <v>73</v>
      </c>
      <c r="B84" s="520" t="n">
        <v>0.0</v>
      </c>
      <c r="C84" s="520" t="n">
        <v>0.0</v>
      </c>
      <c r="D84" s="520" t="n">
        <v>0.0</v>
      </c>
      <c r="E84" s="520">
        <f t="shared" si="4"/>
        <v>0</v>
      </c>
      <c r="F84" s="21">
        <f t="shared" si="5"/>
        <v>0</v>
      </c>
      <c r="H84" s="96">
        <v>73</v>
      </c>
      <c r="I84" s="522" t="n">
        <v>0.0</v>
      </c>
      <c r="J84" s="522" t="n">
        <v>0.0</v>
      </c>
      <c r="K84" s="522" t="n">
        <v>0.0</v>
      </c>
      <c r="L84" s="520">
        <f t="shared" si="6"/>
        <v>1</v>
      </c>
      <c r="M84" s="21">
        <f t="shared" si="7"/>
        <v>4.2871535444041925E-6</v>
      </c>
    </row>
    <row r="85" spans="1:13" x14ac:dyDescent="0.45">
      <c r="A85">
        <v>74</v>
      </c>
      <c r="B85" s="520" t="n">
        <v>0.0</v>
      </c>
      <c r="C85" s="520" t="n">
        <v>0.0</v>
      </c>
      <c r="D85" s="520" t="n">
        <v>0.0</v>
      </c>
      <c r="E85" s="520">
        <f t="shared" si="4"/>
        <v>0</v>
      </c>
      <c r="F85" s="21">
        <f t="shared" si="5"/>
        <v>0</v>
      </c>
      <c r="H85" s="97">
        <v>74</v>
      </c>
      <c r="I85" s="522" t="n">
        <v>1.0</v>
      </c>
      <c r="J85" s="522" t="n">
        <v>0.0</v>
      </c>
      <c r="K85" s="522" t="n">
        <v>0.0</v>
      </c>
      <c r="L85" s="520">
        <f t="shared" si="6"/>
        <v>3</v>
      </c>
      <c r="M85" s="21">
        <f t="shared" si="7"/>
        <v>1.2861460633212579E-5</v>
      </c>
    </row>
    <row r="86" spans="1:13" x14ac:dyDescent="0.45">
      <c r="A86">
        <v>75</v>
      </c>
      <c r="B86" s="520" t="n">
        <v>0.0</v>
      </c>
      <c r="C86" s="520" t="n">
        <v>0.0</v>
      </c>
      <c r="D86" s="520" t="n">
        <v>0.0</v>
      </c>
      <c r="E86" s="520">
        <f t="shared" si="4"/>
        <v>0</v>
      </c>
      <c r="F86" s="21">
        <f t="shared" si="5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t="shared" si="6"/>
        <v>0</v>
      </c>
      <c r="M86" s="21">
        <f t="shared" si="7"/>
        <v>0</v>
      </c>
    </row>
    <row r="87" spans="1:13" x14ac:dyDescent="0.45">
      <c r="A87">
        <v>76</v>
      </c>
      <c r="B87" s="520" t="n">
        <v>0.0</v>
      </c>
      <c r="C87" s="520" t="n">
        <v>0.0</v>
      </c>
      <c r="D87" s="520" t="n">
        <v>0.0</v>
      </c>
      <c r="E87" s="520">
        <f t="shared" si="4"/>
        <v>0</v>
      </c>
      <c r="F87" s="21">
        <f t="shared" si="5"/>
        <v>0</v>
      </c>
      <c r="H87" s="99">
        <v>76</v>
      </c>
      <c r="I87" s="522" t="n">
        <v>1.0</v>
      </c>
      <c r="J87" s="522" t="n">
        <v>0.0</v>
      </c>
      <c r="K87" s="522" t="n">
        <v>0.0</v>
      </c>
      <c r="L87" s="520">
        <f t="shared" si="6"/>
        <v>0</v>
      </c>
      <c r="M87" s="21">
        <f t="shared" si="7"/>
        <v>0</v>
      </c>
    </row>
    <row r="88" spans="1:13" x14ac:dyDescent="0.45">
      <c r="A88">
        <v>77</v>
      </c>
      <c r="B88" s="520" t="n">
        <v>0.0</v>
      </c>
      <c r="C88" s="520" t="n">
        <v>0.0</v>
      </c>
      <c r="D88" s="520" t="n">
        <v>0.0</v>
      </c>
      <c r="E88" s="520">
        <f t="shared" si="4"/>
        <v>0</v>
      </c>
      <c r="F88" s="21">
        <f t="shared" si="5"/>
        <v>0</v>
      </c>
      <c r="H88" s="100">
        <v>77</v>
      </c>
      <c r="I88" s="522" t="n">
        <v>0.0</v>
      </c>
      <c r="J88" s="522" t="n">
        <v>0.0</v>
      </c>
      <c r="K88" s="522" t="n">
        <v>0.0</v>
      </c>
      <c r="L88" s="520">
        <f t="shared" si="6"/>
        <v>1</v>
      </c>
      <c r="M88" s="21">
        <f t="shared" si="7"/>
        <v>4.2871535444041925E-6</v>
      </c>
    </row>
    <row r="89" spans="1:13" x14ac:dyDescent="0.45">
      <c r="A89">
        <v>78</v>
      </c>
      <c r="B89" s="520" t="n">
        <v>0.0</v>
      </c>
      <c r="C89" s="520" t="n">
        <v>0.0</v>
      </c>
      <c r="D89" s="520" t="n">
        <v>0.0</v>
      </c>
      <c r="E89" s="520">
        <f t="shared" si="4"/>
        <v>0</v>
      </c>
      <c r="F89" s="21">
        <f t="shared" si="5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t="shared" si="6"/>
        <v>1</v>
      </c>
      <c r="M89" s="21">
        <f t="shared" si="7"/>
        <v>4.2871535444041925E-6</v>
      </c>
    </row>
    <row r="90" spans="1:13" x14ac:dyDescent="0.45">
      <c r="A90">
        <v>79</v>
      </c>
      <c r="B90" s="520" t="n">
        <v>0.0</v>
      </c>
      <c r="C90" s="520" t="n">
        <v>0.0</v>
      </c>
      <c r="D90" s="520" t="n">
        <v>0.0</v>
      </c>
      <c r="E90" s="520">
        <f t="shared" si="4"/>
        <v>0</v>
      </c>
      <c r="F90" s="21">
        <f t="shared" si="5"/>
        <v>0</v>
      </c>
      <c r="H90" s="102">
        <v>79</v>
      </c>
      <c r="I90" s="522" t="n">
        <v>1.0</v>
      </c>
      <c r="J90" s="522" t="n">
        <v>0.0</v>
      </c>
      <c r="K90" s="522" t="n">
        <v>0.0</v>
      </c>
      <c r="L90" s="520">
        <f t="shared" si="6"/>
        <v>0</v>
      </c>
      <c r="M90" s="21">
        <f t="shared" si="7"/>
        <v>0</v>
      </c>
    </row>
    <row r="91" spans="1:13" x14ac:dyDescent="0.45">
      <c r="A91">
        <v>80</v>
      </c>
      <c r="B91" s="520" t="n">
        <v>0.0</v>
      </c>
      <c r="C91" s="520" t="n">
        <v>0.0</v>
      </c>
      <c r="D91" s="520" t="n">
        <v>0.0</v>
      </c>
      <c r="E91" s="520">
        <f t="shared" si="4"/>
        <v>0</v>
      </c>
      <c r="F91" s="21">
        <f t="shared" si="5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t="shared" si="6"/>
        <v>0</v>
      </c>
      <c r="M91" s="21">
        <f t="shared" si="7"/>
        <v>0</v>
      </c>
    </row>
    <row r="92" spans="1:13" x14ac:dyDescent="0.45">
      <c r="A92">
        <v>81</v>
      </c>
      <c r="B92" s="520" t="n">
        <v>0.0</v>
      </c>
      <c r="C92" s="520" t="n">
        <v>0.0</v>
      </c>
      <c r="D92" s="520" t="n">
        <v>0.0</v>
      </c>
      <c r="E92" s="520">
        <f t="shared" si="4"/>
        <v>0</v>
      </c>
      <c r="F92" s="21">
        <f t="shared" si="5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t="shared" si="6"/>
        <v>1</v>
      </c>
      <c r="M92" s="21">
        <f t="shared" si="7"/>
        <v>4.2871535444041925E-6</v>
      </c>
    </row>
    <row r="93" spans="1:13" x14ac:dyDescent="0.45">
      <c r="A93">
        <v>82</v>
      </c>
      <c r="B93" s="520" t="n">
        <v>0.0</v>
      </c>
      <c r="C93" s="520" t="n">
        <v>0.0</v>
      </c>
      <c r="D93" s="520" t="n">
        <v>0.0</v>
      </c>
      <c r="E93" s="520">
        <f t="shared" si="4"/>
        <v>0</v>
      </c>
      <c r="F93" s="21">
        <f t="shared" si="5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t="shared" si="6"/>
        <v>1</v>
      </c>
      <c r="M93" s="21">
        <f t="shared" si="7"/>
        <v>4.2871535444041925E-6</v>
      </c>
    </row>
    <row r="94" spans="1:13" x14ac:dyDescent="0.45">
      <c r="A94">
        <v>83</v>
      </c>
      <c r="B94" s="520" t="n">
        <v>0.0</v>
      </c>
      <c r="C94" s="520" t="n">
        <v>0.0</v>
      </c>
      <c r="D94" s="520" t="n">
        <v>0.0</v>
      </c>
      <c r="E94" s="520">
        <f t="shared" si="4"/>
        <v>0</v>
      </c>
      <c r="F94" s="21">
        <f t="shared" si="5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t="shared" si="6"/>
        <v>0</v>
      </c>
      <c r="M94" s="21">
        <f t="shared" si="7"/>
        <v>0</v>
      </c>
    </row>
    <row r="95" spans="1:13" x14ac:dyDescent="0.45">
      <c r="A95">
        <v>84</v>
      </c>
      <c r="B95" s="520" t="n">
        <v>0.0</v>
      </c>
      <c r="C95" s="520" t="n">
        <v>0.0</v>
      </c>
      <c r="D95" s="520" t="n">
        <v>0.0</v>
      </c>
      <c r="E95" s="520">
        <f t="shared" si="4"/>
        <v>0</v>
      </c>
      <c r="F95" s="21">
        <f t="shared" si="5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t="shared" si="6"/>
        <v>0</v>
      </c>
      <c r="M95" s="21">
        <f t="shared" si="7"/>
        <v>0</v>
      </c>
    </row>
    <row r="96" spans="1:13" x14ac:dyDescent="0.45">
      <c r="A96">
        <v>85</v>
      </c>
      <c r="B96" s="520" t="n">
        <v>0.0</v>
      </c>
      <c r="C96" s="520" t="n">
        <v>0.0</v>
      </c>
      <c r="D96" s="520" t="n">
        <v>0.0</v>
      </c>
      <c r="E96" s="520">
        <f t="shared" si="4"/>
        <v>0</v>
      </c>
      <c r="F96" s="21">
        <f t="shared" si="5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t="shared" si="6"/>
        <v>0</v>
      </c>
      <c r="M96" s="21">
        <f t="shared" si="7"/>
        <v>0</v>
      </c>
    </row>
    <row r="97" spans="1:13" x14ac:dyDescent="0.45">
      <c r="A97">
        <v>86</v>
      </c>
      <c r="B97" s="520" t="n">
        <v>0.0</v>
      </c>
      <c r="C97" s="520" t="n">
        <v>0.0</v>
      </c>
      <c r="D97" s="520" t="n">
        <v>0.0</v>
      </c>
      <c r="E97" s="520">
        <f t="shared" si="4"/>
        <v>0</v>
      </c>
      <c r="F97" s="21">
        <f t="shared" si="5"/>
        <v>0</v>
      </c>
      <c r="H97" s="109">
        <v>86</v>
      </c>
      <c r="I97" s="522" t="n">
        <v>2.0</v>
      </c>
      <c r="J97" s="522" t="n">
        <v>0.0</v>
      </c>
      <c r="K97" s="522" t="n">
        <v>0.0</v>
      </c>
      <c r="L97" s="520">
        <f t="shared" si="6"/>
        <v>0</v>
      </c>
      <c r="M97" s="21">
        <f t="shared" si="7"/>
        <v>0</v>
      </c>
    </row>
    <row r="98" spans="1:13" x14ac:dyDescent="0.45">
      <c r="A98">
        <v>87</v>
      </c>
      <c r="B98" s="520" t="n">
        <v>0.0</v>
      </c>
      <c r="C98" s="520" t="n">
        <v>0.0</v>
      </c>
      <c r="D98" s="520" t="n">
        <v>0.0</v>
      </c>
      <c r="E98" s="520">
        <f t="shared" si="4"/>
        <v>0</v>
      </c>
      <c r="F98" s="21">
        <f t="shared" si="5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t="shared" si="6"/>
        <v>0</v>
      </c>
      <c r="M98" s="21">
        <f t="shared" si="7"/>
        <v>0</v>
      </c>
    </row>
    <row r="99" spans="1:13" x14ac:dyDescent="0.45">
      <c r="A99">
        <v>88</v>
      </c>
      <c r="B99" s="520" t="n">
        <v>0.0</v>
      </c>
      <c r="C99" s="520" t="n">
        <v>0.0</v>
      </c>
      <c r="D99" s="520" t="n">
        <v>0.0</v>
      </c>
      <c r="E99" s="520">
        <f t="shared" si="4"/>
        <v>0</v>
      </c>
      <c r="F99" s="21">
        <f t="shared" si="5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t="shared" si="6"/>
        <v>0</v>
      </c>
      <c r="M99" s="21">
        <f t="shared" si="7"/>
        <v>0</v>
      </c>
    </row>
    <row r="100" spans="1:13" x14ac:dyDescent="0.45">
      <c r="A100">
        <v>89</v>
      </c>
      <c r="B100" s="520" t="n">
        <v>0.0</v>
      </c>
      <c r="C100" s="520" t="n">
        <v>0.0</v>
      </c>
      <c r="D100" s="520" t="n">
        <v>0.0</v>
      </c>
      <c r="E100" s="520">
        <f t="shared" si="4"/>
        <v>0</v>
      </c>
      <c r="F100" s="21">
        <f t="shared" si="5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t="shared" si="6"/>
        <v>1</v>
      </c>
      <c r="M100" s="21">
        <f t="shared" si="7"/>
        <v>4.2871535444041925E-6</v>
      </c>
    </row>
    <row r="101" spans="1:13" ht="14.65" thickBot="1" x14ac:dyDescent="0.5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t="shared" si="4"/>
        <v>0</v>
      </c>
      <c r="F101" s="21">
        <f t="shared" si="5"/>
        <v>0</v>
      </c>
      <c r="H101" s="474">
        <v>90</v>
      </c>
      <c r="I101" s="521" t="n">
        <v>1.0</v>
      </c>
      <c r="J101" s="521" t="n">
        <v>0.0</v>
      </c>
      <c r="K101" s="521" t="n">
        <v>0.0</v>
      </c>
      <c r="L101" s="521">
        <f t="shared" si="6"/>
        <v>0</v>
      </c>
      <c r="M101" s="21">
        <f t="shared" si="7"/>
        <v>0</v>
      </c>
    </row>
    <row r="102" spans="1:13" x14ac:dyDescent="0.45">
      <c r="B102" s="520"/>
      <c r="C102" s="520"/>
      <c r="D102" s="520"/>
      <c r="E102" s="520">
        <f>SUM(E11:E101)</f>
        <v>184043.16539742416</v>
      </c>
      <c r="F102" s="21">
        <f t="shared" si="5"/>
        <v>1</v>
      </c>
      <c r="I102" s="520"/>
      <c r="J102" s="520"/>
      <c r="K102" s="520"/>
      <c r="L102" s="520">
        <f>SUM(L11:L101)</f>
        <v>233255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02"/>
  <sheetViews>
    <sheetView workbookViewId="0">
      <selection activeCell="A6" sqref="A6"/>
    </sheetView>
  </sheetViews>
  <sheetFormatPr defaultRowHeight="14.25" x14ac:dyDescent="0.45"/>
  <cols>
    <col min="13" max="13" bestFit="true" customWidth="true" width="10.1328125" collapsed="true"/>
  </cols>
  <sheetData>
    <row r="1" spans="1:18" x14ac:dyDescent="0.45">
      <c r="A1" t="s">
        <v>0</v>
      </c>
    </row>
    <row r="2" spans="1:18" x14ac:dyDescent="0.45">
      <c r="A2" t="s">
        <v>247</v>
      </c>
    </row>
    <row r="3" spans="1:18" x14ac:dyDescent="0.45">
      <c r="A3" t="s">
        <v>249</v>
      </c>
    </row>
    <row r="4" spans="1:18" x14ac:dyDescent="0.45">
      <c r="A4" t="s">
        <v>7</v>
      </c>
    </row>
    <row r="5" spans="1:18" x14ac:dyDescent="0.45">
      <c r="A5" t="s">
        <v>8</v>
      </c>
    </row>
    <row r="7" spans="1:18" x14ac:dyDescent="0.45">
      <c r="A7" t="s">
        <v>12</v>
      </c>
    </row>
    <row r="9" spans="1:18" ht="14.65" thickBot="1" x14ac:dyDescent="0.5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4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9239.0</v>
      </c>
      <c r="J11" s="293" t="n">
        <v>825.0</v>
      </c>
      <c r="K11" s="383" t="n">
        <v>848.0</v>
      </c>
      <c r="L11">
        <f>SUM(I11:K11)</f>
        <v>10819</v>
      </c>
      <c r="M11" s="21">
        <f>L11/$L$102</f>
        <v>4.638271419690896E-2</v>
      </c>
      <c r="P11" t="s">
        <v>9</v>
      </c>
      <c r="Q11" s="8" t="n">
        <v>16.404392896874448</v>
      </c>
      <c r="R11" s="8" t="n">
        <v>14.528485732331815</v>
      </c>
    </row>
    <row r="12" spans="1:18" x14ac:dyDescent="0.45">
      <c r="A12">
        <v>1</v>
      </c>
      <c r="B12" s="8" t="n">
        <v>685.397493253</v>
      </c>
      <c r="C12" s="8" t="n">
        <v>0.0</v>
      </c>
      <c r="D12" s="8" t="n">
        <v>0.0</v>
      </c>
      <c r="E12" s="8">
        <f t="shared" ref="E12:E75" si="0">SUM(B12:D12)</f>
        <v>685.39749325299999</v>
      </c>
      <c r="F12" s="21">
        <f t="shared" ref="F12:F75" si="1">E12/$E$102</f>
        <v>3.7241127198228063E-3</v>
      </c>
      <c r="H12" s="114">
        <v>1</v>
      </c>
      <c r="I12" s="204" t="n">
        <v>17462.0</v>
      </c>
      <c r="J12" s="294" t="n">
        <v>1540.0</v>
      </c>
      <c r="K12" s="384" t="n">
        <v>1405.0</v>
      </c>
      <c r="L12">
        <f t="shared" ref="L12:L75" si="2">SUM(I12:K12)</f>
        <v>20547</v>
      </c>
      <c r="M12" s="21">
        <f t="shared" ref="M12:M75" si="3">L12/$L$102</f>
        <v>8.8088143876872957E-2</v>
      </c>
      <c r="P12" t="s">
        <v>10</v>
      </c>
      <c r="Q12" s="8" t="n">
        <v>16.466197029932996</v>
      </c>
      <c r="R12" s="8" t="n">
        <v>14.919932694964876</v>
      </c>
    </row>
    <row r="13" spans="1:18" x14ac:dyDescent="0.45">
      <c r="A13">
        <v>2</v>
      </c>
      <c r="B13" s="8" t="n">
        <v>745.7226878492</v>
      </c>
      <c r="C13" s="8" t="n">
        <v>0.0</v>
      </c>
      <c r="D13" s="8" t="n">
        <v>0.0</v>
      </c>
      <c r="E13" s="8">
        <f t="shared" si="0"/>
        <v>745.72268784920004</v>
      </c>
      <c r="F13" s="21">
        <f t="shared" si="1"/>
        <v>4.0518901434828123E-3</v>
      </c>
      <c r="H13" s="115">
        <v>2</v>
      </c>
      <c r="I13" s="205" t="n">
        <v>18502.0</v>
      </c>
      <c r="J13" s="295" t="n">
        <v>1539.0</v>
      </c>
      <c r="K13" s="385" t="n">
        <v>1509.0</v>
      </c>
      <c r="L13">
        <f t="shared" si="2"/>
        <v>21532</v>
      </c>
      <c r="M13" s="21">
        <f t="shared" si="3"/>
        <v>9.2310990118111086E-2</v>
      </c>
      <c r="P13" s="6" t="s">
        <v>11</v>
      </c>
      <c r="Q13" s="11" t="n">
        <v>18.599176063687192</v>
      </c>
      <c r="R13" s="8" t="n">
        <v>14.298613533849077</v>
      </c>
    </row>
    <row r="14" spans="1:18" ht="14.65" thickBot="1" x14ac:dyDescent="0.5">
      <c r="A14">
        <v>3</v>
      </c>
      <c r="B14" s="8" t="n">
        <v>6549.2333025765</v>
      </c>
      <c r="C14" s="8" t="n">
        <v>282.0411067705</v>
      </c>
      <c r="D14" s="8" t="n">
        <v>984.8173479848</v>
      </c>
      <c r="E14" s="8">
        <f t="shared" si="0"/>
        <v>7816.0917573318002</v>
      </c>
      <c r="F14" s="21">
        <f t="shared" si="1"/>
        <v>4.2468796602436569E-2</v>
      </c>
      <c r="H14" s="116">
        <v>3</v>
      </c>
      <c r="I14" s="206" t="n">
        <v>15291.0</v>
      </c>
      <c r="J14" s="296" t="n">
        <v>1362.0</v>
      </c>
      <c r="K14" s="386" t="n">
        <v>1259.0</v>
      </c>
      <c r="L14">
        <f t="shared" si="2"/>
        <v>17658</v>
      </c>
      <c r="M14" s="21">
        <f t="shared" si="3"/>
        <v>7.5702557287089231E-2</v>
      </c>
      <c r="P14" s="1" t="s">
        <v>4</v>
      </c>
      <c r="Q14" s="12" t="n">
        <v>16.476710324072943</v>
      </c>
      <c r="R14" s="12" t="n">
        <v>14.544343153316348</v>
      </c>
    </row>
    <row r="15" spans="1:18" x14ac:dyDescent="0.45">
      <c r="A15">
        <v>4</v>
      </c>
      <c r="B15" s="8" t="n">
        <v>8784.3481885992</v>
      </c>
      <c r="C15" s="8" t="n">
        <v>53.2050820371</v>
      </c>
      <c r="D15" s="8" t="n">
        <v>0.0</v>
      </c>
      <c r="E15" s="8">
        <f t="shared" si="0"/>
        <v>8837.553270636301</v>
      </c>
      <c r="F15" s="21">
        <f t="shared" si="1"/>
        <v>4.8018915842663441E-2</v>
      </c>
      <c r="H15" s="117">
        <v>4</v>
      </c>
      <c r="I15" s="207" t="n">
        <v>9390.0</v>
      </c>
      <c r="J15" s="297" t="n">
        <v>912.0</v>
      </c>
      <c r="K15" s="387" t="n">
        <v>928.0</v>
      </c>
      <c r="L15">
        <f t="shared" si="2"/>
        <v>11209</v>
      </c>
      <c r="M15" s="21">
        <f t="shared" si="3"/>
        <v>4.8054704079226594E-2</v>
      </c>
    </row>
    <row r="16" spans="1:18" x14ac:dyDescent="0.45">
      <c r="A16">
        <v>5</v>
      </c>
      <c r="B16" s="8" t="n">
        <v>15754.5264644916</v>
      </c>
      <c r="C16" s="8" t="n">
        <v>341.81014393600003</v>
      </c>
      <c r="D16" s="8" t="n">
        <v>1245.0347862898</v>
      </c>
      <c r="E16" s="8">
        <f t="shared" si="0"/>
        <v>17341.3713947174</v>
      </c>
      <c r="F16" s="21">
        <f t="shared" si="1"/>
        <v>9.4224479117550025E-2</v>
      </c>
      <c r="H16" s="118">
        <v>5</v>
      </c>
      <c r="I16" s="208" t="n">
        <v>7058.0</v>
      </c>
      <c r="J16" s="298" t="n">
        <v>721.0</v>
      </c>
      <c r="K16" s="388" t="n">
        <v>681.0</v>
      </c>
      <c r="L16">
        <f t="shared" si="2"/>
        <v>8660</v>
      </c>
      <c r="M16" s="21">
        <f t="shared" si="3"/>
        <v>3.7126749694540308E-2</v>
      </c>
    </row>
    <row r="17" spans="1:13" x14ac:dyDescent="0.45">
      <c r="A17">
        <v>6</v>
      </c>
      <c r="B17" s="8" t="n">
        <v>9965.5440861781</v>
      </c>
      <c r="C17" s="8" t="n">
        <v>524.3175229492</v>
      </c>
      <c r="D17" s="8" t="n">
        <v>416.016933519</v>
      </c>
      <c r="E17" s="8">
        <f t="shared" si="0"/>
        <v>10905.878542646302</v>
      </c>
      <c r="F17" s="21">
        <f t="shared" si="1"/>
        <v>5.9257177625129769E-2</v>
      </c>
      <c r="H17" s="119">
        <v>6</v>
      </c>
      <c r="I17" s="209" t="n">
        <v>5629.0</v>
      </c>
      <c r="J17" s="299" t="n">
        <v>656.0</v>
      </c>
      <c r="K17" s="389" t="n">
        <v>604.0</v>
      </c>
      <c r="L17">
        <f t="shared" si="2"/>
        <v>6886</v>
      </c>
      <c r="M17" s="21">
        <f t="shared" si="3"/>
        <v>2.9521339306767272E-2</v>
      </c>
    </row>
    <row r="18" spans="1:13" x14ac:dyDescent="0.45">
      <c r="A18">
        <v>7</v>
      </c>
      <c r="B18" s="8" t="n">
        <v>7448.6208727686</v>
      </c>
      <c r="C18" s="8" t="n">
        <v>0.0</v>
      </c>
      <c r="D18" s="8" t="n">
        <v>318.528901961</v>
      </c>
      <c r="E18" s="8">
        <f t="shared" si="0"/>
        <v>7767.1497747295998</v>
      </c>
      <c r="F18" s="21">
        <f t="shared" si="1"/>
        <v>4.2202869951498377E-2</v>
      </c>
      <c r="H18" s="120">
        <v>7</v>
      </c>
      <c r="I18" s="210" t="n">
        <v>4930.0</v>
      </c>
      <c r="J18" s="300" t="n">
        <v>573.0</v>
      </c>
      <c r="K18" s="390" t="n">
        <v>492.0</v>
      </c>
      <c r="L18">
        <f t="shared" si="2"/>
        <v>5833</v>
      </c>
      <c r="M18" s="21">
        <f t="shared" si="3"/>
        <v>2.5006966624509658E-2</v>
      </c>
    </row>
    <row r="19" spans="1:13" x14ac:dyDescent="0.45">
      <c r="A19">
        <v>8</v>
      </c>
      <c r="B19" s="8" t="n">
        <v>3089.010147222</v>
      </c>
      <c r="C19" s="8" t="n">
        <v>135.8134569332</v>
      </c>
      <c r="D19" s="8" t="n">
        <v>0.0</v>
      </c>
      <c r="E19" s="8">
        <f t="shared" si="0"/>
        <v>3224.8236041552</v>
      </c>
      <c r="F19" s="21">
        <f t="shared" si="1"/>
        <v>1.7522104649697216E-2</v>
      </c>
      <c r="H19" s="121">
        <v>8</v>
      </c>
      <c r="I19" s="211" t="n">
        <v>4255.0</v>
      </c>
      <c r="J19" s="301" t="n">
        <v>487.0</v>
      </c>
      <c r="K19" s="391" t="n">
        <v>435.0</v>
      </c>
      <c r="L19">
        <f t="shared" si="2"/>
        <v>5026</v>
      </c>
      <c r="M19" s="21">
        <f t="shared" si="3"/>
        <v>2.1547233714175475E-2</v>
      </c>
    </row>
    <row r="20" spans="1:13" x14ac:dyDescent="0.45">
      <c r="A20">
        <v>9</v>
      </c>
      <c r="B20" s="8" t="n">
        <v>5132.7681135558005</v>
      </c>
      <c r="C20" s="8" t="n">
        <v>569.63114261</v>
      </c>
      <c r="D20" s="8" t="n">
        <v>0.0</v>
      </c>
      <c r="E20" s="8">
        <f t="shared" si="0"/>
        <v>5702.3992561658006</v>
      </c>
      <c r="F20" s="21">
        <f t="shared" si="1"/>
        <v>3.0984031620256026E-2</v>
      </c>
      <c r="H20" s="122">
        <v>9</v>
      </c>
      <c r="I20" s="212" t="n">
        <v>3802.0</v>
      </c>
      <c r="J20" s="302" t="n">
        <v>421.0</v>
      </c>
      <c r="K20" s="392" t="n">
        <v>409.0</v>
      </c>
      <c r="L20">
        <f t="shared" si="2"/>
        <v>4657</v>
      </c>
      <c r="M20" s="21">
        <f t="shared" si="3"/>
        <v>1.9965274056290325E-2</v>
      </c>
    </row>
    <row r="21" spans="1:13" x14ac:dyDescent="0.45">
      <c r="A21">
        <v>10</v>
      </c>
      <c r="B21" s="8" t="n">
        <v>793.202713876</v>
      </c>
      <c r="C21" s="8" t="n">
        <v>0.0</v>
      </c>
      <c r="D21" s="8" t="n">
        <v>0.0</v>
      </c>
      <c r="E21" s="8">
        <f t="shared" si="0"/>
        <v>793.20271387599996</v>
      </c>
      <c r="F21" s="21">
        <f t="shared" si="1"/>
        <v>4.3098732417645178E-3</v>
      </c>
      <c r="H21" s="123">
        <v>10</v>
      </c>
      <c r="I21" s="213" t="n">
        <v>3117.0</v>
      </c>
      <c r="J21" s="303" t="n">
        <v>392.0</v>
      </c>
      <c r="K21" s="393" t="n">
        <v>361.0</v>
      </c>
      <c r="L21">
        <f t="shared" si="2"/>
        <v>3792</v>
      </c>
      <c r="M21" s="21">
        <f t="shared" si="3"/>
        <v>1.62568862403807E-2</v>
      </c>
    </row>
    <row r="22" spans="1:13" x14ac:dyDescent="0.45">
      <c r="A22">
        <v>11</v>
      </c>
      <c r="B22" s="8" t="n">
        <v>3303.7878851748</v>
      </c>
      <c r="C22" s="8" t="n">
        <v>0.0</v>
      </c>
      <c r="D22" s="8" t="n">
        <v>0.0</v>
      </c>
      <c r="E22" s="8">
        <f t="shared" si="0"/>
        <v>3303.7878851748001</v>
      </c>
      <c r="F22" s="21">
        <f t="shared" si="1"/>
        <v>1.7951157697383521E-2</v>
      </c>
      <c r="H22" s="124">
        <v>11</v>
      </c>
      <c r="I22" s="214" t="n">
        <v>2713.0</v>
      </c>
      <c r="J22" s="304" t="n">
        <v>317.0</v>
      </c>
      <c r="K22" s="394" t="n">
        <v>291.0</v>
      </c>
      <c r="L22">
        <f t="shared" si="2"/>
        <v>3233</v>
      </c>
      <c r="M22" s="21">
        <f t="shared" si="3"/>
        <v>1.3860367409058756E-2</v>
      </c>
    </row>
    <row r="23" spans="1:13" x14ac:dyDescent="0.45">
      <c r="A23">
        <v>12</v>
      </c>
      <c r="B23" s="8" t="n">
        <v>2265.4087678975</v>
      </c>
      <c r="C23" s="8" t="n">
        <v>371.518941673</v>
      </c>
      <c r="D23" s="8" t="n">
        <v>0.0</v>
      </c>
      <c r="E23" s="8">
        <f t="shared" si="0"/>
        <v>2636.9277095705002</v>
      </c>
      <c r="F23" s="21">
        <f t="shared" si="1"/>
        <v>1.4327767640141913E-2</v>
      </c>
      <c r="H23" s="125">
        <v>12</v>
      </c>
      <c r="I23" s="215" t="n">
        <v>2302.0</v>
      </c>
      <c r="J23" s="305" t="n">
        <v>263.0</v>
      </c>
      <c r="K23" s="395" t="n">
        <v>250.0</v>
      </c>
      <c r="L23">
        <f t="shared" si="2"/>
        <v>2829</v>
      </c>
      <c r="M23" s="21">
        <f t="shared" si="3"/>
        <v>1.2128357377119462E-2</v>
      </c>
    </row>
    <row r="24" spans="1:13" x14ac:dyDescent="0.45">
      <c r="A24">
        <v>13</v>
      </c>
      <c r="B24" s="8" t="n">
        <v>2224.621167084</v>
      </c>
      <c r="C24" s="8" t="n">
        <v>0.0</v>
      </c>
      <c r="D24" s="8" t="n">
        <v>0.0</v>
      </c>
      <c r="E24" s="8">
        <f t="shared" si="0"/>
        <v>2224.6211670839998</v>
      </c>
      <c r="F24" s="21">
        <f t="shared" si="1"/>
        <v>1.2087496768924486E-2</v>
      </c>
      <c r="H24" s="126">
        <v>13</v>
      </c>
      <c r="I24" s="216" t="n">
        <v>1954.0</v>
      </c>
      <c r="J24" s="306" t="n">
        <v>255.0</v>
      </c>
      <c r="K24" s="396" t="n">
        <v>207.0</v>
      </c>
      <c r="L24">
        <f t="shared" si="2"/>
        <v>2342</v>
      </c>
      <c r="M24" s="21">
        <f t="shared" si="3"/>
        <v>1.004051360099462E-2</v>
      </c>
    </row>
    <row r="25" spans="1:13" x14ac:dyDescent="0.45">
      <c r="A25">
        <v>14</v>
      </c>
      <c r="B25" s="8" t="n">
        <v>6622.1749909665</v>
      </c>
      <c r="C25" s="8" t="n">
        <v>145.384465385</v>
      </c>
      <c r="D25" s="8" t="n">
        <v>0.0</v>
      </c>
      <c r="E25" s="8">
        <f t="shared" si="0"/>
        <v>6767.5594563515006</v>
      </c>
      <c r="F25" s="21">
        <f t="shared" si="1"/>
        <v>3.6771588022503209E-2</v>
      </c>
      <c r="H25" s="127">
        <v>14</v>
      </c>
      <c r="I25" s="217" t="n">
        <v>1640.0</v>
      </c>
      <c r="J25" s="307" t="n">
        <v>210.0</v>
      </c>
      <c r="K25" s="397" t="n">
        <v>163.0</v>
      </c>
      <c r="L25">
        <f t="shared" si="2"/>
        <v>2040</v>
      </c>
      <c r="M25" s="21">
        <f t="shared" si="3"/>
        <v>8.7457932305845532E-3</v>
      </c>
    </row>
    <row r="26" spans="1:13" x14ac:dyDescent="0.45">
      <c r="A26">
        <v>15</v>
      </c>
      <c r="B26" s="8" t="n">
        <v>5365.6273869016995</v>
      </c>
      <c r="C26" s="8" t="n">
        <v>0.0</v>
      </c>
      <c r="D26" s="8" t="n">
        <v>0.0</v>
      </c>
      <c r="E26" s="8">
        <f t="shared" si="0"/>
        <v>5365.6273869016995</v>
      </c>
      <c r="F26" s="21">
        <f t="shared" si="1"/>
        <v>2.9154178995536854E-2</v>
      </c>
      <c r="H26" s="128">
        <v>15</v>
      </c>
      <c r="I26" s="218" t="n">
        <v>1258.0</v>
      </c>
      <c r="J26" s="308" t="n">
        <v>160.0</v>
      </c>
      <c r="K26" s="398" t="n">
        <v>132.0</v>
      </c>
      <c r="L26">
        <f t="shared" si="2"/>
        <v>1610</v>
      </c>
      <c r="M26" s="21">
        <f t="shared" si="3"/>
        <v>6.9023172064907505E-3</v>
      </c>
    </row>
    <row r="27" spans="1:13" x14ac:dyDescent="0.45">
      <c r="A27">
        <v>16</v>
      </c>
      <c r="B27" s="8" t="n">
        <v>8794.1256717136</v>
      </c>
      <c r="C27" s="8" t="n">
        <v>618.978643154</v>
      </c>
      <c r="D27" s="8" t="n">
        <v>0.0</v>
      </c>
      <c r="E27" s="8">
        <f t="shared" si="0"/>
        <v>9413.1043148675999</v>
      </c>
      <c r="F27" s="21">
        <f t="shared" si="1"/>
        <v>5.114617700983827E-2</v>
      </c>
      <c r="H27" s="129">
        <v>16</v>
      </c>
      <c r="I27" s="219" t="n">
        <v>1525.0</v>
      </c>
      <c r="J27" s="309" t="n">
        <v>183.0</v>
      </c>
      <c r="K27" s="399" t="n">
        <v>170.0</v>
      </c>
      <c r="L27">
        <f t="shared" si="2"/>
        <v>1776</v>
      </c>
      <c r="M27" s="21">
        <f t="shared" si="3"/>
        <v>7.6139846948618467E-3</v>
      </c>
    </row>
    <row r="28" spans="1:13" x14ac:dyDescent="0.45">
      <c r="A28">
        <v>17</v>
      </c>
      <c r="B28" s="8" t="n">
        <v>4317.151532284</v>
      </c>
      <c r="C28" s="8" t="n">
        <v>0.0</v>
      </c>
      <c r="D28" s="8" t="n">
        <v>0.0</v>
      </c>
      <c r="E28" s="8">
        <f t="shared" si="0"/>
        <v>4317.1515322839996</v>
      </c>
      <c r="F28" s="21">
        <f t="shared" si="1"/>
        <v>2.3457277117362712E-2</v>
      </c>
      <c r="H28" s="130">
        <v>17</v>
      </c>
      <c r="I28" s="220" t="n">
        <v>1309.0</v>
      </c>
      <c r="J28" s="310" t="n">
        <v>143.0</v>
      </c>
      <c r="K28" s="400" t="n">
        <v>123.0</v>
      </c>
      <c r="L28">
        <f t="shared" si="2"/>
        <v>1634</v>
      </c>
      <c r="M28" s="21">
        <f t="shared" si="3"/>
        <v>7.0052088915564508E-3</v>
      </c>
    </row>
    <row r="29" spans="1:13" x14ac:dyDescent="0.45">
      <c r="A29">
        <v>18</v>
      </c>
      <c r="B29" s="8" t="n">
        <v>13371.8236885691</v>
      </c>
      <c r="C29" s="8" t="n">
        <v>558.9171554939</v>
      </c>
      <c r="D29" s="8" t="n">
        <v>0.0</v>
      </c>
      <c r="E29" s="8">
        <f t="shared" si="0"/>
        <v>13930.740844063001</v>
      </c>
      <c r="F29" s="21">
        <f t="shared" si="1"/>
        <v>7.5692790949236574E-2</v>
      </c>
      <c r="H29" s="131">
        <v>18</v>
      </c>
      <c r="I29" s="221" t="n">
        <v>12008.0</v>
      </c>
      <c r="J29" s="311" t="n">
        <v>1550.0</v>
      </c>
      <c r="K29" s="401" t="n">
        <v>1289.0</v>
      </c>
      <c r="L29">
        <f t="shared" si="2"/>
        <v>14927</v>
      </c>
      <c r="M29" s="21">
        <f t="shared" si="3"/>
        <v>6.3994340957321386E-2</v>
      </c>
    </row>
    <row r="30" spans="1:13" x14ac:dyDescent="0.45">
      <c r="A30">
        <v>19</v>
      </c>
      <c r="B30" s="8" t="n">
        <v>14511.7462395698</v>
      </c>
      <c r="C30" s="8" t="n">
        <v>442.4962878333</v>
      </c>
      <c r="D30" s="8" t="n">
        <v>295.6132959603</v>
      </c>
      <c r="E30" s="8">
        <f t="shared" si="0"/>
        <v>15249.855823363401</v>
      </c>
      <c r="F30" s="21">
        <f t="shared" si="1"/>
        <v>8.2860212659528795E-2</v>
      </c>
      <c r="H30" s="132">
        <v>19</v>
      </c>
      <c r="I30" s="222" t="n">
        <v>7038.0</v>
      </c>
      <c r="J30" s="312" t="n">
        <v>731.0</v>
      </c>
      <c r="K30" s="402" t="n">
        <v>616.0</v>
      </c>
      <c r="L30">
        <f t="shared" si="2"/>
        <v>8216</v>
      </c>
      <c r="M30" s="21">
        <f t="shared" si="3"/>
        <v>3.5223253520824852E-2</v>
      </c>
    </row>
    <row r="31" spans="1:13" x14ac:dyDescent="0.45">
      <c r="A31">
        <v>20</v>
      </c>
      <c r="B31" s="8" t="n">
        <v>8268.3347137767</v>
      </c>
      <c r="C31" s="8" t="n">
        <v>622.180084074</v>
      </c>
      <c r="D31" s="8" t="n">
        <v>0.0</v>
      </c>
      <c r="E31" s="8">
        <f t="shared" si="0"/>
        <v>8890.5147978506993</v>
      </c>
      <c r="F31" s="21">
        <f t="shared" si="1"/>
        <v>4.8306682721156499E-2</v>
      </c>
      <c r="H31" s="133">
        <v>20</v>
      </c>
      <c r="I31" s="223" t="n">
        <v>6378.0</v>
      </c>
      <c r="J31" s="313" t="n">
        <v>710.0</v>
      </c>
      <c r="K31" s="403" t="n">
        <v>670.0</v>
      </c>
      <c r="L31">
        <f t="shared" si="2"/>
        <v>7587</v>
      </c>
      <c r="M31" s="21">
        <f t="shared" si="3"/>
        <v>3.2526633941394614E-2</v>
      </c>
    </row>
    <row r="32" spans="1:13" x14ac:dyDescent="0.45">
      <c r="A32">
        <v>21</v>
      </c>
      <c r="B32" s="8" t="n">
        <v>8869.306367306</v>
      </c>
      <c r="C32" s="8" t="n">
        <v>1417.41069362</v>
      </c>
      <c r="D32" s="8" t="n">
        <v>86.2921514892</v>
      </c>
      <c r="E32" s="8">
        <f t="shared" si="0"/>
        <v>10373.009212415202</v>
      </c>
      <c r="F32" s="21">
        <f t="shared" si="1"/>
        <v>5.6361827889754273E-2</v>
      </c>
      <c r="H32" s="134">
        <v>21</v>
      </c>
      <c r="I32" s="224" t="n">
        <v>6059.0</v>
      </c>
      <c r="J32" s="314" t="n">
        <v>667.0</v>
      </c>
      <c r="K32" s="404" t="n">
        <v>614.0</v>
      </c>
      <c r="L32">
        <f t="shared" si="2"/>
        <v>7634</v>
      </c>
      <c r="M32" s="21">
        <f t="shared" si="3"/>
        <v>3.2728130157981608E-2</v>
      </c>
    </row>
    <row r="33" spans="1:13" x14ac:dyDescent="0.45">
      <c r="A33">
        <v>22</v>
      </c>
      <c r="B33" s="8" t="n">
        <v>6624.3245086104</v>
      </c>
      <c r="C33" s="8" t="n">
        <v>43.8943422849</v>
      </c>
      <c r="D33" s="8" t="n">
        <v>0.0</v>
      </c>
      <c r="E33" s="8">
        <f t="shared" si="0"/>
        <v>6668.2188508952995</v>
      </c>
      <c r="F33" s="21">
        <f t="shared" si="1"/>
        <v>3.6231820054256826E-2</v>
      </c>
      <c r="H33" s="135">
        <v>22</v>
      </c>
      <c r="I33" s="225" t="n">
        <v>6529.0</v>
      </c>
      <c r="J33" s="315" t="n">
        <v>806.0</v>
      </c>
      <c r="K33" s="405" t="n">
        <v>611.0</v>
      </c>
      <c r="L33">
        <f t="shared" si="2"/>
        <v>8025</v>
      </c>
      <c r="M33" s="21">
        <f t="shared" si="3"/>
        <v>3.4404407193843647E-2</v>
      </c>
    </row>
    <row r="34" spans="1:13" x14ac:dyDescent="0.45">
      <c r="A34">
        <v>23</v>
      </c>
      <c r="B34" s="8" t="n">
        <v>2024.971281023</v>
      </c>
      <c r="C34" s="8" t="n">
        <v>92.3910074567</v>
      </c>
      <c r="D34" s="8" t="n">
        <v>0.0</v>
      </c>
      <c r="E34" s="8">
        <f t="shared" si="0"/>
        <v>2117.3622884797001</v>
      </c>
      <c r="F34" s="21">
        <f t="shared" si="1"/>
        <v>1.1504704800677884E-2</v>
      </c>
      <c r="H34" s="136">
        <v>23</v>
      </c>
      <c r="I34" s="226" t="n">
        <v>4929.0</v>
      </c>
      <c r="J34" s="316" t="n">
        <v>439.0</v>
      </c>
      <c r="K34" s="406" t="n">
        <v>466.0</v>
      </c>
      <c r="L34">
        <f t="shared" si="2"/>
        <v>6090</v>
      </c>
      <c r="M34" s="21">
        <f t="shared" si="3"/>
        <v>2.6108765085421533E-2</v>
      </c>
    </row>
    <row r="35" spans="1:13" x14ac:dyDescent="0.45">
      <c r="A35">
        <v>24</v>
      </c>
      <c r="B35" s="8" t="n">
        <v>2928.7438684278</v>
      </c>
      <c r="C35" s="8" t="n">
        <v>0.0</v>
      </c>
      <c r="D35" s="8" t="n">
        <v>0.0</v>
      </c>
      <c r="E35" s="8">
        <f t="shared" si="0"/>
        <v>2928.7438684278</v>
      </c>
      <c r="F35" s="21">
        <f t="shared" si="1"/>
        <v>1.591335305553699E-2</v>
      </c>
      <c r="H35" s="137">
        <v>24</v>
      </c>
      <c r="I35" s="227" t="n">
        <v>3956.0</v>
      </c>
      <c r="J35" s="317" t="n">
        <v>445.0</v>
      </c>
      <c r="K35" s="407" t="n">
        <v>425.0</v>
      </c>
      <c r="L35">
        <f t="shared" si="2"/>
        <v>4494</v>
      </c>
      <c r="M35" s="21">
        <f t="shared" si="3"/>
        <v>1.9266468028552444E-2</v>
      </c>
    </row>
    <row r="36" spans="1:13" x14ac:dyDescent="0.45">
      <c r="A36">
        <v>25</v>
      </c>
      <c r="B36" s="8" t="n">
        <v>383.2277741149</v>
      </c>
      <c r="C36" s="8" t="n">
        <v>0.0</v>
      </c>
      <c r="D36" s="8" t="n">
        <v>0.0</v>
      </c>
      <c r="E36" s="8">
        <f t="shared" si="0"/>
        <v>383.2277741149</v>
      </c>
      <c r="F36" s="21">
        <f t="shared" si="1"/>
        <v>2.0822711524622773E-3</v>
      </c>
      <c r="H36" s="138">
        <v>25</v>
      </c>
      <c r="I36" s="228" t="n">
        <v>3884.0</v>
      </c>
      <c r="J36" s="318" t="n">
        <v>430.0</v>
      </c>
      <c r="K36" s="408" t="n">
        <v>372.0</v>
      </c>
      <c r="L36">
        <f t="shared" si="2"/>
        <v>5127</v>
      </c>
      <c r="M36" s="21">
        <f t="shared" si="3"/>
        <v>2.1980236222160297E-2</v>
      </c>
    </row>
    <row r="37" spans="1:13" x14ac:dyDescent="0.45">
      <c r="A37">
        <v>26</v>
      </c>
      <c r="B37" s="8" t="n">
        <v>4423.3362208229</v>
      </c>
      <c r="C37" s="8" t="n">
        <v>0.0</v>
      </c>
      <c r="D37" s="8" t="n">
        <v>0.0</v>
      </c>
      <c r="E37" s="8">
        <f t="shared" si="0"/>
        <v>4423.3362208229</v>
      </c>
      <c r="F37" s="21">
        <f t="shared" si="1"/>
        <v>2.4034232465362758E-2</v>
      </c>
      <c r="H37" s="139">
        <v>26</v>
      </c>
      <c r="I37" s="229" t="n">
        <v>3164.0</v>
      </c>
      <c r="J37" s="319" t="n">
        <v>392.0</v>
      </c>
      <c r="K37" s="409" t="n">
        <v>322.0</v>
      </c>
      <c r="L37">
        <f t="shared" si="2"/>
        <v>3473</v>
      </c>
      <c r="M37" s="21">
        <f t="shared" si="3"/>
        <v>1.4889284259715762E-2</v>
      </c>
    </row>
    <row r="38" spans="1:13" x14ac:dyDescent="0.45">
      <c r="A38">
        <v>27</v>
      </c>
      <c r="B38" s="8" t="n">
        <v>1369.467945839</v>
      </c>
      <c r="C38" s="8" t="n">
        <v>56.1388760904</v>
      </c>
      <c r="D38" s="8" t="n">
        <v>0.0</v>
      </c>
      <c r="E38" s="8">
        <f t="shared" si="0"/>
        <v>1425.6068219294</v>
      </c>
      <c r="F38" s="21">
        <f t="shared" si="1"/>
        <v>7.7460459824788058E-3</v>
      </c>
      <c r="H38" s="140">
        <v>27</v>
      </c>
      <c r="I38" s="230" t="n">
        <v>1991.0</v>
      </c>
      <c r="J38" s="320" t="n">
        <v>207.0</v>
      </c>
      <c r="K38" s="410" t="n">
        <v>169.0</v>
      </c>
      <c r="L38">
        <f t="shared" si="2"/>
        <v>2886</v>
      </c>
      <c r="M38" s="21">
        <f t="shared" si="3"/>
        <v>1.23727251291505E-2</v>
      </c>
    </row>
    <row r="39" spans="1:13" x14ac:dyDescent="0.45">
      <c r="A39">
        <v>28</v>
      </c>
      <c r="B39" s="8" t="n">
        <v>0.0</v>
      </c>
      <c r="C39" s="8" t="n">
        <v>0.0</v>
      </c>
      <c r="D39" s="8" t="n">
        <v>117.557623914</v>
      </c>
      <c r="E39" s="8">
        <f t="shared" si="0"/>
        <v>117.557623914</v>
      </c>
      <c r="F39" s="21">
        <f t="shared" si="1"/>
        <v>6.3875028263149676E-4</v>
      </c>
      <c r="H39" s="141">
        <v>28</v>
      </c>
      <c r="I39" s="231" t="n">
        <v>2564.0</v>
      </c>
      <c r="J39" s="321" t="n">
        <v>295.0</v>
      </c>
      <c r="K39" s="411" t="n">
        <v>233.0</v>
      </c>
      <c r="L39">
        <f t="shared" si="2"/>
        <v>2817</v>
      </c>
      <c r="M39" s="21">
        <f t="shared" si="3"/>
        <v>1.2076911534586612E-2</v>
      </c>
    </row>
    <row r="40" spans="1:13" x14ac:dyDescent="0.45">
      <c r="A40">
        <v>29</v>
      </c>
      <c r="B40" s="8" t="n">
        <v>368.01794152919996</v>
      </c>
      <c r="C40" s="8" t="n">
        <v>0.0</v>
      </c>
      <c r="D40" s="8" t="n">
        <v>0.0</v>
      </c>
      <c r="E40" s="8">
        <f t="shared" si="0"/>
        <v>368.01794152919996</v>
      </c>
      <c r="F40" s="21">
        <f t="shared" si="1"/>
        <v>1.9996284063822705E-3</v>
      </c>
      <c r="H40" s="142">
        <v>29</v>
      </c>
      <c r="I40" s="232" t="n">
        <v>2949.0</v>
      </c>
      <c r="J40" s="322" t="n">
        <v>320.0</v>
      </c>
      <c r="K40" s="412" t="n">
        <v>261.0</v>
      </c>
      <c r="L40">
        <f t="shared" si="2"/>
        <v>2967</v>
      </c>
      <c r="M40" s="21">
        <f t="shared" si="3"/>
        <v>1.271998456624724E-2</v>
      </c>
    </row>
    <row r="41" spans="1:13" x14ac:dyDescent="0.45">
      <c r="A41">
        <v>30</v>
      </c>
      <c r="B41" s="8" t="n">
        <v>688.323660681</v>
      </c>
      <c r="C41" s="8" t="n">
        <v>0.0</v>
      </c>
      <c r="D41" s="8" t="n">
        <v>0.0</v>
      </c>
      <c r="E41" s="8">
        <f t="shared" si="0"/>
        <v>688.32366068099998</v>
      </c>
      <c r="F41" s="21">
        <f t="shared" si="1"/>
        <v>3.7400120737688287E-3</v>
      </c>
      <c r="H41" s="143">
        <v>30</v>
      </c>
      <c r="I41" s="233" t="n">
        <v>2074.0</v>
      </c>
      <c r="J41" s="323" t="n">
        <v>227.0</v>
      </c>
      <c r="K41" s="413" t="n">
        <v>184.0</v>
      </c>
      <c r="L41">
        <f t="shared" si="2"/>
        <v>2836</v>
      </c>
      <c r="M41" s="21">
        <f t="shared" si="3"/>
        <v>1.2158367451930292E-2</v>
      </c>
    </row>
    <row r="42" spans="1:13" x14ac:dyDescent="0.45">
      <c r="A42">
        <v>31</v>
      </c>
      <c r="B42" s="8" t="n">
        <v>0.0</v>
      </c>
      <c r="C42" s="8" t="n">
        <v>0.0</v>
      </c>
      <c r="D42" s="8" t="n">
        <v>0.0</v>
      </c>
      <c r="E42" s="8">
        <f t="shared" si="0"/>
        <v>0</v>
      </c>
      <c r="F42" s="21">
        <f t="shared" si="1"/>
        <v>0</v>
      </c>
      <c r="H42" s="144">
        <v>31</v>
      </c>
      <c r="I42" s="234" t="n">
        <v>1623.0</v>
      </c>
      <c r="J42" s="324" t="n">
        <v>162.0</v>
      </c>
      <c r="K42" s="414" t="n">
        <v>159.0</v>
      </c>
      <c r="L42">
        <f t="shared" si="2"/>
        <v>2055</v>
      </c>
      <c r="M42" s="21">
        <f t="shared" si="3"/>
        <v>8.8101005337506162E-3</v>
      </c>
    </row>
    <row r="43" spans="1:13" x14ac:dyDescent="0.45">
      <c r="A43">
        <v>32</v>
      </c>
      <c r="B43" s="8" t="n">
        <v>0.0</v>
      </c>
      <c r="C43" s="8" t="n">
        <v>0.0</v>
      </c>
      <c r="D43" s="8" t="n">
        <v>0.0</v>
      </c>
      <c r="E43" s="8">
        <f t="shared" si="0"/>
        <v>0</v>
      </c>
      <c r="F43" s="21">
        <f t="shared" si="1"/>
        <v>0</v>
      </c>
      <c r="H43" s="145">
        <v>32</v>
      </c>
      <c r="I43" s="235" t="n">
        <v>1513.0</v>
      </c>
      <c r="J43" s="325" t="n">
        <v>167.0</v>
      </c>
      <c r="K43" s="415" t="n">
        <v>135.0</v>
      </c>
      <c r="L43">
        <f t="shared" si="2"/>
        <v>1608</v>
      </c>
      <c r="M43" s="21">
        <f t="shared" si="3"/>
        <v>6.8937428994019423E-3</v>
      </c>
    </row>
    <row r="44" spans="1:13" x14ac:dyDescent="0.45">
      <c r="A44">
        <v>33</v>
      </c>
      <c r="B44" s="8" t="n">
        <v>0.0</v>
      </c>
      <c r="C44" s="8" t="n">
        <v>0.0</v>
      </c>
      <c r="D44" s="8" t="n">
        <v>0.0</v>
      </c>
      <c r="E44" s="8">
        <f t="shared" si="0"/>
        <v>0</v>
      </c>
      <c r="F44" s="21">
        <f t="shared" si="1"/>
        <v>0</v>
      </c>
      <c r="H44" s="146">
        <v>33</v>
      </c>
      <c r="I44" s="236" t="n">
        <v>2874.0</v>
      </c>
      <c r="J44" s="326" t="n">
        <v>237.0</v>
      </c>
      <c r="K44" s="416" t="n">
        <v>189.0</v>
      </c>
      <c r="L44">
        <f t="shared" si="2"/>
        <v>3282</v>
      </c>
      <c r="M44" s="21">
        <f t="shared" si="3"/>
        <v>1.4070437932734561E-2</v>
      </c>
    </row>
    <row r="45" spans="1:13" x14ac:dyDescent="0.45">
      <c r="A45">
        <v>34</v>
      </c>
      <c r="B45" s="8" t="n">
        <v>2743.3576988123</v>
      </c>
      <c r="C45" s="8" t="n">
        <v>0.0</v>
      </c>
      <c r="D45" s="8" t="n">
        <v>2026.8388074595</v>
      </c>
      <c r="E45" s="8">
        <f t="shared" si="0"/>
        <v>4770.1965062718</v>
      </c>
      <c r="F45" s="21">
        <f t="shared" si="1"/>
        <v>2.5918900579497216E-2</v>
      </c>
      <c r="H45" s="147">
        <v>34</v>
      </c>
      <c r="I45" s="237" t="n">
        <v>1228.0</v>
      </c>
      <c r="J45" s="327" t="n">
        <v>141.0</v>
      </c>
      <c r="K45" s="417" t="n">
        <v>110.0</v>
      </c>
      <c r="L45">
        <f t="shared" si="2"/>
        <v>1464</v>
      </c>
      <c r="M45" s="21">
        <f t="shared" si="3"/>
        <v>6.276392789007738E-3</v>
      </c>
    </row>
    <row r="46" spans="1:13" x14ac:dyDescent="0.45">
      <c r="A46">
        <v>35</v>
      </c>
      <c r="B46" s="8" t="n">
        <v>58.1735784831</v>
      </c>
      <c r="C46" s="8" t="n">
        <v>0.0</v>
      </c>
      <c r="D46" s="8" t="n">
        <v>0.0</v>
      </c>
      <c r="E46" s="8">
        <f t="shared" si="0"/>
        <v>58.173578483100002</v>
      </c>
      <c r="F46" s="21">
        <f t="shared" si="1"/>
        <v>3.160866004313691E-4</v>
      </c>
      <c r="H46" s="148">
        <v>35</v>
      </c>
      <c r="I46" s="238" t="n">
        <v>1382.0</v>
      </c>
      <c r="J46" s="328" t="n">
        <v>126.0</v>
      </c>
      <c r="K46" s="418" t="n">
        <v>102.0</v>
      </c>
      <c r="L46">
        <f t="shared" si="2"/>
        <v>1455</v>
      </c>
      <c r="M46" s="21">
        <f t="shared" si="3"/>
        <v>6.2378084071081008E-3</v>
      </c>
    </row>
    <row r="47" spans="1:13" x14ac:dyDescent="0.45">
      <c r="A47">
        <v>36</v>
      </c>
      <c r="B47" s="8" t="n">
        <v>491.234749696</v>
      </c>
      <c r="C47" s="8" t="n">
        <v>327.039856179</v>
      </c>
      <c r="D47" s="8" t="n">
        <v>0.0</v>
      </c>
      <c r="E47" s="8">
        <f t="shared" si="0"/>
        <v>818.27460587500002</v>
      </c>
      <c r="F47" s="21">
        <f t="shared" si="1"/>
        <v>4.4461015659452048E-3</v>
      </c>
      <c r="H47" s="149">
        <v>36</v>
      </c>
      <c r="I47" s="239" t="n">
        <v>1106.0</v>
      </c>
      <c r="J47" s="329" t="n">
        <v>109.0</v>
      </c>
      <c r="K47" s="419" t="n">
        <v>81.0</v>
      </c>
      <c r="L47">
        <f t="shared" si="2"/>
        <v>1432</v>
      </c>
      <c r="M47" s="21">
        <f t="shared" si="3"/>
        <v>6.1392038755868038E-3</v>
      </c>
    </row>
    <row r="48" spans="1:13" x14ac:dyDescent="0.45">
      <c r="A48">
        <v>37</v>
      </c>
      <c r="B48" s="8" t="n">
        <v>61.2806320189</v>
      </c>
      <c r="C48" s="8" t="n">
        <v>153.293833701</v>
      </c>
      <c r="D48" s="8" t="n">
        <v>0.0</v>
      </c>
      <c r="E48" s="8">
        <f t="shared" si="0"/>
        <v>214.57446571990002</v>
      </c>
      <c r="F48" s="21">
        <f t="shared" si="1"/>
        <v>1.16589206263947E-3</v>
      </c>
      <c r="H48" s="150">
        <v>37</v>
      </c>
      <c r="I48" s="240" t="n">
        <v>1437.0</v>
      </c>
      <c r="J48" s="330" t="n">
        <v>124.0</v>
      </c>
      <c r="K48" s="420" t="n">
        <v>112.0</v>
      </c>
      <c r="L48">
        <f t="shared" si="2"/>
        <v>1564</v>
      </c>
      <c r="M48" s="21">
        <f t="shared" si="3"/>
        <v>6.7051081434481574E-3</v>
      </c>
    </row>
    <row r="49" spans="1:13" x14ac:dyDescent="0.45">
      <c r="A49">
        <v>38</v>
      </c>
      <c r="B49" s="8" t="n">
        <v>2333.59376461</v>
      </c>
      <c r="C49" s="8" t="n">
        <v>0.0</v>
      </c>
      <c r="D49" s="8" t="n">
        <v>0.0</v>
      </c>
      <c r="E49" s="8">
        <f t="shared" si="0"/>
        <v>2333.5937646100001</v>
      </c>
      <c r="F49" s="21">
        <f t="shared" si="1"/>
        <v>1.2679600242534518E-2</v>
      </c>
      <c r="H49" s="151">
        <v>38</v>
      </c>
      <c r="I49" s="241" t="n">
        <v>816.0</v>
      </c>
      <c r="J49" s="331" t="n">
        <v>69.0</v>
      </c>
      <c r="K49" s="421" t="n">
        <v>61.0</v>
      </c>
      <c r="L49">
        <f t="shared" si="2"/>
        <v>1292</v>
      </c>
      <c r="M49" s="21">
        <f t="shared" si="3"/>
        <v>5.539002379370217E-3</v>
      </c>
    </row>
    <row r="50" spans="1:13" x14ac:dyDescent="0.45">
      <c r="A50">
        <v>39</v>
      </c>
      <c r="B50" s="8" t="n">
        <v>0.0</v>
      </c>
      <c r="C50" s="8" t="n">
        <v>0.0</v>
      </c>
      <c r="D50" s="8" t="n">
        <v>0.0</v>
      </c>
      <c r="E50" s="8">
        <f t="shared" si="0"/>
        <v>0</v>
      </c>
      <c r="F50" s="21">
        <f t="shared" si="1"/>
        <v>0</v>
      </c>
      <c r="H50" s="152">
        <v>39</v>
      </c>
      <c r="I50" s="242" t="n">
        <v>1336.0</v>
      </c>
      <c r="J50" s="332" t="n">
        <v>110.0</v>
      </c>
      <c r="K50" s="422" t="n">
        <v>95.0</v>
      </c>
      <c r="L50">
        <f t="shared" si="2"/>
        <v>822</v>
      </c>
      <c r="M50" s="21">
        <f t="shared" si="3"/>
        <v>3.5240402135002465E-3</v>
      </c>
    </row>
    <row r="51" spans="1:13" x14ac:dyDescent="0.45">
      <c r="A51">
        <v>40</v>
      </c>
      <c r="B51" s="8" t="n">
        <v>66.5041244869</v>
      </c>
      <c r="C51" s="8" t="n">
        <v>0.0</v>
      </c>
      <c r="D51" s="8" t="n">
        <v>0.0</v>
      </c>
      <c r="E51" s="8">
        <f t="shared" si="0"/>
        <v>66.504124486899997</v>
      </c>
      <c r="F51" s="21">
        <f t="shared" si="1"/>
        <v>3.6135068826538867E-4</v>
      </c>
      <c r="H51" s="153">
        <v>40</v>
      </c>
      <c r="I51" s="243" t="n">
        <v>580.0</v>
      </c>
      <c r="J51" s="333" t="n">
        <v>58.0</v>
      </c>
      <c r="K51" s="423" t="n">
        <v>41.0</v>
      </c>
      <c r="L51">
        <f t="shared" si="2"/>
        <v>852</v>
      </c>
      <c r="M51" s="21">
        <f t="shared" si="3"/>
        <v>3.6526548198323721E-3</v>
      </c>
    </row>
    <row r="52" spans="1:13" x14ac:dyDescent="0.45">
      <c r="A52">
        <v>41</v>
      </c>
      <c r="B52" s="8" t="n">
        <v>865.919580817</v>
      </c>
      <c r="C52" s="8" t="n">
        <v>0.0</v>
      </c>
      <c r="D52" s="8" t="n">
        <v>383.206555392</v>
      </c>
      <c r="E52" s="8">
        <f t="shared" si="0"/>
        <v>1249.1261362089999</v>
      </c>
      <c r="F52" s="21">
        <f t="shared" si="1"/>
        <v>6.7871367758298847E-3</v>
      </c>
      <c r="H52" s="154">
        <v>41</v>
      </c>
      <c r="I52" s="244" t="n">
        <v>616.0</v>
      </c>
      <c r="J52" s="334" t="n">
        <v>66.0</v>
      </c>
      <c r="K52" s="424" t="n">
        <v>46.0</v>
      </c>
      <c r="L52">
        <f t="shared" si="2"/>
        <v>859</v>
      </c>
      <c r="M52" s="21">
        <f t="shared" si="3"/>
        <v>3.6826648946432015E-3</v>
      </c>
    </row>
    <row r="53" spans="1:13" x14ac:dyDescent="0.45">
      <c r="A53">
        <v>42</v>
      </c>
      <c r="B53" s="8" t="n">
        <v>0.0</v>
      </c>
      <c r="C53" s="8" t="n">
        <v>0.0</v>
      </c>
      <c r="D53" s="8" t="n">
        <v>0.0</v>
      </c>
      <c r="E53" s="8">
        <f t="shared" si="0"/>
        <v>0</v>
      </c>
      <c r="F53" s="21">
        <f t="shared" si="1"/>
        <v>0</v>
      </c>
      <c r="H53" s="155">
        <v>42</v>
      </c>
      <c r="I53" s="245" t="n">
        <v>511.0</v>
      </c>
      <c r="J53" s="335" t="n">
        <v>39.0</v>
      </c>
      <c r="K53" s="425" t="n">
        <v>43.0</v>
      </c>
      <c r="L53">
        <f t="shared" si="2"/>
        <v>569</v>
      </c>
      <c r="M53" s="21">
        <f t="shared" si="3"/>
        <v>2.4393903667659857E-3</v>
      </c>
    </row>
    <row r="54" spans="1:13" x14ac:dyDescent="0.45">
      <c r="A54">
        <v>43</v>
      </c>
      <c r="B54" s="8" t="n">
        <v>79.1127528623</v>
      </c>
      <c r="C54" s="8" t="n">
        <v>0.0</v>
      </c>
      <c r="D54" s="8" t="n">
        <v>0.0</v>
      </c>
      <c r="E54" s="8">
        <f t="shared" si="0"/>
        <v>79.112752862299999</v>
      </c>
      <c r="F54" s="21">
        <f t="shared" si="1"/>
        <v>4.2985977062208925E-4</v>
      </c>
      <c r="H54" s="156">
        <v>43</v>
      </c>
      <c r="I54" s="246" t="n">
        <v>570.0</v>
      </c>
      <c r="J54" s="336" t="n">
        <v>54.0</v>
      </c>
      <c r="K54" s="426" t="n">
        <v>52.0</v>
      </c>
      <c r="L54">
        <f t="shared" si="2"/>
        <v>623</v>
      </c>
      <c r="M54" s="21">
        <f t="shared" si="3"/>
        <v>2.6708966581638119E-3</v>
      </c>
    </row>
    <row r="55" spans="1:13" x14ac:dyDescent="0.45">
      <c r="A55">
        <v>44</v>
      </c>
      <c r="B55" s="8" t="n">
        <v>0.0</v>
      </c>
      <c r="C55" s="8" t="n">
        <v>0.0</v>
      </c>
      <c r="D55" s="8" t="n">
        <v>0.0</v>
      </c>
      <c r="E55" s="8">
        <f t="shared" si="0"/>
        <v>0</v>
      </c>
      <c r="F55" s="21">
        <f t="shared" si="1"/>
        <v>0</v>
      </c>
      <c r="H55" s="157">
        <v>44</v>
      </c>
      <c r="I55" s="247" t="n">
        <v>414.0</v>
      </c>
      <c r="J55" s="337" t="n">
        <v>40.0</v>
      </c>
      <c r="K55" s="427" t="n">
        <v>26.0</v>
      </c>
      <c r="L55">
        <f t="shared" si="2"/>
        <v>548</v>
      </c>
      <c r="M55" s="21">
        <f t="shared" si="3"/>
        <v>2.3493601423334978E-3</v>
      </c>
    </row>
    <row r="56" spans="1:13" x14ac:dyDescent="0.45">
      <c r="A56">
        <v>45</v>
      </c>
      <c r="B56" s="8" t="n">
        <v>6450.1613751455</v>
      </c>
      <c r="C56" s="8" t="n">
        <v>0.0</v>
      </c>
      <c r="D56" s="8" t="n">
        <v>0.0</v>
      </c>
      <c r="E56" s="8">
        <f t="shared" si="0"/>
        <v>6450.1613751454997</v>
      </c>
      <c r="F56" s="21">
        <f t="shared" si="1"/>
        <v>3.5047003028974059E-2</v>
      </c>
      <c r="H56" s="158">
        <v>45</v>
      </c>
      <c r="I56" s="248" t="n">
        <v>457.0</v>
      </c>
      <c r="J56" s="338" t="n">
        <v>37.0</v>
      </c>
      <c r="K56" s="428" t="n">
        <v>35.0</v>
      </c>
      <c r="L56">
        <f t="shared" si="2"/>
        <v>591</v>
      </c>
      <c r="M56" s="21">
        <f t="shared" si="3"/>
        <v>2.5337077447428781E-3</v>
      </c>
    </row>
    <row r="57" spans="1:13" x14ac:dyDescent="0.45">
      <c r="A57">
        <v>46</v>
      </c>
      <c r="B57" s="8" t="n">
        <v>590.5251933889999</v>
      </c>
      <c r="C57" s="8" t="n">
        <v>0.0</v>
      </c>
      <c r="D57" s="8" t="n">
        <v>0.0</v>
      </c>
      <c r="E57" s="8">
        <f t="shared" si="0"/>
        <v>590.52519338899992</v>
      </c>
      <c r="F57" s="21">
        <f t="shared" si="1"/>
        <v>3.208623325478104E-3</v>
      </c>
      <c r="H57" s="159">
        <v>46</v>
      </c>
      <c r="I57" s="249" t="n">
        <v>369.0</v>
      </c>
      <c r="J57" s="339" t="n">
        <v>48.0</v>
      </c>
      <c r="K57" s="429" t="n">
        <v>32.0</v>
      </c>
      <c r="L57">
        <f t="shared" si="2"/>
        <v>462</v>
      </c>
      <c r="M57" s="21">
        <f t="shared" si="3"/>
        <v>1.9806649375147369E-3</v>
      </c>
    </row>
    <row r="58" spans="1:13" x14ac:dyDescent="0.45">
      <c r="A58">
        <v>47</v>
      </c>
      <c r="B58" s="8" t="n">
        <v>0.0</v>
      </c>
      <c r="C58" s="8" t="n">
        <v>0.0</v>
      </c>
      <c r="D58" s="8" t="n">
        <v>0.0</v>
      </c>
      <c r="E58" s="8">
        <f t="shared" si="0"/>
        <v>0</v>
      </c>
      <c r="F58" s="21">
        <f t="shared" si="1"/>
        <v>0</v>
      </c>
      <c r="H58" s="160">
        <v>47</v>
      </c>
      <c r="I58" s="250" t="n">
        <v>404.0</v>
      </c>
      <c r="J58" s="340" t="n">
        <v>50.0</v>
      </c>
      <c r="K58" s="430" t="n">
        <v>30.0</v>
      </c>
      <c r="L58">
        <f t="shared" si="2"/>
        <v>558</v>
      </c>
      <c r="M58" s="21">
        <f t="shared" si="3"/>
        <v>2.3922316777775397E-3</v>
      </c>
    </row>
    <row r="59" spans="1:13" x14ac:dyDescent="0.45">
      <c r="A59">
        <v>48</v>
      </c>
      <c r="B59" s="8" t="n">
        <v>0.0</v>
      </c>
      <c r="C59" s="8" t="n">
        <v>0.0</v>
      </c>
      <c r="D59" s="8" t="n">
        <v>0.0</v>
      </c>
      <c r="E59" s="8">
        <f t="shared" si="0"/>
        <v>0</v>
      </c>
      <c r="F59" s="21">
        <f t="shared" si="1"/>
        <v>0</v>
      </c>
      <c r="H59" s="161">
        <v>48</v>
      </c>
      <c r="I59" s="251" t="n">
        <v>326.0</v>
      </c>
      <c r="J59" s="341" t="n">
        <v>29.0</v>
      </c>
      <c r="K59" s="431" t="n">
        <v>22.0</v>
      </c>
      <c r="L59">
        <f t="shared" si="2"/>
        <v>348</v>
      </c>
      <c r="M59" s="21">
        <f t="shared" si="3"/>
        <v>1.4919294334526591E-3</v>
      </c>
    </row>
    <row r="60" spans="1:13" x14ac:dyDescent="0.45">
      <c r="A60">
        <v>49</v>
      </c>
      <c r="B60" s="8" t="n">
        <v>0.0</v>
      </c>
      <c r="C60" s="8" t="n">
        <v>0.0</v>
      </c>
      <c r="D60" s="8" t="n">
        <v>0.0</v>
      </c>
      <c r="E60" s="8">
        <f t="shared" si="0"/>
        <v>0</v>
      </c>
      <c r="F60" s="21">
        <f t="shared" si="1"/>
        <v>0</v>
      </c>
      <c r="H60" s="162">
        <v>49</v>
      </c>
      <c r="I60" s="252" t="n">
        <v>344.0</v>
      </c>
      <c r="J60" s="342" t="n">
        <v>28.0</v>
      </c>
      <c r="K60" s="432" t="n">
        <v>21.0</v>
      </c>
      <c r="L60">
        <f t="shared" si="2"/>
        <v>372</v>
      </c>
      <c r="M60" s="21">
        <f t="shared" si="3"/>
        <v>1.5948211185183598E-3</v>
      </c>
    </row>
    <row r="61" spans="1:13" x14ac:dyDescent="0.45">
      <c r="A61">
        <v>50</v>
      </c>
      <c r="B61" s="8" t="n">
        <v>0.0</v>
      </c>
      <c r="C61" s="8" t="n">
        <v>0.0</v>
      </c>
      <c r="D61" s="8" t="n">
        <v>0.0</v>
      </c>
      <c r="E61" s="8">
        <f t="shared" si="0"/>
        <v>0</v>
      </c>
      <c r="F61" s="21">
        <f t="shared" si="1"/>
        <v>0</v>
      </c>
      <c r="H61" s="163">
        <v>50</v>
      </c>
      <c r="I61" s="253" t="n">
        <v>239.0</v>
      </c>
      <c r="J61" s="343" t="n">
        <v>24.0</v>
      </c>
      <c r="K61" s="433" t="n">
        <v>11.0</v>
      </c>
      <c r="L61">
        <f t="shared" si="2"/>
        <v>247</v>
      </c>
      <c r="M61" s="21">
        <f t="shared" si="3"/>
        <v>1.0589269254678356E-3</v>
      </c>
    </row>
    <row r="62" spans="1:13" x14ac:dyDescent="0.45">
      <c r="A62">
        <v>51</v>
      </c>
      <c r="B62" s="8" t="n">
        <v>0.0</v>
      </c>
      <c r="C62" s="8" t="n">
        <v>0.0</v>
      </c>
      <c r="D62" s="8" t="n">
        <v>0.0</v>
      </c>
      <c r="E62" s="8">
        <f t="shared" si="0"/>
        <v>0</v>
      </c>
      <c r="F62" s="21">
        <f t="shared" si="1"/>
        <v>0</v>
      </c>
      <c r="H62" s="164">
        <v>51</v>
      </c>
      <c r="I62" s="254" t="n">
        <v>285.0</v>
      </c>
      <c r="J62" s="344" t="n">
        <v>15.0</v>
      </c>
      <c r="K62" s="434" t="n">
        <v>11.0</v>
      </c>
      <c r="L62">
        <f t="shared" si="2"/>
        <v>294</v>
      </c>
      <c r="M62" s="21">
        <f t="shared" si="3"/>
        <v>1.2604231420548326E-3</v>
      </c>
    </row>
    <row r="63" spans="1:13" x14ac:dyDescent="0.45">
      <c r="A63">
        <v>52</v>
      </c>
      <c r="B63" s="8" t="n">
        <v>944.880646246</v>
      </c>
      <c r="C63" s="8" t="n">
        <v>0.0</v>
      </c>
      <c r="D63" s="8" t="n">
        <v>0.0</v>
      </c>
      <c r="E63" s="8">
        <f t="shared" si="0"/>
        <v>944.88064624599997</v>
      </c>
      <c r="F63" s="21">
        <f t="shared" si="1"/>
        <v>5.1340164912161649E-3</v>
      </c>
      <c r="H63" s="165">
        <v>52</v>
      </c>
      <c r="I63" s="255" t="n">
        <v>213.0</v>
      </c>
      <c r="J63" s="345" t="n">
        <v>19.0</v>
      </c>
      <c r="K63" s="435" t="n">
        <v>21.0</v>
      </c>
      <c r="L63">
        <f t="shared" si="2"/>
        <v>253</v>
      </c>
      <c r="M63" s="21">
        <f t="shared" si="3"/>
        <v>1.0846498467342609E-3</v>
      </c>
    </row>
    <row r="64" spans="1:13" x14ac:dyDescent="0.45">
      <c r="A64">
        <v>53</v>
      </c>
      <c r="B64" s="8" t="n">
        <v>0.0</v>
      </c>
      <c r="C64" s="8" t="n">
        <v>0.0</v>
      </c>
      <c r="D64" s="8" t="n">
        <v>0.0</v>
      </c>
      <c r="E64" s="8">
        <f t="shared" si="0"/>
        <v>0</v>
      </c>
      <c r="F64" s="21">
        <f t="shared" si="1"/>
        <v>0</v>
      </c>
      <c r="H64" s="166">
        <v>53</v>
      </c>
      <c r="I64" s="256" t="n">
        <v>238.0</v>
      </c>
      <c r="J64" s="346" t="n">
        <v>13.0</v>
      </c>
      <c r="K64" s="436" t="n">
        <v>15.0</v>
      </c>
      <c r="L64">
        <f t="shared" si="2"/>
        <v>240</v>
      </c>
      <c r="M64" s="21">
        <f t="shared" si="3"/>
        <v>1.0289168506570064E-3</v>
      </c>
    </row>
    <row r="65" spans="1:13" x14ac:dyDescent="0.45">
      <c r="A65">
        <v>54</v>
      </c>
      <c r="B65" s="8" t="n">
        <v>83.3978248895</v>
      </c>
      <c r="C65" s="8" t="n">
        <v>0.0</v>
      </c>
      <c r="D65" s="8" t="n">
        <v>0.0</v>
      </c>
      <c r="E65" s="8">
        <f t="shared" si="0"/>
        <v>83.397824889500001</v>
      </c>
      <c r="F65" s="21">
        <f t="shared" si="1"/>
        <v>4.5314274349395213E-4</v>
      </c>
      <c r="H65" s="167">
        <v>54</v>
      </c>
      <c r="I65" s="257" t="n">
        <v>167.0</v>
      </c>
      <c r="J65" s="347" t="n">
        <v>15.0</v>
      </c>
      <c r="K65" s="437" t="n">
        <v>13.0</v>
      </c>
      <c r="L65">
        <f t="shared" si="2"/>
        <v>232</v>
      </c>
      <c r="M65" s="21">
        <f t="shared" si="3"/>
        <v>9.946196223017728E-4</v>
      </c>
    </row>
    <row r="66" spans="1:13" x14ac:dyDescent="0.45">
      <c r="A66">
        <v>55</v>
      </c>
      <c r="B66" s="8" t="n">
        <v>0.0</v>
      </c>
      <c r="C66" s="8" t="n">
        <v>0.0</v>
      </c>
      <c r="D66" s="8" t="n">
        <v>0.0</v>
      </c>
      <c r="E66" s="8">
        <f t="shared" si="0"/>
        <v>0</v>
      </c>
      <c r="F66" s="21">
        <f t="shared" si="1"/>
        <v>0</v>
      </c>
      <c r="H66" s="168">
        <v>55</v>
      </c>
      <c r="I66" s="258" t="n">
        <v>150.0</v>
      </c>
      <c r="J66" s="348" t="n">
        <v>9.0</v>
      </c>
      <c r="K66" s="438" t="n">
        <v>9.0</v>
      </c>
      <c r="L66">
        <f t="shared" si="2"/>
        <v>198</v>
      </c>
      <c r="M66" s="21">
        <f t="shared" si="3"/>
        <v>8.4885640179203014E-4</v>
      </c>
    </row>
    <row r="67" spans="1:13" x14ac:dyDescent="0.45">
      <c r="A67">
        <v>56</v>
      </c>
      <c r="B67" s="8" t="n">
        <v>0.0</v>
      </c>
      <c r="C67" s="8" t="n">
        <v>0.0</v>
      </c>
      <c r="D67" s="8" t="n">
        <v>0.0</v>
      </c>
      <c r="E67" s="8">
        <f t="shared" si="0"/>
        <v>0</v>
      </c>
      <c r="F67" s="21">
        <f t="shared" si="1"/>
        <v>0</v>
      </c>
      <c r="H67" s="169">
        <v>56</v>
      </c>
      <c r="I67" s="259" t="n">
        <v>148.0</v>
      </c>
      <c r="J67" s="349" t="n">
        <v>12.0</v>
      </c>
      <c r="K67" s="439" t="n">
        <v>7.0</v>
      </c>
      <c r="L67">
        <f t="shared" si="2"/>
        <v>177</v>
      </c>
      <c r="M67" s="21">
        <f t="shared" si="3"/>
        <v>7.5882617735954208E-4</v>
      </c>
    </row>
    <row r="68" spans="1:13" x14ac:dyDescent="0.45">
      <c r="A68">
        <v>57</v>
      </c>
      <c r="B68" s="8" t="n">
        <v>0.0</v>
      </c>
      <c r="C68" s="8" t="n">
        <v>0.0</v>
      </c>
      <c r="D68" s="8" t="n">
        <v>0.0</v>
      </c>
      <c r="E68" s="8">
        <f t="shared" si="0"/>
        <v>0</v>
      </c>
      <c r="F68" s="21">
        <f t="shared" si="1"/>
        <v>0</v>
      </c>
      <c r="H68" s="170">
        <v>57</v>
      </c>
      <c r="I68" s="260" t="n">
        <v>157.0</v>
      </c>
      <c r="J68" s="350" t="n">
        <v>8.0</v>
      </c>
      <c r="K68" s="440" t="n">
        <v>10.0</v>
      </c>
      <c r="L68">
        <f t="shared" si="2"/>
        <v>197</v>
      </c>
      <c r="M68" s="21">
        <f t="shared" si="3"/>
        <v>8.44569248247626E-4</v>
      </c>
    </row>
    <row r="69" spans="1:13" x14ac:dyDescent="0.45">
      <c r="A69">
        <v>58</v>
      </c>
      <c r="B69" s="8" t="n">
        <v>275.309933567</v>
      </c>
      <c r="C69" s="8" t="n">
        <v>0.0</v>
      </c>
      <c r="D69" s="8" t="n">
        <v>0.0</v>
      </c>
      <c r="E69" s="8">
        <f t="shared" si="0"/>
        <v>275.30993356699997</v>
      </c>
      <c r="F69" s="21">
        <f t="shared" si="1"/>
        <v>1.4958987092647186E-3</v>
      </c>
      <c r="H69" s="171">
        <v>58</v>
      </c>
      <c r="I69" s="261" t="n">
        <v>157.0</v>
      </c>
      <c r="J69" s="351" t="n">
        <v>15.0</v>
      </c>
      <c r="K69" s="441" t="n">
        <v>8.0</v>
      </c>
      <c r="L69">
        <f t="shared" si="2"/>
        <v>176</v>
      </c>
      <c r="M69" s="21">
        <f t="shared" si="3"/>
        <v>7.5453902381513794E-4</v>
      </c>
    </row>
    <row r="70" spans="1:13" x14ac:dyDescent="0.45">
      <c r="A70">
        <v>59</v>
      </c>
      <c r="B70" s="8" t="n">
        <v>0.0</v>
      </c>
      <c r="C70" s="8" t="n">
        <v>0.0</v>
      </c>
      <c r="D70" s="8" t="n">
        <v>0.0</v>
      </c>
      <c r="E70" s="8">
        <f t="shared" si="0"/>
        <v>0</v>
      </c>
      <c r="F70" s="21">
        <f t="shared" si="1"/>
        <v>0</v>
      </c>
      <c r="H70" s="172">
        <v>59</v>
      </c>
      <c r="I70" s="262" t="n">
        <v>116.0</v>
      </c>
      <c r="J70" s="352" t="n">
        <v>6.0</v>
      </c>
      <c r="K70" s="442" t="n">
        <v>6.0</v>
      </c>
      <c r="L70">
        <f t="shared" si="2"/>
        <v>154</v>
      </c>
      <c r="M70" s="21">
        <f t="shared" si="3"/>
        <v>6.6022164583824574E-4</v>
      </c>
    </row>
    <row r="71" spans="1:13" x14ac:dyDescent="0.45">
      <c r="A71">
        <v>60</v>
      </c>
      <c r="B71" s="8" t="n">
        <v>0.0</v>
      </c>
      <c r="C71" s="8" t="n">
        <v>0.0</v>
      </c>
      <c r="D71" s="8" t="n">
        <v>0.0</v>
      </c>
      <c r="E71" s="8">
        <f t="shared" si="0"/>
        <v>0</v>
      </c>
      <c r="F71" s="21">
        <f t="shared" si="1"/>
        <v>0</v>
      </c>
      <c r="H71" s="173">
        <v>60</v>
      </c>
      <c r="I71" s="263" t="n">
        <v>104.0</v>
      </c>
      <c r="J71" s="353" t="n">
        <v>8.0</v>
      </c>
      <c r="K71" s="443" t="n">
        <v>10.0</v>
      </c>
      <c r="L71">
        <f t="shared" si="2"/>
        <v>116</v>
      </c>
      <c r="M71" s="21">
        <f t="shared" si="3"/>
        <v>4.973098111508864E-4</v>
      </c>
    </row>
    <row r="72" spans="1:13" x14ac:dyDescent="0.45">
      <c r="A72">
        <v>61</v>
      </c>
      <c r="B72" s="8" t="n">
        <v>0.0</v>
      </c>
      <c r="C72" s="8" t="n">
        <v>0.0</v>
      </c>
      <c r="D72" s="8" t="n">
        <v>0.0</v>
      </c>
      <c r="E72" s="8">
        <f t="shared" si="0"/>
        <v>0</v>
      </c>
      <c r="F72" s="21">
        <f t="shared" si="1"/>
        <v>0</v>
      </c>
      <c r="H72" s="174">
        <v>61</v>
      </c>
      <c r="I72" s="264" t="n">
        <v>64.0</v>
      </c>
      <c r="J72" s="354" t="n">
        <v>7.0</v>
      </c>
      <c r="K72" s="444" t="n">
        <v>9.0</v>
      </c>
      <c r="L72">
        <f t="shared" si="2"/>
        <v>100</v>
      </c>
      <c r="M72" s="21">
        <f t="shared" si="3"/>
        <v>4.2871535444041927E-4</v>
      </c>
    </row>
    <row r="73" spans="1:13" x14ac:dyDescent="0.45">
      <c r="A73">
        <v>62</v>
      </c>
      <c r="B73" s="8" t="n">
        <v>0.0</v>
      </c>
      <c r="C73" s="8" t="n">
        <v>0.0</v>
      </c>
      <c r="D73" s="8" t="n">
        <v>0.0</v>
      </c>
      <c r="E73" s="8">
        <f t="shared" si="0"/>
        <v>0</v>
      </c>
      <c r="F73" s="21">
        <f t="shared" si="1"/>
        <v>0</v>
      </c>
      <c r="H73" s="175">
        <v>62</v>
      </c>
      <c r="I73" s="265" t="n">
        <v>93.0</v>
      </c>
      <c r="J73" s="355" t="n">
        <v>9.0</v>
      </c>
      <c r="K73" s="445" t="n">
        <v>9.0</v>
      </c>
      <c r="L73">
        <f t="shared" si="2"/>
        <v>114</v>
      </c>
      <c r="M73" s="21">
        <f t="shared" si="3"/>
        <v>4.8873550406207801E-4</v>
      </c>
    </row>
    <row r="74" spans="1:13" x14ac:dyDescent="0.45">
      <c r="A74">
        <v>63</v>
      </c>
      <c r="B74" s="8" t="n">
        <v>0.0</v>
      </c>
      <c r="C74" s="8" t="n">
        <v>0.0</v>
      </c>
      <c r="D74" s="8" t="n">
        <v>0.0</v>
      </c>
      <c r="E74" s="8">
        <f t="shared" si="0"/>
        <v>0</v>
      </c>
      <c r="F74" s="21">
        <f t="shared" si="1"/>
        <v>0</v>
      </c>
      <c r="H74" s="176">
        <v>63</v>
      </c>
      <c r="I74" s="266" t="n">
        <v>61.0</v>
      </c>
      <c r="J74" s="356" t="n">
        <v>6.0</v>
      </c>
      <c r="K74" s="446" t="n">
        <v>2.0</v>
      </c>
      <c r="L74">
        <f t="shared" si="2"/>
        <v>83</v>
      </c>
      <c r="M74" s="21">
        <f t="shared" si="3"/>
        <v>3.5583374418554799E-4</v>
      </c>
    </row>
    <row r="75" spans="1:13" x14ac:dyDescent="0.45">
      <c r="A75">
        <v>64</v>
      </c>
      <c r="B75" s="8" t="n">
        <v>0.0</v>
      </c>
      <c r="C75" s="8" t="n">
        <v>0.0</v>
      </c>
      <c r="D75" s="8" t="n">
        <v>0.0</v>
      </c>
      <c r="E75" s="8">
        <f t="shared" si="0"/>
        <v>0</v>
      </c>
      <c r="F75" s="21">
        <f t="shared" si="1"/>
        <v>0</v>
      </c>
      <c r="H75" s="177">
        <v>64</v>
      </c>
      <c r="I75" s="267" t="n">
        <v>77.0</v>
      </c>
      <c r="J75" s="357" t="n">
        <v>4.0</v>
      </c>
      <c r="K75" s="447" t="n">
        <v>2.0</v>
      </c>
      <c r="L75">
        <f t="shared" si="2"/>
        <v>88</v>
      </c>
      <c r="M75" s="21">
        <f t="shared" si="3"/>
        <v>3.7726951190756897E-4</v>
      </c>
    </row>
    <row r="76" spans="1:13" x14ac:dyDescent="0.45">
      <c r="A76">
        <v>65</v>
      </c>
      <c r="B76" s="8" t="n">
        <v>0.0</v>
      </c>
      <c r="C76" s="8" t="n">
        <v>0.0</v>
      </c>
      <c r="D76" s="8" t="n">
        <v>0.0</v>
      </c>
      <c r="E76" s="8">
        <f t="shared" ref="E76:E101" si="4">SUM(B76:D76)</f>
        <v>0</v>
      </c>
      <c r="F76" s="21">
        <f t="shared" ref="F76:F102" si="5">E76/$E$102</f>
        <v>0</v>
      </c>
      <c r="H76" s="178">
        <v>65</v>
      </c>
      <c r="I76" s="268" t="n">
        <v>58.0</v>
      </c>
      <c r="J76" s="358" t="n">
        <v>5.0</v>
      </c>
      <c r="K76" s="448" t="n">
        <v>2.0</v>
      </c>
      <c r="L76">
        <f t="shared" ref="L76:L101" si="6">SUM(I76:K76)</f>
        <v>70</v>
      </c>
      <c r="M76" s="21">
        <f t="shared" ref="M76:M102" si="7">L76/$L$102</f>
        <v>3.001007481082935E-4</v>
      </c>
    </row>
    <row r="77" spans="1:13" x14ac:dyDescent="0.45">
      <c r="A77">
        <v>66</v>
      </c>
      <c r="B77" s="8" t="n">
        <v>0.0</v>
      </c>
      <c r="C77" s="8" t="n">
        <v>0.0</v>
      </c>
      <c r="D77" s="8" t="n">
        <v>0.0</v>
      </c>
      <c r="E77" s="8">
        <f t="shared" si="4"/>
        <v>0</v>
      </c>
      <c r="F77" s="21">
        <f t="shared" si="5"/>
        <v>0</v>
      </c>
      <c r="H77" s="179">
        <v>66</v>
      </c>
      <c r="I77" s="269" t="n">
        <v>48.0</v>
      </c>
      <c r="J77" s="359" t="n">
        <v>4.0</v>
      </c>
      <c r="K77" s="449" t="n">
        <v>0.0</v>
      </c>
      <c r="L77">
        <f t="shared" si="6"/>
        <v>50</v>
      </c>
      <c r="M77" s="21">
        <f t="shared" si="7"/>
        <v>2.1435767722020963E-4</v>
      </c>
    </row>
    <row r="78" spans="1:13" x14ac:dyDescent="0.45">
      <c r="A78">
        <v>67</v>
      </c>
      <c r="B78" s="8" t="n">
        <v>0.0</v>
      </c>
      <c r="C78" s="8" t="n">
        <v>0.0</v>
      </c>
      <c r="D78" s="8" t="n">
        <v>0.0</v>
      </c>
      <c r="E78" s="8">
        <f t="shared" si="4"/>
        <v>0</v>
      </c>
      <c r="F78" s="21">
        <f t="shared" si="5"/>
        <v>0</v>
      </c>
      <c r="H78" s="180">
        <v>67</v>
      </c>
      <c r="I78" s="270" t="n">
        <v>64.0</v>
      </c>
      <c r="J78" s="360" t="n">
        <v>2.0</v>
      </c>
      <c r="K78" s="450" t="n">
        <v>0.0</v>
      </c>
      <c r="L78">
        <f t="shared" si="6"/>
        <v>83</v>
      </c>
      <c r="M78" s="21">
        <f t="shared" si="7"/>
        <v>3.5583374418554799E-4</v>
      </c>
    </row>
    <row r="79" spans="1:13" x14ac:dyDescent="0.45">
      <c r="A79">
        <v>68</v>
      </c>
      <c r="B79" s="8" t="n">
        <v>0.0</v>
      </c>
      <c r="C79" s="8" t="n">
        <v>0.0</v>
      </c>
      <c r="D79" s="8" t="n">
        <v>0.0</v>
      </c>
      <c r="E79" s="8">
        <f t="shared" si="4"/>
        <v>0</v>
      </c>
      <c r="F79" s="21">
        <f t="shared" si="5"/>
        <v>0</v>
      </c>
      <c r="H79" s="181">
        <v>68</v>
      </c>
      <c r="I79" s="271" t="n">
        <v>48.0</v>
      </c>
      <c r="J79" s="361" t="n">
        <v>1.0</v>
      </c>
      <c r="K79" s="451" t="n">
        <v>3.0</v>
      </c>
      <c r="L79">
        <f t="shared" si="6"/>
        <v>58</v>
      </c>
      <c r="M79" s="21">
        <f t="shared" si="7"/>
        <v>2.486549055754432E-4</v>
      </c>
    </row>
    <row r="80" spans="1:13" x14ac:dyDescent="0.45">
      <c r="A80">
        <v>69</v>
      </c>
      <c r="B80" s="8" t="n">
        <v>0.0</v>
      </c>
      <c r="C80" s="8" t="n">
        <v>0.0</v>
      </c>
      <c r="D80" s="8" t="n">
        <v>0.0</v>
      </c>
      <c r="E80" s="8">
        <f t="shared" si="4"/>
        <v>0</v>
      </c>
      <c r="F80" s="21">
        <f t="shared" si="5"/>
        <v>0</v>
      </c>
      <c r="H80" s="182">
        <v>69</v>
      </c>
      <c r="I80" s="272" t="n">
        <v>37.0</v>
      </c>
      <c r="J80" s="362" t="n">
        <v>1.0</v>
      </c>
      <c r="K80" s="452" t="n">
        <v>2.0</v>
      </c>
      <c r="L80">
        <f t="shared" si="6"/>
        <v>55</v>
      </c>
      <c r="M80" s="21">
        <f t="shared" si="7"/>
        <v>2.3579344494223061E-4</v>
      </c>
    </row>
    <row r="81" spans="1:13" x14ac:dyDescent="0.45">
      <c r="A81">
        <v>70</v>
      </c>
      <c r="B81" s="8" t="n">
        <v>0.0</v>
      </c>
      <c r="C81" s="8" t="n">
        <v>0.0</v>
      </c>
      <c r="D81" s="8" t="n">
        <v>0.0</v>
      </c>
      <c r="E81" s="8">
        <f t="shared" si="4"/>
        <v>0</v>
      </c>
      <c r="F81" s="21">
        <f t="shared" si="5"/>
        <v>0</v>
      </c>
      <c r="H81" s="183">
        <v>70</v>
      </c>
      <c r="I81" s="273" t="n">
        <v>21.0</v>
      </c>
      <c r="J81" s="363" t="n">
        <v>3.0</v>
      </c>
      <c r="K81" s="453" t="n">
        <v>0.0</v>
      </c>
      <c r="L81">
        <f t="shared" si="6"/>
        <v>24</v>
      </c>
      <c r="M81" s="21">
        <f t="shared" si="7"/>
        <v>1.0289168506570063E-4</v>
      </c>
    </row>
    <row r="82" spans="1:13" x14ac:dyDescent="0.45">
      <c r="A82">
        <v>71</v>
      </c>
      <c r="B82" s="8" t="n">
        <v>520.538957349</v>
      </c>
      <c r="C82" s="8" t="n">
        <v>0.0</v>
      </c>
      <c r="D82" s="8" t="n">
        <v>0.0</v>
      </c>
      <c r="E82" s="8">
        <f t="shared" si="4"/>
        <v>520.53895734900004</v>
      </c>
      <c r="F82" s="21">
        <f t="shared" si="5"/>
        <v>2.8283525564502454E-3</v>
      </c>
      <c r="H82" s="184">
        <v>71</v>
      </c>
      <c r="I82" s="274" t="n">
        <v>36.0</v>
      </c>
      <c r="J82" s="364" t="n">
        <v>2.0</v>
      </c>
      <c r="K82" s="454" t="n">
        <v>3.0</v>
      </c>
      <c r="L82">
        <f t="shared" si="6"/>
        <v>41</v>
      </c>
      <c r="M82" s="21">
        <f t="shared" si="7"/>
        <v>1.757732953205719E-4</v>
      </c>
    </row>
    <row r="83" spans="1:13" x14ac:dyDescent="0.45">
      <c r="A83">
        <v>72</v>
      </c>
      <c r="B83" s="8" t="n">
        <v>175.909856239</v>
      </c>
      <c r="C83" s="8" t="n">
        <v>0.0</v>
      </c>
      <c r="D83" s="8" t="n">
        <v>0.0</v>
      </c>
      <c r="E83" s="8">
        <f t="shared" si="4"/>
        <v>175.90985623899999</v>
      </c>
      <c r="F83" s="21">
        <f t="shared" si="5"/>
        <v>9.5580760013086561E-4</v>
      </c>
      <c r="H83" s="185">
        <v>72</v>
      </c>
      <c r="I83" s="275" t="n">
        <v>26.0</v>
      </c>
      <c r="J83" s="365" t="n">
        <v>3.0</v>
      </c>
      <c r="K83" s="455" t="n">
        <v>0.0</v>
      </c>
      <c r="L83">
        <f t="shared" si="6"/>
        <v>28</v>
      </c>
      <c r="M83" s="21">
        <f t="shared" si="7"/>
        <v>1.200402992433174E-4</v>
      </c>
    </row>
    <row r="84" spans="1:13" x14ac:dyDescent="0.45">
      <c r="A84">
        <v>73</v>
      </c>
      <c r="B84" s="8" t="n">
        <v>0.0</v>
      </c>
      <c r="C84" s="8" t="n">
        <v>0.0</v>
      </c>
      <c r="D84" s="8" t="n">
        <v>0.0</v>
      </c>
      <c r="E84" s="8">
        <f t="shared" si="4"/>
        <v>0</v>
      </c>
      <c r="F84" s="21">
        <f t="shared" si="5"/>
        <v>0</v>
      </c>
      <c r="H84" s="186">
        <v>73</v>
      </c>
      <c r="I84" s="276" t="n">
        <v>20.0</v>
      </c>
      <c r="J84" s="366" t="n">
        <v>1.0</v>
      </c>
      <c r="K84" s="456" t="n">
        <v>1.0</v>
      </c>
      <c r="L84">
        <f t="shared" si="6"/>
        <v>18</v>
      </c>
      <c r="M84" s="21">
        <f t="shared" si="7"/>
        <v>7.7168763799275472E-5</v>
      </c>
    </row>
    <row r="85" spans="1:13" x14ac:dyDescent="0.45">
      <c r="A85">
        <v>74</v>
      </c>
      <c r="B85" s="8" t="n">
        <v>0.0</v>
      </c>
      <c r="C85" s="8" t="n">
        <v>0.0</v>
      </c>
      <c r="D85" s="8" t="n">
        <v>0.0</v>
      </c>
      <c r="E85" s="8">
        <f t="shared" si="4"/>
        <v>0</v>
      </c>
      <c r="F85" s="21">
        <f t="shared" si="5"/>
        <v>0</v>
      </c>
      <c r="H85" s="187">
        <v>74</v>
      </c>
      <c r="I85" s="277" t="n">
        <v>28.0</v>
      </c>
      <c r="J85" s="367" t="n">
        <v>3.0</v>
      </c>
      <c r="K85" s="457" t="n">
        <v>2.0</v>
      </c>
      <c r="L85">
        <f t="shared" si="6"/>
        <v>32</v>
      </c>
      <c r="M85" s="21">
        <f t="shared" si="7"/>
        <v>1.3718891342093416E-4</v>
      </c>
    </row>
    <row r="86" spans="1:13" x14ac:dyDescent="0.45">
      <c r="A86">
        <v>75</v>
      </c>
      <c r="B86" s="8" t="n">
        <v>0.0</v>
      </c>
      <c r="C86" s="8" t="n">
        <v>0.0</v>
      </c>
      <c r="D86" s="8" t="n">
        <v>0.0</v>
      </c>
      <c r="E86" s="8">
        <f t="shared" si="4"/>
        <v>0</v>
      </c>
      <c r="F86" s="21">
        <f t="shared" si="5"/>
        <v>0</v>
      </c>
      <c r="H86" s="188">
        <v>75</v>
      </c>
      <c r="I86" s="278" t="n">
        <v>30.0</v>
      </c>
      <c r="J86" s="368" t="n">
        <v>3.0</v>
      </c>
      <c r="K86" s="458" t="n">
        <v>3.0</v>
      </c>
      <c r="L86">
        <f t="shared" si="6"/>
        <v>25</v>
      </c>
      <c r="M86" s="21">
        <f t="shared" si="7"/>
        <v>1.0717883861010482E-4</v>
      </c>
    </row>
    <row r="87" spans="1:13" x14ac:dyDescent="0.45">
      <c r="A87">
        <v>76</v>
      </c>
      <c r="B87" s="8" t="n">
        <v>0.0</v>
      </c>
      <c r="C87" s="8" t="n">
        <v>0.0</v>
      </c>
      <c r="D87" s="8" t="n">
        <v>0.0</v>
      </c>
      <c r="E87" s="8">
        <f t="shared" si="4"/>
        <v>0</v>
      </c>
      <c r="F87" s="21">
        <f t="shared" si="5"/>
        <v>0</v>
      </c>
      <c r="H87" s="189">
        <v>76</v>
      </c>
      <c r="I87" s="279" t="n">
        <v>15.0</v>
      </c>
      <c r="J87" s="369" t="n">
        <v>0.0</v>
      </c>
      <c r="K87" s="459" t="n">
        <v>1.0</v>
      </c>
      <c r="L87">
        <f t="shared" si="6"/>
        <v>11</v>
      </c>
      <c r="M87" s="21">
        <f t="shared" si="7"/>
        <v>4.7158688988446121E-5</v>
      </c>
    </row>
    <row r="88" spans="1:13" x14ac:dyDescent="0.45">
      <c r="A88">
        <v>77</v>
      </c>
      <c r="B88" s="8" t="n">
        <v>0.0</v>
      </c>
      <c r="C88" s="8" t="n">
        <v>0.0</v>
      </c>
      <c r="D88" s="8" t="n">
        <v>0.0</v>
      </c>
      <c r="E88" s="8">
        <f t="shared" si="4"/>
        <v>0</v>
      </c>
      <c r="F88" s="21">
        <f t="shared" si="5"/>
        <v>0</v>
      </c>
      <c r="H88" s="190">
        <v>77</v>
      </c>
      <c r="I88" s="280" t="n">
        <v>11.0</v>
      </c>
      <c r="J88" s="370" t="n">
        <v>1.0</v>
      </c>
      <c r="K88" s="460" t="n">
        <v>1.0</v>
      </c>
      <c r="L88">
        <f t="shared" si="6"/>
        <v>14</v>
      </c>
      <c r="M88" s="21">
        <f t="shared" si="7"/>
        <v>6.0020149621658702E-5</v>
      </c>
    </row>
    <row r="89" spans="1:13" x14ac:dyDescent="0.45">
      <c r="A89">
        <v>78</v>
      </c>
      <c r="B89" s="8" t="n">
        <v>0.0</v>
      </c>
      <c r="C89" s="8" t="n">
        <v>0.0</v>
      </c>
      <c r="D89" s="8" t="n">
        <v>0.0</v>
      </c>
      <c r="E89" s="8">
        <f t="shared" si="4"/>
        <v>0</v>
      </c>
      <c r="F89" s="21">
        <f t="shared" si="5"/>
        <v>0</v>
      </c>
      <c r="H89" s="191">
        <v>78</v>
      </c>
      <c r="I89" s="281" t="n">
        <v>11.0</v>
      </c>
      <c r="J89" s="371" t="n">
        <v>0.0</v>
      </c>
      <c r="K89" s="461" t="n">
        <v>3.0</v>
      </c>
      <c r="L89">
        <f t="shared" si="6"/>
        <v>11</v>
      </c>
      <c r="M89" s="21">
        <f t="shared" si="7"/>
        <v>4.7158688988446121E-5</v>
      </c>
    </row>
    <row r="90" spans="1:13" x14ac:dyDescent="0.45">
      <c r="A90">
        <v>79</v>
      </c>
      <c r="B90" s="8" t="n">
        <v>0.0</v>
      </c>
      <c r="C90" s="8" t="n">
        <v>0.0</v>
      </c>
      <c r="D90" s="8" t="n">
        <v>0.0</v>
      </c>
      <c r="E90" s="8">
        <f t="shared" si="4"/>
        <v>0</v>
      </c>
      <c r="F90" s="21">
        <f t="shared" si="5"/>
        <v>0</v>
      </c>
      <c r="H90" s="192">
        <v>79</v>
      </c>
      <c r="I90" s="282" t="n">
        <v>15.0</v>
      </c>
      <c r="J90" s="372" t="n">
        <v>1.0</v>
      </c>
      <c r="K90" s="462" t="n">
        <v>0.0</v>
      </c>
      <c r="L90">
        <f t="shared" si="6"/>
        <v>18</v>
      </c>
      <c r="M90" s="21">
        <f t="shared" si="7"/>
        <v>7.7168763799275472E-5</v>
      </c>
    </row>
    <row r="91" spans="1:13" x14ac:dyDescent="0.45">
      <c r="A91">
        <v>80</v>
      </c>
      <c r="B91" s="8" t="n">
        <v>0.0</v>
      </c>
      <c r="C91" s="8" t="n">
        <v>0.0</v>
      </c>
      <c r="D91" s="8" t="n">
        <v>0.0</v>
      </c>
      <c r="E91" s="8">
        <f t="shared" si="4"/>
        <v>0</v>
      </c>
      <c r="F91" s="21">
        <f t="shared" si="5"/>
        <v>0</v>
      </c>
      <c r="H91" s="193">
        <v>80</v>
      </c>
      <c r="I91" s="283" t="n">
        <v>18.0</v>
      </c>
      <c r="J91" s="373" t="n">
        <v>0.0</v>
      </c>
      <c r="K91" s="463" t="n">
        <v>0.0</v>
      </c>
      <c r="L91">
        <f t="shared" si="6"/>
        <v>14</v>
      </c>
      <c r="M91" s="21">
        <f t="shared" si="7"/>
        <v>6.0020149621658702E-5</v>
      </c>
    </row>
    <row r="92" spans="1:13" x14ac:dyDescent="0.45">
      <c r="A92">
        <v>81</v>
      </c>
      <c r="B92" s="8" t="n">
        <v>0.0</v>
      </c>
      <c r="C92" s="8" t="n">
        <v>0.0</v>
      </c>
      <c r="D92" s="8" t="n">
        <v>0.0</v>
      </c>
      <c r="E92" s="8">
        <f t="shared" si="4"/>
        <v>0</v>
      </c>
      <c r="F92" s="21">
        <f t="shared" si="5"/>
        <v>0</v>
      </c>
      <c r="H92" s="194">
        <v>81</v>
      </c>
      <c r="I92" s="284" t="n">
        <v>19.0</v>
      </c>
      <c r="J92" s="374" t="n">
        <v>0.0</v>
      </c>
      <c r="K92" s="464" t="n">
        <v>1.0</v>
      </c>
      <c r="L92">
        <f t="shared" si="6"/>
        <v>15</v>
      </c>
      <c r="M92" s="21">
        <f t="shared" si="7"/>
        <v>6.4307303166062898E-5</v>
      </c>
    </row>
    <row r="93" spans="1:13" x14ac:dyDescent="0.4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195">
        <v>82</v>
      </c>
      <c r="I93" s="285" t="n">
        <v>15.0</v>
      </c>
      <c r="J93" s="375" t="n">
        <v>0.0</v>
      </c>
      <c r="K93" s="465" t="n">
        <v>0.0</v>
      </c>
      <c r="L93">
        <f t="shared" si="6"/>
        <v>11</v>
      </c>
      <c r="M93" s="21">
        <f t="shared" si="7"/>
        <v>4.7158688988446121E-5</v>
      </c>
    </row>
    <row r="94" spans="1:13" x14ac:dyDescent="0.4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196">
        <v>83</v>
      </c>
      <c r="I94" s="286" t="n">
        <v>5.0</v>
      </c>
      <c r="J94" s="376" t="n">
        <v>0.0</v>
      </c>
      <c r="K94" s="466" t="n">
        <v>4.0</v>
      </c>
      <c r="L94">
        <f t="shared" si="6"/>
        <v>6</v>
      </c>
      <c r="M94" s="21">
        <f t="shared" si="7"/>
        <v>2.5722921266425159E-5</v>
      </c>
    </row>
    <row r="95" spans="1:13" x14ac:dyDescent="0.4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197">
        <v>84</v>
      </c>
      <c r="I95" s="287" t="n">
        <v>6.0</v>
      </c>
      <c r="J95" s="377" t="n">
        <v>0.0</v>
      </c>
      <c r="K95" s="467" t="n">
        <v>0.0</v>
      </c>
      <c r="L95">
        <f t="shared" si="6"/>
        <v>16</v>
      </c>
      <c r="M95" s="21">
        <f t="shared" si="7"/>
        <v>6.859445671046708E-5</v>
      </c>
    </row>
    <row r="96" spans="1:13" x14ac:dyDescent="0.4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198">
        <v>85</v>
      </c>
      <c r="I96" s="288" t="n">
        <v>2.0</v>
      </c>
      <c r="J96" s="378" t="n">
        <v>2.0</v>
      </c>
      <c r="K96" s="468" t="n">
        <v>0.0</v>
      </c>
      <c r="L96">
        <f t="shared" si="6"/>
        <v>5</v>
      </c>
      <c r="M96" s="21">
        <f t="shared" si="7"/>
        <v>2.1435767722020963E-5</v>
      </c>
    </row>
    <row r="97" spans="1:13" x14ac:dyDescent="0.4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199">
        <v>86</v>
      </c>
      <c r="I97" s="289" t="n">
        <v>10.0</v>
      </c>
      <c r="J97" s="379" t="n">
        <v>2.0</v>
      </c>
      <c r="K97" s="469" t="n">
        <v>2.0</v>
      </c>
      <c r="L97">
        <f t="shared" si="6"/>
        <v>13</v>
      </c>
      <c r="M97" s="21">
        <f t="shared" si="7"/>
        <v>5.5732996077254506E-5</v>
      </c>
    </row>
    <row r="98" spans="1:13" x14ac:dyDescent="0.4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200">
        <v>87</v>
      </c>
      <c r="I98" s="290" t="n">
        <v>0.0</v>
      </c>
      <c r="J98" s="380" t="n">
        <v>0.0</v>
      </c>
      <c r="K98" s="470" t="n">
        <v>0.0</v>
      </c>
      <c r="L98">
        <f t="shared" si="6"/>
        <v>9</v>
      </c>
      <c r="M98" s="21">
        <f t="shared" si="7"/>
        <v>3.8584381899637736E-5</v>
      </c>
    </row>
    <row r="99" spans="1:13" x14ac:dyDescent="0.4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201">
        <v>88</v>
      </c>
      <c r="I99" s="291" t="n">
        <v>9.0</v>
      </c>
      <c r="J99" s="381" t="n">
        <v>0.0</v>
      </c>
      <c r="K99" s="471" t="n">
        <v>0.0</v>
      </c>
      <c r="L99">
        <f t="shared" si="6"/>
        <v>5</v>
      </c>
      <c r="M99" s="21">
        <f t="shared" si="7"/>
        <v>2.1435767722020963E-5</v>
      </c>
    </row>
    <row r="100" spans="1:13" x14ac:dyDescent="0.4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202">
        <v>89</v>
      </c>
      <c r="I100" s="292" t="n">
        <v>3.0</v>
      </c>
      <c r="J100" s="382" t="n">
        <v>0.0</v>
      </c>
      <c r="K100" s="472" t="n">
        <v>0.0</v>
      </c>
      <c r="L100">
        <f t="shared" si="6"/>
        <v>5</v>
      </c>
      <c r="M100" s="21">
        <f t="shared" si="7"/>
        <v>2.1435767722020963E-5</v>
      </c>
    </row>
    <row r="101" spans="1:13" ht="14.65" thickBot="1" x14ac:dyDescent="0.5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475">
        <v>90</v>
      </c>
      <c r="I101" s="475" t="n">
        <v>19.0</v>
      </c>
      <c r="J101" s="475" t="n">
        <v>2.0</v>
      </c>
      <c r="K101" s="475" t="n">
        <v>1.0</v>
      </c>
      <c r="L101" s="1">
        <f t="shared" si="6"/>
        <v>31</v>
      </c>
      <c r="M101" s="21">
        <f t="shared" si="7"/>
        <v>1.3290175987652996E-4</v>
      </c>
    </row>
    <row r="102" spans="1:13" x14ac:dyDescent="0.45">
      <c r="E102" s="8">
        <f>SUM(E11:E101)</f>
        <v>184043.16539742419</v>
      </c>
      <c r="F102" s="21">
        <f t="shared" si="5"/>
        <v>1</v>
      </c>
      <c r="L102" s="22">
        <f>SUM(L11:L101)</f>
        <v>233255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D35" sqref="AD35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6" bestFit="true" customWidth="true" width="10.59765625" collapsed="true"/>
    <col min="17" max="17" bestFit="true" customWidth="true" width="11.59765625" collapsed="true"/>
    <col min="18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247</v>
      </c>
    </row>
    <row r="3" spans="1:21" x14ac:dyDescent="0.45">
      <c r="A3" t="s">
        <v>17</v>
      </c>
    </row>
    <row r="5" spans="1:21" ht="14.65" thickBot="1" x14ac:dyDescent="0.5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45">
      <c r="A7" s="477" t="s">
        <v>252</v>
      </c>
      <c r="B7" s="13" t="n">
        <v>7603.9101153389</v>
      </c>
      <c r="C7" s="13" t="n">
        <v>225.7914145706</v>
      </c>
      <c r="D7" s="13" t="n">
        <v>0.0</v>
      </c>
      <c r="E7" s="13" t="n">
        <v>1292.8679586580001</v>
      </c>
      <c r="F7" s="13" t="n">
        <v>224.2014339675</v>
      </c>
      <c r="G7" s="13" t="n">
        <v>0.0</v>
      </c>
      <c r="H7" s="13" t="n">
        <v>704.453421433</v>
      </c>
      <c r="I7" s="13"/>
      <c r="J7" s="13">
        <f>SUM(B7:I7)</f>
        <v>10051.224343968001</v>
      </c>
      <c r="K7" s="13"/>
      <c r="L7" t="str">
        <f>$A$7</f>
        <v>Bellevue</v>
      </c>
      <c r="M7" s="522" t="n">
        <v>5532.0</v>
      </c>
      <c r="N7" s="522" t="n">
        <v>2101.0</v>
      </c>
      <c r="O7" s="522" t="n">
        <v>338.0</v>
      </c>
      <c r="P7" s="522" t="n">
        <v>693.0</v>
      </c>
      <c r="Q7" s="522" t="n">
        <v>581.0</v>
      </c>
      <c r="R7" s="522" t="n">
        <v>86.0</v>
      </c>
      <c r="S7" s="522" t="n">
        <v>968.0</v>
      </c>
      <c r="T7" s="473"/>
      <c r="U7" s="13">
        <f>SUM(M7:T7)</f>
        <v>10188</v>
      </c>
    </row>
    <row r="8" spans="1:21" x14ac:dyDescent="0.45">
      <c r="A8" t="s">
        <v>253</v>
      </c>
      <c r="B8" s="13" t="n">
        <v>1844.964152923</v>
      </c>
      <c r="C8" s="13" t="n">
        <v>4453.4228392198</v>
      </c>
      <c r="D8" s="13" t="n">
        <v>317.954791765</v>
      </c>
      <c r="E8" s="13" t="n">
        <v>506.9344112474</v>
      </c>
      <c r="F8" s="13" t="n">
        <v>0.0</v>
      </c>
      <c r="G8" s="13" t="n">
        <v>1345.57431748</v>
      </c>
      <c r="H8" s="13" t="n">
        <v>0.0</v>
      </c>
      <c r="I8" s="13"/>
      <c r="J8" s="13">
        <f t="shared" ref="J8:J14" si="0">SUM(B8:I8)</f>
        <v>8468.8505126351993</v>
      </c>
      <c r="K8" s="13"/>
      <c r="L8" t="str">
        <f>$A$8</f>
        <v>Bellevue Downtown</v>
      </c>
      <c r="M8" s="522" t="n">
        <v>1299.0</v>
      </c>
      <c r="N8" s="522" t="n">
        <v>5599.0</v>
      </c>
      <c r="O8" s="522" t="n">
        <v>255.0</v>
      </c>
      <c r="P8" s="522" t="n">
        <v>127.0</v>
      </c>
      <c r="Q8" s="522" t="n">
        <v>452.0</v>
      </c>
      <c r="R8" s="522" t="n">
        <v>56.0</v>
      </c>
      <c r="S8" s="522" t="n">
        <v>679.0</v>
      </c>
      <c r="T8" s="473"/>
      <c r="U8" s="13">
        <f t="shared" ref="U8:U14" si="1">SUM(M8:T8)</f>
        <v>8455</v>
      </c>
    </row>
    <row r="9" spans="1:21" x14ac:dyDescent="0.45">
      <c r="A9" t="s">
        <v>254</v>
      </c>
      <c r="B9" s="13" t="n">
        <v>0.0</v>
      </c>
      <c r="C9" s="13" t="n">
        <v>0.0</v>
      </c>
      <c r="D9" s="13" t="n">
        <v>5493.2858028158</v>
      </c>
      <c r="E9" s="13" t="n">
        <v>397.3849235138</v>
      </c>
      <c r="F9" s="13" t="n">
        <v>0.0</v>
      </c>
      <c r="G9" s="13" t="n">
        <v>0.0</v>
      </c>
      <c r="H9" s="13" t="n">
        <v>1981.0829941171</v>
      </c>
      <c r="I9" s="13"/>
      <c r="J9" s="13">
        <f t="shared" si="0"/>
        <v>7871.7537204466989</v>
      </c>
      <c r="K9" s="14"/>
      <c r="L9" t="str">
        <f>$A$9</f>
        <v>Kirkland</v>
      </c>
      <c r="M9" s="522" t="n">
        <v>499.0</v>
      </c>
      <c r="N9" s="522" t="n">
        <v>448.0</v>
      </c>
      <c r="O9" s="522" t="n">
        <v>3191.0</v>
      </c>
      <c r="P9" s="522" t="n">
        <v>650.0</v>
      </c>
      <c r="Q9" s="522" t="n">
        <v>447.0</v>
      </c>
      <c r="R9" s="522" t="n">
        <v>46.0</v>
      </c>
      <c r="S9" s="522" t="n">
        <v>1100.0</v>
      </c>
      <c r="T9" s="473"/>
      <c r="U9" s="13">
        <f t="shared" si="1"/>
        <v>6218</v>
      </c>
    </row>
    <row r="10" spans="1:21" x14ac:dyDescent="0.45">
      <c r="A10" t="s">
        <v>255</v>
      </c>
      <c r="B10" s="13" t="n">
        <v>1485.5079150783</v>
      </c>
      <c r="C10" s="13" t="n">
        <v>407.745583464</v>
      </c>
      <c r="D10" s="13" t="n">
        <v>826.2829174094</v>
      </c>
      <c r="E10" s="13" t="n">
        <v>6837.2373192181</v>
      </c>
      <c r="F10" s="13" t="n">
        <v>0.0</v>
      </c>
      <c r="G10" s="13" t="n">
        <v>0.0</v>
      </c>
      <c r="H10" s="13" t="n">
        <v>702.428165475</v>
      </c>
      <c r="I10" s="13"/>
      <c r="J10" s="13">
        <f t="shared" si="0"/>
        <v>10259.201900644799</v>
      </c>
      <c r="K10" s="14"/>
      <c r="L10" t="str">
        <f>$A$10</f>
        <v>Redmond</v>
      </c>
      <c r="M10" s="522" t="n">
        <v>1979.0</v>
      </c>
      <c r="N10" s="522" t="n">
        <v>296.0</v>
      </c>
      <c r="O10" s="522" t="n">
        <v>945.0</v>
      </c>
      <c r="P10" s="522" t="n">
        <v>6098.0</v>
      </c>
      <c r="Q10" s="522" t="n">
        <v>533.0</v>
      </c>
      <c r="R10" s="522" t="n">
        <v>52.0</v>
      </c>
      <c r="S10" s="522" t="n">
        <v>1175.0</v>
      </c>
      <c r="T10" s="473"/>
      <c r="U10" s="13">
        <f t="shared" si="1"/>
        <v>10774</v>
      </c>
    </row>
    <row r="11" spans="1:21" x14ac:dyDescent="0.45">
      <c r="A11" t="s">
        <v>251</v>
      </c>
      <c r="B11" s="13" t="n">
        <v>56.1388760904</v>
      </c>
      <c r="C11" s="13" t="n">
        <v>0.0</v>
      </c>
      <c r="D11" s="13" t="n">
        <v>0.0</v>
      </c>
      <c r="E11" s="13" t="n">
        <v>0.0</v>
      </c>
      <c r="F11" s="13" t="n">
        <v>32735.6069894941</v>
      </c>
      <c r="G11" s="13" t="n">
        <v>4162.9400519857</v>
      </c>
      <c r="H11" s="13" t="n">
        <v>1320.4057760048</v>
      </c>
      <c r="I11" s="13"/>
      <c r="J11" s="13">
        <f t="shared" si="0"/>
        <v>38275.091693574999</v>
      </c>
      <c r="K11" s="14"/>
      <c r="L11" t="str">
        <f>$A$11</f>
        <v>Seattle</v>
      </c>
      <c r="M11" s="522" t="n">
        <v>473.0</v>
      </c>
      <c r="N11" s="522" t="n">
        <v>98.0</v>
      </c>
      <c r="O11" s="522" t="n">
        <v>305.0</v>
      </c>
      <c r="P11" s="522" t="n">
        <v>158.0</v>
      </c>
      <c r="Q11" s="522" t="n">
        <v>38350.0</v>
      </c>
      <c r="R11" s="522" t="n">
        <v>2436.0</v>
      </c>
      <c r="S11" s="522" t="n">
        <v>3944.0</v>
      </c>
      <c r="T11" s="473"/>
      <c r="U11" s="13">
        <f t="shared" si="1"/>
        <v>47051</v>
      </c>
    </row>
    <row r="12" spans="1:21" x14ac:dyDescent="0.45">
      <c r="A12" t="s">
        <v>256</v>
      </c>
      <c r="B12" s="13" t="n">
        <v>161.2664198805</v>
      </c>
      <c r="C12" s="13" t="n">
        <v>0.0</v>
      </c>
      <c r="D12" s="13" t="n">
        <v>0.0</v>
      </c>
      <c r="E12" s="13" t="n">
        <v>0.0</v>
      </c>
      <c r="F12" s="13" t="n">
        <v>3259.040999355</v>
      </c>
      <c r="G12" s="13" t="n">
        <v>27890.4622987429</v>
      </c>
      <c r="H12" s="13" t="n">
        <v>198.4972902366</v>
      </c>
      <c r="I12" s="13"/>
      <c r="J12" s="13">
        <f t="shared" si="0"/>
        <v>31509.267008215</v>
      </c>
      <c r="K12" s="14"/>
      <c r="L12" t="str">
        <f>$A$12</f>
        <v>Seattle Downtown</v>
      </c>
      <c r="M12" s="522" t="n">
        <v>387.0</v>
      </c>
      <c r="N12" s="522" t="n">
        <v>63.0</v>
      </c>
      <c r="O12" s="522" t="n">
        <v>115.0</v>
      </c>
      <c r="P12" s="522" t="n">
        <v>119.0</v>
      </c>
      <c r="Q12" s="522" t="n">
        <v>6676.0</v>
      </c>
      <c r="R12" s="522" t="n">
        <v>23867.0</v>
      </c>
      <c r="S12" s="522" t="n">
        <v>1874.0</v>
      </c>
      <c r="T12" s="473"/>
      <c r="U12" s="13">
        <f t="shared" si="1"/>
        <v>32663</v>
      </c>
    </row>
    <row r="13" spans="1:21" x14ac:dyDescent="0.45">
      <c r="A13" t="s">
        <v>257</v>
      </c>
      <c r="B13" s="13" t="n">
        <v>292.475114885</v>
      </c>
      <c r="C13" s="13" t="n">
        <v>0.0</v>
      </c>
      <c r="D13" s="13" t="n">
        <v>1499.369579797</v>
      </c>
      <c r="E13" s="13" t="n">
        <v>496.321471143</v>
      </c>
      <c r="F13" s="13" t="n">
        <v>354.4226864293</v>
      </c>
      <c r="G13" s="13" t="n">
        <v>0.0</v>
      </c>
      <c r="H13" s="13" t="n">
        <v>74965.1873656852</v>
      </c>
      <c r="I13" s="13"/>
      <c r="J13" s="13">
        <f t="shared" si="0"/>
        <v>77607.776217939492</v>
      </c>
      <c r="K13" s="14"/>
      <c r="L13" t="str">
        <f>$A$13</f>
        <v>Rest</v>
      </c>
      <c r="M13" s="522" t="n">
        <v>1115.0</v>
      </c>
      <c r="N13" s="522" t="n">
        <v>337.0</v>
      </c>
      <c r="O13" s="522" t="n">
        <v>716.0</v>
      </c>
      <c r="P13" s="522" t="n">
        <v>694.0</v>
      </c>
      <c r="Q13" s="522" t="n">
        <v>4753.0</v>
      </c>
      <c r="R13" s="522" t="n">
        <v>454.0</v>
      </c>
      <c r="S13" s="522" t="n">
        <v>110630.0</v>
      </c>
      <c r="T13" s="473"/>
      <c r="U13" s="13">
        <f t="shared" si="1"/>
        <v>117906</v>
      </c>
    </row>
    <row r="14" spans="1:21" x14ac:dyDescent="0.4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4.65" thickBot="1" x14ac:dyDescent="0.5">
      <c r="A15" s="1" t="s">
        <v>4</v>
      </c>
      <c r="B15" s="16">
        <f t="shared" ref="B15:J15" si="2">SUM(B7:B14)</f>
        <v>11444.262594196098</v>
      </c>
      <c r="C15" s="16">
        <f t="shared" si="2"/>
        <v>5086.9598372544006</v>
      </c>
      <c r="D15" s="16">
        <f t="shared" si="2"/>
        <v>8136.8930917872003</v>
      </c>
      <c r="E15" s="16">
        <f t="shared" si="2"/>
        <v>9530.7460837802992</v>
      </c>
      <c r="F15" s="16">
        <f t="shared" si="2"/>
        <v>36573.272109245896</v>
      </c>
      <c r="G15" s="16">
        <f t="shared" si="2"/>
        <v>33398.976668208597</v>
      </c>
      <c r="H15" s="16">
        <f t="shared" si="2"/>
        <v>79872.055012951692</v>
      </c>
      <c r="I15" s="16">
        <f t="shared" si="2"/>
        <v>0</v>
      </c>
      <c r="J15" s="16">
        <f t="shared" si="2"/>
        <v>184043.16539742419</v>
      </c>
      <c r="K15" s="13"/>
      <c r="L15" s="16" t="s">
        <v>4</v>
      </c>
      <c r="M15" s="16">
        <f t="shared" ref="M15:U15" si="3">SUM(M7:M14)</f>
        <v>11215</v>
      </c>
      <c r="N15" s="16">
        <f t="shared" si="3"/>
        <v>8878</v>
      </c>
      <c r="O15" s="16">
        <f t="shared" si="3"/>
        <v>5726</v>
      </c>
      <c r="P15" s="16">
        <f t="shared" si="3"/>
        <v>8225</v>
      </c>
      <c r="Q15" s="16">
        <f t="shared" si="3"/>
        <v>52905</v>
      </c>
      <c r="R15" s="16">
        <f t="shared" si="3"/>
        <v>26661</v>
      </c>
      <c r="S15" s="16">
        <f t="shared" si="3"/>
        <v>119645</v>
      </c>
      <c r="T15" s="16">
        <f t="shared" si="3"/>
        <v>0</v>
      </c>
      <c r="U15" s="16">
        <f t="shared" si="3"/>
        <v>233255</v>
      </c>
    </row>
    <row r="18" spans="1:32" ht="14.65" thickBot="1" x14ac:dyDescent="0.5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45">
      <c r="A20" t="str">
        <f>$A$7</f>
        <v>Bellevue</v>
      </c>
      <c r="B20" s="13">
        <f t="shared" ref="B20:G20" si="4">($U7/$J7)*B7</f>
        <v>7707.3830614042199</v>
      </c>
      <c r="C20" s="13">
        <f t="shared" si="4"/>
        <v>228.86395258163549</v>
      </c>
      <c r="D20" s="13">
        <f t="shared" si="4"/>
        <v>0</v>
      </c>
      <c r="E20" s="13">
        <f t="shared" si="4"/>
        <v>1310.4611251376957</v>
      </c>
      <c r="F20" s="13">
        <f t="shared" si="4"/>
        <v>227.2523357447171</v>
      </c>
      <c r="G20" s="13">
        <f t="shared" si="4"/>
        <v>0</v>
      </c>
      <c r="H20" s="13">
        <f t="shared" ref="H20" si="5">($U7/$J7)*H7</f>
        <v>714.03952513173078</v>
      </c>
      <c r="I20" s="13"/>
      <c r="J20" s="13">
        <f>SUM(B20:I20)</f>
        <v>10188</v>
      </c>
      <c r="K20" s="13"/>
      <c r="L20" t="str">
        <f>$A$7</f>
        <v>Bellevue</v>
      </c>
      <c r="M20" s="13">
        <f t="shared" ref="M20:M26" si="6">M7</f>
        <v>5434</v>
      </c>
      <c r="N20" s="13">
        <f t="shared" ref="N20:U20" si="7">N7</f>
        <v>2171</v>
      </c>
      <c r="O20" s="13">
        <f t="shared" si="7"/>
        <v>300</v>
      </c>
      <c r="P20" s="13">
        <f t="shared" si="7"/>
        <v>633</v>
      </c>
      <c r="Q20" s="13">
        <f t="shared" si="7"/>
        <v>608</v>
      </c>
      <c r="R20" s="13">
        <f t="shared" si="7"/>
        <v>88</v>
      </c>
      <c r="S20" s="13">
        <f t="shared" ref="S20" si="8">S7</f>
        <v>954</v>
      </c>
      <c r="T20" s="13"/>
      <c r="U20" s="13">
        <f t="shared" si="7"/>
        <v>10188</v>
      </c>
    </row>
    <row r="21" spans="1:32" x14ac:dyDescent="0.45">
      <c r="A21" t="str">
        <f>$A$8</f>
        <v>Bellevue Downtown</v>
      </c>
      <c r="B21" s="13">
        <f t="shared" ref="B21:G26" si="9">($U8/$J8)*B8</f>
        <v>1841.9467777463542</v>
      </c>
      <c r="C21" s="13">
        <f t="shared" si="9"/>
        <v>4446.1394199160268</v>
      </c>
      <c r="D21" s="13">
        <f t="shared" si="9"/>
        <v>317.43478768012534</v>
      </c>
      <c r="E21" s="13">
        <f t="shared" si="9"/>
        <v>506.10533751918581</v>
      </c>
      <c r="F21" s="13">
        <f t="shared" si="9"/>
        <v>0</v>
      </c>
      <c r="G21" s="13">
        <f t="shared" si="9"/>
        <v>1343.3736771383089</v>
      </c>
      <c r="H21" s="13">
        <f t="shared" ref="H21" si="10">($U8/$J8)*H8</f>
        <v>0</v>
      </c>
      <c r="I21" s="13"/>
      <c r="J21" s="13">
        <f t="shared" ref="J21:J27" si="11">SUM(B21:I21)</f>
        <v>8455.0000000000018</v>
      </c>
      <c r="K21" s="13"/>
      <c r="L21" t="str">
        <f>$A$8</f>
        <v>Bellevue Downtown</v>
      </c>
      <c r="M21" s="13">
        <f t="shared" si="6"/>
        <v>1313</v>
      </c>
      <c r="N21" s="13">
        <f t="shared" ref="N21:R26" si="12">N8</f>
        <v>5516</v>
      </c>
      <c r="O21" s="13">
        <f t="shared" si="12"/>
        <v>256</v>
      </c>
      <c r="P21" s="13">
        <f t="shared" si="12"/>
        <v>126</v>
      </c>
      <c r="Q21" s="13">
        <f t="shared" si="12"/>
        <v>503</v>
      </c>
      <c r="R21" s="13">
        <f t="shared" si="12"/>
        <v>41</v>
      </c>
      <c r="S21" s="13">
        <f t="shared" ref="S21" si="13">S8</f>
        <v>700</v>
      </c>
      <c r="T21" s="13"/>
      <c r="U21" s="13">
        <f t="shared" ref="U21:U26" si="14">U8</f>
        <v>8455</v>
      </c>
    </row>
    <row r="22" spans="1:32" x14ac:dyDescent="0.45">
      <c r="A22" t="str">
        <f>$A$9</f>
        <v>Kirkland</v>
      </c>
      <c r="B22" s="13">
        <f t="shared" si="9"/>
        <v>0</v>
      </c>
      <c r="C22" s="13">
        <f t="shared" si="9"/>
        <v>0</v>
      </c>
      <c r="D22" s="13">
        <f t="shared" si="9"/>
        <v>4339.2174520381614</v>
      </c>
      <c r="E22" s="13">
        <f t="shared" si="9"/>
        <v>313.89948697081314</v>
      </c>
      <c r="F22" s="13">
        <f t="shared" si="9"/>
        <v>0</v>
      </c>
      <c r="G22" s="13">
        <f t="shared" si="9"/>
        <v>0</v>
      </c>
      <c r="H22" s="13">
        <f t="shared" ref="H22" si="15">($U9/$J9)*H9</f>
        <v>1564.883060991026</v>
      </c>
      <c r="I22" s="13"/>
      <c r="J22" s="13">
        <f t="shared" si="11"/>
        <v>6218</v>
      </c>
      <c r="K22" s="14"/>
      <c r="L22" t="str">
        <f>$A$9</f>
        <v>Kirkland</v>
      </c>
      <c r="M22" s="13">
        <f t="shared" si="6"/>
        <v>485</v>
      </c>
      <c r="N22" s="13">
        <f t="shared" si="12"/>
        <v>429</v>
      </c>
      <c r="O22" s="13">
        <f t="shared" si="12"/>
        <v>3165</v>
      </c>
      <c r="P22" s="13">
        <f t="shared" si="12"/>
        <v>613</v>
      </c>
      <c r="Q22" s="13">
        <f t="shared" si="12"/>
        <v>422</v>
      </c>
      <c r="R22" s="13">
        <f t="shared" si="12"/>
        <v>35</v>
      </c>
      <c r="S22" s="13">
        <f t="shared" ref="S22" si="16">S9</f>
        <v>1069</v>
      </c>
      <c r="T22" s="13"/>
      <c r="U22" s="13">
        <f t="shared" si="14"/>
        <v>6218</v>
      </c>
    </row>
    <row r="23" spans="1:32" x14ac:dyDescent="0.45">
      <c r="A23" t="str">
        <f>$A$10</f>
        <v>Redmond</v>
      </c>
      <c r="B23" s="13">
        <f t="shared" si="9"/>
        <v>1560.0494494652341</v>
      </c>
      <c r="C23" s="13">
        <f t="shared" si="9"/>
        <v>428.20591297311626</v>
      </c>
      <c r="D23" s="13">
        <f t="shared" si="9"/>
        <v>867.74509736564926</v>
      </c>
      <c r="E23" s="13">
        <f t="shared" si="9"/>
        <v>7180.3241217648656</v>
      </c>
      <c r="F23" s="13">
        <f t="shared" si="9"/>
        <v>0</v>
      </c>
      <c r="G23" s="13">
        <f t="shared" si="9"/>
        <v>0</v>
      </c>
      <c r="H23" s="13">
        <f t="shared" ref="H23" si="17">($U10/$J10)*H10</f>
        <v>737.6754184311352</v>
      </c>
      <c r="I23" s="13"/>
      <c r="J23" s="13">
        <f>SUM(B23:I23)</f>
        <v>10774</v>
      </c>
      <c r="K23" s="14"/>
      <c r="L23" t="str">
        <f>$A$10</f>
        <v>Redmond</v>
      </c>
      <c r="M23" s="13">
        <f t="shared" si="6"/>
        <v>1966</v>
      </c>
      <c r="N23" s="13">
        <f t="shared" si="12"/>
        <v>285</v>
      </c>
      <c r="O23" s="13">
        <f t="shared" si="12"/>
        <v>849</v>
      </c>
      <c r="P23" s="13">
        <f t="shared" si="12"/>
        <v>5919</v>
      </c>
      <c r="Q23" s="13">
        <f t="shared" si="12"/>
        <v>526</v>
      </c>
      <c r="R23" s="13">
        <f t="shared" si="12"/>
        <v>52</v>
      </c>
      <c r="S23" s="13">
        <f t="shared" ref="S23" si="18">S10</f>
        <v>1177</v>
      </c>
      <c r="T23" s="13"/>
      <c r="U23" s="13">
        <f t="shared" si="14"/>
        <v>10774</v>
      </c>
    </row>
    <row r="24" spans="1:32" x14ac:dyDescent="0.45">
      <c r="A24" t="str">
        <f>$A$11</f>
        <v>Seattle</v>
      </c>
      <c r="B24" s="13">
        <f t="shared" si="9"/>
        <v>69.010684025945878</v>
      </c>
      <c r="C24" s="13">
        <f t="shared" si="9"/>
        <v>0</v>
      </c>
      <c r="D24" s="13">
        <f t="shared" si="9"/>
        <v>0</v>
      </c>
      <c r="E24" s="13">
        <f t="shared" si="9"/>
        <v>0</v>
      </c>
      <c r="F24" s="13">
        <f t="shared" si="9"/>
        <v>40241.393980023771</v>
      </c>
      <c r="G24" s="13">
        <f t="shared" si="9"/>
        <v>5117.4401867953911</v>
      </c>
      <c r="H24" s="13">
        <f t="shared" ref="H24" si="19">($U11/$J11)*H11</f>
        <v>1623.1551491548905</v>
      </c>
      <c r="I24" s="13"/>
      <c r="J24" s="13">
        <f t="shared" si="11"/>
        <v>47051</v>
      </c>
      <c r="K24" s="14"/>
      <c r="L24" t="str">
        <f>$A$11</f>
        <v>Seattle</v>
      </c>
      <c r="M24" s="13">
        <f t="shared" si="6"/>
        <v>491</v>
      </c>
      <c r="N24" s="13">
        <f t="shared" si="12"/>
        <v>114</v>
      </c>
      <c r="O24" s="13">
        <f t="shared" si="12"/>
        <v>313</v>
      </c>
      <c r="P24" s="13">
        <f t="shared" si="12"/>
        <v>183</v>
      </c>
      <c r="Q24" s="13">
        <f t="shared" si="12"/>
        <v>39426</v>
      </c>
      <c r="R24" s="13">
        <f t="shared" si="12"/>
        <v>2466</v>
      </c>
      <c r="S24" s="13">
        <f t="shared" ref="S24" si="20">S11</f>
        <v>4058</v>
      </c>
      <c r="T24" s="13"/>
      <c r="U24" s="13">
        <f t="shared" si="14"/>
        <v>47051</v>
      </c>
    </row>
    <row r="25" spans="1:32" x14ac:dyDescent="0.45">
      <c r="A25" t="str">
        <f>$A$12</f>
        <v>Seattle Downtown</v>
      </c>
      <c r="B25" s="13">
        <f t="shared" si="9"/>
        <v>167.17129824643203</v>
      </c>
      <c r="C25" s="13">
        <f t="shared" si="9"/>
        <v>0</v>
      </c>
      <c r="D25" s="13">
        <f t="shared" si="9"/>
        <v>0</v>
      </c>
      <c r="E25" s="13">
        <f t="shared" si="9"/>
        <v>0</v>
      </c>
      <c r="F25" s="13">
        <f t="shared" si="9"/>
        <v>3378.3729762478774</v>
      </c>
      <c r="G25" s="13">
        <f t="shared" si="9"/>
        <v>28911.690323558774</v>
      </c>
      <c r="H25" s="13">
        <f t="shared" ref="H25" si="21">($U12/$J12)*H12</f>
        <v>205.76540194691623</v>
      </c>
      <c r="I25" s="13"/>
      <c r="J25" s="13">
        <f t="shared" si="11"/>
        <v>32663</v>
      </c>
      <c r="K25" s="14"/>
      <c r="L25" t="str">
        <f>$A$12</f>
        <v>Seattle Downtown</v>
      </c>
      <c r="M25" s="13">
        <f t="shared" si="6"/>
        <v>382</v>
      </c>
      <c r="N25" s="13">
        <f t="shared" si="12"/>
        <v>65</v>
      </c>
      <c r="O25" s="13">
        <f t="shared" si="12"/>
        <v>153</v>
      </c>
      <c r="P25" s="13">
        <f t="shared" si="12"/>
        <v>112</v>
      </c>
      <c r="Q25" s="13">
        <f t="shared" si="12"/>
        <v>6543</v>
      </c>
      <c r="R25" s="13">
        <f t="shared" si="12"/>
        <v>23488</v>
      </c>
      <c r="S25" s="13">
        <f t="shared" ref="S25:S26" si="22">S12</f>
        <v>1920</v>
      </c>
      <c r="T25" s="13"/>
      <c r="U25" s="13">
        <f t="shared" si="14"/>
        <v>32663</v>
      </c>
    </row>
    <row r="26" spans="1:32" x14ac:dyDescent="0.45">
      <c r="A26" t="str">
        <f>$A$13</f>
        <v>Rest</v>
      </c>
      <c r="B26" s="13">
        <f t="shared" si="9"/>
        <v>444.34427290882093</v>
      </c>
      <c r="C26" s="13">
        <f t="shared" si="9"/>
        <v>0</v>
      </c>
      <c r="D26" s="13">
        <f t="shared" si="9"/>
        <v>2277.9246911945438</v>
      </c>
      <c r="E26" s="13">
        <f t="shared" si="9"/>
        <v>754.03886348001663</v>
      </c>
      <c r="F26" s="13">
        <f t="shared" si="9"/>
        <v>538.45842907264455</v>
      </c>
      <c r="G26" s="13">
        <f t="shared" si="9"/>
        <v>0</v>
      </c>
      <c r="H26" s="13">
        <f t="shared" ref="H26" si="23">($U13/$J13)*H13</f>
        <v>113891.23374334398</v>
      </c>
      <c r="I26" s="13"/>
      <c r="J26" s="13">
        <f t="shared" si="11"/>
        <v>117906.00000000001</v>
      </c>
      <c r="K26" s="14"/>
      <c r="L26" t="str">
        <f>$A$13</f>
        <v>Rest</v>
      </c>
      <c r="M26" s="13">
        <f t="shared" si="6"/>
        <v>1144</v>
      </c>
      <c r="N26" s="13">
        <f t="shared" si="12"/>
        <v>298</v>
      </c>
      <c r="O26" s="13">
        <f t="shared" si="12"/>
        <v>690</v>
      </c>
      <c r="P26" s="13">
        <f t="shared" si="12"/>
        <v>639</v>
      </c>
      <c r="Q26" s="13">
        <f t="shared" si="12"/>
        <v>4877</v>
      </c>
      <c r="R26" s="13">
        <f t="shared" si="12"/>
        <v>491</v>
      </c>
      <c r="S26" s="13">
        <f t="shared" si="22"/>
        <v>109767</v>
      </c>
      <c r="T26" s="13"/>
      <c r="U26" s="13">
        <f t="shared" si="14"/>
        <v>117906</v>
      </c>
    </row>
    <row r="27" spans="1:32" x14ac:dyDescent="0.4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t="shared" si="11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4.65" thickBot="1" x14ac:dyDescent="0.5">
      <c r="A28" s="1" t="s">
        <v>4</v>
      </c>
      <c r="B28" s="16">
        <f t="shared" ref="B28:J28" si="24">SUM(B20:B27)</f>
        <v>11789.905543797006</v>
      </c>
      <c r="C28" s="16">
        <f t="shared" si="24"/>
        <v>5103.209285470778</v>
      </c>
      <c r="D28" s="16">
        <f t="shared" si="24"/>
        <v>7802.3220282784805</v>
      </c>
      <c r="E28" s="16">
        <f t="shared" si="24"/>
        <v>10064.828934872576</v>
      </c>
      <c r="F28" s="16">
        <f t="shared" si="24"/>
        <v>44385.477721089002</v>
      </c>
      <c r="G28" s="16">
        <f t="shared" si="24"/>
        <v>35372.504187492472</v>
      </c>
      <c r="H28" s="16">
        <f t="shared" si="24"/>
        <v>118736.75229899968</v>
      </c>
      <c r="I28" s="16">
        <f t="shared" si="24"/>
        <v>0</v>
      </c>
      <c r="J28" s="16">
        <f t="shared" si="24"/>
        <v>233255</v>
      </c>
      <c r="K28" s="13"/>
      <c r="L28" s="16" t="s">
        <v>4</v>
      </c>
      <c r="M28" s="16">
        <f t="shared" ref="M28:U28" si="25">M15</f>
        <v>11215</v>
      </c>
      <c r="N28" s="16">
        <f t="shared" si="25"/>
        <v>8878</v>
      </c>
      <c r="O28" s="16">
        <f t="shared" si="25"/>
        <v>5726</v>
      </c>
      <c r="P28" s="16">
        <f t="shared" si="25"/>
        <v>8225</v>
      </c>
      <c r="Q28" s="16">
        <f t="shared" si="25"/>
        <v>52905</v>
      </c>
      <c r="R28" s="16">
        <f t="shared" si="25"/>
        <v>26661</v>
      </c>
      <c r="S28" s="16">
        <f t="shared" si="25"/>
        <v>119645</v>
      </c>
      <c r="T28" s="16"/>
      <c r="U28" s="16">
        <f t="shared" si="25"/>
        <v>233255</v>
      </c>
    </row>
    <row r="31" spans="1:32" ht="14.65" thickBot="1" x14ac:dyDescent="0.5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45">
      <c r="A33" t="str">
        <f>$A$7</f>
        <v>Bellevue</v>
      </c>
      <c r="B33" s="17">
        <f t="shared" ref="B33:G33" si="26">B20/$J$28</f>
        <v>3.3042734609779939E-2</v>
      </c>
      <c r="C33" s="17">
        <f t="shared" si="26"/>
        <v>9.811749054967117E-4</v>
      </c>
      <c r="D33" s="17">
        <f t="shared" si="26"/>
        <v>0</v>
      </c>
      <c r="E33" s="17">
        <f t="shared" si="26"/>
        <v>5.6181480574379787E-3</v>
      </c>
      <c r="F33" s="17">
        <f t="shared" si="26"/>
        <v>9.7426565666209556E-4</v>
      </c>
      <c r="G33" s="17">
        <f t="shared" si="26"/>
        <v>0</v>
      </c>
      <c r="H33" s="17">
        <f t="shared" ref="H33" si="27">H20/$J$28</f>
        <v>3.0611970810131865E-3</v>
      </c>
      <c r="I33" s="13"/>
      <c r="J33" s="17">
        <f t="shared" ref="J33:J39" si="28">J20/$J$28</f>
        <v>4.367752031038992E-2</v>
      </c>
      <c r="K33" s="13"/>
      <c r="L33" t="str">
        <f>$A$7</f>
        <v>Bellevue</v>
      </c>
      <c r="M33" s="17">
        <f t="shared" ref="M33:R33" si="29">M20/$U$28</f>
        <v>2.3296392360292385E-2</v>
      </c>
      <c r="N33" s="17">
        <f t="shared" si="29"/>
        <v>9.3074103449015018E-3</v>
      </c>
      <c r="O33" s="17">
        <f t="shared" si="29"/>
        <v>1.2861460633212579E-3</v>
      </c>
      <c r="P33" s="17">
        <f t="shared" si="29"/>
        <v>2.7137681936078542E-3</v>
      </c>
      <c r="Q33" s="17">
        <f t="shared" si="29"/>
        <v>2.6065893549977494E-3</v>
      </c>
      <c r="R33" s="17">
        <f t="shared" si="29"/>
        <v>3.7726951190756897E-4</v>
      </c>
      <c r="S33" s="17">
        <f t="shared" ref="S33" si="30">S20/$U$28</f>
        <v>4.0899444813615998E-3</v>
      </c>
      <c r="T33" s="17"/>
      <c r="U33" s="17">
        <f t="shared" ref="U33:U39" si="31">U20/$U$28</f>
        <v>4.367752031038992E-2</v>
      </c>
      <c r="W33" t="str">
        <f>$A$7</f>
        <v>Bellevue</v>
      </c>
      <c r="X33" s="17">
        <f t="shared" ref="X33:AD33" si="32">M33-B33</f>
        <v>-9.7463422494875537E-3</v>
      </c>
      <c r="Y33" s="17">
        <f t="shared" si="32"/>
        <v>8.3262354394047899E-3</v>
      </c>
      <c r="Z33" s="17">
        <f t="shared" si="32"/>
        <v>1.2861460633212579E-3</v>
      </c>
      <c r="AA33" s="17">
        <f t="shared" si="32"/>
        <v>-2.9043798638301245E-3</v>
      </c>
      <c r="AB33" s="17">
        <f t="shared" si="32"/>
        <v>1.6323236983356538E-3</v>
      </c>
      <c r="AC33" s="17">
        <f t="shared" si="32"/>
        <v>3.7726951190756897E-4</v>
      </c>
      <c r="AD33" s="17">
        <f t="shared" si="32"/>
        <v>1.0287474003484133E-3</v>
      </c>
      <c r="AE33" s="17"/>
      <c r="AF33" s="17">
        <f t="shared" ref="AF33:AF39" si="33">U33-J33</f>
        <v>0</v>
      </c>
    </row>
    <row r="34" spans="1:32" x14ac:dyDescent="0.45">
      <c r="A34" t="str">
        <f>$A$8</f>
        <v>Bellevue Downtown</v>
      </c>
      <c r="B34" s="17">
        <f t="shared" ref="B34:G39" si="34">B21/$J$28</f>
        <v>7.8967086568191638E-3</v>
      </c>
      <c r="C34" s="17">
        <f t="shared" si="34"/>
        <v>1.9061282373008196E-2</v>
      </c>
      <c r="D34" s="17">
        <f t="shared" si="34"/>
        <v>1.3608916751200418E-3</v>
      </c>
      <c r="E34" s="17">
        <f t="shared" si="34"/>
        <v>2.169751291587258E-3</v>
      </c>
      <c r="F34" s="17">
        <f t="shared" si="34"/>
        <v>0</v>
      </c>
      <c r="G34" s="17">
        <f t="shared" si="34"/>
        <v>5.7592492214027947E-3</v>
      </c>
      <c r="H34" s="17">
        <f t="shared" ref="H34" si="35">H21/$J$28</f>
        <v>0</v>
      </c>
      <c r="I34" s="13"/>
      <c r="J34" s="17">
        <f t="shared" si="28"/>
        <v>3.6247883217937461E-2</v>
      </c>
      <c r="K34" s="13"/>
      <c r="L34" t="str">
        <f>$A$8</f>
        <v>Bellevue Downtown</v>
      </c>
      <c r="M34" s="17">
        <f t="shared" ref="M34:R39" si="36">M21/$U$28</f>
        <v>5.6290326038027048E-3</v>
      </c>
      <c r="N34" s="17">
        <f t="shared" si="36"/>
        <v>2.3647938950933527E-2</v>
      </c>
      <c r="O34" s="17">
        <f t="shared" si="36"/>
        <v>1.0975113073674733E-3</v>
      </c>
      <c r="P34" s="17">
        <f t="shared" si="36"/>
        <v>5.4018134659492825E-4</v>
      </c>
      <c r="Q34" s="17">
        <f t="shared" si="36"/>
        <v>2.1564382328353089E-3</v>
      </c>
      <c r="R34" s="17">
        <f t="shared" si="36"/>
        <v>1.757732953205719E-4</v>
      </c>
      <c r="S34" s="17">
        <f t="shared" ref="S34" si="37">S21/$U$28</f>
        <v>3.0010074810829352E-3</v>
      </c>
      <c r="T34" s="17"/>
      <c r="U34" s="17">
        <f t="shared" si="31"/>
        <v>3.6247883217937447E-2</v>
      </c>
      <c r="W34" t="str">
        <f>$A$8</f>
        <v>Bellevue Downtown</v>
      </c>
      <c r="X34" s="17">
        <f t="shared" ref="X34:X38" si="38">M34-B34</f>
        <v>-2.267676053016459E-3</v>
      </c>
      <c r="Y34" s="17">
        <f t="shared" ref="Y34:AD38" si="39">N34-C34</f>
        <v>4.5866565779253306E-3</v>
      </c>
      <c r="Z34" s="17">
        <f t="shared" si="39"/>
        <v>-2.6338036775256854E-4</v>
      </c>
      <c r="AA34" s="17">
        <f t="shared" si="39"/>
        <v>-1.6295699449923296E-3</v>
      </c>
      <c r="AB34" s="17">
        <f t="shared" si="39"/>
        <v>2.1564382328353089E-3</v>
      </c>
      <c r="AC34" s="17">
        <f t="shared" si="39"/>
        <v>-5.5834759260822231E-3</v>
      </c>
      <c r="AD34" s="17">
        <f t="shared" si="39"/>
        <v>3.0010074810829352E-3</v>
      </c>
      <c r="AE34" s="17"/>
      <c r="AF34" s="17">
        <f t="shared" si="33"/>
        <v>0</v>
      </c>
    </row>
    <row r="35" spans="1:32" x14ac:dyDescent="0.45">
      <c r="A35" t="str">
        <f>$A$9</f>
        <v>Kirkland</v>
      </c>
      <c r="B35" s="17">
        <f t="shared" si="34"/>
        <v>0</v>
      </c>
      <c r="C35" s="17">
        <f t="shared" si="34"/>
        <v>0</v>
      </c>
      <c r="D35" s="17">
        <f t="shared" si="34"/>
        <v>1.8602891479445934E-2</v>
      </c>
      <c r="E35" s="17">
        <f t="shared" si="34"/>
        <v>1.3457352981535793E-3</v>
      </c>
      <c r="F35" s="17">
        <f t="shared" si="34"/>
        <v>0</v>
      </c>
      <c r="G35" s="17">
        <f t="shared" si="34"/>
        <v>0</v>
      </c>
      <c r="H35" s="17">
        <f t="shared" ref="H35" si="40">H22/$J$28</f>
        <v>6.7088939615057601E-3</v>
      </c>
      <c r="I35" s="13"/>
      <c r="J35" s="17">
        <f t="shared" si="28"/>
        <v>2.6657520739105271E-2</v>
      </c>
      <c r="K35" s="14"/>
      <c r="L35" t="str">
        <f>$A$9</f>
        <v>Kirkland</v>
      </c>
      <c r="M35" s="17">
        <f t="shared" si="36"/>
        <v>2.0792694690360334E-3</v>
      </c>
      <c r="N35" s="17">
        <f t="shared" si="36"/>
        <v>1.8391888705493987E-3</v>
      </c>
      <c r="O35" s="17">
        <f t="shared" si="36"/>
        <v>1.3568840968039271E-2</v>
      </c>
      <c r="P35" s="17">
        <f t="shared" si="36"/>
        <v>2.6280251227197701E-3</v>
      </c>
      <c r="Q35" s="17">
        <f t="shared" si="36"/>
        <v>1.8091787957385695E-3</v>
      </c>
      <c r="R35" s="17">
        <f t="shared" si="36"/>
        <v>1.5005037405414675E-4</v>
      </c>
      <c r="S35" s="17">
        <f t="shared" ref="S35" si="41">S22/$U$28</f>
        <v>4.5829671389680821E-3</v>
      </c>
      <c r="T35" s="17"/>
      <c r="U35" s="17">
        <f t="shared" si="31"/>
        <v>2.6657520739105271E-2</v>
      </c>
      <c r="W35" t="str">
        <f>$A$9</f>
        <v>Kirkland</v>
      </c>
      <c r="X35" s="17">
        <f t="shared" si="38"/>
        <v>2.0792694690360334E-3</v>
      </c>
      <c r="Y35" s="17">
        <f t="shared" si="39"/>
        <v>1.8391888705493987E-3</v>
      </c>
      <c r="Z35" s="17">
        <f t="shared" si="39"/>
        <v>-5.0340505114066635E-3</v>
      </c>
      <c r="AA35" s="17">
        <f t="shared" si="39"/>
        <v>1.2822898245661908E-3</v>
      </c>
      <c r="AB35" s="17">
        <f t="shared" si="39"/>
        <v>1.8091787957385695E-3</v>
      </c>
      <c r="AC35" s="17">
        <f t="shared" si="39"/>
        <v>1.5005037405414675E-4</v>
      </c>
      <c r="AD35" s="17">
        <f t="shared" si="39"/>
        <v>-2.1259268225376779E-3</v>
      </c>
      <c r="AE35" s="17"/>
      <c r="AF35" s="17">
        <f t="shared" si="33"/>
        <v>0</v>
      </c>
    </row>
    <row r="36" spans="1:32" x14ac:dyDescent="0.45">
      <c r="A36" t="str">
        <f>$A$10</f>
        <v>Redmond</v>
      </c>
      <c r="B36" s="17">
        <f t="shared" si="34"/>
        <v>6.6881715267206885E-3</v>
      </c>
      <c r="C36" s="17">
        <f t="shared" si="34"/>
        <v>1.8357844975375288E-3</v>
      </c>
      <c r="D36" s="17">
        <f t="shared" si="34"/>
        <v>3.7201564698105048E-3</v>
      </c>
      <c r="E36" s="17">
        <f t="shared" si="34"/>
        <v>3.0783152008595167E-2</v>
      </c>
      <c r="F36" s="17">
        <f t="shared" si="34"/>
        <v>0</v>
      </c>
      <c r="G36" s="17">
        <f t="shared" si="34"/>
        <v>0</v>
      </c>
      <c r="H36" s="17">
        <f t="shared" ref="H36" si="42">H23/$J$28</f>
        <v>3.1625277847468873E-3</v>
      </c>
      <c r="I36" s="13"/>
      <c r="J36" s="17">
        <f t="shared" si="28"/>
        <v>4.6189792287410776E-2</v>
      </c>
      <c r="K36" s="14"/>
      <c r="L36" t="str">
        <f>$A$10</f>
        <v>Redmond</v>
      </c>
      <c r="M36" s="17">
        <f t="shared" si="36"/>
        <v>8.4285438682986432E-3</v>
      </c>
      <c r="N36" s="17">
        <f t="shared" si="36"/>
        <v>1.2218387601551949E-3</v>
      </c>
      <c r="O36" s="17">
        <f t="shared" si="36"/>
        <v>3.6397933591991597E-3</v>
      </c>
      <c r="P36" s="17">
        <f t="shared" si="36"/>
        <v>2.5375661829328416E-2</v>
      </c>
      <c r="Q36" s="17">
        <f t="shared" si="36"/>
        <v>2.2550427643566054E-3</v>
      </c>
      <c r="R36" s="17">
        <f t="shared" si="36"/>
        <v>2.2293198430901802E-4</v>
      </c>
      <c r="S36" s="17">
        <f t="shared" ref="S36" si="43">S23/$U$28</f>
        <v>5.0459797217637346E-3</v>
      </c>
      <c r="T36" s="17"/>
      <c r="U36" s="17">
        <f t="shared" si="31"/>
        <v>4.6189792287410776E-2</v>
      </c>
      <c r="W36" t="str">
        <f>$A$10</f>
        <v>Redmond</v>
      </c>
      <c r="X36" s="17">
        <f t="shared" si="38"/>
        <v>1.7403723415779547E-3</v>
      </c>
      <c r="Y36" s="17">
        <f t="shared" si="39"/>
        <v>-6.1394573738233387E-4</v>
      </c>
      <c r="Z36" s="17">
        <f t="shared" si="39"/>
        <v>-8.0363110611345132E-5</v>
      </c>
      <c r="AA36" s="17">
        <f t="shared" si="39"/>
        <v>-5.4074901792667517E-3</v>
      </c>
      <c r="AB36" s="17">
        <f t="shared" si="39"/>
        <v>2.2550427643566054E-3</v>
      </c>
      <c r="AC36" s="17">
        <f t="shared" si="39"/>
        <v>2.2293198430901802E-4</v>
      </c>
      <c r="AD36" s="17">
        <f t="shared" si="39"/>
        <v>1.8834519370168473E-3</v>
      </c>
      <c r="AE36" s="17"/>
      <c r="AF36" s="17">
        <f t="shared" si="33"/>
        <v>0</v>
      </c>
    </row>
    <row r="37" spans="1:32" x14ac:dyDescent="0.45">
      <c r="A37" t="str">
        <f>$A$11</f>
        <v>Seattle</v>
      </c>
      <c r="B37" s="17">
        <f t="shared" si="34"/>
        <v>2.958593986235917E-4</v>
      </c>
      <c r="C37" s="17">
        <f t="shared" si="34"/>
        <v>0</v>
      </c>
      <c r="D37" s="17">
        <f t="shared" si="34"/>
        <v>0</v>
      </c>
      <c r="E37" s="17">
        <f t="shared" si="34"/>
        <v>0</v>
      </c>
      <c r="F37" s="17">
        <f t="shared" si="34"/>
        <v>0.17252103483322445</v>
      </c>
      <c r="G37" s="17">
        <f t="shared" si="34"/>
        <v>2.1939251835096315E-2</v>
      </c>
      <c r="H37" s="17">
        <f t="shared" ref="H37" si="44">H24/$J$28</f>
        <v>6.9587153508173056E-3</v>
      </c>
      <c r="I37" s="13"/>
      <c r="J37" s="17">
        <f t="shared" si="28"/>
        <v>0.20171486141776168</v>
      </c>
      <c r="K37" s="14"/>
      <c r="L37" t="str">
        <f>$A$11</f>
        <v>Seattle</v>
      </c>
      <c r="M37" s="17">
        <f t="shared" si="36"/>
        <v>2.1049923903024587E-3</v>
      </c>
      <c r="N37" s="17">
        <f t="shared" si="36"/>
        <v>4.8873550406207801E-4</v>
      </c>
      <c r="O37" s="17">
        <f t="shared" si="36"/>
        <v>1.3418790593985124E-3</v>
      </c>
      <c r="P37" s="17">
        <f t="shared" si="36"/>
        <v>7.8454909862596726E-4</v>
      </c>
      <c r="Q37" s="17">
        <f t="shared" si="36"/>
        <v>0.16902531564167972</v>
      </c>
      <c r="R37" s="17">
        <f t="shared" si="36"/>
        <v>1.057212064050074E-2</v>
      </c>
      <c r="S37" s="17">
        <f t="shared" ref="S37" si="45">S24/$U$28</f>
        <v>1.7397269083192213E-2</v>
      </c>
      <c r="T37" s="17"/>
      <c r="U37" s="17">
        <f t="shared" si="31"/>
        <v>0.20171486141776168</v>
      </c>
      <c r="W37" t="str">
        <f>$A$11</f>
        <v>Seattle</v>
      </c>
      <c r="X37" s="17">
        <f t="shared" si="38"/>
        <v>1.809132991678867E-3</v>
      </c>
      <c r="Y37" s="17">
        <f t="shared" si="39"/>
        <v>4.8873550406207801E-4</v>
      </c>
      <c r="Z37" s="17">
        <f t="shared" si="39"/>
        <v>1.3418790593985124E-3</v>
      </c>
      <c r="AA37" s="17">
        <f t="shared" si="39"/>
        <v>7.8454909862596726E-4</v>
      </c>
      <c r="AB37" s="17">
        <f t="shared" si="39"/>
        <v>-3.4957191915447328E-3</v>
      </c>
      <c r="AC37" s="17">
        <f t="shared" si="39"/>
        <v>-1.1367131194595575E-2</v>
      </c>
      <c r="AD37" s="17">
        <f t="shared" si="39"/>
        <v>1.0438553732374907E-2</v>
      </c>
      <c r="AE37" s="17"/>
      <c r="AF37" s="17">
        <f t="shared" si="33"/>
        <v>0</v>
      </c>
    </row>
    <row r="38" spans="1:32" x14ac:dyDescent="0.45">
      <c r="A38" t="str">
        <f>$A$12</f>
        <v>Seattle Downtown</v>
      </c>
      <c r="B38" s="17">
        <f t="shared" si="34"/>
        <v>7.166890237998415E-4</v>
      </c>
      <c r="C38" s="17">
        <f t="shared" si="34"/>
        <v>0</v>
      </c>
      <c r="D38" s="17">
        <f t="shared" si="34"/>
        <v>0</v>
      </c>
      <c r="E38" s="17">
        <f t="shared" si="34"/>
        <v>0</v>
      </c>
      <c r="F38" s="17">
        <f t="shared" si="34"/>
        <v>1.448360367944043E-2</v>
      </c>
      <c r="G38" s="17">
        <f t="shared" si="34"/>
        <v>0.1239488556453614</v>
      </c>
      <c r="H38" s="17">
        <f t="shared" ref="H38:H39" si="46">H25/$J$28</f>
        <v>8.8214787227247529E-4</v>
      </c>
      <c r="I38" s="13"/>
      <c r="J38" s="17">
        <f t="shared" si="28"/>
        <v>0.14003129622087415</v>
      </c>
      <c r="K38" s="14"/>
      <c r="L38" t="str">
        <f>$A$12</f>
        <v>Seattle Downtown</v>
      </c>
      <c r="M38" s="17">
        <f t="shared" si="36"/>
        <v>1.6376926539624016E-3</v>
      </c>
      <c r="N38" s="17">
        <f t="shared" si="36"/>
        <v>2.7866498038627252E-4</v>
      </c>
      <c r="O38" s="17">
        <f t="shared" si="36"/>
        <v>6.5593449229384149E-4</v>
      </c>
      <c r="P38" s="17">
        <f t="shared" si="36"/>
        <v>4.8016119697326962E-4</v>
      </c>
      <c r="Q38" s="17">
        <f t="shared" si="36"/>
        <v>2.8050845641036635E-2</v>
      </c>
      <c r="R38" s="17">
        <f t="shared" si="36"/>
        <v>0.10069666245096569</v>
      </c>
      <c r="S38" s="17">
        <f t="shared" ref="S38" si="47">S25/$U$28</f>
        <v>8.2313348052560509E-3</v>
      </c>
      <c r="T38" s="17"/>
      <c r="U38" s="17">
        <f t="shared" si="31"/>
        <v>0.14003129622087415</v>
      </c>
      <c r="W38" t="str">
        <f>$A$12</f>
        <v>Seattle Downtown</v>
      </c>
      <c r="X38" s="17">
        <f t="shared" si="38"/>
        <v>9.2100363016256015E-4</v>
      </c>
      <c r="Y38" s="17">
        <f t="shared" si="39"/>
        <v>2.7866498038627252E-4</v>
      </c>
      <c r="Z38" s="17">
        <f t="shared" si="39"/>
        <v>6.5593449229384149E-4</v>
      </c>
      <c r="AA38" s="17">
        <f t="shared" si="39"/>
        <v>4.8016119697326962E-4</v>
      </c>
      <c r="AB38" s="17">
        <f t="shared" si="39"/>
        <v>1.3567241961596204E-2</v>
      </c>
      <c r="AC38" s="17">
        <f t="shared" si="39"/>
        <v>-2.3252193194395712E-2</v>
      </c>
      <c r="AD38" s="17">
        <f t="shared" si="39"/>
        <v>7.3491869329835756E-3</v>
      </c>
      <c r="AE38" s="17"/>
      <c r="AF38" s="17">
        <f t="shared" si="33"/>
        <v>0</v>
      </c>
    </row>
    <row r="39" spans="1:32" x14ac:dyDescent="0.45">
      <c r="A39" t="str">
        <f>$A$13</f>
        <v>Rest</v>
      </c>
      <c r="B39" s="17">
        <f t="shared" si="34"/>
        <v>1.9049721245367557E-3</v>
      </c>
      <c r="C39" s="17">
        <f t="shared" si="34"/>
        <v>0</v>
      </c>
      <c r="D39" s="17">
        <f t="shared" si="34"/>
        <v>9.7658129137405143E-3</v>
      </c>
      <c r="E39" s="17">
        <f t="shared" si="34"/>
        <v>3.2326803861868624E-3</v>
      </c>
      <c r="F39" s="17">
        <f t="shared" si="34"/>
        <v>2.3084539627131018E-3</v>
      </c>
      <c r="G39" s="17">
        <f t="shared" si="34"/>
        <v>0</v>
      </c>
      <c r="H39" s="17">
        <f t="shared" si="46"/>
        <v>0.48826920641934357</v>
      </c>
      <c r="I39" s="13"/>
      <c r="J39" s="17">
        <f t="shared" si="28"/>
        <v>0.50548112580652083</v>
      </c>
      <c r="K39" s="14"/>
      <c r="L39" t="str">
        <f>$A$13</f>
        <v>Rest</v>
      </c>
      <c r="M39" s="17">
        <f t="shared" si="36"/>
        <v>4.9045036547983962E-3</v>
      </c>
      <c r="N39" s="17">
        <f t="shared" si="36"/>
        <v>1.2775717562324494E-3</v>
      </c>
      <c r="O39" s="17">
        <f t="shared" si="36"/>
        <v>2.9581359456388929E-3</v>
      </c>
      <c r="P39" s="17">
        <f t="shared" si="36"/>
        <v>2.7394911148742791E-3</v>
      </c>
      <c r="Q39" s="17">
        <f t="shared" si="36"/>
        <v>2.090844783605925E-2</v>
      </c>
      <c r="R39" s="17">
        <f t="shared" si="36"/>
        <v>2.1049923903024587E-3</v>
      </c>
      <c r="S39" s="17">
        <f t="shared" ref="S39" si="48">S26/$U$28</f>
        <v>0.47058798310861505</v>
      </c>
      <c r="T39" s="17"/>
      <c r="U39" s="17">
        <f t="shared" si="31"/>
        <v>0.50548112580652071</v>
      </c>
      <c r="W39" t="str">
        <f>$A$13</f>
        <v>Rest</v>
      </c>
      <c r="X39" s="17">
        <f t="shared" ref="X39" si="49">M39-B39</f>
        <v>2.9995315302616407E-3</v>
      </c>
      <c r="Y39" s="17">
        <f t="shared" ref="Y39" si="50">N39-C39</f>
        <v>1.2775717562324494E-3</v>
      </c>
      <c r="Z39" s="17">
        <f t="shared" ref="Z39" si="51">O39-D39</f>
        <v>-6.8076769681016218E-3</v>
      </c>
      <c r="AA39" s="17">
        <f t="shared" ref="AA39" si="52">P39-E39</f>
        <v>-4.9318927131258329E-4</v>
      </c>
      <c r="AB39" s="17">
        <f t="shared" ref="AB39" si="53">Q39-F39</f>
        <v>1.8599993873346148E-2</v>
      </c>
      <c r="AC39" s="17">
        <f t="shared" ref="AC39" si="54">R39-G39</f>
        <v>2.1049923903024587E-3</v>
      </c>
      <c r="AD39" s="17">
        <f t="shared" ref="AD39" si="55">S39-H39</f>
        <v>-1.7681223310728522E-2</v>
      </c>
      <c r="AE39" s="17"/>
      <c r="AF39" s="17">
        <f t="shared" si="33"/>
        <v>0</v>
      </c>
    </row>
    <row r="40" spans="1:32" x14ac:dyDescent="0.4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4.65" thickBot="1" x14ac:dyDescent="0.5">
      <c r="A41" s="1" t="s">
        <v>4</v>
      </c>
      <c r="B41" s="19">
        <f t="shared" ref="B41:G41" si="56">B28/$J$28</f>
        <v>5.0545135340279976E-2</v>
      </c>
      <c r="C41" s="19">
        <f t="shared" si="56"/>
        <v>2.1878241776042435E-2</v>
      </c>
      <c r="D41" s="19">
        <f t="shared" si="56"/>
        <v>3.3449752538117002E-2</v>
      </c>
      <c r="E41" s="19">
        <f t="shared" si="56"/>
        <v>4.3149467041960841E-2</v>
      </c>
      <c r="F41" s="19">
        <f t="shared" si="56"/>
        <v>0.19028735813204006</v>
      </c>
      <c r="G41" s="19">
        <f t="shared" si="56"/>
        <v>0.1516473567018605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4.8080427000493024E-2</v>
      </c>
      <c r="N41" s="19">
        <f>N28/$U$28</f>
        <v>3.8061349167220426E-2</v>
      </c>
      <c r="O41" s="19">
        <f>O28/$U$28</f>
        <v>2.4548241195258409E-2</v>
      </c>
      <c r="P41" s="19">
        <f>P28/$U$28</f>
        <v>3.5261837902724483E-2</v>
      </c>
      <c r="Q41" s="19">
        <f t="shared" ref="Q41:S41" si="57">Q28/$U$28</f>
        <v>0.22681185826670383</v>
      </c>
      <c r="R41" s="19">
        <f t="shared" si="57"/>
        <v>0.11429980064736019</v>
      </c>
      <c r="S41" s="19">
        <f t="shared" si="57"/>
        <v>0.51293648582023965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58">M41-B41</f>
        <v>-2.4647083397869515E-3</v>
      </c>
      <c r="Y41" s="19">
        <f t="shared" si="58"/>
        <v>1.6183107391177991E-2</v>
      </c>
      <c r="Z41" s="19">
        <f t="shared" si="58"/>
        <v>-8.9015113428585931E-3</v>
      </c>
      <c r="AA41" s="19">
        <f t="shared" si="58"/>
        <v>-7.8876291392363587E-3</v>
      </c>
      <c r="AB41" s="19">
        <f t="shared" si="58"/>
        <v>3.6524500134663768E-2</v>
      </c>
      <c r="AC41" s="19">
        <f t="shared" si="58"/>
        <v>-3.7347556054500311E-2</v>
      </c>
      <c r="AD41" s="19">
        <f t="shared" si="58"/>
        <v>0.51293648582023965</v>
      </c>
      <c r="AE41" s="19">
        <f>T41-I41</f>
        <v>0</v>
      </c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22</v>
      </c>
    </row>
    <row r="2" spans="1:3" x14ac:dyDescent="0.45">
      <c r="A2">
        <v>1</v>
      </c>
      <c r="B2" t="s">
        <v>250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J50" sqref="J50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480" t="s">
        <v>46</v>
      </c>
    </row>
    <row r="2" spans="1:4" x14ac:dyDescent="0.45">
      <c r="A2" t="s">
        <v>258</v>
      </c>
      <c r="B2" t="s">
        <v>259</v>
      </c>
      <c r="C2" t="s">
        <v>95</v>
      </c>
      <c r="D2" t="s">
        <v>260</v>
      </c>
    </row>
    <row r="3" spans="1:4" x14ac:dyDescent="0.45">
      <c r="A3">
        <v>1</v>
      </c>
      <c r="B3" t="s">
        <v>49</v>
      </c>
      <c r="C3" t="s">
        <v>261</v>
      </c>
      <c r="D3" t="s">
        <v>50</v>
      </c>
    </row>
    <row r="4" spans="1:4" x14ac:dyDescent="0.45">
      <c r="A4">
        <v>2</v>
      </c>
      <c r="B4" t="s">
        <v>52</v>
      </c>
      <c r="C4" t="s">
        <v>261</v>
      </c>
      <c r="D4" t="s">
        <v>53</v>
      </c>
    </row>
    <row r="5" spans="1:4" x14ac:dyDescent="0.45">
      <c r="A5">
        <v>3</v>
      </c>
      <c r="B5" t="s">
        <v>55</v>
      </c>
      <c r="C5" t="s">
        <v>261</v>
      </c>
      <c r="D5" t="s">
        <v>56</v>
      </c>
    </row>
    <row r="6" spans="1:4" x14ac:dyDescent="0.45">
      <c r="A6">
        <v>4</v>
      </c>
      <c r="B6" t="s">
        <v>58</v>
      </c>
      <c r="C6" t="s">
        <v>261</v>
      </c>
      <c r="D6" t="s">
        <v>59</v>
      </c>
    </row>
    <row r="7" spans="1:4" x14ac:dyDescent="0.45">
      <c r="A7">
        <v>5</v>
      </c>
      <c r="B7" t="s">
        <v>61</v>
      </c>
      <c r="C7" t="s">
        <v>261</v>
      </c>
      <c r="D7" t="s">
        <v>62</v>
      </c>
    </row>
    <row r="8" spans="1:4" x14ac:dyDescent="0.45">
      <c r="A8">
        <v>6</v>
      </c>
      <c r="B8" t="s">
        <v>63</v>
      </c>
      <c r="C8" t="s">
        <v>261</v>
      </c>
      <c r="D8" t="s">
        <v>64</v>
      </c>
    </row>
    <row r="9" spans="1:4" x14ac:dyDescent="0.45">
      <c r="A9">
        <v>7</v>
      </c>
      <c r="B9" t="s">
        <v>65</v>
      </c>
      <c r="C9" t="s">
        <v>261</v>
      </c>
      <c r="D9" t="s">
        <v>66</v>
      </c>
    </row>
    <row r="10" spans="1:4" x14ac:dyDescent="0.45">
      <c r="A10">
        <v>8</v>
      </c>
      <c r="B10" t="s">
        <v>68</v>
      </c>
      <c r="C10" t="s">
        <v>261</v>
      </c>
      <c r="D10" t="s">
        <v>69</v>
      </c>
    </row>
    <row r="11" spans="1:4" x14ac:dyDescent="0.45">
      <c r="A11">
        <v>9</v>
      </c>
      <c r="B11" t="s">
        <v>70</v>
      </c>
      <c r="C11" t="s">
        <v>261</v>
      </c>
      <c r="D11" t="s">
        <v>71</v>
      </c>
    </row>
    <row r="12" spans="1:4" x14ac:dyDescent="0.45">
      <c r="A12">
        <v>10</v>
      </c>
      <c r="B12" t="s">
        <v>72</v>
      </c>
      <c r="C12" t="s">
        <v>261</v>
      </c>
      <c r="D12" t="s">
        <v>73</v>
      </c>
    </row>
    <row r="13" spans="1:4" x14ac:dyDescent="0.45">
      <c r="A13">
        <v>11</v>
      </c>
      <c r="B13" t="s">
        <v>74</v>
      </c>
      <c r="C13" t="s">
        <v>261</v>
      </c>
      <c r="D13" t="s">
        <v>75</v>
      </c>
    </row>
    <row r="14" spans="1:4" x14ac:dyDescent="0.45">
      <c r="A14">
        <v>12</v>
      </c>
      <c r="B14" t="s">
        <v>76</v>
      </c>
      <c r="C14" t="s">
        <v>261</v>
      </c>
      <c r="D14" t="s">
        <v>77</v>
      </c>
    </row>
    <row r="15" spans="1:4" x14ac:dyDescent="0.45">
      <c r="A15">
        <v>13</v>
      </c>
      <c r="B15" t="s">
        <v>78</v>
      </c>
      <c r="C15" t="s">
        <v>261</v>
      </c>
      <c r="D15" t="s">
        <v>79</v>
      </c>
    </row>
    <row r="16" spans="1:4" x14ac:dyDescent="0.45">
      <c r="A16">
        <v>14</v>
      </c>
      <c r="B16" t="s">
        <v>80</v>
      </c>
      <c r="C16" t="s">
        <v>261</v>
      </c>
      <c r="D16" t="s">
        <v>81</v>
      </c>
    </row>
    <row r="17" spans="1:4" x14ac:dyDescent="0.45">
      <c r="A17">
        <v>15</v>
      </c>
      <c r="B17" t="s">
        <v>82</v>
      </c>
      <c r="C17" t="s">
        <v>261</v>
      </c>
      <c r="D17" t="s">
        <v>83</v>
      </c>
    </row>
    <row r="18" spans="1:4" x14ac:dyDescent="0.45">
      <c r="A18">
        <v>16</v>
      </c>
      <c r="B18" t="s">
        <v>84</v>
      </c>
      <c r="C18" t="s">
        <v>261</v>
      </c>
      <c r="D18" t="s">
        <v>85</v>
      </c>
    </row>
    <row r="19" spans="1:4" x14ac:dyDescent="0.45">
      <c r="A19">
        <v>17</v>
      </c>
      <c r="B19" t="s">
        <v>87</v>
      </c>
      <c r="C19" t="s">
        <v>261</v>
      </c>
      <c r="D19" t="s">
        <v>88</v>
      </c>
    </row>
    <row r="20" spans="1:4" x14ac:dyDescent="0.45">
      <c r="A20">
        <v>18</v>
      </c>
      <c r="B20" t="s">
        <v>90</v>
      </c>
      <c r="C20" t="s">
        <v>261</v>
      </c>
      <c r="D20" t="s">
        <v>91</v>
      </c>
    </row>
    <row r="21" spans="1:4" x14ac:dyDescent="0.45">
      <c r="A21">
        <v>19</v>
      </c>
      <c r="B21" t="s">
        <v>93</v>
      </c>
      <c r="C21" t="s">
        <v>261</v>
      </c>
      <c r="D21" t="s">
        <v>94</v>
      </c>
    </row>
    <row r="22" spans="1:4" x14ac:dyDescent="0.45">
      <c r="A22">
        <v>20</v>
      </c>
      <c r="B22" t="s">
        <v>96</v>
      </c>
      <c r="C22" t="s">
        <v>92</v>
      </c>
      <c r="D22" t="s">
        <v>97</v>
      </c>
    </row>
    <row r="23" spans="1:4" x14ac:dyDescent="0.45">
      <c r="A23">
        <v>21</v>
      </c>
      <c r="B23" t="s">
        <v>98</v>
      </c>
      <c r="C23" t="s">
        <v>92</v>
      </c>
      <c r="D23" t="s">
        <v>99</v>
      </c>
    </row>
    <row r="24" spans="1:4" x14ac:dyDescent="0.45">
      <c r="A24">
        <v>22</v>
      </c>
      <c r="B24" t="s">
        <v>100</v>
      </c>
      <c r="C24" t="s">
        <v>92</v>
      </c>
      <c r="D24" t="s">
        <v>101</v>
      </c>
    </row>
    <row r="25" spans="1:4" x14ac:dyDescent="0.45">
      <c r="A25">
        <v>23</v>
      </c>
      <c r="B25" t="s">
        <v>102</v>
      </c>
      <c r="C25" t="s">
        <v>92</v>
      </c>
      <c r="D25" t="s">
        <v>103</v>
      </c>
    </row>
    <row r="26" spans="1:4" x14ac:dyDescent="0.45">
      <c r="A26">
        <v>24</v>
      </c>
      <c r="B26" t="s">
        <v>104</v>
      </c>
      <c r="C26" t="s">
        <v>92</v>
      </c>
      <c r="D26" t="s">
        <v>105</v>
      </c>
    </row>
    <row r="27" spans="1:4" x14ac:dyDescent="0.45">
      <c r="A27">
        <v>25</v>
      </c>
      <c r="B27" t="s">
        <v>107</v>
      </c>
      <c r="C27" t="s">
        <v>92</v>
      </c>
      <c r="D27" t="s">
        <v>108</v>
      </c>
    </row>
    <row r="28" spans="1:4" x14ac:dyDescent="0.45">
      <c r="A28">
        <v>26</v>
      </c>
      <c r="B28" t="s">
        <v>109</v>
      </c>
      <c r="C28" t="s">
        <v>106</v>
      </c>
      <c r="D28" t="s">
        <v>97</v>
      </c>
    </row>
    <row r="29" spans="1:4" x14ac:dyDescent="0.45">
      <c r="A29">
        <v>27</v>
      </c>
      <c r="B29" t="s">
        <v>110</v>
      </c>
      <c r="C29" t="s">
        <v>106</v>
      </c>
      <c r="D29" t="s">
        <v>99</v>
      </c>
    </row>
    <row r="30" spans="1:4" x14ac:dyDescent="0.45">
      <c r="A30">
        <v>28</v>
      </c>
      <c r="B30" t="s">
        <v>112</v>
      </c>
      <c r="C30" t="s">
        <v>106</v>
      </c>
      <c r="D30" t="s">
        <v>101</v>
      </c>
    </row>
    <row r="31" spans="1:4" x14ac:dyDescent="0.45">
      <c r="A31">
        <v>29</v>
      </c>
      <c r="B31" t="s">
        <v>113</v>
      </c>
      <c r="C31" t="s">
        <v>106</v>
      </c>
      <c r="D31" t="s">
        <v>103</v>
      </c>
    </row>
    <row r="32" spans="1:4" x14ac:dyDescent="0.45">
      <c r="A32">
        <v>30</v>
      </c>
      <c r="B32" t="s">
        <v>114</v>
      </c>
      <c r="C32" t="s">
        <v>106</v>
      </c>
      <c r="D32" t="s">
        <v>115</v>
      </c>
    </row>
    <row r="33" spans="1:4" x14ac:dyDescent="0.45">
      <c r="A33">
        <v>31</v>
      </c>
      <c r="B33" t="s">
        <v>116</v>
      </c>
      <c r="C33" t="s">
        <v>106</v>
      </c>
      <c r="D33" t="s">
        <v>117</v>
      </c>
    </row>
    <row r="34" spans="1:4" x14ac:dyDescent="0.45">
      <c r="A34">
        <v>32</v>
      </c>
      <c r="B34" t="s">
        <v>118</v>
      </c>
      <c r="C34" t="s">
        <v>106</v>
      </c>
      <c r="D34" t="s">
        <v>119</v>
      </c>
    </row>
    <row r="35" spans="1:4" x14ac:dyDescent="0.45">
      <c r="A35">
        <v>33</v>
      </c>
      <c r="B35" t="s">
        <v>120</v>
      </c>
      <c r="C35" t="s">
        <v>106</v>
      </c>
      <c r="D35" t="s">
        <v>121</v>
      </c>
    </row>
    <row r="36" spans="1:4" x14ac:dyDescent="0.45">
      <c r="A36">
        <v>34</v>
      </c>
      <c r="B36" t="s">
        <v>122</v>
      </c>
      <c r="C36" t="s">
        <v>106</v>
      </c>
      <c r="D36" t="s">
        <v>123</v>
      </c>
    </row>
    <row r="37" spans="1:4" x14ac:dyDescent="0.45">
      <c r="A37">
        <v>35</v>
      </c>
      <c r="B37" t="s">
        <v>125</v>
      </c>
      <c r="C37" t="s">
        <v>106</v>
      </c>
      <c r="D37" t="s">
        <v>126</v>
      </c>
    </row>
    <row r="38" spans="1:4" x14ac:dyDescent="0.45">
      <c r="A38">
        <v>36</v>
      </c>
      <c r="B38" t="s">
        <v>127</v>
      </c>
      <c r="C38" t="s">
        <v>124</v>
      </c>
      <c r="D38" t="s">
        <v>97</v>
      </c>
    </row>
    <row r="39" spans="1:4" x14ac:dyDescent="0.45">
      <c r="A39">
        <v>37</v>
      </c>
      <c r="B39" t="s">
        <v>128</v>
      </c>
      <c r="C39" t="s">
        <v>124</v>
      </c>
      <c r="D39" t="s">
        <v>99</v>
      </c>
    </row>
    <row r="40" spans="1:4" x14ac:dyDescent="0.45">
      <c r="A40">
        <v>38</v>
      </c>
      <c r="B40" t="s">
        <v>130</v>
      </c>
      <c r="C40" t="s">
        <v>124</v>
      </c>
      <c r="D40" t="s">
        <v>101</v>
      </c>
    </row>
    <row r="41" spans="1:4" x14ac:dyDescent="0.45">
      <c r="A41">
        <v>39</v>
      </c>
      <c r="B41" t="s">
        <v>131</v>
      </c>
      <c r="C41" t="s">
        <v>124</v>
      </c>
      <c r="D41" t="s">
        <v>103</v>
      </c>
    </row>
    <row r="42" spans="1:4" x14ac:dyDescent="0.45">
      <c r="A42">
        <v>40</v>
      </c>
      <c r="B42" t="s">
        <v>132</v>
      </c>
      <c r="C42" t="s">
        <v>124</v>
      </c>
      <c r="D42" t="s">
        <v>115</v>
      </c>
    </row>
    <row r="43" spans="1:4" x14ac:dyDescent="0.45">
      <c r="A43">
        <v>41</v>
      </c>
      <c r="B43" t="s">
        <v>133</v>
      </c>
      <c r="C43" t="s">
        <v>124</v>
      </c>
      <c r="D43" t="s">
        <v>117</v>
      </c>
    </row>
    <row r="44" spans="1:4" x14ac:dyDescent="0.45">
      <c r="A44">
        <v>42</v>
      </c>
      <c r="B44" t="s">
        <v>135</v>
      </c>
      <c r="C44" t="s">
        <v>124</v>
      </c>
      <c r="D44" t="s">
        <v>136</v>
      </c>
    </row>
    <row r="45" spans="1:4" x14ac:dyDescent="0.45">
      <c r="A45">
        <v>43</v>
      </c>
      <c r="B45" t="s">
        <v>137</v>
      </c>
      <c r="C45" t="s">
        <v>134</v>
      </c>
      <c r="D45" t="s">
        <v>97</v>
      </c>
    </row>
    <row r="46" spans="1:4" x14ac:dyDescent="0.45">
      <c r="A46">
        <v>44</v>
      </c>
      <c r="B46" t="s">
        <v>138</v>
      </c>
      <c r="C46" t="s">
        <v>134</v>
      </c>
      <c r="D46" t="s">
        <v>139</v>
      </c>
    </row>
    <row r="47" spans="1:4" x14ac:dyDescent="0.45">
      <c r="A47">
        <v>45</v>
      </c>
      <c r="B47" t="s">
        <v>140</v>
      </c>
      <c r="C47" t="s">
        <v>134</v>
      </c>
      <c r="D47" t="s">
        <v>141</v>
      </c>
    </row>
    <row r="48" spans="1:4" x14ac:dyDescent="0.45">
      <c r="A48">
        <v>46</v>
      </c>
      <c r="B48" t="s">
        <v>142</v>
      </c>
      <c r="C48" t="s">
        <v>134</v>
      </c>
      <c r="D48" t="s">
        <v>143</v>
      </c>
    </row>
    <row r="49" spans="1:4" x14ac:dyDescent="0.45">
      <c r="A49">
        <v>47</v>
      </c>
      <c r="B49" t="s">
        <v>144</v>
      </c>
      <c r="C49" t="s">
        <v>134</v>
      </c>
      <c r="D49" t="s">
        <v>145</v>
      </c>
    </row>
    <row r="50" spans="1:4" x14ac:dyDescent="0.45">
      <c r="A50">
        <v>48</v>
      </c>
      <c r="B50" t="s">
        <v>147</v>
      </c>
      <c r="C50" t="s">
        <v>134</v>
      </c>
      <c r="D50" t="s">
        <v>148</v>
      </c>
    </row>
    <row r="51" spans="1:4" x14ac:dyDescent="0.45">
      <c r="A51">
        <v>49</v>
      </c>
      <c r="B51" t="s">
        <v>149</v>
      </c>
      <c r="C51" t="s">
        <v>146</v>
      </c>
      <c r="D51" t="s">
        <v>97</v>
      </c>
    </row>
    <row r="52" spans="1:4" x14ac:dyDescent="0.45">
      <c r="A52">
        <v>50</v>
      </c>
      <c r="B52" t="s">
        <v>150</v>
      </c>
      <c r="C52" t="s">
        <v>146</v>
      </c>
      <c r="D52" t="s">
        <v>99</v>
      </c>
    </row>
    <row r="53" spans="1:4" x14ac:dyDescent="0.45">
      <c r="A53">
        <v>51</v>
      </c>
      <c r="B53" t="s">
        <v>151</v>
      </c>
      <c r="C53" t="s">
        <v>146</v>
      </c>
      <c r="D53" t="s">
        <v>101</v>
      </c>
    </row>
    <row r="54" spans="1:4" x14ac:dyDescent="0.45">
      <c r="A54">
        <v>52</v>
      </c>
      <c r="B54" t="s">
        <v>152</v>
      </c>
      <c r="C54" t="s">
        <v>146</v>
      </c>
      <c r="D54" t="s">
        <v>103</v>
      </c>
    </row>
    <row r="55" spans="1:4" x14ac:dyDescent="0.45">
      <c r="A55">
        <v>53</v>
      </c>
      <c r="B55" t="s">
        <v>153</v>
      </c>
      <c r="C55" t="s">
        <v>146</v>
      </c>
      <c r="D55" t="s">
        <v>115</v>
      </c>
    </row>
    <row r="56" spans="1:4" x14ac:dyDescent="0.45">
      <c r="A56">
        <v>54</v>
      </c>
      <c r="B56" t="s">
        <v>154</v>
      </c>
      <c r="C56" t="s">
        <v>146</v>
      </c>
      <c r="D56" t="s">
        <v>155</v>
      </c>
    </row>
    <row r="57" spans="1:4" x14ac:dyDescent="0.45">
      <c r="A57">
        <v>55</v>
      </c>
      <c r="B57" t="s">
        <v>156</v>
      </c>
      <c r="C57" t="s">
        <v>146</v>
      </c>
      <c r="D57" t="s">
        <v>119</v>
      </c>
    </row>
    <row r="58" spans="1:4" x14ac:dyDescent="0.45">
      <c r="A58">
        <v>56</v>
      </c>
      <c r="B58" t="s">
        <v>157</v>
      </c>
      <c r="C58" t="s">
        <v>146</v>
      </c>
      <c r="D58" t="s">
        <v>123</v>
      </c>
    </row>
    <row r="59" spans="1:4" x14ac:dyDescent="0.45">
      <c r="A59">
        <v>57</v>
      </c>
      <c r="B59" t="s">
        <v>158</v>
      </c>
      <c r="C59" t="s">
        <v>146</v>
      </c>
      <c r="D59" t="s">
        <v>126</v>
      </c>
    </row>
    <row r="60" spans="1:4" x14ac:dyDescent="0.45">
      <c r="A60">
        <v>118</v>
      </c>
      <c r="B60" t="s">
        <v>262</v>
      </c>
    </row>
    <row r="61" spans="1:4" x14ac:dyDescent="0.45">
      <c r="A61">
        <v>70</v>
      </c>
      <c r="B61" t="s">
        <v>159</v>
      </c>
      <c r="C61" t="s">
        <v>92</v>
      </c>
    </row>
    <row r="62" spans="1:4" x14ac:dyDescent="0.45">
      <c r="A62">
        <v>71</v>
      </c>
      <c r="B62" t="s">
        <v>160</v>
      </c>
      <c r="C62" t="s">
        <v>92</v>
      </c>
      <c r="D62" t="s">
        <v>161</v>
      </c>
    </row>
    <row r="63" spans="1:4" x14ac:dyDescent="0.45">
      <c r="A63">
        <v>72</v>
      </c>
      <c r="B63" t="s">
        <v>162</v>
      </c>
      <c r="C63" t="s">
        <v>92</v>
      </c>
      <c r="D63" t="s">
        <v>163</v>
      </c>
    </row>
    <row r="64" spans="1:4" x14ac:dyDescent="0.45">
      <c r="A64">
        <v>73</v>
      </c>
      <c r="B64" t="s">
        <v>164</v>
      </c>
      <c r="C64" t="s">
        <v>92</v>
      </c>
      <c r="D64" t="s">
        <v>165</v>
      </c>
    </row>
    <row r="65" spans="1:4" x14ac:dyDescent="0.45">
      <c r="A65">
        <v>74</v>
      </c>
      <c r="B65" t="s">
        <v>166</v>
      </c>
      <c r="C65" t="s">
        <v>92</v>
      </c>
      <c r="D65" t="s">
        <v>167</v>
      </c>
    </row>
    <row r="66" spans="1:4" x14ac:dyDescent="0.45">
      <c r="A66">
        <v>75</v>
      </c>
      <c r="B66" t="s">
        <v>168</v>
      </c>
      <c r="C66" t="s">
        <v>92</v>
      </c>
      <c r="D66" t="s">
        <v>169</v>
      </c>
    </row>
    <row r="67" spans="1:4" x14ac:dyDescent="0.45">
      <c r="A67">
        <v>76</v>
      </c>
      <c r="B67" t="s">
        <v>170</v>
      </c>
      <c r="C67" t="s">
        <v>92</v>
      </c>
      <c r="D67" t="s">
        <v>171</v>
      </c>
    </row>
    <row r="68" spans="1:4" x14ac:dyDescent="0.45">
      <c r="A68">
        <v>77</v>
      </c>
      <c r="B68" t="s">
        <v>172</v>
      </c>
      <c r="C68" t="s">
        <v>92</v>
      </c>
      <c r="D68" t="s">
        <v>173</v>
      </c>
    </row>
    <row r="69" spans="1:4" x14ac:dyDescent="0.45">
      <c r="A69">
        <v>78</v>
      </c>
      <c r="B69" t="s">
        <v>174</v>
      </c>
      <c r="C69" t="s">
        <v>92</v>
      </c>
      <c r="D69" t="s">
        <v>175</v>
      </c>
    </row>
    <row r="70" spans="1:4" x14ac:dyDescent="0.45">
      <c r="A70">
        <v>79</v>
      </c>
      <c r="B70" t="s">
        <v>176</v>
      </c>
      <c r="C70" t="s">
        <v>92</v>
      </c>
      <c r="D70" t="s">
        <v>177</v>
      </c>
    </row>
    <row r="71" spans="1:4" x14ac:dyDescent="0.45">
      <c r="A71">
        <v>80</v>
      </c>
      <c r="B71" t="s">
        <v>178</v>
      </c>
      <c r="C71" t="s">
        <v>92</v>
      </c>
      <c r="D71" t="s">
        <v>179</v>
      </c>
    </row>
    <row r="72" spans="1:4" x14ac:dyDescent="0.45">
      <c r="A72">
        <v>81</v>
      </c>
      <c r="B72" t="s">
        <v>180</v>
      </c>
      <c r="C72" t="s">
        <v>92</v>
      </c>
      <c r="D72" t="s">
        <v>181</v>
      </c>
    </row>
    <row r="73" spans="1:4" x14ac:dyDescent="0.45">
      <c r="A73">
        <v>82</v>
      </c>
      <c r="B73" t="s">
        <v>182</v>
      </c>
      <c r="C73" t="s">
        <v>92</v>
      </c>
      <c r="D73" t="s">
        <v>181</v>
      </c>
    </row>
    <row r="74" spans="1:4" x14ac:dyDescent="0.45">
      <c r="A74">
        <v>83</v>
      </c>
      <c r="B74" t="s">
        <v>183</v>
      </c>
      <c r="C74" t="s">
        <v>92</v>
      </c>
      <c r="D74" t="s">
        <v>184</v>
      </c>
    </row>
    <row r="75" spans="1:4" x14ac:dyDescent="0.45">
      <c r="A75">
        <v>84</v>
      </c>
      <c r="B75" t="s">
        <v>185</v>
      </c>
      <c r="C75" t="s">
        <v>92</v>
      </c>
      <c r="D75" t="s">
        <v>186</v>
      </c>
    </row>
    <row r="76" spans="1:4" x14ac:dyDescent="0.45">
      <c r="A76">
        <v>85</v>
      </c>
      <c r="B76" t="s">
        <v>187</v>
      </c>
      <c r="C76" t="s">
        <v>92</v>
      </c>
      <c r="D76" t="s">
        <v>188</v>
      </c>
    </row>
    <row r="77" spans="1:4" x14ac:dyDescent="0.45">
      <c r="A77">
        <v>86</v>
      </c>
      <c r="B77" t="s">
        <v>189</v>
      </c>
      <c r="C77" t="s">
        <v>92</v>
      </c>
      <c r="D77" t="s">
        <v>190</v>
      </c>
    </row>
    <row r="78" spans="1:4" x14ac:dyDescent="0.45">
      <c r="A78">
        <v>87</v>
      </c>
      <c r="B78" t="s">
        <v>191</v>
      </c>
      <c r="C78" t="s">
        <v>92</v>
      </c>
      <c r="D78" t="s">
        <v>192</v>
      </c>
    </row>
    <row r="79" spans="1:4" x14ac:dyDescent="0.45">
      <c r="A79">
        <v>88</v>
      </c>
      <c r="B79" t="s">
        <v>193</v>
      </c>
      <c r="C79" t="s">
        <v>92</v>
      </c>
      <c r="D79" t="s">
        <v>194</v>
      </c>
    </row>
    <row r="80" spans="1:4" x14ac:dyDescent="0.45">
      <c r="A80">
        <v>89</v>
      </c>
      <c r="B80" t="s">
        <v>195</v>
      </c>
      <c r="C80" t="s">
        <v>106</v>
      </c>
      <c r="D80" t="s">
        <v>196</v>
      </c>
    </row>
    <row r="81" spans="1:4" x14ac:dyDescent="0.45">
      <c r="A81">
        <v>90</v>
      </c>
      <c r="B81" t="s">
        <v>197</v>
      </c>
      <c r="C81" t="s">
        <v>106</v>
      </c>
      <c r="D81" t="s">
        <v>198</v>
      </c>
    </row>
    <row r="82" spans="1:4" x14ac:dyDescent="0.45">
      <c r="A82">
        <v>91</v>
      </c>
      <c r="B82" t="s">
        <v>199</v>
      </c>
      <c r="C82" t="s">
        <v>106</v>
      </c>
      <c r="D82" t="s">
        <v>200</v>
      </c>
    </row>
    <row r="83" spans="1:4" x14ac:dyDescent="0.45">
      <c r="A83">
        <v>92</v>
      </c>
      <c r="B83" t="s">
        <v>201</v>
      </c>
      <c r="C83" t="s">
        <v>106</v>
      </c>
      <c r="D83" t="s">
        <v>202</v>
      </c>
    </row>
    <row r="84" spans="1:4" x14ac:dyDescent="0.45">
      <c r="A84">
        <v>93</v>
      </c>
      <c r="B84" t="s">
        <v>203</v>
      </c>
      <c r="C84" t="s">
        <v>106</v>
      </c>
      <c r="D84" t="s">
        <v>204</v>
      </c>
    </row>
    <row r="85" spans="1:4" x14ac:dyDescent="0.45">
      <c r="A85">
        <v>94</v>
      </c>
      <c r="B85" t="s">
        <v>205</v>
      </c>
      <c r="C85" t="s">
        <v>106</v>
      </c>
      <c r="D85" t="s">
        <v>206</v>
      </c>
    </row>
    <row r="86" spans="1:4" x14ac:dyDescent="0.45">
      <c r="A86">
        <v>95</v>
      </c>
      <c r="B86" t="s">
        <v>207</v>
      </c>
      <c r="C86" t="s">
        <v>106</v>
      </c>
      <c r="D86" t="s">
        <v>208</v>
      </c>
    </row>
    <row r="87" spans="1:4" x14ac:dyDescent="0.45">
      <c r="A87">
        <v>96</v>
      </c>
      <c r="B87" t="s">
        <v>209</v>
      </c>
      <c r="C87" t="s">
        <v>106</v>
      </c>
      <c r="D87" t="s">
        <v>210</v>
      </c>
    </row>
    <row r="88" spans="1:4" x14ac:dyDescent="0.45">
      <c r="A88">
        <v>97</v>
      </c>
      <c r="B88" t="s">
        <v>211</v>
      </c>
      <c r="C88" t="s">
        <v>106</v>
      </c>
      <c r="D88" t="s">
        <v>212</v>
      </c>
    </row>
    <row r="89" spans="1:4" x14ac:dyDescent="0.45">
      <c r="A89">
        <v>98</v>
      </c>
      <c r="B89" t="s">
        <v>213</v>
      </c>
      <c r="C89" t="s">
        <v>124</v>
      </c>
      <c r="D89" t="s">
        <v>198</v>
      </c>
    </row>
    <row r="90" spans="1:4" x14ac:dyDescent="0.45">
      <c r="A90">
        <v>99</v>
      </c>
      <c r="B90" t="s">
        <v>214</v>
      </c>
      <c r="C90" t="s">
        <v>124</v>
      </c>
      <c r="D90" t="s">
        <v>200</v>
      </c>
    </row>
    <row r="91" spans="1:4" x14ac:dyDescent="0.45">
      <c r="A91">
        <v>100</v>
      </c>
      <c r="B91" t="s">
        <v>215</v>
      </c>
      <c r="C91" t="s">
        <v>124</v>
      </c>
      <c r="D91" t="s">
        <v>202</v>
      </c>
    </row>
    <row r="92" spans="1:4" x14ac:dyDescent="0.45">
      <c r="A92">
        <v>101</v>
      </c>
      <c r="B92" t="s">
        <v>216</v>
      </c>
      <c r="C92" t="s">
        <v>124</v>
      </c>
      <c r="D92" t="s">
        <v>204</v>
      </c>
    </row>
    <row r="93" spans="1:4" x14ac:dyDescent="0.45">
      <c r="A93">
        <v>102</v>
      </c>
      <c r="B93" t="s">
        <v>217</v>
      </c>
      <c r="C93" t="s">
        <v>134</v>
      </c>
      <c r="D93" t="s">
        <v>198</v>
      </c>
    </row>
    <row r="94" spans="1:4" x14ac:dyDescent="0.45">
      <c r="A94">
        <v>103</v>
      </c>
      <c r="B94" t="s">
        <v>218</v>
      </c>
      <c r="C94" t="s">
        <v>134</v>
      </c>
      <c r="D94" t="s">
        <v>200</v>
      </c>
    </row>
    <row r="95" spans="1:4" x14ac:dyDescent="0.45">
      <c r="A95">
        <v>104</v>
      </c>
      <c r="B95" t="s">
        <v>219</v>
      </c>
      <c r="C95" t="s">
        <v>134</v>
      </c>
      <c r="D95" t="s">
        <v>202</v>
      </c>
    </row>
    <row r="96" spans="1:4" x14ac:dyDescent="0.45">
      <c r="A96">
        <v>105</v>
      </c>
      <c r="B96" t="s">
        <v>220</v>
      </c>
      <c r="C96" t="s">
        <v>134</v>
      </c>
      <c r="D96" t="s">
        <v>204</v>
      </c>
    </row>
    <row r="97" spans="1:4" x14ac:dyDescent="0.45">
      <c r="A97">
        <v>106</v>
      </c>
      <c r="B97" t="s">
        <v>221</v>
      </c>
      <c r="C97" t="s">
        <v>146</v>
      </c>
      <c r="D97" t="s">
        <v>198</v>
      </c>
    </row>
    <row r="98" spans="1:4" x14ac:dyDescent="0.45">
      <c r="A98">
        <v>107</v>
      </c>
      <c r="B98" t="s">
        <v>222</v>
      </c>
      <c r="C98" t="s">
        <v>146</v>
      </c>
      <c r="D98" t="s">
        <v>223</v>
      </c>
    </row>
    <row r="99" spans="1:4" x14ac:dyDescent="0.45">
      <c r="A99">
        <v>108</v>
      </c>
      <c r="B99" t="s">
        <v>224</v>
      </c>
      <c r="C99" t="s">
        <v>146</v>
      </c>
      <c r="D99" t="s">
        <v>200</v>
      </c>
    </row>
    <row r="100" spans="1:4" x14ac:dyDescent="0.45">
      <c r="A100">
        <v>109</v>
      </c>
      <c r="B100" t="s">
        <v>225</v>
      </c>
      <c r="C100" t="s">
        <v>146</v>
      </c>
      <c r="D100" t="s">
        <v>202</v>
      </c>
    </row>
    <row r="101" spans="1:4" x14ac:dyDescent="0.45">
      <c r="A101">
        <v>110</v>
      </c>
      <c r="B101" t="s">
        <v>226</v>
      </c>
      <c r="C101" t="s">
        <v>146</v>
      </c>
      <c r="D101" t="s">
        <v>204</v>
      </c>
    </row>
    <row r="102" spans="1:4" x14ac:dyDescent="0.45">
      <c r="A102">
        <v>111</v>
      </c>
      <c r="B102" t="s">
        <v>227</v>
      </c>
      <c r="C102" t="s">
        <v>146</v>
      </c>
      <c r="D102" t="s">
        <v>210</v>
      </c>
    </row>
    <row r="103" spans="1:4" x14ac:dyDescent="0.45">
      <c r="A103">
        <v>112</v>
      </c>
      <c r="B103" t="s">
        <v>228</v>
      </c>
      <c r="C103" t="s">
        <v>146</v>
      </c>
      <c r="D103" t="s">
        <v>229</v>
      </c>
    </row>
    <row r="104" spans="1:4" x14ac:dyDescent="0.45">
      <c r="A104">
        <v>113</v>
      </c>
      <c r="B104" t="s">
        <v>230</v>
      </c>
      <c r="C104" t="s">
        <v>146</v>
      </c>
      <c r="D104" t="s">
        <v>212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9" sqref="P9"/>
    </sheetView>
  </sheetViews>
  <sheetFormatPr defaultRowHeight="14.25" x14ac:dyDescent="0.45"/>
  <sheetData>
    <row r="1" spans="1:11" x14ac:dyDescent="0.4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4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4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4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4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45">
      <c r="A8" t="s">
        <v>236</v>
      </c>
      <c r="B8" t="s">
        <v>237</v>
      </c>
      <c r="C8" t="s">
        <v>238</v>
      </c>
      <c r="D8" t="s">
        <v>264</v>
      </c>
    </row>
    <row r="9" spans="1:11" x14ac:dyDescent="0.4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45">
      <c r="A10" t="s">
        <v>244</v>
      </c>
    </row>
    <row r="11" spans="1:11" x14ac:dyDescent="0.4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4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4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4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4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4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4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4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4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4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4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4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4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4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4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4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4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4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4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4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4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4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4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4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4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4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4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4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4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4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4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4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4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4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4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4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4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4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4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4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4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4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4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4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4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H20" sqref="H20"/>
    </sheetView>
  </sheetViews>
  <sheetFormatPr defaultColWidth="9.1328125" defaultRowHeight="14.25" x14ac:dyDescent="0.45"/>
  <cols>
    <col min="1" max="2" style="479" width="9.1328125" collapsed="true"/>
    <col min="3" max="3" bestFit="true" customWidth="true" style="479" width="12.73046875" collapsed="true"/>
    <col min="4" max="4" customWidth="true" style="478" width="18.86328125" collapsed="true"/>
    <col min="5" max="5" customWidth="true" style="479" width="6.73046875" collapsed="true"/>
    <col min="6" max="6" customWidth="true" style="479" width="12.73046875" collapsed="true"/>
    <col min="7" max="8" customWidth="true" style="478" width="18.86328125" collapsed="true"/>
    <col min="9" max="9" customWidth="true" style="478" width="6.59765625" collapsed="true"/>
    <col min="10" max="10" customWidth="true" style="478" width="10.1328125" collapsed="true"/>
    <col min="11" max="11" customWidth="true" style="478" width="9.86328125" collapsed="true"/>
    <col min="12" max="14" style="479" width="9.1328125" collapsed="true"/>
    <col min="15" max="15" customWidth="true" style="479" width="13.0" collapsed="true"/>
    <col min="16" max="16" customWidth="true" style="481" width="19.59765625" collapsed="true"/>
    <col min="17" max="17" customWidth="true" style="556" width="19.59765625" collapsed="true"/>
    <col min="18" max="16384" style="479" width="9.1328125" collapsed="true"/>
  </cols>
  <sheetData>
    <row r="1" spans="3:23" x14ac:dyDescent="0.4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r="2" spans="3:23" ht="14.65" thickBot="1" x14ac:dyDescent="0.5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4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45">
      <c r="C4" s="486" t="s">
        <v>51</v>
      </c>
      <c r="D4" s="487">
        <f>TLFD!E11</f>
        <v>35846.945698310898</v>
      </c>
      <c r="F4" s="486" t="s">
        <v>51</v>
      </c>
      <c r="G4" s="487">
        <f>TLFD!L11</f>
        <v>79682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45">
      <c r="C5" s="489" t="s">
        <v>54</v>
      </c>
      <c r="D5" s="490">
        <f>TLFD!E12+TLFD!E13+(TLFD!E14/2)</f>
        <v>45777.725386981903</v>
      </c>
      <c r="F5" s="489" t="s">
        <v>54</v>
      </c>
      <c r="G5" s="490">
        <f>TLFD!L12+TLFD!L13+(TLFD!L14/2)</f>
        <v>43905.5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t="shared" ref="Q5:Q68" si="0">_xlfn.IFNA(VLOOKUP(N5,$B$43:$D$46,3,FALSE),P5)</f>
        <v>-0.2117</v>
      </c>
      <c r="T5">
        <v>3</v>
      </c>
      <c r="U5" s="505" t="s">
        <v>278</v>
      </c>
    </row>
    <row r="6" spans="3:23" x14ac:dyDescent="0.45">
      <c r="C6" s="489" t="s">
        <v>57</v>
      </c>
      <c r="D6" s="490">
        <f>(TLFD!E14/2)+SUM(TLFD!E15:E20)</f>
        <v>86730.09354352481</v>
      </c>
      <c r="F6" s="489" t="s">
        <v>57</v>
      </c>
      <c r="G6" s="490">
        <f>(TLFD!L14/2)+SUM(TLFD!L15:L20)</f>
        <v>79216.5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t="shared" si="0"/>
        <v>0.27120783067900001</v>
      </c>
      <c r="T6">
        <v>4</v>
      </c>
      <c r="U6" s="505" t="s">
        <v>279</v>
      </c>
    </row>
    <row r="7" spans="3:23" x14ac:dyDescent="0.45">
      <c r="C7" s="492" t="s">
        <v>60</v>
      </c>
      <c r="D7" s="493">
        <f>SUM(TLFD!E21:E101)</f>
        <v>15688.4007686066</v>
      </c>
      <c r="F7" s="492" t="s">
        <v>60</v>
      </c>
      <c r="G7" s="493">
        <f>SUM(TLFD!L21:L101)</f>
        <v>30451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t="shared" si="0"/>
        <v>-0.34490013167299999</v>
      </c>
      <c r="T7" s="505">
        <v>5</v>
      </c>
      <c r="U7" s="505" t="s">
        <v>280</v>
      </c>
    </row>
    <row r="8" spans="3:23" ht="14.65" thickBot="1" x14ac:dyDescent="0.5">
      <c r="C8" s="495" t="s">
        <v>4</v>
      </c>
      <c r="D8" s="496">
        <f>SUM(D4:D7)</f>
        <v>184043.16539742422</v>
      </c>
      <c r="E8" s="497"/>
      <c r="F8" s="495" t="s">
        <v>4</v>
      </c>
      <c r="G8" s="496">
        <f>SUM(G4:G7)</f>
        <v>233255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t="shared" si="0"/>
        <v>-8.2865473150899996E-2</v>
      </c>
      <c r="T8" s="505"/>
      <c r="U8" s="505"/>
    </row>
    <row r="9" spans="3:23" x14ac:dyDescent="0.4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t="shared" si="0"/>
        <v>-3.9895313632499998</v>
      </c>
      <c r="T9" s="505"/>
      <c r="U9" s="560" t="s">
        <v>281</v>
      </c>
    </row>
    <row r="10" spans="3:23" ht="14.65" thickBot="1" x14ac:dyDescent="0.5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t="shared" si="0"/>
        <v>6.9400000000000003E-2</v>
      </c>
      <c r="T10" s="505">
        <v>1</v>
      </c>
      <c r="U10" s="477" t="s">
        <v>276</v>
      </c>
    </row>
    <row r="11" spans="3:23" x14ac:dyDescent="0.4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t="shared" si="0"/>
        <v>-9.5820044919499997E-2</v>
      </c>
      <c r="T11" s="505">
        <v>2</v>
      </c>
      <c r="U11" s="505" t="s">
        <v>282</v>
      </c>
    </row>
    <row r="12" spans="3:23" x14ac:dyDescent="0.45">
      <c r="C12" s="486" t="s">
        <v>51</v>
      </c>
      <c r="D12" s="500">
        <f>D4/D$8</f>
        <v>0.19477466398115206</v>
      </c>
      <c r="F12" s="486" t="s">
        <v>51</v>
      </c>
      <c r="G12" s="500">
        <f>G4/G$8</f>
        <v>0.3416089687252149</v>
      </c>
      <c r="H12" s="500"/>
      <c r="I12" s="544">
        <f>D12/G12</f>
        <v>0.5701684727657893</v>
      </c>
      <c r="J12" s="545">
        <f>LN(I12)</f>
        <v>-0.5618233955688714</v>
      </c>
      <c r="K12" s="545">
        <f>K8*J12</f>
        <v>-0.5618233955688714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t="shared" si="0"/>
        <v>0.517563261484</v>
      </c>
      <c r="T12" s="505">
        <v>3</v>
      </c>
      <c r="U12" s="505" t="s">
        <v>283</v>
      </c>
    </row>
    <row r="13" spans="3:23" x14ac:dyDescent="0.45">
      <c r="C13" s="489" t="s">
        <v>54</v>
      </c>
      <c r="D13" s="501">
        <f t="shared" ref="D13:D16" si="1">D5/D$8</f>
        <v>0.24873363424351635</v>
      </c>
      <c r="F13" s="489" t="s">
        <v>54</v>
      </c>
      <c r="G13" s="501">
        <f t="shared" ref="G13:G16" si="2">G5/G$8</f>
        <v>0.1882296199438383</v>
      </c>
      <c r="H13" s="501"/>
      <c r="I13" s="544">
        <f t="shared" ref="I13:I15" si="3">D13/G13</f>
        <v>1.3214372653875119</v>
      </c>
      <c r="J13" s="545">
        <f t="shared" ref="J13:J15" si="4">LN(I13)</f>
        <v>0.27871998165954881</v>
      </c>
      <c r="K13" s="545">
        <f>K8*(J13-J12)</f>
        <v>0.84054337722842021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t="shared" si="0"/>
        <v>-0.80352358260699996</v>
      </c>
      <c r="T13" s="505">
        <v>4</v>
      </c>
      <c r="U13" s="505" t="s">
        <v>284</v>
      </c>
    </row>
    <row r="14" spans="3:23" x14ac:dyDescent="0.45">
      <c r="C14" s="489" t="s">
        <v>57</v>
      </c>
      <c r="D14" s="501">
        <f t="shared" si="1"/>
        <v>0.47124865167494367</v>
      </c>
      <c r="F14" s="489" t="s">
        <v>57</v>
      </c>
      <c r="G14" s="501">
        <f t="shared" si="2"/>
        <v>0.33961329875029472</v>
      </c>
      <c r="H14" s="501"/>
      <c r="I14" s="544">
        <f t="shared" si="3"/>
        <v>1.3876036462913532</v>
      </c>
      <c r="J14" s="545">
        <f t="shared" si="4"/>
        <v>0.32757826387834837</v>
      </c>
      <c r="K14" s="545">
        <f>K8*(J14-J13-J12)</f>
        <v>0.61068167778767091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t="shared" si="0"/>
        <v>-0.80534348065299999</v>
      </c>
      <c r="T14" s="505">
        <v>5</v>
      </c>
      <c r="U14" s="477" t="s">
        <v>285</v>
      </c>
    </row>
    <row r="15" spans="3:23" ht="14.65" thickBot="1" x14ac:dyDescent="0.5">
      <c r="C15" s="492" t="s">
        <v>60</v>
      </c>
      <c r="D15" s="501">
        <f t="shared" si="1"/>
        <v>8.5243050100387852E-2</v>
      </c>
      <c r="F15" s="492" t="s">
        <v>60</v>
      </c>
      <c r="G15" s="501">
        <f t="shared" si="2"/>
        <v>0.13054811258065208</v>
      </c>
      <c r="H15" s="501"/>
      <c r="I15" s="546">
        <f t="shared" si="3"/>
        <v>0.65296271554845386</v>
      </c>
      <c r="J15" s="547">
        <f t="shared" si="4"/>
        <v>-0.42623524850510103</v>
      </c>
      <c r="K15" s="547">
        <f>K8*(J15-J14-J13-J12)</f>
        <v>-0.47071009847412681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t="shared" si="0"/>
        <v>-0.51977799879300002</v>
      </c>
      <c r="T15" s="505">
        <v>6</v>
      </c>
      <c r="U15" s="505" t="s">
        <v>286</v>
      </c>
    </row>
    <row r="16" spans="3:23" ht="14.65" thickBot="1" x14ac:dyDescent="0.5">
      <c r="C16" s="495" t="s">
        <v>4</v>
      </c>
      <c r="D16" s="503">
        <f t="shared" si="1"/>
        <v>1</v>
      </c>
      <c r="E16" s="497"/>
      <c r="F16" s="495" t="s">
        <v>4</v>
      </c>
      <c r="G16" s="503">
        <f t="shared" si="2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t="shared" si="0"/>
        <v>-0.27562686954600002</v>
      </c>
      <c r="T16" s="505">
        <v>7</v>
      </c>
      <c r="U16" s="505" t="s">
        <v>279</v>
      </c>
    </row>
    <row r="17" spans="2:21" x14ac:dyDescent="0.4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t="shared" si="0"/>
        <v>-0.55245424085299999</v>
      </c>
      <c r="T17" s="505">
        <v>8</v>
      </c>
      <c r="U17" s="505" t="s">
        <v>287</v>
      </c>
    </row>
    <row r="18" spans="2:21" x14ac:dyDescent="0.4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t="shared" si="0"/>
        <v>-0.493022087256</v>
      </c>
    </row>
    <row r="19" spans="2:21" x14ac:dyDescent="0.4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t="shared" si="0"/>
        <v>0</v>
      </c>
    </row>
    <row r="20" spans="2:21" x14ac:dyDescent="0.4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t="shared" si="0"/>
        <v>0</v>
      </c>
    </row>
    <row r="21" spans="2:21" ht="14.65" thickBot="1" x14ac:dyDescent="0.5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t="shared" si="0"/>
        <v>0</v>
      </c>
    </row>
    <row r="22" spans="2:21" x14ac:dyDescent="0.4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t="shared" si="0"/>
        <v>0.63771148688699997</v>
      </c>
    </row>
    <row r="23" spans="2:21" x14ac:dyDescent="0.4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t="shared" si="0"/>
        <v>-12.0946718381</v>
      </c>
    </row>
    <row r="24" spans="2:21" x14ac:dyDescent="0.45">
      <c r="B24" s="537">
        <v>0</v>
      </c>
      <c r="C24" s="489" t="s">
        <v>54</v>
      </c>
      <c r="D24" s="550" t="e">
        <f t="shared" ref="D24:D26" si="5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t="shared" si="0"/>
        <v>-4.03623745316</v>
      </c>
    </row>
    <row r="25" spans="2:21" x14ac:dyDescent="0.45">
      <c r="B25" s="537">
        <v>0</v>
      </c>
      <c r="C25" s="489" t="s">
        <v>57</v>
      </c>
      <c r="D25" s="550" t="e">
        <f t="shared" si="5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t="shared" si="0"/>
        <v>-2.16371815818</v>
      </c>
    </row>
    <row r="26" spans="2:21" ht="14.65" thickBot="1" x14ac:dyDescent="0.5">
      <c r="B26" s="538">
        <v>0</v>
      </c>
      <c r="C26" s="509" t="s">
        <v>60</v>
      </c>
      <c r="D26" s="551" t="e">
        <f t="shared" si="5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t="shared" si="0"/>
        <v>0.10429329553199999</v>
      </c>
    </row>
    <row r="27" spans="2:21" x14ac:dyDescent="0.4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t="shared" si="0"/>
        <v>0</v>
      </c>
    </row>
    <row r="28" spans="2:21" x14ac:dyDescent="0.4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t="shared" si="0"/>
        <v>0.417326479157</v>
      </c>
    </row>
    <row r="29" spans="2:21" x14ac:dyDescent="0.4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t="shared" si="0"/>
        <v>-14.8384910501</v>
      </c>
    </row>
    <row r="30" spans="2:21" x14ac:dyDescent="0.4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t="shared" si="0"/>
        <v>-5.1880432348000003</v>
      </c>
    </row>
    <row r="31" spans="2:21" ht="14.65" thickBot="1" x14ac:dyDescent="0.5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t="shared" si="0"/>
        <v>-2.6156308707</v>
      </c>
    </row>
    <row r="32" spans="2:21" x14ac:dyDescent="0.4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t="shared" si="0"/>
        <v>-0.91046169190000004</v>
      </c>
    </row>
    <row r="33" spans="2:17" x14ac:dyDescent="0.45">
      <c r="B33" s="537">
        <f>B23</f>
        <v>0</v>
      </c>
      <c r="C33" s="486" t="s">
        <v>51</v>
      </c>
      <c r="D33" s="552">
        <f>K12</f>
        <v>-0.5618233955688714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t="shared" si="0"/>
        <v>5.7553461640599997E-2</v>
      </c>
    </row>
    <row r="34" spans="2:17" x14ac:dyDescent="0.45">
      <c r="B34" s="537">
        <f t="shared" ref="B34:B36" si="6">B24</f>
        <v>0</v>
      </c>
      <c r="C34" s="489" t="s">
        <v>54</v>
      </c>
      <c r="D34" s="553">
        <f t="shared" ref="D34:D36" si="7">K13</f>
        <v>0.84054337722842021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t="shared" si="0"/>
        <v>0.237798002151</v>
      </c>
    </row>
    <row r="35" spans="2:17" x14ac:dyDescent="0.45">
      <c r="B35" s="537">
        <f t="shared" si="6"/>
        <v>0</v>
      </c>
      <c r="C35" s="489" t="s">
        <v>57</v>
      </c>
      <c r="D35" s="553">
        <f t="shared" si="7"/>
        <v>0.61068167778767091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t="shared" si="0"/>
        <v>0</v>
      </c>
    </row>
    <row r="36" spans="2:17" ht="14.65" thickBot="1" x14ac:dyDescent="0.5">
      <c r="B36" s="539">
        <f t="shared" si="6"/>
        <v>0</v>
      </c>
      <c r="C36" s="509" t="s">
        <v>60</v>
      </c>
      <c r="D36" s="510">
        <f t="shared" si="7"/>
        <v>-0.47071009847412681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t="shared" si="0"/>
        <v>0</v>
      </c>
    </row>
    <row r="37" spans="2:17" ht="14.65" thickTop="1" x14ac:dyDescent="0.4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t="shared" si="0"/>
        <v>0</v>
      </c>
    </row>
    <row r="38" spans="2:17" x14ac:dyDescent="0.4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t="shared" si="0"/>
        <v>0.61259135262599995</v>
      </c>
    </row>
    <row r="39" spans="2:17" x14ac:dyDescent="0.4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t="shared" si="0"/>
        <v>-20.810228388700001</v>
      </c>
    </row>
    <row r="40" spans="2:17" x14ac:dyDescent="0.4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t="shared" si="0"/>
        <v>-7.1836373472300004</v>
      </c>
    </row>
    <row r="41" spans="2:17" ht="14.65" thickBot="1" x14ac:dyDescent="0.5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t="shared" si="0"/>
        <v>-3.6600975390500001</v>
      </c>
    </row>
    <row r="42" spans="2:17" x14ac:dyDescent="0.4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t="shared" si="0"/>
        <v>-1.3605457273599999</v>
      </c>
    </row>
    <row r="43" spans="2:17" x14ac:dyDescent="0.4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t="shared" si="0"/>
        <v>-0.22141031751900001</v>
      </c>
    </row>
    <row r="44" spans="2:17" x14ac:dyDescent="0.45">
      <c r="B44" s="537">
        <f t="shared" ref="B44:B46" si="8">B34</f>
        <v>0</v>
      </c>
      <c r="C44" s="489" t="s">
        <v>54</v>
      </c>
      <c r="D44" s="554" t="e">
        <f t="shared" ref="D44:D46" si="9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t="shared" si="0"/>
        <v>0.64228876129599999</v>
      </c>
    </row>
    <row r="45" spans="2:17" x14ac:dyDescent="0.45">
      <c r="B45" s="537">
        <f t="shared" si="8"/>
        <v>0</v>
      </c>
      <c r="C45" s="489" t="s">
        <v>57</v>
      </c>
      <c r="D45" s="554" t="e">
        <f t="shared" si="9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t="shared" si="0"/>
        <v>0.74588429254199995</v>
      </c>
    </row>
    <row r="46" spans="2:17" ht="14.65" thickBot="1" x14ac:dyDescent="0.5">
      <c r="B46" s="539">
        <f t="shared" si="8"/>
        <v>0</v>
      </c>
      <c r="C46" s="509" t="s">
        <v>60</v>
      </c>
      <c r="D46" s="555" t="e">
        <f t="shared" si="9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t="shared" si="0"/>
        <v>-32.156094092099998</v>
      </c>
    </row>
    <row r="47" spans="2:17" ht="14.65" thickTop="1" x14ac:dyDescent="0.4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t="shared" si="0"/>
        <v>-7.5551873767200002</v>
      </c>
    </row>
    <row r="48" spans="2:17" x14ac:dyDescent="0.4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t="shared" si="0"/>
        <v>-3.4784098231399998</v>
      </c>
    </row>
    <row r="49" spans="13:17" x14ac:dyDescent="0.4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t="shared" si="0"/>
        <v>-0.79171784712299997</v>
      </c>
    </row>
    <row r="50" spans="13:17" x14ac:dyDescent="0.4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t="shared" si="0"/>
        <v>0.65760260093900003</v>
      </c>
    </row>
    <row r="51" spans="13:17" x14ac:dyDescent="0.4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t="shared" si="0"/>
        <v>0.201576719663</v>
      </c>
    </row>
    <row r="52" spans="13:17" x14ac:dyDescent="0.4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t="shared" si="0"/>
        <v>-28.552058518999999</v>
      </c>
    </row>
    <row r="53" spans="13:17" x14ac:dyDescent="0.4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t="shared" si="0"/>
        <v>-7.25833529236</v>
      </c>
    </row>
    <row r="54" spans="13:17" x14ac:dyDescent="0.4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t="shared" si="0"/>
        <v>-2.64524710889</v>
      </c>
    </row>
    <row r="55" spans="13:17" x14ac:dyDescent="0.4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t="shared" si="0"/>
        <v>-0.76461618005800003</v>
      </c>
    </row>
    <row r="56" spans="13:17" x14ac:dyDescent="0.4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t="shared" si="0"/>
        <v>0.20818008309700001</v>
      </c>
    </row>
    <row r="57" spans="13:17" x14ac:dyDescent="0.4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t="shared" si="0"/>
        <v>0.42522231451499998</v>
      </c>
    </row>
    <row r="58" spans="13:17" x14ac:dyDescent="0.4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t="shared" si="0"/>
        <v>-0.743588483327</v>
      </c>
    </row>
    <row r="59" spans="13:17" x14ac:dyDescent="0.4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t="shared" si="0"/>
        <v>6.2100000000000002E-2</v>
      </c>
    </row>
    <row r="60" spans="13:17" x14ac:dyDescent="0.4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t="shared" si="0"/>
        <v>-3</v>
      </c>
    </row>
    <row r="61" spans="13:17" x14ac:dyDescent="0.4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t="shared" si="0"/>
        <v>0.29394695214400002</v>
      </c>
    </row>
    <row r="62" spans="13:17" x14ac:dyDescent="0.4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t="shared" si="0"/>
        <v>0</v>
      </c>
    </row>
    <row r="63" spans="13:17" x14ac:dyDescent="0.4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t="shared" si="0"/>
        <v>-6.2798471793299999</v>
      </c>
    </row>
    <row r="64" spans="13:17" x14ac:dyDescent="0.4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t="shared" si="0"/>
        <v>3.2962256518299999</v>
      </c>
    </row>
    <row r="65" spans="13:17" x14ac:dyDescent="0.4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t="shared" si="0"/>
        <v>-5.4150639062700003</v>
      </c>
    </row>
    <row r="66" spans="13:17" x14ac:dyDescent="0.4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t="shared" si="0"/>
        <v>-5.94820877094</v>
      </c>
    </row>
    <row r="67" spans="13:17" x14ac:dyDescent="0.4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t="shared" si="0"/>
        <v>-4.8479831726300002</v>
      </c>
    </row>
    <row r="68" spans="13:17" x14ac:dyDescent="0.4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t="shared" si="0"/>
        <v>-5.4883496585599998</v>
      </c>
    </row>
    <row r="69" spans="13:17" x14ac:dyDescent="0.4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t="shared" ref="Q69:Q104" si="10">_xlfn.IFNA(VLOOKUP(N69,$B$43:$D$46,3,FALSE),P69)</f>
        <v>-6.9308352438999998</v>
      </c>
    </row>
    <row r="70" spans="13:17" x14ac:dyDescent="0.4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t="shared" si="10"/>
        <v>-22.404820174200001</v>
      </c>
    </row>
    <row r="71" spans="13:17" x14ac:dyDescent="0.4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t="shared" si="10"/>
        <v>-2.8929233973800002</v>
      </c>
    </row>
    <row r="72" spans="13:17" x14ac:dyDescent="0.4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t="shared" si="10"/>
        <v>-2.5610724948299999</v>
      </c>
    </row>
    <row r="73" spans="13:17" x14ac:dyDescent="0.4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t="shared" si="10"/>
        <v>-6.7871010869299999</v>
      </c>
    </row>
    <row r="74" spans="13:17" x14ac:dyDescent="0.4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t="shared" si="10"/>
        <v>-7.1983706387300002</v>
      </c>
    </row>
    <row r="75" spans="13:17" x14ac:dyDescent="0.4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t="shared" si="10"/>
        <v>-6.5584328775399996</v>
      </c>
    </row>
    <row r="76" spans="13:17" x14ac:dyDescent="0.4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t="shared" si="10"/>
        <v>-7.3832576457999997</v>
      </c>
    </row>
    <row r="77" spans="13:17" x14ac:dyDescent="0.4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t="shared" si="10"/>
        <v>-8.5452246906399996</v>
      </c>
    </row>
    <row r="78" spans="13:17" x14ac:dyDescent="0.4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t="shared" si="10"/>
        <v>-24.633851965200002</v>
      </c>
    </row>
    <row r="79" spans="13:17" x14ac:dyDescent="0.4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t="shared" si="10"/>
        <v>0</v>
      </c>
    </row>
    <row r="80" spans="13:17" x14ac:dyDescent="0.4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t="shared" si="10"/>
        <v>-0.55009338373399996</v>
      </c>
    </row>
    <row r="81" spans="13:17" x14ac:dyDescent="0.4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t="shared" si="10"/>
        <v>-9.9117567037699992</v>
      </c>
    </row>
    <row r="82" spans="13:17" x14ac:dyDescent="0.4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t="shared" si="10"/>
        <v>-9.3194311560499994</v>
      </c>
    </row>
    <row r="83" spans="13:17" x14ac:dyDescent="0.4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t="shared" si="10"/>
        <v>-0.20086270196799999</v>
      </c>
    </row>
    <row r="84" spans="13:17" x14ac:dyDescent="0.4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t="shared" si="10"/>
        <v>-2.1843835309699999</v>
      </c>
    </row>
    <row r="85" spans="13:17" x14ac:dyDescent="0.4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t="shared" si="10"/>
        <v>0</v>
      </c>
    </row>
    <row r="86" spans="13:17" x14ac:dyDescent="0.4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t="shared" si="10"/>
        <v>-9.9476357147400005</v>
      </c>
    </row>
    <row r="87" spans="13:17" x14ac:dyDescent="0.4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t="shared" si="10"/>
        <v>-12.800107987600001</v>
      </c>
    </row>
    <row r="88" spans="13:17" x14ac:dyDescent="0.4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t="shared" si="10"/>
        <v>-30</v>
      </c>
    </row>
    <row r="89" spans="13:17" x14ac:dyDescent="0.4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t="shared" si="10"/>
        <v>-21.699928591700001</v>
      </c>
    </row>
    <row r="90" spans="13:17" x14ac:dyDescent="0.4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t="shared" si="10"/>
        <v>-17.700475093400001</v>
      </c>
    </row>
    <row r="91" spans="13:17" x14ac:dyDescent="0.4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t="shared" si="10"/>
        <v>-0.7</v>
      </c>
    </row>
    <row r="92" spans="13:17" x14ac:dyDescent="0.4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t="shared" si="10"/>
        <v>-17.8758745875</v>
      </c>
    </row>
    <row r="93" spans="13:17" x14ac:dyDescent="0.4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t="shared" si="10"/>
        <v>0</v>
      </c>
    </row>
    <row r="94" spans="13:17" x14ac:dyDescent="0.4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t="shared" si="10"/>
        <v>5</v>
      </c>
    </row>
    <row r="95" spans="13:17" x14ac:dyDescent="0.4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t="shared" si="10"/>
        <v>-30</v>
      </c>
    </row>
    <row r="96" spans="13:17" x14ac:dyDescent="0.4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t="shared" si="10"/>
        <v>-24.158093970700001</v>
      </c>
    </row>
    <row r="97" spans="13:17" x14ac:dyDescent="0.4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t="shared" si="10"/>
        <v>-9.5803170794600003</v>
      </c>
    </row>
    <row r="98" spans="13:17" x14ac:dyDescent="0.4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t="shared" si="10"/>
        <v>0</v>
      </c>
    </row>
    <row r="99" spans="13:17" x14ac:dyDescent="0.4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t="shared" si="10"/>
        <v>-15.671349338700001</v>
      </c>
    </row>
    <row r="100" spans="13:17" x14ac:dyDescent="0.4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t="shared" si="10"/>
        <v>-18.208541213899998</v>
      </c>
    </row>
    <row r="101" spans="13:17" x14ac:dyDescent="0.4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t="shared" si="10"/>
        <v>-11.2471450075</v>
      </c>
    </row>
    <row r="102" spans="13:17" x14ac:dyDescent="0.4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t="shared" si="10"/>
        <v>-10.0807778908</v>
      </c>
    </row>
    <row r="103" spans="13:17" x14ac:dyDescent="0.4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t="shared" si="10"/>
        <v>-5.6623999999999999</v>
      </c>
    </row>
    <row r="104" spans="13:17" x14ac:dyDescent="0.4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2022-01-21T23:37:59Z</dcterms:modified>
</cp:coreProperties>
</file>