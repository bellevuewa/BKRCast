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projects\2018baseyear\BKR0V1-02\daysim_summaries\bkrcast_all\output\"/>
    </mc:Choice>
  </mc:AlternateContent>
  <xr:revisionPtr revIDLastSave="0" documentId="13_ncr:1_{0A06767C-B5E9-419B-AF57-A57B08511740}" xr6:coauthVersionLast="41" xr6:coauthVersionMax="41" xr10:uidLastSave="{00000000-0000-0000-0000-000000000000}"/>
  <bookViews>
    <workbookView xWindow="28800" yWindow="2580" windowWidth="21600" windowHeight="1138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M54" i="6" s="1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M31" i="6" s="1"/>
  <c r="P30" i="6"/>
  <c r="O30" i="6"/>
  <c r="N30" i="6"/>
  <c r="M30" i="6" s="1"/>
  <c r="P29" i="6"/>
  <c r="O29" i="6"/>
  <c r="N29" i="6"/>
  <c r="M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Q79" i="6" l="1"/>
  <c r="Q84" i="6"/>
  <c r="Q78" i="6"/>
  <c r="Q80" i="6"/>
  <c r="D25" i="6"/>
  <c r="Q4" i="6"/>
  <c r="Q77" i="6"/>
  <c r="Q11" i="6"/>
  <c r="Q12" i="6"/>
  <c r="Q58" i="6"/>
  <c r="Q82" i="6"/>
  <c r="Q28" i="6"/>
  <c r="M12" i="6"/>
  <c r="Q13" i="6"/>
  <c r="Q14" i="6"/>
  <c r="Q15" i="6"/>
  <c r="Q22" i="6"/>
  <c r="Q17" i="6"/>
  <c r="Q16" i="6"/>
  <c r="Q18" i="6"/>
  <c r="Q10" i="6"/>
  <c r="Q47" i="6"/>
  <c r="Q48" i="6"/>
  <c r="Q49" i="6"/>
  <c r="Q50" i="6"/>
  <c r="Q98" i="6"/>
  <c r="Q53" i="6"/>
  <c r="Q54" i="6"/>
  <c r="Q75" i="6"/>
  <c r="Q70" i="6"/>
  <c r="Q38" i="6"/>
  <c r="Q43" i="6"/>
  <c r="Q103" i="6"/>
  <c r="Q99" i="6"/>
  <c r="Q41" i="6"/>
  <c r="Q37" i="6"/>
  <c r="Q6" i="6"/>
  <c r="Q71" i="6"/>
  <c r="Q72" i="6"/>
  <c r="Q8" i="6"/>
  <c r="Q44" i="6"/>
  <c r="Q73" i="6"/>
  <c r="Q104" i="6"/>
  <c r="Q45" i="6"/>
  <c r="Q51" i="6"/>
  <c r="Q57" i="6"/>
  <c r="Q81" i="6"/>
  <c r="Q93" i="6"/>
  <c r="Q101" i="6"/>
  <c r="Q102" i="6"/>
  <c r="Q7" i="6"/>
  <c r="Q9" i="6"/>
  <c r="Q46" i="6"/>
  <c r="Q74" i="6"/>
  <c r="Q85" i="6"/>
  <c r="Q59" i="6"/>
  <c r="Q29" i="6"/>
  <c r="Q21" i="6"/>
  <c r="Q60" i="6"/>
  <c r="Q88" i="6"/>
  <c r="Q26" i="6"/>
  <c r="Q61" i="6"/>
  <c r="Q89" i="6"/>
  <c r="Q83" i="6"/>
  <c r="Q86" i="6"/>
  <c r="Q87" i="6"/>
  <c r="Q27" i="6"/>
  <c r="Q90" i="6"/>
  <c r="Q55" i="6"/>
  <c r="Q20" i="6"/>
  <c r="Q23" i="6"/>
  <c r="Q62" i="6"/>
  <c r="Q30" i="6"/>
  <c r="Q63" i="6"/>
  <c r="Q91" i="6"/>
  <c r="Q31" i="6"/>
  <c r="Q64" i="6"/>
  <c r="Q92" i="6"/>
  <c r="Q94" i="6"/>
  <c r="Q19" i="6"/>
  <c r="Q33" i="6"/>
  <c r="Q95" i="6"/>
  <c r="Q67" i="6"/>
  <c r="Q25" i="6"/>
  <c r="Q35" i="6"/>
  <c r="Q68" i="6"/>
  <c r="Q97" i="6"/>
  <c r="Q56" i="6"/>
  <c r="Q32" i="6"/>
  <c r="Q65" i="6"/>
  <c r="Q66" i="6"/>
  <c r="Q34" i="6"/>
  <c r="Q96" i="6"/>
  <c r="Q3" i="6"/>
  <c r="Q36" i="6"/>
  <c r="Q69" i="6"/>
  <c r="M40" i="6"/>
  <c r="M42" i="6"/>
  <c r="Q24" i="6"/>
  <c r="Q52" i="6"/>
  <c r="Q76" i="6"/>
  <c r="Q100" i="6"/>
  <c r="D24" i="6"/>
  <c r="D26" i="6"/>
  <c r="Q5" i="6"/>
  <c r="D23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H15" i="1" l="1"/>
  <c r="J13" i="1"/>
  <c r="U13" i="1" l="1"/>
  <c r="S15" i="1"/>
  <c r="S28" i="1" s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U26" i="1" l="1"/>
  <c r="G26" i="1"/>
  <c r="C26" i="1"/>
  <c r="F26" i="1"/>
  <c r="B26" i="1"/>
  <c r="H26" i="1"/>
  <c r="D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3" i="1" l="1"/>
  <c r="H25" i="1"/>
  <c r="H24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1" i="1" l="1"/>
  <c r="H20" i="1"/>
  <c r="H22" i="1"/>
  <c r="J24" i="1"/>
  <c r="J23" i="1"/>
  <c r="U22" i="1"/>
  <c r="U20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D4" i="6" s="1"/>
  <c r="G6" i="6" l="1"/>
  <c r="G5" i="6"/>
  <c r="E28" i="1"/>
  <c r="S36" i="1"/>
  <c r="S38" i="1"/>
  <c r="S35" i="1"/>
  <c r="M39" i="1"/>
  <c r="O39" i="1"/>
  <c r="S37" i="1"/>
  <c r="N39" i="1"/>
  <c r="P39" i="1"/>
  <c r="S34" i="1"/>
  <c r="R39" i="1"/>
  <c r="S33" i="1"/>
  <c r="S39" i="1"/>
  <c r="Q39" i="1"/>
  <c r="D7" i="6"/>
  <c r="D5" i="6"/>
  <c r="G7" i="6"/>
  <c r="G8" i="6" s="1"/>
  <c r="D6" i="6"/>
  <c r="H28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D8" i="6" l="1"/>
  <c r="D15" i="6" s="1"/>
  <c r="G14" i="6"/>
  <c r="G12" i="6"/>
  <c r="G13" i="6"/>
  <c r="G15" i="6"/>
  <c r="G16" i="6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D14" i="6" l="1"/>
  <c r="I14" i="6" s="1"/>
  <c r="J14" i="6" s="1"/>
  <c r="D12" i="6"/>
  <c r="I12" i="6" s="1"/>
  <c r="J12" i="6" s="1"/>
  <c r="K12" i="6" s="1"/>
  <c r="D33" i="6" s="1"/>
  <c r="D43" i="6" s="1"/>
  <c r="Q39" i="6" s="1"/>
  <c r="D13" i="6"/>
  <c r="I13" i="6" s="1"/>
  <c r="J13" i="6" s="1"/>
  <c r="D16" i="6"/>
  <c r="I15" i="6"/>
  <c r="J15" i="6" s="1"/>
  <c r="E39" i="1"/>
  <c r="AA39" i="1" s="1"/>
  <c r="H39" i="1"/>
  <c r="AD39" i="1" s="1"/>
  <c r="B39" i="1"/>
  <c r="X39" i="1" s="1"/>
  <c r="C39" i="1"/>
  <c r="Y39" i="1" s="1"/>
  <c r="D39" i="1"/>
  <c r="Z39" i="1" s="1"/>
  <c r="F39" i="1"/>
  <c r="AB39" i="1" s="1"/>
  <c r="G39" i="1"/>
  <c r="AC39" i="1" s="1"/>
  <c r="H37" i="1"/>
  <c r="AD37" i="1" s="1"/>
  <c r="H38" i="1"/>
  <c r="AD38" i="1" s="1"/>
  <c r="H36" i="1"/>
  <c r="AD36" i="1" s="1"/>
  <c r="H35" i="1"/>
  <c r="AD35" i="1" s="1"/>
  <c r="H33" i="1"/>
  <c r="AD33" i="1" s="1"/>
  <c r="H34" i="1"/>
  <c r="AD34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  <c r="K13" i="6" l="1"/>
  <c r="D34" i="6" s="1"/>
  <c r="D44" i="6" s="1"/>
  <c r="Q40" i="6" s="1"/>
  <c r="K15" i="6"/>
  <c r="D36" i="6" s="1"/>
  <c r="D46" i="6" s="1"/>
  <c r="Q42" i="6" s="1"/>
  <c r="K14" i="6"/>
  <c r="D35" i="6" s="1"/>
  <c r="D45" i="6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<sst xmlns="http://schemas.openxmlformats.org/spreadsheetml/2006/main" count="736" uniqueCount="288">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</sst>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5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0" fontId="5" fillId="4" borderId="5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0" xfId="0" applyFont="1" applyFill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3" xfId="0" applyFont="1" applyFill="1" applyBorder="1"/>
    <xf numFmtId="0" fontId="7" fillId="4" borderId="11" xfId="0" applyFont="1" applyFill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" xfId="0" applyFont="1" applyBorder="1"/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0" fillId="0" borderId="0" xfId="0" applyNumberFormat="1" applyFont="1" applyFill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0.19477466398115215</c:v>
                </c:pt>
                <c:pt idx="1">
                  <c:v>0.1211379359305903</c:v>
                </c:pt>
                <c:pt idx="2">
                  <c:v>5.5971400860087984E-2</c:v>
                </c:pt>
                <c:pt idx="3">
                  <c:v>0.14324859490567635</c:v>
                </c:pt>
                <c:pt idx="4">
                  <c:v>0.1959613433341772</c:v>
                </c:pt>
                <c:pt idx="5">
                  <c:v>0.10682144141510649</c:v>
                </c:pt>
                <c:pt idx="6">
                  <c:v>4.7019832236307076E-2</c:v>
                </c:pt>
                <c:pt idx="7">
                  <c:v>6.5006609592373624E-3</c:v>
                </c:pt>
                <c:pt idx="8">
                  <c:v>3.471027218499366E-2</c:v>
                </c:pt>
                <c:pt idx="9">
                  <c:v>8.6108040922837775E-3</c:v>
                </c:pt>
                <c:pt idx="10">
                  <c:v>3.5856687869014782E-2</c:v>
                </c:pt>
                <c:pt idx="11">
                  <c:v>0</c:v>
                </c:pt>
                <c:pt idx="12">
                  <c:v>7.2052406558508345E-3</c:v>
                </c:pt>
                <c:pt idx="13">
                  <c:v>7.9296370434108251E-3</c:v>
                </c:pt>
                <c:pt idx="14">
                  <c:v>3.4464279568013636E-3</c:v>
                </c:pt>
                <c:pt idx="15">
                  <c:v>0</c:v>
                </c:pt>
                <c:pt idx="16">
                  <c:v>2.0821558603629801E-3</c:v>
                </c:pt>
                <c:pt idx="17">
                  <c:v>1.314286543122483E-3</c:v>
                </c:pt>
                <c:pt idx="18">
                  <c:v>1.4367974097673336E-3</c:v>
                </c:pt>
                <c:pt idx="19">
                  <c:v>6.2459081704546058E-3</c:v>
                </c:pt>
                <c:pt idx="20">
                  <c:v>7.4594637105345862E-4</c:v>
                </c:pt>
                <c:pt idx="21">
                  <c:v>1.7769736543749818E-3</c:v>
                </c:pt>
                <c:pt idx="22">
                  <c:v>5.9419309214147299E-3</c:v>
                </c:pt>
                <c:pt idx="23">
                  <c:v>0</c:v>
                </c:pt>
                <c:pt idx="24">
                  <c:v>3.6135068826538872E-4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4.5314274349395224E-4</c:v>
                </c:pt>
                <c:pt idx="29">
                  <c:v>9.8829645606902656E-4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1.4958987092647189E-3</c:v>
                </c:pt>
                <c:pt idx="34">
                  <c:v>5.1340164912161649E-3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2.8283525564502458E-3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0.34341608562419507</c:v>
                </c:pt>
                <c:pt idx="1">
                  <c:v>0.10797619576320114</c:v>
                </c:pt>
                <c:pt idx="2">
                  <c:v>6.3694097792778792E-2</c:v>
                </c:pt>
                <c:pt idx="3">
                  <c:v>3.5764089354709774E-2</c:v>
                </c:pt>
                <c:pt idx="4">
                  <c:v>0.10953501798641027</c:v>
                </c:pt>
                <c:pt idx="5">
                  <c:v>6.8885730781187551E-2</c:v>
                </c:pt>
                <c:pt idx="6">
                  <c:v>5.7920682151263489E-2</c:v>
                </c:pt>
                <c:pt idx="7">
                  <c:v>2.8565084158635696E-2</c:v>
                </c:pt>
                <c:pt idx="8">
                  <c:v>3.6003908158280411E-2</c:v>
                </c:pt>
                <c:pt idx="9">
                  <c:v>1.7875383043922371E-2</c:v>
                </c:pt>
                <c:pt idx="10">
                  <c:v>1.2368432739707776E-2</c:v>
                </c:pt>
                <c:pt idx="11">
                  <c:v>1.4096016343207354E-2</c:v>
                </c:pt>
                <c:pt idx="12">
                  <c:v>1.0560909535017987E-2</c:v>
                </c:pt>
                <c:pt idx="13">
                  <c:v>1.1764444641826176E-2</c:v>
                </c:pt>
                <c:pt idx="14">
                  <c:v>7.8740507172358667E-3</c:v>
                </c:pt>
                <c:pt idx="15">
                  <c:v>9.5172536305902205E-3</c:v>
                </c:pt>
                <c:pt idx="16">
                  <c:v>7.9229026957409951E-3</c:v>
                </c:pt>
                <c:pt idx="17">
                  <c:v>5.57356663853977E-3</c:v>
                </c:pt>
                <c:pt idx="18">
                  <c:v>6.3374339388017941E-3</c:v>
                </c:pt>
                <c:pt idx="19">
                  <c:v>4.6498201358973219E-3</c:v>
                </c:pt>
                <c:pt idx="20">
                  <c:v>3.9658924368255093E-3</c:v>
                </c:pt>
                <c:pt idx="21">
                  <c:v>3.9880978816005681E-3</c:v>
                </c:pt>
                <c:pt idx="22">
                  <c:v>3.4551672069991564E-3</c:v>
                </c:pt>
                <c:pt idx="23">
                  <c:v>3.0687924679131322E-3</c:v>
                </c:pt>
                <c:pt idx="24">
                  <c:v>3.0332637562730381E-3</c:v>
                </c:pt>
                <c:pt idx="25">
                  <c:v>2.4470400142114846E-3</c:v>
                </c:pt>
                <c:pt idx="26">
                  <c:v>2.367100413021273E-3</c:v>
                </c:pt>
                <c:pt idx="27">
                  <c:v>1.4700004441088954E-3</c:v>
                </c:pt>
                <c:pt idx="28">
                  <c:v>1.6654083581294132E-3</c:v>
                </c:pt>
                <c:pt idx="29">
                  <c:v>1.5321756894790602E-3</c:v>
                </c:pt>
                <c:pt idx="30">
                  <c:v>1.3945019318736954E-3</c:v>
                </c:pt>
                <c:pt idx="31">
                  <c:v>1.1635653062130834E-3</c:v>
                </c:pt>
                <c:pt idx="32">
                  <c:v>8.926588799573655E-4</c:v>
                </c:pt>
                <c:pt idx="33">
                  <c:v>8.926588799573655E-4</c:v>
                </c:pt>
                <c:pt idx="34">
                  <c:v>9.0598214682240086E-4</c:v>
                </c:pt>
                <c:pt idx="35">
                  <c:v>8.3936581249722435E-4</c:v>
                </c:pt>
                <c:pt idx="36">
                  <c:v>9.6815739219256562E-4</c:v>
                </c:pt>
                <c:pt idx="37">
                  <c:v>5.2848958564640045E-4</c:v>
                </c:pt>
                <c:pt idx="38">
                  <c:v>8.3936581249722435E-4</c:v>
                </c:pt>
                <c:pt idx="39">
                  <c:v>5.6401829728649469E-4</c:v>
                </c:pt>
                <c:pt idx="40">
                  <c:v>5.3737176355642406E-4</c:v>
                </c:pt>
                <c:pt idx="41">
                  <c:v>3.3308167162588267E-4</c:v>
                </c:pt>
                <c:pt idx="42">
                  <c:v>3.1975840476084735E-4</c:v>
                </c:pt>
                <c:pt idx="43">
                  <c:v>2.3537771461562375E-4</c:v>
                </c:pt>
                <c:pt idx="44">
                  <c:v>3.0199404894080029E-4</c:v>
                </c:pt>
                <c:pt idx="45">
                  <c:v>3.1087622685082385E-4</c:v>
                </c:pt>
                <c:pt idx="46">
                  <c:v>2.4870098148065903E-4</c:v>
                </c:pt>
                <c:pt idx="47">
                  <c:v>2.0429009193054137E-4</c:v>
                </c:pt>
                <c:pt idx="48">
                  <c:v>1.287915796953413E-4</c:v>
                </c:pt>
                <c:pt idx="49">
                  <c:v>1.4211484656037661E-4</c:v>
                </c:pt>
                <c:pt idx="50">
                  <c:v>8.8821779100235372E-5</c:v>
                </c:pt>
                <c:pt idx="51">
                  <c:v>1.3323266865035308E-4</c:v>
                </c:pt>
                <c:pt idx="52">
                  <c:v>7.1057423280188305E-5</c:v>
                </c:pt>
                <c:pt idx="53">
                  <c:v>9.7703957010258918E-5</c:v>
                </c:pt>
                <c:pt idx="54">
                  <c:v>7.5498512235200072E-5</c:v>
                </c:pt>
                <c:pt idx="55">
                  <c:v>5.7734156415152992E-5</c:v>
                </c:pt>
                <c:pt idx="56">
                  <c:v>5.3293067460141226E-5</c:v>
                </c:pt>
                <c:pt idx="57">
                  <c:v>1.3323266865035306E-5</c:v>
                </c:pt>
                <c:pt idx="58">
                  <c:v>3.1087622685082379E-5</c:v>
                </c:pt>
                <c:pt idx="59">
                  <c:v>5.7734156415152992E-5</c:v>
                </c:pt>
                <c:pt idx="60">
                  <c:v>5.7734156415152992E-5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7648"/>
        <c:axId val="123750000"/>
      </c:lineChart>
      <c:catAx>
        <c:axId val="12374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3750000"/>
        <c:crosses val="autoZero"/>
        <c:auto val="1"/>
        <c:lblAlgn val="ctr"/>
        <c:lblOffset val="100"/>
        <c:tickLblSkip val="10"/>
        <c:noMultiLvlLbl val="0"/>
      </c:catAx>
      <c:valAx>
        <c:axId val="123750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747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3.7241127198228063E-3</c:v>
                </c:pt>
                <c:pt idx="2">
                  <c:v>4.0518901434828123E-3</c:v>
                </c:pt>
                <c:pt idx="3">
                  <c:v>4.2468796602436569E-2</c:v>
                </c:pt>
                <c:pt idx="4">
                  <c:v>4.8018915842663441E-2</c:v>
                </c:pt>
                <c:pt idx="5">
                  <c:v>9.4224479117550025E-2</c:v>
                </c:pt>
                <c:pt idx="6">
                  <c:v>5.9257177625129769E-2</c:v>
                </c:pt>
                <c:pt idx="7">
                  <c:v>4.2202869951498377E-2</c:v>
                </c:pt>
                <c:pt idx="8">
                  <c:v>1.7522104649697216E-2</c:v>
                </c:pt>
                <c:pt idx="9">
                  <c:v>3.0984031620256026E-2</c:v>
                </c:pt>
                <c:pt idx="10">
                  <c:v>4.3098732417645178E-3</c:v>
                </c:pt>
                <c:pt idx="11">
                  <c:v>1.7951157697383521E-2</c:v>
                </c:pt>
                <c:pt idx="12">
                  <c:v>1.4327767640141913E-2</c:v>
                </c:pt>
                <c:pt idx="13">
                  <c:v>1.2087496768924486E-2</c:v>
                </c:pt>
                <c:pt idx="14">
                  <c:v>3.6771588022503209E-2</c:v>
                </c:pt>
                <c:pt idx="15">
                  <c:v>2.9154178995536854E-2</c:v>
                </c:pt>
                <c:pt idx="16">
                  <c:v>5.114617700983827E-2</c:v>
                </c:pt>
                <c:pt idx="17">
                  <c:v>2.3457277117362712E-2</c:v>
                </c:pt>
                <c:pt idx="18">
                  <c:v>7.5692790949236574E-2</c:v>
                </c:pt>
                <c:pt idx="19">
                  <c:v>8.2860212659528795E-2</c:v>
                </c:pt>
                <c:pt idx="20">
                  <c:v>4.8306682721156499E-2</c:v>
                </c:pt>
                <c:pt idx="21">
                  <c:v>5.6361827889754273E-2</c:v>
                </c:pt>
                <c:pt idx="22">
                  <c:v>3.6231820054256826E-2</c:v>
                </c:pt>
                <c:pt idx="23">
                  <c:v>1.1504704800677884E-2</c:v>
                </c:pt>
                <c:pt idx="24">
                  <c:v>1.591335305553699E-2</c:v>
                </c:pt>
                <c:pt idx="25">
                  <c:v>2.0822711524622773E-3</c:v>
                </c:pt>
                <c:pt idx="26">
                  <c:v>2.4034232465362758E-2</c:v>
                </c:pt>
                <c:pt idx="27">
                  <c:v>7.7460459824788058E-3</c:v>
                </c:pt>
                <c:pt idx="28">
                  <c:v>6.3875028263149676E-4</c:v>
                </c:pt>
                <c:pt idx="29">
                  <c:v>1.9996284063822705E-3</c:v>
                </c:pt>
                <c:pt idx="30">
                  <c:v>3.7400120737688287E-3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2.5918900579497216E-2</c:v>
                </c:pt>
                <c:pt idx="35">
                  <c:v>3.160866004313691E-4</c:v>
                </c:pt>
                <c:pt idx="36">
                  <c:v>4.4461015659452048E-3</c:v>
                </c:pt>
                <c:pt idx="37">
                  <c:v>1.16589206263947E-3</c:v>
                </c:pt>
                <c:pt idx="38">
                  <c:v>1.2679600242534518E-2</c:v>
                </c:pt>
                <c:pt idx="39">
                  <c:v>0</c:v>
                </c:pt>
                <c:pt idx="40">
                  <c:v>3.6135068826538867E-4</c:v>
                </c:pt>
                <c:pt idx="41">
                  <c:v>6.7871367758298847E-3</c:v>
                </c:pt>
                <c:pt idx="42">
                  <c:v>0</c:v>
                </c:pt>
                <c:pt idx="43">
                  <c:v>4.2985977062208925E-4</c:v>
                </c:pt>
                <c:pt idx="44">
                  <c:v>0</c:v>
                </c:pt>
                <c:pt idx="45">
                  <c:v>3.5047003028974059E-2</c:v>
                </c:pt>
                <c:pt idx="46">
                  <c:v>3.208623325478104E-3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5.1340164912161649E-3</c:v>
                </c:pt>
                <c:pt idx="53">
                  <c:v>0</c:v>
                </c:pt>
                <c:pt idx="54">
                  <c:v>4.5314274349395213E-4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1.4958987092647186E-3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4.3806901452236091E-2</c:v>
                </c:pt>
                <c:pt idx="1">
                  <c:v>8.6481325220944177E-2</c:v>
                </c:pt>
                <c:pt idx="2">
                  <c:v>9.1370964160412127E-2</c:v>
                </c:pt>
                <c:pt idx="3">
                  <c:v>7.8824887862503884E-2</c:v>
                </c:pt>
                <c:pt idx="4">
                  <c:v>5.0646178442954215E-2</c:v>
                </c:pt>
                <c:pt idx="5">
                  <c:v>3.7664875427454815E-2</c:v>
                </c:pt>
                <c:pt idx="6">
                  <c:v>3.0536927654660921E-2</c:v>
                </c:pt>
                <c:pt idx="7">
                  <c:v>2.5438557534307411E-2</c:v>
                </c:pt>
                <c:pt idx="8">
                  <c:v>2.1708042812097525E-2</c:v>
                </c:pt>
                <c:pt idx="9">
                  <c:v>1.9958253763822889E-2</c:v>
                </c:pt>
                <c:pt idx="10">
                  <c:v>1.661855486965404E-2</c:v>
                </c:pt>
                <c:pt idx="11">
                  <c:v>1.3678553981436248E-2</c:v>
                </c:pt>
                <c:pt idx="12">
                  <c:v>1.2275169871652529E-2</c:v>
                </c:pt>
                <c:pt idx="13">
                  <c:v>1.0534263001287916E-2</c:v>
                </c:pt>
                <c:pt idx="14">
                  <c:v>8.8200026646533727E-3</c:v>
                </c:pt>
                <c:pt idx="15">
                  <c:v>6.9280987698183598E-3</c:v>
                </c:pt>
                <c:pt idx="16">
                  <c:v>7.2745037083092774E-3</c:v>
                </c:pt>
                <c:pt idx="17">
                  <c:v>6.9769507483234891E-3</c:v>
                </c:pt>
                <c:pt idx="18">
                  <c:v>6.2370653284185285E-2</c:v>
                </c:pt>
                <c:pt idx="19">
                  <c:v>3.5009104232357771E-2</c:v>
                </c:pt>
                <c:pt idx="20">
                  <c:v>3.2260070169205492E-2</c:v>
                </c:pt>
                <c:pt idx="21">
                  <c:v>3.5706355198294619E-2</c:v>
                </c:pt>
                <c:pt idx="22">
                  <c:v>2.9724208375893769E-2</c:v>
                </c:pt>
                <c:pt idx="23">
                  <c:v>2.5567349114002755E-2</c:v>
                </c:pt>
                <c:pt idx="24">
                  <c:v>1.970511169338722E-2</c:v>
                </c:pt>
                <c:pt idx="25">
                  <c:v>2.2667318026380067E-2</c:v>
                </c:pt>
                <c:pt idx="26">
                  <c:v>1.4682240085268907E-2</c:v>
                </c:pt>
                <c:pt idx="27">
                  <c:v>1.1036106053204245E-2</c:v>
                </c:pt>
                <c:pt idx="28">
                  <c:v>1.3563085668605942E-2</c:v>
                </c:pt>
                <c:pt idx="29">
                  <c:v>1.0698583292623352E-2</c:v>
                </c:pt>
                <c:pt idx="30">
                  <c:v>1.4975351956299685E-2</c:v>
                </c:pt>
                <c:pt idx="31">
                  <c:v>7.6564373584402899E-3</c:v>
                </c:pt>
                <c:pt idx="32">
                  <c:v>7.3144735089043832E-3</c:v>
                </c:pt>
                <c:pt idx="33">
                  <c:v>1.4491273260203401E-2</c:v>
                </c:pt>
                <c:pt idx="34">
                  <c:v>5.8711195985255583E-3</c:v>
                </c:pt>
                <c:pt idx="35">
                  <c:v>7.123506683838877E-3</c:v>
                </c:pt>
                <c:pt idx="36">
                  <c:v>4.9873428964782168E-3</c:v>
                </c:pt>
                <c:pt idx="37">
                  <c:v>7.1501532175689483E-3</c:v>
                </c:pt>
                <c:pt idx="38">
                  <c:v>4.4455300439667804E-3</c:v>
                </c:pt>
                <c:pt idx="39">
                  <c:v>5.9288537549407111E-3</c:v>
                </c:pt>
                <c:pt idx="40">
                  <c:v>3.0643513789581204E-3</c:v>
                </c:pt>
                <c:pt idx="41">
                  <c:v>3.4107563174490384E-3</c:v>
                </c:pt>
                <c:pt idx="42">
                  <c:v>2.5180974374916731E-3</c:v>
                </c:pt>
                <c:pt idx="43">
                  <c:v>3.0066172225429676E-3</c:v>
                </c:pt>
                <c:pt idx="44">
                  <c:v>2.2027801216858373E-3</c:v>
                </c:pt>
                <c:pt idx="45">
                  <c:v>2.4470400142114846E-3</c:v>
                </c:pt>
                <c:pt idx="46">
                  <c:v>1.6964959808144957E-3</c:v>
                </c:pt>
                <c:pt idx="47">
                  <c:v>2.0340187413953902E-3</c:v>
                </c:pt>
                <c:pt idx="48">
                  <c:v>1.1546831283030599E-3</c:v>
                </c:pt>
                <c:pt idx="49">
                  <c:v>2.10951725363059E-3</c:v>
                </c:pt>
                <c:pt idx="50">
                  <c:v>1.3545321312785894E-3</c:v>
                </c:pt>
                <c:pt idx="51">
                  <c:v>1.2301816405382599E-3</c:v>
                </c:pt>
                <c:pt idx="52">
                  <c:v>1.0214504596527069E-3</c:v>
                </c:pt>
                <c:pt idx="53">
                  <c:v>1.1191544166629657E-3</c:v>
                </c:pt>
                <c:pt idx="54">
                  <c:v>7.7274947817204784E-4</c:v>
                </c:pt>
                <c:pt idx="55">
                  <c:v>8.0383710085713022E-4</c:v>
                </c:pt>
                <c:pt idx="56">
                  <c:v>7.7274947817204784E-4</c:v>
                </c:pt>
                <c:pt idx="57">
                  <c:v>8.8821779100235374E-4</c:v>
                </c:pt>
                <c:pt idx="58">
                  <c:v>6.6172225429675358E-4</c:v>
                </c:pt>
                <c:pt idx="59">
                  <c:v>4.6631434027623574E-4</c:v>
                </c:pt>
                <c:pt idx="60">
                  <c:v>4.7963760714127106E-4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8040"/>
        <c:axId val="123747256"/>
      </c:lineChart>
      <c:catAx>
        <c:axId val="123748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3747256"/>
        <c:crosses val="autoZero"/>
        <c:auto val="1"/>
        <c:lblAlgn val="ctr"/>
        <c:lblOffset val="100"/>
        <c:tickLblSkip val="10"/>
        <c:noMultiLvlLbl val="0"/>
      </c:catAx>
      <c:valAx>
        <c:axId val="123747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7480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r="9" spans="1:18" ht="15.75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33529.2496428338</v>
      </c>
      <c r="C11" s="520" t="n">
        <v>623.8512507065</v>
      </c>
      <c r="D11" s="520" t="n">
        <v>1693.8448047706</v>
      </c>
      <c r="E11" s="520">
        <f>SUM(B11:D11)</f>
        <v>35846.945698310898</v>
      </c>
      <c r="F11" s="21">
        <f>E11/$E$102</f>
        <v>0.19477466398115215</v>
      </c>
      <c r="H11" s="23">
        <v>0</v>
      </c>
      <c r="I11" s="522" t="n">
        <v>64249.0</v>
      </c>
      <c r="J11" s="522" t="n">
        <v>5893.0</v>
      </c>
      <c r="K11" s="522" t="n">
        <v>5840.0</v>
      </c>
      <c r="L11" s="520">
        <f>SUM(I11:K11)</f>
        <v>77327</v>
      </c>
      <c r="M11" s="21">
        <f>L11/$L$102</f>
        <v>0.34341608562419507</v>
      </c>
      <c r="P11" t="s">
        <v>9</v>
      </c>
      <c r="Q11" s="8" t="n">
        <v>3.996223974169072</v>
      </c>
      <c r="R11" s="8" t="n">
        <v>4.806044590180415</v>
      </c>
    </row>
    <row r="12" spans="1:18" x14ac:dyDescent="0.25">
      <c r="A12">
        <v>1</v>
      </c>
      <c r="B12" s="520" t="n">
        <v>19741.0888088627</v>
      </c>
      <c r="C12" s="520" t="n">
        <v>1282.9672045295</v>
      </c>
      <c r="D12" s="520" t="n">
        <v>1270.553164984</v>
      </c>
      <c r="E12" s="520">
        <f t="shared" ref="E12:E75" si="0">SUM(B12:D12)</f>
        <v>22294.609178376202</v>
      </c>
      <c r="F12" s="21">
        <f t="shared" ref="F12:F75" si="1">E12/$E$102</f>
        <v>0.1211379359305903</v>
      </c>
      <c r="H12" s="24">
        <v>1</v>
      </c>
      <c r="I12" s="522" t="n">
        <v>22047.0</v>
      </c>
      <c r="J12" s="522" t="n">
        <v>2554.0</v>
      </c>
      <c r="K12" s="522" t="n">
        <v>2168.0</v>
      </c>
      <c r="L12" s="520">
        <f t="shared" ref="L12:L75" si="2">SUM(I12:K12)</f>
        <v>24313</v>
      </c>
      <c r="M12" s="21">
        <f t="shared" ref="M12:M75" si="3">L12/$L$102</f>
        <v>0.10797619576320114</v>
      </c>
      <c r="P12" t="s">
        <v>10</v>
      </c>
      <c r="Q12" s="8" t="n">
        <v>4.367656827552512</v>
      </c>
      <c r="R12" s="8" t="n">
        <v>4.699017585916949</v>
      </c>
    </row>
    <row r="13" spans="1:18" x14ac:dyDescent="0.25">
      <c r="A13">
        <v>2</v>
      </c>
      <c r="B13" s="520" t="n">
        <v>9929.634844345701</v>
      </c>
      <c r="C13" s="520" t="n">
        <v>371.518941673</v>
      </c>
      <c r="D13" s="520" t="n">
        <v>0.0</v>
      </c>
      <c r="E13" s="520">
        <f t="shared" si="0"/>
        <v>10301.153786018702</v>
      </c>
      <c r="F13" s="21">
        <f t="shared" si="1"/>
        <v>5.5971400860087984E-2</v>
      </c>
      <c r="H13" s="25">
        <v>2</v>
      </c>
      <c r="I13" s="522" t="n">
        <v>13723.0</v>
      </c>
      <c r="J13" s="522" t="n">
        <v>1443.0</v>
      </c>
      <c r="K13" s="522" t="n">
        <v>1206.0</v>
      </c>
      <c r="L13" s="520">
        <f t="shared" si="2"/>
        <v>14342</v>
      </c>
      <c r="M13" s="21">
        <f t="shared" si="3"/>
        <v>6.3694097792778792E-2</v>
      </c>
      <c r="P13" s="6" t="s">
        <v>11</v>
      </c>
      <c r="Q13" s="11" t="n">
        <v>4.455458028041579</v>
      </c>
      <c r="R13" s="11" t="n">
        <v>4.437026422789746</v>
      </c>
    </row>
    <row r="14" spans="1:18" ht="15.75" thickBot="1" x14ac:dyDescent="0.3">
      <c r="A14">
        <v>3</v>
      </c>
      <c r="B14" s="520" t="n">
        <v>25599.561736635</v>
      </c>
      <c r="C14" s="520" t="n">
        <v>764.363108539</v>
      </c>
      <c r="D14" s="520" t="n">
        <v>0.0</v>
      </c>
      <c r="E14" s="520">
        <f t="shared" si="0"/>
        <v>26363.924845174002</v>
      </c>
      <c r="F14" s="21">
        <f t="shared" si="1"/>
        <v>0.14324859490567635</v>
      </c>
      <c r="H14" s="26">
        <v>3</v>
      </c>
      <c r="I14" s="522" t="n">
        <v>6917.0</v>
      </c>
      <c r="J14" s="522" t="n">
        <v>744.0</v>
      </c>
      <c r="K14" s="522" t="n">
        <v>656.0</v>
      </c>
      <c r="L14" s="520">
        <f t="shared" si="2"/>
        <v>8053</v>
      </c>
      <c r="M14" s="21">
        <f t="shared" si="3"/>
        <v>3.5764089354709774E-2</v>
      </c>
      <c r="P14" s="1" t="s">
        <v>4</v>
      </c>
      <c r="Q14" s="9" t="n">
        <v>4.024516630604764</v>
      </c>
      <c r="R14" s="9" t="n">
        <v>4.768051862247135</v>
      </c>
    </row>
    <row r="15" spans="1:18" x14ac:dyDescent="0.25">
      <c r="A15">
        <v>4</v>
      </c>
      <c r="B15" s="520" t="n">
        <v>34768.3191834659</v>
      </c>
      <c r="C15" s="520" t="n">
        <v>1001.4134433272001</v>
      </c>
      <c r="D15" s="520" t="n">
        <v>295.6132959603</v>
      </c>
      <c r="E15" s="520">
        <f t="shared" si="0"/>
        <v>36065.345922753397</v>
      </c>
      <c r="F15" s="21">
        <f t="shared" si="1"/>
        <v>0.1959613433341772</v>
      </c>
      <c r="H15" s="27">
        <v>4</v>
      </c>
      <c r="I15" s="522" t="n">
        <v>20098.0</v>
      </c>
      <c r="J15" s="522" t="n">
        <v>2496.0</v>
      </c>
      <c r="K15" s="522" t="n">
        <v>2067.0</v>
      </c>
      <c r="L15" s="520">
        <f t="shared" si="2"/>
        <v>24664</v>
      </c>
      <c r="M15" s="21">
        <f t="shared" si="3"/>
        <v>0.10953501798641027</v>
      </c>
    </row>
    <row r="16" spans="1:18" x14ac:dyDescent="0.25">
      <c r="A16">
        <v>5</v>
      </c>
      <c r="B16" s="520" t="n">
        <v>17811.0833723785</v>
      </c>
      <c r="C16" s="520" t="n">
        <v>1762.380686484</v>
      </c>
      <c r="D16" s="520" t="n">
        <v>86.2921514892</v>
      </c>
      <c r="E16" s="520">
        <f t="shared" si="0"/>
        <v>19659.756210351701</v>
      </c>
      <c r="F16" s="21">
        <f t="shared" si="1"/>
        <v>0.10682144141510649</v>
      </c>
      <c r="H16" s="28">
        <v>5</v>
      </c>
      <c r="I16" s="522" t="n">
        <v>12574.0</v>
      </c>
      <c r="J16" s="522" t="n">
        <v>1390.0</v>
      </c>
      <c r="K16" s="522" t="n">
        <v>1270.0</v>
      </c>
      <c r="L16" s="520">
        <f t="shared" si="2"/>
        <v>15511</v>
      </c>
      <c r="M16" s="21">
        <f t="shared" si="3"/>
        <v>6.8885730781187551E-2</v>
      </c>
    </row>
    <row r="17" spans="1:13" x14ac:dyDescent="0.25">
      <c r="A17">
        <v>6</v>
      </c>
      <c r="B17" s="520" t="n">
        <v>8332.5743277309</v>
      </c>
      <c r="C17" s="520" t="n">
        <v>321.1044334949</v>
      </c>
      <c r="D17" s="520" t="n">
        <v>0.0</v>
      </c>
      <c r="E17" s="520">
        <f t="shared" si="0"/>
        <v>8653.6787612257995</v>
      </c>
      <c r="F17" s="21">
        <f t="shared" si="1"/>
        <v>4.7019832236307076E-2</v>
      </c>
      <c r="H17" s="29">
        <v>6</v>
      </c>
      <c r="I17" s="522" t="n">
        <v>10356.0</v>
      </c>
      <c r="J17" s="522" t="n">
        <v>1279.0</v>
      </c>
      <c r="K17" s="522" t="n">
        <v>1094.0</v>
      </c>
      <c r="L17" s="520">
        <f t="shared" si="2"/>
        <v>13042</v>
      </c>
      <c r="M17" s="21">
        <f t="shared" si="3"/>
        <v>5.7920682151263489E-2</v>
      </c>
    </row>
    <row r="18" spans="1:13" x14ac:dyDescent="0.2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t="shared" si="0"/>
        <v>1196.4022201134999</v>
      </c>
      <c r="F18" s="21">
        <f t="shared" si="1"/>
        <v>6.5006609592373624E-3</v>
      </c>
      <c r="H18" s="30">
        <v>7</v>
      </c>
      <c r="I18" s="522" t="n">
        <v>5170.0</v>
      </c>
      <c r="J18" s="522" t="n">
        <v>564.0</v>
      </c>
      <c r="K18" s="522" t="n">
        <v>577.0</v>
      </c>
      <c r="L18" s="520">
        <f t="shared" si="2"/>
        <v>6432</v>
      </c>
      <c r="M18" s="21">
        <f t="shared" si="3"/>
        <v>2.8565084158635696E-2</v>
      </c>
    </row>
    <row r="19" spans="1:13" x14ac:dyDescent="0.2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t="shared" si="0"/>
        <v>6388.1883647323994</v>
      </c>
      <c r="F19" s="21">
        <f t="shared" si="1"/>
        <v>3.471027218499366E-2</v>
      </c>
      <c r="H19" s="31">
        <v>8</v>
      </c>
      <c r="I19" s="522" t="n">
        <v>5047.0</v>
      </c>
      <c r="J19" s="522" t="n">
        <v>584.0</v>
      </c>
      <c r="K19" s="522" t="n">
        <v>483.0</v>
      </c>
      <c r="L19" s="520">
        <f t="shared" si="2"/>
        <v>8107</v>
      </c>
      <c r="M19" s="21">
        <f t="shared" si="3"/>
        <v>3.6003908158280411E-2</v>
      </c>
    </row>
    <row r="20" spans="1:13" x14ac:dyDescent="0.25">
      <c r="A20">
        <v>9</v>
      </c>
      <c r="B20" s="520" t="n">
        <v>1584.759641761</v>
      </c>
      <c r="C20" s="520" t="n">
        <v>0.0</v>
      </c>
      <c r="D20" s="520" t="n">
        <v>0.0</v>
      </c>
      <c r="E20" s="520">
        <f t="shared" si="0"/>
        <v>1584.759641761</v>
      </c>
      <c r="F20" s="21">
        <f t="shared" si="1"/>
        <v>8.6108040922837775E-3</v>
      </c>
      <c r="H20" s="32">
        <v>9</v>
      </c>
      <c r="I20" s="522" t="n">
        <v>4682.0</v>
      </c>
      <c r="J20" s="522" t="n">
        <v>334.0</v>
      </c>
      <c r="K20" s="522" t="n">
        <v>397.0</v>
      </c>
      <c r="L20" s="520">
        <f t="shared" si="2"/>
        <v>4025</v>
      </c>
      <c r="M20" s="21">
        <f t="shared" si="3"/>
        <v>1.7875383043922371E-2</v>
      </c>
    </row>
    <row r="21" spans="1:13" x14ac:dyDescent="0.25">
      <c r="A21">
        <v>10</v>
      </c>
      <c r="B21" s="520" t="n">
        <v>6599.1783360809</v>
      </c>
      <c r="C21" s="520" t="n">
        <v>0.0</v>
      </c>
      <c r="D21" s="520" t="n">
        <v>0.0</v>
      </c>
      <c r="E21" s="520">
        <f t="shared" si="0"/>
        <v>6599.1783360809004</v>
      </c>
      <c r="F21" s="21">
        <f t="shared" si="1"/>
        <v>3.5856687869014782E-2</v>
      </c>
      <c r="H21" s="33">
        <v>10</v>
      </c>
      <c r="I21" s="522" t="n">
        <v>2210.0</v>
      </c>
      <c r="J21" s="522" t="n">
        <v>271.0</v>
      </c>
      <c r="K21" s="522" t="n">
        <v>221.0</v>
      </c>
      <c r="L21" s="520">
        <f t="shared" si="2"/>
        <v>2785</v>
      </c>
      <c r="M21" s="21">
        <f t="shared" si="3"/>
        <v>1.2368432739707776E-2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t="shared" si="0"/>
        <v>0</v>
      </c>
      <c r="F22" s="21">
        <f t="shared" si="1"/>
        <v>0</v>
      </c>
      <c r="H22" s="34">
        <v>11</v>
      </c>
      <c r="I22" s="522" t="n">
        <v>2389.0</v>
      </c>
      <c r="J22" s="522" t="n">
        <v>231.0</v>
      </c>
      <c r="K22" s="522" t="n">
        <v>182.0</v>
      </c>
      <c r="L22" s="520">
        <f t="shared" si="2"/>
        <v>3174</v>
      </c>
      <c r="M22" s="21">
        <f t="shared" si="3"/>
        <v>1.4096016343207354E-2</v>
      </c>
    </row>
    <row r="23" spans="1:13" x14ac:dyDescent="0.2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t="shared" si="0"/>
        <v>1326.0752977530001</v>
      </c>
      <c r="F23" s="21">
        <f t="shared" si="1"/>
        <v>7.2052406558508345E-3</v>
      </c>
      <c r="H23" s="35">
        <v>12</v>
      </c>
      <c r="I23" s="522" t="n">
        <v>1950.0</v>
      </c>
      <c r="J23" s="522" t="n">
        <v>182.0</v>
      </c>
      <c r="K23" s="522" t="n">
        <v>165.0</v>
      </c>
      <c r="L23" s="520">
        <f t="shared" si="2"/>
        <v>2378</v>
      </c>
      <c r="M23" s="21">
        <f t="shared" si="3"/>
        <v>1.0560909535017987E-2</v>
      </c>
    </row>
    <row r="24" spans="1:13" x14ac:dyDescent="0.25">
      <c r="A24">
        <v>13</v>
      </c>
      <c r="B24" s="520" t="n">
        <v>1459.395501922</v>
      </c>
      <c r="C24" s="520" t="n">
        <v>0.0</v>
      </c>
      <c r="D24" s="520" t="n">
        <v>0.0</v>
      </c>
      <c r="E24" s="520">
        <f t="shared" si="0"/>
        <v>1459.395501922</v>
      </c>
      <c r="F24" s="21">
        <f t="shared" si="1"/>
        <v>7.9296370434108251E-3</v>
      </c>
      <c r="H24" s="36">
        <v>13</v>
      </c>
      <c r="I24" s="522" t="n">
        <v>1990.0</v>
      </c>
      <c r="J24" s="522" t="n">
        <v>232.0</v>
      </c>
      <c r="K24" s="522" t="n">
        <v>167.0</v>
      </c>
      <c r="L24" s="520">
        <f t="shared" si="2"/>
        <v>2649</v>
      </c>
      <c r="M24" s="21">
        <f t="shared" si="3"/>
        <v>1.1764444641826176E-2</v>
      </c>
    </row>
    <row r="25" spans="1:13" x14ac:dyDescent="0.25">
      <c r="A25">
        <v>14</v>
      </c>
      <c r="B25" s="520" t="n">
        <v>424.8588006925</v>
      </c>
      <c r="C25" s="520" t="n">
        <v>209.43270979140001</v>
      </c>
      <c r="D25" s="520" t="n">
        <v>0.0</v>
      </c>
      <c r="E25" s="520">
        <f t="shared" si="0"/>
        <v>634.29151048389997</v>
      </c>
      <c r="F25" s="21">
        <f t="shared" si="1"/>
        <v>3.4464279568013636E-3</v>
      </c>
      <c r="H25" s="37">
        <v>14</v>
      </c>
      <c r="I25" s="522" t="n">
        <v>1631.0</v>
      </c>
      <c r="J25" s="522" t="n">
        <v>155.0</v>
      </c>
      <c r="K25" s="522" t="n">
        <v>129.0</v>
      </c>
      <c r="L25" s="520">
        <f t="shared" si="2"/>
        <v>1773</v>
      </c>
      <c r="M25" s="21">
        <f t="shared" si="3"/>
        <v>7.8740507172358667E-3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t="shared" si="0"/>
        <v>0</v>
      </c>
      <c r="F26" s="21">
        <f t="shared" si="1"/>
        <v>0</v>
      </c>
      <c r="H26" s="38">
        <v>15</v>
      </c>
      <c r="I26" s="522" t="n">
        <v>1311.0</v>
      </c>
      <c r="J26" s="522" t="n">
        <v>114.0</v>
      </c>
      <c r="K26" s="522" t="n">
        <v>99.0</v>
      </c>
      <c r="L26" s="520">
        <f t="shared" si="2"/>
        <v>2143</v>
      </c>
      <c r="M26" s="21">
        <f t="shared" si="3"/>
        <v>9.5172536305902205E-3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t="shared" si="0"/>
        <v>383.20655539199998</v>
      </c>
      <c r="F27" s="21">
        <f t="shared" si="1"/>
        <v>2.0821558603629801E-3</v>
      </c>
      <c r="H27" s="39">
        <v>16</v>
      </c>
      <c r="I27" s="522" t="n">
        <v>1729.0</v>
      </c>
      <c r="J27" s="522" t="n">
        <v>175.0</v>
      </c>
      <c r="K27" s="522" t="n">
        <v>148.0</v>
      </c>
      <c r="L27" s="520">
        <f t="shared" si="2"/>
        <v>1784</v>
      </c>
      <c r="M27" s="21">
        <f t="shared" si="3"/>
        <v>7.9229026957409951E-3</v>
      </c>
    </row>
    <row r="28" spans="1:13" x14ac:dyDescent="0.2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t="shared" si="0"/>
        <v>241.88545563549999</v>
      </c>
      <c r="F28" s="21">
        <f t="shared" si="1"/>
        <v>1.314286543122483E-3</v>
      </c>
      <c r="H28" s="40">
        <v>17</v>
      </c>
      <c r="I28" s="522" t="n">
        <v>1065.0</v>
      </c>
      <c r="J28" s="522" t="n">
        <v>115.0</v>
      </c>
      <c r="K28" s="522" t="n">
        <v>71.0</v>
      </c>
      <c r="L28" s="520">
        <f t="shared" si="2"/>
        <v>1255</v>
      </c>
      <c r="M28" s="21">
        <f t="shared" si="3"/>
        <v>5.57356663853977E-3</v>
      </c>
    </row>
    <row r="29" spans="1:13" x14ac:dyDescent="0.2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t="shared" si="0"/>
        <v>264.43274332840002</v>
      </c>
      <c r="F29" s="21">
        <f t="shared" si="1"/>
        <v>1.4367974097673336E-3</v>
      </c>
      <c r="H29" s="41">
        <v>18</v>
      </c>
      <c r="I29" s="522" t="n">
        <v>1153.0</v>
      </c>
      <c r="J29" s="522" t="n">
        <v>92.0</v>
      </c>
      <c r="K29" s="522" t="n">
        <v>83.0</v>
      </c>
      <c r="L29" s="520">
        <f t="shared" si="2"/>
        <v>1427</v>
      </c>
      <c r="M29" s="21">
        <f t="shared" si="3"/>
        <v>6.3374339388017941E-3</v>
      </c>
    </row>
    <row r="30" spans="1:13" x14ac:dyDescent="0.25">
      <c r="A30">
        <v>19</v>
      </c>
      <c r="B30" s="520" t="n">
        <v>1149.5167104721</v>
      </c>
      <c r="C30" s="520" t="n">
        <v>0.0</v>
      </c>
      <c r="D30" s="520" t="n">
        <v>0.0</v>
      </c>
      <c r="E30" s="520">
        <f t="shared" si="0"/>
        <v>1149.5167104720999</v>
      </c>
      <c r="F30" s="21">
        <f t="shared" si="1"/>
        <v>6.2459081704546058E-3</v>
      </c>
      <c r="H30" s="42">
        <v>19</v>
      </c>
      <c r="I30" s="522" t="n">
        <v>904.0</v>
      </c>
      <c r="J30" s="522" t="n">
        <v>90.0</v>
      </c>
      <c r="K30" s="522" t="n">
        <v>60.0</v>
      </c>
      <c r="L30" s="520">
        <f t="shared" si="2"/>
        <v>1047</v>
      </c>
      <c r="M30" s="21">
        <f t="shared" si="3"/>
        <v>4.6498201358973219E-3</v>
      </c>
    </row>
    <row r="31" spans="1:13" x14ac:dyDescent="0.2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t="shared" si="0"/>
        <v>137.28633134540001</v>
      </c>
      <c r="F31" s="21">
        <f t="shared" si="1"/>
        <v>7.4594637105345862E-4</v>
      </c>
      <c r="H31" s="43">
        <v>20</v>
      </c>
      <c r="I31" s="522" t="n">
        <v>898.0</v>
      </c>
      <c r="J31" s="522" t="n">
        <v>72.0</v>
      </c>
      <c r="K31" s="522" t="n">
        <v>45.0</v>
      </c>
      <c r="L31" s="520">
        <f t="shared" si="2"/>
        <v>893</v>
      </c>
      <c r="M31" s="21">
        <f t="shared" si="3"/>
        <v>3.9658924368255093E-3</v>
      </c>
    </row>
    <row r="32" spans="1:13" x14ac:dyDescent="0.2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t="shared" si="0"/>
        <v>327.03985617900003</v>
      </c>
      <c r="F32" s="21">
        <f t="shared" si="1"/>
        <v>1.7769736543749818E-3</v>
      </c>
      <c r="H32" s="44">
        <v>21</v>
      </c>
      <c r="I32" s="522" t="n">
        <v>695.0</v>
      </c>
      <c r="J32" s="522" t="n">
        <v>58.0</v>
      </c>
      <c r="K32" s="522" t="n">
        <v>52.0</v>
      </c>
      <c r="L32" s="520">
        <f t="shared" si="2"/>
        <v>898</v>
      </c>
      <c r="M32" s="21">
        <f t="shared" si="3"/>
        <v>3.9880978816005681E-3</v>
      </c>
    </row>
    <row r="33" spans="1:13" x14ac:dyDescent="0.2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t="shared" si="0"/>
        <v>1093.5717753500001</v>
      </c>
      <c r="F33" s="21">
        <f t="shared" si="1"/>
        <v>5.9419309214147299E-3</v>
      </c>
      <c r="H33" s="45">
        <v>22</v>
      </c>
      <c r="I33" s="522" t="n">
        <v>564.0</v>
      </c>
      <c r="J33" s="522" t="n">
        <v>44.0</v>
      </c>
      <c r="K33" s="522" t="n">
        <v>33.0</v>
      </c>
      <c r="L33" s="520">
        <f t="shared" si="2"/>
        <v>778</v>
      </c>
      <c r="M33" s="21">
        <f t="shared" si="3"/>
        <v>3.4551672069991564E-3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t="shared" si="0"/>
        <v>0</v>
      </c>
      <c r="F34" s="21">
        <f t="shared" si="1"/>
        <v>0</v>
      </c>
      <c r="H34" s="46">
        <v>23</v>
      </c>
      <c r="I34" s="522" t="n">
        <v>628.0</v>
      </c>
      <c r="J34" s="522" t="n">
        <v>58.0</v>
      </c>
      <c r="K34" s="522" t="n">
        <v>47.0</v>
      </c>
      <c r="L34" s="520">
        <f t="shared" si="2"/>
        <v>691</v>
      </c>
      <c r="M34" s="21">
        <f t="shared" si="3"/>
        <v>3.0687924679131322E-3</v>
      </c>
    </row>
    <row r="35" spans="1:13" x14ac:dyDescent="0.2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t="shared" si="0"/>
        <v>66.504124486899997</v>
      </c>
      <c r="F35" s="21">
        <f t="shared" si="1"/>
        <v>3.6135068826538872E-4</v>
      </c>
      <c r="H35" s="47">
        <v>24</v>
      </c>
      <c r="I35" s="522" t="n">
        <v>513.0</v>
      </c>
      <c r="J35" s="522" t="n">
        <v>44.0</v>
      </c>
      <c r="K35" s="522" t="n">
        <v>41.0</v>
      </c>
      <c r="L35" s="520">
        <f t="shared" si="2"/>
        <v>683</v>
      </c>
      <c r="M35" s="21">
        <f t="shared" si="3"/>
        <v>3.0332637562730381E-3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t="shared" si="0"/>
        <v>0</v>
      </c>
      <c r="F36" s="21">
        <f t="shared" si="1"/>
        <v>0</v>
      </c>
      <c r="H36" s="48">
        <v>25</v>
      </c>
      <c r="I36" s="522" t="n">
        <v>359.0</v>
      </c>
      <c r="J36" s="522" t="n">
        <v>35.0</v>
      </c>
      <c r="K36" s="522" t="n">
        <v>25.0</v>
      </c>
      <c r="L36" s="520">
        <f t="shared" si="2"/>
        <v>551</v>
      </c>
      <c r="M36" s="21">
        <f t="shared" si="3"/>
        <v>2.4470400142114846E-3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t="shared" si="0"/>
        <v>0</v>
      </c>
      <c r="F37" s="21">
        <f t="shared" si="1"/>
        <v>0</v>
      </c>
      <c r="H37" s="49">
        <v>26</v>
      </c>
      <c r="I37" s="522" t="n">
        <v>422.0</v>
      </c>
      <c r="J37" s="522" t="n">
        <v>43.0</v>
      </c>
      <c r="K37" s="522" t="n">
        <v>27.0</v>
      </c>
      <c r="L37" s="520">
        <f t="shared" si="2"/>
        <v>533</v>
      </c>
      <c r="M37" s="21">
        <f t="shared" si="3"/>
        <v>2.367100413021273E-3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t="shared" si="0"/>
        <v>0</v>
      </c>
      <c r="F38" s="21">
        <f t="shared" si="1"/>
        <v>0</v>
      </c>
      <c r="H38" s="50">
        <v>27</v>
      </c>
      <c r="I38" s="522" t="n">
        <v>314.0</v>
      </c>
      <c r="J38" s="522" t="n">
        <v>41.0</v>
      </c>
      <c r="K38" s="522" t="n">
        <v>24.0</v>
      </c>
      <c r="L38" s="520">
        <f t="shared" si="2"/>
        <v>331</v>
      </c>
      <c r="M38" s="21">
        <f t="shared" si="3"/>
        <v>1.4700004441088954E-3</v>
      </c>
    </row>
    <row r="39" spans="1:13" x14ac:dyDescent="0.2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t="shared" si="0"/>
        <v>83.397824889500001</v>
      </c>
      <c r="F39" s="21">
        <f t="shared" si="1"/>
        <v>4.5314274349395224E-4</v>
      </c>
      <c r="H39" s="51">
        <v>28</v>
      </c>
      <c r="I39" s="522" t="n">
        <v>251.0</v>
      </c>
      <c r="J39" s="522" t="n">
        <v>31.0</v>
      </c>
      <c r="K39" s="522" t="n">
        <v>19.0</v>
      </c>
      <c r="L39" s="520">
        <f t="shared" si="2"/>
        <v>375</v>
      </c>
      <c r="M39" s="21">
        <f t="shared" si="3"/>
        <v>1.6654083581294132E-3</v>
      </c>
    </row>
    <row r="40" spans="1:13" x14ac:dyDescent="0.2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t="shared" si="0"/>
        <v>181.889208126</v>
      </c>
      <c r="F40" s="21">
        <f t="shared" si="1"/>
        <v>9.8829645606902656E-4</v>
      </c>
      <c r="H40" s="52">
        <v>29</v>
      </c>
      <c r="I40" s="522" t="n">
        <v>273.0</v>
      </c>
      <c r="J40" s="522" t="n">
        <v>18.0</v>
      </c>
      <c r="K40" s="522" t="n">
        <v>10.0</v>
      </c>
      <c r="L40" s="520">
        <f t="shared" si="2"/>
        <v>345</v>
      </c>
      <c r="M40" s="21">
        <f t="shared" si="3"/>
        <v>1.5321756894790602E-3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t="shared" si="0"/>
        <v>0</v>
      </c>
      <c r="F41" s="21">
        <f t="shared" si="1"/>
        <v>0</v>
      </c>
      <c r="H41" s="53">
        <v>30</v>
      </c>
      <c r="I41" s="522" t="n">
        <v>217.0</v>
      </c>
      <c r="J41" s="522" t="n">
        <v>14.0</v>
      </c>
      <c r="K41" s="522" t="n">
        <v>29.0</v>
      </c>
      <c r="L41" s="520">
        <f t="shared" si="2"/>
        <v>314</v>
      </c>
      <c r="M41" s="21">
        <f t="shared" si="3"/>
        <v>1.3945019318736954E-3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t="shared" si="0"/>
        <v>0</v>
      </c>
      <c r="F42" s="21">
        <f t="shared" si="1"/>
        <v>0</v>
      </c>
      <c r="H42" s="54">
        <v>31</v>
      </c>
      <c r="I42" s="522" t="n">
        <v>254.0</v>
      </c>
      <c r="J42" s="522" t="n">
        <v>28.0</v>
      </c>
      <c r="K42" s="522" t="n">
        <v>11.0</v>
      </c>
      <c r="L42" s="520">
        <f t="shared" si="2"/>
        <v>262</v>
      </c>
      <c r="M42" s="21">
        <f t="shared" si="3"/>
        <v>1.1635653062130834E-3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t="shared" si="0"/>
        <v>0</v>
      </c>
      <c r="F43" s="21">
        <f t="shared" si="1"/>
        <v>0</v>
      </c>
      <c r="H43" s="55">
        <v>32</v>
      </c>
      <c r="I43" s="522" t="n">
        <v>205.0</v>
      </c>
      <c r="J43" s="522" t="n">
        <v>16.0</v>
      </c>
      <c r="K43" s="522" t="n">
        <v>11.0</v>
      </c>
      <c r="L43" s="520">
        <f t="shared" si="2"/>
        <v>201</v>
      </c>
      <c r="M43" s="21">
        <f t="shared" si="3"/>
        <v>8.926588799573655E-4</v>
      </c>
    </row>
    <row r="44" spans="1:13" x14ac:dyDescent="0.2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t="shared" si="0"/>
        <v>275.30993356699997</v>
      </c>
      <c r="F44" s="21">
        <f t="shared" si="1"/>
        <v>1.4958987092647189E-3</v>
      </c>
      <c r="H44" s="56">
        <v>33</v>
      </c>
      <c r="I44" s="522" t="n">
        <v>148.0</v>
      </c>
      <c r="J44" s="522" t="n">
        <v>11.0</v>
      </c>
      <c r="K44" s="522" t="n">
        <v>9.0</v>
      </c>
      <c r="L44" s="520">
        <f t="shared" si="2"/>
        <v>201</v>
      </c>
      <c r="M44" s="21">
        <f t="shared" si="3"/>
        <v>8.926588799573655E-4</v>
      </c>
    </row>
    <row r="45" spans="1:13" x14ac:dyDescent="0.2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t="shared" si="0"/>
        <v>944.88064624599997</v>
      </c>
      <c r="F45" s="21">
        <f t="shared" si="1"/>
        <v>5.1340164912161649E-3</v>
      </c>
      <c r="H45" s="57">
        <v>34</v>
      </c>
      <c r="I45" s="522" t="n">
        <v>145.0</v>
      </c>
      <c r="J45" s="522" t="n">
        <v>12.0</v>
      </c>
      <c r="K45" s="522" t="n">
        <v>5.0</v>
      </c>
      <c r="L45" s="520">
        <f t="shared" si="2"/>
        <v>204</v>
      </c>
      <c r="M45" s="21">
        <f t="shared" si="3"/>
        <v>9.0598214682240086E-4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t="shared" si="0"/>
        <v>0</v>
      </c>
      <c r="F46" s="21">
        <f t="shared" si="1"/>
        <v>0</v>
      </c>
      <c r="H46" s="58">
        <v>35</v>
      </c>
      <c r="I46" s="522" t="n">
        <v>111.0</v>
      </c>
      <c r="J46" s="522" t="n">
        <v>11.0</v>
      </c>
      <c r="K46" s="522" t="n">
        <v>9.0</v>
      </c>
      <c r="L46" s="520">
        <f t="shared" si="2"/>
        <v>189</v>
      </c>
      <c r="M46" s="21">
        <f t="shared" si="3"/>
        <v>8.3936581249722435E-4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t="shared" si="0"/>
        <v>0</v>
      </c>
      <c r="F47" s="21">
        <f t="shared" si="1"/>
        <v>0</v>
      </c>
      <c r="H47" s="59">
        <v>36</v>
      </c>
      <c r="I47" s="522" t="n">
        <v>159.0</v>
      </c>
      <c r="J47" s="522" t="n">
        <v>10.0</v>
      </c>
      <c r="K47" s="522" t="n">
        <v>8.0</v>
      </c>
      <c r="L47" s="520">
        <f t="shared" si="2"/>
        <v>218</v>
      </c>
      <c r="M47" s="21">
        <f t="shared" si="3"/>
        <v>9.6815739219256562E-4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t="shared" si="0"/>
        <v>0</v>
      </c>
      <c r="F48" s="21">
        <f t="shared" si="1"/>
        <v>0</v>
      </c>
      <c r="H48" s="60">
        <v>37</v>
      </c>
      <c r="I48" s="522" t="n">
        <v>111.0</v>
      </c>
      <c r="J48" s="522" t="n">
        <v>3.0</v>
      </c>
      <c r="K48" s="522" t="n">
        <v>6.0</v>
      </c>
      <c r="L48" s="520">
        <f t="shared" si="2"/>
        <v>119</v>
      </c>
      <c r="M48" s="21">
        <f t="shared" si="3"/>
        <v>5.2848958564640045E-4</v>
      </c>
    </row>
    <row r="49" spans="1:13" x14ac:dyDescent="0.2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t="shared" si="0"/>
        <v>520.53895734900004</v>
      </c>
      <c r="F49" s="21">
        <f t="shared" si="1"/>
        <v>2.8283525564502458E-3</v>
      </c>
      <c r="H49" s="61">
        <v>38</v>
      </c>
      <c r="I49" s="522" t="n">
        <v>150.0</v>
      </c>
      <c r="J49" s="522" t="n">
        <v>14.0</v>
      </c>
      <c r="K49" s="522" t="n">
        <v>9.0</v>
      </c>
      <c r="L49" s="520">
        <f t="shared" si="2"/>
        <v>189</v>
      </c>
      <c r="M49" s="21">
        <f t="shared" si="3"/>
        <v>8.3936581249722435E-4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t="shared" si="0"/>
        <v>0</v>
      </c>
      <c r="F50" s="21">
        <f t="shared" si="1"/>
        <v>0</v>
      </c>
      <c r="H50" s="62">
        <v>39</v>
      </c>
      <c r="I50" s="522" t="n">
        <v>135.0</v>
      </c>
      <c r="J50" s="522" t="n">
        <v>9.0</v>
      </c>
      <c r="K50" s="522" t="n">
        <v>11.0</v>
      </c>
      <c r="L50" s="520">
        <f t="shared" si="2"/>
        <v>127</v>
      </c>
      <c r="M50" s="21">
        <f t="shared" si="3"/>
        <v>5.6401829728649469E-4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t="shared" si="0"/>
        <v>0</v>
      </c>
      <c r="F51" s="21">
        <f t="shared" si="1"/>
        <v>0</v>
      </c>
      <c r="H51" s="63">
        <v>40</v>
      </c>
      <c r="I51" s="522" t="n">
        <v>94.0</v>
      </c>
      <c r="J51" s="522" t="n">
        <v>6.0</v>
      </c>
      <c r="K51" s="522" t="n">
        <v>7.0</v>
      </c>
      <c r="L51" s="520">
        <f t="shared" si="2"/>
        <v>121</v>
      </c>
      <c r="M51" s="21">
        <f t="shared" si="3"/>
        <v>5.3737176355642406E-4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t="shared" si="0"/>
        <v>0</v>
      </c>
      <c r="F52" s="21">
        <f t="shared" si="1"/>
        <v>0</v>
      </c>
      <c r="H52" s="64">
        <v>41</v>
      </c>
      <c r="I52" s="522" t="n">
        <v>91.0</v>
      </c>
      <c r="J52" s="522" t="n">
        <v>3.0</v>
      </c>
      <c r="K52" s="522" t="n">
        <v>3.0</v>
      </c>
      <c r="L52" s="520">
        <f t="shared" si="2"/>
        <v>75</v>
      </c>
      <c r="M52" s="21">
        <f t="shared" si="3"/>
        <v>3.3308167162588267E-4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t="shared" si="0"/>
        <v>0</v>
      </c>
      <c r="F53" s="21">
        <f t="shared" si="1"/>
        <v>0</v>
      </c>
      <c r="H53" s="65">
        <v>42</v>
      </c>
      <c r="I53" s="522" t="n">
        <v>79.0</v>
      </c>
      <c r="J53" s="522" t="n">
        <v>3.0</v>
      </c>
      <c r="K53" s="522" t="n">
        <v>5.0</v>
      </c>
      <c r="L53" s="520">
        <f t="shared" si="2"/>
        <v>72</v>
      </c>
      <c r="M53" s="21">
        <f t="shared" si="3"/>
        <v>3.1975840476084735E-4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t="shared" si="0"/>
        <v>0</v>
      </c>
      <c r="F54" s="21">
        <f t="shared" si="1"/>
        <v>0</v>
      </c>
      <c r="H54" s="66">
        <v>43</v>
      </c>
      <c r="I54" s="522" t="n">
        <v>56.0</v>
      </c>
      <c r="J54" s="522" t="n">
        <v>5.0</v>
      </c>
      <c r="K54" s="522" t="n">
        <v>7.0</v>
      </c>
      <c r="L54" s="520">
        <f t="shared" si="2"/>
        <v>53</v>
      </c>
      <c r="M54" s="21">
        <f t="shared" si="3"/>
        <v>2.3537771461562375E-4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t="shared" si="0"/>
        <v>0</v>
      </c>
      <c r="F55" s="21">
        <f t="shared" si="1"/>
        <v>0</v>
      </c>
      <c r="H55" s="67">
        <v>44</v>
      </c>
      <c r="I55" s="522" t="n">
        <v>53.0</v>
      </c>
      <c r="J55" s="522" t="n">
        <v>4.0</v>
      </c>
      <c r="K55" s="522" t="n">
        <v>3.0</v>
      </c>
      <c r="L55" s="520">
        <f t="shared" si="2"/>
        <v>68</v>
      </c>
      <c r="M55" s="21">
        <f t="shared" si="3"/>
        <v>3.0199404894080029E-4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t="shared" si="0"/>
        <v>0</v>
      </c>
      <c r="F56" s="21">
        <f t="shared" si="1"/>
        <v>0</v>
      </c>
      <c r="H56" s="68">
        <v>45</v>
      </c>
      <c r="I56" s="522" t="n">
        <v>47.0</v>
      </c>
      <c r="J56" s="522" t="n">
        <v>3.0</v>
      </c>
      <c r="K56" s="522" t="n">
        <v>4.0</v>
      </c>
      <c r="L56" s="520">
        <f t="shared" si="2"/>
        <v>70</v>
      </c>
      <c r="M56" s="21">
        <f t="shared" si="3"/>
        <v>3.1087622685082385E-4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t="shared" si="0"/>
        <v>0</v>
      </c>
      <c r="F57" s="21">
        <f t="shared" si="1"/>
        <v>0</v>
      </c>
      <c r="H57" s="69">
        <v>46</v>
      </c>
      <c r="I57" s="522" t="n">
        <v>61.0</v>
      </c>
      <c r="J57" s="522" t="n">
        <v>3.0</v>
      </c>
      <c r="K57" s="522" t="n">
        <v>1.0</v>
      </c>
      <c r="L57" s="520">
        <f t="shared" si="2"/>
        <v>56</v>
      </c>
      <c r="M57" s="21">
        <f t="shared" si="3"/>
        <v>2.4870098148065903E-4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t="shared" si="0"/>
        <v>0</v>
      </c>
      <c r="F58" s="21">
        <f t="shared" si="1"/>
        <v>0</v>
      </c>
      <c r="H58" s="70">
        <v>47</v>
      </c>
      <c r="I58" s="522" t="n">
        <v>35.0</v>
      </c>
      <c r="J58" s="522" t="n">
        <v>2.0</v>
      </c>
      <c r="K58" s="522" t="n">
        <v>4.0</v>
      </c>
      <c r="L58" s="520">
        <f t="shared" si="2"/>
        <v>46</v>
      </c>
      <c r="M58" s="21">
        <f t="shared" si="3"/>
        <v>2.0429009193054137E-4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t="shared" si="0"/>
        <v>0</v>
      </c>
      <c r="F59" s="21">
        <f t="shared" si="1"/>
        <v>0</v>
      </c>
      <c r="H59" s="71">
        <v>48</v>
      </c>
      <c r="I59" s="522" t="n">
        <v>24.0</v>
      </c>
      <c r="J59" s="522" t="n">
        <v>3.0</v>
      </c>
      <c r="K59" s="522" t="n">
        <v>2.0</v>
      </c>
      <c r="L59" s="520">
        <f t="shared" si="2"/>
        <v>29</v>
      </c>
      <c r="M59" s="21">
        <f t="shared" si="3"/>
        <v>1.287915796953413E-4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t="shared" si="0"/>
        <v>0</v>
      </c>
      <c r="F60" s="21">
        <f t="shared" si="1"/>
        <v>0</v>
      </c>
      <c r="H60" s="72">
        <v>49</v>
      </c>
      <c r="I60" s="522" t="n">
        <v>29.0</v>
      </c>
      <c r="J60" s="522" t="n">
        <v>1.0</v>
      </c>
      <c r="K60" s="522" t="n">
        <v>1.0</v>
      </c>
      <c r="L60" s="520">
        <f t="shared" si="2"/>
        <v>32</v>
      </c>
      <c r="M60" s="21">
        <f t="shared" si="3"/>
        <v>1.4211484656037661E-4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t="shared" si="0"/>
        <v>0</v>
      </c>
      <c r="F61" s="21">
        <f t="shared" si="1"/>
        <v>0</v>
      </c>
      <c r="H61" s="73">
        <v>50</v>
      </c>
      <c r="I61" s="522" t="n">
        <v>19.0</v>
      </c>
      <c r="J61" s="522" t="n">
        <v>1.0</v>
      </c>
      <c r="K61" s="522" t="n">
        <v>2.0</v>
      </c>
      <c r="L61" s="520">
        <f t="shared" si="2"/>
        <v>20</v>
      </c>
      <c r="M61" s="21">
        <f t="shared" si="3"/>
        <v>8.8821779100235372E-5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t="shared" si="0"/>
        <v>0</v>
      </c>
      <c r="F62" s="21">
        <f t="shared" si="1"/>
        <v>0</v>
      </c>
      <c r="H62" s="74">
        <v>51</v>
      </c>
      <c r="I62" s="522" t="n">
        <v>24.0</v>
      </c>
      <c r="J62" s="522" t="n">
        <v>2.0</v>
      </c>
      <c r="K62" s="522" t="n">
        <v>1.0</v>
      </c>
      <c r="L62" s="520">
        <f t="shared" si="2"/>
        <v>30</v>
      </c>
      <c r="M62" s="21">
        <f t="shared" si="3"/>
        <v>1.3323266865035308E-4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t="shared" si="0"/>
        <v>0</v>
      </c>
      <c r="F63" s="21">
        <f t="shared" si="1"/>
        <v>0</v>
      </c>
      <c r="H63" s="75">
        <v>52</v>
      </c>
      <c r="I63" s="522" t="n">
        <v>18.0</v>
      </c>
      <c r="J63" s="522" t="n">
        <v>1.0</v>
      </c>
      <c r="K63" s="522" t="n">
        <v>1.0</v>
      </c>
      <c r="L63" s="520">
        <f t="shared" si="2"/>
        <v>16</v>
      </c>
      <c r="M63" s="21">
        <f t="shared" si="3"/>
        <v>7.1057423280188305E-5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t="shared" si="0"/>
        <v>0</v>
      </c>
      <c r="F64" s="21">
        <f t="shared" si="1"/>
        <v>0</v>
      </c>
      <c r="H64" s="76">
        <v>53</v>
      </c>
      <c r="I64" s="522" t="n">
        <v>22.0</v>
      </c>
      <c r="J64" s="522" t="n">
        <v>1.0</v>
      </c>
      <c r="K64" s="522" t="n">
        <v>1.0</v>
      </c>
      <c r="L64" s="520">
        <f t="shared" si="2"/>
        <v>22</v>
      </c>
      <c r="M64" s="21">
        <f t="shared" si="3"/>
        <v>9.7703957010258918E-5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t="shared" si="0"/>
        <v>0</v>
      </c>
      <c r="F65" s="21">
        <f t="shared" si="1"/>
        <v>0</v>
      </c>
      <c r="H65" s="77">
        <v>54</v>
      </c>
      <c r="I65" s="522" t="n">
        <v>20.0</v>
      </c>
      <c r="J65" s="522" t="n">
        <v>1.0</v>
      </c>
      <c r="K65" s="522" t="n">
        <v>0.0</v>
      </c>
      <c r="L65" s="520">
        <f t="shared" si="2"/>
        <v>17</v>
      </c>
      <c r="M65" s="21">
        <f t="shared" si="3"/>
        <v>7.5498512235200072E-5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t="shared" si="0"/>
        <v>0</v>
      </c>
      <c r="F66" s="21">
        <f t="shared" si="1"/>
        <v>0</v>
      </c>
      <c r="H66" s="78">
        <v>55</v>
      </c>
      <c r="I66" s="522" t="n">
        <v>8.0</v>
      </c>
      <c r="J66" s="522" t="n">
        <v>1.0</v>
      </c>
      <c r="K66" s="522" t="n">
        <v>0.0</v>
      </c>
      <c r="L66" s="520">
        <f t="shared" si="2"/>
        <v>13</v>
      </c>
      <c r="M66" s="21">
        <f t="shared" si="3"/>
        <v>5.7734156415152992E-5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t="shared" si="0"/>
        <v>0</v>
      </c>
      <c r="F67" s="21">
        <f t="shared" si="1"/>
        <v>0</v>
      </c>
      <c r="H67" s="79">
        <v>56</v>
      </c>
      <c r="I67" s="522" t="n">
        <v>9.0</v>
      </c>
      <c r="J67" s="522" t="n">
        <v>0.0</v>
      </c>
      <c r="K67" s="522" t="n">
        <v>1.0</v>
      </c>
      <c r="L67" s="520">
        <f t="shared" si="2"/>
        <v>12</v>
      </c>
      <c r="M67" s="21">
        <f t="shared" si="3"/>
        <v>5.3293067460141226E-5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t="shared" si="0"/>
        <v>0</v>
      </c>
      <c r="F68" s="21">
        <f t="shared" si="1"/>
        <v>0</v>
      </c>
      <c r="H68" s="80">
        <v>57</v>
      </c>
      <c r="I68" s="522" t="n">
        <v>8.0</v>
      </c>
      <c r="J68" s="522" t="n">
        <v>0.0</v>
      </c>
      <c r="K68" s="522" t="n">
        <v>0.0</v>
      </c>
      <c r="L68" s="520">
        <f t="shared" si="2"/>
        <v>3</v>
      </c>
      <c r="M68" s="21">
        <f t="shared" si="3"/>
        <v>1.3323266865035306E-5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t="shared" si="0"/>
        <v>0</v>
      </c>
      <c r="F69" s="21">
        <f t="shared" si="1"/>
        <v>0</v>
      </c>
      <c r="H69" s="81">
        <v>58</v>
      </c>
      <c r="I69" s="522" t="n">
        <v>14.0</v>
      </c>
      <c r="J69" s="522" t="n">
        <v>1.0</v>
      </c>
      <c r="K69" s="522" t="n">
        <v>2.0</v>
      </c>
      <c r="L69" s="520">
        <f t="shared" si="2"/>
        <v>7</v>
      </c>
      <c r="M69" s="21">
        <f t="shared" si="3"/>
        <v>3.1087622685082379E-5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t="shared" si="0"/>
        <v>0</v>
      </c>
      <c r="F70" s="21">
        <f t="shared" si="1"/>
        <v>0</v>
      </c>
      <c r="H70" s="82">
        <v>59</v>
      </c>
      <c r="I70" s="522" t="n">
        <v>12.0</v>
      </c>
      <c r="J70" s="522" t="n">
        <v>2.0</v>
      </c>
      <c r="K70" s="522" t="n">
        <v>0.0</v>
      </c>
      <c r="L70" s="520">
        <f t="shared" si="2"/>
        <v>13</v>
      </c>
      <c r="M70" s="21">
        <f t="shared" si="3"/>
        <v>5.7734156415152992E-5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t="shared" si="0"/>
        <v>0</v>
      </c>
      <c r="F71" s="21">
        <f t="shared" si="1"/>
        <v>0</v>
      </c>
      <c r="H71" s="83">
        <v>60</v>
      </c>
      <c r="I71" s="522" t="n">
        <v>10.0</v>
      </c>
      <c r="J71" s="522" t="n">
        <v>0.0</v>
      </c>
      <c r="K71" s="522" t="n">
        <v>0.0</v>
      </c>
      <c r="L71" s="520">
        <f t="shared" si="2"/>
        <v>13</v>
      </c>
      <c r="M71" s="21">
        <f t="shared" si="3"/>
        <v>5.7734156415152992E-5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t="shared" si="0"/>
        <v>0</v>
      </c>
      <c r="F72" s="21">
        <f t="shared" si="1"/>
        <v>0</v>
      </c>
      <c r="H72" s="84">
        <v>61</v>
      </c>
      <c r="I72" s="522" t="n">
        <v>2.0</v>
      </c>
      <c r="J72" s="522" t="n">
        <v>0.0</v>
      </c>
      <c r="K72" s="522" t="n">
        <v>0.0</v>
      </c>
      <c r="L72" s="520">
        <f t="shared" si="2"/>
        <v>5</v>
      </c>
      <c r="M72" s="21">
        <f t="shared" si="3"/>
        <v>2.2205444775058843E-5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t="shared" si="0"/>
        <v>0</v>
      </c>
      <c r="F73" s="21">
        <f t="shared" si="1"/>
        <v>0</v>
      </c>
      <c r="H73" s="85">
        <v>62</v>
      </c>
      <c r="I73" s="522" t="n">
        <v>5.0</v>
      </c>
      <c r="J73" s="522" t="n">
        <v>0.0</v>
      </c>
      <c r="K73" s="522" t="n">
        <v>0.0</v>
      </c>
      <c r="L73" s="520">
        <f t="shared" si="2"/>
        <v>10</v>
      </c>
      <c r="M73" s="21">
        <f t="shared" si="3"/>
        <v>4.4410889550117686E-5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t="shared" si="0"/>
        <v>0</v>
      </c>
      <c r="F74" s="21">
        <f t="shared" si="1"/>
        <v>0</v>
      </c>
      <c r="H74" s="86">
        <v>63</v>
      </c>
      <c r="I74" s="522" t="n">
        <v>1.0</v>
      </c>
      <c r="J74" s="522" t="n">
        <v>2.0</v>
      </c>
      <c r="K74" s="522" t="n">
        <v>0.0</v>
      </c>
      <c r="L74" s="520">
        <f t="shared" si="2"/>
        <v>1</v>
      </c>
      <c r="M74" s="21">
        <f t="shared" si="3"/>
        <v>4.4410889550117691E-6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t="shared" si="0"/>
        <v>0</v>
      </c>
      <c r="F75" s="21">
        <f t="shared" si="1"/>
        <v>0</v>
      </c>
      <c r="H75" s="87">
        <v>64</v>
      </c>
      <c r="I75" s="522" t="n">
        <v>4.0</v>
      </c>
      <c r="J75" s="522" t="n">
        <v>0.0</v>
      </c>
      <c r="K75" s="522" t="n">
        <v>0.0</v>
      </c>
      <c r="L75" s="520">
        <f t="shared" si="2"/>
        <v>4</v>
      </c>
      <c r="M75" s="21">
        <f t="shared" si="3"/>
        <v>1.7764355820047076E-5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t="shared" ref="E76:E101" si="4">SUM(B76:D76)</f>
        <v>0</v>
      </c>
      <c r="F76" s="21">
        <f t="shared" ref="F76:F102" si="5">E76/$E$102</f>
        <v>0</v>
      </c>
      <c r="H76" s="88">
        <v>65</v>
      </c>
      <c r="I76" s="522" t="n">
        <v>5.0</v>
      </c>
      <c r="J76" s="522" t="n">
        <v>1.0</v>
      </c>
      <c r="K76" s="522" t="n">
        <v>0.0</v>
      </c>
      <c r="L76" s="520">
        <f t="shared" ref="L76:L101" si="6">SUM(I76:K76)</f>
        <v>2</v>
      </c>
      <c r="M76" s="21">
        <f t="shared" ref="M76:M102" si="7">L76/$L$102</f>
        <v>8.8821779100235382E-6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t="shared" si="4"/>
        <v>0</v>
      </c>
      <c r="F77" s="21">
        <f t="shared" si="5"/>
        <v>0</v>
      </c>
      <c r="H77" s="89">
        <v>66</v>
      </c>
      <c r="I77" s="522" t="n">
        <v>5.0</v>
      </c>
      <c r="J77" s="522" t="n">
        <v>0.0</v>
      </c>
      <c r="K77" s="522" t="n">
        <v>0.0</v>
      </c>
      <c r="L77" s="520">
        <f t="shared" si="6"/>
        <v>1</v>
      </c>
      <c r="M77" s="21">
        <f t="shared" si="7"/>
        <v>4.4410889550117691E-6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t="shared" si="4"/>
        <v>0</v>
      </c>
      <c r="F78" s="21">
        <f t="shared" si="5"/>
        <v>0</v>
      </c>
      <c r="H78" s="90">
        <v>67</v>
      </c>
      <c r="I78" s="522" t="n">
        <v>1.0</v>
      </c>
      <c r="J78" s="522" t="n">
        <v>0.0</v>
      </c>
      <c r="K78" s="522" t="n">
        <v>0.0</v>
      </c>
      <c r="L78" s="520">
        <f t="shared" si="6"/>
        <v>0</v>
      </c>
      <c r="M78" s="21">
        <f t="shared" si="7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t="shared" si="4"/>
        <v>0</v>
      </c>
      <c r="F79" s="21">
        <f t="shared" si="5"/>
        <v>0</v>
      </c>
      <c r="H79" s="91">
        <v>68</v>
      </c>
      <c r="I79" s="522" t="n">
        <v>2.0</v>
      </c>
      <c r="J79" s="522" t="n">
        <v>0.0</v>
      </c>
      <c r="K79" s="522" t="n">
        <v>0.0</v>
      </c>
      <c r="L79" s="520">
        <f t="shared" si="6"/>
        <v>4</v>
      </c>
      <c r="M79" s="21">
        <f t="shared" si="7"/>
        <v>1.7764355820047076E-5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t="shared" si="4"/>
        <v>0</v>
      </c>
      <c r="F80" s="21">
        <f t="shared" si="5"/>
        <v>0</v>
      </c>
      <c r="H80" s="92">
        <v>69</v>
      </c>
      <c r="I80" s="522" t="n">
        <v>1.0</v>
      </c>
      <c r="J80" s="522" t="n">
        <v>0.0</v>
      </c>
      <c r="K80" s="522" t="n">
        <v>0.0</v>
      </c>
      <c r="L80" s="520">
        <f t="shared" si="6"/>
        <v>0</v>
      </c>
      <c r="M80" s="21">
        <f t="shared" si="7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t="shared" si="4"/>
        <v>0</v>
      </c>
      <c r="F81" s="21">
        <f t="shared" si="5"/>
        <v>0</v>
      </c>
      <c r="H81" s="93">
        <v>70</v>
      </c>
      <c r="I81" s="522" t="n">
        <v>4.0</v>
      </c>
      <c r="J81" s="522" t="n">
        <v>0.0</v>
      </c>
      <c r="K81" s="522" t="n">
        <v>0.0</v>
      </c>
      <c r="L81" s="520">
        <f t="shared" si="6"/>
        <v>8</v>
      </c>
      <c r="M81" s="21">
        <f t="shared" si="7"/>
        <v>3.5528711640094153E-5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t="shared" si="4"/>
        <v>0</v>
      </c>
      <c r="F82" s="21">
        <f t="shared" si="5"/>
        <v>0</v>
      </c>
      <c r="H82" s="94">
        <v>71</v>
      </c>
      <c r="I82" s="522" t="n">
        <v>2.0</v>
      </c>
      <c r="J82" s="522" t="n">
        <v>1.0</v>
      </c>
      <c r="K82" s="522" t="n">
        <v>0.0</v>
      </c>
      <c r="L82" s="520">
        <f t="shared" si="6"/>
        <v>1</v>
      </c>
      <c r="M82" s="21">
        <f t="shared" si="7"/>
        <v>4.4410889550117691E-6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t="shared" si="4"/>
        <v>0</v>
      </c>
      <c r="F83" s="21">
        <f t="shared" si="5"/>
        <v>0</v>
      </c>
      <c r="H83" s="95">
        <v>72</v>
      </c>
      <c r="I83" s="522" t="n">
        <v>0.0</v>
      </c>
      <c r="J83" s="522" t="n">
        <v>0.0</v>
      </c>
      <c r="K83" s="522" t="n">
        <v>0.0</v>
      </c>
      <c r="L83" s="520">
        <f t="shared" si="6"/>
        <v>0</v>
      </c>
      <c r="M83" s="21">
        <f t="shared" si="7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t="shared" si="4"/>
        <v>0</v>
      </c>
      <c r="F84" s="21">
        <f t="shared" si="5"/>
        <v>0</v>
      </c>
      <c r="H84" s="96">
        <v>73</v>
      </c>
      <c r="I84" s="522" t="n">
        <v>3.0</v>
      </c>
      <c r="J84" s="522" t="n">
        <v>0.0</v>
      </c>
      <c r="K84" s="522" t="n">
        <v>0.0</v>
      </c>
      <c r="L84" s="520">
        <f t="shared" si="6"/>
        <v>4</v>
      </c>
      <c r="M84" s="21">
        <f t="shared" si="7"/>
        <v>1.7764355820047076E-5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t="shared" si="4"/>
        <v>0</v>
      </c>
      <c r="F85" s="21">
        <f t="shared" si="5"/>
        <v>0</v>
      </c>
      <c r="H85" s="97">
        <v>74</v>
      </c>
      <c r="I85" s="522" t="n">
        <v>3.0</v>
      </c>
      <c r="J85" s="522" t="n">
        <v>0.0</v>
      </c>
      <c r="K85" s="522" t="n">
        <v>0.0</v>
      </c>
      <c r="L85" s="520">
        <f t="shared" si="6"/>
        <v>0</v>
      </c>
      <c r="M85" s="21">
        <f t="shared" si="7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t="shared" si="4"/>
        <v>0</v>
      </c>
      <c r="F86" s="21">
        <f t="shared" si="5"/>
        <v>0</v>
      </c>
      <c r="H86" s="98">
        <v>75</v>
      </c>
      <c r="I86" s="522" t="n">
        <v>5.0</v>
      </c>
      <c r="J86" s="522" t="n">
        <v>0.0</v>
      </c>
      <c r="K86" s="522" t="n">
        <v>0.0</v>
      </c>
      <c r="L86" s="520">
        <f t="shared" si="6"/>
        <v>0</v>
      </c>
      <c r="M86" s="21">
        <f t="shared" si="7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t="shared" si="4"/>
        <v>0</v>
      </c>
      <c r="F87" s="21">
        <f t="shared" si="5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t="shared" si="6"/>
        <v>1</v>
      </c>
      <c r="M87" s="21">
        <f t="shared" si="7"/>
        <v>4.4410889550117691E-6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t="shared" si="4"/>
        <v>0</v>
      </c>
      <c r="F88" s="21">
        <f t="shared" si="5"/>
        <v>0</v>
      </c>
      <c r="H88" s="100">
        <v>77</v>
      </c>
      <c r="I88" s="522" t="n">
        <v>1.0</v>
      </c>
      <c r="J88" s="522" t="n">
        <v>0.0</v>
      </c>
      <c r="K88" s="522" t="n">
        <v>0.0</v>
      </c>
      <c r="L88" s="520">
        <f t="shared" si="6"/>
        <v>1</v>
      </c>
      <c r="M88" s="21">
        <f t="shared" si="7"/>
        <v>4.4410889550117691E-6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t="shared" si="4"/>
        <v>0</v>
      </c>
      <c r="F89" s="21">
        <f t="shared" si="5"/>
        <v>0</v>
      </c>
      <c r="H89" s="101">
        <v>78</v>
      </c>
      <c r="I89" s="522" t="n">
        <v>1.0</v>
      </c>
      <c r="J89" s="522" t="n">
        <v>0.0</v>
      </c>
      <c r="K89" s="522" t="n">
        <v>0.0</v>
      </c>
      <c r="L89" s="520">
        <f t="shared" si="6"/>
        <v>1</v>
      </c>
      <c r="M89" s="21">
        <f t="shared" si="7"/>
        <v>4.4410889550117691E-6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t="shared" si="4"/>
        <v>0</v>
      </c>
      <c r="F90" s="21">
        <f t="shared" si="5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t="shared" si="6"/>
        <v>0</v>
      </c>
      <c r="M90" s="21">
        <f t="shared" si="7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t="shared" si="4"/>
        <v>0</v>
      </c>
      <c r="F91" s="21">
        <f t="shared" si="5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t="shared" si="6"/>
        <v>0</v>
      </c>
      <c r="M91" s="21">
        <f t="shared" si="7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t="shared" si="4"/>
        <v>0</v>
      </c>
      <c r="F92" s="21">
        <f t="shared" si="5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t="shared" si="6"/>
        <v>0</v>
      </c>
      <c r="M92" s="21">
        <f t="shared" si="7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t="shared" si="4"/>
        <v>0</v>
      </c>
      <c r="F93" s="21">
        <f t="shared" si="5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t="shared" si="6"/>
        <v>3</v>
      </c>
      <c r="M93" s="21">
        <f t="shared" si="7"/>
        <v>1.3323266865035306E-5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t="shared" si="4"/>
        <v>0</v>
      </c>
      <c r="F94" s="21">
        <f t="shared" si="5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t="shared" si="6"/>
        <v>0</v>
      </c>
      <c r="M94" s="21">
        <f t="shared" si="7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t="shared" si="4"/>
        <v>0</v>
      </c>
      <c r="F95" s="21">
        <f t="shared" si="5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t="shared" si="6"/>
        <v>0</v>
      </c>
      <c r="M95" s="21">
        <f t="shared" si="7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t="shared" si="4"/>
        <v>0</v>
      </c>
      <c r="F96" s="21">
        <f t="shared" si="5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t="shared" si="6"/>
        <v>0</v>
      </c>
      <c r="M96" s="21">
        <f t="shared" si="7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t="shared" si="4"/>
        <v>0</v>
      </c>
      <c r="F97" s="21">
        <f t="shared" si="5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t="shared" si="6"/>
        <v>0</v>
      </c>
      <c r="M97" s="21">
        <f t="shared" si="7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t="shared" si="4"/>
        <v>0</v>
      </c>
      <c r="F98" s="21">
        <f t="shared" si="5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t="shared" si="6"/>
        <v>0</v>
      </c>
      <c r="M98" s="21">
        <f t="shared" si="7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t="shared" si="4"/>
        <v>0</v>
      </c>
      <c r="F99" s="21">
        <f t="shared" si="5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t="shared" si="6"/>
        <v>2</v>
      </c>
      <c r="M99" s="21">
        <f t="shared" si="7"/>
        <v>8.8821779100235382E-6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t="shared" si="4"/>
        <v>0</v>
      </c>
      <c r="F100" s="21">
        <f t="shared" si="5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t="shared" si="4"/>
        <v>0</v>
      </c>
      <c r="F101" s="21">
        <f t="shared" si="5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t="shared" si="6"/>
        <v>1</v>
      </c>
      <c r="M101" s="21">
        <f t="shared" si="7"/>
        <v>4.4410889550117691E-6</v>
      </c>
    </row>
    <row r="102" spans="1:13" x14ac:dyDescent="0.25">
      <c r="B102" s="520"/>
      <c r="C102" s="520"/>
      <c r="D102" s="520"/>
      <c r="E102" s="520">
        <f>SUM(E11:E101)</f>
        <v>184043.16539742416</v>
      </c>
      <c r="F102" s="21">
        <f t="shared" si="5"/>
        <v>1</v>
      </c>
      <c r="I102" s="520"/>
      <c r="J102" s="520"/>
      <c r="K102" s="520"/>
      <c r="L102" s="520">
        <f>SUM(L11:L101)</f>
        <v>225170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r="9" spans="1:18" ht="15.75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8863.0</v>
      </c>
      <c r="J11" s="293" t="n">
        <v>833.0</v>
      </c>
      <c r="K11" s="383" t="n">
        <v>943.0</v>
      </c>
      <c r="L11">
        <f>SUM(I11:K11)</f>
        <v>9864</v>
      </c>
      <c r="M11" s="21">
        <f>L11/$L$102</f>
        <v>4.3806901452236091E-2</v>
      </c>
      <c r="P11" t="s">
        <v>9</v>
      </c>
      <c r="Q11" s="8" t="n">
        <v>16.404392896874448</v>
      </c>
      <c r="R11" s="8" t="n">
        <v>14.530106017024535</v>
      </c>
    </row>
    <row r="12" spans="1:18" x14ac:dyDescent="0.25">
      <c r="A12">
        <v>1</v>
      </c>
      <c r="B12" s="8" t="n">
        <v>685.397493253</v>
      </c>
      <c r="C12" s="8" t="n">
        <v>0.0</v>
      </c>
      <c r="D12" s="8" t="n">
        <v>0.0</v>
      </c>
      <c r="E12" s="8">
        <f t="shared" ref="E12:E75" si="0">SUM(B12:D12)</f>
        <v>685.39749325299999</v>
      </c>
      <c r="F12" s="21">
        <f t="shared" ref="F12:F75" si="1">E12/$E$102</f>
        <v>3.7241127198228063E-3</v>
      </c>
      <c r="H12" s="114">
        <v>1</v>
      </c>
      <c r="I12" s="204" t="n">
        <v>16327.0</v>
      </c>
      <c r="J12" s="294" t="n">
        <v>1459.0</v>
      </c>
      <c r="K12" s="384" t="n">
        <v>1382.0</v>
      </c>
      <c r="L12">
        <f t="shared" ref="L12:L75" si="2">SUM(I12:K12)</f>
        <v>19473</v>
      </c>
      <c r="M12" s="21">
        <f t="shared" ref="M12:M75" si="3">L12/$L$102</f>
        <v>8.6481325220944177E-2</v>
      </c>
      <c r="P12" t="s">
        <v>10</v>
      </c>
      <c r="Q12" s="8" t="n">
        <v>16.466197029932996</v>
      </c>
      <c r="R12" s="8" t="n">
        <v>14.497224774466607</v>
      </c>
    </row>
    <row r="13" spans="1:18" x14ac:dyDescent="0.25">
      <c r="A13">
        <v>2</v>
      </c>
      <c r="B13" s="8" t="n">
        <v>745.7226878492</v>
      </c>
      <c r="C13" s="8" t="n">
        <v>0.0</v>
      </c>
      <c r="D13" s="8" t="n">
        <v>0.0</v>
      </c>
      <c r="E13" s="8">
        <f t="shared" si="0"/>
        <v>745.72268784920004</v>
      </c>
      <c r="F13" s="21">
        <f t="shared" si="1"/>
        <v>4.0518901434828123E-3</v>
      </c>
      <c r="H13" s="115">
        <v>2</v>
      </c>
      <c r="I13" s="205" t="n">
        <v>16564.0</v>
      </c>
      <c r="J13" s="295" t="n">
        <v>1497.0</v>
      </c>
      <c r="K13" s="385" t="n">
        <v>1376.0</v>
      </c>
      <c r="L13">
        <f t="shared" si="2"/>
        <v>20574</v>
      </c>
      <c r="M13" s="21">
        <f t="shared" si="3"/>
        <v>9.1370964160412127E-2</v>
      </c>
      <c r="P13" s="6" t="s">
        <v>11</v>
      </c>
      <c r="Q13" s="11" t="n">
        <v>18.599176063687192</v>
      </c>
      <c r="R13" s="8" t="n">
        <v>13.945200962231587</v>
      </c>
    </row>
    <row r="14" spans="1:18" ht="15.75" thickBot="1" x14ac:dyDescent="0.3">
      <c r="A14">
        <v>3</v>
      </c>
      <c r="B14" s="8" t="n">
        <v>6549.2333025765</v>
      </c>
      <c r="C14" s="8" t="n">
        <v>282.0411067705</v>
      </c>
      <c r="D14" s="8" t="n">
        <v>984.8173479848</v>
      </c>
      <c r="E14" s="8">
        <f t="shared" si="0"/>
        <v>7816.0917573318002</v>
      </c>
      <c r="F14" s="21">
        <f t="shared" si="1"/>
        <v>4.2468796602436569E-2</v>
      </c>
      <c r="H14" s="116">
        <v>3</v>
      </c>
      <c r="I14" s="206" t="n">
        <v>13870.0</v>
      </c>
      <c r="J14" s="296" t="n">
        <v>1331.0</v>
      </c>
      <c r="K14" s="386" t="n">
        <v>1297.0</v>
      </c>
      <c r="L14">
        <f t="shared" si="2"/>
        <v>17749</v>
      </c>
      <c r="M14" s="21">
        <f t="shared" si="3"/>
        <v>7.8824887862503884E-2</v>
      </c>
      <c r="P14" s="1" t="s">
        <v>4</v>
      </c>
      <c r="Q14" s="12" t="n">
        <v>16.476710324072943</v>
      </c>
      <c r="R14" s="12" t="n">
        <v>14.481739778983508</v>
      </c>
    </row>
    <row r="15" spans="1:18" x14ac:dyDescent="0.25">
      <c r="A15">
        <v>4</v>
      </c>
      <c r="B15" s="8" t="n">
        <v>8784.3481885992</v>
      </c>
      <c r="C15" s="8" t="n">
        <v>53.2050820371</v>
      </c>
      <c r="D15" s="8" t="n">
        <v>0.0</v>
      </c>
      <c r="E15" s="8">
        <f t="shared" si="0"/>
        <v>8837.553270636301</v>
      </c>
      <c r="F15" s="21">
        <f t="shared" si="1"/>
        <v>4.8018915842663441E-2</v>
      </c>
      <c r="H15" s="117">
        <v>4</v>
      </c>
      <c r="I15" s="207" t="n">
        <v>9694.0</v>
      </c>
      <c r="J15" s="297" t="n">
        <v>1072.0</v>
      </c>
      <c r="K15" s="387" t="n">
        <v>909.0</v>
      </c>
      <c r="L15">
        <f t="shared" si="2"/>
        <v>11404</v>
      </c>
      <c r="M15" s="21">
        <f t="shared" si="3"/>
        <v>5.0646178442954215E-2</v>
      </c>
    </row>
    <row r="16" spans="1:18" x14ac:dyDescent="0.25">
      <c r="A16">
        <v>5</v>
      </c>
      <c r="B16" s="8" t="n">
        <v>15754.5264644916</v>
      </c>
      <c r="C16" s="8" t="n">
        <v>341.81014393600003</v>
      </c>
      <c r="D16" s="8" t="n">
        <v>1245.0347862898</v>
      </c>
      <c r="E16" s="8">
        <f t="shared" si="0"/>
        <v>17341.3713947174</v>
      </c>
      <c r="F16" s="21">
        <f t="shared" si="1"/>
        <v>9.4224479117550025E-2</v>
      </c>
      <c r="H16" s="118">
        <v>5</v>
      </c>
      <c r="I16" s="208" t="n">
        <v>7454.0</v>
      </c>
      <c r="J16" s="298" t="n">
        <v>818.0</v>
      </c>
      <c r="K16" s="388" t="n">
        <v>719.0</v>
      </c>
      <c r="L16">
        <f t="shared" si="2"/>
        <v>8481</v>
      </c>
      <c r="M16" s="21">
        <f t="shared" si="3"/>
        <v>3.7664875427454815E-2</v>
      </c>
    </row>
    <row r="17" spans="1:13" x14ac:dyDescent="0.25">
      <c r="A17">
        <v>6</v>
      </c>
      <c r="B17" s="8" t="n">
        <v>9965.5440861781</v>
      </c>
      <c r="C17" s="8" t="n">
        <v>524.3175229492</v>
      </c>
      <c r="D17" s="8" t="n">
        <v>416.016933519</v>
      </c>
      <c r="E17" s="8">
        <f t="shared" si="0"/>
        <v>10905.878542646302</v>
      </c>
      <c r="F17" s="21">
        <f t="shared" si="1"/>
        <v>5.9257177625129769E-2</v>
      </c>
      <c r="H17" s="119">
        <v>6</v>
      </c>
      <c r="I17" s="209" t="n">
        <v>6216.0</v>
      </c>
      <c r="J17" s="299" t="n">
        <v>691.0</v>
      </c>
      <c r="K17" s="389" t="n">
        <v>618.0</v>
      </c>
      <c r="L17">
        <f t="shared" si="2"/>
        <v>6876</v>
      </c>
      <c r="M17" s="21">
        <f t="shared" si="3"/>
        <v>3.0536927654660921E-2</v>
      </c>
    </row>
    <row r="18" spans="1:13" x14ac:dyDescent="0.25">
      <c r="A18">
        <v>7</v>
      </c>
      <c r="B18" s="8" t="n">
        <v>7448.6208727686</v>
      </c>
      <c r="C18" s="8" t="n">
        <v>0.0</v>
      </c>
      <c r="D18" s="8" t="n">
        <v>318.528901961</v>
      </c>
      <c r="E18" s="8">
        <f t="shared" si="0"/>
        <v>7767.1497747295998</v>
      </c>
      <c r="F18" s="21">
        <f t="shared" si="1"/>
        <v>4.2202869951498377E-2</v>
      </c>
      <c r="H18" s="120">
        <v>7</v>
      </c>
      <c r="I18" s="210" t="n">
        <v>5100.0</v>
      </c>
      <c r="J18" s="300" t="n">
        <v>592.0</v>
      </c>
      <c r="K18" s="390" t="n">
        <v>542.0</v>
      </c>
      <c r="L18">
        <f t="shared" si="2"/>
        <v>5728</v>
      </c>
      <c r="M18" s="21">
        <f t="shared" si="3"/>
        <v>2.5438557534307411E-2</v>
      </c>
    </row>
    <row r="19" spans="1:13" x14ac:dyDescent="0.2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t="shared" si="0"/>
        <v>3224.8236041552</v>
      </c>
      <c r="F19" s="21">
        <f t="shared" si="1"/>
        <v>1.7522104649697216E-2</v>
      </c>
      <c r="H19" s="121">
        <v>8</v>
      </c>
      <c r="I19" s="211" t="n">
        <v>4402.0</v>
      </c>
      <c r="J19" s="301" t="n">
        <v>514.0</v>
      </c>
      <c r="K19" s="391" t="n">
        <v>473.0</v>
      </c>
      <c r="L19">
        <f t="shared" si="2"/>
        <v>4888</v>
      </c>
      <c r="M19" s="21">
        <f t="shared" si="3"/>
        <v>2.1708042812097525E-2</v>
      </c>
    </row>
    <row r="20" spans="1:13" x14ac:dyDescent="0.2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t="shared" si="0"/>
        <v>5702.3992561658006</v>
      </c>
      <c r="F20" s="21">
        <f t="shared" si="1"/>
        <v>3.0984031620256026E-2</v>
      </c>
      <c r="H20" s="122">
        <v>9</v>
      </c>
      <c r="I20" s="212" t="n">
        <v>4075.0</v>
      </c>
      <c r="J20" s="302" t="n">
        <v>392.0</v>
      </c>
      <c r="K20" s="392" t="n">
        <v>385.0</v>
      </c>
      <c r="L20">
        <f t="shared" si="2"/>
        <v>4494</v>
      </c>
      <c r="M20" s="21">
        <f t="shared" si="3"/>
        <v>1.9958253763822889E-2</v>
      </c>
    </row>
    <row r="21" spans="1:13" x14ac:dyDescent="0.25">
      <c r="A21">
        <v>10</v>
      </c>
      <c r="B21" s="8" t="n">
        <v>793.202713876</v>
      </c>
      <c r="C21" s="8" t="n">
        <v>0.0</v>
      </c>
      <c r="D21" s="8" t="n">
        <v>0.0</v>
      </c>
      <c r="E21" s="8">
        <f t="shared" si="0"/>
        <v>793.20271387599996</v>
      </c>
      <c r="F21" s="21">
        <f t="shared" si="1"/>
        <v>4.3098732417645178E-3</v>
      </c>
      <c r="H21" s="123">
        <v>10</v>
      </c>
      <c r="I21" s="213" t="n">
        <v>3735.0</v>
      </c>
      <c r="J21" s="303" t="n">
        <v>367.0</v>
      </c>
      <c r="K21" s="393" t="n">
        <v>313.0</v>
      </c>
      <c r="L21">
        <f t="shared" si="2"/>
        <v>3742</v>
      </c>
      <c r="M21" s="21">
        <f t="shared" si="3"/>
        <v>1.661855486965404E-2</v>
      </c>
    </row>
    <row r="22" spans="1:13" x14ac:dyDescent="0.25">
      <c r="A22">
        <v>11</v>
      </c>
      <c r="B22" s="8" t="n">
        <v>3303.7878851748</v>
      </c>
      <c r="C22" s="8" t="n">
        <v>0.0</v>
      </c>
      <c r="D22" s="8" t="n">
        <v>0.0</v>
      </c>
      <c r="E22" s="8">
        <f t="shared" si="0"/>
        <v>3303.7878851748001</v>
      </c>
      <c r="F22" s="21">
        <f t="shared" si="1"/>
        <v>1.7951157697383521E-2</v>
      </c>
      <c r="H22" s="124">
        <v>11</v>
      </c>
      <c r="I22" s="214" t="n">
        <v>3121.0</v>
      </c>
      <c r="J22" s="304" t="n">
        <v>344.0</v>
      </c>
      <c r="K22" s="394" t="n">
        <v>289.0</v>
      </c>
      <c r="L22">
        <f t="shared" si="2"/>
        <v>3080</v>
      </c>
      <c r="M22" s="21">
        <f t="shared" si="3"/>
        <v>1.3678553981436248E-2</v>
      </c>
    </row>
    <row r="23" spans="1:13" x14ac:dyDescent="0.25">
      <c r="A23">
        <v>12</v>
      </c>
      <c r="B23" s="8" t="n">
        <v>2265.4087678975</v>
      </c>
      <c r="C23" s="8" t="n">
        <v>371.518941673</v>
      </c>
      <c r="D23" s="8" t="n">
        <v>0.0</v>
      </c>
      <c r="E23" s="8">
        <f t="shared" si="0"/>
        <v>2636.9277095705002</v>
      </c>
      <c r="F23" s="21">
        <f t="shared" si="1"/>
        <v>1.4327767640141913E-2</v>
      </c>
      <c r="H23" s="125">
        <v>12</v>
      </c>
      <c r="I23" s="215" t="n">
        <v>2612.0</v>
      </c>
      <c r="J23" s="305" t="n">
        <v>304.0</v>
      </c>
      <c r="K23" s="395" t="n">
        <v>256.0</v>
      </c>
      <c r="L23">
        <f t="shared" si="2"/>
        <v>2764</v>
      </c>
      <c r="M23" s="21">
        <f t="shared" si="3"/>
        <v>1.2275169871652529E-2</v>
      </c>
    </row>
    <row r="24" spans="1:13" x14ac:dyDescent="0.25">
      <c r="A24">
        <v>13</v>
      </c>
      <c r="B24" s="8" t="n">
        <v>2224.621167084</v>
      </c>
      <c r="C24" s="8" t="n">
        <v>0.0</v>
      </c>
      <c r="D24" s="8" t="n">
        <v>0.0</v>
      </c>
      <c r="E24" s="8">
        <f t="shared" si="0"/>
        <v>2224.6211670839998</v>
      </c>
      <c r="F24" s="21">
        <f t="shared" si="1"/>
        <v>1.2087496768924486E-2</v>
      </c>
      <c r="H24" s="126">
        <v>13</v>
      </c>
      <c r="I24" s="216" t="n">
        <v>2272.0</v>
      </c>
      <c r="J24" s="306" t="n">
        <v>229.0</v>
      </c>
      <c r="K24" s="396" t="n">
        <v>194.0</v>
      </c>
      <c r="L24">
        <f t="shared" si="2"/>
        <v>2372</v>
      </c>
      <c r="M24" s="21">
        <f t="shared" si="3"/>
        <v>1.0534263001287916E-2</v>
      </c>
    </row>
    <row r="25" spans="1:13" x14ac:dyDescent="0.25">
      <c r="A25">
        <v>14</v>
      </c>
      <c r="B25" s="8" t="n">
        <v>6622.1749909665</v>
      </c>
      <c r="C25" s="8" t="n">
        <v>145.384465385</v>
      </c>
      <c r="D25" s="8" t="n">
        <v>0.0</v>
      </c>
      <c r="E25" s="8">
        <f t="shared" si="0"/>
        <v>6767.5594563515006</v>
      </c>
      <c r="F25" s="21">
        <f t="shared" si="1"/>
        <v>3.6771588022503209E-2</v>
      </c>
      <c r="H25" s="127">
        <v>14</v>
      </c>
      <c r="I25" s="217" t="n">
        <v>1874.0</v>
      </c>
      <c r="J25" s="307" t="n">
        <v>200.0</v>
      </c>
      <c r="K25" s="397" t="n">
        <v>163.0</v>
      </c>
      <c r="L25">
        <f t="shared" si="2"/>
        <v>1986</v>
      </c>
      <c r="M25" s="21">
        <f t="shared" si="3"/>
        <v>8.8200026646533727E-3</v>
      </c>
    </row>
    <row r="26" spans="1:13" x14ac:dyDescent="0.25">
      <c r="A26">
        <v>15</v>
      </c>
      <c r="B26" s="8" t="n">
        <v>5365.6273869016995</v>
      </c>
      <c r="C26" s="8" t="n">
        <v>0.0</v>
      </c>
      <c r="D26" s="8" t="n">
        <v>0.0</v>
      </c>
      <c r="E26" s="8">
        <f t="shared" si="0"/>
        <v>5365.6273869016995</v>
      </c>
      <c r="F26" s="21">
        <f t="shared" si="1"/>
        <v>2.9154178995536854E-2</v>
      </c>
      <c r="H26" s="128">
        <v>15</v>
      </c>
      <c r="I26" s="218" t="n">
        <v>1488.0</v>
      </c>
      <c r="J26" s="308" t="n">
        <v>177.0</v>
      </c>
      <c r="K26" s="398" t="n">
        <v>148.0</v>
      </c>
      <c r="L26">
        <f t="shared" si="2"/>
        <v>1560</v>
      </c>
      <c r="M26" s="21">
        <f t="shared" si="3"/>
        <v>6.9280987698183598E-3</v>
      </c>
    </row>
    <row r="27" spans="1:13" x14ac:dyDescent="0.2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t="shared" si="0"/>
        <v>9413.1043148675999</v>
      </c>
      <c r="F27" s="21">
        <f t="shared" si="1"/>
        <v>5.114617700983827E-2</v>
      </c>
      <c r="H27" s="129">
        <v>16</v>
      </c>
      <c r="I27" s="219" t="n">
        <v>1411.0</v>
      </c>
      <c r="J27" s="309" t="n">
        <v>170.0</v>
      </c>
      <c r="K27" s="399" t="n">
        <v>120.0</v>
      </c>
      <c r="L27">
        <f t="shared" si="2"/>
        <v>1638</v>
      </c>
      <c r="M27" s="21">
        <f t="shared" si="3"/>
        <v>7.2745037083092774E-3</v>
      </c>
    </row>
    <row r="28" spans="1:13" x14ac:dyDescent="0.25">
      <c r="A28">
        <v>17</v>
      </c>
      <c r="B28" s="8" t="n">
        <v>4317.151532284</v>
      </c>
      <c r="C28" s="8" t="n">
        <v>0.0</v>
      </c>
      <c r="D28" s="8" t="n">
        <v>0.0</v>
      </c>
      <c r="E28" s="8">
        <f t="shared" si="0"/>
        <v>4317.1515322839996</v>
      </c>
      <c r="F28" s="21">
        <f t="shared" si="1"/>
        <v>2.3457277117362712E-2</v>
      </c>
      <c r="H28" s="130">
        <v>17</v>
      </c>
      <c r="I28" s="220" t="n">
        <v>1332.0</v>
      </c>
      <c r="J28" s="310" t="n">
        <v>150.0</v>
      </c>
      <c r="K28" s="400" t="n">
        <v>130.0</v>
      </c>
      <c r="L28">
        <f t="shared" si="2"/>
        <v>1571</v>
      </c>
      <c r="M28" s="21">
        <f t="shared" si="3"/>
        <v>6.9769507483234891E-3</v>
      </c>
    </row>
    <row r="29" spans="1:13" x14ac:dyDescent="0.25">
      <c r="A29">
        <v>18</v>
      </c>
      <c r="B29" s="8" t="n">
        <v>13371.8236885691</v>
      </c>
      <c r="C29" s="8" t="n">
        <v>558.9171554939</v>
      </c>
      <c r="D29" s="8" t="n">
        <v>0.0</v>
      </c>
      <c r="E29" s="8">
        <f t="shared" si="0"/>
        <v>13930.740844063001</v>
      </c>
      <c r="F29" s="21">
        <f t="shared" si="1"/>
        <v>7.5692790949236574E-2</v>
      </c>
      <c r="H29" s="131">
        <v>18</v>
      </c>
      <c r="I29" s="221" t="n">
        <v>11405.0</v>
      </c>
      <c r="J29" s="311" t="n">
        <v>1507.0</v>
      </c>
      <c r="K29" s="401" t="n">
        <v>1222.0</v>
      </c>
      <c r="L29">
        <f t="shared" si="2"/>
        <v>14044</v>
      </c>
      <c r="M29" s="21">
        <f t="shared" si="3"/>
        <v>6.2370653284185285E-2</v>
      </c>
    </row>
    <row r="30" spans="1:13" x14ac:dyDescent="0.25">
      <c r="A30">
        <v>19</v>
      </c>
      <c r="B30" s="8" t="n">
        <v>14511.7462395698</v>
      </c>
      <c r="C30" s="8" t="n">
        <v>442.4962878333</v>
      </c>
      <c r="D30" s="8" t="n">
        <v>295.6132959603</v>
      </c>
      <c r="E30" s="8">
        <f t="shared" si="0"/>
        <v>15249.855823363401</v>
      </c>
      <c r="F30" s="21">
        <f t="shared" si="1"/>
        <v>8.2860212659528795E-2</v>
      </c>
      <c r="H30" s="132">
        <v>19</v>
      </c>
      <c r="I30" s="222" t="n">
        <v>6205.0</v>
      </c>
      <c r="J30" s="312" t="n">
        <v>671.0</v>
      </c>
      <c r="K30" s="402" t="n">
        <v>623.0</v>
      </c>
      <c r="L30">
        <f t="shared" si="2"/>
        <v>7883</v>
      </c>
      <c r="M30" s="21">
        <f t="shared" si="3"/>
        <v>3.5009104232357771E-2</v>
      </c>
    </row>
    <row r="31" spans="1:13" x14ac:dyDescent="0.25">
      <c r="A31">
        <v>20</v>
      </c>
      <c r="B31" s="8" t="n">
        <v>8268.3347137767</v>
      </c>
      <c r="C31" s="8" t="n">
        <v>622.180084074</v>
      </c>
      <c r="D31" s="8" t="n">
        <v>0.0</v>
      </c>
      <c r="E31" s="8">
        <f t="shared" si="0"/>
        <v>8890.5147978506993</v>
      </c>
      <c r="F31" s="21">
        <f t="shared" si="1"/>
        <v>4.8306682721156499E-2</v>
      </c>
      <c r="H31" s="133">
        <v>20</v>
      </c>
      <c r="I31" s="223" t="n">
        <v>4373.0</v>
      </c>
      <c r="J31" s="313" t="n">
        <v>479.0</v>
      </c>
      <c r="K31" s="403" t="n">
        <v>448.0</v>
      </c>
      <c r="L31">
        <f t="shared" si="2"/>
        <v>7264</v>
      </c>
      <c r="M31" s="21">
        <f t="shared" si="3"/>
        <v>3.2260070169205492E-2</v>
      </c>
    </row>
    <row r="32" spans="1:13" x14ac:dyDescent="0.25">
      <c r="A32">
        <v>21</v>
      </c>
      <c r="B32" s="8" t="n">
        <v>8869.306367306</v>
      </c>
      <c r="C32" s="8" t="n">
        <v>1417.41069362</v>
      </c>
      <c r="D32" s="8" t="n">
        <v>86.2921514892</v>
      </c>
      <c r="E32" s="8">
        <f t="shared" si="0"/>
        <v>10373.009212415202</v>
      </c>
      <c r="F32" s="21">
        <f t="shared" si="1"/>
        <v>5.6361827889754273E-2</v>
      </c>
      <c r="H32" s="134">
        <v>21</v>
      </c>
      <c r="I32" s="224" t="n">
        <v>7176.0</v>
      </c>
      <c r="J32" s="314" t="n">
        <v>833.0</v>
      </c>
      <c r="K32" s="404" t="n">
        <v>761.0</v>
      </c>
      <c r="L32">
        <f t="shared" si="2"/>
        <v>8040</v>
      </c>
      <c r="M32" s="21">
        <f t="shared" si="3"/>
        <v>3.5706355198294619E-2</v>
      </c>
    </row>
    <row r="33" spans="1:13" x14ac:dyDescent="0.25">
      <c r="A33">
        <v>22</v>
      </c>
      <c r="B33" s="8" t="n">
        <v>6624.3245086104</v>
      </c>
      <c r="C33" s="8" t="n">
        <v>43.8943422849</v>
      </c>
      <c r="D33" s="8" t="n">
        <v>0.0</v>
      </c>
      <c r="E33" s="8">
        <f t="shared" si="0"/>
        <v>6668.2188508952995</v>
      </c>
      <c r="F33" s="21">
        <f t="shared" si="1"/>
        <v>3.6231820054256826E-2</v>
      </c>
      <c r="H33" s="135">
        <v>22</v>
      </c>
      <c r="I33" s="225" t="n">
        <v>5971.0</v>
      </c>
      <c r="J33" s="315" t="n">
        <v>737.0</v>
      </c>
      <c r="K33" s="405" t="n">
        <v>593.0</v>
      </c>
      <c r="L33">
        <f t="shared" si="2"/>
        <v>6693</v>
      </c>
      <c r="M33" s="21">
        <f t="shared" si="3"/>
        <v>2.9724208375893769E-2</v>
      </c>
    </row>
    <row r="34" spans="1:13" x14ac:dyDescent="0.25">
      <c r="A34">
        <v>23</v>
      </c>
      <c r="B34" s="8" t="n">
        <v>2024.971281023</v>
      </c>
      <c r="C34" s="8" t="n">
        <v>92.3910074567</v>
      </c>
      <c r="D34" s="8" t="n">
        <v>0.0</v>
      </c>
      <c r="E34" s="8">
        <f t="shared" si="0"/>
        <v>2117.3622884797001</v>
      </c>
      <c r="F34" s="21">
        <f t="shared" si="1"/>
        <v>1.1504704800677884E-2</v>
      </c>
      <c r="H34" s="136">
        <v>23</v>
      </c>
      <c r="I34" s="226" t="n">
        <v>4321.0</v>
      </c>
      <c r="J34" s="316" t="n">
        <v>429.0</v>
      </c>
      <c r="K34" s="406" t="n">
        <v>427.0</v>
      </c>
      <c r="L34">
        <f t="shared" si="2"/>
        <v>5757</v>
      </c>
      <c r="M34" s="21">
        <f t="shared" si="3"/>
        <v>2.5567349114002755E-2</v>
      </c>
    </row>
    <row r="35" spans="1:13" x14ac:dyDescent="0.25">
      <c r="A35">
        <v>24</v>
      </c>
      <c r="B35" s="8" t="n">
        <v>2928.7438684278</v>
      </c>
      <c r="C35" s="8" t="n">
        <v>0.0</v>
      </c>
      <c r="D35" s="8" t="n">
        <v>0.0</v>
      </c>
      <c r="E35" s="8">
        <f t="shared" si="0"/>
        <v>2928.7438684278</v>
      </c>
      <c r="F35" s="21">
        <f t="shared" si="1"/>
        <v>1.591335305553699E-2</v>
      </c>
      <c r="H35" s="137">
        <v>24</v>
      </c>
      <c r="I35" s="227" t="n">
        <v>3636.0</v>
      </c>
      <c r="J35" s="317" t="n">
        <v>405.0</v>
      </c>
      <c r="K35" s="407" t="n">
        <v>440.0</v>
      </c>
      <c r="L35">
        <f t="shared" si="2"/>
        <v>4437</v>
      </c>
      <c r="M35" s="21">
        <f t="shared" si="3"/>
        <v>1.970511169338722E-2</v>
      </c>
    </row>
    <row r="36" spans="1:13" x14ac:dyDescent="0.25">
      <c r="A36">
        <v>25</v>
      </c>
      <c r="B36" s="8" t="n">
        <v>383.2277741149</v>
      </c>
      <c r="C36" s="8" t="n">
        <v>0.0</v>
      </c>
      <c r="D36" s="8" t="n">
        <v>0.0</v>
      </c>
      <c r="E36" s="8">
        <f t="shared" si="0"/>
        <v>383.2277741149</v>
      </c>
      <c r="F36" s="21">
        <f t="shared" si="1"/>
        <v>2.0822711524622773E-3</v>
      </c>
      <c r="H36" s="138">
        <v>25</v>
      </c>
      <c r="I36" s="228" t="n">
        <v>3940.0</v>
      </c>
      <c r="J36" s="318" t="n">
        <v>415.0</v>
      </c>
      <c r="K36" s="408" t="n">
        <v>383.0</v>
      </c>
      <c r="L36">
        <f t="shared" si="2"/>
        <v>5104</v>
      </c>
      <c r="M36" s="21">
        <f t="shared" si="3"/>
        <v>2.2667318026380067E-2</v>
      </c>
    </row>
    <row r="37" spans="1:13" x14ac:dyDescent="0.25">
      <c r="A37">
        <v>26</v>
      </c>
      <c r="B37" s="8" t="n">
        <v>4423.3362208229</v>
      </c>
      <c r="C37" s="8" t="n">
        <v>0.0</v>
      </c>
      <c r="D37" s="8" t="n">
        <v>0.0</v>
      </c>
      <c r="E37" s="8">
        <f t="shared" si="0"/>
        <v>4423.3362208229</v>
      </c>
      <c r="F37" s="21">
        <f t="shared" si="1"/>
        <v>2.4034232465362758E-2</v>
      </c>
      <c r="H37" s="139">
        <v>26</v>
      </c>
      <c r="I37" s="229" t="n">
        <v>2562.0</v>
      </c>
      <c r="J37" s="319" t="n">
        <v>303.0</v>
      </c>
      <c r="K37" s="409" t="n">
        <v>264.0</v>
      </c>
      <c r="L37">
        <f t="shared" si="2"/>
        <v>3306</v>
      </c>
      <c r="M37" s="21">
        <f t="shared" si="3"/>
        <v>1.4682240085268907E-2</v>
      </c>
    </row>
    <row r="38" spans="1:13" x14ac:dyDescent="0.2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t="shared" si="0"/>
        <v>1425.6068219294</v>
      </c>
      <c r="F38" s="21">
        <f t="shared" si="1"/>
        <v>7.7460459824788058E-3</v>
      </c>
      <c r="H38" s="140">
        <v>27</v>
      </c>
      <c r="I38" s="230" t="n">
        <v>1870.0</v>
      </c>
      <c r="J38" s="320" t="n">
        <v>191.0</v>
      </c>
      <c r="K38" s="410" t="n">
        <v>186.0</v>
      </c>
      <c r="L38">
        <f t="shared" si="2"/>
        <v>2485</v>
      </c>
      <c r="M38" s="21">
        <f t="shared" si="3"/>
        <v>1.1036106053204245E-2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117.557623914</v>
      </c>
      <c r="E39" s="8">
        <f t="shared" si="0"/>
        <v>117.557623914</v>
      </c>
      <c r="F39" s="21">
        <f t="shared" si="1"/>
        <v>6.3875028263149676E-4</v>
      </c>
      <c r="H39" s="141">
        <v>28</v>
      </c>
      <c r="I39" s="231" t="n">
        <v>2345.0</v>
      </c>
      <c r="J39" s="321" t="n">
        <v>271.0</v>
      </c>
      <c r="K39" s="411" t="n">
        <v>228.0</v>
      </c>
      <c r="L39">
        <f t="shared" si="2"/>
        <v>3054</v>
      </c>
      <c r="M39" s="21">
        <f t="shared" si="3"/>
        <v>1.3563085668605942E-2</v>
      </c>
    </row>
    <row r="40" spans="1:13" x14ac:dyDescent="0.2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t="shared" si="0"/>
        <v>368.01794152919996</v>
      </c>
      <c r="F40" s="21">
        <f t="shared" si="1"/>
        <v>1.9996284063822705E-3</v>
      </c>
      <c r="H40" s="142">
        <v>29</v>
      </c>
      <c r="I40" s="232" t="n">
        <v>2117.0</v>
      </c>
      <c r="J40" s="322" t="n">
        <v>195.0</v>
      </c>
      <c r="K40" s="412" t="n">
        <v>187.0</v>
      </c>
      <c r="L40">
        <f t="shared" si="2"/>
        <v>2409</v>
      </c>
      <c r="M40" s="21">
        <f t="shared" si="3"/>
        <v>1.0698583292623352E-2</v>
      </c>
    </row>
    <row r="41" spans="1:13" x14ac:dyDescent="0.25">
      <c r="A41">
        <v>30</v>
      </c>
      <c r="B41" s="8" t="n">
        <v>688.323660681</v>
      </c>
      <c r="C41" s="8" t="n">
        <v>0.0</v>
      </c>
      <c r="D41" s="8" t="n">
        <v>0.0</v>
      </c>
      <c r="E41" s="8">
        <f t="shared" si="0"/>
        <v>688.32366068099998</v>
      </c>
      <c r="F41" s="21">
        <f t="shared" si="1"/>
        <v>3.7400120737688287E-3</v>
      </c>
      <c r="H41" s="143">
        <v>30</v>
      </c>
      <c r="I41" s="233" t="n">
        <v>1595.0</v>
      </c>
      <c r="J41" s="323" t="n">
        <v>180.0</v>
      </c>
      <c r="K41" s="413" t="n">
        <v>150.0</v>
      </c>
      <c r="L41">
        <f t="shared" si="2"/>
        <v>3372</v>
      </c>
      <c r="M41" s="21">
        <f t="shared" si="3"/>
        <v>1.4975351956299685E-2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t="shared" si="0"/>
        <v>0</v>
      </c>
      <c r="F42" s="21">
        <f t="shared" si="1"/>
        <v>0</v>
      </c>
      <c r="H42" s="144">
        <v>31</v>
      </c>
      <c r="I42" s="234" t="n">
        <v>1271.0</v>
      </c>
      <c r="J42" s="324" t="n">
        <v>173.0</v>
      </c>
      <c r="K42" s="414" t="n">
        <v>113.0</v>
      </c>
      <c r="L42">
        <f t="shared" si="2"/>
        <v>1724</v>
      </c>
      <c r="M42" s="21">
        <f t="shared" si="3"/>
        <v>7.6564373584402899E-3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t="shared" si="0"/>
        <v>0</v>
      </c>
      <c r="F43" s="21">
        <f t="shared" si="1"/>
        <v>0</v>
      </c>
      <c r="H43" s="145">
        <v>32</v>
      </c>
      <c r="I43" s="235" t="n">
        <v>1200.0</v>
      </c>
      <c r="J43" s="325" t="n">
        <v>124.0</v>
      </c>
      <c r="K43" s="415" t="n">
        <v>104.0</v>
      </c>
      <c r="L43">
        <f t="shared" si="2"/>
        <v>1647</v>
      </c>
      <c r="M43" s="21">
        <f t="shared" si="3"/>
        <v>7.3144735089043832E-3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t="shared" si="0"/>
        <v>0</v>
      </c>
      <c r="F44" s="21">
        <f t="shared" si="1"/>
        <v>0</v>
      </c>
      <c r="H44" s="146">
        <v>33</v>
      </c>
      <c r="I44" s="236" t="n">
        <v>3230.0</v>
      </c>
      <c r="J44" s="326" t="n">
        <v>229.0</v>
      </c>
      <c r="K44" s="416" t="n">
        <v>202.0</v>
      </c>
      <c r="L44">
        <f t="shared" si="2"/>
        <v>3263</v>
      </c>
      <c r="M44" s="21">
        <f t="shared" si="3"/>
        <v>1.4491273260203401E-2</v>
      </c>
    </row>
    <row r="45" spans="1:13" x14ac:dyDescent="0.25">
      <c r="A45">
        <v>34</v>
      </c>
      <c r="B45" s="8" t="n">
        <v>2743.3576988123</v>
      </c>
      <c r="C45" s="8" t="n">
        <v>0.0</v>
      </c>
      <c r="D45" s="8" t="n">
        <v>2026.8388074595</v>
      </c>
      <c r="E45" s="8">
        <f t="shared" si="0"/>
        <v>4770.1965062718</v>
      </c>
      <c r="F45" s="21">
        <f t="shared" si="1"/>
        <v>2.5918900579497216E-2</v>
      </c>
      <c r="H45" s="147">
        <v>34</v>
      </c>
      <c r="I45" s="237" t="n">
        <v>1221.0</v>
      </c>
      <c r="J45" s="327" t="n">
        <v>125.0</v>
      </c>
      <c r="K45" s="417" t="n">
        <v>99.0</v>
      </c>
      <c r="L45">
        <f t="shared" si="2"/>
        <v>1322</v>
      </c>
      <c r="M45" s="21">
        <f t="shared" si="3"/>
        <v>5.8711195985255583E-3</v>
      </c>
    </row>
    <row r="46" spans="1:13" x14ac:dyDescent="0.25">
      <c r="A46">
        <v>35</v>
      </c>
      <c r="B46" s="8" t="n">
        <v>58.1735784831</v>
      </c>
      <c r="C46" s="8" t="n">
        <v>0.0</v>
      </c>
      <c r="D46" s="8" t="n">
        <v>0.0</v>
      </c>
      <c r="E46" s="8">
        <f t="shared" si="0"/>
        <v>58.173578483100002</v>
      </c>
      <c r="F46" s="21">
        <f t="shared" si="1"/>
        <v>3.160866004313691E-4</v>
      </c>
      <c r="H46" s="148">
        <v>35</v>
      </c>
      <c r="I46" s="238" t="n">
        <v>1263.0</v>
      </c>
      <c r="J46" s="328" t="n">
        <v>117.0</v>
      </c>
      <c r="K46" s="418" t="n">
        <v>80.0</v>
      </c>
      <c r="L46">
        <f t="shared" si="2"/>
        <v>1604</v>
      </c>
      <c r="M46" s="21">
        <f t="shared" si="3"/>
        <v>7.123506683838877E-3</v>
      </c>
    </row>
    <row r="47" spans="1:13" x14ac:dyDescent="0.25">
      <c r="A47">
        <v>36</v>
      </c>
      <c r="B47" s="8" t="n">
        <v>491.234749696</v>
      </c>
      <c r="C47" s="8" t="n">
        <v>327.039856179</v>
      </c>
      <c r="D47" s="8" t="n">
        <v>0.0</v>
      </c>
      <c r="E47" s="8">
        <f t="shared" si="0"/>
        <v>818.27460587500002</v>
      </c>
      <c r="F47" s="21">
        <f t="shared" si="1"/>
        <v>4.4461015659452048E-3</v>
      </c>
      <c r="H47" s="149">
        <v>36</v>
      </c>
      <c r="I47" s="239" t="n">
        <v>821.0</v>
      </c>
      <c r="J47" s="329" t="n">
        <v>70.0</v>
      </c>
      <c r="K47" s="419" t="n">
        <v>63.0</v>
      </c>
      <c r="L47">
        <f t="shared" si="2"/>
        <v>1123</v>
      </c>
      <c r="M47" s="21">
        <f t="shared" si="3"/>
        <v>4.9873428964782168E-3</v>
      </c>
    </row>
    <row r="48" spans="1:13" x14ac:dyDescent="0.2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t="shared" si="0"/>
        <v>214.57446571990002</v>
      </c>
      <c r="F48" s="21">
        <f t="shared" si="1"/>
        <v>1.16589206263947E-3</v>
      </c>
      <c r="H48" s="150">
        <v>37</v>
      </c>
      <c r="I48" s="240" t="n">
        <v>1349.0</v>
      </c>
      <c r="J48" s="330" t="n">
        <v>87.0</v>
      </c>
      <c r="K48" s="420" t="n">
        <v>65.0</v>
      </c>
      <c r="L48">
        <f t="shared" si="2"/>
        <v>1610</v>
      </c>
      <c r="M48" s="21">
        <f t="shared" si="3"/>
        <v>7.1501532175689483E-3</v>
      </c>
    </row>
    <row r="49" spans="1:13" x14ac:dyDescent="0.25">
      <c r="A49">
        <v>38</v>
      </c>
      <c r="B49" s="8" t="n">
        <v>2333.59376461</v>
      </c>
      <c r="C49" s="8" t="n">
        <v>0.0</v>
      </c>
      <c r="D49" s="8" t="n">
        <v>0.0</v>
      </c>
      <c r="E49" s="8">
        <f t="shared" si="0"/>
        <v>2333.5937646100001</v>
      </c>
      <c r="F49" s="21">
        <f t="shared" si="1"/>
        <v>1.2679600242534518E-2</v>
      </c>
      <c r="H49" s="151">
        <v>38</v>
      </c>
      <c r="I49" s="241" t="n">
        <v>1245.0</v>
      </c>
      <c r="J49" s="331" t="n">
        <v>109.0</v>
      </c>
      <c r="K49" s="421" t="n">
        <v>72.0</v>
      </c>
      <c r="L49">
        <f t="shared" si="2"/>
        <v>1001</v>
      </c>
      <c r="M49" s="21">
        <f t="shared" si="3"/>
        <v>4.4455300439667804E-3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t="shared" si="0"/>
        <v>0</v>
      </c>
      <c r="F50" s="21">
        <f t="shared" si="1"/>
        <v>0</v>
      </c>
      <c r="H50" s="152">
        <v>39</v>
      </c>
      <c r="I50" s="242" t="n">
        <v>857.0</v>
      </c>
      <c r="J50" s="332" t="n">
        <v>64.0</v>
      </c>
      <c r="K50" s="422" t="n">
        <v>51.0</v>
      </c>
      <c r="L50">
        <f t="shared" si="2"/>
        <v>1335</v>
      </c>
      <c r="M50" s="21">
        <f t="shared" si="3"/>
        <v>5.9288537549407111E-3</v>
      </c>
    </row>
    <row r="51" spans="1:13" x14ac:dyDescent="0.25">
      <c r="A51">
        <v>40</v>
      </c>
      <c r="B51" s="8" t="n">
        <v>66.5041244869</v>
      </c>
      <c r="C51" s="8" t="n">
        <v>0.0</v>
      </c>
      <c r="D51" s="8" t="n">
        <v>0.0</v>
      </c>
      <c r="E51" s="8">
        <f t="shared" si="0"/>
        <v>66.504124486899997</v>
      </c>
      <c r="F51" s="21">
        <f t="shared" si="1"/>
        <v>3.6135068826538867E-4</v>
      </c>
      <c r="H51" s="153">
        <v>40</v>
      </c>
      <c r="I51" s="243" t="n">
        <v>600.0</v>
      </c>
      <c r="J51" s="333" t="n">
        <v>52.0</v>
      </c>
      <c r="K51" s="423" t="n">
        <v>35.0</v>
      </c>
      <c r="L51">
        <f t="shared" si="2"/>
        <v>690</v>
      </c>
      <c r="M51" s="21">
        <f t="shared" si="3"/>
        <v>3.0643513789581204E-3</v>
      </c>
    </row>
    <row r="52" spans="1:13" x14ac:dyDescent="0.25">
      <c r="A52">
        <v>41</v>
      </c>
      <c r="B52" s="8" t="n">
        <v>865.919580817</v>
      </c>
      <c r="C52" s="8" t="n">
        <v>0.0</v>
      </c>
      <c r="D52" s="8" t="n">
        <v>383.206555392</v>
      </c>
      <c r="E52" s="8">
        <f t="shared" si="0"/>
        <v>1249.1261362089999</v>
      </c>
      <c r="F52" s="21">
        <f t="shared" si="1"/>
        <v>6.7871367758298847E-3</v>
      </c>
      <c r="H52" s="154">
        <v>41</v>
      </c>
      <c r="I52" s="244" t="n">
        <v>950.0</v>
      </c>
      <c r="J52" s="334" t="n">
        <v>99.0</v>
      </c>
      <c r="K52" s="424" t="n">
        <v>62.0</v>
      </c>
      <c r="L52">
        <f t="shared" si="2"/>
        <v>768</v>
      </c>
      <c r="M52" s="21">
        <f t="shared" si="3"/>
        <v>3.4107563174490384E-3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t="shared" si="0"/>
        <v>0</v>
      </c>
      <c r="F53" s="21">
        <f t="shared" si="1"/>
        <v>0</v>
      </c>
      <c r="H53" s="155">
        <v>42</v>
      </c>
      <c r="I53" s="245" t="n">
        <v>944.0</v>
      </c>
      <c r="J53" s="335" t="n">
        <v>86.0</v>
      </c>
      <c r="K53" s="425" t="n">
        <v>64.0</v>
      </c>
      <c r="L53">
        <f t="shared" si="2"/>
        <v>567</v>
      </c>
      <c r="M53" s="21">
        <f t="shared" si="3"/>
        <v>2.5180974374916731E-3</v>
      </c>
    </row>
    <row r="54" spans="1:13" x14ac:dyDescent="0.25">
      <c r="A54">
        <v>43</v>
      </c>
      <c r="B54" s="8" t="n">
        <v>79.1127528623</v>
      </c>
      <c r="C54" s="8" t="n">
        <v>0.0</v>
      </c>
      <c r="D54" s="8" t="n">
        <v>0.0</v>
      </c>
      <c r="E54" s="8">
        <f t="shared" si="0"/>
        <v>79.112752862299999</v>
      </c>
      <c r="F54" s="21">
        <f t="shared" si="1"/>
        <v>4.2985977062208925E-4</v>
      </c>
      <c r="H54" s="156">
        <v>43</v>
      </c>
      <c r="I54" s="246" t="n">
        <v>505.0</v>
      </c>
      <c r="J54" s="336" t="n">
        <v>45.0</v>
      </c>
      <c r="K54" s="426" t="n">
        <v>44.0</v>
      </c>
      <c r="L54">
        <f t="shared" si="2"/>
        <v>677</v>
      </c>
      <c r="M54" s="21">
        <f t="shared" si="3"/>
        <v>3.0066172225429676E-3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t="shared" si="0"/>
        <v>0</v>
      </c>
      <c r="F55" s="21">
        <f t="shared" si="1"/>
        <v>0</v>
      </c>
      <c r="H55" s="157">
        <v>44</v>
      </c>
      <c r="I55" s="247" t="n">
        <v>498.0</v>
      </c>
      <c r="J55" s="337" t="n">
        <v>37.0</v>
      </c>
      <c r="K55" s="427" t="n">
        <v>21.0</v>
      </c>
      <c r="L55">
        <f t="shared" si="2"/>
        <v>496</v>
      </c>
      <c r="M55" s="21">
        <f t="shared" si="3"/>
        <v>2.2027801216858373E-3</v>
      </c>
    </row>
    <row r="56" spans="1:13" x14ac:dyDescent="0.25">
      <c r="A56">
        <v>45</v>
      </c>
      <c r="B56" s="8" t="n">
        <v>6450.1613751455</v>
      </c>
      <c r="C56" s="8" t="n">
        <v>0.0</v>
      </c>
      <c r="D56" s="8" t="n">
        <v>0.0</v>
      </c>
      <c r="E56" s="8">
        <f t="shared" si="0"/>
        <v>6450.1613751454997</v>
      </c>
      <c r="F56" s="21">
        <f t="shared" si="1"/>
        <v>3.5047003028974059E-2</v>
      </c>
      <c r="H56" s="158">
        <v>45</v>
      </c>
      <c r="I56" s="248" t="n">
        <v>363.0</v>
      </c>
      <c r="J56" s="338" t="n">
        <v>33.0</v>
      </c>
      <c r="K56" s="428" t="n">
        <v>44.0</v>
      </c>
      <c r="L56">
        <f t="shared" si="2"/>
        <v>551</v>
      </c>
      <c r="M56" s="21">
        <f t="shared" si="3"/>
        <v>2.4470400142114846E-3</v>
      </c>
    </row>
    <row r="57" spans="1:13" x14ac:dyDescent="0.2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t="shared" si="0"/>
        <v>590.52519338899992</v>
      </c>
      <c r="F57" s="21">
        <f t="shared" si="1"/>
        <v>3.208623325478104E-3</v>
      </c>
      <c r="H57" s="159">
        <v>46</v>
      </c>
      <c r="I57" s="249" t="n">
        <v>328.0</v>
      </c>
      <c r="J57" s="339" t="n">
        <v>36.0</v>
      </c>
      <c r="K57" s="429" t="n">
        <v>15.0</v>
      </c>
      <c r="L57">
        <f t="shared" si="2"/>
        <v>382</v>
      </c>
      <c r="M57" s="21">
        <f t="shared" si="3"/>
        <v>1.6964959808144957E-3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t="shared" si="0"/>
        <v>0</v>
      </c>
      <c r="F58" s="21">
        <f t="shared" si="1"/>
        <v>0</v>
      </c>
      <c r="H58" s="160">
        <v>47</v>
      </c>
      <c r="I58" s="250" t="n">
        <v>372.0</v>
      </c>
      <c r="J58" s="340" t="n">
        <v>34.0</v>
      </c>
      <c r="K58" s="430" t="n">
        <v>28.0</v>
      </c>
      <c r="L58">
        <f t="shared" si="2"/>
        <v>458</v>
      </c>
      <c r="M58" s="21">
        <f t="shared" si="3"/>
        <v>2.0340187413953902E-3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t="shared" si="0"/>
        <v>0</v>
      </c>
      <c r="F59" s="21">
        <f t="shared" si="1"/>
        <v>0</v>
      </c>
      <c r="H59" s="161">
        <v>48</v>
      </c>
      <c r="I59" s="251" t="n">
        <v>196.0</v>
      </c>
      <c r="J59" s="341" t="n">
        <v>18.0</v>
      </c>
      <c r="K59" s="431" t="n">
        <v>15.0</v>
      </c>
      <c r="L59">
        <f t="shared" si="2"/>
        <v>260</v>
      </c>
      <c r="M59" s="21">
        <f t="shared" si="3"/>
        <v>1.1546831283030599E-3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t="shared" si="0"/>
        <v>0</v>
      </c>
      <c r="F60" s="21">
        <f t="shared" si="1"/>
        <v>0</v>
      </c>
      <c r="H60" s="162">
        <v>49</v>
      </c>
      <c r="I60" s="252" t="n">
        <v>213.0</v>
      </c>
      <c r="J60" s="342" t="n">
        <v>21.0</v>
      </c>
      <c r="K60" s="432" t="n">
        <v>14.0</v>
      </c>
      <c r="L60">
        <f t="shared" si="2"/>
        <v>475</v>
      </c>
      <c r="M60" s="21">
        <f t="shared" si="3"/>
        <v>2.10951725363059E-3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t="shared" si="0"/>
        <v>0</v>
      </c>
      <c r="F61" s="21">
        <f t="shared" si="1"/>
        <v>0</v>
      </c>
      <c r="H61" s="163">
        <v>50</v>
      </c>
      <c r="I61" s="253" t="n">
        <v>225.0</v>
      </c>
      <c r="J61" s="343" t="n">
        <v>19.0</v>
      </c>
      <c r="K61" s="433" t="n">
        <v>4.0</v>
      </c>
      <c r="L61">
        <f t="shared" si="2"/>
        <v>305</v>
      </c>
      <c r="M61" s="21">
        <f t="shared" si="3"/>
        <v>1.3545321312785894E-3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t="shared" si="0"/>
        <v>0</v>
      </c>
      <c r="F62" s="21">
        <f t="shared" si="1"/>
        <v>0</v>
      </c>
      <c r="H62" s="164">
        <v>51</v>
      </c>
      <c r="I62" s="254" t="n">
        <v>254.0</v>
      </c>
      <c r="J62" s="344" t="n">
        <v>21.0</v>
      </c>
      <c r="K62" s="434" t="n">
        <v>21.0</v>
      </c>
      <c r="L62">
        <f t="shared" si="2"/>
        <v>277</v>
      </c>
      <c r="M62" s="21">
        <f t="shared" si="3"/>
        <v>1.2301816405382599E-3</v>
      </c>
    </row>
    <row r="63" spans="1:13" x14ac:dyDescent="0.25">
      <c r="A63">
        <v>52</v>
      </c>
      <c r="B63" s="8" t="n">
        <v>944.880646246</v>
      </c>
      <c r="C63" s="8" t="n">
        <v>0.0</v>
      </c>
      <c r="D63" s="8" t="n">
        <v>0.0</v>
      </c>
      <c r="E63" s="8">
        <f t="shared" si="0"/>
        <v>944.88064624599997</v>
      </c>
      <c r="F63" s="21">
        <f t="shared" si="1"/>
        <v>5.1340164912161649E-3</v>
      </c>
      <c r="H63" s="165">
        <v>52</v>
      </c>
      <c r="I63" s="255" t="n">
        <v>272.0</v>
      </c>
      <c r="J63" s="345" t="n">
        <v>30.0</v>
      </c>
      <c r="K63" s="435" t="n">
        <v>17.0</v>
      </c>
      <c r="L63">
        <f t="shared" si="2"/>
        <v>230</v>
      </c>
      <c r="M63" s="21">
        <f t="shared" si="3"/>
        <v>1.0214504596527069E-3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t="shared" si="0"/>
        <v>0</v>
      </c>
      <c r="F64" s="21">
        <f t="shared" si="1"/>
        <v>0</v>
      </c>
      <c r="H64" s="166">
        <v>53</v>
      </c>
      <c r="I64" s="256" t="n">
        <v>205.0</v>
      </c>
      <c r="J64" s="346" t="n">
        <v>21.0</v>
      </c>
      <c r="K64" s="436" t="n">
        <v>15.0</v>
      </c>
      <c r="L64">
        <f t="shared" si="2"/>
        <v>252</v>
      </c>
      <c r="M64" s="21">
        <f t="shared" si="3"/>
        <v>1.1191544166629657E-3</v>
      </c>
    </row>
    <row r="65" spans="1:13" x14ac:dyDescent="0.25">
      <c r="A65">
        <v>54</v>
      </c>
      <c r="B65" s="8" t="n">
        <v>83.3978248895</v>
      </c>
      <c r="C65" s="8" t="n">
        <v>0.0</v>
      </c>
      <c r="D65" s="8" t="n">
        <v>0.0</v>
      </c>
      <c r="E65" s="8">
        <f t="shared" si="0"/>
        <v>83.397824889500001</v>
      </c>
      <c r="F65" s="21">
        <f t="shared" si="1"/>
        <v>4.5314274349395213E-4</v>
      </c>
      <c r="H65" s="167">
        <v>54</v>
      </c>
      <c r="I65" s="257" t="n">
        <v>167.0</v>
      </c>
      <c r="J65" s="347" t="n">
        <v>8.0</v>
      </c>
      <c r="K65" s="437" t="n">
        <v>8.0</v>
      </c>
      <c r="L65">
        <f t="shared" si="2"/>
        <v>174</v>
      </c>
      <c r="M65" s="21">
        <f t="shared" si="3"/>
        <v>7.7274947817204784E-4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t="shared" si="0"/>
        <v>0</v>
      </c>
      <c r="F66" s="21">
        <f t="shared" si="1"/>
        <v>0</v>
      </c>
      <c r="H66" s="168">
        <v>55</v>
      </c>
      <c r="I66" s="258" t="n">
        <v>140.0</v>
      </c>
      <c r="J66" s="348" t="n">
        <v>10.0</v>
      </c>
      <c r="K66" s="438" t="n">
        <v>5.0</v>
      </c>
      <c r="L66">
        <f t="shared" si="2"/>
        <v>181</v>
      </c>
      <c r="M66" s="21">
        <f t="shared" si="3"/>
        <v>8.0383710085713022E-4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t="shared" si="0"/>
        <v>0</v>
      </c>
      <c r="F67" s="21">
        <f t="shared" si="1"/>
        <v>0</v>
      </c>
      <c r="H67" s="169">
        <v>56</v>
      </c>
      <c r="I67" s="259" t="n">
        <v>159.0</v>
      </c>
      <c r="J67" s="349" t="n">
        <v>23.0</v>
      </c>
      <c r="K67" s="439" t="n">
        <v>15.0</v>
      </c>
      <c r="L67">
        <f t="shared" si="2"/>
        <v>174</v>
      </c>
      <c r="M67" s="21">
        <f t="shared" si="3"/>
        <v>7.7274947817204784E-4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t="shared" si="0"/>
        <v>0</v>
      </c>
      <c r="F68" s="21">
        <f t="shared" si="1"/>
        <v>0</v>
      </c>
      <c r="H68" s="170">
        <v>57</v>
      </c>
      <c r="I68" s="260" t="n">
        <v>146.0</v>
      </c>
      <c r="J68" s="350" t="n">
        <v>9.0</v>
      </c>
      <c r="K68" s="440" t="n">
        <v>11.0</v>
      </c>
      <c r="L68">
        <f t="shared" si="2"/>
        <v>200</v>
      </c>
      <c r="M68" s="21">
        <f t="shared" si="3"/>
        <v>8.8821779100235374E-4</v>
      </c>
    </row>
    <row r="69" spans="1:13" x14ac:dyDescent="0.25">
      <c r="A69">
        <v>58</v>
      </c>
      <c r="B69" s="8" t="n">
        <v>275.309933567</v>
      </c>
      <c r="C69" s="8" t="n">
        <v>0.0</v>
      </c>
      <c r="D69" s="8" t="n">
        <v>0.0</v>
      </c>
      <c r="E69" s="8">
        <f t="shared" si="0"/>
        <v>275.30993356699997</v>
      </c>
      <c r="F69" s="21">
        <f t="shared" si="1"/>
        <v>1.4958987092647186E-3</v>
      </c>
      <c r="H69" s="171">
        <v>58</v>
      </c>
      <c r="I69" s="261" t="n">
        <v>184.0</v>
      </c>
      <c r="J69" s="351" t="n">
        <v>7.0</v>
      </c>
      <c r="K69" s="441" t="n">
        <v>10.0</v>
      </c>
      <c r="L69">
        <f t="shared" si="2"/>
        <v>149</v>
      </c>
      <c r="M69" s="21">
        <f t="shared" si="3"/>
        <v>6.6172225429675358E-4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t="shared" si="0"/>
        <v>0</v>
      </c>
      <c r="F70" s="21">
        <f t="shared" si="1"/>
        <v>0</v>
      </c>
      <c r="H70" s="172">
        <v>59</v>
      </c>
      <c r="I70" s="262" t="n">
        <v>105.0</v>
      </c>
      <c r="J70" s="352" t="n">
        <v>4.0</v>
      </c>
      <c r="K70" s="442" t="n">
        <v>12.0</v>
      </c>
      <c r="L70">
        <f t="shared" si="2"/>
        <v>105</v>
      </c>
      <c r="M70" s="21">
        <f t="shared" si="3"/>
        <v>4.6631434027623574E-4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t="shared" si="0"/>
        <v>0</v>
      </c>
      <c r="F71" s="21">
        <f t="shared" si="1"/>
        <v>0</v>
      </c>
      <c r="H71" s="173">
        <v>60</v>
      </c>
      <c r="I71" s="263" t="n">
        <v>87.0</v>
      </c>
      <c r="J71" s="353" t="n">
        <v>8.0</v>
      </c>
      <c r="K71" s="443" t="n">
        <v>10.0</v>
      </c>
      <c r="L71">
        <f t="shared" si="2"/>
        <v>108</v>
      </c>
      <c r="M71" s="21">
        <f t="shared" si="3"/>
        <v>4.7963760714127106E-4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t="shared" si="0"/>
        <v>0</v>
      </c>
      <c r="F72" s="21">
        <f t="shared" si="1"/>
        <v>0</v>
      </c>
      <c r="H72" s="174">
        <v>61</v>
      </c>
      <c r="I72" s="264" t="n">
        <v>96.0</v>
      </c>
      <c r="J72" s="354" t="n">
        <v>10.0</v>
      </c>
      <c r="K72" s="444" t="n">
        <v>6.0</v>
      </c>
      <c r="L72">
        <f t="shared" si="2"/>
        <v>105</v>
      </c>
      <c r="M72" s="21">
        <f t="shared" si="3"/>
        <v>4.6631434027623574E-4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175">
        <v>62</v>
      </c>
      <c r="I73" s="265" t="n">
        <v>174.0</v>
      </c>
      <c r="J73" s="355" t="n">
        <v>12.0</v>
      </c>
      <c r="K73" s="445" t="n">
        <v>5.0</v>
      </c>
      <c r="L73">
        <f t="shared" si="2"/>
        <v>110</v>
      </c>
      <c r="M73" s="21">
        <f t="shared" si="3"/>
        <v>4.8851978505129456E-4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176">
        <v>63</v>
      </c>
      <c r="I74" s="266" t="n">
        <v>72.0</v>
      </c>
      <c r="J74" s="356" t="n">
        <v>2.0</v>
      </c>
      <c r="K74" s="446" t="n">
        <v>2.0</v>
      </c>
      <c r="L74">
        <f t="shared" si="2"/>
        <v>71</v>
      </c>
      <c r="M74" s="21">
        <f t="shared" si="3"/>
        <v>3.153173158058356E-4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177">
        <v>64</v>
      </c>
      <c r="I75" s="267" t="n">
        <v>70.0</v>
      </c>
      <c r="J75" s="357" t="n">
        <v>6.0</v>
      </c>
      <c r="K75" s="447" t="n">
        <v>4.0</v>
      </c>
      <c r="L75">
        <f t="shared" si="2"/>
        <v>78</v>
      </c>
      <c r="M75" s="21">
        <f t="shared" si="3"/>
        <v>3.4640493849091798E-4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178">
        <v>65</v>
      </c>
      <c r="I76" s="268" t="n">
        <v>59.0</v>
      </c>
      <c r="J76" s="358" t="n">
        <v>6.0</v>
      </c>
      <c r="K76" s="448" t="n">
        <v>4.0</v>
      </c>
      <c r="L76">
        <f t="shared" ref="L76:L101" si="6">SUM(I76:K76)</f>
        <v>72</v>
      </c>
      <c r="M76" s="21">
        <f t="shared" ref="M76:M102" si="7">L76/$L$102</f>
        <v>3.1975840476084735E-4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179">
        <v>66</v>
      </c>
      <c r="I77" s="269" t="n">
        <v>38.0</v>
      </c>
      <c r="J77" s="359" t="n">
        <v>3.0</v>
      </c>
      <c r="K77" s="449" t="n">
        <v>2.0</v>
      </c>
      <c r="L77">
        <f t="shared" si="6"/>
        <v>72</v>
      </c>
      <c r="M77" s="21">
        <f t="shared" si="7"/>
        <v>3.1975840476084735E-4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180">
        <v>67</v>
      </c>
      <c r="I78" s="270" t="n">
        <v>44.0</v>
      </c>
      <c r="J78" s="360" t="n">
        <v>4.0</v>
      </c>
      <c r="K78" s="450" t="n">
        <v>4.0</v>
      </c>
      <c r="L78">
        <f t="shared" si="6"/>
        <v>41</v>
      </c>
      <c r="M78" s="21">
        <f t="shared" si="7"/>
        <v>1.8208464715548252E-4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181">
        <v>68</v>
      </c>
      <c r="I79" s="271" t="n">
        <v>48.0</v>
      </c>
      <c r="J79" s="361" t="n">
        <v>2.0</v>
      </c>
      <c r="K79" s="451" t="n">
        <v>4.0</v>
      </c>
      <c r="L79">
        <f t="shared" si="6"/>
        <v>57</v>
      </c>
      <c r="M79" s="21">
        <f t="shared" si="7"/>
        <v>2.5314207043567084E-4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182">
        <v>69</v>
      </c>
      <c r="I80" s="272" t="n">
        <v>51.0</v>
      </c>
      <c r="J80" s="362" t="n">
        <v>3.0</v>
      </c>
      <c r="K80" s="452" t="n">
        <v>0.0</v>
      </c>
      <c r="L80">
        <f t="shared" si="6"/>
        <v>38</v>
      </c>
      <c r="M80" s="21">
        <f t="shared" si="7"/>
        <v>1.6876138029044721E-4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183">
        <v>70</v>
      </c>
      <c r="I81" s="273" t="n">
        <v>22.0</v>
      </c>
      <c r="J81" s="363" t="n">
        <v>1.0</v>
      </c>
      <c r="K81" s="453" t="n">
        <v>3.0</v>
      </c>
      <c r="L81">
        <f t="shared" si="6"/>
        <v>32</v>
      </c>
      <c r="M81" s="21">
        <f t="shared" si="7"/>
        <v>1.4211484656037661E-4</v>
      </c>
    </row>
    <row r="82" spans="1:13" x14ac:dyDescent="0.25">
      <c r="A82">
        <v>71</v>
      </c>
      <c r="B82" s="8" t="n">
        <v>520.538957349</v>
      </c>
      <c r="C82" s="8" t="n">
        <v>0.0</v>
      </c>
      <c r="D82" s="8" t="n">
        <v>0.0</v>
      </c>
      <c r="E82" s="8">
        <f t="shared" si="4"/>
        <v>520.53895734900004</v>
      </c>
      <c r="F82" s="21">
        <f t="shared" si="5"/>
        <v>2.8283525564502454E-3</v>
      </c>
      <c r="H82" s="184">
        <v>71</v>
      </c>
      <c r="I82" s="274" t="n">
        <v>17.0</v>
      </c>
      <c r="J82" s="364" t="n">
        <v>1.0</v>
      </c>
      <c r="K82" s="454" t="n">
        <v>1.0</v>
      </c>
      <c r="L82">
        <f t="shared" si="6"/>
        <v>31</v>
      </c>
      <c r="M82" s="21">
        <f t="shared" si="7"/>
        <v>1.3767375760536483E-4</v>
      </c>
    </row>
    <row r="83" spans="1:13" x14ac:dyDescent="0.25">
      <c r="A83">
        <v>72</v>
      </c>
      <c r="B83" s="8" t="n">
        <v>175.909856239</v>
      </c>
      <c r="C83" s="8" t="n">
        <v>0.0</v>
      </c>
      <c r="D83" s="8" t="n">
        <v>0.0</v>
      </c>
      <c r="E83" s="8">
        <f t="shared" si="4"/>
        <v>175.90985623899999</v>
      </c>
      <c r="F83" s="21">
        <f t="shared" si="5"/>
        <v>9.5580760013086561E-4</v>
      </c>
      <c r="H83" s="185">
        <v>72</v>
      </c>
      <c r="I83" s="275" t="n">
        <v>29.0</v>
      </c>
      <c r="J83" s="365" t="n">
        <v>3.0</v>
      </c>
      <c r="K83" s="455" t="n">
        <v>3.0</v>
      </c>
      <c r="L83">
        <f t="shared" si="6"/>
        <v>28</v>
      </c>
      <c r="M83" s="21">
        <f t="shared" si="7"/>
        <v>1.2435049074032952E-4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186">
        <v>73</v>
      </c>
      <c r="I84" s="276" t="n">
        <v>33.0</v>
      </c>
      <c r="J84" s="366" t="n">
        <v>3.0</v>
      </c>
      <c r="K84" s="456" t="n">
        <v>1.0</v>
      </c>
      <c r="L84">
        <f t="shared" si="6"/>
        <v>30</v>
      </c>
      <c r="M84" s="21">
        <f t="shared" si="7"/>
        <v>1.3323266865035308E-4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187">
        <v>74</v>
      </c>
      <c r="I85" s="277" t="n">
        <v>32.0</v>
      </c>
      <c r="J85" s="367" t="n">
        <v>0.0</v>
      </c>
      <c r="K85" s="457" t="n">
        <v>3.0</v>
      </c>
      <c r="L85">
        <f t="shared" si="6"/>
        <v>26</v>
      </c>
      <c r="M85" s="21">
        <f t="shared" si="7"/>
        <v>1.1546831283030598E-4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188">
        <v>75</v>
      </c>
      <c r="I86" s="278" t="n">
        <v>26.0</v>
      </c>
      <c r="J86" s="368" t="n">
        <v>0.0</v>
      </c>
      <c r="K86" s="458" t="n">
        <v>4.0</v>
      </c>
      <c r="L86">
        <f t="shared" si="6"/>
        <v>19</v>
      </c>
      <c r="M86" s="21">
        <f t="shared" si="7"/>
        <v>8.4380690145223605E-5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189">
        <v>76</v>
      </c>
      <c r="I87" s="279" t="n">
        <v>17.0</v>
      </c>
      <c r="J87" s="369" t="n">
        <v>0.0</v>
      </c>
      <c r="K87" s="459" t="n">
        <v>2.0</v>
      </c>
      <c r="L87">
        <f t="shared" si="6"/>
        <v>14</v>
      </c>
      <c r="M87" s="21">
        <f t="shared" si="7"/>
        <v>6.2175245370164759E-5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90">
        <v>77</v>
      </c>
      <c r="I88" s="280" t="n">
        <v>16.0</v>
      </c>
      <c r="J88" s="370" t="n">
        <v>1.0</v>
      </c>
      <c r="K88" s="460" t="n">
        <v>2.0</v>
      </c>
      <c r="L88">
        <f t="shared" si="6"/>
        <v>7</v>
      </c>
      <c r="M88" s="21">
        <f t="shared" si="7"/>
        <v>3.1087622685082379E-5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91">
        <v>78</v>
      </c>
      <c r="I89" s="281" t="n">
        <v>20.0</v>
      </c>
      <c r="J89" s="371" t="n">
        <v>0.0</v>
      </c>
      <c r="K89" s="461" t="n">
        <v>3.0</v>
      </c>
      <c r="L89">
        <f t="shared" si="6"/>
        <v>24</v>
      </c>
      <c r="M89" s="21">
        <f t="shared" si="7"/>
        <v>1.0658613492028245E-4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92">
        <v>79</v>
      </c>
      <c r="I90" s="282" t="n">
        <v>12.0</v>
      </c>
      <c r="J90" s="372" t="n">
        <v>2.0</v>
      </c>
      <c r="K90" s="462" t="n">
        <v>1.0</v>
      </c>
      <c r="L90">
        <f t="shared" si="6"/>
        <v>7</v>
      </c>
      <c r="M90" s="21">
        <f t="shared" si="7"/>
        <v>3.1087622685082379E-5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93">
        <v>80</v>
      </c>
      <c r="I91" s="283" t="n">
        <v>29.0</v>
      </c>
      <c r="J91" s="373" t="n">
        <v>2.0</v>
      </c>
      <c r="K91" s="463" t="n">
        <v>2.0</v>
      </c>
      <c r="L91">
        <f t="shared" si="6"/>
        <v>13</v>
      </c>
      <c r="M91" s="21">
        <f t="shared" si="7"/>
        <v>5.7734156415152992E-5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94">
        <v>81</v>
      </c>
      <c r="I92" s="284" t="n">
        <v>18.0</v>
      </c>
      <c r="J92" s="374" t="n">
        <v>1.0</v>
      </c>
      <c r="K92" s="464" t="n">
        <v>1.0</v>
      </c>
      <c r="L92">
        <f t="shared" si="6"/>
        <v>11</v>
      </c>
      <c r="M92" s="21">
        <f t="shared" si="7"/>
        <v>4.8851978505129459E-5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95">
        <v>82</v>
      </c>
      <c r="I93" s="285" t="n">
        <v>16.0</v>
      </c>
      <c r="J93" s="375" t="n">
        <v>0.0</v>
      </c>
      <c r="K93" s="465" t="n">
        <v>0.0</v>
      </c>
      <c r="L93">
        <f t="shared" si="6"/>
        <v>15</v>
      </c>
      <c r="M93" s="21">
        <f t="shared" si="7"/>
        <v>6.6616334325176539E-5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96">
        <v>83</v>
      </c>
      <c r="I94" s="286" t="n">
        <v>12.0</v>
      </c>
      <c r="J94" s="376" t="n">
        <v>3.0</v>
      </c>
      <c r="K94" s="466" t="n">
        <v>0.0</v>
      </c>
      <c r="L94">
        <f t="shared" si="6"/>
        <v>8</v>
      </c>
      <c r="M94" s="21">
        <f t="shared" si="7"/>
        <v>3.5528711640094153E-5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97">
        <v>84</v>
      </c>
      <c r="I95" s="287" t="n">
        <v>7.0</v>
      </c>
      <c r="J95" s="377" t="n">
        <v>0.0</v>
      </c>
      <c r="K95" s="467" t="n">
        <v>0.0</v>
      </c>
      <c r="L95">
        <f t="shared" si="6"/>
        <v>7</v>
      </c>
      <c r="M95" s="21">
        <f t="shared" si="7"/>
        <v>3.1087622685082379E-5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98">
        <v>85</v>
      </c>
      <c r="I96" s="288" t="n">
        <v>14.0</v>
      </c>
      <c r="J96" s="378" t="n">
        <v>4.0</v>
      </c>
      <c r="K96" s="468" t="n">
        <v>1.0</v>
      </c>
      <c r="L96">
        <f t="shared" si="6"/>
        <v>7</v>
      </c>
      <c r="M96" s="21">
        <f t="shared" si="7"/>
        <v>3.1087622685082379E-5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99">
        <v>86</v>
      </c>
      <c r="I97" s="289" t="n">
        <v>9.0</v>
      </c>
      <c r="J97" s="379" t="n">
        <v>1.0</v>
      </c>
      <c r="K97" s="469" t="n">
        <v>0.0</v>
      </c>
      <c r="L97">
        <f t="shared" si="6"/>
        <v>7</v>
      </c>
      <c r="M97" s="21">
        <f t="shared" si="7"/>
        <v>3.1087622685082379E-5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200">
        <v>87</v>
      </c>
      <c r="I98" s="290" t="n">
        <v>12.0</v>
      </c>
      <c r="J98" s="380" t="n">
        <v>1.0</v>
      </c>
      <c r="K98" s="470" t="n">
        <v>0.0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201">
        <v>88</v>
      </c>
      <c r="I99" s="291" t="n">
        <v>18.0</v>
      </c>
      <c r="J99" s="381" t="n">
        <v>0.0</v>
      </c>
      <c r="K99" s="471" t="n">
        <v>0.0</v>
      </c>
      <c r="L99">
        <f t="shared" si="6"/>
        <v>3</v>
      </c>
      <c r="M99" s="21">
        <f t="shared" si="7"/>
        <v>1.3323266865035306E-5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202">
        <v>89</v>
      </c>
      <c r="I100" s="292" t="n">
        <v>39.0</v>
      </c>
      <c r="J100" s="382" t="n">
        <v>2.0</v>
      </c>
      <c r="K100" s="472" t="n">
        <v>5.0</v>
      </c>
      <c r="L100">
        <f t="shared" si="6"/>
        <v>4</v>
      </c>
      <c r="M100" s="21">
        <f t="shared" si="7"/>
        <v>1.7764355820047076E-5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475">
        <v>90</v>
      </c>
      <c r="I101" s="475" t="n">
        <v>179.0</v>
      </c>
      <c r="J101" s="475" t="n">
        <v>9.0</v>
      </c>
      <c r="K101" s="475" t="n">
        <v>8.0</v>
      </c>
      <c r="L101" s="1">
        <f t="shared" si="6"/>
        <v>33</v>
      </c>
      <c r="M101" s="21">
        <f t="shared" si="7"/>
        <v>1.4655593551538836E-4</v>
      </c>
    </row>
    <row r="102" spans="1:13" x14ac:dyDescent="0.25">
      <c r="E102" s="8">
        <f>SUM(E11:E101)</f>
        <v>184043.16539742419</v>
      </c>
      <c r="F102" s="21">
        <f t="shared" si="5"/>
        <v>1</v>
      </c>
      <c r="L102" s="22">
        <f>SUM(L11:L101)</f>
        <v>225170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r="5" spans="1:21" ht="15.75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7603.9101153389</v>
      </c>
      <c r="C7" s="13" t="n">
        <v>225.7914145706</v>
      </c>
      <c r="D7" s="13" t="n">
        <v>0.0</v>
      </c>
      <c r="E7" s="13" t="n">
        <v>1292.8679586580001</v>
      </c>
      <c r="F7" s="13" t="n">
        <v>224.2014339675</v>
      </c>
      <c r="G7" s="13" t="n">
        <v>0.0</v>
      </c>
      <c r="H7" s="13" t="n">
        <v>704.453421433</v>
      </c>
      <c r="I7" s="13"/>
      <c r="J7" s="13">
        <f>SUM(B7:I7)</f>
        <v>10051.224343968001</v>
      </c>
      <c r="K7" s="13"/>
      <c r="L7" t="str">
        <f>$A$7</f>
        <v>Bellevue</v>
      </c>
      <c r="M7" s="522" t="n">
        <v>6863.0</v>
      </c>
      <c r="N7" s="522" t="n">
        <v>2008.0</v>
      </c>
      <c r="O7" s="522" t="n">
        <v>642.0</v>
      </c>
      <c r="P7" s="522" t="n">
        <v>792.0</v>
      </c>
      <c r="Q7" s="522" t="n">
        <v>578.0</v>
      </c>
      <c r="R7" s="522" t="n">
        <v>75.0</v>
      </c>
      <c r="S7" s="522" t="n">
        <v>831.0</v>
      </c>
      <c r="T7" s="473"/>
      <c r="U7" s="13">
        <f>SUM(M7:T7)</f>
        <v>9830</v>
      </c>
    </row>
    <row r="8" spans="1:21" x14ac:dyDescent="0.25">
      <c r="A8" t="s">
        <v>253</v>
      </c>
      <c r="B8" s="13" t="n">
        <v>1844.964152923</v>
      </c>
      <c r="C8" s="13" t="n">
        <v>4453.4228392198</v>
      </c>
      <c r="D8" s="13" t="n">
        <v>317.954791765</v>
      </c>
      <c r="E8" s="13" t="n">
        <v>506.9344112474</v>
      </c>
      <c r="F8" s="13" t="n">
        <v>0.0</v>
      </c>
      <c r="G8" s="13" t="n">
        <v>1345.57431748</v>
      </c>
      <c r="H8" s="13" t="n">
        <v>0.0</v>
      </c>
      <c r="I8" s="13"/>
      <c r="J8" s="13">
        <f t="shared" ref="J8:J14" si="0">SUM(B8:I8)</f>
        <v>8468.8505126351993</v>
      </c>
      <c r="K8" s="13"/>
      <c r="L8" t="str">
        <f>$A$8</f>
        <v>Bellevue Downtown</v>
      </c>
      <c r="M8" s="522" t="n">
        <v>1090.0</v>
      </c>
      <c r="N8" s="522" t="n">
        <v>3360.0</v>
      </c>
      <c r="O8" s="522" t="n">
        <v>247.0</v>
      </c>
      <c r="P8" s="522" t="n">
        <v>101.0</v>
      </c>
      <c r="Q8" s="522" t="n">
        <v>223.0</v>
      </c>
      <c r="R8" s="522" t="n">
        <v>39.0</v>
      </c>
      <c r="S8" s="522" t="n">
        <v>278.0</v>
      </c>
      <c r="T8" s="473"/>
      <c r="U8" s="13">
        <f t="shared" ref="U8:U14" si="1">SUM(M8:T8)</f>
        <v>8006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5493.2858028158</v>
      </c>
      <c r="E9" s="13" t="n">
        <v>397.3849235138</v>
      </c>
      <c r="F9" s="13" t="n">
        <v>0.0</v>
      </c>
      <c r="G9" s="13" t="n">
        <v>0.0</v>
      </c>
      <c r="H9" s="13" t="n">
        <v>1981.0829941171</v>
      </c>
      <c r="I9" s="13"/>
      <c r="J9" s="13">
        <f t="shared" si="0"/>
        <v>7871.7537204466989</v>
      </c>
      <c r="K9" s="14"/>
      <c r="L9" t="str">
        <f>$A$9</f>
        <v>Kirkland</v>
      </c>
      <c r="M9" s="522" t="n">
        <v>602.0</v>
      </c>
      <c r="N9" s="522" t="n">
        <v>289.0</v>
      </c>
      <c r="O9" s="522" t="n">
        <v>5340.0</v>
      </c>
      <c r="P9" s="522" t="n">
        <v>741.0</v>
      </c>
      <c r="Q9" s="522" t="n">
        <v>486.0</v>
      </c>
      <c r="R9" s="522" t="n">
        <v>37.0</v>
      </c>
      <c r="S9" s="522" t="n">
        <v>881.0</v>
      </c>
      <c r="T9" s="473"/>
      <c r="U9" s="13">
        <f t="shared" si="1"/>
        <v>6796</v>
      </c>
    </row>
    <row r="10" spans="1:21" x14ac:dyDescent="0.25">
      <c r="A10" t="s">
        <v>255</v>
      </c>
      <c r="B10" s="13" t="n">
        <v>1485.5079150783</v>
      </c>
      <c r="C10" s="13" t="n">
        <v>407.745583464</v>
      </c>
      <c r="D10" s="13" t="n">
        <v>826.2829174094</v>
      </c>
      <c r="E10" s="13" t="n">
        <v>6837.2373192181</v>
      </c>
      <c r="F10" s="13" t="n">
        <v>0.0</v>
      </c>
      <c r="G10" s="13" t="n">
        <v>0.0</v>
      </c>
      <c r="H10" s="13" t="n">
        <v>702.428165475</v>
      </c>
      <c r="I10" s="13"/>
      <c r="J10" s="13">
        <f t="shared" si="0"/>
        <v>10259.201900644799</v>
      </c>
      <c r="K10" s="14"/>
      <c r="L10" t="str">
        <f>$A$10</f>
        <v>Redmond</v>
      </c>
      <c r="M10" s="522" t="n">
        <v>2705.0</v>
      </c>
      <c r="N10" s="522" t="n">
        <v>301.0</v>
      </c>
      <c r="O10" s="522" t="n">
        <v>1366.0</v>
      </c>
      <c r="P10" s="522" t="n">
        <v>6079.0</v>
      </c>
      <c r="Q10" s="522" t="n">
        <v>490.0</v>
      </c>
      <c r="R10" s="522" t="n">
        <v>52.0</v>
      </c>
      <c r="S10" s="522" t="n">
        <v>819.0</v>
      </c>
      <c r="T10" s="473"/>
      <c r="U10" s="13">
        <f t="shared" si="1"/>
        <v>11185</v>
      </c>
    </row>
    <row r="11" spans="1:21" x14ac:dyDescent="0.2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32735.6069894941</v>
      </c>
      <c r="G11" s="13" t="n">
        <v>4162.9400519857</v>
      </c>
      <c r="H11" s="13" t="n">
        <v>1320.4057760048</v>
      </c>
      <c r="I11" s="13"/>
      <c r="J11" s="13">
        <f t="shared" si="0"/>
        <v>38275.091693574999</v>
      </c>
      <c r="K11" s="14"/>
      <c r="L11" t="str">
        <f>$A$11</f>
        <v>Seattle</v>
      </c>
      <c r="M11" s="522" t="n">
        <v>602.0</v>
      </c>
      <c r="N11" s="522" t="n">
        <v>53.0</v>
      </c>
      <c r="O11" s="522" t="n">
        <v>527.0</v>
      </c>
      <c r="P11" s="522" t="n">
        <v>226.0</v>
      </c>
      <c r="Q11" s="522" t="n">
        <v>36402.0</v>
      </c>
      <c r="R11" s="522" t="n">
        <v>2399.0</v>
      </c>
      <c r="S11" s="522" t="n">
        <v>3105.0</v>
      </c>
      <c r="T11" s="473"/>
      <c r="U11" s="13">
        <f t="shared" si="1"/>
        <v>45565</v>
      </c>
    </row>
    <row r="12" spans="1:21" x14ac:dyDescent="0.2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27890.4622987429</v>
      </c>
      <c r="H12" s="13" t="n">
        <v>198.4972902366</v>
      </c>
      <c r="I12" s="13"/>
      <c r="J12" s="13">
        <f t="shared" si="0"/>
        <v>31509.267008215</v>
      </c>
      <c r="K12" s="14"/>
      <c r="L12" t="str">
        <f>$A$12</f>
        <v>Seattle Downtown</v>
      </c>
      <c r="M12" s="522" t="n">
        <v>557.0</v>
      </c>
      <c r="N12" s="522" t="n">
        <v>57.0</v>
      </c>
      <c r="O12" s="522" t="n">
        <v>250.0</v>
      </c>
      <c r="P12" s="522" t="n">
        <v>200.0</v>
      </c>
      <c r="Q12" s="522" t="n">
        <v>7083.0</v>
      </c>
      <c r="R12" s="522" t="n">
        <v>26509.0</v>
      </c>
      <c r="S12" s="522" t="n">
        <v>1628.0</v>
      </c>
      <c r="T12" s="473"/>
      <c r="U12" s="13">
        <f t="shared" si="1"/>
        <v>32541</v>
      </c>
    </row>
    <row r="13" spans="1:21" x14ac:dyDescent="0.2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74965.1873656852</v>
      </c>
      <c r="I13" s="13"/>
      <c r="J13" s="13">
        <f t="shared" si="0"/>
        <v>77607.776217939492</v>
      </c>
      <c r="K13" s="14"/>
      <c r="L13" t="str">
        <f>$A$13</f>
        <v>Rest</v>
      </c>
      <c r="M13" s="522" t="n">
        <v>1518.0</v>
      </c>
      <c r="N13" s="522" t="n">
        <v>208.0</v>
      </c>
      <c r="O13" s="522" t="n">
        <v>1205.0</v>
      </c>
      <c r="P13" s="522" t="n">
        <v>878.0</v>
      </c>
      <c r="Q13" s="522" t="n">
        <v>4112.0</v>
      </c>
      <c r="R13" s="522" t="n">
        <v>420.0</v>
      </c>
      <c r="S13" s="522" t="n">
        <v>100360.0</v>
      </c>
      <c r="T13" s="473"/>
      <c r="U13" s="13">
        <f t="shared" si="1"/>
        <v>111086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11444.262594196098</v>
      </c>
      <c r="C15" s="16">
        <f t="shared" si="2"/>
        <v>5086.9598372544006</v>
      </c>
      <c r="D15" s="16">
        <f t="shared" si="2"/>
        <v>8136.8930917872003</v>
      </c>
      <c r="E15" s="16">
        <f t="shared" si="2"/>
        <v>9530.7460837802992</v>
      </c>
      <c r="F15" s="16">
        <f t="shared" si="2"/>
        <v>36573.272109245896</v>
      </c>
      <c r="G15" s="16">
        <f t="shared" si="2"/>
        <v>33398.976668208597</v>
      </c>
      <c r="H15" s="16">
        <f t="shared" si="2"/>
        <v>79872.055012951692</v>
      </c>
      <c r="I15" s="16">
        <f t="shared" si="2"/>
        <v>0</v>
      </c>
      <c r="J15" s="16">
        <f t="shared" si="2"/>
        <v>184043.16539742419</v>
      </c>
      <c r="K15" s="13"/>
      <c r="L15" s="16" t="s">
        <v>4</v>
      </c>
      <c r="M15" s="16">
        <f t="shared" ref="M15:U15" si="3">SUM(M7:M14)</f>
        <v>10780</v>
      </c>
      <c r="N15" s="16">
        <f t="shared" si="3"/>
        <v>8271</v>
      </c>
      <c r="O15" s="16">
        <f t="shared" si="3"/>
        <v>6902</v>
      </c>
      <c r="P15" s="16">
        <f t="shared" si="3"/>
        <v>9644</v>
      </c>
      <c r="Q15" s="16">
        <f t="shared" si="3"/>
        <v>51346</v>
      </c>
      <c r="R15" s="16">
        <f t="shared" si="3"/>
        <v>26150</v>
      </c>
      <c r="S15" s="16">
        <f t="shared" si="3"/>
        <v>111916</v>
      </c>
      <c r="T15" s="16">
        <f t="shared" si="3"/>
        <v>0</v>
      </c>
      <c r="U15" s="16">
        <f t="shared" si="3"/>
        <v>225009</v>
      </c>
    </row>
    <row r="18" spans="1:32" ht="15.75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t="shared" ref="B20:G20" si="4">($U7/$J7)*B7</f>
        <v>7436.5504018063884</v>
      </c>
      <c r="C20" s="13">
        <f t="shared" si="4"/>
        <v>220.82181526084383</v>
      </c>
      <c r="D20" s="13">
        <f t="shared" si="4"/>
        <v>0</v>
      </c>
      <c r="E20" s="13">
        <f t="shared" si="4"/>
        <v>1264.4123341287348</v>
      </c>
      <c r="F20" s="13">
        <f t="shared" si="4"/>
        <v>219.26682963982816</v>
      </c>
      <c r="G20" s="13">
        <f t="shared" si="4"/>
        <v>0</v>
      </c>
      <c r="H20" s="13">
        <f t="shared" ref="H20" si="5">($U7/$J7)*H7</f>
        <v>688.94861916420439</v>
      </c>
      <c r="I20" s="13"/>
      <c r="J20" s="13">
        <f>SUM(B20:I20)</f>
        <v>9830</v>
      </c>
      <c r="K20" s="13"/>
      <c r="L20" t="str">
        <f>$A$7</f>
        <v>Bellevue</v>
      </c>
      <c r="M20" s="13">
        <f t="shared" ref="M20:M26" si="6">M7</f>
        <v>5272</v>
      </c>
      <c r="N20" s="13">
        <f t="shared" ref="N20:U20" si="7">N7</f>
        <v>1891</v>
      </c>
      <c r="O20" s="13">
        <f t="shared" si="7"/>
        <v>371</v>
      </c>
      <c r="P20" s="13">
        <f t="shared" si="7"/>
        <v>812</v>
      </c>
      <c r="Q20" s="13">
        <f t="shared" si="7"/>
        <v>549</v>
      </c>
      <c r="R20" s="13">
        <f t="shared" si="7"/>
        <v>64</v>
      </c>
      <c r="S20" s="13">
        <f t="shared" ref="S20" si="8">S7</f>
        <v>871</v>
      </c>
      <c r="T20" s="13"/>
      <c r="U20" s="13">
        <f t="shared" si="7"/>
        <v>9830</v>
      </c>
    </row>
    <row r="21" spans="1:32" x14ac:dyDescent="0.25">
      <c r="A21" t="str">
        <f>$A$8</f>
        <v>Bellevue Downtown</v>
      </c>
      <c r="B21" s="13">
        <f t="shared" ref="B21:G26" si="9">($U8/$J8)*B8</f>
        <v>1744.1307986560985</v>
      </c>
      <c r="C21" s="13">
        <f t="shared" si="9"/>
        <v>4210.0286452806286</v>
      </c>
      <c r="D21" s="13">
        <f t="shared" si="9"/>
        <v>300.57751746506011</v>
      </c>
      <c r="E21" s="13">
        <f t="shared" si="9"/>
        <v>479.2287796781315</v>
      </c>
      <c r="F21" s="13">
        <f t="shared" si="9"/>
        <v>0</v>
      </c>
      <c r="G21" s="13">
        <f t="shared" si="9"/>
        <v>1272.0342589200829</v>
      </c>
      <c r="H21" s="13">
        <f t="shared" ref="H21" si="10">($U8/$J8)*H8</f>
        <v>0</v>
      </c>
      <c r="I21" s="13"/>
      <c r="J21" s="13">
        <f t="shared" ref="J21:J27" si="11">SUM(B21:I21)</f>
        <v>8006.0000000000009</v>
      </c>
      <c r="K21" s="13"/>
      <c r="L21" t="str">
        <f>$A$8</f>
        <v>Bellevue Downtown</v>
      </c>
      <c r="M21" s="13">
        <f t="shared" si="6"/>
        <v>1256</v>
      </c>
      <c r="N21" s="13">
        <f t="shared" ref="N21:R26" si="12">N8</f>
        <v>5262</v>
      </c>
      <c r="O21" s="13">
        <f t="shared" si="12"/>
        <v>276</v>
      </c>
      <c r="P21" s="13">
        <f t="shared" si="12"/>
        <v>168</v>
      </c>
      <c r="Q21" s="13">
        <f t="shared" si="12"/>
        <v>395</v>
      </c>
      <c r="R21" s="13">
        <f t="shared" si="12"/>
        <v>38</v>
      </c>
      <c r="S21" s="13">
        <f t="shared" ref="S21" si="13">S8</f>
        <v>611</v>
      </c>
      <c r="T21" s="13"/>
      <c r="U21" s="13">
        <f t="shared" ref="U21:U26" si="14">U8</f>
        <v>8006</v>
      </c>
    </row>
    <row r="22" spans="1:32" x14ac:dyDescent="0.25">
      <c r="A22" t="str">
        <f>$A$9</f>
        <v>Kirkland</v>
      </c>
      <c r="B22" s="13">
        <f t="shared" si="9"/>
        <v>0</v>
      </c>
      <c r="C22" s="13">
        <f t="shared" si="9"/>
        <v>0</v>
      </c>
      <c r="D22" s="13">
        <f t="shared" si="9"/>
        <v>4742.573464787929</v>
      </c>
      <c r="E22" s="13">
        <f t="shared" si="9"/>
        <v>343.07830708485784</v>
      </c>
      <c r="F22" s="13">
        <f t="shared" si="9"/>
        <v>0</v>
      </c>
      <c r="G22" s="13">
        <f t="shared" si="9"/>
        <v>0</v>
      </c>
      <c r="H22" s="13">
        <f t="shared" ref="H22" si="15">($U9/$J9)*H9</f>
        <v>1710.3482281272134</v>
      </c>
      <c r="I22" s="13"/>
      <c r="J22" s="13">
        <f t="shared" si="11"/>
        <v>6796</v>
      </c>
      <c r="K22" s="14"/>
      <c r="L22" t="str">
        <f>$A$9</f>
        <v>Kirkland</v>
      </c>
      <c r="M22" s="13">
        <f t="shared" si="6"/>
        <v>458</v>
      </c>
      <c r="N22" s="13">
        <f t="shared" si="12"/>
        <v>395</v>
      </c>
      <c r="O22" s="13">
        <f t="shared" si="12"/>
        <v>3797</v>
      </c>
      <c r="P22" s="13">
        <f t="shared" si="12"/>
        <v>680</v>
      </c>
      <c r="Q22" s="13">
        <f t="shared" si="12"/>
        <v>442</v>
      </c>
      <c r="R22" s="13">
        <f t="shared" si="12"/>
        <v>23</v>
      </c>
      <c r="S22" s="13">
        <f t="shared" ref="S22" si="16">S9</f>
        <v>1001</v>
      </c>
      <c r="T22" s="13"/>
      <c r="U22" s="13">
        <f t="shared" si="14"/>
        <v>6796</v>
      </c>
    </row>
    <row r="23" spans="1:32" x14ac:dyDescent="0.25">
      <c r="A23" t="str">
        <f>$A$10</f>
        <v>Redmond</v>
      </c>
      <c r="B23" s="13">
        <f t="shared" si="9"/>
        <v>1619.5612671494935</v>
      </c>
      <c r="C23" s="13">
        <f t="shared" si="9"/>
        <v>444.54085173605949</v>
      </c>
      <c r="D23" s="13">
        <f t="shared" si="9"/>
        <v>900.84730963753361</v>
      </c>
      <c r="E23" s="13">
        <f t="shared" si="9"/>
        <v>7454.2347597865255</v>
      </c>
      <c r="F23" s="13">
        <f t="shared" si="9"/>
        <v>0</v>
      </c>
      <c r="G23" s="13">
        <f t="shared" si="9"/>
        <v>0</v>
      </c>
      <c r="H23" s="13">
        <f t="shared" ref="H23" si="17">($U10/$J10)*H10</f>
        <v>765.81581169038861</v>
      </c>
      <c r="I23" s="13"/>
      <c r="J23" s="13">
        <f>SUM(B23:I23)</f>
        <v>11185.000000000002</v>
      </c>
      <c r="K23" s="14"/>
      <c r="L23" t="str">
        <f>$A$10</f>
        <v>Redmond</v>
      </c>
      <c r="M23" s="13">
        <f t="shared" si="6"/>
        <v>1752</v>
      </c>
      <c r="N23" s="13">
        <f t="shared" si="12"/>
        <v>263</v>
      </c>
      <c r="O23" s="13">
        <f t="shared" si="12"/>
        <v>935</v>
      </c>
      <c r="P23" s="13">
        <f t="shared" si="12"/>
        <v>6773</v>
      </c>
      <c r="Q23" s="13">
        <f t="shared" si="12"/>
        <v>462</v>
      </c>
      <c r="R23" s="13">
        <f t="shared" si="12"/>
        <v>49</v>
      </c>
      <c r="S23" s="13">
        <f t="shared" ref="S23" si="18">S10</f>
        <v>951</v>
      </c>
      <c r="T23" s="13"/>
      <c r="U23" s="13">
        <f t="shared" si="14"/>
        <v>11185</v>
      </c>
    </row>
    <row r="24" spans="1:32" x14ac:dyDescent="0.25">
      <c r="A24" t="str">
        <f>$A$11</f>
        <v>Seattle</v>
      </c>
      <c r="B24" s="13">
        <f t="shared" si="9"/>
        <v>66.8311368013905</v>
      </c>
      <c r="C24" s="13">
        <f t="shared" si="9"/>
        <v>0</v>
      </c>
      <c r="D24" s="13">
        <f t="shared" si="9"/>
        <v>0</v>
      </c>
      <c r="E24" s="13">
        <f t="shared" si="9"/>
        <v>0</v>
      </c>
      <c r="F24" s="13">
        <f t="shared" si="9"/>
        <v>38970.460068856839</v>
      </c>
      <c r="G24" s="13">
        <f t="shared" si="9"/>
        <v>4955.8173495001593</v>
      </c>
      <c r="H24" s="13">
        <f t="shared" ref="H24" si="19">($U11/$J11)*H11</f>
        <v>1571.8914448416099</v>
      </c>
      <c r="I24" s="13"/>
      <c r="J24" s="13">
        <f t="shared" si="11"/>
        <v>45565</v>
      </c>
      <c r="K24" s="14"/>
      <c r="L24" t="str">
        <f>$A$11</f>
        <v>Seattle</v>
      </c>
      <c r="M24" s="13">
        <f t="shared" si="6"/>
        <v>496</v>
      </c>
      <c r="N24" s="13">
        <f t="shared" si="12"/>
        <v>97</v>
      </c>
      <c r="O24" s="13">
        <f t="shared" si="12"/>
        <v>427</v>
      </c>
      <c r="P24" s="13">
        <f t="shared" si="12"/>
        <v>250</v>
      </c>
      <c r="Q24" s="13">
        <f t="shared" si="12"/>
        <v>38141</v>
      </c>
      <c r="R24" s="13">
        <f t="shared" si="12"/>
        <v>2316</v>
      </c>
      <c r="S24" s="13">
        <f t="shared" ref="S24" si="20">S11</f>
        <v>3838</v>
      </c>
      <c r="T24" s="13"/>
      <c r="U24" s="13">
        <f t="shared" si="14"/>
        <v>45565</v>
      </c>
    </row>
    <row r="25" spans="1:32" x14ac:dyDescent="0.25">
      <c r="A25" t="str">
        <f>$A$12</f>
        <v>Seattle Downtown</v>
      </c>
      <c r="B25" s="13">
        <f t="shared" si="9"/>
        <v>166.54689453623811</v>
      </c>
      <c r="C25" s="13">
        <f t="shared" si="9"/>
        <v>0</v>
      </c>
      <c r="D25" s="13">
        <f t="shared" si="9"/>
        <v>0</v>
      </c>
      <c r="E25" s="13">
        <f t="shared" si="9"/>
        <v>0</v>
      </c>
      <c r="F25" s="13">
        <f t="shared" si="9"/>
        <v>3365.7543710033428</v>
      </c>
      <c r="G25" s="13">
        <f t="shared" si="9"/>
        <v>28803.701889566975</v>
      </c>
      <c r="H25" s="13">
        <f t="shared" ref="H25" si="21">($U12/$J12)*H12</f>
        <v>204.99684489344523</v>
      </c>
      <c r="I25" s="13"/>
      <c r="J25" s="13">
        <f t="shared" si="11"/>
        <v>32541</v>
      </c>
      <c r="K25" s="14"/>
      <c r="L25" t="str">
        <f>$A$12</f>
        <v>Seattle Downtown</v>
      </c>
      <c r="M25" s="13">
        <f t="shared" si="6"/>
        <v>387</v>
      </c>
      <c r="N25" s="13">
        <f t="shared" si="12"/>
        <v>64</v>
      </c>
      <c r="O25" s="13">
        <f t="shared" si="12"/>
        <v>178</v>
      </c>
      <c r="P25" s="13">
        <f t="shared" si="12"/>
        <v>165</v>
      </c>
      <c r="Q25" s="13">
        <f t="shared" si="12"/>
        <v>6780</v>
      </c>
      <c r="R25" s="13">
        <f t="shared" si="12"/>
        <v>23265</v>
      </c>
      <c r="S25" s="13">
        <f t="shared" ref="S25:S26" si="22">S12</f>
        <v>1702</v>
      </c>
      <c r="T25" s="13"/>
      <c r="U25" s="13">
        <f t="shared" si="14"/>
        <v>32541</v>
      </c>
    </row>
    <row r="26" spans="1:32" x14ac:dyDescent="0.25">
      <c r="A26" t="str">
        <f>$A$13</f>
        <v>Rest</v>
      </c>
      <c r="B26" s="13">
        <f t="shared" si="9"/>
        <v>418.64220565831494</v>
      </c>
      <c r="C26" s="13">
        <f t="shared" si="9"/>
        <v>0</v>
      </c>
      <c r="D26" s="13">
        <f t="shared" si="9"/>
        <v>2146.1634034403428</v>
      </c>
      <c r="E26" s="13">
        <f t="shared" si="9"/>
        <v>710.42322857650265</v>
      </c>
      <c r="F26" s="13">
        <f t="shared" si="9"/>
        <v>507.31254602788482</v>
      </c>
      <c r="G26" s="13">
        <f t="shared" si="9"/>
        <v>0</v>
      </c>
      <c r="H26" s="13">
        <f t="shared" ref="H26" si="23">($U13/$J13)*H13</f>
        <v>107303.45861629695</v>
      </c>
      <c r="I26" s="13"/>
      <c r="J26" s="13">
        <f t="shared" si="11"/>
        <v>111086</v>
      </c>
      <c r="K26" s="14"/>
      <c r="L26" t="str">
        <f>$A$13</f>
        <v>Rest</v>
      </c>
      <c r="M26" s="13">
        <f t="shared" si="6"/>
        <v>1159</v>
      </c>
      <c r="N26" s="13">
        <f t="shared" si="12"/>
        <v>299</v>
      </c>
      <c r="O26" s="13">
        <f t="shared" si="12"/>
        <v>918</v>
      </c>
      <c r="P26" s="13">
        <f t="shared" si="12"/>
        <v>796</v>
      </c>
      <c r="Q26" s="13">
        <f t="shared" si="12"/>
        <v>4577</v>
      </c>
      <c r="R26" s="13">
        <f t="shared" si="12"/>
        <v>395</v>
      </c>
      <c r="S26" s="13">
        <f t="shared" si="22"/>
        <v>102942</v>
      </c>
      <c r="T26" s="13"/>
      <c r="U26" s="13">
        <f t="shared" si="14"/>
        <v>111086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11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24">SUM(B20:B27)</f>
        <v>11452.262704607921</v>
      </c>
      <c r="C28" s="16">
        <f t="shared" si="24"/>
        <v>4875.3913122775321</v>
      </c>
      <c r="D28" s="16">
        <f t="shared" si="24"/>
        <v>8090.1616953308658</v>
      </c>
      <c r="E28" s="16">
        <f t="shared" si="24"/>
        <v>10251.377409254752</v>
      </c>
      <c r="F28" s="16">
        <f t="shared" si="24"/>
        <v>43062.79381552789</v>
      </c>
      <c r="G28" s="16">
        <f t="shared" si="24"/>
        <v>35031.553497987217</v>
      </c>
      <c r="H28" s="16">
        <f t="shared" si="24"/>
        <v>112245.45956501381</v>
      </c>
      <c r="I28" s="16">
        <f t="shared" si="24"/>
        <v>0</v>
      </c>
      <c r="J28" s="16">
        <f t="shared" si="24"/>
        <v>225009</v>
      </c>
      <c r="K28" s="13"/>
      <c r="L28" s="16" t="s">
        <v>4</v>
      </c>
      <c r="M28" s="16">
        <f t="shared" ref="M28:U28" si="25">M15</f>
        <v>10780</v>
      </c>
      <c r="N28" s="16">
        <f t="shared" si="25"/>
        <v>8271</v>
      </c>
      <c r="O28" s="16">
        <f t="shared" si="25"/>
        <v>6902</v>
      </c>
      <c r="P28" s="16">
        <f t="shared" si="25"/>
        <v>9644</v>
      </c>
      <c r="Q28" s="16">
        <f t="shared" si="25"/>
        <v>51346</v>
      </c>
      <c r="R28" s="16">
        <f t="shared" si="25"/>
        <v>26150</v>
      </c>
      <c r="S28" s="16">
        <f t="shared" si="25"/>
        <v>111916</v>
      </c>
      <c r="T28" s="16"/>
      <c r="U28" s="16">
        <f t="shared" si="25"/>
        <v>225009</v>
      </c>
    </row>
    <row r="31" spans="1:32" ht="15.75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t="shared" ref="B33:G33" si="26">B20/$J$28</f>
        <v>3.305001311861476E-2</v>
      </c>
      <c r="C33" s="17">
        <f t="shared" si="26"/>
        <v>9.8139103440681862E-4</v>
      </c>
      <c r="D33" s="17">
        <f t="shared" si="26"/>
        <v>0</v>
      </c>
      <c r="E33" s="17">
        <f t="shared" si="26"/>
        <v>5.6193855984815484E-3</v>
      </c>
      <c r="F33" s="17">
        <f t="shared" si="26"/>
        <v>9.744802636331354E-4</v>
      </c>
      <c r="G33" s="17">
        <f t="shared" si="26"/>
        <v>0</v>
      </c>
      <c r="H33" s="17">
        <f t="shared" ref="H33" si="27">H20/$J$28</f>
        <v>3.0618713880964958E-3</v>
      </c>
      <c r="I33" s="13"/>
      <c r="J33" s="17">
        <f t="shared" ref="J33:J39" si="28">J20/$J$28</f>
        <v>4.3687141403232758E-2</v>
      </c>
      <c r="K33" s="13"/>
      <c r="L33" t="str">
        <f>$A$7</f>
        <v>Bellevue</v>
      </c>
      <c r="M33" s="17">
        <f t="shared" ref="M33:R33" si="29">M20/$U$28</f>
        <v>2.3430173904154944E-2</v>
      </c>
      <c r="N33" s="17">
        <f t="shared" si="29"/>
        <v>8.4041082801132403E-3</v>
      </c>
      <c r="O33" s="17">
        <f t="shared" si="29"/>
        <v>1.64882293597145E-3</v>
      </c>
      <c r="P33" s="17">
        <f t="shared" si="29"/>
        <v>3.6087445391073244E-3</v>
      </c>
      <c r="Q33" s="17">
        <f t="shared" si="29"/>
        <v>2.4399024039038438E-3</v>
      </c>
      <c r="R33" s="17">
        <f t="shared" si="29"/>
        <v>2.844330671217596E-4</v>
      </c>
      <c r="S33" s="17">
        <f t="shared" ref="S33" si="30">S20/$U$28</f>
        <v>3.8709562728601967E-3</v>
      </c>
      <c r="T33" s="17"/>
      <c r="U33" s="17">
        <f t="shared" ref="U33:U39" si="31">U20/$U$28</f>
        <v>4.3687141403232758E-2</v>
      </c>
      <c r="W33" t="str">
        <f>$A$7</f>
        <v>Bellevue</v>
      </c>
      <c r="X33" s="17">
        <f t="shared" ref="X33:AD33" si="32">M33-B33</f>
        <v>-9.619839214459816E-3</v>
      </c>
      <c r="Y33" s="17">
        <f t="shared" si="32"/>
        <v>7.4227172457064219E-3</v>
      </c>
      <c r="Z33" s="17">
        <f t="shared" si="32"/>
        <v>1.64882293597145E-3</v>
      </c>
      <c r="AA33" s="17">
        <f t="shared" si="32"/>
        <v>-2.0106410593742239E-3</v>
      </c>
      <c r="AB33" s="17">
        <f t="shared" si="32"/>
        <v>1.4654221402707083E-3</v>
      </c>
      <c r="AC33" s="17">
        <f t="shared" si="32"/>
        <v>2.844330671217596E-4</v>
      </c>
      <c r="AD33" s="17">
        <f t="shared" si="32"/>
        <v>8.0908488476370095E-4</v>
      </c>
      <c r="AE33" s="17"/>
      <c r="AF33" s="17">
        <f t="shared" ref="AF33:AF39" si="33">U33-J33</f>
        <v>0</v>
      </c>
    </row>
    <row r="34" spans="1:32" x14ac:dyDescent="0.25">
      <c r="A34" t="str">
        <f>$A$8</f>
        <v>Bellevue Downtown</v>
      </c>
      <c r="B34" s="17">
        <f t="shared" ref="B34:G39" si="34">B21/$J$28</f>
        <v>7.7513823831762219E-3</v>
      </c>
      <c r="C34" s="17">
        <f t="shared" si="34"/>
        <v>1.8710490003869304E-2</v>
      </c>
      <c r="D34" s="17">
        <f t="shared" si="34"/>
        <v>1.335846643756739E-3</v>
      </c>
      <c r="E34" s="17">
        <f t="shared" si="34"/>
        <v>2.1298204946385768E-3</v>
      </c>
      <c r="F34" s="17">
        <f t="shared" si="34"/>
        <v>0</v>
      </c>
      <c r="G34" s="17">
        <f t="shared" si="34"/>
        <v>5.6532594648217756E-3</v>
      </c>
      <c r="H34" s="17">
        <f t="shared" ref="H34" si="35">H21/$J$28</f>
        <v>0</v>
      </c>
      <c r="I34" s="13"/>
      <c r="J34" s="17">
        <f t="shared" si="28"/>
        <v>3.5580798990262619E-2</v>
      </c>
      <c r="K34" s="13"/>
      <c r="L34" t="str">
        <f>$A$8</f>
        <v>Bellevue Downtown</v>
      </c>
      <c r="M34" s="17">
        <f t="shared" ref="M34:R39" si="36">M21/$U$28</f>
        <v>5.5819989422645315E-3</v>
      </c>
      <c r="N34" s="17">
        <f t="shared" si="36"/>
        <v>2.3385731237417169E-2</v>
      </c>
      <c r="O34" s="17">
        <f t="shared" si="36"/>
        <v>1.2266176019625882E-3</v>
      </c>
      <c r="P34" s="17">
        <f t="shared" si="36"/>
        <v>7.4663680119461885E-4</v>
      </c>
      <c r="Q34" s="17">
        <f t="shared" si="36"/>
        <v>1.7554853361421098E-3</v>
      </c>
      <c r="R34" s="17">
        <f t="shared" si="36"/>
        <v>1.6888213360354476E-4</v>
      </c>
      <c r="S34" s="17">
        <f t="shared" ref="S34" si="37">S21/$U$28</f>
        <v>2.7154469376780483E-3</v>
      </c>
      <c r="T34" s="17"/>
      <c r="U34" s="17">
        <f t="shared" si="31"/>
        <v>3.5580798990262612E-2</v>
      </c>
      <c r="W34" t="str">
        <f>$A$8</f>
        <v>Bellevue Downtown</v>
      </c>
      <c r="X34" s="17">
        <f t="shared" ref="X34:X38" si="38">M34-B34</f>
        <v>-2.1693834409116904E-3</v>
      </c>
      <c r="Y34" s="17">
        <f t="shared" ref="Y34:AD38" si="39">N34-C34</f>
        <v>4.6752412335478652E-3</v>
      </c>
      <c r="Z34" s="17">
        <f t="shared" si="39"/>
        <v>-1.0922904179415079E-4</v>
      </c>
      <c r="AA34" s="17">
        <f t="shared" si="39"/>
        <v>-1.3831836934439579E-3</v>
      </c>
      <c r="AB34" s="17">
        <f t="shared" si="39"/>
        <v>1.7554853361421098E-3</v>
      </c>
      <c r="AC34" s="17">
        <f t="shared" si="39"/>
        <v>-5.4843773312182311E-3</v>
      </c>
      <c r="AD34" s="17">
        <f t="shared" si="39"/>
        <v>2.7154469376780483E-3</v>
      </c>
      <c r="AE34" s="17"/>
      <c r="AF34" s="17">
        <f t="shared" si="33"/>
        <v>0</v>
      </c>
    </row>
    <row r="35" spans="1:32" x14ac:dyDescent="0.25">
      <c r="A35" t="str">
        <f>$A$9</f>
        <v>Kirkland</v>
      </c>
      <c r="B35" s="17">
        <f t="shared" si="34"/>
        <v>0</v>
      </c>
      <c r="C35" s="17">
        <f t="shared" si="34"/>
        <v>0</v>
      </c>
      <c r="D35" s="17">
        <f t="shared" si="34"/>
        <v>2.1077261197498452E-2</v>
      </c>
      <c r="E35" s="17">
        <f t="shared" si="34"/>
        <v>1.5247314866732346E-3</v>
      </c>
      <c r="F35" s="17">
        <f t="shared" si="34"/>
        <v>0</v>
      </c>
      <c r="G35" s="17">
        <f t="shared" si="34"/>
        <v>0</v>
      </c>
      <c r="H35" s="17">
        <f t="shared" ref="H35" si="40">H22/$J$28</f>
        <v>7.6012436308201597E-3</v>
      </c>
      <c r="I35" s="13"/>
      <c r="J35" s="17">
        <f t="shared" si="28"/>
        <v>3.0203236314991846E-2</v>
      </c>
      <c r="K35" s="14"/>
      <c r="L35" t="str">
        <f>$A$9</f>
        <v>Kirkland</v>
      </c>
      <c r="M35" s="17">
        <f t="shared" si="36"/>
        <v>2.0354741365900919E-3</v>
      </c>
      <c r="N35" s="17">
        <f t="shared" si="36"/>
        <v>1.7554853361421098E-3</v>
      </c>
      <c r="O35" s="17">
        <f t="shared" si="36"/>
        <v>1.6874880560333143E-2</v>
      </c>
      <c r="P35" s="17">
        <f t="shared" si="36"/>
        <v>3.0221013381686954E-3</v>
      </c>
      <c r="Q35" s="17">
        <f t="shared" si="36"/>
        <v>1.9643658698096519E-3</v>
      </c>
      <c r="R35" s="17">
        <f t="shared" si="36"/>
        <v>1.0221813349688235E-4</v>
      </c>
      <c r="S35" s="17">
        <f t="shared" ref="S35" si="41">S22/$U$28</f>
        <v>4.4487109404512705E-3</v>
      </c>
      <c r="T35" s="17"/>
      <c r="U35" s="17">
        <f t="shared" si="31"/>
        <v>3.0203236314991846E-2</v>
      </c>
      <c r="W35" t="str">
        <f>$A$9</f>
        <v>Kirkland</v>
      </c>
      <c r="X35" s="17">
        <f t="shared" si="38"/>
        <v>2.0354741365900919E-3</v>
      </c>
      <c r="Y35" s="17">
        <f t="shared" si="39"/>
        <v>1.7554853361421098E-3</v>
      </c>
      <c r="Z35" s="17">
        <f t="shared" si="39"/>
        <v>-4.2023806371653087E-3</v>
      </c>
      <c r="AA35" s="17">
        <f t="shared" si="39"/>
        <v>1.4973698514954609E-3</v>
      </c>
      <c r="AB35" s="17">
        <f t="shared" si="39"/>
        <v>1.9643658698096519E-3</v>
      </c>
      <c r="AC35" s="17">
        <f t="shared" si="39"/>
        <v>1.0221813349688235E-4</v>
      </c>
      <c r="AD35" s="17">
        <f t="shared" si="39"/>
        <v>-3.1525326903688892E-3</v>
      </c>
      <c r="AE35" s="17"/>
      <c r="AF35" s="17">
        <f t="shared" si="33"/>
        <v>0</v>
      </c>
    </row>
    <row r="36" spans="1:32" x14ac:dyDescent="0.25">
      <c r="A36" t="str">
        <f>$A$10</f>
        <v>Redmond</v>
      </c>
      <c r="B36" s="17">
        <f t="shared" si="34"/>
        <v>7.1977621657333419E-3</v>
      </c>
      <c r="C36" s="17">
        <f t="shared" si="34"/>
        <v>1.9756580925032311E-3</v>
      </c>
      <c r="D36" s="17">
        <f t="shared" si="34"/>
        <v>4.0036056763842051E-3</v>
      </c>
      <c r="E36" s="17">
        <f t="shared" si="34"/>
        <v>3.3128607121433035E-2</v>
      </c>
      <c r="F36" s="17">
        <f t="shared" si="34"/>
        <v>0</v>
      </c>
      <c r="G36" s="17">
        <f t="shared" si="34"/>
        <v>0</v>
      </c>
      <c r="H36" s="17">
        <f t="shared" ref="H36" si="42">H23/$J$28</f>
        <v>3.4034896901474548E-3</v>
      </c>
      <c r="I36" s="13"/>
      <c r="J36" s="17">
        <f t="shared" si="28"/>
        <v>4.9709122746201269E-2</v>
      </c>
      <c r="K36" s="14"/>
      <c r="L36" t="str">
        <f>$A$10</f>
        <v>Redmond</v>
      </c>
      <c r="M36" s="17">
        <f t="shared" si="36"/>
        <v>7.7863552124581683E-3</v>
      </c>
      <c r="N36" s="17">
        <f t="shared" si="36"/>
        <v>1.1688421352034808E-3</v>
      </c>
      <c r="O36" s="17">
        <f t="shared" si="36"/>
        <v>4.1553893399819564E-3</v>
      </c>
      <c r="P36" s="17">
        <f t="shared" si="36"/>
        <v>3.0101018181494962E-2</v>
      </c>
      <c r="Q36" s="17">
        <f t="shared" si="36"/>
        <v>2.0532512032852019E-3</v>
      </c>
      <c r="R36" s="17">
        <f t="shared" si="36"/>
        <v>2.1776906701509717E-4</v>
      </c>
      <c r="S36" s="17">
        <f t="shared" ref="S36" si="43">S23/$U$28</f>
        <v>4.2264976067623965E-3</v>
      </c>
      <c r="T36" s="17"/>
      <c r="U36" s="17">
        <f t="shared" si="31"/>
        <v>4.9709122746201262E-2</v>
      </c>
      <c r="W36" t="str">
        <f>$A$10</f>
        <v>Redmond</v>
      </c>
      <c r="X36" s="17">
        <f t="shared" si="38"/>
        <v>5.8859304672482637E-4</v>
      </c>
      <c r="Y36" s="17">
        <f t="shared" si="39"/>
        <v>-8.0681595729975033E-4</v>
      </c>
      <c r="Z36" s="17">
        <f t="shared" si="39"/>
        <v>1.5178366359775135E-4</v>
      </c>
      <c r="AA36" s="17">
        <f t="shared" si="39"/>
        <v>-3.027588939938073E-3</v>
      </c>
      <c r="AB36" s="17">
        <f t="shared" si="39"/>
        <v>2.0532512032852019E-3</v>
      </c>
      <c r="AC36" s="17">
        <f t="shared" si="39"/>
        <v>2.1776906701509717E-4</v>
      </c>
      <c r="AD36" s="17">
        <f t="shared" si="39"/>
        <v>8.2300791661494167E-4</v>
      </c>
      <c r="AE36" s="17"/>
      <c r="AF36" s="17">
        <f t="shared" si="33"/>
        <v>0</v>
      </c>
    </row>
    <row r="37" spans="1:32" x14ac:dyDescent="0.25">
      <c r="A37" t="str">
        <f>$A$11</f>
        <v>Seattle</v>
      </c>
      <c r="B37" s="17">
        <f t="shared" si="34"/>
        <v>2.9701539405708435E-4</v>
      </c>
      <c r="C37" s="17">
        <f t="shared" si="34"/>
        <v>0</v>
      </c>
      <c r="D37" s="17">
        <f t="shared" si="34"/>
        <v>0</v>
      </c>
      <c r="E37" s="17">
        <f t="shared" si="34"/>
        <v>0</v>
      </c>
      <c r="F37" s="17">
        <f t="shared" si="34"/>
        <v>0.17319511694579701</v>
      </c>
      <c r="G37" s="17">
        <f t="shared" si="34"/>
        <v>2.2024973887711866E-2</v>
      </c>
      <c r="H37" s="17">
        <f t="shared" ref="H37" si="44">H24/$J$28</f>
        <v>6.98590476310552E-3</v>
      </c>
      <c r="I37" s="13"/>
      <c r="J37" s="17">
        <f t="shared" si="28"/>
        <v>0.20250301099067147</v>
      </c>
      <c r="K37" s="14"/>
      <c r="L37" t="str">
        <f>$A$11</f>
        <v>Seattle</v>
      </c>
      <c r="M37" s="17">
        <f t="shared" si="36"/>
        <v>2.2043562701936368E-3</v>
      </c>
      <c r="N37" s="17">
        <f t="shared" si="36"/>
        <v>4.3109386735641685E-4</v>
      </c>
      <c r="O37" s="17">
        <f t="shared" si="36"/>
        <v>1.8977018697029896E-3</v>
      </c>
      <c r="P37" s="17">
        <f t="shared" si="36"/>
        <v>1.1110666684443734E-3</v>
      </c>
      <c r="Q37" s="17">
        <f t="shared" si="36"/>
        <v>0.16950877520454738</v>
      </c>
      <c r="R37" s="17">
        <f t="shared" si="36"/>
        <v>1.0292921616468675E-2</v>
      </c>
      <c r="S37" s="17">
        <f t="shared" ref="S37" si="45">S24/$U$28</f>
        <v>1.7057095493958018E-2</v>
      </c>
      <c r="T37" s="17"/>
      <c r="U37" s="17">
        <f t="shared" si="31"/>
        <v>0.20250301099067147</v>
      </c>
      <c r="W37" t="str">
        <f>$A$11</f>
        <v>Seattle</v>
      </c>
      <c r="X37" s="17">
        <f t="shared" si="38"/>
        <v>1.9073408761365524E-3</v>
      </c>
      <c r="Y37" s="17">
        <f t="shared" si="39"/>
        <v>4.3109386735641685E-4</v>
      </c>
      <c r="Z37" s="17">
        <f t="shared" si="39"/>
        <v>1.8977018697029896E-3</v>
      </c>
      <c r="AA37" s="17">
        <f t="shared" si="39"/>
        <v>1.1110666684443734E-3</v>
      </c>
      <c r="AB37" s="17">
        <f t="shared" si="39"/>
        <v>-3.6863417412496269E-3</v>
      </c>
      <c r="AC37" s="17">
        <f t="shared" si="39"/>
        <v>-1.1732052271243191E-2</v>
      </c>
      <c r="AD37" s="17">
        <f t="shared" si="39"/>
        <v>1.0071190730852497E-2</v>
      </c>
      <c r="AE37" s="17"/>
      <c r="AF37" s="17">
        <f t="shared" si="33"/>
        <v>0</v>
      </c>
    </row>
    <row r="38" spans="1:32" x14ac:dyDescent="0.25">
      <c r="A38" t="str">
        <f>$A$12</f>
        <v>Seattle Downtown</v>
      </c>
      <c r="B38" s="17">
        <f t="shared" si="34"/>
        <v>7.4017881300853796E-4</v>
      </c>
      <c r="C38" s="17">
        <f t="shared" si="34"/>
        <v>0</v>
      </c>
      <c r="D38" s="17">
        <f t="shared" si="34"/>
        <v>0</v>
      </c>
      <c r="E38" s="17">
        <f t="shared" si="34"/>
        <v>0</v>
      </c>
      <c r="F38" s="17">
        <f t="shared" si="34"/>
        <v>1.4958309983171086E-2</v>
      </c>
      <c r="G38" s="17">
        <f t="shared" si="34"/>
        <v>0.12801133238922432</v>
      </c>
      <c r="H38" s="17">
        <f t="shared" ref="H38:H39" si="46">H25/$J$28</f>
        <v>9.1106064598947252E-4</v>
      </c>
      <c r="I38" s="13"/>
      <c r="J38" s="17">
        <f t="shared" si="28"/>
        <v>0.14462088183139341</v>
      </c>
      <c r="K38" s="14"/>
      <c r="L38" t="str">
        <f>$A$12</f>
        <v>Seattle Downtown</v>
      </c>
      <c r="M38" s="17">
        <f t="shared" si="36"/>
        <v>1.71993120275189E-3</v>
      </c>
      <c r="N38" s="17">
        <f t="shared" si="36"/>
        <v>2.844330671217596E-4</v>
      </c>
      <c r="O38" s="17">
        <f t="shared" si="36"/>
        <v>7.9107946793239377E-4</v>
      </c>
      <c r="P38" s="17">
        <f t="shared" si="36"/>
        <v>7.3330400117328646E-4</v>
      </c>
      <c r="Q38" s="17">
        <f t="shared" si="36"/>
        <v>3.0132128048211405E-2</v>
      </c>
      <c r="R38" s="17">
        <f t="shared" si="36"/>
        <v>0.10339586416543338</v>
      </c>
      <c r="S38" s="17">
        <f t="shared" ref="S38" si="47">S25/$U$28</f>
        <v>7.5641418787692934E-3</v>
      </c>
      <c r="T38" s="17"/>
      <c r="U38" s="17">
        <f t="shared" si="31"/>
        <v>0.14462088183139341</v>
      </c>
      <c r="W38" t="str">
        <f>$A$12</f>
        <v>Seattle Downtown</v>
      </c>
      <c r="X38" s="17">
        <f t="shared" si="38"/>
        <v>9.7975238974335214E-4</v>
      </c>
      <c r="Y38" s="17">
        <f t="shared" si="39"/>
        <v>2.844330671217596E-4</v>
      </c>
      <c r="Z38" s="17">
        <f t="shared" si="39"/>
        <v>7.9107946793239377E-4</v>
      </c>
      <c r="AA38" s="17">
        <f t="shared" si="39"/>
        <v>7.3330400117328646E-4</v>
      </c>
      <c r="AB38" s="17">
        <f t="shared" si="39"/>
        <v>1.5173818065040319E-2</v>
      </c>
      <c r="AC38" s="17">
        <f t="shared" si="39"/>
        <v>-2.4615468223790946E-2</v>
      </c>
      <c r="AD38" s="17">
        <f t="shared" si="39"/>
        <v>6.6530812327798205E-3</v>
      </c>
      <c r="AE38" s="17"/>
      <c r="AF38" s="17">
        <f t="shared" si="33"/>
        <v>0</v>
      </c>
    </row>
    <row r="39" spans="1:32" x14ac:dyDescent="0.25">
      <c r="A39" t="str">
        <f>$A$13</f>
        <v>Rest</v>
      </c>
      <c r="B39" s="17">
        <f t="shared" si="34"/>
        <v>1.8605576028439526E-3</v>
      </c>
      <c r="C39" s="17">
        <f t="shared" si="34"/>
        <v>0</v>
      </c>
      <c r="D39" s="17">
        <f t="shared" si="34"/>
        <v>9.538122490390797E-3</v>
      </c>
      <c r="E39" s="17">
        <f t="shared" si="34"/>
        <v>3.1573102790399613E-3</v>
      </c>
      <c r="F39" s="17">
        <f t="shared" si="34"/>
        <v>2.2546322415009394E-3</v>
      </c>
      <c r="G39" s="17">
        <f t="shared" si="34"/>
        <v>0</v>
      </c>
      <c r="H39" s="17">
        <f t="shared" si="46"/>
        <v>0.47688518510947098</v>
      </c>
      <c r="I39" s="13"/>
      <c r="J39" s="17">
        <f t="shared" si="28"/>
        <v>0.49369580772324662</v>
      </c>
      <c r="K39" s="14"/>
      <c r="L39" t="str">
        <f>$A$13</f>
        <v>Rest</v>
      </c>
      <c r="M39" s="17">
        <f t="shared" si="36"/>
        <v>5.1509050749081152E-3</v>
      </c>
      <c r="N39" s="17">
        <f t="shared" si="36"/>
        <v>1.3288357354594705E-3</v>
      </c>
      <c r="O39" s="17">
        <f t="shared" si="36"/>
        <v>4.0798368065277386E-3</v>
      </c>
      <c r="P39" s="17">
        <f t="shared" si="36"/>
        <v>3.5376362723268848E-3</v>
      </c>
      <c r="Q39" s="17">
        <f t="shared" si="36"/>
        <v>2.0341408565879588E-2</v>
      </c>
      <c r="R39" s="17">
        <f t="shared" si="36"/>
        <v>1.7554853361421098E-3</v>
      </c>
      <c r="S39" s="17">
        <f t="shared" ref="S39" si="48">S26/$U$28</f>
        <v>0.45750169993200274</v>
      </c>
      <c r="T39" s="17"/>
      <c r="U39" s="17">
        <f t="shared" si="31"/>
        <v>0.49369580772324662</v>
      </c>
      <c r="W39" t="str">
        <f>$A$13</f>
        <v>Rest</v>
      </c>
      <c r="X39" s="17">
        <f t="shared" ref="X39" si="49">M39-B39</f>
        <v>3.2903474720641628E-3</v>
      </c>
      <c r="Y39" s="17">
        <f t="shared" ref="Y39" si="50">N39-C39</f>
        <v>1.3288357354594705E-3</v>
      </c>
      <c r="Z39" s="17">
        <f t="shared" ref="Z39" si="51">O39-D39</f>
        <v>-5.4582856838630584E-3</v>
      </c>
      <c r="AA39" s="17">
        <f t="shared" ref="AA39" si="52">P39-E39</f>
        <v>3.8032599328692357E-4</v>
      </c>
      <c r="AB39" s="17">
        <f t="shared" ref="AB39" si="53">Q39-F39</f>
        <v>1.8086776324378648E-2</v>
      </c>
      <c r="AC39" s="17">
        <f t="shared" ref="AC39" si="54">R39-G39</f>
        <v>1.7554853361421098E-3</v>
      </c>
      <c r="AD39" s="17">
        <f t="shared" ref="AD39" si="55">S39-H39</f>
        <v>-1.938348517746824E-2</v>
      </c>
      <c r="AE39" s="17"/>
      <c r="AF39" s="17">
        <f t="shared" si="33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G41" si="56">B28/$J$28</f>
        <v>5.0896909477433888E-2</v>
      </c>
      <c r="C41" s="19">
        <f t="shared" si="56"/>
        <v>2.1667539130779356E-2</v>
      </c>
      <c r="D41" s="19">
        <f t="shared" si="56"/>
        <v>3.5954836008030192E-2</v>
      </c>
      <c r="E41" s="19">
        <f t="shared" si="56"/>
        <v>4.5559854980266351E-2</v>
      </c>
      <c r="F41" s="19">
        <f t="shared" si="56"/>
        <v>0.19138253943410213</v>
      </c>
      <c r="G41" s="19">
        <f t="shared" si="56"/>
        <v>0.15568956574175796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4.7909194743321379E-2</v>
      </c>
      <c r="N41" s="19">
        <f>N28/$U$28</f>
        <v>3.6758529658813648E-2</v>
      </c>
      <c r="O41" s="19">
        <f>O28/$U$28</f>
        <v>3.0674328582412258E-2</v>
      </c>
      <c r="P41" s="19">
        <f>P28/$U$28</f>
        <v>4.2860507801910148E-2</v>
      </c>
      <c r="Q41" s="19">
        <f t="shared" ref="Q41:S41" si="57">Q28/$U$28</f>
        <v>0.22819531663177917</v>
      </c>
      <c r="R41" s="19">
        <f t="shared" si="57"/>
        <v>0.11621757351928146</v>
      </c>
      <c r="S41" s="19">
        <f t="shared" si="57"/>
        <v>0.49738454906248192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58">M41-B41</f>
        <v>-2.9877147341125093E-3</v>
      </c>
      <c r="Y41" s="19">
        <f t="shared" si="58"/>
        <v>1.5090990528034292E-2</v>
      </c>
      <c r="Z41" s="19">
        <f t="shared" si="58"/>
        <v>-5.2805074256179335E-3</v>
      </c>
      <c r="AA41" s="19">
        <f t="shared" si="58"/>
        <v>-2.6993471783562026E-3</v>
      </c>
      <c r="AB41" s="19">
        <f t="shared" si="58"/>
        <v>3.6812777197677032E-2</v>
      </c>
      <c r="AC41" s="19">
        <f t="shared" si="58"/>
        <v>-3.9471992222476507E-2</v>
      </c>
      <c r="AD41" s="19">
        <f t="shared" si="58"/>
        <v>0.49738454906248192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H20" sqref="H20"/>
    </sheetView>
  </sheetViews>
  <sheetFormatPr defaultColWidth="9.140625"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r="2" spans="3:23" ht="15.75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35846.945698310898</v>
      </c>
      <c r="F4" s="486" t="s">
        <v>51</v>
      </c>
      <c r="G4" s="487">
        <f>TLFD!L11</f>
        <v>77327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45777.725386981903</v>
      </c>
      <c r="F5" s="489" t="s">
        <v>54</v>
      </c>
      <c r="G5" s="490">
        <f>TLFD!L12+TLFD!L13+(TLFD!L14/2)</f>
        <v>42681.5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t="shared" ref="Q5:Q68" si="0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86730.09354352481</v>
      </c>
      <c r="F6" s="489" t="s">
        <v>57</v>
      </c>
      <c r="G6" s="490">
        <f>(TLFD!L14/2)+SUM(TLFD!L15:L20)</f>
        <v>75807.5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t="shared" si="0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15688.4007686066</v>
      </c>
      <c r="F7" s="492" t="s">
        <v>60</v>
      </c>
      <c r="G7" s="493">
        <f>SUM(TLFD!L21:L101)</f>
        <v>29354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t="shared" si="0"/>
        <v>-0.34490013167299999</v>
      </c>
      <c r="T7" s="505">
        <v>5</v>
      </c>
      <c r="U7" s="505" t="s">
        <v>280</v>
      </c>
    </row>
    <row r="8" spans="3:23" ht="15.75" thickBot="1" x14ac:dyDescent="0.3">
      <c r="C8" s="495" t="s">
        <v>4</v>
      </c>
      <c r="D8" s="496">
        <f>SUM(D4:D7)</f>
        <v>184043.16539742422</v>
      </c>
      <c r="E8" s="497"/>
      <c r="F8" s="495" t="s">
        <v>4</v>
      </c>
      <c r="G8" s="496">
        <f>SUM(G4:G7)</f>
        <v>225170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t="shared" si="0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t="shared" si="0"/>
        <v>-3.9895313632499998</v>
      </c>
      <c r="T9" s="505"/>
      <c r="U9" s="560" t="s">
        <v>281</v>
      </c>
    </row>
    <row r="10" spans="3:23" ht="15.75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t="shared" si="0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t="shared" si="0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0.19477466398115206</v>
      </c>
      <c r="F12" s="486" t="s">
        <v>51</v>
      </c>
      <c r="G12" s="500">
        <f>G4/G$8</f>
        <v>0.34341608562419507</v>
      </c>
      <c r="H12" s="500"/>
      <c r="I12" s="544">
        <f>D12/G12</f>
        <v>0.56716814422693251</v>
      </c>
      <c r="J12" s="545">
        <f>LN(I12)</f>
        <v>-0.56709946855205817</v>
      </c>
      <c r="K12" s="545">
        <f>K8*J12</f>
        <v>-0.56709946855205817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t="shared" si="0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t="shared" ref="D13:D16" si="1">D5/D$8</f>
        <v>0.24873363424351635</v>
      </c>
      <c r="F13" s="489" t="s">
        <v>54</v>
      </c>
      <c r="G13" s="501">
        <f t="shared" ref="G13:G16" si="2">G5/G$8</f>
        <v>0.18955233823333481</v>
      </c>
      <c r="H13" s="501"/>
      <c r="I13" s="544">
        <f t="shared" ref="I13:I15" si="3">D13/G13</f>
        <v>1.3122161222687247</v>
      </c>
      <c r="J13" s="545">
        <f t="shared" ref="J13:J15" si="4">LN(I13)</f>
        <v>0.27171740429480601</v>
      </c>
      <c r="K13" s="545">
        <f>K8*(J13-J12)</f>
        <v>0.83881687284686413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t="shared" si="0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t="shared" si="1"/>
        <v>0.47124865167494367</v>
      </c>
      <c r="F14" s="489" t="s">
        <v>57</v>
      </c>
      <c r="G14" s="501">
        <f t="shared" si="2"/>
        <v>0.33666785095705465</v>
      </c>
      <c r="H14" s="501"/>
      <c r="I14" s="544">
        <f t="shared" si="3"/>
        <v>1.3997435464518295</v>
      </c>
      <c r="J14" s="545">
        <f t="shared" si="4"/>
        <v>0.3362890387356689</v>
      </c>
      <c r="K14" s="545">
        <f>K8*(J14-J13-J12)</f>
        <v>0.63167110299292106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t="shared" si="0"/>
        <v>-0.80534348065299999</v>
      </c>
      <c r="T14" s="505">
        <v>5</v>
      </c>
      <c r="U14" s="477" t="s">
        <v>285</v>
      </c>
    </row>
    <row r="15" spans="3:23" ht="15.75" thickBot="1" x14ac:dyDescent="0.3">
      <c r="C15" s="492" t="s">
        <v>60</v>
      </c>
      <c r="D15" s="501">
        <f t="shared" si="1"/>
        <v>8.5243050100387852E-2</v>
      </c>
      <c r="F15" s="492" t="s">
        <v>60</v>
      </c>
      <c r="G15" s="501">
        <f t="shared" si="2"/>
        <v>0.13036372518541547</v>
      </c>
      <c r="H15" s="501"/>
      <c r="I15" s="546">
        <f t="shared" si="3"/>
        <v>0.65388627073326744</v>
      </c>
      <c r="J15" s="547">
        <f t="shared" si="4"/>
        <v>-0.42482184060830674</v>
      </c>
      <c r="K15" s="547">
        <f>K8*(J15-J14-J13-J12)</f>
        <v>-0.46572881508672348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t="shared" si="0"/>
        <v>-0.51977799879300002</v>
      </c>
      <c r="T15" s="505">
        <v>6</v>
      </c>
      <c r="U15" s="505" t="s">
        <v>286</v>
      </c>
    </row>
    <row r="16" spans="3:23" ht="15.75" thickBot="1" x14ac:dyDescent="0.3">
      <c r="C16" s="495" t="s">
        <v>4</v>
      </c>
      <c r="D16" s="503">
        <f t="shared" si="1"/>
        <v>1</v>
      </c>
      <c r="E16" s="497"/>
      <c r="F16" s="495" t="s">
        <v>4</v>
      </c>
      <c r="G16" s="503">
        <f t="shared" si="2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t="shared" si="0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t="shared" si="0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t="shared" si="0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t="shared" si="0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t="shared" si="0"/>
        <v>0</v>
      </c>
    </row>
    <row r="21" spans="2:21" ht="15.75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t="shared" si="0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t="shared" si="0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t="shared" si="0"/>
        <v>-12.0946718381</v>
      </c>
    </row>
    <row r="24" spans="2:21" x14ac:dyDescent="0.25">
      <c r="B24" s="537">
        <v>0</v>
      </c>
      <c r="C24" s="489" t="s">
        <v>54</v>
      </c>
      <c r="D24" s="550" t="e">
        <f t="shared" ref="D24:D26" si="5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t="shared" si="0"/>
        <v>-4.03623745316</v>
      </c>
    </row>
    <row r="25" spans="2:21" x14ac:dyDescent="0.25">
      <c r="B25" s="537">
        <v>0</v>
      </c>
      <c r="C25" s="489" t="s">
        <v>57</v>
      </c>
      <c r="D25" s="550" t="e">
        <f t="shared" si="5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t="shared" si="0"/>
        <v>-2.16371815818</v>
      </c>
    </row>
    <row r="26" spans="2:21" ht="15.75" thickBot="1" x14ac:dyDescent="0.3">
      <c r="B26" s="538">
        <v>0</v>
      </c>
      <c r="C26" s="509" t="s">
        <v>60</v>
      </c>
      <c r="D26" s="551" t="e">
        <f t="shared" si="5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t="shared" si="0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t="shared" si="0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t="shared" si="0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t="shared" si="0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t="shared" si="0"/>
        <v>-5.1880432348000003</v>
      </c>
    </row>
    <row r="31" spans="2:21" ht="15.75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t="shared" si="0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t="shared" si="0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-0.56709946855205817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t="shared" si="0"/>
        <v>5.7553461640599997E-2</v>
      </c>
    </row>
    <row r="34" spans="2:17" x14ac:dyDescent="0.25">
      <c r="B34" s="537">
        <f t="shared" ref="B34:B36" si="6">B24</f>
        <v>0</v>
      </c>
      <c r="C34" s="489" t="s">
        <v>54</v>
      </c>
      <c r="D34" s="553">
        <f t="shared" ref="D34:D36" si="7">K13</f>
        <v>0.83881687284686413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t="shared" si="0"/>
        <v>0.237798002151</v>
      </c>
    </row>
    <row r="35" spans="2:17" x14ac:dyDescent="0.25">
      <c r="B35" s="537">
        <f t="shared" si="6"/>
        <v>0</v>
      </c>
      <c r="C35" s="489" t="s">
        <v>57</v>
      </c>
      <c r="D35" s="553">
        <f t="shared" si="7"/>
        <v>0.63167110299292106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t="shared" si="0"/>
        <v>0</v>
      </c>
    </row>
    <row r="36" spans="2:17" ht="15.75" thickBot="1" x14ac:dyDescent="0.3">
      <c r="B36" s="539">
        <f t="shared" si="6"/>
        <v>0</v>
      </c>
      <c r="C36" s="509" t="s">
        <v>60</v>
      </c>
      <c r="D36" s="510">
        <f t="shared" si="7"/>
        <v>-0.46572881508672348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t="shared" si="0"/>
        <v>0</v>
      </c>
    </row>
    <row r="37" spans="2:17" ht="15.75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t="shared" si="0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t="shared" si="0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t="shared" si="0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t="shared" si="0"/>
        <v>-7.1836373472300004</v>
      </c>
    </row>
    <row r="41" spans="2:17" ht="15.75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t="shared" si="0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t="shared" si="0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t="shared" si="0"/>
        <v>-0.22141031751900001</v>
      </c>
    </row>
    <row r="44" spans="2:17" x14ac:dyDescent="0.25">
      <c r="B44" s="537">
        <f t="shared" ref="B44:B46" si="8">B34</f>
        <v>0</v>
      </c>
      <c r="C44" s="489" t="s">
        <v>54</v>
      </c>
      <c r="D44" s="554" t="e">
        <f t="shared" ref="D44:D46" si="9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t="shared" si="0"/>
        <v>0.64228876129599999</v>
      </c>
    </row>
    <row r="45" spans="2:17" x14ac:dyDescent="0.25">
      <c r="B45" s="537">
        <f t="shared" si="8"/>
        <v>0</v>
      </c>
      <c r="C45" s="489" t="s">
        <v>57</v>
      </c>
      <c r="D45" s="554" t="e">
        <f t="shared" si="9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t="shared" si="0"/>
        <v>0.74588429254199995</v>
      </c>
    </row>
    <row r="46" spans="2:17" ht="15.75" thickBot="1" x14ac:dyDescent="0.3">
      <c r="B46" s="539">
        <f t="shared" si="8"/>
        <v>0</v>
      </c>
      <c r="C46" s="509" t="s">
        <v>60</v>
      </c>
      <c r="D46" s="555" t="e">
        <f t="shared" si="9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t="shared" si="0"/>
        <v>-32.156094092099998</v>
      </c>
    </row>
    <row r="47" spans="2:17" ht="15.75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t="shared" si="0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t="shared" si="0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t="shared" si="0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t="shared" si="0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t="shared" si="0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t="shared" si="0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t="shared" si="0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t="shared" si="0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t="shared" si="0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t="shared" si="0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t="shared" si="0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t="shared" si="0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t="shared" si="0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t="shared" si="0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t="shared" si="0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t="shared" si="0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t="shared" si="0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t="shared" si="0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t="shared" si="0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t="shared" si="0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t="shared" si="0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t="shared" si="0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t="shared" ref="Q69:Q104" si="10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t="shared" si="10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t="shared" si="10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t="shared" si="10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t="shared" si="10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t="shared" si="10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t="shared" si="10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t="shared" si="10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t="shared" si="10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t="shared" si="10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t="shared" si="10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t="shared" si="10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t="shared" si="10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t="shared" si="10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t="shared" si="10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t="shared" si="10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t="shared" si="10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t="shared" si="10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t="shared" si="10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t="shared" si="10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t="shared" si="10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t="shared" si="10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t="shared" si="10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t="shared" si="10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t="shared" si="10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t="shared" si="10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t="shared" si="10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t="shared" si="10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t="shared" si="10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t="shared" si="10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t="shared" si="10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t="shared" si="10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t="shared" si="10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t="shared" si="10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t="shared" si="10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2020-01-17T18:39:47Z</dcterms:modified>
</cp:coreProperties>
</file>