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D6"/>
  <c i="6" r="D7"/>
  <c i="6" r="G6"/>
  <c i="6" r="G7"/>
  <c i="6" l="1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N104"/>
  <c i="6" r="M104" s="1"/>
  <c i="6" r="O104"/>
  <c i="6" r="P104"/>
  <c i="6" r="P3"/>
  <c i="6" r="O3"/>
  <c i="6" r="N3"/>
  <c i="6" r="M3" s="1"/>
  <c i="6" l="1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0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1" r="S20"/>
  <c i="1" r="S21"/>
  <c i="1" r="S22"/>
  <c i="1" r="S23"/>
  <c i="1" r="S24"/>
  <c i="1" r="S25"/>
  <c i="1" r="S26"/>
  <c i="1" r="L13"/>
  <c i="1" r="H6"/>
  <c i="6" l="1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D15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K12"/>
  <c i="6" r="D33" s="1"/>
  <c i="6" r="D43" s="1"/>
  <c i="6" r="Q23" s="1"/>
  <c i="6" r="I13"/>
  <c i="6" r="J13" s="1"/>
  <c i="6" r="I15"/>
  <c i="6" r="J14" s="1"/>
  <c i="6" r="K14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3"/>
  <c i="6" r="D34" s="1"/>
  <c i="6" r="D44" s="1"/>
  <c i="6" r="Q24" s="1"/>
  <c i="6" r="D35"/>
  <c i="6" r="D45" s="1"/>
  <c i="6" r="Q25" s="1"/>
  <c i="1" r="Q15"/>
  <c i="1" r="Q28" s="1"/>
  <c i="1" r="R15"/>
  <c i="1" r="R28" s="1"/>
  <c i="1" r="U10"/>
  <c i="1" r="U11"/>
  <c i="1" r="U12"/>
  <c i="1" r="J10"/>
  <c i="1" r="J11"/>
  <c i="1" r="J12"/>
  <c i="1" r="F15"/>
  <c i="1" r="G15"/>
  <c i="1" l="1" r="G23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G28"/>
  <c i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l="1" r="E38"/>
  <c i="1" r="AA38" s="1"/>
  <c i="1" r="C33"/>
  <c i="1" r="Y33" s="1"/>
  <c i="1" r="E33"/>
  <c i="1" r="AA33" s="1"/>
  <c i="1" r="I41"/>
  <c i="1" r="AE41" s="1"/>
  <c i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<sst xmlns="http://schemas.openxmlformats.org/spreadsheetml/2006/main" count="717" uniqueCount="288">
  <si>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</si>
  <si>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</si>
  <si>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</si>
  <si>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</si>
  <si>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</si>
  <si>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</si>
  <si>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</si>
  <si>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</si>
  <si>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</si>
  <si>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</si>
  <si>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</si>
  <si>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</si>
  <si>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</si>
  <si>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</si>
  <si>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</si>
  <si>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</si>
  <si>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</si>
  <si>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</si>
  <si>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</si>
  <si>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</si>
  <si>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</si>
  <si>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</si>
  <si>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</si>
  <si>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</si>
  <si>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</si>
  <si>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</si>
  <si>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</si>
  <si>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</si>
  <si>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</si>
  <si>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</si>
  <si>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</si>
  <si>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</si>
  <si>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</si>
  <si>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</si>
  <si>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</si>
  <si>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</si>
  <si>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</si>
  <si>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</si>
  <si>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</si>
  <si>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</si>
  <si>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</si>
  <si>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</si>
  <si>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</si>
  <si>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</si>
  <si>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</si>
  <si>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</si>
  <si>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</si>
  <si>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</si>
  <si>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</si>
  <si>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</si>
  <si>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</si>
  <si>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</si>
  <si>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</si>
  <si>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</si>
  <si>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</si>
  <si>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</si>
  <si>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</si>
  <si>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</si>
  <si>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</si>
  <si>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</si>
  <si>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</si>
  <si>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</si>
  <si>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</si>
  <si>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</si>
  <si>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</si>
  <si>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</si>
  <si>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</si>
  <si>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</si>
  <si>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</si>
  <si>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</si>
  <si>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</si>
  <si>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</si>
  <si>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</si>
  <si>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</si>
  <si>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</si>
  <si>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</si>
  <si>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</si>
  <si>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</si>
  <si>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</si>
  <si>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</si>
  <si>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</si>
  <si>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</si>
  <si>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</si>
  <si>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</si>
  <si>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</si>
  <si>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</si>
  <si>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</si>
  <si>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</si>
  <si>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</si>
  <si>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</si>
  <si>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</si>
  <si>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</si>
  <si>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</si>
  <si>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</si>
  <si>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</si>
  <si>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</si>
  <si>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</si>
  <si>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</si>
  <si>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</si>
  <si>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</si>
  <si>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</si>
  <si>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</si>
  <si>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</si>
  <si>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</si>
  <si>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</si>
  <si>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</si>
  <si>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</si>
  <si>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</si>
  <si>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</si>
  <si>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</si>
  <si>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</si>
  <si>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</si>
  <si>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</si>
  <si>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</si>
  <si>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</si>
  <si>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</si>
  <si>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</si>
  <si>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</si>
  <si>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</si>
  <si>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</si>
  <si>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</si>
  <si>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</si>
  <si>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</si>
  <si>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</si>
  <si>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</si>
  <si>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</si>
  <si>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</si>
  <si>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</si>
  <si>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</si>
  <si>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</si>
  <si>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</si>
  <si>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</si>
  <si>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</si>
  <si>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</si>
  <si>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</si>
  <si>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</si>
  <si>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</si>
  <si>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</si>
  <si>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</si>
  <si>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</si>
  <si>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</si>
  <si>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</si>
  <si>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</si>
  <si>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</si>
  <si>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</si>
  <si>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</si>
  <si>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</si>
  <si>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</si>
  <si>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</si>
  <si>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</si>
  <si>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</si>
  <si>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</si>
  <si>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</si>
  <si>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</si>
  <si>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</si>
  <si>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</si>
  <si>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</si>
  <si>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</si>
  <si>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</si>
  <si>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</si>
  <si>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</si>
  <si>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</si>
  <si>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</si>
  <si>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</si>
  <si>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</si>
  <si>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</si>
  <si>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</si>
  <si>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</si>
  <si>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</si>
  <si>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</si>
  <si>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</si>
  <si>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</si>
  <si>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</si>
  <si>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</si>
  <si>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</si>
  <si>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</si>
  <si>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</si>
  <si>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</si>
  <si>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</si>
  <si>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</si>
  <si>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</si>
  <si>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</si>
  <si>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</si>
  <si>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</si>
  <si>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</si>
  <si>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</si>
  <si>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</si>
  <si>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</si>
  <si>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</si>
  <si>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</si>
  <si>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</si>
  <si>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</si>
  <si>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</si>
  <si>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</si>
  <si>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</si>
  <si>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</si>
  <si>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</si>
  <si>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</si>
  <si>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</si>
  <si>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</si>
  <si>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</si>
  <si>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</si>
  <si>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</si>
  <si>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</si>
  <si>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</si>
  <si>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</si>
  <si>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</si>
  <si>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</si>
  <si>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</si>
  <si>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</si>
  <si>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</si>
  <si>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</si>
  <si>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</si>
  <si>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</si>
  <si>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</si>
  <si>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</si>
  <si>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</si>
  <si>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</si>
  <si>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</si>
  <si>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</si>
  <si>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</si>
  <si>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</si>
  <si>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</si>
  <si>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</si>
  <si>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</si>
  <si>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</si>
  <si>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</si>
  <si>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</si>
  <si>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</si>
  <si>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</si>
  <si>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</si>
  <si>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</si>
  <si>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</si>
  <si>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</si>
  <si>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</si>
  <si>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</si>
  <si>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</si>
  <si>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</si>
  <si>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</si>
  <si>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</si>
  <si>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</si>
  <si>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</si>
  <si>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</si>
  <si>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</si>
  <si>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</si>
  <si>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</si>
  <si>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</si>
  <si>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</si>
  <si>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</si>
  <si>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</si>
  <si>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</si>
  <si>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</si>
  <si>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</si>
  <si>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</si>
  <si>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</si>
  <si>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</si>
  <si>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</si>
  <si>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</si>
  <si>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</si>
  <si>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</si>
  <si>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</si>
  <si>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</si>
  <si>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</si>
  <si>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</si>
  <si>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</si>
  <si>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</si>
  <si>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</si>
  <si>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</si>
  <si>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</si>
  <si>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</si>
  <si>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</si>
  <si>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</si>
  <si>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</si>
  <si>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</si>
  <si>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</si>
  <si>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</si>
  <si>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</si>
  <si>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</si>
  <si>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</si>
  <si>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RATIO</t>
  </si>
  <si>
    <t>LN(RATIO)</t>
  </si>
  <si>
    <t>ADJ</t>
  </si>
  <si>
    <t>Copy (Ctrl-c) cells Q3:Q104</t>
  </si>
  <si>
    <t>CALIBRATION</t>
  </si>
  <si>
    <t>Damp</t>
  </si>
  <si>
    <t>Distance from origin is 0-1 mile</t>
  </si>
  <si>
    <t>Distance from origin is 1-3.5 miles</t>
  </si>
  <si>
    <t>Distance from origin is 3.5-10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</si>
</sst>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0" fillId="0" fontId="0" numFmtId="172" xfId="0">
      <alignment horizontal="right" vertical="top"/>
    </xf>
    <xf applyAlignment="1" applyFont="1" applyNumberFormat="1" borderId="0" fillId="0" fontId="0" numFmtId="172" xfId="0">
      <alignment horizontal="right"/>
    </xf>
    <xf applyAlignment="1" applyBorder="1" applyFill="1" applyFont="1" borderId="2" fillId="6" fontId="1" numFmtId="0" xfId="0">
      <alignment horizontal="left"/>
    </xf>
    <xf applyAlignment="1" applyBorder="1" applyFill="1" applyFont="1" borderId="2" fillId="6" fontId="6" numFmtId="0" xfId="0">
      <alignment horizontal="left"/>
    </xf>
    <xf applyAlignment="1" applyBorder="1" applyFill="1" applyFont="1" applyNumberFormat="1" borderId="2" fillId="6" fontId="6" numFmtId="1" xfId="0">
      <alignment horizontal="right"/>
    </xf>
    <xf applyAlignment="1" applyFill="1" applyFont="1" borderId="0" fillId="6" fontId="0" numFmtId="0" xfId="0">
      <alignment horizontal="left"/>
    </xf>
    <xf applyAlignment="1" applyBorder="1" applyFill="1" applyFont="1" borderId="0" fillId="6" fontId="0" numFmtId="0" xfId="0">
      <alignment horizontal="left" vertical="top"/>
    </xf>
    <xf applyAlignment="1" applyFill="1" applyFont="1" applyNumberFormat="1" borderId="0" fillId="6" fontId="7" numFmtId="166" xfId="0">
      <alignment horizontal="right"/>
    </xf>
    <xf applyFill="1" applyFont="1" borderId="0" fillId="6" fontId="0" numFmtId="0" xfId="0"/>
    <xf applyFill="1" applyFont="1" applyNumberFormat="1" borderId="0" fillId="6" fontId="0" numFmtId="3" xfId="0"/>
    <xf applyAlignment="1" applyBorder="1" applyFill="1" applyFont="1" borderId="1" fillId="6" fontId="0" numFmtId="0" xfId="0">
      <alignment horizontal="left"/>
    </xf>
    <xf applyBorder="1" applyFill="1" applyFont="1" applyNumberFormat="1" borderId="1" fillId="6" fontId="0" numFmtId="3" xfId="0"/>
    <xf applyAlignment="1" applyBorder="1" applyFill="1" applyFont="1" applyNumberFormat="1" borderId="1" fillId="6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4.0663548505444534E-2</c:v>
                </c:pt>
                <c:pt idx="1">
                  <c:v>5.4075128560358961E-2</c:v>
                </c:pt>
                <c:pt idx="2">
                  <c:v>7.1263169458941247E-2</c:v>
                </c:pt>
                <c:pt idx="3">
                  <c:v>0.1086341323527313</c:v>
                </c:pt>
                <c:pt idx="4">
                  <c:v>0.20221555173518957</c:v>
                </c:pt>
                <c:pt idx="5">
                  <c:v>8.7182570512387245E-2</c:v>
                </c:pt>
                <c:pt idx="6">
                  <c:v>0.12011221186629407</c:v>
                </c:pt>
                <c:pt idx="7">
                  <c:v>7.1789132269216654E-2</c:v>
                </c:pt>
                <c:pt idx="8">
                  <c:v>3.091890479280248E-2</c:v>
                </c:pt>
                <c:pt idx="9">
                  <c:v>2.3297138492224451E-2</c:v>
                </c:pt>
                <c:pt idx="10">
                  <c:v>7.0983326556598128E-2</c:v>
                </c:pt>
                <c:pt idx="11">
                  <c:v>1.236829340649597E-2</c:v>
                </c:pt>
                <c:pt idx="12">
                  <c:v>1.6574818158702539E-2</c:v>
                </c:pt>
                <c:pt idx="13">
                  <c:v>7.9620856270818403E-3</c:v>
                </c:pt>
                <c:pt idx="14">
                  <c:v>9.4429366990092124E-3</c:v>
                </c:pt>
                <c:pt idx="15">
                  <c:v>5.2172578020261299E-3</c:v>
                </c:pt>
                <c:pt idx="16">
                  <c:v>1.55637068578515E-2</c:v>
                </c:pt>
                <c:pt idx="17">
                  <c:v>1.4395788097115754E-2</c:v>
                </c:pt>
                <c:pt idx="18">
                  <c:v>1.4022051187162187E-2</c:v>
                </c:pt>
                <c:pt idx="19">
                  <c:v>3.1976208799237562E-3</c:v>
                </c:pt>
                <c:pt idx="20">
                  <c:v>1.4171558563406399E-3</c:v>
                </c:pt>
                <c:pt idx="21">
                  <c:v>2.8106520781222151E-3</c:v>
                </c:pt>
                <c:pt idx="22">
                  <c:v>2.3039300946086209E-3</c:v>
                </c:pt>
                <c:pt idx="23">
                  <c:v>1.1641621602611698E-3</c:v>
                </c:pt>
                <c:pt idx="24">
                  <c:v>1.3655160684095669E-3</c:v>
                </c:pt>
                <c:pt idx="25">
                  <c:v>0</c:v>
                </c:pt>
                <c:pt idx="26">
                  <c:v>3.8200666267687106E-4</c:v>
                </c:pt>
                <c:pt idx="27">
                  <c:v>2.8338534256362731E-3</c:v>
                </c:pt>
                <c:pt idx="28">
                  <c:v>1.9790544197180078E-3</c:v>
                </c:pt>
                <c:pt idx="29">
                  <c:v>8.3860491240621846E-4</c:v>
                </c:pt>
                <c:pt idx="30">
                  <c:v>0</c:v>
                </c:pt>
                <c:pt idx="31">
                  <c:v>5.684206346484161E-4</c:v>
                </c:pt>
                <c:pt idx="32">
                  <c:v>0</c:v>
                </c:pt>
                <c:pt idx="33">
                  <c:v>1.2045499525443111E-3</c:v>
                </c:pt>
                <c:pt idx="34">
                  <c:v>2.2024110653399423E-3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4.5183123787483363E-4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5.9847761385513093E-4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0.13511058343711935</c:v>
                </c:pt>
                <c:pt idx="1">
                  <c:v>0.10594728126240301</c:v>
                </c:pt>
                <c:pt idx="2">
                  <c:v>7.1083731369838643E-2</c:v>
                </c:pt>
                <c:pt idx="3">
                  <c:v>4.5933868914831595E-2</c:v>
                </c:pt>
                <c:pt idx="4">
                  <c:v>0.18194944366129717</c:v>
                </c:pt>
                <c:pt idx="5">
                  <c:v>8.5643997974461789E-2</c:v>
                </c:pt>
                <c:pt idx="6">
                  <c:v>8.0699905566124247E-2</c:v>
                </c:pt>
                <c:pt idx="7">
                  <c:v>4.7911505878166616E-2</c:v>
                </c:pt>
                <c:pt idx="8">
                  <c:v>3.6139775822190592E-2</c:v>
                </c:pt>
                <c:pt idx="9">
                  <c:v>1.7884270600955286E-2</c:v>
                </c:pt>
                <c:pt idx="10">
                  <c:v>1.3058220537315066E-2</c:v>
                </c:pt>
                <c:pt idx="11">
                  <c:v>1.4938344259378379E-2</c:v>
                </c:pt>
                <c:pt idx="12">
                  <c:v>1.5728714741264867E-2</c:v>
                </c:pt>
                <c:pt idx="13">
                  <c:v>1.8577127841570066E-2</c:v>
                </c:pt>
                <c:pt idx="14">
                  <c:v>1.1251659435860237E-2</c:v>
                </c:pt>
                <c:pt idx="15">
                  <c:v>1.6050337361599627E-2</c:v>
                </c:pt>
                <c:pt idx="16">
                  <c:v>1.134232964265674E-2</c:v>
                </c:pt>
                <c:pt idx="17">
                  <c:v>9.239807300149179E-3</c:v>
                </c:pt>
                <c:pt idx="18">
                  <c:v>9.6897368168940828E-3</c:v>
                </c:pt>
                <c:pt idx="19">
                  <c:v>6.8310591648760724E-3</c:v>
                </c:pt>
                <c:pt idx="20">
                  <c:v>6.0321348898955754E-3</c:v>
                </c:pt>
                <c:pt idx="21">
                  <c:v>7.0979375094091723E-3</c:v>
                </c:pt>
                <c:pt idx="22">
                  <c:v>4.7439336499377283E-3</c:v>
                </c:pt>
                <c:pt idx="23">
                  <c:v>4.6395773741908109E-3</c:v>
                </c:pt>
                <c:pt idx="24">
                  <c:v>4.9988366841392145E-3</c:v>
                </c:pt>
                <c:pt idx="25">
                  <c:v>3.9638277197640518E-3</c:v>
                </c:pt>
                <c:pt idx="26">
                  <c:v>3.7243215131317832E-3</c:v>
                </c:pt>
                <c:pt idx="27">
                  <c:v>5.5223288214926031E-3</c:v>
                </c:pt>
                <c:pt idx="28">
                  <c:v>2.9835630311905513E-3</c:v>
                </c:pt>
                <c:pt idx="29">
                  <c:v>2.9767199967153436E-3</c:v>
                </c:pt>
                <c:pt idx="30">
                  <c:v>2.7440568245582823E-3</c:v>
                </c:pt>
                <c:pt idx="31">
                  <c:v>1.8784129634445098E-3</c:v>
                </c:pt>
                <c:pt idx="32">
                  <c:v>1.5995593085797967E-3</c:v>
                </c:pt>
                <c:pt idx="33">
                  <c:v>1.3189948950962816E-3</c:v>
                </c:pt>
                <c:pt idx="34">
                  <c:v>1.3035980675270642E-3</c:v>
                </c:pt>
                <c:pt idx="35">
                  <c:v>8.8446220592059343E-4</c:v>
                </c:pt>
                <c:pt idx="36">
                  <c:v>1.4626986190756429E-3</c:v>
                </c:pt>
                <c:pt idx="37">
                  <c:v>8.827514473017915E-4</c:v>
                </c:pt>
                <c:pt idx="38">
                  <c:v>8.8959448177699922E-4</c:v>
                </c:pt>
                <c:pt idx="39">
                  <c:v>5.9534399934306871E-4</c:v>
                </c:pt>
                <c:pt idx="40">
                  <c:v>6.5179903376353212E-4</c:v>
                </c:pt>
                <c:pt idx="41">
                  <c:v>5.2520289597218989E-4</c:v>
                </c:pt>
                <c:pt idx="42">
                  <c:v>4.1742510298766887E-4</c:v>
                </c:pt>
                <c:pt idx="43">
                  <c:v>3.5754855132960161E-4</c:v>
                </c:pt>
                <c:pt idx="44">
                  <c:v>4.2768965470048038E-4</c:v>
                </c:pt>
                <c:pt idx="45">
                  <c:v>2.4292772386987286E-4</c:v>
                </c:pt>
                <c:pt idx="46">
                  <c:v>3.5754855132960161E-4</c:v>
                </c:pt>
                <c:pt idx="47">
                  <c:v>2.8398593072111899E-4</c:v>
                </c:pt>
                <c:pt idx="48">
                  <c:v>1.7791889635539984E-4</c:v>
                </c:pt>
                <c:pt idx="49">
                  <c:v>1.7791889635539984E-4</c:v>
                </c:pt>
                <c:pt idx="50">
                  <c:v>1.3514993088535181E-4</c:v>
                </c:pt>
                <c:pt idx="51">
                  <c:v>1.7962965497420177E-4</c:v>
                </c:pt>
                <c:pt idx="52">
                  <c:v>1.1804234469733259E-4</c:v>
                </c:pt>
                <c:pt idx="53">
                  <c:v>1.111993102221249E-4</c:v>
                </c:pt>
                <c:pt idx="54">
                  <c:v>1.5225751707337101E-4</c:v>
                </c:pt>
                <c:pt idx="55">
                  <c:v>8.2116413702492237E-5</c:v>
                </c:pt>
                <c:pt idx="56">
                  <c:v>4.4479724088849961E-5</c:v>
                </c:pt>
                <c:pt idx="57">
                  <c:v>4.6190482707651882E-5</c:v>
                </c:pt>
                <c:pt idx="58">
                  <c:v>5.6455034420463408E-5</c:v>
                </c:pt>
                <c:pt idx="59">
                  <c:v>4.1058206851246119E-5</c:v>
                </c:pt>
                <c:pt idx="60">
                  <c:v>1.3686068950415372E-5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4888"/>
        <c:axId val="116616848"/>
      </c:lineChart>
      <c:catAx>
        <c:axId val="11661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616848"/>
        <c:crosses val="autoZero"/>
        <c:auto val="1"/>
        <c:lblAlgn val="ctr"/>
        <c:lblOffset val="100"/>
        <c:tickLblSkip val="10"/>
        <c:noMultiLvlLbl val="0"/>
      </c:catAx>
      <c:valAx>
        <c:axId val="116616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488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7.8823411559398367E-3</c:v>
                </c:pt>
                <c:pt idx="1">
                  <c:v>8.3562248856167854E-3</c:v>
                </c:pt>
                <c:pt idx="2">
                  <c:v>8.3713929298280358E-3</c:v>
                </c:pt>
                <c:pt idx="3">
                  <c:v>1.3887582379366161E-2</c:v>
                </c:pt>
                <c:pt idx="4">
                  <c:v>9.8974462925424649E-3</c:v>
                </c:pt>
                <c:pt idx="5">
                  <c:v>1.6985692531482219E-2</c:v>
                </c:pt>
                <c:pt idx="6">
                  <c:v>1.7185250309230689E-2</c:v>
                </c:pt>
                <c:pt idx="7">
                  <c:v>1.9881504903815104E-2</c:v>
                </c:pt>
                <c:pt idx="8">
                  <c:v>1.0191671749939075E-2</c:v>
                </c:pt>
                <c:pt idx="9">
                  <c:v>2.0981580802418697E-2</c:v>
                </c:pt>
                <c:pt idx="10">
                  <c:v>1.0357147580466885E-2</c:v>
                </c:pt>
                <c:pt idx="11">
                  <c:v>2.0842847524058485E-2</c:v>
                </c:pt>
                <c:pt idx="12">
                  <c:v>3.060550247516633E-2</c:v>
                </c:pt>
                <c:pt idx="13">
                  <c:v>1.4305723522528763E-2</c:v>
                </c:pt>
                <c:pt idx="14">
                  <c:v>1.8950583561768639E-2</c:v>
                </c:pt>
                <c:pt idx="15">
                  <c:v>2.3695465101975727E-3</c:v>
                </c:pt>
                <c:pt idx="16">
                  <c:v>5.6311162799233011E-2</c:v>
                </c:pt>
                <c:pt idx="17">
                  <c:v>2.722691766788482E-2</c:v>
                </c:pt>
                <c:pt idx="18">
                  <c:v>7.8074047471600169E-2</c:v>
                </c:pt>
                <c:pt idx="19">
                  <c:v>3.3389973630763493E-2</c:v>
                </c:pt>
                <c:pt idx="20">
                  <c:v>6.8358493735521372E-2</c:v>
                </c:pt>
                <c:pt idx="21">
                  <c:v>6.1392263324781933E-2</c:v>
                </c:pt>
                <c:pt idx="22">
                  <c:v>5.5519315170052666E-2</c:v>
                </c:pt>
                <c:pt idx="23">
                  <c:v>3.2186193503114691E-2</c:v>
                </c:pt>
                <c:pt idx="24">
                  <c:v>3.7215309520792814E-2</c:v>
                </c:pt>
                <c:pt idx="25">
                  <c:v>2.7592935228613905E-2</c:v>
                </c:pt>
                <c:pt idx="26">
                  <c:v>4.8414079007517381E-2</c:v>
                </c:pt>
                <c:pt idx="27">
                  <c:v>1.1024747927221452E-2</c:v>
                </c:pt>
                <c:pt idx="28">
                  <c:v>1.8014299496391061E-2</c:v>
                </c:pt>
                <c:pt idx="29">
                  <c:v>3.4885734951102296E-2</c:v>
                </c:pt>
                <c:pt idx="30">
                  <c:v>1.2353079629854996E-2</c:v>
                </c:pt>
                <c:pt idx="31">
                  <c:v>7.9376718731913754E-3</c:v>
                </c:pt>
                <c:pt idx="32">
                  <c:v>8.1746205377270544E-3</c:v>
                </c:pt>
                <c:pt idx="33">
                  <c:v>1.1900248106359573E-2</c:v>
                </c:pt>
                <c:pt idx="34">
                  <c:v>1.4349643847000087E-2</c:v>
                </c:pt>
                <c:pt idx="35">
                  <c:v>2.954002277773332E-3</c:v>
                </c:pt>
                <c:pt idx="36">
                  <c:v>2.3242812027457799E-3</c:v>
                </c:pt>
                <c:pt idx="37">
                  <c:v>1.359478242994651E-2</c:v>
                </c:pt>
                <c:pt idx="38">
                  <c:v>1.06380446193555E-2</c:v>
                </c:pt>
                <c:pt idx="39">
                  <c:v>3.5742622827463718E-3</c:v>
                </c:pt>
                <c:pt idx="40">
                  <c:v>2.3929282252571162E-3</c:v>
                </c:pt>
                <c:pt idx="41">
                  <c:v>3.0843293804451331E-3</c:v>
                </c:pt>
                <c:pt idx="42">
                  <c:v>1.0681417618045735E-3</c:v>
                </c:pt>
                <c:pt idx="43">
                  <c:v>1.1246969877088814E-3</c:v>
                </c:pt>
                <c:pt idx="44">
                  <c:v>2.8306419963098719E-3</c:v>
                </c:pt>
                <c:pt idx="45">
                  <c:v>5.5595650358306291E-2</c:v>
                </c:pt>
                <c:pt idx="46">
                  <c:v>5.4168001738846524E-4</c:v>
                </c:pt>
                <c:pt idx="47">
                  <c:v>7.9364374921482345E-4</c:v>
                </c:pt>
                <c:pt idx="48">
                  <c:v>3.2708486205617177E-3</c:v>
                </c:pt>
                <c:pt idx="49">
                  <c:v>3.5547256340943354E-4</c:v>
                </c:pt>
                <c:pt idx="50">
                  <c:v>5.0137711532583504E-4</c:v>
                </c:pt>
                <c:pt idx="51">
                  <c:v>3.0142428411379424E-4</c:v>
                </c:pt>
                <c:pt idx="52">
                  <c:v>0</c:v>
                </c:pt>
                <c:pt idx="53">
                  <c:v>9.9069516062357107E-4</c:v>
                </c:pt>
                <c:pt idx="54">
                  <c:v>0</c:v>
                </c:pt>
                <c:pt idx="55">
                  <c:v>1.1519791040042698E-3</c:v>
                </c:pt>
                <c:pt idx="56">
                  <c:v>0</c:v>
                </c:pt>
                <c:pt idx="57">
                  <c:v>2.0609422399043126E-3</c:v>
                </c:pt>
                <c:pt idx="58">
                  <c:v>1.4146882543562936E-4</c:v>
                </c:pt>
                <c:pt idx="59">
                  <c:v>0</c:v>
                </c:pt>
                <c:pt idx="60">
                  <c:v>1.5041223076397066E-3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2.8792067554436338E-2</c:v>
                </c:pt>
                <c:pt idx="1">
                  <c:v>2.4800867696771457E-2</c:v>
                </c:pt>
                <c:pt idx="2">
                  <c:v>2.9979334035884871E-2</c:v>
                </c:pt>
                <c:pt idx="3">
                  <c:v>3.2328205619499908E-2</c:v>
                </c:pt>
                <c:pt idx="4">
                  <c:v>3.1844060930378969E-2</c:v>
                </c:pt>
                <c:pt idx="5">
                  <c:v>3.0766283000533756E-2</c:v>
                </c:pt>
                <c:pt idx="6">
                  <c:v>2.9534536794996374E-2</c:v>
                </c:pt>
                <c:pt idx="7">
                  <c:v>2.7697182038403108E-2</c:v>
                </c:pt>
                <c:pt idx="8">
                  <c:v>2.5738363419874909E-2</c:v>
                </c:pt>
                <c:pt idx="9">
                  <c:v>2.321157293990447E-2</c:v>
                </c:pt>
                <c:pt idx="10">
                  <c:v>2.0595823011756335E-2</c:v>
                </c:pt>
                <c:pt idx="11">
                  <c:v>1.8089561635211519E-2</c:v>
                </c:pt>
                <c:pt idx="12">
                  <c:v>1.6353141637127568E-2</c:v>
                </c:pt>
                <c:pt idx="13">
                  <c:v>1.3480777916159141E-2</c:v>
                </c:pt>
                <c:pt idx="14">
                  <c:v>1.1953070469569026E-2</c:v>
                </c:pt>
                <c:pt idx="15">
                  <c:v>1.1215733504865398E-2</c:v>
                </c:pt>
                <c:pt idx="16">
                  <c:v>1.0550248402151449E-2</c:v>
                </c:pt>
                <c:pt idx="17">
                  <c:v>9.1730877140159036E-3</c:v>
                </c:pt>
                <c:pt idx="18">
                  <c:v>0.1268732806875881</c:v>
                </c:pt>
                <c:pt idx="19">
                  <c:v>3.514240354742907E-2</c:v>
                </c:pt>
                <c:pt idx="20">
                  <c:v>4.0031751679964964E-2</c:v>
                </c:pt>
                <c:pt idx="21">
                  <c:v>4.0531293196655126E-2</c:v>
                </c:pt>
                <c:pt idx="22">
                  <c:v>4.3672246020775456E-2</c:v>
                </c:pt>
                <c:pt idx="23">
                  <c:v>2.7722843417685137E-2</c:v>
                </c:pt>
                <c:pt idx="24">
                  <c:v>2.7869968658902105E-2</c:v>
                </c:pt>
                <c:pt idx="25">
                  <c:v>2.1405011838449641E-2</c:v>
                </c:pt>
                <c:pt idx="26">
                  <c:v>1.6999808395034694E-2</c:v>
                </c:pt>
                <c:pt idx="27">
                  <c:v>1.6767145222877634E-2</c:v>
                </c:pt>
                <c:pt idx="28">
                  <c:v>1.2449190469021583E-2</c:v>
                </c:pt>
                <c:pt idx="29">
                  <c:v>1.9512912806054716E-2</c:v>
                </c:pt>
                <c:pt idx="30">
                  <c:v>1.6344587844033559E-2</c:v>
                </c:pt>
                <c:pt idx="31">
                  <c:v>1.1309825228899503E-2</c:v>
                </c:pt>
                <c:pt idx="32">
                  <c:v>1.2394446193219921E-2</c:v>
                </c:pt>
                <c:pt idx="33">
                  <c:v>1.2892276951291281E-2</c:v>
                </c:pt>
                <c:pt idx="34">
                  <c:v>9.9549044028083809E-3</c:v>
                </c:pt>
                <c:pt idx="35">
                  <c:v>9.2432288173867824E-3</c:v>
                </c:pt>
                <c:pt idx="36">
                  <c:v>8.7282904731274032E-3</c:v>
                </c:pt>
                <c:pt idx="37">
                  <c:v>1.0321006747231992E-2</c:v>
                </c:pt>
                <c:pt idx="38">
                  <c:v>8.5383962664403908E-3</c:v>
                </c:pt>
                <c:pt idx="39">
                  <c:v>6.8943572337717435E-3</c:v>
                </c:pt>
                <c:pt idx="40">
                  <c:v>6.4238986136012149E-3</c:v>
                </c:pt>
                <c:pt idx="41">
                  <c:v>4.803810201595796E-3</c:v>
                </c:pt>
                <c:pt idx="42">
                  <c:v>5.6677433040907658E-3</c:v>
                </c:pt>
                <c:pt idx="43">
                  <c:v>5.400864959557666E-3</c:v>
                </c:pt>
                <c:pt idx="44">
                  <c:v>3.7961733751214637E-3</c:v>
                </c:pt>
                <c:pt idx="45">
                  <c:v>3.6576019269985082E-3</c:v>
                </c:pt>
                <c:pt idx="46">
                  <c:v>3.4026988927970221E-3</c:v>
                </c:pt>
                <c:pt idx="47">
                  <c:v>4.8996126842487031E-3</c:v>
                </c:pt>
                <c:pt idx="48">
                  <c:v>2.6482543419053747E-3</c:v>
                </c:pt>
                <c:pt idx="49">
                  <c:v>2.4121696525107096E-3</c:v>
                </c:pt>
                <c:pt idx="50">
                  <c:v>2.2445153078681211E-3</c:v>
                </c:pt>
                <c:pt idx="51">
                  <c:v>2.8210409624043688E-3</c:v>
                </c:pt>
                <c:pt idx="52">
                  <c:v>2.0152736529486636E-3</c:v>
                </c:pt>
                <c:pt idx="53">
                  <c:v>2.2582013768185365E-3</c:v>
                </c:pt>
                <c:pt idx="54">
                  <c:v>1.5756086879165697E-3</c:v>
                </c:pt>
                <c:pt idx="55">
                  <c:v>1.4952030328328795E-3</c:v>
                </c:pt>
                <c:pt idx="56">
                  <c:v>1.3207056537150835E-3</c:v>
                </c:pt>
                <c:pt idx="57">
                  <c:v>1.3463670329971122E-3</c:v>
                </c:pt>
                <c:pt idx="58">
                  <c:v>9.6828937824188757E-4</c:v>
                </c:pt>
                <c:pt idx="59">
                  <c:v>1.0965962746520316E-3</c:v>
                </c:pt>
                <c:pt idx="60">
                  <c:v>8.4853627492575306E-4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7240"/>
        <c:axId val="116615672"/>
      </c:lineChart>
      <c:catAx>
        <c:axId val="11661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615672"/>
        <c:crosses val="autoZero"/>
        <c:auto val="1"/>
        <c:lblAlgn val="ctr"/>
        <c:lblOffset val="100"/>
        <c:tickLblSkip val="10"/>
        <c:noMultiLvlLbl val="0"/>
      </c:catAx>
      <c:valAx>
        <c:axId val="1166156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724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26340.527496600098</v>
      </c>
      <c r="C11" s="11">
        <f>B11/B$102</f>
        <v>4.0663548505444534E-2</v>
      </c>
      <c r="E11" s="19">
        <v>0</v>
      </c>
      <c r="F11" s="337" t="n">
        <v>77501.0</v>
      </c>
      <c r="G11" s="11">
        <f>F11/F$102</f>
        <v>0.13511058343711935</v>
      </c>
      <c r="K11" s="8" t="n">
        <v>6.156876216054111</v>
      </c>
      <c r="L11" s="8" t="n">
        <v>6.877273287086862</v>
      </c>
    </row>
    <row r="12" spans="1:12" x14ac:dyDescent="0.25">
      <c r="A12">
        <v>1</v>
      </c>
      <c r="B12" s="335" t="n">
        <v>35028.1139516294</v>
      </c>
      <c r="C12" s="11">
        <f>B12/B$102</f>
        <v>5.4075128560358961E-2</v>
      </c>
      <c r="E12" s="20">
        <v>1</v>
      </c>
      <c r="F12" s="337" t="n">
        <v>61919.0</v>
      </c>
      <c r="G12" s="11">
        <f>F12/F$102</f>
        <v>0.10594728126240301</v>
      </c>
      <c r="K12" s="8"/>
      <c r="L12" s="289"/>
    </row>
    <row r="13" spans="1:12" x14ac:dyDescent="0.25">
      <c r="A13">
        <v>2</v>
      </c>
      <c r="B13" s="335" t="n">
        <v>46161.9692235365</v>
      </c>
      <c r="C13" s="11">
        <f ref="C13:C76" si="0" t="shared">B13/B$102</f>
        <v>7.1263169458941247E-2</v>
      </c>
      <c r="E13" s="21">
        <v>2</v>
      </c>
      <c r="F13" s="337" t="n">
        <v>41954.0</v>
      </c>
      <c r="G13" s="11">
        <f ref="G13:G76" si="1" t="shared">F13/F$102</f>
        <v>7.1083731369838643E-2</v>
      </c>
    </row>
    <row r="14" spans="1:12" x14ac:dyDescent="0.25">
      <c r="A14">
        <v>3</v>
      </c>
      <c r="B14" s="335" t="n">
        <v>70369.666580458</v>
      </c>
      <c r="C14" s="11">
        <f si="0" t="shared"/>
        <v>0.1086341323527313</v>
      </c>
      <c r="E14" s="22">
        <v>3</v>
      </c>
      <c r="F14" s="337" t="n">
        <v>26991.0</v>
      </c>
      <c r="G14" s="11">
        <f si="1" t="shared"/>
        <v>4.5933868914831595E-2</v>
      </c>
    </row>
    <row r="15" spans="1:12" x14ac:dyDescent="0.25">
      <c r="A15">
        <v>4</v>
      </c>
      <c r="B15" s="335" t="n">
        <v>130988.6740456935</v>
      </c>
      <c r="C15" s="11">
        <f si="0" t="shared"/>
        <v>0.20221555173518957</v>
      </c>
      <c r="E15" s="23">
        <v>4</v>
      </c>
      <c r="F15" s="337" t="n">
        <v>106105.0</v>
      </c>
      <c r="G15" s="11">
        <f si="1" t="shared"/>
        <v>0.18194944366129717</v>
      </c>
    </row>
    <row r="16" spans="1:12" x14ac:dyDescent="0.25">
      <c r="A16">
        <v>5</v>
      </c>
      <c r="B16" s="335" t="n">
        <v>56474.0407615518</v>
      </c>
      <c r="C16" s="11">
        <f si="0" t="shared"/>
        <v>8.7182570512387245E-2</v>
      </c>
      <c r="E16" s="24">
        <v>5</v>
      </c>
      <c r="F16" s="337" t="n">
        <v>52212.0</v>
      </c>
      <c r="G16" s="11">
        <f si="1" t="shared"/>
        <v>8.5643997974461789E-2</v>
      </c>
    </row>
    <row r="17" spans="1:7" x14ac:dyDescent="0.25">
      <c r="A17">
        <v>6</v>
      </c>
      <c r="B17" s="335" t="n">
        <v>77804.7941122985</v>
      </c>
      <c r="C17" s="11">
        <f si="0" t="shared"/>
        <v>0.12011221186629407</v>
      </c>
      <c r="E17" s="25">
        <v>6</v>
      </c>
      <c r="F17" s="337" t="n">
        <v>44186.0</v>
      </c>
      <c r="G17" s="11">
        <f si="1" t="shared"/>
        <v>8.0699905566124247E-2</v>
      </c>
    </row>
    <row r="18" spans="1:7" x14ac:dyDescent="0.25">
      <c r="A18">
        <v>7</v>
      </c>
      <c r="B18" s="335" t="n">
        <v>46502.6708685096</v>
      </c>
      <c r="C18" s="11">
        <f si="0" t="shared"/>
        <v>7.1789132269216654E-2</v>
      </c>
      <c r="E18" s="26">
        <v>7</v>
      </c>
      <c r="F18" s="337" t="n">
        <v>27754.0</v>
      </c>
      <c r="G18" s="11">
        <f si="1" t="shared"/>
        <v>4.7911505878166616E-2</v>
      </c>
    </row>
    <row r="19" spans="1:7" x14ac:dyDescent="0.25">
      <c r="A19">
        <v>8</v>
      </c>
      <c r="B19" s="335" t="n">
        <v>20028.263439688</v>
      </c>
      <c r="C19" s="11">
        <f si="0" t="shared"/>
        <v>3.091890479280248E-2</v>
      </c>
      <c r="E19" s="27">
        <v>8</v>
      </c>
      <c r="F19" s="337" t="n">
        <v>20444.0</v>
      </c>
      <c r="G19" s="11">
        <f si="1" t="shared"/>
        <v>3.6139775822190592E-2</v>
      </c>
    </row>
    <row r="20" spans="1:7" x14ac:dyDescent="0.25">
      <c r="A20">
        <v>9</v>
      </c>
      <c r="B20" s="335" t="n">
        <v>15091.1304989621</v>
      </c>
      <c r="C20" s="11">
        <f si="0" t="shared"/>
        <v>2.3297138492224451E-2</v>
      </c>
      <c r="E20" s="28">
        <v>9</v>
      </c>
      <c r="F20" s="337" t="n">
        <v>12708.0</v>
      </c>
      <c r="G20" s="11">
        <f si="1" t="shared"/>
        <v>1.7884270600955286E-2</v>
      </c>
    </row>
    <row r="21" spans="1:7" x14ac:dyDescent="0.25">
      <c r="A21">
        <v>10</v>
      </c>
      <c r="B21" s="335" t="n">
        <v>45980.6960701886</v>
      </c>
      <c r="C21" s="11">
        <f si="0" t="shared"/>
        <v>7.0983326556598128E-2</v>
      </c>
      <c r="E21" s="29">
        <v>10</v>
      </c>
      <c r="F21" s="337" t="n">
        <v>7217.0</v>
      </c>
      <c r="G21" s="11">
        <f si="1" t="shared"/>
        <v>1.3058220537315066E-2</v>
      </c>
    </row>
    <row r="22" spans="1:7" x14ac:dyDescent="0.25">
      <c r="A22">
        <v>11</v>
      </c>
      <c r="B22" s="335" t="n">
        <v>8011.779210961</v>
      </c>
      <c r="C22" s="11">
        <f si="0" t="shared"/>
        <v>1.236829340649597E-2</v>
      </c>
      <c r="E22" s="30">
        <v>11</v>
      </c>
      <c r="F22" s="337" t="n">
        <v>9274.0</v>
      </c>
      <c r="G22" s="11">
        <f si="1" t="shared"/>
        <v>1.4938344259378379E-2</v>
      </c>
    </row>
    <row r="23" spans="1:7" x14ac:dyDescent="0.25">
      <c r="A23">
        <v>12</v>
      </c>
      <c r="B23" s="335" t="n">
        <v>10736.6294754624</v>
      </c>
      <c r="C23" s="11">
        <f si="0" t="shared"/>
        <v>1.6574818158702539E-2</v>
      </c>
      <c r="E23" s="31">
        <v>12</v>
      </c>
      <c r="F23" s="337" t="n">
        <v>9151.0</v>
      </c>
      <c r="G23" s="11">
        <f si="1" t="shared"/>
        <v>1.5728714741264867E-2</v>
      </c>
    </row>
    <row r="24" spans="1:7" x14ac:dyDescent="0.25">
      <c r="A24">
        <v>13</v>
      </c>
      <c r="B24" s="335" t="n">
        <v>5157.5807596416</v>
      </c>
      <c r="C24" s="11">
        <f si="0" t="shared"/>
        <v>7.9620856270818403E-3</v>
      </c>
      <c r="E24" s="32">
        <v>13</v>
      </c>
      <c r="F24" s="337" t="n">
        <v>10680.0</v>
      </c>
      <c r="G24" s="11">
        <f si="1" t="shared"/>
        <v>1.8577127841570066E-2</v>
      </c>
    </row>
    <row r="25" spans="1:7" x14ac:dyDescent="0.25">
      <c r="A25">
        <v>14</v>
      </c>
      <c r="B25" s="335" t="n">
        <v>6116.8280415961</v>
      </c>
      <c r="C25" s="11">
        <f si="0" t="shared"/>
        <v>9.4429366990092124E-3</v>
      </c>
      <c r="E25" s="33">
        <v>14</v>
      </c>
      <c r="F25" s="337" t="n">
        <v>6559.0</v>
      </c>
      <c r="G25" s="11">
        <f si="1" t="shared"/>
        <v>1.1251659435860237E-2</v>
      </c>
    </row>
    <row r="26" spans="1:7" x14ac:dyDescent="0.25">
      <c r="A26">
        <v>15</v>
      </c>
      <c r="B26" s="335" t="n">
        <v>3379.5703435159003</v>
      </c>
      <c r="C26" s="11">
        <f si="0" t="shared"/>
        <v>5.2172578020261299E-3</v>
      </c>
      <c r="E26" s="34">
        <v>15</v>
      </c>
      <c r="F26" s="337" t="n">
        <v>10397.0</v>
      </c>
      <c r="G26" s="11">
        <f si="1" t="shared"/>
        <v>1.6050337361599627E-2</v>
      </c>
    </row>
    <row r="27" spans="1:7" x14ac:dyDescent="0.25">
      <c r="A27">
        <v>16</v>
      </c>
      <c r="B27" s="335" t="n">
        <v>10081.6643777011</v>
      </c>
      <c r="C27" s="11">
        <f si="0" t="shared"/>
        <v>1.55637068578515E-2</v>
      </c>
      <c r="E27" s="35">
        <v>16</v>
      </c>
      <c r="F27" s="337" t="n">
        <v>7171.0</v>
      </c>
      <c r="G27" s="11">
        <f si="1" t="shared"/>
        <v>1.134232964265674E-2</v>
      </c>
    </row>
    <row r="28" spans="1:7" x14ac:dyDescent="0.25">
      <c r="A28">
        <v>17</v>
      </c>
      <c r="B28" s="335" t="n">
        <v>9325.124494645</v>
      </c>
      <c r="C28" s="11">
        <f si="0" t="shared"/>
        <v>1.4395788097115754E-2</v>
      </c>
      <c r="E28" s="36">
        <v>17</v>
      </c>
      <c r="F28" s="337" t="n">
        <v>5745.0</v>
      </c>
      <c r="G28" s="11">
        <f si="1" t="shared"/>
        <v>9.239807300149179E-3</v>
      </c>
    </row>
    <row r="29" spans="1:7" x14ac:dyDescent="0.25">
      <c r="A29">
        <v>18</v>
      </c>
      <c r="B29" s="335" t="n">
        <v>9083.0298493189</v>
      </c>
      <c r="C29" s="11">
        <f si="0" t="shared"/>
        <v>1.4022051187162187E-2</v>
      </c>
      <c r="E29" s="37">
        <v>18</v>
      </c>
      <c r="F29" s="337" t="n">
        <v>5123.0</v>
      </c>
      <c r="G29" s="11">
        <f si="1" t="shared"/>
        <v>9.6897368168940828E-3</v>
      </c>
    </row>
    <row r="30" spans="1:7" x14ac:dyDescent="0.25">
      <c r="A30">
        <v>19</v>
      </c>
      <c r="B30" s="335" t="n">
        <v>2071.3150673522</v>
      </c>
      <c r="C30" s="11">
        <f si="0" t="shared"/>
        <v>3.1976208799237562E-3</v>
      </c>
      <c r="E30" s="38">
        <v>19</v>
      </c>
      <c r="F30" s="337" t="n">
        <v>3825.0</v>
      </c>
      <c r="G30" s="11">
        <f si="1" t="shared"/>
        <v>6.8310591648760724E-3</v>
      </c>
    </row>
    <row r="31" spans="1:7" x14ac:dyDescent="0.25">
      <c r="A31">
        <v>20</v>
      </c>
      <c r="B31" s="335" t="n">
        <v>917.9875877264</v>
      </c>
      <c r="C31" s="11">
        <f si="0" t="shared"/>
        <v>1.4171558563406399E-3</v>
      </c>
      <c r="E31" s="39">
        <v>20</v>
      </c>
      <c r="F31" s="337" t="n">
        <v>3913.0</v>
      </c>
      <c r="G31" s="11">
        <f si="1" t="shared"/>
        <v>6.0321348898955754E-3</v>
      </c>
    </row>
    <row r="32" spans="1:7" x14ac:dyDescent="0.25">
      <c r="A32">
        <v>21</v>
      </c>
      <c r="B32" s="335" t="n">
        <v>1820.649231762</v>
      </c>
      <c r="C32" s="11">
        <f si="0" t="shared"/>
        <v>2.8106520781222151E-3</v>
      </c>
      <c r="E32" s="40">
        <v>21</v>
      </c>
      <c r="F32" s="337" t="n">
        <v>3829.0</v>
      </c>
      <c r="G32" s="11">
        <f si="1" t="shared"/>
        <v>7.0979375094091723E-3</v>
      </c>
    </row>
    <row r="33" spans="1:7" x14ac:dyDescent="0.25">
      <c r="A33">
        <v>22</v>
      </c>
      <c r="B33" s="335" t="n">
        <v>1492.4111701456</v>
      </c>
      <c r="C33" s="11">
        <f si="0" t="shared"/>
        <v>2.3039300946086209E-3</v>
      </c>
      <c r="E33" s="41">
        <v>22</v>
      </c>
      <c r="F33" s="337" t="n">
        <v>3366.0</v>
      </c>
      <c r="G33" s="11">
        <f si="1" t="shared"/>
        <v>4.7439336499377283E-3</v>
      </c>
    </row>
    <row r="34" spans="1:7" x14ac:dyDescent="0.25">
      <c r="A34">
        <v>23</v>
      </c>
      <c r="B34" s="335" t="n">
        <v>754.106479142</v>
      </c>
      <c r="C34" s="11">
        <f si="0" t="shared"/>
        <v>1.1641621602611698E-3</v>
      </c>
      <c r="E34" s="42">
        <v>23</v>
      </c>
      <c r="F34" s="337" t="n">
        <v>2760.0</v>
      </c>
      <c r="G34" s="11">
        <f si="1" t="shared"/>
        <v>4.6395773741908109E-3</v>
      </c>
    </row>
    <row r="35" spans="1:7" x14ac:dyDescent="0.25">
      <c r="A35">
        <v>24</v>
      </c>
      <c r="B35" s="335" t="n">
        <v>884.537008426</v>
      </c>
      <c r="C35" s="11">
        <f si="0" t="shared"/>
        <v>1.3655160684095669E-3</v>
      </c>
      <c r="E35" s="43">
        <v>24</v>
      </c>
      <c r="F35" s="337" t="n">
        <v>2763.0</v>
      </c>
      <c r="G35" s="11">
        <f si="1" t="shared"/>
        <v>4.9988366841392145E-3</v>
      </c>
    </row>
    <row r="36" spans="1:7" x14ac:dyDescent="0.25">
      <c r="A36">
        <v>25</v>
      </c>
      <c r="B36" s="335" t="n">
        <v>0.0</v>
      </c>
      <c r="C36" s="11">
        <f si="0" t="shared"/>
        <v>0</v>
      </c>
      <c r="E36" s="44">
        <v>25</v>
      </c>
      <c r="F36" s="337" t="n">
        <v>2688.0</v>
      </c>
      <c r="G36" s="11">
        <f si="1" t="shared"/>
        <v>3.9638277197640518E-3</v>
      </c>
    </row>
    <row r="37" spans="1:7" x14ac:dyDescent="0.25">
      <c r="A37">
        <v>26</v>
      </c>
      <c r="B37" s="335" t="n">
        <v>247.4515228492</v>
      </c>
      <c r="C37" s="11">
        <f si="0" t="shared"/>
        <v>3.8200666267687106E-4</v>
      </c>
      <c r="E37" s="45">
        <v>26</v>
      </c>
      <c r="F37" s="337" t="n">
        <v>2042.0</v>
      </c>
      <c r="G37" s="11">
        <f si="1" t="shared"/>
        <v>3.7243215131317832E-3</v>
      </c>
    </row>
    <row r="38" spans="1:7" x14ac:dyDescent="0.25">
      <c r="A38">
        <v>27</v>
      </c>
      <c r="B38" s="335" t="n">
        <v>1835.678311973</v>
      </c>
      <c r="C38" s="11">
        <f si="0" t="shared"/>
        <v>2.8338534256362731E-3</v>
      </c>
      <c r="E38" s="46">
        <v>27</v>
      </c>
      <c r="F38" s="337" t="n">
        <v>3236.0</v>
      </c>
      <c r="G38" s="11">
        <f si="1" t="shared"/>
        <v>5.5223288214926031E-3</v>
      </c>
    </row>
    <row r="39" spans="1:7" x14ac:dyDescent="0.25">
      <c r="A39">
        <v>28</v>
      </c>
      <c r="B39" s="335" t="n">
        <v>1281.967247715</v>
      </c>
      <c r="C39" s="11">
        <f si="0" t="shared"/>
        <v>1.9790544197180078E-3</v>
      </c>
      <c r="E39" s="47">
        <v>28</v>
      </c>
      <c r="F39" s="337" t="n">
        <v>1654.0</v>
      </c>
      <c r="G39" s="11">
        <f si="1" t="shared"/>
        <v>2.9835630311905513E-3</v>
      </c>
    </row>
    <row r="40" spans="1:7" x14ac:dyDescent="0.25">
      <c r="A40">
        <v>29</v>
      </c>
      <c r="B40" s="335" t="n">
        <v>543.221055857</v>
      </c>
      <c r="C40" s="11">
        <f si="0" t="shared"/>
        <v>8.3860491240621846E-4</v>
      </c>
      <c r="E40" s="48">
        <v>29</v>
      </c>
      <c r="F40" s="337" t="n">
        <v>1727.0</v>
      </c>
      <c r="G40" s="11">
        <f si="1" t="shared"/>
        <v>2.9767199967153436E-3</v>
      </c>
    </row>
    <row r="41" spans="1:7" x14ac:dyDescent="0.25">
      <c r="A41">
        <v>30</v>
      </c>
      <c r="B41" s="335" t="n">
        <v>0.0</v>
      </c>
      <c r="C41" s="11">
        <f si="0" t="shared"/>
        <v>0</v>
      </c>
      <c r="E41" s="49">
        <v>30</v>
      </c>
      <c r="F41" s="337" t="n">
        <v>1785.0</v>
      </c>
      <c r="G41" s="11">
        <f si="1" t="shared"/>
        <v>2.7440568245582823E-3</v>
      </c>
    </row>
    <row r="42" spans="1:7" x14ac:dyDescent="0.25">
      <c r="A42">
        <v>31</v>
      </c>
      <c r="B42" s="335" t="n">
        <v>368.204446166</v>
      </c>
      <c r="C42" s="11">
        <f si="0" t="shared"/>
        <v>5.684206346484161E-4</v>
      </c>
      <c r="E42" s="50">
        <v>31</v>
      </c>
      <c r="F42" s="337" t="n">
        <v>1001.0</v>
      </c>
      <c r="G42" s="11">
        <f si="1" t="shared"/>
        <v>1.8784129634445098E-3</v>
      </c>
    </row>
    <row r="43" spans="1:7" x14ac:dyDescent="0.25">
      <c r="A43">
        <v>32</v>
      </c>
      <c r="B43" s="335" t="n">
        <v>0.0</v>
      </c>
      <c r="C43" s="11">
        <f si="0" t="shared"/>
        <v>0</v>
      </c>
      <c r="E43" s="51">
        <v>32</v>
      </c>
      <c r="F43" s="337" t="n">
        <v>962.0</v>
      </c>
      <c r="G43" s="11">
        <f si="1" t="shared"/>
        <v>1.5995593085797967E-3</v>
      </c>
    </row>
    <row r="44" spans="1:7" x14ac:dyDescent="0.25">
      <c r="A44">
        <v>33</v>
      </c>
      <c r="B44" s="335" t="n">
        <v>780.268380704</v>
      </c>
      <c r="C44" s="11">
        <f si="0" t="shared"/>
        <v>1.2045499525443111E-3</v>
      </c>
      <c r="E44" s="52">
        <v>33</v>
      </c>
      <c r="F44" s="337" t="n">
        <v>852.0</v>
      </c>
      <c r="G44" s="11">
        <f si="1" t="shared"/>
        <v>1.3189948950962816E-3</v>
      </c>
    </row>
    <row r="45" spans="1:7" x14ac:dyDescent="0.25">
      <c r="A45">
        <v>34</v>
      </c>
      <c r="B45" s="335" t="n">
        <v>1426.6504365116</v>
      </c>
      <c r="C45" s="11">
        <f si="0" t="shared"/>
        <v>2.2024110653399423E-3</v>
      </c>
      <c r="E45" s="53">
        <v>34</v>
      </c>
      <c r="F45" s="337" t="n">
        <v>808.0</v>
      </c>
      <c r="G45" s="11">
        <f si="1" t="shared"/>
        <v>1.3035980675270642E-3</v>
      </c>
    </row>
    <row r="46" spans="1:7" x14ac:dyDescent="0.25">
      <c r="A46">
        <v>35</v>
      </c>
      <c r="B46" s="335" t="n">
        <v>0.0</v>
      </c>
      <c r="C46" s="11">
        <f si="0" t="shared"/>
        <v>0</v>
      </c>
      <c r="E46" s="54">
        <v>35</v>
      </c>
      <c r="F46" s="337" t="n">
        <v>607.0</v>
      </c>
      <c r="G46" s="11">
        <f si="1" t="shared"/>
        <v>8.8446220592059343E-4</v>
      </c>
    </row>
    <row r="47" spans="1:7" x14ac:dyDescent="0.25">
      <c r="A47">
        <v>36</v>
      </c>
      <c r="B47" s="335" t="n">
        <v>0.0</v>
      </c>
      <c r="C47" s="11">
        <f si="0" t="shared"/>
        <v>0</v>
      </c>
      <c r="E47" s="55">
        <v>36</v>
      </c>
      <c r="F47" s="337" t="n">
        <v>726.0</v>
      </c>
      <c r="G47" s="11">
        <f si="1" t="shared"/>
        <v>1.4626986190756429E-3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529.0</v>
      </c>
      <c r="G48" s="11">
        <f si="1" t="shared"/>
        <v>8.827514473017915E-4</v>
      </c>
    </row>
    <row r="49" spans="1:7" x14ac:dyDescent="0.25">
      <c r="A49">
        <v>38</v>
      </c>
      <c r="B49" s="335" t="n">
        <v>292.681617382</v>
      </c>
      <c r="C49" s="11">
        <f si="0" t="shared"/>
        <v>4.5183123787483363E-4</v>
      </c>
      <c r="E49" s="57">
        <v>38</v>
      </c>
      <c r="F49" s="337" t="n">
        <v>516.0</v>
      </c>
      <c r="G49" s="11">
        <f si="1" t="shared"/>
        <v>8.8959448177699922E-4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444.0</v>
      </c>
      <c r="G50" s="11">
        <f si="1" t="shared"/>
        <v>5.9534399934306871E-4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416.0</v>
      </c>
      <c r="G51" s="11">
        <f si="1" t="shared"/>
        <v>6.5179903376353212E-4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337.0</v>
      </c>
      <c r="G52" s="11">
        <f si="1" t="shared"/>
        <v>5.2520289597218989E-4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222.0</v>
      </c>
      <c r="G53" s="11">
        <f si="1" t="shared"/>
        <v>4.1742510298766887E-4</v>
      </c>
    </row>
    <row r="54" spans="1:7" x14ac:dyDescent="0.25">
      <c r="A54">
        <v>43</v>
      </c>
      <c r="B54" s="335" t="n">
        <v>0.0</v>
      </c>
      <c r="C54" s="11">
        <f si="0" t="shared"/>
        <v>0</v>
      </c>
      <c r="E54" s="62">
        <v>43</v>
      </c>
      <c r="F54" s="337" t="n">
        <v>219.0</v>
      </c>
      <c r="G54" s="11">
        <f si="1" t="shared"/>
        <v>3.5754855132960161E-4</v>
      </c>
    </row>
    <row r="55" spans="1:7" x14ac:dyDescent="0.25">
      <c r="A55">
        <v>44</v>
      </c>
      <c r="B55" s="335" t="n">
        <v>0.0</v>
      </c>
      <c r="C55" s="11">
        <f si="0" t="shared"/>
        <v>0</v>
      </c>
      <c r="E55" s="63">
        <v>44</v>
      </c>
      <c r="F55" s="337" t="n">
        <v>220.0</v>
      </c>
      <c r="G55" s="11">
        <f si="1" t="shared"/>
        <v>4.2768965470048038E-4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231.0</v>
      </c>
      <c r="G56" s="11">
        <f si="1" t="shared"/>
        <v>2.4292772386987286E-4</v>
      </c>
    </row>
    <row r="57" spans="1:7" x14ac:dyDescent="0.25">
      <c r="A57">
        <v>46</v>
      </c>
      <c r="B57" s="335" t="n">
        <v>0.0</v>
      </c>
      <c r="C57" s="11">
        <f si="0" t="shared"/>
        <v>0</v>
      </c>
      <c r="E57" s="65">
        <v>46</v>
      </c>
      <c r="F57" s="337" t="n">
        <v>142.0</v>
      </c>
      <c r="G57" s="11">
        <f si="1" t="shared"/>
        <v>3.5754855132960161E-4</v>
      </c>
    </row>
    <row r="58" spans="1:7" x14ac:dyDescent="0.25">
      <c r="A58">
        <v>47</v>
      </c>
      <c r="B58" s="335" t="n">
        <v>0.0</v>
      </c>
      <c r="C58" s="11">
        <f si="0" t="shared"/>
        <v>0</v>
      </c>
      <c r="E58" s="66">
        <v>47</v>
      </c>
      <c r="F58" s="337" t="n">
        <v>189.0</v>
      </c>
      <c r="G58" s="11">
        <f si="1" t="shared"/>
        <v>2.8398593072111899E-4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82.0</v>
      </c>
      <c r="G59" s="11">
        <f si="1" t="shared"/>
        <v>1.7791889635539984E-4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112.0</v>
      </c>
      <c r="G60" s="11">
        <f si="1" t="shared"/>
        <v>1.7791889635539984E-4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75.0</v>
      </c>
      <c r="G61" s="11">
        <f si="1" t="shared"/>
        <v>1.3514993088535181E-4</v>
      </c>
    </row>
    <row r="62" spans="1:7" x14ac:dyDescent="0.25">
      <c r="A62">
        <v>51</v>
      </c>
      <c r="B62" s="335" t="n">
        <v>387.674382174</v>
      </c>
      <c r="C62" s="11">
        <f si="0" t="shared"/>
        <v>5.9847761385513093E-4</v>
      </c>
      <c r="E62" s="70">
        <v>51</v>
      </c>
      <c r="F62" s="337" t="n">
        <v>132.0</v>
      </c>
      <c r="G62" s="11">
        <f si="1" t="shared"/>
        <v>1.7962965497420177E-4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59.0</v>
      </c>
      <c r="G63" s="11">
        <f si="1" t="shared"/>
        <v>1.1804234469733259E-4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45.0</v>
      </c>
      <c r="G64" s="11">
        <f si="1" t="shared"/>
        <v>1.111993102221249E-4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62.0</v>
      </c>
      <c r="G65" s="11">
        <f si="1" t="shared"/>
        <v>1.5225751707337101E-4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64.0</v>
      </c>
      <c r="G66" s="11">
        <f si="1" t="shared"/>
        <v>8.2116413702492237E-5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28.0</v>
      </c>
      <c r="G67" s="11">
        <f si="1" t="shared"/>
        <v>4.4479724088849961E-5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41.0</v>
      </c>
      <c r="G68" s="11">
        <f si="1" t="shared"/>
        <v>4.6190482707651882E-5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28.0</v>
      </c>
      <c r="G69" s="11">
        <f si="1" t="shared"/>
        <v>5.6455034420463408E-5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32.0</v>
      </c>
      <c r="G70" s="11">
        <f si="1" t="shared"/>
        <v>4.1058206851246119E-5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20.0</v>
      </c>
      <c r="G71" s="11">
        <f si="1" t="shared"/>
        <v>1.3686068950415372E-5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16.0</v>
      </c>
      <c r="G72" s="11">
        <f si="1" t="shared"/>
        <v>3.0793655138434586E-5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18.0</v>
      </c>
      <c r="G73" s="11">
        <f si="1" t="shared"/>
        <v>3.0793655138434586E-5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3.0</v>
      </c>
      <c r="G74" s="11">
        <f si="1" t="shared"/>
        <v>8.5537930940096069E-6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4.0</v>
      </c>
      <c r="G75" s="11">
        <f si="1" t="shared"/>
        <v>5.1322758564057648E-6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7.0</v>
      </c>
      <c r="G76" s="11">
        <f si="1" t="shared"/>
        <v>5.1322758564057648E-6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7.0</v>
      </c>
      <c r="G77" s="11">
        <f ref="G77:G102" si="3" t="shared">F77/F$102</f>
        <v>1.3686068950415372E-5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4.0</v>
      </c>
      <c r="G78" s="11">
        <f si="3" t="shared"/>
        <v>3.4215172376038429E-6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1.0</v>
      </c>
      <c r="G79" s="11">
        <f si="3" t="shared"/>
        <v>1.3686068950415372E-5</v>
      </c>
    </row>
    <row r="80" spans="1:7" x14ac:dyDescent="0.25">
      <c r="A80">
        <v>69</v>
      </c>
      <c r="B80" s="335" t="n">
        <v>0.0</v>
      </c>
      <c r="C80" s="11">
        <f si="2" t="shared"/>
        <v>0</v>
      </c>
      <c r="E80" s="88">
        <v>69</v>
      </c>
      <c r="F80" s="337" t="n">
        <v>3.0</v>
      </c>
      <c r="G80" s="11">
        <f si="3" t="shared"/>
        <v>0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10.0</v>
      </c>
      <c r="G81" s="11">
        <f si="3" t="shared"/>
        <v>8.5537930940096069E-6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9.0</v>
      </c>
      <c r="G82" s="11">
        <f si="3" t="shared"/>
        <v>0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1.0</v>
      </c>
      <c r="G83" s="11">
        <f si="3" t="shared"/>
        <v>1.7107586188019215E-6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0.0</v>
      </c>
      <c r="G84" s="11">
        <f si="3" t="shared"/>
        <v>3.4215172376038429E-6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1.0</v>
      </c>
      <c r="G85" s="11">
        <f si="3" t="shared"/>
        <v>0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0.0</v>
      </c>
      <c r="G86" s="11">
        <f si="3" t="shared"/>
        <v>5.1322758564057648E-6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3.0</v>
      </c>
      <c r="G87" s="11">
        <f si="3" t="shared"/>
        <v>6.8430344752076859E-6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1.0</v>
      </c>
      <c r="G88" s="11">
        <f si="3" t="shared"/>
        <v>0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1.0</v>
      </c>
      <c r="G89" s="11">
        <f si="3" t="shared"/>
        <v>3.4215172376038429E-6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1.0</v>
      </c>
      <c r="G90" s="11">
        <f si="3" t="shared"/>
        <v>3.4215172376038429E-6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1.0</v>
      </c>
      <c r="G91" s="11">
        <f si="3" t="shared"/>
        <v>1.7107586188019215E-6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0.0</v>
      </c>
      <c r="G92" s="11">
        <f si="3" t="shared"/>
        <v>0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0.0</v>
      </c>
      <c r="G93" s="11">
        <f si="3" t="shared"/>
        <v>0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0.0</v>
      </c>
      <c r="G94" s="11">
        <f si="3" t="shared"/>
        <v>0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0.0</v>
      </c>
      <c r="G95" s="11">
        <f si="3" t="shared"/>
        <v>0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0.0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0.0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0.0</v>
      </c>
      <c r="G98" s="11">
        <f si="3" t="shared"/>
        <v>0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0.0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0.0</v>
      </c>
      <c r="G101" s="11">
        <f si="3" t="shared"/>
        <v>0</v>
      </c>
    </row>
    <row r="102" spans="1:7" x14ac:dyDescent="0.25">
      <c r="B102" s="335">
        <f>SUM(B11:B101)</f>
        <v>647767.55754784425</v>
      </c>
      <c r="C102" s="11">
        <f si="2" t="shared"/>
        <v>1</v>
      </c>
      <c r="F102" s="335">
        <f>SUM(F11:F101)</f>
        <v>584536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5105.924878342</v>
      </c>
      <c r="C11" s="11">
        <f>B11/B$102</f>
        <v>7.8823411559398367E-3</v>
      </c>
      <c r="E11" s="109">
        <v>0</v>
      </c>
      <c r="F11" s="199" t="n">
        <v>15258.0</v>
      </c>
      <c r="G11" s="11">
        <f>F11/F$102</f>
        <v>2.8792067554436338E-2</v>
      </c>
      <c r="K11" s="8" t="n">
        <v>22.15593424968025</v>
      </c>
      <c r="L11" s="8" t="n">
        <v>19.338306925415694</v>
      </c>
    </row>
    <row r="12" spans="1:12" x14ac:dyDescent="0.25">
      <c r="A12">
        <v>1</v>
      </c>
      <c r="B12" s="8" t="n">
        <v>5412.8913844765</v>
      </c>
      <c r="C12" s="11">
        <f>B12/B$102</f>
        <v>8.3562248856167854E-3</v>
      </c>
      <c r="E12" s="110">
        <v>1</v>
      </c>
      <c r="F12" s="200" t="n">
        <v>14366.0</v>
      </c>
      <c r="G12" s="11">
        <f>F12/F$102</f>
        <v>2.4800867696771457E-2</v>
      </c>
      <c r="K12" s="8"/>
      <c r="L12" s="290"/>
    </row>
    <row r="13" spans="1:12" x14ac:dyDescent="0.25">
      <c r="A13">
        <v>2</v>
      </c>
      <c r="B13" s="8" t="n">
        <v>5422.716751428</v>
      </c>
      <c r="C13" s="11">
        <f ref="C13:C76" si="0" t="shared">B13/B$102</f>
        <v>8.3713929298280358E-3</v>
      </c>
      <c r="E13" s="111">
        <v>2</v>
      </c>
      <c r="F13" s="201" t="n">
        <v>17596.0</v>
      </c>
      <c r="G13" s="11">
        <f ref="G13:G76" si="1" t="shared">F13/F$102</f>
        <v>2.9979334035884871E-2</v>
      </c>
    </row>
    <row r="14" spans="1:12" x14ac:dyDescent="0.25">
      <c r="A14">
        <v>3</v>
      </c>
      <c r="B14" s="8" t="n">
        <v>8995.9253181265</v>
      </c>
      <c r="C14" s="11">
        <f si="0" t="shared"/>
        <v>1.3887582379366161E-2</v>
      </c>
      <c r="E14" s="112">
        <v>3</v>
      </c>
      <c r="F14" s="202" t="n">
        <v>18963.0</v>
      </c>
      <c r="G14" s="11">
        <f si="1" t="shared"/>
        <v>3.2328205619499908E-2</v>
      </c>
    </row>
    <row r="15" spans="1:12" x14ac:dyDescent="0.25">
      <c r="A15">
        <v>4</v>
      </c>
      <c r="B15" s="8" t="n">
        <v>6411.2446108812</v>
      </c>
      <c r="C15" s="11">
        <f si="0" t="shared"/>
        <v>9.8974462925424649E-3</v>
      </c>
      <c r="E15" s="113">
        <v>4</v>
      </c>
      <c r="F15" s="203" t="n">
        <v>18563.0</v>
      </c>
      <c r="G15" s="11">
        <f si="1" t="shared"/>
        <v>3.1844060930378969E-2</v>
      </c>
    </row>
    <row r="16" spans="1:12" x14ac:dyDescent="0.25">
      <c r="A16">
        <v>5</v>
      </c>
      <c r="B16" s="8" t="n">
        <v>11002.780564376899</v>
      </c>
      <c r="C16" s="11">
        <f si="0" t="shared"/>
        <v>1.6985692531482219E-2</v>
      </c>
      <c r="E16" s="114">
        <v>5</v>
      </c>
      <c r="F16" s="204" t="n">
        <v>18078.0</v>
      </c>
      <c r="G16" s="11">
        <f si="1" t="shared"/>
        <v>3.0766283000533756E-2</v>
      </c>
    </row>
    <row r="17" spans="1:7" x14ac:dyDescent="0.25">
      <c r="A17">
        <v>6</v>
      </c>
      <c r="B17" s="8" t="n">
        <v>11132.0476186587</v>
      </c>
      <c r="C17" s="11">
        <f si="0" t="shared"/>
        <v>1.7185250309230689E-2</v>
      </c>
      <c r="E17" s="115">
        <v>6</v>
      </c>
      <c r="F17" s="205" t="n">
        <v>17368.0</v>
      </c>
      <c r="G17" s="11">
        <f si="1" t="shared"/>
        <v>2.9534536794996374E-2</v>
      </c>
    </row>
    <row r="18" spans="1:7" x14ac:dyDescent="0.25">
      <c r="A18">
        <v>7</v>
      </c>
      <c r="B18" s="8" t="n">
        <v>12878.5938719198</v>
      </c>
      <c r="C18" s="11">
        <f si="0" t="shared"/>
        <v>1.9881504903815104E-2</v>
      </c>
      <c r="E18" s="116">
        <v>7</v>
      </c>
      <c r="F18" s="206" t="n">
        <v>16271.0</v>
      </c>
      <c r="G18" s="11">
        <f si="1" t="shared"/>
        <v>2.7697182038403108E-2</v>
      </c>
    </row>
    <row r="19" spans="1:7" x14ac:dyDescent="0.25">
      <c r="A19">
        <v>8</v>
      </c>
      <c r="B19" s="8" t="n">
        <v>6601.8343167874</v>
      </c>
      <c r="C19" s="11">
        <f si="0" t="shared"/>
        <v>1.0191671749939075E-2</v>
      </c>
      <c r="E19" s="117">
        <v>8</v>
      </c>
      <c r="F19" s="207" t="n">
        <v>15058.0</v>
      </c>
      <c r="G19" s="11">
        <f si="1" t="shared"/>
        <v>2.5738363419874909E-2</v>
      </c>
    </row>
    <row r="20" spans="1:7" x14ac:dyDescent="0.25">
      <c r="A20">
        <v>9</v>
      </c>
      <c r="B20" s="8" t="n">
        <v>13591.1873498755</v>
      </c>
      <c r="C20" s="11">
        <f si="0" t="shared"/>
        <v>2.0981580802418697E-2</v>
      </c>
      <c r="E20" s="118">
        <v>9</v>
      </c>
      <c r="F20" s="208" t="n">
        <v>13717.0</v>
      </c>
      <c r="G20" s="11">
        <f si="1" t="shared"/>
        <v>2.321157293990447E-2</v>
      </c>
    </row>
    <row r="21" spans="1:7" x14ac:dyDescent="0.25">
      <c r="A21">
        <v>10</v>
      </c>
      <c r="B21" s="8" t="n">
        <v>6709.0241913616</v>
      </c>
      <c r="C21" s="11">
        <f si="0" t="shared"/>
        <v>1.0357147580466885E-2</v>
      </c>
      <c r="E21" s="119">
        <v>10</v>
      </c>
      <c r="F21" s="209" t="n">
        <v>11953.0</v>
      </c>
      <c r="G21" s="11">
        <f si="1" t="shared"/>
        <v>2.0595823011756335E-2</v>
      </c>
    </row>
    <row r="22" spans="1:7" x14ac:dyDescent="0.25">
      <c r="A22">
        <v>11</v>
      </c>
      <c r="B22" s="8" t="n">
        <v>13501.3204330015</v>
      </c>
      <c r="C22" s="11">
        <f si="0" t="shared"/>
        <v>2.0842847524058485E-2</v>
      </c>
      <c r="E22" s="120">
        <v>11</v>
      </c>
      <c r="F22" s="210" t="n">
        <v>10681.0</v>
      </c>
      <c r="G22" s="11">
        <f si="1" t="shared"/>
        <v>1.8089561635211519E-2</v>
      </c>
    </row>
    <row r="23" spans="1:7" x14ac:dyDescent="0.25">
      <c r="A23">
        <v>12</v>
      </c>
      <c r="B23" s="8" t="n">
        <v>19825.251585863</v>
      </c>
      <c r="C23" s="11">
        <f si="0" t="shared"/>
        <v>3.060550247516633E-2</v>
      </c>
      <c r="E23" s="121">
        <v>12</v>
      </c>
      <c r="F23" s="211" t="n">
        <v>9832.0</v>
      </c>
      <c r="G23" s="11">
        <f si="1" t="shared"/>
        <v>1.6353141637127568E-2</v>
      </c>
    </row>
    <row r="24" spans="1:7" x14ac:dyDescent="0.25">
      <c r="A24">
        <v>13</v>
      </c>
      <c r="B24" s="8" t="n">
        <v>9266.783585143201</v>
      </c>
      <c r="C24" s="11">
        <f si="0" t="shared"/>
        <v>1.4305723522528763E-2</v>
      </c>
      <c r="E24" s="122">
        <v>13</v>
      </c>
      <c r="F24" s="212" t="n">
        <v>8255.0</v>
      </c>
      <c r="G24" s="11">
        <f si="1" t="shared"/>
        <v>1.3480777916159141E-2</v>
      </c>
    </row>
    <row r="25" spans="1:7" x14ac:dyDescent="0.25">
      <c r="A25">
        <v>14</v>
      </c>
      <c r="B25" s="8" t="n">
        <v>12275.5732279132</v>
      </c>
      <c r="C25" s="11">
        <f si="0" t="shared"/>
        <v>1.8950583561768639E-2</v>
      </c>
      <c r="E25" s="123">
        <v>14</v>
      </c>
      <c r="F25" s="213" t="n">
        <v>7004.0</v>
      </c>
      <c r="G25" s="11">
        <f si="1" t="shared"/>
        <v>1.1953070469569026E-2</v>
      </c>
    </row>
    <row r="26" spans="1:7" x14ac:dyDescent="0.25">
      <c r="A26">
        <v>15</v>
      </c>
      <c r="B26" s="8" t="n">
        <v>1534.9153554067</v>
      </c>
      <c r="C26" s="11">
        <f si="0" t="shared"/>
        <v>2.3695465101975727E-3</v>
      </c>
      <c r="E26" s="124">
        <v>15</v>
      </c>
      <c r="F26" s="214" t="n">
        <v>6613.0</v>
      </c>
      <c r="G26" s="11">
        <f si="1" t="shared"/>
        <v>1.1215733504865398E-2</v>
      </c>
    </row>
    <row r="27" spans="1:7" x14ac:dyDescent="0.25">
      <c r="A27">
        <v>16</v>
      </c>
      <c r="B27" s="8" t="n">
        <v>36476.5443891382</v>
      </c>
      <c r="C27" s="11">
        <f si="0" t="shared"/>
        <v>5.6311162799233011E-2</v>
      </c>
      <c r="E27" s="125">
        <v>16</v>
      </c>
      <c r="F27" s="215" t="n">
        <v>6121.0</v>
      </c>
      <c r="G27" s="11">
        <f si="1" t="shared"/>
        <v>1.0550248402151449E-2</v>
      </c>
    </row>
    <row r="28" spans="1:7" x14ac:dyDescent="0.25">
      <c r="A28">
        <v>17</v>
      </c>
      <c r="B28" s="8" t="n">
        <v>17636.713957282</v>
      </c>
      <c r="C28" s="11">
        <f si="0" t="shared"/>
        <v>2.722691766788482E-2</v>
      </c>
      <c r="E28" s="126">
        <v>17</v>
      </c>
      <c r="F28" s="216" t="n">
        <v>5438.0</v>
      </c>
      <c r="G28" s="11">
        <f si="1" t="shared"/>
        <v>9.1730877140159036E-3</v>
      </c>
    </row>
    <row r="29" spans="1:7" x14ac:dyDescent="0.25">
      <c r="A29">
        <v>18</v>
      </c>
      <c r="B29" s="8" t="n">
        <v>50573.8350385529</v>
      </c>
      <c r="C29" s="11">
        <f si="0" t="shared"/>
        <v>7.8074047471600169E-2</v>
      </c>
      <c r="E29" s="127">
        <v>18</v>
      </c>
      <c r="F29" s="217" t="n">
        <v>73954.0</v>
      </c>
      <c r="G29" s="11">
        <f si="1" t="shared"/>
        <v>0.1268732806875881</v>
      </c>
    </row>
    <row r="30" spans="1:7" x14ac:dyDescent="0.25">
      <c r="A30">
        <v>19</v>
      </c>
      <c r="B30" s="8" t="n">
        <v>21628.9416653866</v>
      </c>
      <c r="C30" s="11">
        <f si="0" t="shared"/>
        <v>3.3389973630763493E-2</v>
      </c>
      <c r="E30" s="128">
        <v>19</v>
      </c>
      <c r="F30" s="218" t="n">
        <v>20539.0</v>
      </c>
      <c r="G30" s="11">
        <f si="1" t="shared"/>
        <v>3.514240354742907E-2</v>
      </c>
    </row>
    <row r="31" spans="1:7" x14ac:dyDescent="0.25">
      <c r="A31">
        <v>20</v>
      </c>
      <c r="B31" s="8" t="n">
        <v>44280.4145247083</v>
      </c>
      <c r="C31" s="11">
        <f si="0" t="shared"/>
        <v>6.8358493735521372E-2</v>
      </c>
      <c r="E31" s="129">
        <v>20</v>
      </c>
      <c r="F31" s="219" t="n">
        <v>23231.0</v>
      </c>
      <c r="G31" s="11">
        <f si="1" t="shared"/>
        <v>4.0031751679964964E-2</v>
      </c>
    </row>
    <row r="32" spans="1:7" x14ac:dyDescent="0.25">
      <c r="A32">
        <v>21</v>
      </c>
      <c r="B32" s="8" t="n">
        <v>39767.9164662281</v>
      </c>
      <c r="C32" s="11">
        <f si="0" t="shared"/>
        <v>6.1392263324781933E-2</v>
      </c>
      <c r="E32" s="130">
        <v>21</v>
      </c>
      <c r="F32" s="220" t="n">
        <v>23879.0</v>
      </c>
      <c r="G32" s="11">
        <f si="1" t="shared"/>
        <v>4.0531293196655126E-2</v>
      </c>
    </row>
    <row r="33" spans="1:7" x14ac:dyDescent="0.25">
      <c r="A33">
        <v>22</v>
      </c>
      <c r="B33" s="8" t="n">
        <v>35963.611184434</v>
      </c>
      <c r="C33" s="11">
        <f si="0" t="shared"/>
        <v>5.5519315170052666E-2</v>
      </c>
      <c r="E33" s="131">
        <v>22</v>
      </c>
      <c r="F33" s="221" t="n">
        <v>26177.0</v>
      </c>
      <c r="G33" s="11">
        <f si="1" t="shared"/>
        <v>4.3672246020775456E-2</v>
      </c>
    </row>
    <row r="34" spans="1:7" x14ac:dyDescent="0.25">
      <c r="A34">
        <v>23</v>
      </c>
      <c r="B34" s="8" t="n">
        <v>20849.1719522749</v>
      </c>
      <c r="C34" s="11">
        <f si="0" t="shared"/>
        <v>3.2186193503114691E-2</v>
      </c>
      <c r="E34" s="132">
        <v>23</v>
      </c>
      <c r="F34" s="222" t="n">
        <v>16188.0</v>
      </c>
      <c r="G34" s="11">
        <f si="1" t="shared"/>
        <v>2.7722843417685137E-2</v>
      </c>
    </row>
    <row r="35" spans="1:7" x14ac:dyDescent="0.25">
      <c r="A35">
        <v>24</v>
      </c>
      <c r="B35" s="8" t="n">
        <v>24106.870151671</v>
      </c>
      <c r="C35" s="11">
        <f si="0" t="shared"/>
        <v>3.7215309520792814E-2</v>
      </c>
      <c r="E35" s="133">
        <v>24</v>
      </c>
      <c r="F35" s="223" t="n">
        <v>14882.0</v>
      </c>
      <c r="G35" s="11">
        <f si="1" t="shared"/>
        <v>2.7869968658902105E-2</v>
      </c>
    </row>
    <row r="36" spans="1:7" x14ac:dyDescent="0.25">
      <c r="A36">
        <v>25</v>
      </c>
      <c r="B36" s="8" t="n">
        <v>17873.8082586151</v>
      </c>
      <c r="C36" s="11">
        <f si="0" t="shared"/>
        <v>2.7592935228613905E-2</v>
      </c>
      <c r="E36" s="134">
        <v>25</v>
      </c>
      <c r="F36" s="224" t="n">
        <v>13633.0</v>
      </c>
      <c r="G36" s="11">
        <f si="1" t="shared"/>
        <v>2.1405011838449641E-2</v>
      </c>
    </row>
    <row r="37" spans="1:7" x14ac:dyDescent="0.25">
      <c r="A37">
        <v>26</v>
      </c>
      <c r="B37" s="8" t="n">
        <v>31361.0697096279</v>
      </c>
      <c r="C37" s="11">
        <f si="0" t="shared"/>
        <v>4.8414079007517381E-2</v>
      </c>
      <c r="E37" s="135">
        <v>26</v>
      </c>
      <c r="F37" s="225" t="n">
        <v>10496.0</v>
      </c>
      <c r="G37" s="11">
        <f si="1" t="shared"/>
        <v>1.6999808395034694E-2</v>
      </c>
    </row>
    <row r="38" spans="1:7" x14ac:dyDescent="0.25">
      <c r="A38">
        <v>27</v>
      </c>
      <c r="B38" s="8" t="n">
        <v>7141.4740373969</v>
      </c>
      <c r="C38" s="11">
        <f si="0" t="shared"/>
        <v>1.1024747927221452E-2</v>
      </c>
      <c r="E38" s="136">
        <v>27</v>
      </c>
      <c r="F38" s="226" t="n">
        <v>7097.0</v>
      </c>
      <c r="G38" s="11">
        <f si="1" t="shared"/>
        <v>1.6767145222877634E-2</v>
      </c>
    </row>
    <row r="39" spans="1:7" x14ac:dyDescent="0.25">
      <c r="A39">
        <v>28</v>
      </c>
      <c r="B39" s="8" t="n">
        <v>11669.0787857126</v>
      </c>
      <c r="C39" s="11">
        <f si="0" t="shared"/>
        <v>1.8014299496391061E-2</v>
      </c>
      <c r="E39" s="137">
        <v>28</v>
      </c>
      <c r="F39" s="227" t="n">
        <v>10029.0</v>
      </c>
      <c r="G39" s="11">
        <f si="1" t="shared"/>
        <v>1.2449190469021583E-2</v>
      </c>
    </row>
    <row r="40" spans="1:7" x14ac:dyDescent="0.25">
      <c r="A40">
        <v>29</v>
      </c>
      <c r="B40" s="8" t="n">
        <v>22597.847322537</v>
      </c>
      <c r="C40" s="11">
        <f si="0" t="shared"/>
        <v>3.4885734951102296E-2</v>
      </c>
      <c r="E40" s="138">
        <v>29</v>
      </c>
      <c r="F40" s="228" t="n">
        <v>10778.0</v>
      </c>
      <c r="G40" s="11">
        <f si="1" t="shared"/>
        <v>1.9512912806054716E-2</v>
      </c>
    </row>
    <row r="41" spans="1:7" x14ac:dyDescent="0.25">
      <c r="A41">
        <v>30</v>
      </c>
      <c r="B41" s="8" t="n">
        <v>8001.9242200252</v>
      </c>
      <c r="C41" s="11">
        <f si="0" t="shared"/>
        <v>1.2353079629854996E-2</v>
      </c>
      <c r="E41" s="139">
        <v>30</v>
      </c>
      <c r="F41" s="229" t="n">
        <v>8899.0</v>
      </c>
      <c r="G41" s="11">
        <f si="1" t="shared"/>
        <v>1.6344587844033559E-2</v>
      </c>
    </row>
    <row r="42" spans="1:7" x14ac:dyDescent="0.25">
      <c r="A42">
        <v>31</v>
      </c>
      <c r="B42" s="8" t="n">
        <v>5141.7663219134</v>
      </c>
      <c r="C42" s="11">
        <f si="0" t="shared"/>
        <v>7.9376718731913754E-3</v>
      </c>
      <c r="E42" s="140">
        <v>31</v>
      </c>
      <c r="F42" s="230" t="n">
        <v>6559.0</v>
      </c>
      <c r="G42" s="11">
        <f si="1" t="shared"/>
        <v>1.1309825228899503E-2</v>
      </c>
    </row>
    <row r="43" spans="1:7" x14ac:dyDescent="0.25">
      <c r="A43">
        <v>32</v>
      </c>
      <c r="B43" s="8" t="n">
        <v>5295.2539796039</v>
      </c>
      <c r="C43" s="11">
        <f si="0" t="shared"/>
        <v>8.1746205377270544E-3</v>
      </c>
      <c r="E43" s="141">
        <v>32</v>
      </c>
      <c r="F43" s="231" t="n">
        <v>8880.0</v>
      </c>
      <c r="G43" s="11">
        <f si="1" t="shared"/>
        <v>1.2394446193219921E-2</v>
      </c>
    </row>
    <row r="44" spans="1:7" x14ac:dyDescent="0.25">
      <c r="A44">
        <v>33</v>
      </c>
      <c r="B44" s="8" t="n">
        <v>7708.5946500699</v>
      </c>
      <c r="C44" s="11">
        <f si="0" t="shared"/>
        <v>1.1900248106359573E-2</v>
      </c>
      <c r="E44" s="142">
        <v>33</v>
      </c>
      <c r="F44" s="232" t="n">
        <v>7977.0</v>
      </c>
      <c r="G44" s="11">
        <f si="1" t="shared"/>
        <v>1.2892276951291281E-2</v>
      </c>
    </row>
    <row r="45" spans="1:7" x14ac:dyDescent="0.25">
      <c r="A45">
        <v>34</v>
      </c>
      <c r="B45" s="8" t="n">
        <v>9295.233746452699</v>
      </c>
      <c r="C45" s="11">
        <f si="0" t="shared"/>
        <v>1.4349643847000087E-2</v>
      </c>
      <c r="E45" s="143">
        <v>34</v>
      </c>
      <c r="F45" s="233" t="n">
        <v>6782.0</v>
      </c>
      <c r="G45" s="11">
        <f si="1" t="shared"/>
        <v>9.9549044028083809E-3</v>
      </c>
    </row>
    <row r="46" spans="1:7" x14ac:dyDescent="0.25">
      <c r="A46">
        <v>35</v>
      </c>
      <c r="B46" s="8" t="n">
        <v>1913.506840464</v>
      </c>
      <c r="C46" s="11">
        <f si="0" t="shared"/>
        <v>2.954002277773332E-3</v>
      </c>
      <c r="E46" s="144">
        <v>35</v>
      </c>
      <c r="F46" s="234" t="n">
        <v>5173.0</v>
      </c>
      <c r="G46" s="11">
        <f si="1" t="shared"/>
        <v>9.2432288173867824E-3</v>
      </c>
    </row>
    <row r="47" spans="1:7" x14ac:dyDescent="0.25">
      <c r="A47">
        <v>36</v>
      </c>
      <c r="B47" s="8" t="n">
        <v>1505.593957757</v>
      </c>
      <c r="C47" s="11">
        <f si="0" t="shared"/>
        <v>2.3242812027457799E-3</v>
      </c>
      <c r="E47" s="145">
        <v>36</v>
      </c>
      <c r="F47" s="235" t="n">
        <v>4554.0</v>
      </c>
      <c r="G47" s="11">
        <f si="1" t="shared"/>
        <v>8.7282904731274032E-3</v>
      </c>
    </row>
    <row r="48" spans="1:7" x14ac:dyDescent="0.25">
      <c r="A48">
        <v>37</v>
      </c>
      <c r="B48" s="8" t="n">
        <v>8806.2590100408</v>
      </c>
      <c r="C48" s="11">
        <f si="0" t="shared"/>
        <v>1.359478242994651E-2</v>
      </c>
      <c r="E48" s="146">
        <v>37</v>
      </c>
      <c r="F48" s="236" t="n">
        <v>7335.0</v>
      </c>
      <c r="G48" s="11">
        <f si="1" t="shared"/>
        <v>1.0321006747231992E-2</v>
      </c>
    </row>
    <row r="49" spans="1:7" x14ac:dyDescent="0.25">
      <c r="A49">
        <v>38</v>
      </c>
      <c r="B49" s="8" t="n">
        <v>6890.9801801649</v>
      </c>
      <c r="C49" s="11">
        <f si="0" t="shared"/>
        <v>1.06380446193555E-2</v>
      </c>
      <c r="E49" s="147">
        <v>38</v>
      </c>
      <c r="F49" s="237" t="n">
        <v>4764.0</v>
      </c>
      <c r="G49" s="11">
        <f si="1" t="shared"/>
        <v>8.5383962664403908E-3</v>
      </c>
    </row>
    <row r="50" spans="1:7" x14ac:dyDescent="0.25">
      <c r="A50">
        <v>39</v>
      </c>
      <c r="B50" s="8" t="n">
        <v>2315.29114893</v>
      </c>
      <c r="C50" s="11">
        <f si="0" t="shared"/>
        <v>3.5742622827463718E-3</v>
      </c>
      <c r="E50" s="148">
        <v>39</v>
      </c>
      <c r="F50" s="238" t="n">
        <v>4401.0</v>
      </c>
      <c r="G50" s="11">
        <f si="1" t="shared"/>
        <v>6.8943572337717435E-3</v>
      </c>
    </row>
    <row r="51" spans="1:7" x14ac:dyDescent="0.25">
      <c r="A51">
        <v>40</v>
      </c>
      <c r="B51" s="8" t="n">
        <v>1550.0612718621</v>
      </c>
      <c r="C51" s="11">
        <f si="0" t="shared"/>
        <v>2.3929282252571162E-3</v>
      </c>
      <c r="E51" s="149">
        <v>40</v>
      </c>
      <c r="F51" s="239" t="n">
        <v>3845.0</v>
      </c>
      <c r="G51" s="11">
        <f si="1" t="shared"/>
        <v>6.4238986136012149E-3</v>
      </c>
    </row>
    <row r="52" spans="1:7" x14ac:dyDescent="0.25">
      <c r="A52">
        <v>41</v>
      </c>
      <c r="B52" s="8" t="n">
        <v>1997.928509444</v>
      </c>
      <c r="C52" s="11">
        <f si="0" t="shared"/>
        <v>3.0843293804451331E-3</v>
      </c>
      <c r="E52" s="150">
        <v>41</v>
      </c>
      <c r="F52" s="240" t="n">
        <v>2781.0</v>
      </c>
      <c r="G52" s="11">
        <f si="1" t="shared"/>
        <v>4.803810201595796E-3</v>
      </c>
    </row>
    <row r="53" spans="1:7" x14ac:dyDescent="0.25">
      <c r="A53">
        <v>42</v>
      </c>
      <c r="B53" s="8" t="n">
        <v>691.907580159</v>
      </c>
      <c r="C53" s="11">
        <f si="0" t="shared"/>
        <v>1.0681417618045735E-3</v>
      </c>
      <c r="E53" s="151">
        <v>42</v>
      </c>
      <c r="F53" s="241" t="n">
        <v>2559.0</v>
      </c>
      <c r="G53" s="11">
        <f si="1" t="shared"/>
        <v>5.6677433040907658E-3</v>
      </c>
    </row>
    <row r="54" spans="1:7" x14ac:dyDescent="0.25">
      <c r="A54">
        <v>43</v>
      </c>
      <c r="B54" s="8" t="n">
        <v>728.5422207096</v>
      </c>
      <c r="C54" s="11">
        <f si="0" t="shared"/>
        <v>1.1246969877088814E-3</v>
      </c>
      <c r="E54" s="152">
        <v>43</v>
      </c>
      <c r="F54" s="242" t="n">
        <v>3863.0</v>
      </c>
      <c r="G54" s="11">
        <f si="1" t="shared"/>
        <v>5.400864959557666E-3</v>
      </c>
    </row>
    <row r="55" spans="1:7" x14ac:dyDescent="0.25">
      <c r="A55">
        <v>44</v>
      </c>
      <c r="B55" s="8" t="n">
        <v>1833.598052242</v>
      </c>
      <c r="C55" s="11">
        <f si="0" t="shared"/>
        <v>2.8306419963098719E-3</v>
      </c>
      <c r="E55" s="153">
        <v>44</v>
      </c>
      <c r="F55" s="243" t="n">
        <v>2223.0</v>
      </c>
      <c r="G55" s="11">
        <f si="1" t="shared"/>
        <v>3.7961733751214637E-3</v>
      </c>
    </row>
    <row r="56" spans="1:7" x14ac:dyDescent="0.25">
      <c r="A56">
        <v>45</v>
      </c>
      <c r="B56" s="8" t="n">
        <v>36013.058642884</v>
      </c>
      <c r="C56" s="11">
        <f si="0" t="shared"/>
        <v>5.5595650358306291E-2</v>
      </c>
      <c r="E56" s="154">
        <v>45</v>
      </c>
      <c r="F56" s="244" t="n">
        <v>2230.0</v>
      </c>
      <c r="G56" s="11">
        <f si="1" t="shared"/>
        <v>3.6576019269985082E-3</v>
      </c>
    </row>
    <row r="57" spans="1:7" x14ac:dyDescent="0.25">
      <c r="A57">
        <v>46</v>
      </c>
      <c r="B57" s="8" t="n">
        <v>350.8827418362</v>
      </c>
      <c r="C57" s="11">
        <f si="0" t="shared"/>
        <v>5.4168001738846524E-4</v>
      </c>
      <c r="E57" s="155">
        <v>46</v>
      </c>
      <c r="F57" s="245" t="n">
        <v>1959.0</v>
      </c>
      <c r="G57" s="11">
        <f si="1" t="shared"/>
        <v>3.4026988927970221E-3</v>
      </c>
    </row>
    <row r="58" spans="1:7" x14ac:dyDescent="0.25">
      <c r="A58">
        <v>47</v>
      </c>
      <c r="B58" s="8" t="n">
        <v>514.0966729920001</v>
      </c>
      <c r="C58" s="11">
        <f si="0" t="shared"/>
        <v>7.9364374921482345E-4</v>
      </c>
      <c r="E58" s="156">
        <v>47</v>
      </c>
      <c r="F58" s="246" t="n">
        <v>2005.0</v>
      </c>
      <c r="G58" s="11">
        <f si="1" t="shared"/>
        <v>4.8996126842487031E-3</v>
      </c>
    </row>
    <row r="59" spans="1:7" x14ac:dyDescent="0.25">
      <c r="A59">
        <v>48</v>
      </c>
      <c r="B59" s="8" t="n">
        <v>2118.7496220499997</v>
      </c>
      <c r="C59" s="11">
        <f si="0" t="shared"/>
        <v>3.2708486205617177E-3</v>
      </c>
      <c r="E59" s="157">
        <v>48</v>
      </c>
      <c r="F59" s="247" t="n">
        <v>2254.0</v>
      </c>
      <c r="G59" s="11">
        <f si="1" t="shared"/>
        <v>2.6482543419053747E-3</v>
      </c>
    </row>
    <row r="60" spans="1:7" x14ac:dyDescent="0.25">
      <c r="A60">
        <v>49</v>
      </c>
      <c r="B60" s="8" t="n">
        <v>230.26359417499998</v>
      </c>
      <c r="C60" s="11">
        <f si="0" t="shared"/>
        <v>3.5547256340943354E-4</v>
      </c>
      <c r="E60" s="158">
        <v>49</v>
      </c>
      <c r="F60" s="248" t="n">
        <v>1360.0</v>
      </c>
      <c r="G60" s="11">
        <f si="1" t="shared"/>
        <v>2.4121696525107096E-3</v>
      </c>
    </row>
    <row r="61" spans="1:7" x14ac:dyDescent="0.25">
      <c r="A61">
        <v>50</v>
      </c>
      <c r="B61" s="8" t="n">
        <v>324.775829405</v>
      </c>
      <c r="C61" s="11">
        <f si="0" t="shared"/>
        <v>5.0137711532583504E-4</v>
      </c>
      <c r="E61" s="159">
        <v>50</v>
      </c>
      <c r="F61" s="249" t="n">
        <v>1235.0</v>
      </c>
      <c r="G61" s="11">
        <f si="1" t="shared"/>
        <v>2.2445153078681211E-3</v>
      </c>
    </row>
    <row r="62" spans="1:7" x14ac:dyDescent="0.25">
      <c r="A62">
        <v>51</v>
      </c>
      <c r="B62" s="8" t="n">
        <v>195.252872306</v>
      </c>
      <c r="C62" s="11">
        <f si="0" t="shared"/>
        <v>3.0142428411379424E-4</v>
      </c>
      <c r="E62" s="160">
        <v>51</v>
      </c>
      <c r="F62" s="250" t="n">
        <v>1530.0</v>
      </c>
      <c r="G62" s="11">
        <f si="1" t="shared"/>
        <v>2.8210409624043688E-3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1212.0</v>
      </c>
      <c r="G63" s="11">
        <f si="1" t="shared"/>
        <v>2.0152736529486636E-3</v>
      </c>
    </row>
    <row r="64" spans="1:7" x14ac:dyDescent="0.25">
      <c r="A64">
        <v>53</v>
      </c>
      <c r="B64" s="8" t="n">
        <v>641.7401844716001</v>
      </c>
      <c r="C64" s="11">
        <f si="0" t="shared"/>
        <v>9.9069516062357107E-4</v>
      </c>
      <c r="E64" s="162">
        <v>53</v>
      </c>
      <c r="F64" s="252" t="n">
        <v>990.0</v>
      </c>
      <c r="G64" s="11">
        <f si="1" t="shared"/>
        <v>2.2582013768185365E-3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968.0</v>
      </c>
      <c r="G65" s="11">
        <f si="1" t="shared"/>
        <v>1.5756086879165697E-3</v>
      </c>
    </row>
    <row r="66" spans="1:7" x14ac:dyDescent="0.25">
      <c r="A66">
        <v>55</v>
      </c>
      <c r="B66" s="8" t="n">
        <v>746.214690547</v>
      </c>
      <c r="C66" s="11">
        <f si="0" t="shared"/>
        <v>1.1519791040042698E-3</v>
      </c>
      <c r="E66" s="164">
        <v>55</v>
      </c>
      <c r="F66" s="254" t="n">
        <v>858.0</v>
      </c>
      <c r="G66" s="11">
        <f si="1" t="shared"/>
        <v>1.4952030328328795E-3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766.0</v>
      </c>
      <c r="G67" s="11">
        <f si="1" t="shared"/>
        <v>1.3207056537150835E-3</v>
      </c>
    </row>
    <row r="68" spans="1:7" x14ac:dyDescent="0.25">
      <c r="A68">
        <v>57</v>
      </c>
      <c r="B68" s="8" t="n">
        <v>1335.01152099</v>
      </c>
      <c r="C68" s="11">
        <f si="0" t="shared"/>
        <v>2.0609422399043126E-3</v>
      </c>
      <c r="E68" s="166">
        <v>57</v>
      </c>
      <c r="F68" s="256" t="n">
        <v>671.0</v>
      </c>
      <c r="G68" s="11">
        <f si="1" t="shared"/>
        <v>1.3463670329971122E-3</v>
      </c>
    </row>
    <row r="69" spans="1:7" x14ac:dyDescent="0.25">
      <c r="A69">
        <v>58</v>
      </c>
      <c r="B69" s="8" t="n">
        <v>91.6389155216</v>
      </c>
      <c r="C69" s="11">
        <f si="0" t="shared"/>
        <v>1.4146882543562936E-4</v>
      </c>
      <c r="E69" s="167">
        <v>58</v>
      </c>
      <c r="F69" s="257" t="n">
        <v>496.0</v>
      </c>
      <c r="G69" s="11">
        <f si="1" t="shared"/>
        <v>9.6828937824188757E-4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565.0</v>
      </c>
      <c r="G70" s="11">
        <f si="1" t="shared"/>
        <v>1.0965962746520316E-3</v>
      </c>
    </row>
    <row r="71" spans="1:7" x14ac:dyDescent="0.25">
      <c r="A71">
        <v>60</v>
      </c>
      <c r="B71" s="8" t="n">
        <v>974.321633473</v>
      </c>
      <c r="C71" s="11">
        <f si="0" t="shared"/>
        <v>1.5041223076397066E-3</v>
      </c>
      <c r="E71" s="169">
        <v>60</v>
      </c>
      <c r="F71" s="259" t="n">
        <v>487.0</v>
      </c>
      <c r="G71" s="11">
        <f si="1" t="shared"/>
        <v>8.4853627492575306E-4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377.0</v>
      </c>
      <c r="G72" s="11">
        <f si="1" t="shared"/>
        <v>6.5179903376353212E-4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406.0</v>
      </c>
      <c r="G73" s="11">
        <f si="1" t="shared"/>
        <v>6.3640220619431477E-4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333.0</v>
      </c>
      <c r="G74" s="11">
        <f si="1" t="shared"/>
        <v>7.3049393022842047E-4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264.0</v>
      </c>
      <c r="G75" s="11">
        <f si="1" t="shared"/>
        <v>6.2100537862509752E-4</v>
      </c>
    </row>
    <row r="76" spans="1:7" x14ac:dyDescent="0.25">
      <c r="A76">
        <v>65</v>
      </c>
      <c r="B76" s="8" t="n">
        <v>292.681617382</v>
      </c>
      <c r="C76" s="11">
        <f si="0" t="shared"/>
        <v>4.5183123787483358E-4</v>
      </c>
      <c r="E76" s="174">
        <v>65</v>
      </c>
      <c r="F76" s="264" t="n">
        <v>294.0</v>
      </c>
      <c r="G76" s="11">
        <f si="1" t="shared"/>
        <v>4.5335103398250919E-4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235.0</v>
      </c>
      <c r="G77" s="11">
        <f ref="G77:G102" si="3" t="shared">F77/F$102</f>
        <v>3.6439158580480927E-4</v>
      </c>
    </row>
    <row r="78" spans="1:7" x14ac:dyDescent="0.25">
      <c r="A78">
        <v>67</v>
      </c>
      <c r="B78" s="8" t="n">
        <v>498.635433791</v>
      </c>
      <c r="C78" s="11">
        <f si="2" t="shared"/>
        <v>7.6977525036698159E-4</v>
      </c>
      <c r="E78" s="176">
        <v>67</v>
      </c>
      <c r="F78" s="266" t="n">
        <v>221.0</v>
      </c>
      <c r="G78" s="11">
        <f si="3" t="shared"/>
        <v>4.2426813746287653E-4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173.0</v>
      </c>
      <c r="G79" s="11">
        <f si="3" t="shared"/>
        <v>4.0544979265605538E-4</v>
      </c>
    </row>
    <row r="80" spans="1:7" x14ac:dyDescent="0.25">
      <c r="A80">
        <v>69</v>
      </c>
      <c r="B80" s="8" t="n">
        <v>387.674382174</v>
      </c>
      <c r="C80" s="11">
        <f si="2" t="shared"/>
        <v>5.9847761385513083E-4</v>
      </c>
      <c r="E80" s="178">
        <v>69</v>
      </c>
      <c r="F80" s="268" t="n">
        <v>156.0</v>
      </c>
      <c r="G80" s="11">
        <f si="3" t="shared"/>
        <v>2.6687834453309976E-4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136.0</v>
      </c>
      <c r="G81" s="11">
        <f si="3" t="shared"/>
        <v>2.4292772386987286E-4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160.0</v>
      </c>
      <c r="G82" s="11">
        <f si="3" t="shared"/>
        <v>2.7372137900830742E-4</v>
      </c>
    </row>
    <row r="83" spans="1:7" x14ac:dyDescent="0.25">
      <c r="A83">
        <v>72</v>
      </c>
      <c r="B83" s="8" t="n">
        <v>5062.342946146</v>
      </c>
      <c r="C83" s="11">
        <f si="2" t="shared"/>
        <v>7.8150609538238467E-3</v>
      </c>
      <c r="E83" s="181">
        <v>72</v>
      </c>
      <c r="F83" s="271" t="n">
        <v>126.0</v>
      </c>
      <c r="G83" s="11">
        <f si="3" t="shared"/>
        <v>2.4463848248867476E-4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101.0</v>
      </c>
      <c r="G84" s="11">
        <f si="3" t="shared"/>
        <v>1.7620813773659792E-4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68.0</v>
      </c>
      <c r="G85" s="11">
        <f si="3" t="shared"/>
        <v>2.223986204442498E-4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64.0</v>
      </c>
      <c r="G86" s="11">
        <f si="3" t="shared"/>
        <v>1.3857144812295564E-4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70.0</v>
      </c>
      <c r="G87" s="11">
        <f si="3" t="shared"/>
        <v>1.1804234469733259E-4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76.0</v>
      </c>
      <c r="G88" s="11">
        <f si="3" t="shared"/>
        <v>1.3857144812295564E-4</v>
      </c>
    </row>
    <row r="89" spans="1:7" x14ac:dyDescent="0.25">
      <c r="A89">
        <v>78</v>
      </c>
      <c r="B89" s="8" t="n">
        <v>256.371317496</v>
      </c>
      <c r="C89" s="11">
        <f si="2" t="shared"/>
        <v>3.9577671729425001E-4</v>
      </c>
      <c r="E89" s="187">
        <v>78</v>
      </c>
      <c r="F89" s="277" t="n">
        <v>55.0</v>
      </c>
      <c r="G89" s="11">
        <f si="3" t="shared"/>
        <v>1.6081131016738062E-4</v>
      </c>
    </row>
    <row r="90" spans="1:7" x14ac:dyDescent="0.25">
      <c r="A90">
        <v>79</v>
      </c>
      <c r="B90" s="8" t="n">
        <v>256.371317496</v>
      </c>
      <c r="C90" s="11">
        <f si="2" t="shared"/>
        <v>3.9577671729425001E-4</v>
      </c>
      <c r="E90" s="188">
        <v>79</v>
      </c>
      <c r="F90" s="278" t="n">
        <v>56.0</v>
      </c>
      <c r="G90" s="11">
        <f si="3" t="shared"/>
        <v>8.8959448177699922E-5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40.0</v>
      </c>
      <c r="G91" s="11">
        <f si="3" t="shared"/>
        <v>1.265961377913422E-4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46.0</v>
      </c>
      <c r="G92" s="11">
        <f si="3" t="shared"/>
        <v>7.6984137846086467E-5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34.0</v>
      </c>
      <c r="G93" s="11">
        <f si="3" t="shared"/>
        <v>3.9347448232444198E-5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55.0</v>
      </c>
      <c r="G94" s="11">
        <f si="3" t="shared"/>
        <v>6.3298068895671099E-5</v>
      </c>
    </row>
    <row r="95" spans="1:7" x14ac:dyDescent="0.25">
      <c r="A95">
        <v>84</v>
      </c>
      <c r="B95" s="8" t="n">
        <v>1132.619328192</v>
      </c>
      <c r="C95" s="11">
        <f si="2" t="shared"/>
        <v>1.7484965324283692E-3</v>
      </c>
      <c r="E95" s="193">
        <v>84</v>
      </c>
      <c r="F95" s="283" t="n">
        <v>39.0</v>
      </c>
      <c r="G95" s="11">
        <f si="3" t="shared"/>
        <v>5.8165793039265329E-5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18.0</v>
      </c>
      <c r="G96" s="11">
        <f si="3" t="shared"/>
        <v>4.276896547004804E-5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15.0</v>
      </c>
      <c r="G97" s="11">
        <f si="3" t="shared"/>
        <v>4.7901241326453803E-5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23.0</v>
      </c>
      <c r="G98" s="11">
        <f si="3" t="shared"/>
        <v>4.4479724088849961E-5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12.0</v>
      </c>
      <c r="G99" s="11">
        <f si="3" t="shared"/>
        <v>3.4215172376038428E-5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16.0</v>
      </c>
      <c r="G100" s="11">
        <f si="3" t="shared"/>
        <v>2.7372137900830744E-5</v>
      </c>
    </row>
    <row ht="15.75" r="101" spans="1:7" thickBot="1" x14ac:dyDescent="0.3">
      <c r="A101" s="1">
        <v>90</v>
      </c>
      <c r="B101" s="9" t="n">
        <v>1073.10010755</v>
      </c>
      <c r="C101" s="11">
        <f si="2" t="shared"/>
        <v>1.6566129239511049E-3</v>
      </c>
      <c r="E101" s="291">
        <v>90</v>
      </c>
      <c r="F101" s="291" t="n">
        <v>103.0</v>
      </c>
      <c r="G101" s="11">
        <f si="3" t="shared"/>
        <v>2.7372137900830742E-4</v>
      </c>
    </row>
    <row r="102" spans="1:7" x14ac:dyDescent="0.25">
      <c r="B102" s="8">
        <f>SUM(B11:B101)</f>
        <v>647767.55754784436</v>
      </c>
      <c r="C102" s="11">
        <f si="2" t="shared"/>
        <v>1</v>
      </c>
      <c r="F102" s="8">
        <f>SUM(F11:F101)</f>
        <v>584536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7" t="n">
        <v>15389.0</v>
      </c>
      <c r="N7" s="337" t="n">
        <v>1233.0</v>
      </c>
      <c r="O7" s="337" t="n">
        <v>1569.0</v>
      </c>
      <c r="P7" s="337" t="n">
        <v>2359.0</v>
      </c>
      <c r="Q7" s="337" t="n">
        <v>1669.0</v>
      </c>
      <c r="R7" s="337" t="n">
        <v>277.0</v>
      </c>
      <c r="S7" s="337" t="n">
        <v>2598.0</v>
      </c>
      <c r="T7" s="337"/>
      <c r="U7" s="335">
        <f>SUM(M7:T7)</f>
        <v>25177</v>
      </c>
    </row>
    <row r="8" spans="1:21" x14ac:dyDescent="0.2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ref="J8:J14" si="0" t="shared">SUM(B8:I8)</f>
        <v>462.67095220929997</v>
      </c>
      <c r="K8" s="12"/>
      <c r="L8" t="str">
        <f>$A$8</f>
        <v>Bellevue Downtown</v>
      </c>
      <c r="M8" s="337" t="n">
        <v>633.0</v>
      </c>
      <c r="N8" s="337" t="n">
        <v>369.0</v>
      </c>
      <c r="O8" s="337" t="n">
        <v>83.0</v>
      </c>
      <c r="P8" s="337" t="n">
        <v>47.0</v>
      </c>
      <c r="Q8" s="337" t="n">
        <v>53.0</v>
      </c>
      <c r="R8" s="337" t="n">
        <v>5.0</v>
      </c>
      <c r="S8" s="337" t="n">
        <v>49.0</v>
      </c>
      <c r="T8" s="337"/>
      <c r="U8" s="335">
        <f ref="U8:U14" si="1" t="shared">SUM(M8:T8)</f>
        <v>1215</v>
      </c>
    </row>
    <row r="9" spans="1:21" x14ac:dyDescent="0.2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si="0" t="shared"/>
        <v>31876.0289466779</v>
      </c>
      <c r="K9" s="13"/>
      <c r="L9" t="str">
        <f>$A$9</f>
        <v>Kirkland</v>
      </c>
      <c r="M9" s="337" t="n">
        <v>1561.0</v>
      </c>
      <c r="N9" s="337" t="n">
        <v>220.0</v>
      </c>
      <c r="O9" s="337" t="n">
        <v>12283.0</v>
      </c>
      <c r="P9" s="337" t="n">
        <v>2602.0</v>
      </c>
      <c r="Q9" s="337" t="n">
        <v>1568.0</v>
      </c>
      <c r="R9" s="337" t="n">
        <v>157.0</v>
      </c>
      <c r="S9" s="337" t="n">
        <v>2302.0</v>
      </c>
      <c r="T9" s="337"/>
      <c r="U9" s="335">
        <f si="1" t="shared"/>
        <v>20654</v>
      </c>
    </row>
    <row r="10" spans="1:21" x14ac:dyDescent="0.2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si="0" t="shared"/>
        <v>34571.719632258399</v>
      </c>
      <c r="K10" s="13"/>
      <c r="L10" t="str">
        <f>$A$10</f>
        <v>Redmond</v>
      </c>
      <c r="M10" s="337" t="n">
        <v>2524.0</v>
      </c>
      <c r="N10" s="337" t="n">
        <v>145.0</v>
      </c>
      <c r="O10" s="337" t="n">
        <v>2984.0</v>
      </c>
      <c r="P10" s="337" t="n">
        <v>9096.0</v>
      </c>
      <c r="Q10" s="337" t="n">
        <v>943.0</v>
      </c>
      <c r="R10" s="337" t="n">
        <v>169.0</v>
      </c>
      <c r="S10" s="337" t="n">
        <v>2057.0</v>
      </c>
      <c r="T10" s="337"/>
      <c r="U10" s="335">
        <f si="1" t="shared"/>
        <v>17989</v>
      </c>
    </row>
    <row r="11" spans="1:21" x14ac:dyDescent="0.2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si="0" t="shared"/>
        <v>92579.880363555902</v>
      </c>
      <c r="K11" s="13"/>
      <c r="L11" t="str">
        <f>$A$11</f>
        <v>Seattle</v>
      </c>
      <c r="M11" s="337" t="n">
        <v>2358.0</v>
      </c>
      <c r="N11" s="337" t="n">
        <v>229.0</v>
      </c>
      <c r="O11" s="337" t="n">
        <v>2167.0</v>
      </c>
      <c r="P11" s="337" t="n">
        <v>972.0</v>
      </c>
      <c r="Q11" s="337" t="n">
        <v>67024.0</v>
      </c>
      <c r="R11" s="337" t="n">
        <v>3424.0</v>
      </c>
      <c r="S11" s="337" t="n">
        <v>8393.0</v>
      </c>
      <c r="T11" s="337"/>
      <c r="U11" s="335">
        <f si="1" t="shared"/>
        <v>84423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si="0" t="shared"/>
        <v>2611.1811652475003</v>
      </c>
      <c r="K12" s="13"/>
      <c r="L12" t="str">
        <f>$A$12</f>
        <v>Seattle Downtown</v>
      </c>
      <c r="M12" s="337" t="n">
        <v>127.0</v>
      </c>
      <c r="N12" s="337" t="n">
        <v>15.0</v>
      </c>
      <c r="O12" s="337" t="n">
        <v>50.0</v>
      </c>
      <c r="P12" s="337" t="n">
        <v>45.0</v>
      </c>
      <c r="Q12" s="337" t="n">
        <v>1172.0</v>
      </c>
      <c r="R12" s="337" t="n">
        <v>3486.0</v>
      </c>
      <c r="S12" s="337" t="n">
        <v>167.0</v>
      </c>
      <c r="T12" s="337"/>
      <c r="U12" s="335">
        <f si="1" t="shared"/>
        <v>5049</v>
      </c>
    </row>
    <row r="13" spans="1:21" x14ac:dyDescent="0.2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si="0" t="shared"/>
        <v>452633.55433099094</v>
      </c>
      <c r="K13" s="13"/>
      <c r="L13" t="str">
        <f>A13</f>
        <v>Rest</v>
      </c>
      <c r="M13" s="337" t="n">
        <v>10186.0</v>
      </c>
      <c r="N13" s="337" t="n">
        <v>823.0</v>
      </c>
      <c r="O13" s="337" t="n">
        <v>8223.0</v>
      </c>
      <c r="P13" s="337" t="n">
        <v>7180.0</v>
      </c>
      <c r="Q13" s="337" t="n">
        <v>18260.0</v>
      </c>
      <c r="R13" s="337" t="n">
        <v>2021.0</v>
      </c>
      <c r="S13" s="337" t="n">
        <v>382253.0</v>
      </c>
      <c r="T13" s="337"/>
      <c r="U13" s="335">
        <f si="1" t="shared"/>
        <v>426818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38714.170245996902</v>
      </c>
      <c r="C15" s="15">
        <f si="2" t="shared"/>
        <v>6841.166558722899</v>
      </c>
      <c r="D15" s="15">
        <f si="2" t="shared"/>
        <v>36468.632455516701</v>
      </c>
      <c r="E15" s="15">
        <f si="2" t="shared"/>
        <v>26686.834731226099</v>
      </c>
      <c r="F15" s="15">
        <f si="2" t="shared"/>
        <v>89100.184345504706</v>
      </c>
      <c r="G15" s="15">
        <f si="2" t="shared"/>
        <v>13903.2810479912</v>
      </c>
      <c r="H15" s="15">
        <f si="2" t="shared"/>
        <v>437082.74371261062</v>
      </c>
      <c r="I15" s="15">
        <f si="2" t="shared"/>
        <v>0</v>
      </c>
      <c r="J15" s="15">
        <f si="2" t="shared"/>
        <v>648797.01309756911</v>
      </c>
      <c r="K15" s="12"/>
      <c r="L15" s="15" t="s">
        <v>4</v>
      </c>
      <c r="M15" s="336">
        <f ref="M15:U15" si="3" t="shared">SUM(M7:M14)</f>
        <v>31608</v>
      </c>
      <c r="N15" s="336">
        <f si="3" t="shared"/>
        <v>2460</v>
      </c>
      <c r="O15" s="336">
        <f si="3" t="shared"/>
        <v>25873</v>
      </c>
      <c r="P15" s="336">
        <f si="3" t="shared"/>
        <v>19618</v>
      </c>
      <c r="Q15" s="336">
        <f si="3" t="shared"/>
        <v>92868</v>
      </c>
      <c r="R15" s="336">
        <f si="3" t="shared"/>
        <v>9703</v>
      </c>
      <c r="S15" s="336">
        <f si="3" t="shared"/>
        <v>399195</v>
      </c>
      <c r="T15" s="336">
        <f si="3" t="shared"/>
        <v>0</v>
      </c>
      <c r="U15" s="336">
        <f si="3" t="shared"/>
        <v>581325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19239.976889561469</v>
      </c>
      <c r="C20" s="12">
        <f si="4" t="shared"/>
        <v>421.02659397045846</v>
      </c>
      <c r="D20" s="12">
        <f si="4" t="shared"/>
        <v>1134.5568173540735</v>
      </c>
      <c r="E20" s="12">
        <f si="4" t="shared"/>
        <v>1469.830376390448</v>
      </c>
      <c r="F20" s="12">
        <f si="4" t="shared"/>
        <v>867.06152087615567</v>
      </c>
      <c r="G20" s="12">
        <f si="4" t="shared"/>
        <v>0</v>
      </c>
      <c r="H20" s="12">
        <f ref="H20" si="5" t="shared">($U7/$J7)*H7</f>
        <v>2044.5478018473955</v>
      </c>
      <c r="I20" s="12"/>
      <c r="J20" s="12">
        <f>SUM(B20:I20)</f>
        <v>25177</v>
      </c>
      <c r="K20" s="12"/>
      <c r="L20" t="str">
        <f>$A$7</f>
        <v>Bellevue</v>
      </c>
      <c r="M20" s="12">
        <f ref="M20:M26" si="6" t="shared">M7</f>
        <v>15553</v>
      </c>
      <c r="N20" s="12">
        <f ref="N20:U20" si="7" t="shared">N7</f>
        <v>1100</v>
      </c>
      <c r="O20" s="12">
        <f si="7" t="shared"/>
        <v>1559</v>
      </c>
      <c r="P20" s="12">
        <f si="7" t="shared"/>
        <v>2051</v>
      </c>
      <c r="Q20" s="12">
        <f si="7" t="shared"/>
        <v>1868</v>
      </c>
      <c r="R20" s="12">
        <f si="7" t="shared"/>
        <v>310</v>
      </c>
      <c r="S20" s="12">
        <f ref="S20" si="8" t="shared">S7</f>
        <v>2736</v>
      </c>
      <c r="T20" s="12"/>
      <c r="U20" s="12">
        <f si="7" t="shared"/>
        <v>25177</v>
      </c>
    </row>
    <row r="21" spans="1:32" x14ac:dyDescent="0.25">
      <c r="A21" t="str">
        <f>$A$8</f>
        <v>Bellevue Downtown</v>
      </c>
      <c r="B21" s="12">
        <f ref="B21:G26" si="9" t="shared">($U8/$J8)*B8</f>
        <v>964.601119401049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250.39888059895105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1215</v>
      </c>
      <c r="K21" s="12"/>
      <c r="L21" t="str">
        <f>$A$8</f>
        <v>Bellevue Downtown</v>
      </c>
      <c r="M21" s="12">
        <f si="6" t="shared"/>
        <v>609</v>
      </c>
      <c r="N21" s="12">
        <f ref="N21:R25" si="12" t="shared">N8</f>
        <v>314</v>
      </c>
      <c r="O21" s="12">
        <f si="12" t="shared"/>
        <v>97</v>
      </c>
      <c r="P21" s="12">
        <f si="12" t="shared"/>
        <v>43</v>
      </c>
      <c r="Q21" s="12">
        <f si="12" t="shared"/>
        <v>71</v>
      </c>
      <c r="R21" s="12">
        <f si="12" t="shared"/>
        <v>12</v>
      </c>
      <c r="S21" s="12">
        <f ref="S21" si="13" t="shared">S8</f>
        <v>69</v>
      </c>
      <c r="T21" s="12"/>
      <c r="U21" s="12">
        <f ref="U21:U26" si="14" t="shared">U8</f>
        <v>1215</v>
      </c>
    </row>
    <row r="22" spans="1:32" x14ac:dyDescent="0.25">
      <c r="A22" t="str">
        <f>$A$9</f>
        <v>Kirkland</v>
      </c>
      <c r="B22" s="12">
        <f si="9" t="shared"/>
        <v>1330.3944297043111</v>
      </c>
      <c r="C22" s="12">
        <f si="9" t="shared"/>
        <v>0</v>
      </c>
      <c r="D22" s="12">
        <f si="9" t="shared"/>
        <v>16414.546631778045</v>
      </c>
      <c r="E22" s="12">
        <f si="9" t="shared"/>
        <v>658.79254782953058</v>
      </c>
      <c r="F22" s="12">
        <f si="9" t="shared"/>
        <v>1172.8562172889326</v>
      </c>
      <c r="G22" s="12">
        <f si="9" t="shared"/>
        <v>0</v>
      </c>
      <c r="H22" s="12">
        <f ref="H22" si="15" t="shared">($U9/$J9)*H9</f>
        <v>1077.4101733991808</v>
      </c>
      <c r="I22" s="12"/>
      <c r="J22" s="12">
        <f si="11" t="shared"/>
        <v>20654</v>
      </c>
      <c r="K22" s="13"/>
      <c r="L22" t="str">
        <f>$A$9</f>
        <v>Kirkland</v>
      </c>
      <c r="M22" s="12">
        <f si="6" t="shared"/>
        <v>1516</v>
      </c>
      <c r="N22" s="12">
        <f si="12" t="shared"/>
        <v>184</v>
      </c>
      <c r="O22" s="12">
        <f si="12" t="shared"/>
        <v>12263</v>
      </c>
      <c r="P22" s="12">
        <f si="12" t="shared"/>
        <v>2222</v>
      </c>
      <c r="Q22" s="12">
        <f si="12" t="shared"/>
        <v>1860</v>
      </c>
      <c r="R22" s="12">
        <f si="12" t="shared"/>
        <v>181</v>
      </c>
      <c r="S22" s="12">
        <f ref="S22" si="16" t="shared">S9</f>
        <v>2428</v>
      </c>
      <c r="T22" s="12"/>
      <c r="U22" s="12">
        <f si="14" t="shared"/>
        <v>20654</v>
      </c>
    </row>
    <row r="23" spans="1:32" x14ac:dyDescent="0.25">
      <c r="A23" t="str">
        <f>$A$10</f>
        <v>Redmond</v>
      </c>
      <c r="B23" s="12">
        <f si="9" t="shared"/>
        <v>1580.252257330543</v>
      </c>
      <c r="C23" s="12">
        <f si="9" t="shared"/>
        <v>3156.7193466913482</v>
      </c>
      <c r="D23" s="12">
        <f si="9" t="shared"/>
        <v>174.03797395303809</v>
      </c>
      <c r="E23" s="12">
        <f si="9" t="shared"/>
        <v>10863.829280950229</v>
      </c>
      <c r="F23" s="12">
        <f si="9" t="shared"/>
        <v>0</v>
      </c>
      <c r="G23" s="12">
        <f si="9" t="shared"/>
        <v>75.91335624288908</v>
      </c>
      <c r="H23" s="12">
        <f ref="H23" si="17" t="shared">($U10/$J10)*H10</f>
        <v>2138.2477848319504</v>
      </c>
      <c r="I23" s="12"/>
      <c r="J23" s="12">
        <f>SUM(B23:I23)</f>
        <v>17989</v>
      </c>
      <c r="K23" s="13"/>
      <c r="L23" t="str">
        <f>$A$10</f>
        <v>Redmond</v>
      </c>
      <c r="M23" s="12">
        <f si="6" t="shared"/>
        <v>2696</v>
      </c>
      <c r="N23" s="12">
        <f si="12" t="shared"/>
        <v>106</v>
      </c>
      <c r="O23" s="12">
        <f si="12" t="shared"/>
        <v>2934</v>
      </c>
      <c r="P23" s="12">
        <f si="12" t="shared"/>
        <v>8650</v>
      </c>
      <c r="Q23" s="12">
        <f si="12" t="shared"/>
        <v>1087</v>
      </c>
      <c r="R23" s="12">
        <f si="12" t="shared"/>
        <v>191</v>
      </c>
      <c r="S23" s="12">
        <f ref="S23" si="18" t="shared">S10</f>
        <v>2325</v>
      </c>
      <c r="T23" s="12"/>
      <c r="U23" s="12">
        <f si="14" t="shared"/>
        <v>17989</v>
      </c>
    </row>
    <row r="24" spans="1:32" x14ac:dyDescent="0.25">
      <c r="A24" t="str">
        <f>$A$11</f>
        <v>Seattle</v>
      </c>
      <c r="B24" s="12">
        <f si="9" t="shared"/>
        <v>176.84556362192671</v>
      </c>
      <c r="C24" s="12">
        <f si="9" t="shared"/>
        <v>186.84296440529837</v>
      </c>
      <c r="D24" s="12">
        <f si="9" t="shared"/>
        <v>1382.723909860666</v>
      </c>
      <c r="E24" s="12">
        <f si="9" t="shared"/>
        <v>0</v>
      </c>
      <c r="F24" s="12">
        <f si="9" t="shared"/>
        <v>62003.451251400642</v>
      </c>
      <c r="G24" s="12">
        <f si="9" t="shared"/>
        <v>10455.662808590667</v>
      </c>
      <c r="H24" s="12">
        <f ref="H24" si="19" t="shared">($U11/$J11)*H11</f>
        <v>10217.473502120802</v>
      </c>
      <c r="I24" s="12"/>
      <c r="J24" s="12">
        <f si="11" t="shared"/>
        <v>84423</v>
      </c>
      <c r="K24" s="13"/>
      <c r="L24" t="str">
        <f>$A$11</f>
        <v>Seattle</v>
      </c>
      <c r="M24" s="12">
        <f si="6" t="shared"/>
        <v>1934</v>
      </c>
      <c r="N24" s="12">
        <f si="12" t="shared"/>
        <v>161</v>
      </c>
      <c r="O24" s="12">
        <f si="12" t="shared"/>
        <v>1795</v>
      </c>
      <c r="P24" s="12">
        <f si="12" t="shared"/>
        <v>739</v>
      </c>
      <c r="Q24" s="12">
        <f si="12" t="shared"/>
        <v>67809</v>
      </c>
      <c r="R24" s="12">
        <f si="12" t="shared"/>
        <v>3518</v>
      </c>
      <c r="S24" s="12">
        <f ref="S24" si="20" t="shared">S11</f>
        <v>8467</v>
      </c>
      <c r="T24" s="12"/>
      <c r="U24" s="12">
        <f si="14" t="shared"/>
        <v>84423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1678.6787089255361</v>
      </c>
      <c r="G25" s="12">
        <f si="9" t="shared"/>
        <v>3179.4714524865899</v>
      </c>
      <c r="H25" s="12">
        <f ref="H25:H26" si="21" t="shared">($U12/$J12)*H12</f>
        <v>190.84983858787331</v>
      </c>
      <c r="I25" s="12"/>
      <c r="J25" s="12">
        <f si="11" t="shared"/>
        <v>5048.9999999999991</v>
      </c>
      <c r="K25" s="13"/>
      <c r="L25" t="str">
        <f>$A$12</f>
        <v>Seattle Downtown</v>
      </c>
      <c r="M25" s="12">
        <f si="6" t="shared"/>
        <v>88</v>
      </c>
      <c r="N25" s="12">
        <f si="12" t="shared"/>
        <v>9</v>
      </c>
      <c r="O25" s="12">
        <f si="12" t="shared"/>
        <v>40</v>
      </c>
      <c r="P25" s="12">
        <f si="12" t="shared"/>
        <v>30</v>
      </c>
      <c r="Q25" s="12">
        <f si="12" t="shared"/>
        <v>1256</v>
      </c>
      <c r="R25" s="12">
        <f si="12" t="shared"/>
        <v>3455</v>
      </c>
      <c r="S25" s="12">
        <f ref="S25" si="22" t="shared">S12</f>
        <v>171</v>
      </c>
      <c r="T25" s="12"/>
      <c r="U25" s="12">
        <f si="14" t="shared"/>
        <v>5049</v>
      </c>
    </row>
    <row r="26" spans="1:32" x14ac:dyDescent="0.25">
      <c r="A26" t="str">
        <f>$A$13</f>
        <v>Rest</v>
      </c>
      <c r="B26" s="12">
        <f si="9" t="shared"/>
        <v>6631.8133805760062</v>
      </c>
      <c r="C26" s="12">
        <f si="9" t="shared"/>
        <v>0</v>
      </c>
      <c r="D26" s="12">
        <f si="9" t="shared"/>
        <v>7307.7621616136557</v>
      </c>
      <c r="E26" s="12">
        <f si="9" t="shared"/>
        <v>2643.3017830741614</v>
      </c>
      <c r="F26" s="12">
        <f si="9" t="shared"/>
        <v>16180.675066246838</v>
      </c>
      <c r="G26" s="12">
        <f si="9" t="shared"/>
        <v>610.27590179349966</v>
      </c>
      <c r="H26" s="12">
        <f si="21" t="shared"/>
        <v>393444.17170669581</v>
      </c>
      <c r="I26" s="12"/>
      <c r="J26" s="12">
        <f si="11" t="shared"/>
        <v>426818</v>
      </c>
      <c r="K26" s="13"/>
      <c r="L26" t="str">
        <f>$A$13</f>
        <v>Rest</v>
      </c>
      <c r="M26" s="12">
        <f si="6" t="shared"/>
        <v>9212</v>
      </c>
      <c r="N26" s="12">
        <f ref="N26:R26" si="23" t="shared">N13</f>
        <v>586</v>
      </c>
      <c r="O26" s="12">
        <f si="23" t="shared"/>
        <v>7185</v>
      </c>
      <c r="P26" s="12">
        <f si="23" t="shared"/>
        <v>5883</v>
      </c>
      <c r="Q26" s="12">
        <f si="23" t="shared"/>
        <v>18917</v>
      </c>
      <c r="R26" s="12">
        <f si="23" t="shared"/>
        <v>2036</v>
      </c>
      <c r="S26" s="12">
        <f ref="S26" si="24" t="shared">S13</f>
        <v>382999</v>
      </c>
      <c r="T26" s="12"/>
      <c r="U26" s="12">
        <f si="14" t="shared"/>
        <v>426818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25" t="shared">SUM(B20:B27)</f>
        <v>29923.883640195309</v>
      </c>
      <c r="C28" s="15">
        <f si="25" t="shared"/>
        <v>3764.5889050671053</v>
      </c>
      <c r="D28" s="15">
        <f si="25" t="shared"/>
        <v>26413.627494559481</v>
      </c>
      <c r="E28" s="15">
        <f si="25" t="shared"/>
        <v>15635.753988244369</v>
      </c>
      <c r="F28" s="15">
        <f si="25" t="shared"/>
        <v>82153.121645337058</v>
      </c>
      <c r="G28" s="15">
        <f si="25" t="shared"/>
        <v>14321.323519113646</v>
      </c>
      <c r="H28" s="15">
        <f si="25" t="shared"/>
        <v>409112.70080748299</v>
      </c>
      <c r="I28" s="15">
        <f si="25" t="shared"/>
        <v>0</v>
      </c>
      <c r="J28" s="15">
        <f si="25" t="shared"/>
        <v>581325</v>
      </c>
      <c r="K28" s="12"/>
      <c r="L28" s="15" t="s">
        <v>4</v>
      </c>
      <c r="M28" s="15">
        <f ref="M28:U28" si="26" t="shared">M15</f>
        <v>31608</v>
      </c>
      <c r="N28" s="15">
        <f si="26" t="shared"/>
        <v>2460</v>
      </c>
      <c r="O28" s="15">
        <f si="26" t="shared"/>
        <v>25873</v>
      </c>
      <c r="P28" s="15">
        <f si="26" t="shared"/>
        <v>19618</v>
      </c>
      <c r="Q28" s="15">
        <f si="26" t="shared"/>
        <v>92868</v>
      </c>
      <c r="R28" s="15">
        <f si="26" t="shared"/>
        <v>9703</v>
      </c>
      <c r="S28" s="15">
        <f si="26" t="shared"/>
        <v>399195</v>
      </c>
      <c r="T28" s="15"/>
      <c r="U28" s="15">
        <f si="26" t="shared"/>
        <v>581325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ref="B33:J39" si="27" t="shared">B20/$J$28</f>
        <v>3.3096764958605716E-2</v>
      </c>
      <c r="C33" s="16">
        <f si="27" t="shared"/>
        <v>7.2425337628771941E-4</v>
      </c>
      <c r="D33" s="16">
        <f si="27" t="shared"/>
        <v>1.9516738783882913E-3</v>
      </c>
      <c r="E33" s="16">
        <f si="27" t="shared"/>
        <v>2.528414185508017E-3</v>
      </c>
      <c r="F33" s="16">
        <f si="27" t="shared"/>
        <v>1.491526290588149E-3</v>
      </c>
      <c r="G33" s="16">
        <f si="27" t="shared"/>
        <v>0</v>
      </c>
      <c r="H33" s="16">
        <f ref="H33" si="28" t="shared">H20/$J$28</f>
        <v>3.5170477819591373E-3</v>
      </c>
      <c r="I33" s="16"/>
      <c r="J33" s="16">
        <f ref="J33:J38" si="29" t="shared">J20/$J$28</f>
        <v>4.3309680471337035E-2</v>
      </c>
      <c r="K33" s="12"/>
      <c r="L33" t="str">
        <f>$A$7</f>
        <v>Bellevue</v>
      </c>
      <c r="M33" s="16">
        <f ref="M33:R33" si="30" t="shared">M20/$U$28</f>
        <v>2.675439728207113E-2</v>
      </c>
      <c r="N33" s="16">
        <f si="30" t="shared"/>
        <v>1.8922289597041243E-3</v>
      </c>
      <c r="O33" s="16">
        <f si="30" t="shared"/>
        <v>2.6818044983442997E-3</v>
      </c>
      <c r="P33" s="16">
        <f si="30" t="shared"/>
        <v>3.5281469057755989E-3</v>
      </c>
      <c r="Q33" s="16">
        <f si="30" t="shared"/>
        <v>3.21334881520664E-3</v>
      </c>
      <c r="R33" s="16">
        <f si="30" t="shared"/>
        <v>5.3326452500752593E-4</v>
      </c>
      <c r="S33" s="16">
        <f ref="S33" si="31" t="shared">S20/$U$28</f>
        <v>4.7064894852277125E-3</v>
      </c>
      <c r="T33" s="16"/>
      <c r="U33" s="16">
        <f ref="U33:U39" si="32" t="shared">U20/$U$28</f>
        <v>4.3309680471337035E-2</v>
      </c>
      <c r="W33" t="str">
        <f>$A$7</f>
        <v>Bellevue</v>
      </c>
      <c r="X33" s="16">
        <f ref="X33:AD33" si="33" t="shared">M33-B33</f>
        <v>-6.3423676765345868E-3</v>
      </c>
      <c r="Y33" s="16">
        <f si="33" t="shared"/>
        <v>1.1679755834164049E-3</v>
      </c>
      <c r="Z33" s="16">
        <f si="33" t="shared"/>
        <v>7.3013061995600846E-4</v>
      </c>
      <c r="AA33" s="16">
        <f si="33" t="shared"/>
        <v>9.9973272026758183E-4</v>
      </c>
      <c r="AB33" s="16">
        <f si="33" t="shared"/>
        <v>1.721822524618491E-3</v>
      </c>
      <c r="AC33" s="16">
        <f si="33" t="shared"/>
        <v>5.3326452500752593E-4</v>
      </c>
      <c r="AD33" s="16">
        <f si="33" t="shared"/>
        <v>1.1894417032685752E-3</v>
      </c>
      <c r="AE33" s="16"/>
      <c r="AF33" s="16">
        <f ref="AF33:AF39" si="34" t="shared">U33-J33</f>
        <v>0</v>
      </c>
    </row>
    <row r="34" spans="1:32" x14ac:dyDescent="0.25">
      <c r="A34" t="str">
        <f>$A$8</f>
        <v>Bellevue Downtown</v>
      </c>
      <c r="B34" s="16">
        <f si="27" t="shared"/>
        <v>1.6593147024488006E-3</v>
      </c>
      <c r="C34" s="16">
        <f si="27" t="shared"/>
        <v>0</v>
      </c>
      <c r="D34" s="16">
        <f si="27" t="shared"/>
        <v>0</v>
      </c>
      <c r="E34" s="16">
        <f si="27" t="shared"/>
        <v>0</v>
      </c>
      <c r="F34" s="16">
        <f si="27" t="shared"/>
        <v>4.3073819395166398E-4</v>
      </c>
      <c r="G34" s="16">
        <f si="27" t="shared"/>
        <v>0</v>
      </c>
      <c r="H34" s="16">
        <f ref="H34" si="35" t="shared">H21/$J$28</f>
        <v>0</v>
      </c>
      <c r="I34" s="16"/>
      <c r="J34" s="16">
        <f si="29" t="shared"/>
        <v>2.0900528964004645E-3</v>
      </c>
      <c r="K34" s="12"/>
      <c r="L34" t="str">
        <f>$A$8</f>
        <v>Bellevue Downtown</v>
      </c>
      <c r="M34" s="16">
        <f ref="M34:R39" si="36" t="shared">M21/$U$28</f>
        <v>1.0476067604180106E-3</v>
      </c>
      <c r="N34" s="16">
        <f si="36" t="shared"/>
        <v>5.4014535758826815E-4</v>
      </c>
      <c r="O34" s="16">
        <f si="36" t="shared"/>
        <v>1.6686019008300005E-4</v>
      </c>
      <c r="P34" s="16">
        <f si="36" t="shared"/>
        <v>7.3968950242979403E-5</v>
      </c>
      <c r="Q34" s="16">
        <f si="36" t="shared"/>
        <v>1.2213477830817529E-4</v>
      </c>
      <c r="R34" s="16">
        <f si="36" t="shared"/>
        <v>2.0642497742226809E-5</v>
      </c>
      <c r="S34" s="16">
        <f ref="S34" si="37" t="shared">S21/$U$28</f>
        <v>1.1869436201780416E-4</v>
      </c>
      <c r="T34" s="16"/>
      <c r="U34" s="16">
        <f si="32" t="shared"/>
        <v>2.0900528964004645E-3</v>
      </c>
      <c r="W34" t="str">
        <f>$A$8</f>
        <v>Bellevue Downtown</v>
      </c>
      <c r="X34" s="16">
        <f ref="X34:X38" si="38" t="shared">M34-B34</f>
        <v>-6.1170794203078993E-4</v>
      </c>
      <c r="Y34" s="16">
        <f ref="Y34:AD38" si="39" t="shared">N34-C34</f>
        <v>5.4014535758826815E-4</v>
      </c>
      <c r="Z34" s="16">
        <f si="39" t="shared"/>
        <v>1.6686019008300005E-4</v>
      </c>
      <c r="AA34" s="16">
        <f si="39" t="shared"/>
        <v>7.3968950242979403E-5</v>
      </c>
      <c r="AB34" s="16">
        <f si="39" t="shared"/>
        <v>-3.0860341564348866E-4</v>
      </c>
      <c r="AC34" s="16">
        <f si="39" t="shared"/>
        <v>2.0642497742226809E-5</v>
      </c>
      <c r="AD34" s="16">
        <f si="39" t="shared"/>
        <v>1.1869436201780416E-4</v>
      </c>
      <c r="AE34" s="16"/>
      <c r="AF34" s="16">
        <f si="34" t="shared"/>
        <v>0</v>
      </c>
    </row>
    <row r="35" spans="1:32" x14ac:dyDescent="0.25">
      <c r="A35" t="str">
        <f>$A$9</f>
        <v>Kirkland</v>
      </c>
      <c r="B35" s="16">
        <f si="27" t="shared"/>
        <v>2.2885553342868637E-3</v>
      </c>
      <c r="C35" s="16">
        <f si="27" t="shared"/>
        <v>0</v>
      </c>
      <c r="D35" s="16">
        <f si="27" t="shared"/>
        <v>2.8236436815512914E-2</v>
      </c>
      <c r="E35" s="16">
        <f si="27" t="shared"/>
        <v>1.133260306763911E-3</v>
      </c>
      <c r="F35" s="16">
        <f si="27" t="shared"/>
        <v>2.0175568181119556E-3</v>
      </c>
      <c r="G35" s="16">
        <f si="27" t="shared"/>
        <v>0</v>
      </c>
      <c r="H35" s="16">
        <f ref="H35" si="40" t="shared">H22/$J$28</f>
        <v>1.8533697559870656E-3</v>
      </c>
      <c r="I35" s="16"/>
      <c r="J35" s="16">
        <f si="29" t="shared"/>
        <v>3.5529179030662709E-2</v>
      </c>
      <c r="K35" s="13"/>
      <c r="L35" t="str">
        <f>$A$9</f>
        <v>Kirkland</v>
      </c>
      <c r="M35" s="16">
        <f si="36" t="shared"/>
        <v>2.6078355481013202E-3</v>
      </c>
      <c r="N35" s="16">
        <f si="36" t="shared"/>
        <v>3.1651829871414441E-4</v>
      </c>
      <c r="O35" s="16">
        <f si="36" t="shared"/>
        <v>2.1094912484410613E-2</v>
      </c>
      <c r="P35" s="16">
        <f si="36" t="shared"/>
        <v>3.8223024986023309E-3</v>
      </c>
      <c r="Q35" s="16">
        <f si="36" t="shared"/>
        <v>3.1995871500451554E-3</v>
      </c>
      <c r="R35" s="16">
        <f si="36" t="shared"/>
        <v>3.1135767427858772E-4</v>
      </c>
      <c r="S35" s="16">
        <f ref="S35" si="41" t="shared">S22/$U$28</f>
        <v>4.1766653765105575E-3</v>
      </c>
      <c r="T35" s="16"/>
      <c r="U35" s="16">
        <f si="32" t="shared"/>
        <v>3.5529179030662709E-2</v>
      </c>
      <c r="W35" t="str">
        <f>$A$9</f>
        <v>Kirkland</v>
      </c>
      <c r="X35" s="16">
        <f si="38" t="shared"/>
        <v>3.192802138144565E-4</v>
      </c>
      <c r="Y35" s="16">
        <f si="39" t="shared"/>
        <v>3.1651829871414441E-4</v>
      </c>
      <c r="Z35" s="16">
        <f si="39" t="shared"/>
        <v>-7.1415243311023016E-3</v>
      </c>
      <c r="AA35" s="16">
        <f si="39" t="shared"/>
        <v>2.6890421918384201E-3</v>
      </c>
      <c r="AB35" s="16">
        <f si="39" t="shared"/>
        <v>1.1820303319331998E-3</v>
      </c>
      <c r="AC35" s="16">
        <f si="39" t="shared"/>
        <v>3.1135767427858772E-4</v>
      </c>
      <c r="AD35" s="16">
        <f si="39" t="shared"/>
        <v>2.3232956205234919E-3</v>
      </c>
      <c r="AE35" s="16"/>
      <c r="AF35" s="16">
        <f si="34" t="shared"/>
        <v>0</v>
      </c>
    </row>
    <row r="36" spans="1:32" x14ac:dyDescent="0.25">
      <c r="A36" t="str">
        <f>$A$10</f>
        <v>Redmond</v>
      </c>
      <c r="B36" s="16">
        <f si="27" t="shared"/>
        <v>2.7183628045078794E-3</v>
      </c>
      <c r="C36" s="16">
        <f si="27" t="shared"/>
        <v>5.4302143322433206E-3</v>
      </c>
      <c r="D36" s="16">
        <f si="27" t="shared"/>
        <v>2.9938154036560977E-4</v>
      </c>
      <c r="E36" s="16">
        <f si="27" t="shared"/>
        <v>1.8688047616996051E-2</v>
      </c>
      <c r="F36" s="16">
        <f si="27" t="shared"/>
        <v>0</v>
      </c>
      <c r="G36" s="16">
        <f si="27" t="shared"/>
        <v>1.3058677373739143E-4</v>
      </c>
      <c r="H36" s="16">
        <f ref="H36" si="42" t="shared">H23/$J$28</f>
        <v>3.6782312558929177E-3</v>
      </c>
      <c r="I36" s="16"/>
      <c r="J36" s="16">
        <f si="29" t="shared"/>
        <v>3.0944824323743174E-2</v>
      </c>
      <c r="K36" s="13"/>
      <c r="L36" t="str">
        <f>$A$10</f>
        <v>Redmond</v>
      </c>
      <c r="M36" s="16">
        <f si="36" t="shared"/>
        <v>4.6376811594202897E-3</v>
      </c>
      <c r="N36" s="16">
        <f si="36" t="shared"/>
        <v>1.8234206338967014E-4</v>
      </c>
      <c r="O36" s="16">
        <f si="36" t="shared"/>
        <v>5.0470906979744549E-3</v>
      </c>
      <c r="P36" s="16">
        <f si="36" t="shared"/>
        <v>1.4879800455855158E-2</v>
      </c>
      <c r="Q36" s="16">
        <f si="36" t="shared"/>
        <v>1.8698662538167118E-3</v>
      </c>
      <c r="R36" s="16">
        <f si="36" t="shared"/>
        <v>3.2855975573044336E-4</v>
      </c>
      <c r="S36" s="16">
        <f ref="S36" si="43" t="shared">S23/$U$28</f>
        <v>3.9994839375564447E-3</v>
      </c>
      <c r="T36" s="16"/>
      <c r="U36" s="16">
        <f si="32" t="shared"/>
        <v>3.0944824323743174E-2</v>
      </c>
      <c r="W36" t="str">
        <f>$A$10</f>
        <v>Redmond</v>
      </c>
      <c r="X36" s="16">
        <f si="38" t="shared"/>
        <v>1.9193183549124104E-3</v>
      </c>
      <c r="Y36" s="16">
        <f si="39" t="shared"/>
        <v>-5.2478722688536501E-3</v>
      </c>
      <c r="Z36" s="16">
        <f si="39" t="shared"/>
        <v>4.7477091576088454E-3</v>
      </c>
      <c r="AA36" s="16">
        <f si="39" t="shared"/>
        <v>-3.808247161140893E-3</v>
      </c>
      <c r="AB36" s="16">
        <f si="39" t="shared"/>
        <v>1.8698662538167118E-3</v>
      </c>
      <c r="AC36" s="16">
        <f si="39" t="shared"/>
        <v>1.9797298199305193E-4</v>
      </c>
      <c r="AD36" s="16">
        <f si="39" t="shared"/>
        <v>3.2125268166352701E-4</v>
      </c>
      <c r="AE36" s="16"/>
      <c r="AF36" s="16">
        <f si="34" t="shared"/>
        <v>0</v>
      </c>
    </row>
    <row r="37" spans="1:32" x14ac:dyDescent="0.25">
      <c r="A37" t="str">
        <f>$A$11</f>
        <v>Seattle</v>
      </c>
      <c r="B37" s="16">
        <f si="27" t="shared"/>
        <v>3.0421117898237084E-4</v>
      </c>
      <c r="C37" s="16">
        <f si="27" t="shared"/>
        <v>3.2140878924061131E-4</v>
      </c>
      <c r="D37" s="16">
        <f si="27" t="shared"/>
        <v>2.3785729322851521E-3</v>
      </c>
      <c r="E37" s="16">
        <f si="27" t="shared"/>
        <v>0</v>
      </c>
      <c r="F37" s="16">
        <f si="27" t="shared"/>
        <v>0.10665884187227564</v>
      </c>
      <c r="G37" s="16">
        <f si="27" t="shared"/>
        <v>1.7985916326651471E-2</v>
      </c>
      <c r="H37" s="16">
        <f ref="H37" si="44" t="shared">H24/$J$28</f>
        <v>1.7576181141565908E-2</v>
      </c>
      <c r="I37" s="16"/>
      <c r="J37" s="16">
        <f si="29" t="shared"/>
        <v>0.14522513224100117</v>
      </c>
      <c r="K37" s="13"/>
      <c r="L37" t="str">
        <f>$A$11</f>
        <v>Seattle</v>
      </c>
      <c r="M37" s="16">
        <f si="36" t="shared"/>
        <v>3.3268825527888873E-3</v>
      </c>
      <c r="N37" s="16">
        <f si="36" t="shared"/>
        <v>2.7695351137487634E-4</v>
      </c>
      <c r="O37" s="16">
        <f si="36" t="shared"/>
        <v>3.0877736206080934E-3</v>
      </c>
      <c r="P37" s="16">
        <f si="36" t="shared"/>
        <v>1.2712338192921344E-3</v>
      </c>
      <c r="Q37" s="16">
        <f si="36" t="shared"/>
        <v>0.11664559411688814</v>
      </c>
      <c r="R37" s="16">
        <f si="36" t="shared"/>
        <v>6.0516922547628263E-3</v>
      </c>
      <c r="S37" s="16">
        <f ref="S37" si="45" t="shared">S24/$U$28</f>
        <v>1.4565002365286199E-2</v>
      </c>
      <c r="T37" s="16"/>
      <c r="U37" s="16">
        <f si="32" t="shared"/>
        <v>0.14522513224100117</v>
      </c>
      <c r="W37" t="str">
        <f>$A$11</f>
        <v>Seattle</v>
      </c>
      <c r="X37" s="16">
        <f si="38" t="shared"/>
        <v>3.0226713738065163E-3</v>
      </c>
      <c r="Y37" s="16">
        <f si="39" t="shared"/>
        <v>-4.4455277865734972E-5</v>
      </c>
      <c r="Z37" s="16">
        <f si="39" t="shared"/>
        <v>7.0920068832294129E-4</v>
      </c>
      <c r="AA37" s="16">
        <f si="39" t="shared"/>
        <v>1.2712338192921344E-3</v>
      </c>
      <c r="AB37" s="16">
        <f si="39" t="shared"/>
        <v>9.9867522446124984E-3</v>
      </c>
      <c r="AC37" s="16">
        <f si="39" t="shared"/>
        <v>-1.1934224071888645E-2</v>
      </c>
      <c r="AD37" s="16">
        <f si="39" t="shared"/>
        <v>-3.0111787762797087E-3</v>
      </c>
      <c r="AE37" s="16"/>
      <c r="AF37" s="16">
        <f si="34" t="shared"/>
        <v>0</v>
      </c>
    </row>
    <row r="38" spans="1:32" x14ac:dyDescent="0.25">
      <c r="A38" t="str">
        <f>$A$12</f>
        <v>Seattle Downtown</v>
      </c>
      <c r="B38" s="16">
        <f si="27" t="shared"/>
        <v>0</v>
      </c>
      <c r="C38" s="16">
        <f si="27" t="shared"/>
        <v>0</v>
      </c>
      <c r="D38" s="16">
        <f si="27" t="shared"/>
        <v>0</v>
      </c>
      <c r="E38" s="16">
        <f si="27" t="shared"/>
        <v>0</v>
      </c>
      <c r="F38" s="16">
        <f si="27" t="shared"/>
        <v>2.8876767882432997E-3</v>
      </c>
      <c r="G38" s="16">
        <f si="27" t="shared"/>
        <v>5.4693526899524192E-3</v>
      </c>
      <c r="H38" s="16">
        <f ref="H38:H39" si="46" t="shared">H25/$J$28</f>
        <v>3.2830144684621051E-4</v>
      </c>
      <c r="I38" s="16"/>
      <c r="J38" s="16">
        <f si="29" t="shared"/>
        <v>8.6853309250419283E-3</v>
      </c>
      <c r="K38" s="13"/>
      <c r="L38" t="str">
        <f>$A$12</f>
        <v>Seattle Downtown</v>
      </c>
      <c r="M38" s="16">
        <f si="36" t="shared"/>
        <v>1.5137831677632994E-4</v>
      </c>
      <c r="N38" s="16">
        <f si="36" t="shared"/>
        <v>1.5481873306670106E-5</v>
      </c>
      <c r="O38" s="16">
        <f si="36" t="shared"/>
        <v>6.8808325807422703E-5</v>
      </c>
      <c r="P38" s="16">
        <f si="36" t="shared"/>
        <v>5.1606244355567024E-5</v>
      </c>
      <c r="Q38" s="16">
        <f si="36" t="shared"/>
        <v>2.1605814303530726E-3</v>
      </c>
      <c r="R38" s="16">
        <f si="36" t="shared"/>
        <v>5.9433191416161353E-3</v>
      </c>
      <c r="S38" s="16">
        <f ref="S38:S39" si="47" t="shared">S25/$U$28</f>
        <v>2.9415559282673203E-4</v>
      </c>
      <c r="T38" s="16"/>
      <c r="U38" s="16">
        <f si="32" t="shared"/>
        <v>8.68533092504193E-3</v>
      </c>
      <c r="W38" t="str">
        <f>$A$12</f>
        <v>Seattle Downtown</v>
      </c>
      <c r="X38" s="16">
        <f si="38" t="shared"/>
        <v>1.5137831677632994E-4</v>
      </c>
      <c r="Y38" s="16">
        <f si="39" t="shared"/>
        <v>1.5481873306670106E-5</v>
      </c>
      <c r="Z38" s="16">
        <f si="39" t="shared"/>
        <v>6.8808325807422703E-5</v>
      </c>
      <c r="AA38" s="16">
        <f si="39" t="shared"/>
        <v>5.1606244355567024E-5</v>
      </c>
      <c r="AB38" s="16">
        <f si="39" t="shared"/>
        <v>-7.2709535789022709E-4</v>
      </c>
      <c r="AC38" s="16">
        <f si="39" t="shared"/>
        <v>4.7396645166371612E-4</v>
      </c>
      <c r="AD38" s="16">
        <f si="39" t="shared"/>
        <v>-3.4145854019478473E-5</v>
      </c>
      <c r="AE38" s="16"/>
      <c r="AF38" s="16">
        <f si="34" t="shared"/>
        <v>0</v>
      </c>
    </row>
    <row r="39" spans="1:32" x14ac:dyDescent="0.25">
      <c r="A39" t="str">
        <f>$A$13</f>
        <v>Rest</v>
      </c>
      <c r="B39" s="16">
        <f si="27" t="shared"/>
        <v>1.1408099394617479E-2</v>
      </c>
      <c r="C39" s="16">
        <f si="27" t="shared"/>
        <v>0</v>
      </c>
      <c r="D39" s="16">
        <f si="27" t="shared"/>
        <v>1.25708719934867E-2</v>
      </c>
      <c r="E39" s="16">
        <f si="27" t="shared"/>
        <v>4.5470292574277061E-3</v>
      </c>
      <c r="F39" s="16">
        <f si="27" t="shared"/>
        <v>2.7834129043558833E-2</v>
      </c>
      <c r="G39" s="16">
        <f si="27" t="shared"/>
        <v>1.0498015770756455E-3</v>
      </c>
      <c r="H39" s="16">
        <f si="46" t="shared"/>
        <v>0.67680586884564709</v>
      </c>
      <c r="I39" s="16"/>
      <c r="J39" s="16">
        <f si="27" t="shared"/>
        <v>0.73421580011181353</v>
      </c>
      <c r="K39" s="13"/>
      <c r="L39" t="str">
        <f>$A$13</f>
        <v>Rest</v>
      </c>
      <c r="M39" s="16">
        <f si="36" t="shared"/>
        <v>1.5846557433449447E-2</v>
      </c>
      <c r="N39" s="16">
        <f si="36" t="shared"/>
        <v>1.0080419730787425E-3</v>
      </c>
      <c r="O39" s="16">
        <f si="36" t="shared"/>
        <v>1.2359695523158302E-2</v>
      </c>
      <c r="P39" s="16">
        <f si="36" t="shared"/>
        <v>1.0119984518126693E-2</v>
      </c>
      <c r="Q39" s="16">
        <f si="36" t="shared"/>
        <v>3.2541177482475377E-2</v>
      </c>
      <c r="R39" s="16">
        <f si="36" t="shared"/>
        <v>3.5023437835978153E-3</v>
      </c>
      <c r="S39" s="16">
        <f si="47" t="shared"/>
        <v>0.6588379993979272</v>
      </c>
      <c r="T39" s="16"/>
      <c r="U39" s="16">
        <f si="32" t="shared"/>
        <v>0.73421580011181353</v>
      </c>
      <c r="W39" t="str">
        <f>$A$13</f>
        <v>Rest</v>
      </c>
      <c r="X39" s="16">
        <f ref="X39" si="48" t="shared">M39-B39</f>
        <v>4.4384580388319682E-3</v>
      </c>
      <c r="Y39" s="16">
        <f ref="Y39" si="49" t="shared">N39-C39</f>
        <v>1.0080419730787425E-3</v>
      </c>
      <c r="Z39" s="16">
        <f ref="Z39" si="50" t="shared">O39-D39</f>
        <v>-2.1117647032839817E-4</v>
      </c>
      <c r="AA39" s="16">
        <f ref="AA39" si="51" t="shared">P39-E39</f>
        <v>5.5729552606989868E-3</v>
      </c>
      <c r="AB39" s="16">
        <f ref="AB39" si="52" t="shared">Q39-F39</f>
        <v>4.7070484389165439E-3</v>
      </c>
      <c r="AC39" s="16">
        <f ref="AC39" si="53" t="shared">R39-G39</f>
        <v>2.4525422065221699E-3</v>
      </c>
      <c r="AD39" s="16">
        <f ref="AD39" si="54" t="shared">S39-H39</f>
        <v>-1.7967869447719886E-2</v>
      </c>
      <c r="AE39" s="16"/>
      <c r="AF39" s="16">
        <f si="34" t="shared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ref="B41:H41" si="55" t="shared">B28/$J$28</f>
        <v>5.1475308373449116E-2</v>
      </c>
      <c r="C41" s="18">
        <f si="55" t="shared"/>
        <v>6.4758764977716514E-3</v>
      </c>
      <c r="D41" s="18">
        <f si="55" t="shared"/>
        <v>4.5436937160038673E-2</v>
      </c>
      <c r="E41" s="18">
        <f si="55" t="shared"/>
        <v>2.6896751366695684E-2</v>
      </c>
      <c r="F41" s="18">
        <f si="55" t="shared"/>
        <v>0.14132046900672957</v>
      </c>
      <c r="G41" s="18">
        <f si="55" t="shared"/>
        <v>2.4635657367416929E-2</v>
      </c>
      <c r="H41" s="18">
        <f si="55" t="shared"/>
        <v>0.70375900022789828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5.4372339053025416E-2</v>
      </c>
      <c r="N41" s="18">
        <f>N28/$U$28</f>
        <v>4.2317120371564961E-3</v>
      </c>
      <c r="O41" s="18">
        <f>O28/$U$28</f>
        <v>4.4506945340386184E-2</v>
      </c>
      <c r="P41" s="18">
        <f>P28/$U$28</f>
        <v>3.3747043392250466E-2</v>
      </c>
      <c r="Q41" s="18">
        <f ref="Q41:S41" si="56" t="shared">Q28/$U$28</f>
        <v>0.15975229002709329</v>
      </c>
      <c r="R41" s="18">
        <f si="56" t="shared"/>
        <v>1.6691179632735562E-2</v>
      </c>
      <c r="S41" s="18">
        <f si="56" t="shared"/>
        <v>0.68669849051735254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57" t="shared">M41-B41</f>
        <v>2.8970306795762998E-3</v>
      </c>
      <c r="Y41" s="18">
        <f si="57" t="shared"/>
        <v>-2.2441644606151553E-3</v>
      </c>
      <c r="Z41" s="18">
        <f si="57" t="shared"/>
        <v>-9.2999181965248978E-4</v>
      </c>
      <c r="AA41" s="18">
        <f si="57" t="shared"/>
        <v>6.8502920255547814E-3</v>
      </c>
      <c r="AB41" s="18">
        <f si="57" t="shared"/>
        <v>1.8431821020363726E-2</v>
      </c>
      <c r="AC41" s="18">
        <f si="57" t="shared"/>
        <v>-7.9444777346813662E-3</v>
      </c>
      <c r="AD41" s="18">
        <f si="57" t="shared"/>
        <v>-1.7060509710545735E-2</v>
      </c>
      <c r="AE41" s="18">
        <f si="57" t="shared"/>
        <v>0</v>
      </c>
      <c r="AF41" s="18">
        <f si="5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2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3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3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3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3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3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3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3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3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3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3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3">
        <v>5.7553461640599997E-2</v>
      </c>
      <c r="F41" s="333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3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3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3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3">
        <v>0</v>
      </c>
    </row>
    <row r="46" spans="2:6" x14ac:dyDescent="0.25">
      <c r="B46">
        <v>36</v>
      </c>
      <c r="C46" t="s">
        <v>122</v>
      </c>
      <c r="D46" t="s">
        <v>236</v>
      </c>
      <c r="E46" s="333">
        <v>0.61259135262599995</v>
      </c>
      <c r="F46" s="333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3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3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3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3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3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3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3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3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3">
        <v>6.2100000000000002E-2</v>
      </c>
      <c r="F67" s="333">
        <v>0</v>
      </c>
    </row>
    <row r="68" spans="2:6" x14ac:dyDescent="0.25">
      <c r="B68">
        <v>118</v>
      </c>
      <c r="C68" t="s">
        <v>257</v>
      </c>
      <c r="D68" t="s">
        <v>235</v>
      </c>
      <c r="E68" s="333">
        <v>-3</v>
      </c>
      <c r="F68" s="333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3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3">
        <v>-5981.59020986</v>
      </c>
      <c r="D114" s="333">
        <v>-29805.783655800002</v>
      </c>
      <c r="E114" s="333">
        <v>-17292.021287899999</v>
      </c>
    </row>
    <row r="115" spans="2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topLeftCell="A4" workbookViewId="0" zoomScaleNormal="100">
      <selection activeCell="E24" sqref="E24"/>
    </sheetView>
  </sheetViews>
  <sheetFormatPr defaultRowHeight="15" x14ac:dyDescent="0.25"/>
  <cols>
    <col min="1" max="2" style="295" width="9.140625" collapsed="true"/>
    <col min="3" max="3" customWidth="true" style="295" width="12.7109375" collapsed="true"/>
    <col min="4" max="4" customWidth="true" style="294" width="18.85546875" collapsed="true"/>
    <col min="5" max="5" customWidth="true" style="295" width="39.4257812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ht="15.75" r="2" spans="3:23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8" t="s">
        <v>264</v>
      </c>
      <c r="Q2" s="355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20"/>
    </row>
    <row r="4" spans="3:23" x14ac:dyDescent="0.25">
      <c r="C4" s="301" t="s">
        <v>46</v>
      </c>
      <c r="D4" s="302">
        <f>TLFD!B11</f>
        <v>26340.527496600098</v>
      </c>
      <c r="F4" s="301" t="s">
        <v>46</v>
      </c>
      <c r="G4" s="302">
        <f>TLFD!F11</f>
        <v>78977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6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116374.9164653949</v>
      </c>
      <c r="F5" s="304" t="s">
        <v>49</v>
      </c>
      <c r="G5" s="305">
        <f>TLFD!F12+TLFD!F13+(TLFD!F14/2)</f>
        <v>116906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6">
        <f ref="Q5:Q68" si="0" t="shared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382074.40701693262</v>
      </c>
      <c r="F6" s="304" t="s">
        <v>52</v>
      </c>
      <c r="G6" s="305">
        <f>(TLFD!F14/2)+SUM(TLFD!F15:F20)</f>
        <v>276600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6">
        <f si="0" t="shared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122977.70656891659</v>
      </c>
      <c r="F7" s="307" t="s">
        <v>55</v>
      </c>
      <c r="G7" s="308">
        <f>SUM(TLFD!F21:F101)</f>
        <v>112053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6">
        <f si="0" t="shared"/>
        <v>-0.34490013167299999</v>
      </c>
      <c r="T7" s="320">
        <v>5</v>
      </c>
      <c r="U7" s="320" t="s">
        <v>270</v>
      </c>
      <c r="V7" s="320"/>
      <c r="W7" s="320"/>
    </row>
    <row ht="15.75" r="8" spans="3:23" thickBot="1" x14ac:dyDescent="0.3">
      <c r="C8" s="310" t="s">
        <v>4</v>
      </c>
      <c r="D8" s="311">
        <f>SUM(D4:D7)</f>
        <v>647767.55754784413</v>
      </c>
      <c r="E8" s="312"/>
      <c r="F8" s="310" t="s">
        <v>4</v>
      </c>
      <c r="G8" s="311">
        <f>SUM(G4:G7)</f>
        <v>584536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6">
        <f si="0" t="shared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6">
        <f si="0" t="shared"/>
        <v>-3.9895313632499998</v>
      </c>
      <c r="T9" s="320"/>
      <c r="U9" s="357" t="s">
        <v>271</v>
      </c>
      <c r="V9" s="320"/>
      <c r="W9" s="320"/>
    </row>
    <row ht="15.75" r="10" spans="3:23" thickBot="1" x14ac:dyDescent="0.3">
      <c r="C10" s="313" t="s">
        <v>62</v>
      </c>
      <c r="H10" s="294" t="s">
        <v>284</v>
      </c>
      <c r="I10" s="377" t="s">
        <v>283</v>
      </c>
      <c r="J10" s="373"/>
      <c r="K10" s="373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6">
        <f si="0" t="shared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279</v>
      </c>
      <c r="J11" s="299" t="s">
        <v>280</v>
      </c>
      <c r="K11" s="299" t="s">
        <v>281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6">
        <f si="0" t="shared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4.0663548505444541E-2</v>
      </c>
      <c r="F12" s="301" t="s">
        <v>46</v>
      </c>
      <c r="G12" s="315">
        <f>G4/G$8</f>
        <v>0.13511058343711935</v>
      </c>
      <c r="H12" s="378">
        <v>0</v>
      </c>
      <c r="I12" s="371">
        <f>D12/G12</f>
        <v>0.30096493902248161</v>
      </c>
      <c r="J12" s="370">
        <f>LN(I12)</f>
        <v>-1.2007615026706608</v>
      </c>
      <c r="K12" s="370">
        <f>H12*J12</f>
        <v>0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6">
        <f si="0" t="shared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ref="D13:D16" si="1" t="shared">D5/D$8</f>
        <v>0.17965536419566588</v>
      </c>
      <c r="F13" s="304" t="s">
        <v>49</v>
      </c>
      <c r="G13" s="316">
        <f ref="G13:G16" si="2" t="shared">G5/G$8</f>
        <v>0.19999794708965743</v>
      </c>
      <c r="H13" s="379">
        <v>0</v>
      </c>
      <c r="I13" s="371">
        <f ref="I13:I15" si="3" t="shared">D13/G13</f>
        <v>0.89828604148185509</v>
      </c>
      <c r="J13" s="370">
        <f ref="J13" si="4" t="shared">LN(I13)</f>
        <v>-0.10726672968340653</v>
      </c>
      <c r="K13" s="370">
        <f>H13*(J13-J12)</f>
        <v>0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6">
        <f si="0" t="shared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si="1" t="shared"/>
        <v>0.58983257584448046</v>
      </c>
      <c r="F14" s="304" t="s">
        <v>52</v>
      </c>
      <c r="G14" s="316">
        <f si="2" t="shared"/>
        <v>0.47319583396061149</v>
      </c>
      <c r="H14" s="379">
        <v>0</v>
      </c>
      <c r="I14" s="371"/>
      <c r="J14" s="370">
        <f>LN(I15)</f>
        <v>-9.6824365067830417E-3</v>
      </c>
      <c r="K14" s="370">
        <f>H15*J14</f>
        <v>-9.6824365067830417E-3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6">
        <f si="0" t="shared"/>
        <v>-0.80534348065299999</v>
      </c>
      <c r="T14" s="320">
        <v>5</v>
      </c>
      <c r="U14" s="293" t="s">
        <v>275</v>
      </c>
      <c r="V14" s="320"/>
      <c r="W14" s="320"/>
    </row>
    <row ht="15.75" r="15" spans="3:23" thickBot="1" x14ac:dyDescent="0.3">
      <c r="C15" s="307" t="s">
        <v>55</v>
      </c>
      <c r="D15" s="316">
        <f si="1" t="shared"/>
        <v>0.18984851145440926</v>
      </c>
      <c r="F15" s="307" t="s">
        <v>55</v>
      </c>
      <c r="G15" s="316">
        <f si="2" t="shared"/>
        <v>0.19169563551261171</v>
      </c>
      <c r="H15" s="379">
        <v>1</v>
      </c>
      <c r="I15" s="372">
        <f si="3" t="shared"/>
        <v>0.99036428735968318</v>
      </c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6">
        <f si="0" t="shared"/>
        <v>-0.51977799879300002</v>
      </c>
      <c r="T15" s="320">
        <v>6</v>
      </c>
      <c r="U15" s="320" t="s">
        <v>276</v>
      </c>
      <c r="V15" s="320"/>
      <c r="W15" s="320"/>
    </row>
    <row ht="15.75" r="16" spans="3:23" thickBot="1" x14ac:dyDescent="0.3">
      <c r="C16" s="310" t="s">
        <v>4</v>
      </c>
      <c r="D16" s="318">
        <f si="1" t="shared"/>
        <v>1</v>
      </c>
      <c r="E16" s="312"/>
      <c r="F16" s="310" t="s">
        <v>4</v>
      </c>
      <c r="G16" s="318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6">
        <f si="0" t="shared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6">
        <f si="0" t="shared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6">
        <f si="0" t="shared"/>
        <v>-0.493022087256</v>
      </c>
    </row>
    <row r="19" spans="2:23" x14ac:dyDescent="0.25">
      <c r="C19" s="319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9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20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6">
        <f si="0" t="shared"/>
        <v>0.63771148688699997</v>
      </c>
    </row>
    <row r="23" spans="2:23" x14ac:dyDescent="0.25">
      <c r="B23" s="350">
        <v>21</v>
      </c>
      <c r="C23" s="301" t="s">
        <v>46</v>
      </c>
      <c r="D23" s="362">
        <f>_xlfn.IFNA(VLOOKUP($B23,$N$3:$P$104,3,FALSE),0)</f>
        <v>-12.0946718381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-12.0946718381</v>
      </c>
      <c r="Q23" s="356">
        <f si="0" t="shared"/>
        <v>-12.0946718381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49</v>
      </c>
      <c r="D24" s="363">
        <f ref="D24:D25" si="5" t="shared">_xlfn.IFNA(VLOOKUP($B24,$N$3:$P$104,3,FALSE),0)</f>
        <v>-4.03623745316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-4.03623745316</v>
      </c>
      <c r="Q24" s="356">
        <f si="0" t="shared"/>
        <v>-4.03623745316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52</v>
      </c>
      <c r="D25" s="363">
        <f si="5" t="shared"/>
        <v>-2.4557170493427001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-2.4557170493427001</v>
      </c>
      <c r="Q25" s="356">
        <f si="0" t="shared"/>
        <v>-2.465399485849483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4"/>
      <c r="D26" s="361"/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0.10429329553199999</v>
      </c>
      <c r="Q26" s="356">
        <f si="0" t="shared"/>
        <v>0.10429329553199999</v>
      </c>
    </row>
    <row r="27" spans="2:23" x14ac:dyDescent="0.25">
      <c r="C27" s="320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6">
        <f si="0" t="shared"/>
        <v>0</v>
      </c>
    </row>
    <row r="28" spans="2:23" x14ac:dyDescent="0.25">
      <c r="C28" s="320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6">
        <f si="0" t="shared"/>
        <v>0.417326479157</v>
      </c>
    </row>
    <row r="29" spans="2:23" x14ac:dyDescent="0.25">
      <c r="C29" s="319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6">
        <f si="0" t="shared"/>
        <v>-14.8384910501</v>
      </c>
    </row>
    <row r="30" spans="2:23" x14ac:dyDescent="0.25">
      <c r="C30" s="319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6">
        <f si="0" t="shared"/>
        <v>-5.1880432348000003</v>
      </c>
    </row>
    <row ht="15.75" r="31" spans="2:23" thickBot="1" x14ac:dyDescent="0.3">
      <c r="C31" s="320"/>
      <c r="D31" s="325"/>
      <c r="E31" s="320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6">
        <f si="0" t="shared"/>
        <v>-2.6156308707</v>
      </c>
    </row>
    <row r="32" spans="2:23" x14ac:dyDescent="0.25">
      <c r="B32" s="380" t="s">
        <v>259</v>
      </c>
      <c r="C32" s="381" t="s">
        <v>90</v>
      </c>
      <c r="D32" s="382"/>
      <c r="E32" s="381" t="s">
        <v>261</v>
      </c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6">
        <f si="0" t="shared"/>
        <v>-0.91046169190000004</v>
      </c>
    </row>
    <row r="33" spans="2:17" x14ac:dyDescent="0.25">
      <c r="B33" s="383">
        <f>B23</f>
        <v>21</v>
      </c>
      <c r="C33" s="384" t="s">
        <v>46</v>
      </c>
      <c r="D33" s="385">
        <f>K12</f>
        <v>0</v>
      </c>
      <c r="E33" s="386" t="s">
        <v>285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6">
        <f si="0" t="shared"/>
        <v>5.7553461640599997E-2</v>
      </c>
    </row>
    <row r="34" spans="2:17" x14ac:dyDescent="0.25">
      <c r="B34" s="383">
        <f ref="B34:B35" si="6" t="shared">B24</f>
        <v>22</v>
      </c>
      <c r="C34" s="387" t="s">
        <v>49</v>
      </c>
      <c r="D34" s="385">
        <f ref="D34:D35" si="7" t="shared">K13</f>
        <v>0</v>
      </c>
      <c r="E34" s="386" t="s">
        <v>286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6">
        <f si="0" t="shared"/>
        <v>0.237798002151</v>
      </c>
    </row>
    <row r="35" spans="2:17" x14ac:dyDescent="0.25">
      <c r="B35" s="383">
        <f si="6" t="shared"/>
        <v>23</v>
      </c>
      <c r="C35" s="387" t="s">
        <v>52</v>
      </c>
      <c r="D35" s="385">
        <f si="7" t="shared"/>
        <v>-9.6824365067830417E-3</v>
      </c>
      <c r="E35" s="386" t="s">
        <v>287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6">
        <f si="0" t="shared"/>
        <v>0</v>
      </c>
    </row>
    <row ht="15.75" r="36" spans="2:17" thickBot="1" x14ac:dyDescent="0.3">
      <c r="B36" s="388"/>
      <c r="C36" s="389"/>
      <c r="D36" s="390"/>
      <c r="E36" s="390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6">
        <f si="0" t="shared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6">
        <f si="0" t="shared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6">
        <f si="0" t="shared"/>
        <v>0.61259135262599995</v>
      </c>
    </row>
    <row r="39" spans="2:17" x14ac:dyDescent="0.25">
      <c r="C39" s="319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6">
        <f si="0" t="shared"/>
        <v>-20.810228388700001</v>
      </c>
    </row>
    <row r="40" spans="2:17" x14ac:dyDescent="0.25">
      <c r="C40" s="319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6">
        <f si="0" t="shared"/>
        <v>-7.1836373472300004</v>
      </c>
    </row>
    <row ht="15.75" r="41" spans="2:17" thickBot="1" x14ac:dyDescent="0.3">
      <c r="B41" s="352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6">
        <f si="0" t="shared"/>
        <v>-3.6600975390500001</v>
      </c>
    </row>
    <row r="42" spans="2:17" x14ac:dyDescent="0.25">
      <c r="B42" s="349" t="s">
        <v>259</v>
      </c>
      <c r="C42" s="321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6">
        <f si="0" t="shared"/>
        <v>-1.3605457273599999</v>
      </c>
    </row>
    <row r="43" spans="2:17" x14ac:dyDescent="0.25">
      <c r="B43" s="350">
        <f>B33</f>
        <v>21</v>
      </c>
      <c r="C43" s="301" t="s">
        <v>46</v>
      </c>
      <c r="D43" s="359">
        <f>D23+D33</f>
        <v>-12.0946718381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6">
        <f si="0" t="shared"/>
        <v>-0.22141031751900001</v>
      </c>
    </row>
    <row r="44" spans="2:17" x14ac:dyDescent="0.25">
      <c r="B44" s="350">
        <f ref="B44:B45" si="8" t="shared">B34</f>
        <v>22</v>
      </c>
      <c r="C44" s="304" t="s">
        <v>49</v>
      </c>
      <c r="D44" s="359">
        <f ref="D44:D45" si="9" t="shared">D24+D34</f>
        <v>-4.03623745316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6">
        <f si="0" t="shared"/>
        <v>0.64228876129599999</v>
      </c>
    </row>
    <row r="45" spans="2:17" x14ac:dyDescent="0.25">
      <c r="B45" s="350">
        <f si="8" t="shared"/>
        <v>23</v>
      </c>
      <c r="C45" s="304" t="s">
        <v>52</v>
      </c>
      <c r="D45" s="359">
        <f si="9" t="shared"/>
        <v>-2.465399485849483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6">
        <f si="0" t="shared"/>
        <v>0.74588429254199995</v>
      </c>
    </row>
    <row ht="15.75" r="46" spans="2:17" thickBot="1" x14ac:dyDescent="0.3">
      <c r="B46" s="353"/>
      <c r="C46" s="324"/>
      <c r="D46" s="360"/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6">
        <f si="0" t="shared"/>
        <v>-32.156094092099998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6">
        <f si="0" t="shared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6">
        <f si="0" t="shared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6">
        <f si="0" t="shared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6">
        <f si="0" t="shared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6">
        <f si="0" t="shared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-29.556856147209999</v>
      </c>
      <c r="Q52" s="356">
        <f si="0" t="shared"/>
        <v>-29.556856147209999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-5.8091947247600002</v>
      </c>
      <c r="Q53" s="356">
        <f si="0" t="shared"/>
        <v>-5.8091947247600002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-1.94064618888</v>
      </c>
      <c r="Q54" s="356">
        <f si="0" t="shared"/>
        <v>-1.94064618888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-0.66321888748000002</v>
      </c>
      <c r="Q55" s="356">
        <f si="0" t="shared"/>
        <v>-0.66321888748000002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6">
        <f si="0" t="shared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6">
        <f si="0" t="shared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6">
        <f si="0" t="shared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6">
        <f si="0" t="shared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6">
        <f si="0" t="shared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6">
        <f si="0" t="shared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6">
        <f si="0" t="shared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6">
        <f si="0" t="shared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6">
        <f si="0" t="shared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6">
        <f si="0" t="shared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6">
        <f si="0" t="shared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6">
        <f si="0" t="shared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6">
        <f si="0" t="shared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6">
        <f ref="Q69:Q104" si="10" t="shared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6">
        <f si="10" t="shared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6">
        <f si="10" t="shared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6">
        <f si="10" t="shared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6">
        <f si="10" t="shared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6">
        <f si="10" t="shared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6">
        <f si="10" t="shared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6">
        <f si="10" t="shared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6">
        <f si="10" t="shared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6">
        <f si="10" t="shared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6">
        <f si="10" t="shared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6">
        <f si="10" t="shared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6">
        <f si="10" t="shared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6">
        <f si="10" t="shared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6">
        <f si="10" t="shared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6">
        <f si="10" t="shared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6">
        <f si="10" t="shared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6">
        <f si="10" t="shared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6">
        <f si="10" t="shared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6">
        <f si="10" t="shared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6">
        <f si="10" t="shared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6">
        <f si="10" t="shared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6">
        <f si="10" t="shared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6">
        <f si="10" t="shared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6">
        <f si="10" t="shared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6">
        <f si="10" t="shared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6">
        <f si="10" t="shared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6">
        <f si="10" t="shared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6">
        <f si="10" t="shared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6">
        <f si="10" t="shared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6">
        <f si="10" t="shared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6">
        <f si="10" t="shared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6">
        <f si="10" t="shared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6">
        <f si="10" t="shared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6">
        <f si="10" t="shared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2017-10-26T15:42:17Z</dcterms:modified>
</cp:coreProperties>
</file>