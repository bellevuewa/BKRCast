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2C78B8DA-EA44-4DF4-8BBA-3E43420347E0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" l="1"/>
  <c r="D7" i="6"/>
  <c r="G6" i="6"/>
  <c r="G7" i="6"/>
  <c r="B34" i="6" l="1"/>
  <c r="B44" i="6" s="1"/>
  <c r="B35" i="6"/>
  <c r="B45" i="6" s="1"/>
  <c r="B33" i="6"/>
  <c r="B43" i="6" s="1"/>
  <c r="N4" i="6"/>
  <c r="M4" i="6" s="1"/>
  <c r="O4" i="6"/>
  <c r="P4" i="6"/>
  <c r="N5" i="6"/>
  <c r="M5" i="6" s="1"/>
  <c r="O5" i="6"/>
  <c r="P5" i="6"/>
  <c r="N6" i="6"/>
  <c r="M6" i="6" s="1"/>
  <c r="O6" i="6"/>
  <c r="P6" i="6"/>
  <c r="N7" i="6"/>
  <c r="M7" i="6" s="1"/>
  <c r="O7" i="6"/>
  <c r="P7" i="6"/>
  <c r="N8" i="6"/>
  <c r="M8" i="6" s="1"/>
  <c r="O8" i="6"/>
  <c r="P8" i="6"/>
  <c r="N9" i="6"/>
  <c r="M9" i="6" s="1"/>
  <c r="O9" i="6"/>
  <c r="P9" i="6"/>
  <c r="N10" i="6"/>
  <c r="M10" i="6" s="1"/>
  <c r="O10" i="6"/>
  <c r="P10" i="6"/>
  <c r="N11" i="6"/>
  <c r="M11" i="6" s="1"/>
  <c r="O11" i="6"/>
  <c r="P11" i="6"/>
  <c r="N12" i="6"/>
  <c r="M12" i="6" s="1"/>
  <c r="O12" i="6"/>
  <c r="P12" i="6"/>
  <c r="N13" i="6"/>
  <c r="M13" i="6" s="1"/>
  <c r="O13" i="6"/>
  <c r="P13" i="6"/>
  <c r="N14" i="6"/>
  <c r="M14" i="6" s="1"/>
  <c r="O14" i="6"/>
  <c r="P14" i="6"/>
  <c r="N15" i="6"/>
  <c r="M15" i="6" s="1"/>
  <c r="O15" i="6"/>
  <c r="P15" i="6"/>
  <c r="N16" i="6"/>
  <c r="O16" i="6"/>
  <c r="P16" i="6"/>
  <c r="N17" i="6"/>
  <c r="M17" i="6" s="1"/>
  <c r="O17" i="6"/>
  <c r="P17" i="6"/>
  <c r="N18" i="6"/>
  <c r="M18" i="6" s="1"/>
  <c r="O18" i="6"/>
  <c r="P18" i="6"/>
  <c r="N19" i="6"/>
  <c r="O19" i="6"/>
  <c r="P19" i="6"/>
  <c r="N20" i="6"/>
  <c r="M20" i="6" s="1"/>
  <c r="O20" i="6"/>
  <c r="P20" i="6"/>
  <c r="N21" i="6"/>
  <c r="M21" i="6" s="1"/>
  <c r="O21" i="6"/>
  <c r="P21" i="6"/>
  <c r="N22" i="6"/>
  <c r="O22" i="6"/>
  <c r="P22" i="6"/>
  <c r="N23" i="6"/>
  <c r="M23" i="6" s="1"/>
  <c r="O23" i="6"/>
  <c r="P23" i="6"/>
  <c r="N24" i="6"/>
  <c r="M24" i="6" s="1"/>
  <c r="O24" i="6"/>
  <c r="P24" i="6"/>
  <c r="N25" i="6"/>
  <c r="M25" i="6" s="1"/>
  <c r="O25" i="6"/>
  <c r="P25" i="6"/>
  <c r="N26" i="6"/>
  <c r="M26" i="6" s="1"/>
  <c r="O26" i="6"/>
  <c r="P26" i="6"/>
  <c r="N27" i="6"/>
  <c r="M27" i="6" s="1"/>
  <c r="O27" i="6"/>
  <c r="P27" i="6"/>
  <c r="N28" i="6"/>
  <c r="M28" i="6" s="1"/>
  <c r="O28" i="6"/>
  <c r="P28" i="6"/>
  <c r="N29" i="6"/>
  <c r="M29" i="6" s="1"/>
  <c r="O29" i="6"/>
  <c r="P29" i="6"/>
  <c r="N30" i="6"/>
  <c r="M30" i="6" s="1"/>
  <c r="O30" i="6"/>
  <c r="P30" i="6"/>
  <c r="N31" i="6"/>
  <c r="M31" i="6" s="1"/>
  <c r="O31" i="6"/>
  <c r="P31" i="6"/>
  <c r="N32" i="6"/>
  <c r="M32" i="6" s="1"/>
  <c r="O32" i="6"/>
  <c r="P32" i="6"/>
  <c r="N33" i="6"/>
  <c r="O33" i="6"/>
  <c r="P33" i="6"/>
  <c r="N34" i="6"/>
  <c r="O34" i="6"/>
  <c r="P34" i="6"/>
  <c r="N35" i="6"/>
  <c r="O35" i="6"/>
  <c r="P35" i="6"/>
  <c r="N36" i="6"/>
  <c r="M36" i="6" s="1"/>
  <c r="O36" i="6"/>
  <c r="P36" i="6"/>
  <c r="N37" i="6"/>
  <c r="M37" i="6" s="1"/>
  <c r="O37" i="6"/>
  <c r="P37" i="6"/>
  <c r="N38" i="6"/>
  <c r="M38" i="6" s="1"/>
  <c r="O38" i="6"/>
  <c r="P38" i="6"/>
  <c r="N39" i="6"/>
  <c r="M39" i="6" s="1"/>
  <c r="O39" i="6"/>
  <c r="P39" i="6"/>
  <c r="N40" i="6"/>
  <c r="M40" i="6" s="1"/>
  <c r="O40" i="6"/>
  <c r="P40" i="6"/>
  <c r="N41" i="6"/>
  <c r="M41" i="6" s="1"/>
  <c r="O41" i="6"/>
  <c r="P41" i="6"/>
  <c r="N42" i="6"/>
  <c r="M42" i="6" s="1"/>
  <c r="O42" i="6"/>
  <c r="P42" i="6"/>
  <c r="N43" i="6"/>
  <c r="M43" i="6" s="1"/>
  <c r="O43" i="6"/>
  <c r="P43" i="6"/>
  <c r="N44" i="6"/>
  <c r="M44" i="6" s="1"/>
  <c r="O44" i="6"/>
  <c r="P44" i="6"/>
  <c r="N45" i="6"/>
  <c r="M45" i="6" s="1"/>
  <c r="O45" i="6"/>
  <c r="P45" i="6"/>
  <c r="N46" i="6"/>
  <c r="M46" i="6" s="1"/>
  <c r="O46" i="6"/>
  <c r="P46" i="6"/>
  <c r="N47" i="6"/>
  <c r="O47" i="6"/>
  <c r="P47" i="6"/>
  <c r="N48" i="6"/>
  <c r="M48" i="6" s="1"/>
  <c r="O48" i="6"/>
  <c r="P48" i="6"/>
  <c r="N49" i="6"/>
  <c r="M49" i="6" s="1"/>
  <c r="O49" i="6"/>
  <c r="P49" i="6"/>
  <c r="N50" i="6"/>
  <c r="M50" i="6" s="1"/>
  <c r="O50" i="6"/>
  <c r="P50" i="6"/>
  <c r="N51" i="6"/>
  <c r="M51" i="6" s="1"/>
  <c r="O51" i="6"/>
  <c r="P51" i="6"/>
  <c r="N52" i="6"/>
  <c r="M52" i="6" s="1"/>
  <c r="O52" i="6"/>
  <c r="P52" i="6"/>
  <c r="N53" i="6"/>
  <c r="M53" i="6" s="1"/>
  <c r="O53" i="6"/>
  <c r="P53" i="6"/>
  <c r="N54" i="6"/>
  <c r="M54" i="6" s="1"/>
  <c r="O54" i="6"/>
  <c r="P54" i="6"/>
  <c r="N55" i="6"/>
  <c r="M55" i="6" s="1"/>
  <c r="O55" i="6"/>
  <c r="P55" i="6"/>
  <c r="N56" i="6"/>
  <c r="M56" i="6" s="1"/>
  <c r="O56" i="6"/>
  <c r="P56" i="6"/>
  <c r="N57" i="6"/>
  <c r="M57" i="6" s="1"/>
  <c r="O57" i="6"/>
  <c r="P57" i="6"/>
  <c r="N58" i="6"/>
  <c r="M58" i="6" s="1"/>
  <c r="O58" i="6"/>
  <c r="P58" i="6"/>
  <c r="N59" i="6"/>
  <c r="M59" i="6" s="1"/>
  <c r="O59" i="6"/>
  <c r="P59" i="6"/>
  <c r="N60" i="6"/>
  <c r="M60" i="6" s="1"/>
  <c r="O60" i="6"/>
  <c r="P60" i="6"/>
  <c r="N61" i="6"/>
  <c r="M61" i="6" s="1"/>
  <c r="O61" i="6"/>
  <c r="P61" i="6"/>
  <c r="N62" i="6"/>
  <c r="O62" i="6"/>
  <c r="P62" i="6"/>
  <c r="N63" i="6"/>
  <c r="O63" i="6"/>
  <c r="P63" i="6"/>
  <c r="N64" i="6"/>
  <c r="M64" i="6" s="1"/>
  <c r="O64" i="6"/>
  <c r="P64" i="6"/>
  <c r="N65" i="6"/>
  <c r="M65" i="6" s="1"/>
  <c r="O65" i="6"/>
  <c r="P65" i="6"/>
  <c r="N66" i="6"/>
  <c r="M66" i="6" s="1"/>
  <c r="O66" i="6"/>
  <c r="P66" i="6"/>
  <c r="N67" i="6"/>
  <c r="M67" i="6" s="1"/>
  <c r="O67" i="6"/>
  <c r="P67" i="6"/>
  <c r="N68" i="6"/>
  <c r="M68" i="6" s="1"/>
  <c r="O68" i="6"/>
  <c r="P68" i="6"/>
  <c r="N69" i="6"/>
  <c r="M69" i="6" s="1"/>
  <c r="O69" i="6"/>
  <c r="P69" i="6"/>
  <c r="N70" i="6"/>
  <c r="M70" i="6" s="1"/>
  <c r="O70" i="6"/>
  <c r="P70" i="6"/>
  <c r="N71" i="6"/>
  <c r="M71" i="6" s="1"/>
  <c r="O71" i="6"/>
  <c r="P71" i="6"/>
  <c r="N72" i="6"/>
  <c r="M72" i="6" s="1"/>
  <c r="O72" i="6"/>
  <c r="P72" i="6"/>
  <c r="N73" i="6"/>
  <c r="M73" i="6" s="1"/>
  <c r="O73" i="6"/>
  <c r="P73" i="6"/>
  <c r="N74" i="6"/>
  <c r="M74" i="6" s="1"/>
  <c r="O74" i="6"/>
  <c r="P74" i="6"/>
  <c r="N75" i="6"/>
  <c r="M75" i="6" s="1"/>
  <c r="O75" i="6"/>
  <c r="P75" i="6"/>
  <c r="N76" i="6"/>
  <c r="M76" i="6" s="1"/>
  <c r="O76" i="6"/>
  <c r="P76" i="6"/>
  <c r="N77" i="6"/>
  <c r="M77" i="6" s="1"/>
  <c r="O77" i="6"/>
  <c r="P77" i="6"/>
  <c r="N78" i="6"/>
  <c r="M78" i="6" s="1"/>
  <c r="O78" i="6"/>
  <c r="P78" i="6"/>
  <c r="N79" i="6"/>
  <c r="M79" i="6" s="1"/>
  <c r="O79" i="6"/>
  <c r="P79" i="6"/>
  <c r="N80" i="6"/>
  <c r="M80" i="6" s="1"/>
  <c r="O80" i="6"/>
  <c r="P80" i="6"/>
  <c r="N81" i="6"/>
  <c r="M81" i="6" s="1"/>
  <c r="O81" i="6"/>
  <c r="P81" i="6"/>
  <c r="N82" i="6"/>
  <c r="M82" i="6" s="1"/>
  <c r="O82" i="6"/>
  <c r="P82" i="6"/>
  <c r="N83" i="6"/>
  <c r="O83" i="6"/>
  <c r="P83" i="6"/>
  <c r="N84" i="6"/>
  <c r="M84" i="6" s="1"/>
  <c r="O84" i="6"/>
  <c r="P84" i="6"/>
  <c r="N85" i="6"/>
  <c r="M85" i="6" s="1"/>
  <c r="O85" i="6"/>
  <c r="P85" i="6"/>
  <c r="N86" i="6"/>
  <c r="M86" i="6" s="1"/>
  <c r="O86" i="6"/>
  <c r="P86" i="6"/>
  <c r="N87" i="6"/>
  <c r="M87" i="6" s="1"/>
  <c r="O87" i="6"/>
  <c r="P87" i="6"/>
  <c r="N88" i="6"/>
  <c r="O88" i="6"/>
  <c r="P88" i="6"/>
  <c r="N89" i="6"/>
  <c r="M89" i="6" s="1"/>
  <c r="O89" i="6"/>
  <c r="P89" i="6"/>
  <c r="N90" i="6"/>
  <c r="M90" i="6" s="1"/>
  <c r="O90" i="6"/>
  <c r="P90" i="6"/>
  <c r="N91" i="6"/>
  <c r="M91" i="6" s="1"/>
  <c r="O91" i="6"/>
  <c r="P91" i="6"/>
  <c r="N92" i="6"/>
  <c r="M92" i="6" s="1"/>
  <c r="O92" i="6"/>
  <c r="P92" i="6"/>
  <c r="N93" i="6"/>
  <c r="M93" i="6" s="1"/>
  <c r="O93" i="6"/>
  <c r="P93" i="6"/>
  <c r="N94" i="6"/>
  <c r="M94" i="6" s="1"/>
  <c r="O94" i="6"/>
  <c r="P94" i="6"/>
  <c r="N95" i="6"/>
  <c r="M95" i="6" s="1"/>
  <c r="O95" i="6"/>
  <c r="P95" i="6"/>
  <c r="N96" i="6"/>
  <c r="M96" i="6" s="1"/>
  <c r="O96" i="6"/>
  <c r="P96" i="6"/>
  <c r="N97" i="6"/>
  <c r="M97" i="6" s="1"/>
  <c r="O97" i="6"/>
  <c r="P97" i="6"/>
  <c r="N98" i="6"/>
  <c r="M98" i="6" s="1"/>
  <c r="O98" i="6"/>
  <c r="P98" i="6"/>
  <c r="N99" i="6"/>
  <c r="M99" i="6" s="1"/>
  <c r="O99" i="6"/>
  <c r="P99" i="6"/>
  <c r="N100" i="6"/>
  <c r="M100" i="6" s="1"/>
  <c r="O100" i="6"/>
  <c r="P100" i="6"/>
  <c r="N101" i="6"/>
  <c r="M101" i="6" s="1"/>
  <c r="O101" i="6"/>
  <c r="P101" i="6"/>
  <c r="N102" i="6"/>
  <c r="M102" i="6" s="1"/>
  <c r="O102" i="6"/>
  <c r="P102" i="6"/>
  <c r="N103" i="6"/>
  <c r="M103" i="6" s="1"/>
  <c r="O103" i="6"/>
  <c r="P103" i="6"/>
  <c r="N104" i="6"/>
  <c r="M104" i="6" s="1"/>
  <c r="O104" i="6"/>
  <c r="P104" i="6"/>
  <c r="P3" i="6"/>
  <c r="O3" i="6"/>
  <c r="N3" i="6"/>
  <c r="M3" i="6" s="1"/>
  <c r="Q8" i="6" l="1"/>
  <c r="R23" i="6"/>
  <c r="Q34" i="6"/>
  <c r="Q19" i="6"/>
  <c r="Q16" i="6"/>
  <c r="Q63" i="6"/>
  <c r="Q47" i="6"/>
  <c r="Q83" i="6"/>
  <c r="R25" i="6"/>
  <c r="Q35" i="6"/>
  <c r="Q33" i="6"/>
  <c r="Q88" i="6"/>
  <c r="R24" i="6"/>
  <c r="Q49" i="6"/>
  <c r="Q44" i="6"/>
  <c r="Q22" i="6"/>
  <c r="Q62" i="6"/>
  <c r="M33" i="6"/>
  <c r="M34" i="6"/>
  <c r="M35" i="6"/>
  <c r="M47" i="6"/>
  <c r="M83" i="6"/>
  <c r="Q60" i="6"/>
  <c r="Q84" i="6"/>
  <c r="M88" i="6"/>
  <c r="Q3" i="6"/>
  <c r="Q36" i="6"/>
  <c r="Q48" i="6"/>
  <c r="Q50" i="6"/>
  <c r="Q51" i="6"/>
  <c r="Q56" i="6"/>
  <c r="Q57" i="6"/>
  <c r="M16" i="6"/>
  <c r="M19" i="6"/>
  <c r="Q90" i="6"/>
  <c r="Q80" i="6"/>
  <c r="M62" i="6"/>
  <c r="Q81" i="6"/>
  <c r="M63" i="6"/>
  <c r="Q82" i="6"/>
  <c r="Q45" i="6"/>
  <c r="Q85" i="6"/>
  <c r="Q46" i="6"/>
  <c r="Q86" i="6"/>
  <c r="Q87" i="6"/>
  <c r="M22" i="6"/>
  <c r="D23" i="6"/>
  <c r="Q58" i="6"/>
  <c r="D25" i="6"/>
  <c r="Q17" i="6"/>
  <c r="Q59" i="6"/>
  <c r="D24" i="6"/>
  <c r="Q104" i="6"/>
  <c r="Q18" i="6"/>
  <c r="Q61" i="6"/>
  <c r="Q20" i="6"/>
  <c r="Q72" i="6"/>
  <c r="Q26" i="6"/>
  <c r="Q73" i="6"/>
  <c r="Q27" i="6"/>
  <c r="Q74" i="6"/>
  <c r="Q21" i="6"/>
  <c r="Q32" i="6"/>
  <c r="Q75" i="6"/>
  <c r="Q89" i="6"/>
  <c r="Q91" i="6"/>
  <c r="Q64" i="6"/>
  <c r="Q92" i="6"/>
  <c r="Q9" i="6"/>
  <c r="Q37" i="6"/>
  <c r="Q65" i="6"/>
  <c r="Q93" i="6"/>
  <c r="Q10" i="6"/>
  <c r="Q38" i="6"/>
  <c r="Q66" i="6"/>
  <c r="Q94" i="6"/>
  <c r="Q11" i="6"/>
  <c r="Q39" i="6"/>
  <c r="Q67" i="6"/>
  <c r="Q95" i="6"/>
  <c r="Q12" i="6"/>
  <c r="Q40" i="6"/>
  <c r="Q68" i="6"/>
  <c r="Q96" i="6"/>
  <c r="Q13" i="6"/>
  <c r="Q41" i="6"/>
  <c r="Q69" i="6"/>
  <c r="Q97" i="6"/>
  <c r="Q14" i="6"/>
  <c r="Q42" i="6"/>
  <c r="Q70" i="6"/>
  <c r="Q98" i="6"/>
  <c r="Q15" i="6"/>
  <c r="Q43" i="6"/>
  <c r="Q71" i="6"/>
  <c r="Q99" i="6"/>
  <c r="Q4" i="6"/>
  <c r="Q28" i="6"/>
  <c r="Q52" i="6"/>
  <c r="Q76" i="6"/>
  <c r="Q100" i="6"/>
  <c r="Q5" i="6"/>
  <c r="Q29" i="6"/>
  <c r="Q53" i="6"/>
  <c r="Q77" i="6"/>
  <c r="Q101" i="6"/>
  <c r="Q6" i="6"/>
  <c r="Q30" i="6"/>
  <c r="Q54" i="6"/>
  <c r="Q78" i="6"/>
  <c r="Q102" i="6"/>
  <c r="Q7" i="6"/>
  <c r="Q31" i="6"/>
  <c r="Q55" i="6"/>
  <c r="Q79" i="6"/>
  <c r="Q103" i="6"/>
  <c r="S20" i="1"/>
  <c r="S21" i="1"/>
  <c r="S22" i="1"/>
  <c r="S23" i="1"/>
  <c r="S24" i="1"/>
  <c r="S25" i="1"/>
  <c r="S26" i="1"/>
  <c r="L13" i="1"/>
  <c r="H6" i="1"/>
  <c r="G5" i="6" l="1"/>
  <c r="D5" i="6"/>
  <c r="G4" i="6"/>
  <c r="D4" i="6"/>
  <c r="G8" i="6" l="1"/>
  <c r="G12" i="6" s="1"/>
  <c r="D8" i="6"/>
  <c r="D14" i="6" s="1"/>
  <c r="J13" i="1"/>
  <c r="H15" i="1"/>
  <c r="U13" i="1"/>
  <c r="S15" i="1"/>
  <c r="G13" i="6" l="1"/>
  <c r="G15" i="6"/>
  <c r="G14" i="6"/>
  <c r="G16" i="6"/>
  <c r="D26" i="1"/>
  <c r="H26" i="1"/>
  <c r="B26" i="1"/>
  <c r="E26" i="1"/>
  <c r="F26" i="1"/>
  <c r="C26" i="1"/>
  <c r="G26" i="1"/>
  <c r="D16" i="6"/>
  <c r="D13" i="6"/>
  <c r="D12" i="6"/>
  <c r="I12" i="6" s="1"/>
  <c r="J12" i="6" s="1"/>
  <c r="D15" i="6"/>
  <c r="U26" i="1"/>
  <c r="S28" i="1"/>
  <c r="N26" i="1"/>
  <c r="O26" i="1"/>
  <c r="P26" i="1"/>
  <c r="Q26" i="1"/>
  <c r="R26" i="1"/>
  <c r="M26" i="1"/>
  <c r="W39" i="1"/>
  <c r="L39" i="1"/>
  <c r="A39" i="1"/>
  <c r="L26" i="1"/>
  <c r="A26" i="1"/>
  <c r="AD32" i="1"/>
  <c r="S32" i="1"/>
  <c r="H32" i="1"/>
  <c r="S19" i="1"/>
  <c r="H19" i="1"/>
  <c r="S6" i="1"/>
  <c r="K12" i="6" l="1"/>
  <c r="D33" i="6" s="1"/>
  <c r="D43" i="6" s="1"/>
  <c r="Q23" i="6" s="1"/>
  <c r="I13" i="6"/>
  <c r="J13" i="6" s="1"/>
  <c r="I15" i="6"/>
  <c r="J14" i="6" s="1"/>
  <c r="K14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3" i="6" l="1"/>
  <c r="D34" i="6" s="1"/>
  <c r="D44" i="6" s="1"/>
  <c r="Q24" i="6" s="1"/>
  <c r="D35" i="6"/>
  <c r="D45" i="6" s="1"/>
  <c r="Q25" i="6" s="1"/>
  <c r="Q15" i="1"/>
  <c r="Q28" i="1" s="1"/>
  <c r="R15" i="1"/>
  <c r="R28" i="1" s="1"/>
  <c r="U10" i="1"/>
  <c r="U11" i="1"/>
  <c r="U12" i="1"/>
  <c r="J10" i="1"/>
  <c r="J11" i="1"/>
  <c r="J12" i="1"/>
  <c r="F15" i="1"/>
  <c r="G15" i="1"/>
  <c r="G23" i="1" l="1"/>
  <c r="H24" i="1"/>
  <c r="H25" i="1"/>
  <c r="H23" i="1"/>
  <c r="G25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2" i="1" l="1"/>
  <c r="H20" i="1"/>
  <c r="H21" i="1"/>
  <c r="J23" i="1"/>
  <c r="J25" i="1"/>
  <c r="J24" i="1"/>
  <c r="U20" i="1"/>
  <c r="U21" i="1"/>
  <c r="G21" i="1"/>
  <c r="J27" i="1"/>
  <c r="G22" i="1"/>
  <c r="F21" i="1"/>
  <c r="G20" i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G28" i="1" l="1"/>
  <c r="S33" i="1"/>
  <c r="S34" i="1"/>
  <c r="S35" i="1"/>
  <c r="S36" i="1"/>
  <c r="S38" i="1"/>
  <c r="S39" i="1"/>
  <c r="S37" i="1"/>
  <c r="P39" i="1"/>
  <c r="Q39" i="1"/>
  <c r="N39" i="1"/>
  <c r="R39" i="1"/>
  <c r="M39" i="1"/>
  <c r="O39" i="1"/>
  <c r="J20" i="1"/>
  <c r="H28" i="1"/>
  <c r="I28" i="1"/>
  <c r="S41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35" i="1" s="1"/>
  <c r="Y35" i="1" s="1"/>
  <c r="E38" i="1" l="1"/>
  <c r="AA38" i="1" s="1"/>
  <c r="C33" i="1"/>
  <c r="Y33" i="1" s="1"/>
  <c r="E33" i="1"/>
  <c r="AA33" i="1" s="1"/>
  <c r="I41" i="1"/>
  <c r="AE41" i="1" s="1"/>
  <c r="J37" i="1"/>
  <c r="AF37" i="1" s="1"/>
  <c r="D34" i="1"/>
  <c r="Z34" i="1" s="1"/>
  <c r="C39" i="1"/>
  <c r="Y39" i="1" s="1"/>
  <c r="F39" i="1"/>
  <c r="AB39" i="1" s="1"/>
  <c r="D39" i="1"/>
  <c r="Z39" i="1" s="1"/>
  <c r="E39" i="1"/>
  <c r="AA39" i="1" s="1"/>
  <c r="H39" i="1"/>
  <c r="AD39" i="1" s="1"/>
  <c r="B39" i="1"/>
  <c r="X39" i="1" s="1"/>
  <c r="G39" i="1"/>
  <c r="AC39" i="1" s="1"/>
  <c r="H35" i="1"/>
  <c r="AD35" i="1" s="1"/>
  <c r="H36" i="1"/>
  <c r="AD36" i="1" s="1"/>
  <c r="H38" i="1"/>
  <c r="AD38" i="1" s="1"/>
  <c r="H37" i="1"/>
  <c r="AD37" i="1" s="1"/>
  <c r="H34" i="1"/>
  <c r="AD34" i="1" s="1"/>
  <c r="H33" i="1"/>
  <c r="AD33" i="1" s="1"/>
  <c r="G36" i="1"/>
  <c r="AC36" i="1" s="1"/>
  <c r="D33" i="1"/>
  <c r="Z33" i="1" s="1"/>
  <c r="E35" i="1"/>
  <c r="AA35" i="1" s="1"/>
  <c r="B33" i="1"/>
  <c r="X33" i="1" s="1"/>
  <c r="G33" i="1"/>
  <c r="AC33" i="1" s="1"/>
  <c r="C34" i="1"/>
  <c r="Y34" i="1" s="1"/>
  <c r="G38" i="1"/>
  <c r="AC38" i="1" s="1"/>
  <c r="E41" i="1"/>
  <c r="AA41" i="1" s="1"/>
  <c r="F33" i="1"/>
  <c r="AB33" i="1" s="1"/>
  <c r="G41" i="1"/>
  <c r="AC41" i="1" s="1"/>
  <c r="D35" i="1"/>
  <c r="Z35" i="1" s="1"/>
  <c r="G35" i="1"/>
  <c r="AC35" i="1" s="1"/>
  <c r="F41" i="1"/>
  <c r="AB41" i="1" s="1"/>
  <c r="B41" i="1"/>
  <c r="X41" i="1" s="1"/>
  <c r="J34" i="1"/>
  <c r="AF34" i="1" s="1"/>
  <c r="F35" i="1"/>
  <c r="AB35" i="1" s="1"/>
  <c r="C37" i="1"/>
  <c r="Y37" i="1" s="1"/>
  <c r="B37" i="1"/>
  <c r="X37" i="1" s="1"/>
  <c r="D41" i="1"/>
  <c r="Z41" i="1" s="1"/>
  <c r="B35" i="1"/>
  <c r="X35" i="1" s="1"/>
  <c r="B36" i="1"/>
  <c r="X36" i="1" s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J39" i="1"/>
  <c r="AF39" i="1" s="1"/>
  <c r="E37" i="1"/>
  <c r="AA37" i="1" s="1"/>
  <c r="J38" i="1"/>
  <c r="AF38" i="1" s="1"/>
  <c r="D36" i="1"/>
  <c r="Z36" i="1" s="1"/>
  <c r="H41" i="1"/>
  <c r="AD41" i="1" s="1"/>
  <c r="B34" i="1"/>
  <c r="X34" i="1" s="1"/>
  <c r="D38" i="1"/>
  <c r="Z38" i="1" s="1"/>
  <c r="J36" i="1"/>
  <c r="AF36" i="1" s="1"/>
  <c r="E34" i="1"/>
  <c r="AA34" i="1" s="1"/>
  <c r="G37" i="1"/>
  <c r="AC37" i="1" s="1"/>
</calcChain>
</file>

<file path=xl/sharedStrings.xml><?xml version="1.0" encoding="utf-8"?>
<sst xmlns="http://schemas.openxmlformats.org/spreadsheetml/2006/main" count="717" uniqueCount="288">
  <si>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</si>
  <si>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</si>
  <si>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</si>
  <si>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</si>
  <si>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</si>
  <si>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</si>
  <si>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</si>
  <si>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</si>
  <si>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</si>
  <si>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</si>
  <si>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</si>
  <si>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</si>
  <si>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</si>
  <si>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</si>
  <si>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</si>
  <si>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</si>
  <si>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</si>
  <si>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</si>
  <si>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</si>
  <si>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</si>
  <si>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</si>
  <si>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</si>
  <si>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</si>
  <si>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</si>
  <si>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</si>
  <si>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</si>
  <si>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</si>
  <si>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</si>
  <si>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</si>
  <si>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</si>
  <si>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</si>
  <si>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</si>
  <si>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</si>
  <si>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</si>
  <si>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</si>
  <si>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</si>
  <si>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</si>
  <si>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</si>
  <si>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</si>
  <si>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</si>
  <si>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</si>
  <si>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</si>
  <si>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</si>
  <si>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</si>
  <si>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</si>
  <si>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</si>
  <si>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</si>
  <si>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</si>
  <si>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</si>
  <si>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</si>
  <si>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</si>
  <si>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</si>
  <si>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</si>
  <si>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</si>
  <si>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</si>
  <si>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</si>
  <si>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</si>
  <si>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</si>
  <si>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</si>
  <si>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</si>
  <si>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</si>
  <si>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</si>
  <si>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</si>
  <si>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</si>
  <si>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</si>
  <si>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</si>
  <si>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</si>
  <si>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</si>
  <si>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</si>
  <si>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</si>
  <si>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</si>
  <si>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</si>
  <si>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</si>
  <si>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</si>
  <si>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</si>
  <si>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</si>
  <si>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</si>
  <si>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</si>
  <si>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</si>
  <si>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</si>
  <si>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</si>
  <si>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</si>
  <si>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</si>
  <si>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</si>
  <si>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</si>
  <si>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</si>
  <si>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</si>
  <si>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</si>
  <si>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</si>
  <si>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</si>
  <si>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</si>
  <si>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</si>
  <si>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</si>
  <si>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</si>
  <si>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</si>
  <si>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</si>
  <si>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</si>
  <si>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</si>
  <si>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</si>
  <si>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</si>
  <si>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</si>
  <si>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</si>
  <si>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</si>
  <si>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</si>
  <si>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</si>
  <si>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</si>
  <si>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</si>
  <si>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</si>
  <si>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</si>
  <si>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</si>
  <si>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</si>
  <si>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</si>
  <si>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</si>
  <si>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</si>
  <si>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</si>
  <si>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</si>
  <si>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</si>
  <si>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</si>
  <si>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</si>
  <si>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</si>
  <si>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</si>
  <si>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</si>
  <si>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</si>
  <si>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</si>
  <si>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</si>
  <si>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</si>
  <si>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</si>
  <si>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</si>
  <si>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</si>
  <si>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</si>
  <si>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</si>
  <si>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</si>
  <si>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</si>
  <si>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</si>
  <si>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</si>
  <si>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</si>
  <si>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</si>
  <si>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</si>
  <si>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</si>
  <si>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</si>
  <si>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</si>
  <si>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</si>
  <si>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</si>
  <si>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</si>
  <si>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</si>
  <si>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</si>
  <si>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</si>
  <si>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</si>
  <si>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</si>
  <si>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</si>
  <si>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</si>
  <si>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</si>
  <si>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</si>
  <si>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</si>
  <si>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</si>
  <si>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</si>
  <si>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</si>
  <si>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</si>
  <si>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</si>
  <si>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</si>
  <si>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</si>
  <si>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</si>
  <si>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</si>
  <si>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</si>
  <si>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</si>
  <si>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</si>
  <si>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</si>
  <si>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</si>
  <si>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</si>
  <si>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</si>
  <si>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</si>
  <si>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</si>
  <si>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</si>
  <si>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</si>
  <si>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</si>
  <si>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</si>
  <si>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</si>
  <si>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</si>
  <si>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</si>
  <si>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</si>
  <si>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</si>
  <si>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</si>
  <si>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</si>
  <si>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</si>
  <si>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</si>
  <si>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</si>
  <si>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</si>
  <si>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</si>
  <si>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</si>
  <si>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</si>
  <si>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</si>
  <si>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</si>
  <si>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</si>
  <si>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</si>
  <si>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</si>
  <si>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</si>
  <si>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</si>
  <si>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</si>
  <si>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</si>
  <si>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</si>
  <si>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</si>
  <si>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</si>
  <si>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</si>
  <si>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</si>
  <si>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</si>
  <si>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</si>
  <si>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</si>
  <si>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</si>
  <si>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</si>
  <si>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</si>
  <si>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</si>
  <si>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</si>
  <si>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</si>
  <si>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</si>
  <si>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</si>
  <si>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</si>
  <si>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</si>
  <si>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</si>
  <si>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</si>
  <si>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</si>
  <si>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</si>
  <si>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</si>
  <si>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</si>
  <si>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</si>
  <si>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</si>
  <si>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</si>
  <si>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</si>
  <si>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</si>
  <si>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</si>
  <si>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</si>
  <si>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</si>
  <si>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</si>
  <si>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</si>
  <si>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</si>
  <si>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</si>
  <si>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</si>
  <si>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</si>
  <si>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</si>
  <si>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</si>
  <si>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</si>
  <si>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</si>
  <si>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</si>
  <si>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</si>
  <si>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</si>
  <si>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</si>
  <si>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</si>
  <si>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</si>
  <si>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</si>
  <si>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</si>
  <si>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</si>
  <si>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</si>
  <si>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</si>
  <si>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</si>
  <si>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</si>
  <si>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</si>
  <si>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</si>
  <si>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</si>
  <si>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</si>
  <si>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</si>
  <si>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</si>
  <si>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</si>
  <si>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</si>
  <si>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</si>
  <si>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</si>
  <si>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</si>
  <si>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</si>
  <si>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</si>
  <si>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</si>
  <si>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</si>
  <si>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</si>
  <si>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</si>
  <si>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</si>
  <si>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</si>
  <si>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</si>
  <si>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</si>
  <si>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</si>
  <si>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</si>
  <si>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</si>
  <si>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</si>
  <si>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RATIO</t>
  </si>
  <si>
    <t>LN(RATIO)</t>
  </si>
  <si>
    <t>ADJ</t>
  </si>
  <si>
    <t>Copy (Ctrl-c) cells Q3:Q104</t>
  </si>
  <si>
    <t>CALIBRATION</t>
  </si>
  <si>
    <t>Damp</t>
  </si>
  <si>
    <t>Distance from origin is 0-1 mile</t>
  </si>
  <si>
    <t>Distance from origin is 1-3.5 miles</t>
  </si>
  <si>
    <t>Distance from origin is 3.5-10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</si>
</sst>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169" fontId="0" fillId="0" borderId="3" xfId="8" applyNumberFormat="1" applyFont="1" applyBorder="1"/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0" fontId="0" fillId="0" borderId="12" xfId="0" applyFont="1" applyBorder="1" applyAlignment="1">
      <alignment horizontal="left"/>
    </xf>
    <xf numFmtId="167" fontId="0" fillId="0" borderId="0" xfId="0" applyNumberFormat="1" applyFont="1"/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1" fillId="0" borderId="0" xfId="0" applyNumberFormat="1" applyFont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6" fontId="7" fillId="4" borderId="1" xfId="0" applyNumberFormat="1" applyFont="1" applyFill="1" applyBorder="1" applyAlignment="1">
      <alignment horizontal="right"/>
    </xf>
    <xf numFmtId="166" fontId="7" fillId="4" borderId="6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171" fontId="0" fillId="0" borderId="0" xfId="0" applyNumberFormat="1" applyFont="1"/>
    <xf numFmtId="171" fontId="0" fillId="0" borderId="0" xfId="0" applyNumberFormat="1" applyFont="1" applyAlignment="1">
      <alignment horizontal="righ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" fontId="0" fillId="0" borderId="1" xfId="0" applyNumberFormat="1" applyFont="1" applyBorder="1" applyAlignment="1">
      <alignment horizontal="right"/>
    </xf>
    <xf numFmtId="170" fontId="0" fillId="0" borderId="1" xfId="0" applyNumberFormat="1" applyFont="1" applyBorder="1" applyAlignment="1">
      <alignment horizontal="right" vertical="top"/>
    </xf>
    <xf numFmtId="0" fontId="0" fillId="0" borderId="0" xfId="0" applyFont="1" applyBorder="1"/>
    <xf numFmtId="2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0" borderId="0" xfId="0" applyNumberFormat="1" applyFont="1" applyBorder="1" applyAlignment="1">
      <alignment horizontal="right" vertical="top"/>
    </xf>
    <xf numFmtId="172" fontId="0" fillId="0" borderId="0" xfId="0" applyNumberFormat="1" applyFont="1" applyAlignment="1">
      <alignment horizontal="right"/>
    </xf>
    <xf numFmtId="0" fontId="1" fillId="6" borderId="2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left"/>
    </xf>
    <xf numFmtId="1" fontId="6" fillId="6" borderId="2" xfId="0" applyNumberFormat="1" applyFont="1" applyFill="1" applyBorder="1" applyAlignment="1">
      <alignment horizontal="right"/>
    </xf>
    <xf numFmtId="0" fontId="0" fillId="6" borderId="0" xfId="0" applyFont="1" applyFill="1" applyAlignment="1">
      <alignment horizontal="left"/>
    </xf>
    <xf numFmtId="0" fontId="0" fillId="6" borderId="0" xfId="0" applyFont="1" applyFill="1" applyBorder="1" applyAlignment="1">
      <alignment horizontal="left" vertical="top"/>
    </xf>
    <xf numFmtId="166" fontId="7" fillId="6" borderId="0" xfId="0" applyNumberFormat="1" applyFont="1" applyFill="1" applyAlignment="1">
      <alignment horizontal="right"/>
    </xf>
    <xf numFmtId="0" fontId="0" fillId="6" borderId="0" xfId="0" applyFont="1" applyFill="1"/>
    <xf numFmtId="3" fontId="0" fillId="6" borderId="0" xfId="0" applyNumberFormat="1" applyFont="1" applyFill="1"/>
    <xf numFmtId="0" fontId="0" fillId="6" borderId="1" xfId="0" applyFont="1" applyFill="1" applyBorder="1" applyAlignment="1">
      <alignment horizontal="left"/>
    </xf>
    <xf numFmtId="3" fontId="0" fillId="6" borderId="1" xfId="0" applyNumberFormat="1" applyFont="1" applyFill="1" applyBorder="1"/>
    <xf numFmtId="166" fontId="7" fillId="6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4.0663548505444534E-2</c:v>
                </c:pt>
                <c:pt idx="1">
                  <c:v>5.4075128560358961E-2</c:v>
                </c:pt>
                <c:pt idx="2">
                  <c:v>7.1263169458941247E-2</c:v>
                </c:pt>
                <c:pt idx="3">
                  <c:v>0.1086341323527313</c:v>
                </c:pt>
                <c:pt idx="4">
                  <c:v>0.20221555173518957</c:v>
                </c:pt>
                <c:pt idx="5">
                  <c:v>8.7182570512387245E-2</c:v>
                </c:pt>
                <c:pt idx="6">
                  <c:v>0.12011221186629407</c:v>
                </c:pt>
                <c:pt idx="7">
                  <c:v>7.1789132269216654E-2</c:v>
                </c:pt>
                <c:pt idx="8">
                  <c:v>3.091890479280248E-2</c:v>
                </c:pt>
                <c:pt idx="9">
                  <c:v>2.3297138492224451E-2</c:v>
                </c:pt>
                <c:pt idx="10">
                  <c:v>7.0983326556598128E-2</c:v>
                </c:pt>
                <c:pt idx="11">
                  <c:v>1.236829340649597E-2</c:v>
                </c:pt>
                <c:pt idx="12">
                  <c:v>1.6574818158702539E-2</c:v>
                </c:pt>
                <c:pt idx="13">
                  <c:v>7.9620856270818403E-3</c:v>
                </c:pt>
                <c:pt idx="14">
                  <c:v>9.4429366990092124E-3</c:v>
                </c:pt>
                <c:pt idx="15">
                  <c:v>5.2172578020261299E-3</c:v>
                </c:pt>
                <c:pt idx="16">
                  <c:v>1.55637068578515E-2</c:v>
                </c:pt>
                <c:pt idx="17">
                  <c:v>1.4395788097115754E-2</c:v>
                </c:pt>
                <c:pt idx="18">
                  <c:v>1.4022051187162187E-2</c:v>
                </c:pt>
                <c:pt idx="19">
                  <c:v>3.1976208799237562E-3</c:v>
                </c:pt>
                <c:pt idx="20">
                  <c:v>1.4171558563406399E-3</c:v>
                </c:pt>
                <c:pt idx="21">
                  <c:v>2.8106520781222151E-3</c:v>
                </c:pt>
                <c:pt idx="22">
                  <c:v>2.3039300946086209E-3</c:v>
                </c:pt>
                <c:pt idx="23">
                  <c:v>1.1641621602611698E-3</c:v>
                </c:pt>
                <c:pt idx="24">
                  <c:v>1.3655160684095669E-3</c:v>
                </c:pt>
                <c:pt idx="25">
                  <c:v>0</c:v>
                </c:pt>
                <c:pt idx="26">
                  <c:v>3.8200666267687106E-4</c:v>
                </c:pt>
                <c:pt idx="27">
                  <c:v>2.8338534256362731E-3</c:v>
                </c:pt>
                <c:pt idx="28">
                  <c:v>1.9790544197180078E-3</c:v>
                </c:pt>
                <c:pt idx="29">
                  <c:v>8.3860491240621846E-4</c:v>
                </c:pt>
                <c:pt idx="30">
                  <c:v>0</c:v>
                </c:pt>
                <c:pt idx="31">
                  <c:v>5.684206346484161E-4</c:v>
                </c:pt>
                <c:pt idx="32">
                  <c:v>0</c:v>
                </c:pt>
                <c:pt idx="33">
                  <c:v>1.2045499525443111E-3</c:v>
                </c:pt>
                <c:pt idx="34">
                  <c:v>2.2024110653399423E-3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4.5183123787483363E-4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5.9847761385513093E-4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0.14132788308824371</c:v>
                </c:pt>
                <c:pt idx="1">
                  <c:v>0.12091231618277173</c:v>
                </c:pt>
                <c:pt idx="2">
                  <c:v>7.9694123561740882E-2</c:v>
                </c:pt>
                <c:pt idx="3">
                  <c:v>5.2178669774563237E-2</c:v>
                </c:pt>
                <c:pt idx="4">
                  <c:v>0.19035438019172979</c:v>
                </c:pt>
                <c:pt idx="5">
                  <c:v>9.1014522560815367E-2</c:v>
                </c:pt>
                <c:pt idx="6">
                  <c:v>7.4279585004399046E-2</c:v>
                </c:pt>
                <c:pt idx="7">
                  <c:v>5.0784686753733474E-2</c:v>
                </c:pt>
                <c:pt idx="8">
                  <c:v>3.0270569819124991E-2</c:v>
                </c:pt>
                <c:pt idx="9">
                  <c:v>1.6613535346610451E-2</c:v>
                </c:pt>
                <c:pt idx="10">
                  <c:v>1.0283481301203167E-2</c:v>
                </c:pt>
                <c:pt idx="11">
                  <c:v>1.5123858819227825E-2</c:v>
                </c:pt>
                <c:pt idx="12">
                  <c:v>1.0192072578525805E-2</c:v>
                </c:pt>
                <c:pt idx="13">
                  <c:v>1.5987956900787258E-2</c:v>
                </c:pt>
                <c:pt idx="14">
                  <c:v>8.7595265028165316E-3</c:v>
                </c:pt>
                <c:pt idx="15">
                  <c:v>1.6449285298049565E-2</c:v>
                </c:pt>
                <c:pt idx="16">
                  <c:v>7.1641586398382062E-3</c:v>
                </c:pt>
                <c:pt idx="17">
                  <c:v>8.5410025251659635E-3</c:v>
                </c:pt>
                <c:pt idx="18">
                  <c:v>5.93156914498566E-3</c:v>
                </c:pt>
                <c:pt idx="19">
                  <c:v>4.6418491984597634E-3</c:v>
                </c:pt>
                <c:pt idx="20">
                  <c:v>5.4888081445171903E-3</c:v>
                </c:pt>
                <c:pt idx="21">
                  <c:v>4.4733143660233782E-3</c:v>
                </c:pt>
                <c:pt idx="22">
                  <c:v>3.3578422971012011E-3</c:v>
                </c:pt>
                <c:pt idx="23">
                  <c:v>3.262148790548338E-3</c:v>
                </c:pt>
                <c:pt idx="24">
                  <c:v>3.7163358813514778E-3</c:v>
                </c:pt>
                <c:pt idx="25">
                  <c:v>3.2564357453810028E-3</c:v>
                </c:pt>
                <c:pt idx="26">
                  <c:v>5.2874233023686287E-3</c:v>
                </c:pt>
                <c:pt idx="27">
                  <c:v>2.2752202378912008E-3</c:v>
                </c:pt>
                <c:pt idx="28">
                  <c:v>2.1281093248323221E-3</c:v>
                </c:pt>
                <c:pt idx="29">
                  <c:v>2.2666506701401979E-3</c:v>
                </c:pt>
                <c:pt idx="30">
                  <c:v>2.2852180669340372E-3</c:v>
                </c:pt>
                <c:pt idx="31">
                  <c:v>1.341137353031913E-3</c:v>
                </c:pt>
                <c:pt idx="32">
                  <c:v>1.3725591014522561E-3</c:v>
                </c:pt>
                <c:pt idx="33">
                  <c:v>8.4410242347375997E-4</c:v>
                </c:pt>
                <c:pt idx="34">
                  <c:v>1.246872107770884E-3</c:v>
                </c:pt>
                <c:pt idx="35">
                  <c:v>8.0268284601058058E-4</c:v>
                </c:pt>
                <c:pt idx="36">
                  <c:v>8.3124807184725604E-4</c:v>
                </c:pt>
                <c:pt idx="37">
                  <c:v>8.112524137615832E-4</c:v>
                </c:pt>
                <c:pt idx="38">
                  <c:v>9.3122636227562015E-4</c:v>
                </c:pt>
                <c:pt idx="39">
                  <c:v>5.5416538123150407E-4</c:v>
                </c:pt>
                <c:pt idx="40">
                  <c:v>4.4133273917663592E-4</c:v>
                </c:pt>
                <c:pt idx="41">
                  <c:v>2.8565225836675465E-4</c:v>
                </c:pt>
                <c:pt idx="42">
                  <c:v>3.1564574549526386E-4</c:v>
                </c:pt>
                <c:pt idx="43">
                  <c:v>1.8281744535472298E-4</c:v>
                </c:pt>
                <c:pt idx="44">
                  <c:v>2.0995440989956466E-4</c:v>
                </c:pt>
                <c:pt idx="45">
                  <c:v>2.4994572607091032E-4</c:v>
                </c:pt>
                <c:pt idx="46">
                  <c:v>1.9852831956489449E-4</c:v>
                </c:pt>
                <c:pt idx="47">
                  <c:v>1.4568265176704488E-4</c:v>
                </c:pt>
                <c:pt idx="48">
                  <c:v>1.0854785817936676E-4</c:v>
                </c:pt>
                <c:pt idx="49">
                  <c:v>1.3140003884870712E-4</c:v>
                </c:pt>
                <c:pt idx="50">
                  <c:v>1.1854568722220317E-4</c:v>
                </c:pt>
                <c:pt idx="51">
                  <c:v>9.4265245261029035E-5</c:v>
                </c:pt>
                <c:pt idx="52">
                  <c:v>8.712393880186017E-5</c:v>
                </c:pt>
                <c:pt idx="53">
                  <c:v>3.1421748420343009E-5</c:v>
                </c:pt>
                <c:pt idx="54">
                  <c:v>7.2841325883522441E-5</c:v>
                </c:pt>
                <c:pt idx="55">
                  <c:v>4.2847838755013196E-5</c:v>
                </c:pt>
                <c:pt idx="56">
                  <c:v>2.9993487128509238E-5</c:v>
                </c:pt>
                <c:pt idx="57">
                  <c:v>2.8565225836675466E-5</c:v>
                </c:pt>
                <c:pt idx="58">
                  <c:v>4.8560883922348289E-5</c:v>
                </c:pt>
                <c:pt idx="59">
                  <c:v>2.2852180669340373E-5</c:v>
                </c:pt>
                <c:pt idx="60">
                  <c:v>1.5710874210171505E-5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4888"/>
        <c:axId val="116616848"/>
      </c:lineChart>
      <c:catAx>
        <c:axId val="11661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616848"/>
        <c:crosses val="autoZero"/>
        <c:auto val="1"/>
        <c:lblAlgn val="ctr"/>
        <c:lblOffset val="100"/>
        <c:tickLblSkip val="10"/>
        <c:noMultiLvlLbl val="0"/>
      </c:catAx>
      <c:valAx>
        <c:axId val="116616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488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7.8823411559398367E-3</c:v>
                </c:pt>
                <c:pt idx="1">
                  <c:v>8.3562248856167854E-3</c:v>
                </c:pt>
                <c:pt idx="2">
                  <c:v>8.3713929298280358E-3</c:v>
                </c:pt>
                <c:pt idx="3">
                  <c:v>1.3887582379366161E-2</c:v>
                </c:pt>
                <c:pt idx="4">
                  <c:v>9.8974462925424649E-3</c:v>
                </c:pt>
                <c:pt idx="5">
                  <c:v>1.6985692531482219E-2</c:v>
                </c:pt>
                <c:pt idx="6">
                  <c:v>1.7185250309230689E-2</c:v>
                </c:pt>
                <c:pt idx="7">
                  <c:v>1.9881504903815104E-2</c:v>
                </c:pt>
                <c:pt idx="8">
                  <c:v>1.0191671749939075E-2</c:v>
                </c:pt>
                <c:pt idx="9">
                  <c:v>2.0981580802418697E-2</c:v>
                </c:pt>
                <c:pt idx="10">
                  <c:v>1.0357147580466885E-2</c:v>
                </c:pt>
                <c:pt idx="11">
                  <c:v>2.0842847524058485E-2</c:v>
                </c:pt>
                <c:pt idx="12">
                  <c:v>3.060550247516633E-2</c:v>
                </c:pt>
                <c:pt idx="13">
                  <c:v>1.4305723522528763E-2</c:v>
                </c:pt>
                <c:pt idx="14">
                  <c:v>1.8950583561768639E-2</c:v>
                </c:pt>
                <c:pt idx="15">
                  <c:v>2.3695465101975727E-3</c:v>
                </c:pt>
                <c:pt idx="16">
                  <c:v>5.6311162799233011E-2</c:v>
                </c:pt>
                <c:pt idx="17">
                  <c:v>2.722691766788482E-2</c:v>
                </c:pt>
                <c:pt idx="18">
                  <c:v>7.8074047471600169E-2</c:v>
                </c:pt>
                <c:pt idx="19">
                  <c:v>3.3389973630763493E-2</c:v>
                </c:pt>
                <c:pt idx="20">
                  <c:v>6.8358493735521372E-2</c:v>
                </c:pt>
                <c:pt idx="21">
                  <c:v>6.1392263324781933E-2</c:v>
                </c:pt>
                <c:pt idx="22">
                  <c:v>5.5519315170052666E-2</c:v>
                </c:pt>
                <c:pt idx="23">
                  <c:v>3.2186193503114691E-2</c:v>
                </c:pt>
                <c:pt idx="24">
                  <c:v>3.7215309520792814E-2</c:v>
                </c:pt>
                <c:pt idx="25">
                  <c:v>2.7592935228613905E-2</c:v>
                </c:pt>
                <c:pt idx="26">
                  <c:v>4.8414079007517381E-2</c:v>
                </c:pt>
                <c:pt idx="27">
                  <c:v>1.1024747927221452E-2</c:v>
                </c:pt>
                <c:pt idx="28">
                  <c:v>1.8014299496391061E-2</c:v>
                </c:pt>
                <c:pt idx="29">
                  <c:v>3.4885734951102296E-2</c:v>
                </c:pt>
                <c:pt idx="30">
                  <c:v>1.2353079629854996E-2</c:v>
                </c:pt>
                <c:pt idx="31">
                  <c:v>7.9376718731913754E-3</c:v>
                </c:pt>
                <c:pt idx="32">
                  <c:v>8.1746205377270544E-3</c:v>
                </c:pt>
                <c:pt idx="33">
                  <c:v>1.1900248106359573E-2</c:v>
                </c:pt>
                <c:pt idx="34">
                  <c:v>1.4349643847000087E-2</c:v>
                </c:pt>
                <c:pt idx="35">
                  <c:v>2.954002277773332E-3</c:v>
                </c:pt>
                <c:pt idx="36">
                  <c:v>2.3242812027457799E-3</c:v>
                </c:pt>
                <c:pt idx="37">
                  <c:v>1.359478242994651E-2</c:v>
                </c:pt>
                <c:pt idx="38">
                  <c:v>1.06380446193555E-2</c:v>
                </c:pt>
                <c:pt idx="39">
                  <c:v>3.5742622827463718E-3</c:v>
                </c:pt>
                <c:pt idx="40">
                  <c:v>2.3929282252571162E-3</c:v>
                </c:pt>
                <c:pt idx="41">
                  <c:v>3.0843293804451331E-3</c:v>
                </c:pt>
                <c:pt idx="42">
                  <c:v>1.0681417618045735E-3</c:v>
                </c:pt>
                <c:pt idx="43">
                  <c:v>1.1246969877088814E-3</c:v>
                </c:pt>
                <c:pt idx="44">
                  <c:v>2.8306419963098719E-3</c:v>
                </c:pt>
                <c:pt idx="45">
                  <c:v>5.5595650358306291E-2</c:v>
                </c:pt>
                <c:pt idx="46">
                  <c:v>5.4168001738846524E-4</c:v>
                </c:pt>
                <c:pt idx="47">
                  <c:v>7.9364374921482345E-4</c:v>
                </c:pt>
                <c:pt idx="48">
                  <c:v>3.2708486205617177E-3</c:v>
                </c:pt>
                <c:pt idx="49">
                  <c:v>3.5547256340943354E-4</c:v>
                </c:pt>
                <c:pt idx="50">
                  <c:v>5.0137711532583504E-4</c:v>
                </c:pt>
                <c:pt idx="51">
                  <c:v>3.0142428411379424E-4</c:v>
                </c:pt>
                <c:pt idx="52">
                  <c:v>0</c:v>
                </c:pt>
                <c:pt idx="53">
                  <c:v>9.9069516062357107E-4</c:v>
                </c:pt>
                <c:pt idx="54">
                  <c:v>0</c:v>
                </c:pt>
                <c:pt idx="55">
                  <c:v>1.1519791040042698E-3</c:v>
                </c:pt>
                <c:pt idx="56">
                  <c:v>0</c:v>
                </c:pt>
                <c:pt idx="57">
                  <c:v>2.0609422399043126E-3</c:v>
                </c:pt>
                <c:pt idx="58">
                  <c:v>1.4146882543562936E-4</c:v>
                </c:pt>
                <c:pt idx="59">
                  <c:v>0</c:v>
                </c:pt>
                <c:pt idx="60">
                  <c:v>1.5041223076397066E-3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1.7064865914829922E-2</c:v>
                </c:pt>
                <c:pt idx="1">
                  <c:v>2.8118180052331493E-2</c:v>
                </c:pt>
                <c:pt idx="2">
                  <c:v>3.5793656234646191E-2</c:v>
                </c:pt>
                <c:pt idx="3">
                  <c:v>3.8884413670174478E-2</c:v>
                </c:pt>
                <c:pt idx="4">
                  <c:v>3.6997680503662062E-2</c:v>
                </c:pt>
                <c:pt idx="5">
                  <c:v>3.4831008123950229E-2</c:v>
                </c:pt>
                <c:pt idx="6">
                  <c:v>3.3544144700008001E-2</c:v>
                </c:pt>
                <c:pt idx="7">
                  <c:v>3.0734754738970967E-2</c:v>
                </c:pt>
                <c:pt idx="8">
                  <c:v>2.8131034403957998E-2</c:v>
                </c:pt>
                <c:pt idx="9">
                  <c:v>2.5014568265176704E-2</c:v>
                </c:pt>
                <c:pt idx="10">
                  <c:v>2.2330865297821044E-2</c:v>
                </c:pt>
                <c:pt idx="11">
                  <c:v>1.9234394817125425E-2</c:v>
                </c:pt>
                <c:pt idx="12">
                  <c:v>1.7571898673430911E-2</c:v>
                </c:pt>
                <c:pt idx="13">
                  <c:v>1.4689667386510358E-2</c:v>
                </c:pt>
                <c:pt idx="14">
                  <c:v>1.4339743370011083E-2</c:v>
                </c:pt>
                <c:pt idx="15">
                  <c:v>1.251728196163119E-2</c:v>
                </c:pt>
                <c:pt idx="16">
                  <c:v>1.1883133948056993E-2</c:v>
                </c:pt>
                <c:pt idx="17">
                  <c:v>1.0823364069516334E-2</c:v>
                </c:pt>
                <c:pt idx="18">
                  <c:v>0.13000034278271003</c:v>
                </c:pt>
                <c:pt idx="19">
                  <c:v>3.7436156720255027E-2</c:v>
                </c:pt>
                <c:pt idx="20">
                  <c:v>3.8353100469612315E-2</c:v>
                </c:pt>
                <c:pt idx="21">
                  <c:v>4.0671168546258525E-2</c:v>
                </c:pt>
                <c:pt idx="22">
                  <c:v>4.0694020726927869E-2</c:v>
                </c:pt>
                <c:pt idx="23">
                  <c:v>2.7716838629326203E-2</c:v>
                </c:pt>
                <c:pt idx="24">
                  <c:v>2.2040928255578789E-2</c:v>
                </c:pt>
                <c:pt idx="25">
                  <c:v>2.3497754773249238E-2</c:v>
                </c:pt>
                <c:pt idx="26">
                  <c:v>1.3259977833384751E-2</c:v>
                </c:pt>
                <c:pt idx="27">
                  <c:v>1.2145934025754408E-2</c:v>
                </c:pt>
                <c:pt idx="28">
                  <c:v>1.1121870679509592E-2</c:v>
                </c:pt>
                <c:pt idx="29">
                  <c:v>1.1944549183605846E-2</c:v>
                </c:pt>
                <c:pt idx="30">
                  <c:v>2.1009723602874803E-2</c:v>
                </c:pt>
                <c:pt idx="31">
                  <c:v>1.0754807527508313E-2</c:v>
                </c:pt>
                <c:pt idx="32">
                  <c:v>1.0623407488659605E-2</c:v>
                </c:pt>
                <c:pt idx="33">
                  <c:v>1.4829636993110068E-2</c:v>
                </c:pt>
                <c:pt idx="34">
                  <c:v>8.4238850992355944E-3</c:v>
                </c:pt>
                <c:pt idx="35">
                  <c:v>6.0201213450793538E-3</c:v>
                </c:pt>
                <c:pt idx="36">
                  <c:v>6.214364880768747E-3</c:v>
                </c:pt>
                <c:pt idx="37">
                  <c:v>6.2372170614380879E-3</c:v>
                </c:pt>
                <c:pt idx="38">
                  <c:v>9.4093853906008981E-3</c:v>
                </c:pt>
                <c:pt idx="39">
                  <c:v>4.9117905826163459E-3</c:v>
                </c:pt>
                <c:pt idx="40">
                  <c:v>5.2517167700727842E-3</c:v>
                </c:pt>
                <c:pt idx="41">
                  <c:v>5.8630126029776391E-3</c:v>
                </c:pt>
                <c:pt idx="42">
                  <c:v>3.8834424524960293E-3</c:v>
                </c:pt>
                <c:pt idx="43">
                  <c:v>4.1033946914384306E-3</c:v>
                </c:pt>
                <c:pt idx="44">
                  <c:v>4.5147339434865571E-3</c:v>
                </c:pt>
                <c:pt idx="45">
                  <c:v>3.2907140163850137E-3</c:v>
                </c:pt>
                <c:pt idx="46">
                  <c:v>3.5178075617865834E-3</c:v>
                </c:pt>
                <c:pt idx="47">
                  <c:v>3.3964053519807127E-3</c:v>
                </c:pt>
                <c:pt idx="48">
                  <c:v>2.4237594122419131E-3</c:v>
                </c:pt>
                <c:pt idx="49">
                  <c:v>3.0593356871079424E-3</c:v>
                </c:pt>
                <c:pt idx="50">
                  <c:v>2.0852614860773088E-3</c:v>
                </c:pt>
                <c:pt idx="51">
                  <c:v>1.5225265370948022E-3</c:v>
                </c:pt>
                <c:pt idx="52">
                  <c:v>1.9752853666061086E-3</c:v>
                </c:pt>
                <c:pt idx="53">
                  <c:v>1.3911264982460951E-3</c:v>
                </c:pt>
                <c:pt idx="54">
                  <c:v>1.6767787566128497E-3</c:v>
                </c:pt>
                <c:pt idx="55">
                  <c:v>1.4196917240827706E-3</c:v>
                </c:pt>
                <c:pt idx="56">
                  <c:v>1.6210765662313326E-3</c:v>
                </c:pt>
                <c:pt idx="57">
                  <c:v>1.0097807333264777E-3</c:v>
                </c:pt>
                <c:pt idx="58">
                  <c:v>6.9413498783121375E-4</c:v>
                </c:pt>
                <c:pt idx="59">
                  <c:v>8.5695677510026389E-4</c:v>
                </c:pt>
                <c:pt idx="60">
                  <c:v>7.4555239433722967E-4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7240"/>
        <c:axId val="116615672"/>
      </c:lineChart>
      <c:catAx>
        <c:axId val="11661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615672"/>
        <c:crosses val="autoZero"/>
        <c:auto val="1"/>
        <c:lblAlgn val="ctr"/>
        <c:lblOffset val="100"/>
        <c:tickLblSkip val="10"/>
        <c:noMultiLvlLbl val="0"/>
      </c:catAx>
      <c:valAx>
        <c:axId val="1166156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724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M31" sqref="M3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1</v>
      </c>
    </row>
    <row r="2" spans="1:12" x14ac:dyDescent="0.45">
      <c r="A2" t="s">
        <v>242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335" t="n">
        <v>26340.527496600098</v>
      </c>
      <c r="C11" s="11">
        <f>B11/B$102</f>
        <v>4.0663548505444534E-2</v>
      </c>
      <c r="E11" s="19">
        <v>0</v>
      </c>
      <c r="F11" s="337" t="n">
        <v>98051.0</v>
      </c>
      <c r="G11" s="11">
        <f>F11/F$102</f>
        <v>0.14132788308824371</v>
      </c>
      <c r="K11" s="8" t="n">
        <v>6.156876216054111</v>
      </c>
      <c r="L11" s="8" t="n">
        <v>6.049700770334602</v>
      </c>
    </row>
    <row r="12" spans="1:12" x14ac:dyDescent="0.45">
      <c r="A12">
        <v>1</v>
      </c>
      <c r="B12" s="335" t="n">
        <v>35028.1139516294</v>
      </c>
      <c r="C12" s="11">
        <f>B12/B$102</f>
        <v>5.4075128560358961E-2</v>
      </c>
      <c r="E12" s="20">
        <v>1</v>
      </c>
      <c r="F12" s="337" t="n">
        <v>84780.0</v>
      </c>
      <c r="G12" s="11">
        <f>F12/F$102</f>
        <v>0.12091231618277173</v>
      </c>
      <c r="K12" s="8"/>
      <c r="L12" s="289"/>
    </row>
    <row r="13" spans="1:12" x14ac:dyDescent="0.45">
      <c r="A13">
        <v>2</v>
      </c>
      <c r="B13" s="335" t="n">
        <v>46161.9692235365</v>
      </c>
      <c r="C13" s="11">
        <f t="shared" ref="C13:C76" si="0">B13/B$102</f>
        <v>7.1263169458941247E-2</v>
      </c>
      <c r="E13" s="21">
        <v>2</v>
      </c>
      <c r="F13" s="337" t="n">
        <v>56004.0</v>
      </c>
      <c r="G13" s="11">
        <f t="shared" ref="G13:G76" si="1">F13/F$102</f>
        <v>7.9694123561740882E-2</v>
      </c>
    </row>
    <row r="14" spans="1:12" x14ac:dyDescent="0.45">
      <c r="A14">
        <v>3</v>
      </c>
      <c r="B14" s="335" t="n">
        <v>70369.666580458</v>
      </c>
      <c r="C14" s="11">
        <f t="shared" si="0"/>
        <v>0.1086341323527313</v>
      </c>
      <c r="E14" s="22">
        <v>3</v>
      </c>
      <c r="F14" s="337" t="n">
        <v>36935.0</v>
      </c>
      <c r="G14" s="11">
        <f t="shared" si="1"/>
        <v>5.2178669774563237E-2</v>
      </c>
    </row>
    <row r="15" spans="1:12" x14ac:dyDescent="0.45">
      <c r="A15">
        <v>4</v>
      </c>
      <c r="B15" s="335" t="n">
        <v>130988.6740456935</v>
      </c>
      <c r="C15" s="11">
        <f t="shared" si="0"/>
        <v>0.20221555173518957</v>
      </c>
      <c r="E15" s="23">
        <v>4</v>
      </c>
      <c r="F15" s="337" t="n">
        <v>133244.0</v>
      </c>
      <c r="G15" s="11">
        <f t="shared" si="1"/>
        <v>0.19035438019172979</v>
      </c>
    </row>
    <row r="16" spans="1:12" x14ac:dyDescent="0.45">
      <c r="A16">
        <v>5</v>
      </c>
      <c r="B16" s="335" t="n">
        <v>56474.0407615518</v>
      </c>
      <c r="C16" s="11">
        <f t="shared" si="0"/>
        <v>8.7182570512387245E-2</v>
      </c>
      <c r="E16" s="24">
        <v>5</v>
      </c>
      <c r="F16" s="337" t="n">
        <v>64088.0</v>
      </c>
      <c r="G16" s="11">
        <f t="shared" si="1"/>
        <v>9.1014522560815367E-2</v>
      </c>
    </row>
    <row r="17" spans="1:7" x14ac:dyDescent="0.45">
      <c r="A17">
        <v>6</v>
      </c>
      <c r="B17" s="335" t="n">
        <v>77804.7941122985</v>
      </c>
      <c r="C17" s="11">
        <f t="shared" si="0"/>
        <v>0.12011221186629407</v>
      </c>
      <c r="E17" s="25">
        <v>6</v>
      </c>
      <c r="F17" s="337" t="n">
        <v>53989.0</v>
      </c>
      <c r="G17" s="11">
        <f t="shared" si="1"/>
        <v>7.4279585004399046E-2</v>
      </c>
    </row>
    <row r="18" spans="1:7" x14ac:dyDescent="0.45">
      <c r="A18">
        <v>7</v>
      </c>
      <c r="B18" s="335" t="n">
        <v>46502.6708685096</v>
      </c>
      <c r="C18" s="11">
        <f t="shared" si="0"/>
        <v>7.1789132269216654E-2</v>
      </c>
      <c r="E18" s="26">
        <v>7</v>
      </c>
      <c r="F18" s="337" t="n">
        <v>22761.0</v>
      </c>
      <c r="G18" s="11">
        <f t="shared" si="1"/>
        <v>5.0784686753733474E-2</v>
      </c>
    </row>
    <row r="19" spans="1:7" x14ac:dyDescent="0.45">
      <c r="A19">
        <v>8</v>
      </c>
      <c r="B19" s="335" t="n">
        <v>20028.263439688</v>
      </c>
      <c r="C19" s="11">
        <f t="shared" si="0"/>
        <v>3.091890479280248E-2</v>
      </c>
      <c r="E19" s="27">
        <v>8</v>
      </c>
      <c r="F19" s="337" t="n">
        <v>34376.0</v>
      </c>
      <c r="G19" s="11">
        <f t="shared" si="1"/>
        <v>3.0270569819124991E-2</v>
      </c>
    </row>
    <row r="20" spans="1:7" x14ac:dyDescent="0.45">
      <c r="A20">
        <v>9</v>
      </c>
      <c r="B20" s="335" t="n">
        <v>15091.1304989621</v>
      </c>
      <c r="C20" s="11">
        <f t="shared" si="0"/>
        <v>2.3297138492224451E-2</v>
      </c>
      <c r="E20" s="28">
        <v>9</v>
      </c>
      <c r="F20" s="337" t="n">
        <v>9877.0</v>
      </c>
      <c r="G20" s="11">
        <f t="shared" si="1"/>
        <v>1.6613535346610451E-2</v>
      </c>
    </row>
    <row r="21" spans="1:7" x14ac:dyDescent="0.45">
      <c r="A21">
        <v>10</v>
      </c>
      <c r="B21" s="335" t="n">
        <v>45980.6960701886</v>
      </c>
      <c r="C21" s="11">
        <f t="shared" si="0"/>
        <v>7.0983326556598128E-2</v>
      </c>
      <c r="E21" s="29">
        <v>10</v>
      </c>
      <c r="F21" s="337" t="n">
        <v>6859.0</v>
      </c>
      <c r="G21" s="11">
        <f t="shared" si="1"/>
        <v>1.0283481301203167E-2</v>
      </c>
    </row>
    <row r="22" spans="1:7" x14ac:dyDescent="0.45">
      <c r="A22">
        <v>11</v>
      </c>
      <c r="B22" s="335" t="n">
        <v>8011.779210961</v>
      </c>
      <c r="C22" s="11">
        <f t="shared" si="0"/>
        <v>1.236829340649597E-2</v>
      </c>
      <c r="E22" s="30">
        <v>11</v>
      </c>
      <c r="F22" s="337" t="n">
        <v>10454.0</v>
      </c>
      <c r="G22" s="11">
        <f t="shared" si="1"/>
        <v>1.5123858819227825E-2</v>
      </c>
    </row>
    <row r="23" spans="1:7" x14ac:dyDescent="0.45">
      <c r="A23">
        <v>12</v>
      </c>
      <c r="B23" s="335" t="n">
        <v>10736.6294754624</v>
      </c>
      <c r="C23" s="11">
        <f t="shared" si="0"/>
        <v>1.6574818158702539E-2</v>
      </c>
      <c r="E23" s="31">
        <v>12</v>
      </c>
      <c r="F23" s="337" t="n">
        <v>7560.0</v>
      </c>
      <c r="G23" s="11">
        <f t="shared" si="1"/>
        <v>1.0192072578525805E-2</v>
      </c>
    </row>
    <row r="24" spans="1:7" x14ac:dyDescent="0.45">
      <c r="A24">
        <v>13</v>
      </c>
      <c r="B24" s="335" t="n">
        <v>5157.5807596416</v>
      </c>
      <c r="C24" s="11">
        <f t="shared" si="0"/>
        <v>7.9620856270818403E-3</v>
      </c>
      <c r="E24" s="32">
        <v>13</v>
      </c>
      <c r="F24" s="337" t="n">
        <v>10977.0</v>
      </c>
      <c r="G24" s="11">
        <f t="shared" si="1"/>
        <v>1.5987956900787258E-2</v>
      </c>
    </row>
    <row r="25" spans="1:7" x14ac:dyDescent="0.45">
      <c r="A25">
        <v>14</v>
      </c>
      <c r="B25" s="335" t="n">
        <v>6116.8280415961</v>
      </c>
      <c r="C25" s="11">
        <f t="shared" si="0"/>
        <v>9.4429366990092124E-3</v>
      </c>
      <c r="E25" s="33">
        <v>14</v>
      </c>
      <c r="F25" s="337" t="n">
        <v>5521.0</v>
      </c>
      <c r="G25" s="11">
        <f t="shared" si="1"/>
        <v>8.7595265028165316E-3</v>
      </c>
    </row>
    <row r="26" spans="1:7" x14ac:dyDescent="0.45">
      <c r="A26">
        <v>15</v>
      </c>
      <c r="B26" s="335" t="n">
        <v>3379.5703435159003</v>
      </c>
      <c r="C26" s="11">
        <f t="shared" si="0"/>
        <v>5.2172578020261299E-3</v>
      </c>
      <c r="E26" s="34">
        <v>15</v>
      </c>
      <c r="F26" s="337" t="n">
        <v>12133.0</v>
      </c>
      <c r="G26" s="11">
        <f t="shared" si="1"/>
        <v>1.6449285298049565E-2</v>
      </c>
    </row>
    <row r="27" spans="1:7" x14ac:dyDescent="0.45">
      <c r="A27">
        <v>16</v>
      </c>
      <c r="B27" s="335" t="n">
        <v>10081.6643777011</v>
      </c>
      <c r="C27" s="11">
        <f t="shared" si="0"/>
        <v>1.55637068578515E-2</v>
      </c>
      <c r="E27" s="35">
        <v>16</v>
      </c>
      <c r="F27" s="337" t="n">
        <v>5024.0</v>
      </c>
      <c r="G27" s="11">
        <f t="shared" si="1"/>
        <v>7.1641586398382062E-3</v>
      </c>
    </row>
    <row r="28" spans="1:7" x14ac:dyDescent="0.45">
      <c r="A28">
        <v>17</v>
      </c>
      <c r="B28" s="335" t="n">
        <v>9325.124494645</v>
      </c>
      <c r="C28" s="11">
        <f t="shared" si="0"/>
        <v>1.4395788097115754E-2</v>
      </c>
      <c r="E28" s="36">
        <v>17</v>
      </c>
      <c r="F28" s="337" t="n">
        <v>5899.0</v>
      </c>
      <c r="G28" s="11">
        <f t="shared" si="1"/>
        <v>8.5410025251659635E-3</v>
      </c>
    </row>
    <row r="29" spans="1:7" x14ac:dyDescent="0.45">
      <c r="A29">
        <v>18</v>
      </c>
      <c r="B29" s="335" t="n">
        <v>9083.0298493189</v>
      </c>
      <c r="C29" s="11">
        <f t="shared" si="0"/>
        <v>1.4022051187162187E-2</v>
      </c>
      <c r="E29" s="37">
        <v>18</v>
      </c>
      <c r="F29" s="337" t="n">
        <v>4162.0</v>
      </c>
      <c r="G29" s="11">
        <f t="shared" si="1"/>
        <v>5.93156914498566E-3</v>
      </c>
    </row>
    <row r="30" spans="1:7" x14ac:dyDescent="0.45">
      <c r="A30">
        <v>19</v>
      </c>
      <c r="B30" s="335" t="n">
        <v>2071.3150673522</v>
      </c>
      <c r="C30" s="11">
        <f t="shared" si="0"/>
        <v>3.1976208799237562E-3</v>
      </c>
      <c r="E30" s="38">
        <v>19</v>
      </c>
      <c r="F30" s="337" t="n">
        <v>3061.0</v>
      </c>
      <c r="G30" s="11">
        <f t="shared" si="1"/>
        <v>4.6418491984597634E-3</v>
      </c>
    </row>
    <row r="31" spans="1:7" x14ac:dyDescent="0.45">
      <c r="A31">
        <v>20</v>
      </c>
      <c r="B31" s="335" t="n">
        <v>917.9875877264</v>
      </c>
      <c r="C31" s="11">
        <f t="shared" si="0"/>
        <v>1.4171558563406399E-3</v>
      </c>
      <c r="E31" s="39">
        <v>20</v>
      </c>
      <c r="F31" s="337" t="n">
        <v>3535.0</v>
      </c>
      <c r="G31" s="11">
        <f t="shared" si="1"/>
        <v>5.4888081445171903E-3</v>
      </c>
    </row>
    <row r="32" spans="1:7" x14ac:dyDescent="0.45">
      <c r="A32">
        <v>21</v>
      </c>
      <c r="B32" s="335" t="n">
        <v>1820.649231762</v>
      </c>
      <c r="C32" s="11">
        <f t="shared" si="0"/>
        <v>2.8106520781222151E-3</v>
      </c>
      <c r="E32" s="40">
        <v>21</v>
      </c>
      <c r="F32" s="337" t="n">
        <v>3749.0</v>
      </c>
      <c r="G32" s="11">
        <f t="shared" si="1"/>
        <v>4.4733143660233782E-3</v>
      </c>
    </row>
    <row r="33" spans="1:7" x14ac:dyDescent="0.45">
      <c r="A33">
        <v>22</v>
      </c>
      <c r="B33" s="335" t="n">
        <v>1492.4111701456</v>
      </c>
      <c r="C33" s="11">
        <f t="shared" si="0"/>
        <v>2.3039300946086209E-3</v>
      </c>
      <c r="E33" s="41">
        <v>22</v>
      </c>
      <c r="F33" s="337" t="n">
        <v>2427.0</v>
      </c>
      <c r="G33" s="11">
        <f t="shared" si="1"/>
        <v>3.3578422971012011E-3</v>
      </c>
    </row>
    <row r="34" spans="1:7" x14ac:dyDescent="0.45">
      <c r="A34">
        <v>23</v>
      </c>
      <c r="B34" s="335" t="n">
        <v>754.106479142</v>
      </c>
      <c r="C34" s="11">
        <f t="shared" si="0"/>
        <v>1.1641621602611698E-3</v>
      </c>
      <c r="E34" s="42">
        <v>23</v>
      </c>
      <c r="F34" s="337" t="n">
        <v>2146.0</v>
      </c>
      <c r="G34" s="11">
        <f t="shared" si="1"/>
        <v>3.262148790548338E-3</v>
      </c>
    </row>
    <row r="35" spans="1:7" x14ac:dyDescent="0.45">
      <c r="A35">
        <v>24</v>
      </c>
      <c r="B35" s="335" t="n">
        <v>884.537008426</v>
      </c>
      <c r="C35" s="11">
        <f t="shared" si="0"/>
        <v>1.3655160684095669E-3</v>
      </c>
      <c r="E35" s="43">
        <v>24</v>
      </c>
      <c r="F35" s="337" t="n">
        <v>2853.0</v>
      </c>
      <c r="G35" s="11">
        <f t="shared" si="1"/>
        <v>3.7163358813514778E-3</v>
      </c>
    </row>
    <row r="36" spans="1:7" x14ac:dyDescent="0.45">
      <c r="A36">
        <v>25</v>
      </c>
      <c r="B36" s="335" t="n">
        <v>0.0</v>
      </c>
      <c r="C36" s="11">
        <f t="shared" si="0"/>
        <v>0</v>
      </c>
      <c r="E36" s="44">
        <v>25</v>
      </c>
      <c r="F36" s="337" t="n">
        <v>3494.0</v>
      </c>
      <c r="G36" s="11">
        <f t="shared" si="1"/>
        <v>3.2564357453810028E-3</v>
      </c>
    </row>
    <row r="37" spans="1:7" x14ac:dyDescent="0.45">
      <c r="A37">
        <v>26</v>
      </c>
      <c r="B37" s="335" t="n">
        <v>247.4515228492</v>
      </c>
      <c r="C37" s="11">
        <f t="shared" si="0"/>
        <v>3.8200666267687106E-4</v>
      </c>
      <c r="E37" s="45">
        <v>26</v>
      </c>
      <c r="F37" s="337" t="n">
        <v>2082.0</v>
      </c>
      <c r="G37" s="11">
        <f t="shared" si="1"/>
        <v>5.2874233023686287E-3</v>
      </c>
    </row>
    <row r="38" spans="1:7" x14ac:dyDescent="0.45">
      <c r="A38">
        <v>27</v>
      </c>
      <c r="B38" s="335" t="n">
        <v>1835.678311973</v>
      </c>
      <c r="C38" s="11">
        <f t="shared" si="0"/>
        <v>2.8338534256362731E-3</v>
      </c>
      <c r="E38" s="46">
        <v>27</v>
      </c>
      <c r="F38" s="337" t="n">
        <v>1597.0</v>
      </c>
      <c r="G38" s="11">
        <f t="shared" si="1"/>
        <v>2.2752202378912008E-3</v>
      </c>
    </row>
    <row r="39" spans="1:7" x14ac:dyDescent="0.45">
      <c r="A39">
        <v>28</v>
      </c>
      <c r="B39" s="335" t="n">
        <v>1281.967247715</v>
      </c>
      <c r="C39" s="11">
        <f t="shared" si="0"/>
        <v>1.9790544197180078E-3</v>
      </c>
      <c r="E39" s="47">
        <v>28</v>
      </c>
      <c r="F39" s="337" t="n">
        <v>1462.0</v>
      </c>
      <c r="G39" s="11">
        <f t="shared" si="1"/>
        <v>2.1281093248323221E-3</v>
      </c>
    </row>
    <row r="40" spans="1:7" x14ac:dyDescent="0.45">
      <c r="A40">
        <v>29</v>
      </c>
      <c r="B40" s="335" t="n">
        <v>543.221055857</v>
      </c>
      <c r="C40" s="11">
        <f t="shared" si="0"/>
        <v>8.3860491240621846E-4</v>
      </c>
      <c r="E40" s="48">
        <v>29</v>
      </c>
      <c r="F40" s="337" t="n">
        <v>1871.0</v>
      </c>
      <c r="G40" s="11">
        <f t="shared" si="1"/>
        <v>2.2666506701401979E-3</v>
      </c>
    </row>
    <row r="41" spans="1:7" x14ac:dyDescent="0.45">
      <c r="A41">
        <v>30</v>
      </c>
      <c r="B41" s="335" t="n">
        <v>0.0</v>
      </c>
      <c r="C41" s="11">
        <f t="shared" si="0"/>
        <v>0</v>
      </c>
      <c r="E41" s="49">
        <v>30</v>
      </c>
      <c r="F41" s="337" t="n">
        <v>1164.0</v>
      </c>
      <c r="G41" s="11">
        <f t="shared" si="1"/>
        <v>2.2852180669340372E-3</v>
      </c>
    </row>
    <row r="42" spans="1:7" x14ac:dyDescent="0.45">
      <c r="A42">
        <v>31</v>
      </c>
      <c r="B42" s="335" t="n">
        <v>368.204446166</v>
      </c>
      <c r="C42" s="11">
        <f t="shared" si="0"/>
        <v>5.684206346484161E-4</v>
      </c>
      <c r="E42" s="50">
        <v>31</v>
      </c>
      <c r="F42" s="337" t="n">
        <v>943.0</v>
      </c>
      <c r="G42" s="11">
        <f t="shared" si="1"/>
        <v>1.341137353031913E-3</v>
      </c>
    </row>
    <row r="43" spans="1:7" x14ac:dyDescent="0.45">
      <c r="A43">
        <v>32</v>
      </c>
      <c r="B43" s="335" t="n">
        <v>0.0</v>
      </c>
      <c r="C43" s="11">
        <f t="shared" si="0"/>
        <v>0</v>
      </c>
      <c r="E43" s="51">
        <v>32</v>
      </c>
      <c r="F43" s="337" t="n">
        <v>687.0</v>
      </c>
      <c r="G43" s="11">
        <f t="shared" si="1"/>
        <v>1.3725591014522561E-3</v>
      </c>
    </row>
    <row r="44" spans="1:7" x14ac:dyDescent="0.45">
      <c r="A44">
        <v>33</v>
      </c>
      <c r="B44" s="335" t="n">
        <v>780.268380704</v>
      </c>
      <c r="C44" s="11">
        <f t="shared" si="0"/>
        <v>1.2045499525443111E-3</v>
      </c>
      <c r="E44" s="52">
        <v>33</v>
      </c>
      <c r="F44" s="337" t="n">
        <v>778.0</v>
      </c>
      <c r="G44" s="11">
        <f t="shared" si="1"/>
        <v>8.4410242347375997E-4</v>
      </c>
    </row>
    <row r="45" spans="1:7" x14ac:dyDescent="0.45">
      <c r="A45">
        <v>34</v>
      </c>
      <c r="B45" s="335" t="n">
        <v>1426.6504365116</v>
      </c>
      <c r="C45" s="11">
        <f t="shared" si="0"/>
        <v>2.2024110653399423E-3</v>
      </c>
      <c r="E45" s="53">
        <v>34</v>
      </c>
      <c r="F45" s="337" t="n">
        <v>592.0</v>
      </c>
      <c r="G45" s="11">
        <f t="shared" si="1"/>
        <v>1.246872107770884E-3</v>
      </c>
    </row>
    <row r="46" spans="1:7" x14ac:dyDescent="0.45">
      <c r="A46">
        <v>35</v>
      </c>
      <c r="B46" s="335" t="n">
        <v>0.0</v>
      </c>
      <c r="C46" s="11">
        <f t="shared" si="0"/>
        <v>0</v>
      </c>
      <c r="E46" s="54">
        <v>35</v>
      </c>
      <c r="F46" s="337" t="n">
        <v>581.0</v>
      </c>
      <c r="G46" s="11">
        <f t="shared" si="1"/>
        <v>8.0268284601058058E-4</v>
      </c>
    </row>
    <row r="47" spans="1:7" x14ac:dyDescent="0.45">
      <c r="A47">
        <v>36</v>
      </c>
      <c r="B47" s="335" t="n">
        <v>0.0</v>
      </c>
      <c r="C47" s="11">
        <f t="shared" si="0"/>
        <v>0</v>
      </c>
      <c r="E47" s="55">
        <v>36</v>
      </c>
      <c r="F47" s="337" t="n">
        <v>698.0</v>
      </c>
      <c r="G47" s="11">
        <f t="shared" si="1"/>
        <v>8.3124807184725604E-4</v>
      </c>
    </row>
    <row r="48" spans="1:7" x14ac:dyDescent="0.45">
      <c r="A48">
        <v>37</v>
      </c>
      <c r="B48" s="335" t="n">
        <v>0.0</v>
      </c>
      <c r="C48" s="11">
        <f t="shared" si="0"/>
        <v>0</v>
      </c>
      <c r="E48" s="56">
        <v>37</v>
      </c>
      <c r="F48" s="337" t="n">
        <v>528.0</v>
      </c>
      <c r="G48" s="11">
        <f t="shared" si="1"/>
        <v>8.112524137615832E-4</v>
      </c>
    </row>
    <row r="49" spans="1:7" x14ac:dyDescent="0.45">
      <c r="A49">
        <v>38</v>
      </c>
      <c r="B49" s="335" t="n">
        <v>292.681617382</v>
      </c>
      <c r="C49" s="11">
        <f t="shared" si="0"/>
        <v>4.5183123787483363E-4</v>
      </c>
      <c r="E49" s="57">
        <v>38</v>
      </c>
      <c r="F49" s="337" t="n">
        <v>572.0</v>
      </c>
      <c r="G49" s="11">
        <f t="shared" si="1"/>
        <v>9.3122636227562015E-4</v>
      </c>
    </row>
    <row r="50" spans="1:7" x14ac:dyDescent="0.45">
      <c r="A50">
        <v>39</v>
      </c>
      <c r="B50" s="335" t="n">
        <v>0.0</v>
      </c>
      <c r="C50" s="11">
        <f t="shared" si="0"/>
        <v>0</v>
      </c>
      <c r="E50" s="58">
        <v>39</v>
      </c>
      <c r="F50" s="337" t="n">
        <v>262.0</v>
      </c>
      <c r="G50" s="11">
        <f t="shared" si="1"/>
        <v>5.5416538123150407E-4</v>
      </c>
    </row>
    <row r="51" spans="1:7" x14ac:dyDescent="0.45">
      <c r="A51">
        <v>40</v>
      </c>
      <c r="B51" s="335" t="n">
        <v>0.0</v>
      </c>
      <c r="C51" s="11">
        <f t="shared" si="0"/>
        <v>0</v>
      </c>
      <c r="E51" s="59">
        <v>40</v>
      </c>
      <c r="F51" s="337" t="n">
        <v>274.0</v>
      </c>
      <c r="G51" s="11">
        <f t="shared" si="1"/>
        <v>4.4133273917663592E-4</v>
      </c>
    </row>
    <row r="52" spans="1:7" x14ac:dyDescent="0.45">
      <c r="A52">
        <v>41</v>
      </c>
      <c r="B52" s="335" t="n">
        <v>0.0</v>
      </c>
      <c r="C52" s="11">
        <f t="shared" si="0"/>
        <v>0</v>
      </c>
      <c r="E52" s="60">
        <v>41</v>
      </c>
      <c r="F52" s="337" t="n">
        <v>303.0</v>
      </c>
      <c r="G52" s="11">
        <f t="shared" si="1"/>
        <v>2.8565225836675465E-4</v>
      </c>
    </row>
    <row r="53" spans="1:7" x14ac:dyDescent="0.45">
      <c r="A53">
        <v>42</v>
      </c>
      <c r="B53" s="335" t="n">
        <v>0.0</v>
      </c>
      <c r="C53" s="11">
        <f t="shared" si="0"/>
        <v>0</v>
      </c>
      <c r="E53" s="61">
        <v>42</v>
      </c>
      <c r="F53" s="337" t="n">
        <v>209.0</v>
      </c>
      <c r="G53" s="11">
        <f t="shared" si="1"/>
        <v>3.1564574549526386E-4</v>
      </c>
    </row>
    <row r="54" spans="1:7" x14ac:dyDescent="0.45">
      <c r="A54">
        <v>43</v>
      </c>
      <c r="B54" s="335" t="n">
        <v>0.0</v>
      </c>
      <c r="C54" s="11">
        <f t="shared" si="0"/>
        <v>0</v>
      </c>
      <c r="E54" s="62">
        <v>43</v>
      </c>
      <c r="F54" s="337" t="n">
        <v>202.0</v>
      </c>
      <c r="G54" s="11">
        <f t="shared" si="1"/>
        <v>1.8281744535472298E-4</v>
      </c>
    </row>
    <row r="55" spans="1:7" x14ac:dyDescent="0.45">
      <c r="A55">
        <v>44</v>
      </c>
      <c r="B55" s="335" t="n">
        <v>0.0</v>
      </c>
      <c r="C55" s="11">
        <f t="shared" si="0"/>
        <v>0</v>
      </c>
      <c r="E55" s="63">
        <v>44</v>
      </c>
      <c r="F55" s="337" t="n">
        <v>175.0</v>
      </c>
      <c r="G55" s="11">
        <f t="shared" si="1"/>
        <v>2.0995440989956466E-4</v>
      </c>
    </row>
    <row r="56" spans="1:7" x14ac:dyDescent="0.45">
      <c r="A56">
        <v>45</v>
      </c>
      <c r="B56" s="335" t="n">
        <v>0.0</v>
      </c>
      <c r="C56" s="11">
        <f t="shared" si="0"/>
        <v>0</v>
      </c>
      <c r="E56" s="64">
        <v>45</v>
      </c>
      <c r="F56" s="337" t="n">
        <v>152.0</v>
      </c>
      <c r="G56" s="11">
        <f t="shared" si="1"/>
        <v>2.4994572607091032E-4</v>
      </c>
    </row>
    <row r="57" spans="1:7" x14ac:dyDescent="0.45">
      <c r="A57">
        <v>46</v>
      </c>
      <c r="B57" s="335" t="n">
        <v>0.0</v>
      </c>
      <c r="C57" s="11">
        <f t="shared" si="0"/>
        <v>0</v>
      </c>
      <c r="E57" s="65">
        <v>46</v>
      </c>
      <c r="F57" s="337" t="n">
        <v>101.0</v>
      </c>
      <c r="G57" s="11">
        <f t="shared" si="1"/>
        <v>1.9852831956489449E-4</v>
      </c>
    </row>
    <row r="58" spans="1:7" x14ac:dyDescent="0.45">
      <c r="A58">
        <v>47</v>
      </c>
      <c r="B58" s="335" t="n">
        <v>0.0</v>
      </c>
      <c r="C58" s="11">
        <f t="shared" si="0"/>
        <v>0</v>
      </c>
      <c r="E58" s="66">
        <v>47</v>
      </c>
      <c r="F58" s="337" t="n">
        <v>139.0</v>
      </c>
      <c r="G58" s="11">
        <f t="shared" si="1"/>
        <v>1.4568265176704488E-4</v>
      </c>
    </row>
    <row r="59" spans="1:7" x14ac:dyDescent="0.45">
      <c r="A59">
        <v>48</v>
      </c>
      <c r="B59" s="335" t="n">
        <v>0.0</v>
      </c>
      <c r="C59" s="11">
        <f t="shared" si="0"/>
        <v>0</v>
      </c>
      <c r="E59" s="67">
        <v>48</v>
      </c>
      <c r="F59" s="337" t="n">
        <v>63.0</v>
      </c>
      <c r="G59" s="11">
        <f t="shared" si="1"/>
        <v>1.0854785817936676E-4</v>
      </c>
    </row>
    <row r="60" spans="1:7" x14ac:dyDescent="0.45">
      <c r="A60">
        <v>49</v>
      </c>
      <c r="B60" s="335" t="n">
        <v>0.0</v>
      </c>
      <c r="C60" s="11">
        <f t="shared" si="0"/>
        <v>0</v>
      </c>
      <c r="E60" s="68">
        <v>49</v>
      </c>
      <c r="F60" s="337" t="n">
        <v>70.0</v>
      </c>
      <c r="G60" s="11">
        <f t="shared" si="1"/>
        <v>1.3140003884870712E-4</v>
      </c>
    </row>
    <row r="61" spans="1:7" x14ac:dyDescent="0.45">
      <c r="A61">
        <v>50</v>
      </c>
      <c r="B61" s="335" t="n">
        <v>0.0</v>
      </c>
      <c r="C61" s="11">
        <f t="shared" si="0"/>
        <v>0</v>
      </c>
      <c r="E61" s="69">
        <v>50</v>
      </c>
      <c r="F61" s="337" t="n">
        <v>91.0</v>
      </c>
      <c r="G61" s="11">
        <f t="shared" si="1"/>
        <v>1.1854568722220317E-4</v>
      </c>
    </row>
    <row r="62" spans="1:7" x14ac:dyDescent="0.45">
      <c r="A62">
        <v>51</v>
      </c>
      <c r="B62" s="335" t="n">
        <v>387.674382174</v>
      </c>
      <c r="C62" s="11">
        <f t="shared" si="0"/>
        <v>5.9847761385513093E-4</v>
      </c>
      <c r="E62" s="70">
        <v>51</v>
      </c>
      <c r="F62" s="337" t="n">
        <v>66.0</v>
      </c>
      <c r="G62" s="11">
        <f t="shared" si="1"/>
        <v>9.4265245261029035E-5</v>
      </c>
    </row>
    <row r="63" spans="1:7" x14ac:dyDescent="0.45">
      <c r="A63">
        <v>52</v>
      </c>
      <c r="B63" s="335" t="n">
        <v>0.0</v>
      </c>
      <c r="C63" s="11">
        <f t="shared" si="0"/>
        <v>0</v>
      </c>
      <c r="E63" s="71">
        <v>52</v>
      </c>
      <c r="F63" s="337" t="n">
        <v>61.0</v>
      </c>
      <c r="G63" s="11">
        <f t="shared" si="1"/>
        <v>8.712393880186017E-5</v>
      </c>
    </row>
    <row r="64" spans="1:7" x14ac:dyDescent="0.45">
      <c r="A64">
        <v>53</v>
      </c>
      <c r="B64" s="335" t="n">
        <v>0.0</v>
      </c>
      <c r="C64" s="11">
        <f t="shared" si="0"/>
        <v>0</v>
      </c>
      <c r="E64" s="72">
        <v>53</v>
      </c>
      <c r="F64" s="337" t="n">
        <v>46.0</v>
      </c>
      <c r="G64" s="11">
        <f t="shared" si="1"/>
        <v>3.1421748420343009E-5</v>
      </c>
    </row>
    <row r="65" spans="1:7" x14ac:dyDescent="0.45">
      <c r="A65">
        <v>54</v>
      </c>
      <c r="B65" s="335" t="n">
        <v>0.0</v>
      </c>
      <c r="C65" s="11">
        <f t="shared" si="0"/>
        <v>0</v>
      </c>
      <c r="E65" s="73">
        <v>54</v>
      </c>
      <c r="F65" s="337" t="n">
        <v>54.0</v>
      </c>
      <c r="G65" s="11">
        <f t="shared" si="1"/>
        <v>7.2841325883522441E-5</v>
      </c>
    </row>
    <row r="66" spans="1:7" x14ac:dyDescent="0.45">
      <c r="A66">
        <v>55</v>
      </c>
      <c r="B66" s="335" t="n">
        <v>0.0</v>
      </c>
      <c r="C66" s="11">
        <f t="shared" si="0"/>
        <v>0</v>
      </c>
      <c r="E66" s="74">
        <v>55</v>
      </c>
      <c r="F66" s="337" t="n">
        <v>33.0</v>
      </c>
      <c r="G66" s="11">
        <f t="shared" si="1"/>
        <v>4.2847838755013196E-5</v>
      </c>
    </row>
    <row r="67" spans="1:7" x14ac:dyDescent="0.45">
      <c r="A67">
        <v>56</v>
      </c>
      <c r="B67" s="335" t="n">
        <v>0.0</v>
      </c>
      <c r="C67" s="11">
        <f t="shared" si="0"/>
        <v>0</v>
      </c>
      <c r="E67" s="75">
        <v>56</v>
      </c>
      <c r="F67" s="337" t="n">
        <v>18.0</v>
      </c>
      <c r="G67" s="11">
        <f t="shared" si="1"/>
        <v>2.9993487128509238E-5</v>
      </c>
    </row>
    <row r="68" spans="1:7" x14ac:dyDescent="0.45">
      <c r="A68">
        <v>57</v>
      </c>
      <c r="B68" s="335" t="n">
        <v>0.0</v>
      </c>
      <c r="C68" s="11">
        <f t="shared" si="0"/>
        <v>0</v>
      </c>
      <c r="E68" s="76">
        <v>57</v>
      </c>
      <c r="F68" s="337" t="n">
        <v>26.0</v>
      </c>
      <c r="G68" s="11">
        <f t="shared" si="1"/>
        <v>2.8565225836675466E-5</v>
      </c>
    </row>
    <row r="69" spans="1:7" x14ac:dyDescent="0.45">
      <c r="A69">
        <v>58</v>
      </c>
      <c r="B69" s="335" t="n">
        <v>0.0</v>
      </c>
      <c r="C69" s="11">
        <f t="shared" si="0"/>
        <v>0</v>
      </c>
      <c r="E69" s="77">
        <v>58</v>
      </c>
      <c r="F69" s="337" t="n">
        <v>20.0</v>
      </c>
      <c r="G69" s="11">
        <f t="shared" si="1"/>
        <v>4.8560883922348289E-5</v>
      </c>
    </row>
    <row r="70" spans="1:7" x14ac:dyDescent="0.45">
      <c r="A70">
        <v>59</v>
      </c>
      <c r="B70" s="335" t="n">
        <v>0.0</v>
      </c>
      <c r="C70" s="11">
        <f t="shared" si="0"/>
        <v>0</v>
      </c>
      <c r="E70" s="78">
        <v>59</v>
      </c>
      <c r="F70" s="337" t="n">
        <v>11.0</v>
      </c>
      <c r="G70" s="11">
        <f t="shared" si="1"/>
        <v>2.2852180669340373E-5</v>
      </c>
    </row>
    <row r="71" spans="1:7" x14ac:dyDescent="0.45">
      <c r="A71">
        <v>60</v>
      </c>
      <c r="B71" s="335" t="n">
        <v>0.0</v>
      </c>
      <c r="C71" s="11">
        <f t="shared" si="0"/>
        <v>0</v>
      </c>
      <c r="E71" s="79">
        <v>60</v>
      </c>
      <c r="F71" s="337" t="n">
        <v>20.0</v>
      </c>
      <c r="G71" s="11">
        <f t="shared" si="1"/>
        <v>1.5710874210171505E-5</v>
      </c>
    </row>
    <row r="72" spans="1:7" x14ac:dyDescent="0.45">
      <c r="A72">
        <v>61</v>
      </c>
      <c r="B72" s="335" t="n">
        <v>0.0</v>
      </c>
      <c r="C72" s="11">
        <f t="shared" si="0"/>
        <v>0</v>
      </c>
      <c r="E72" s="80">
        <v>61</v>
      </c>
      <c r="F72" s="337" t="n">
        <v>18.0</v>
      </c>
      <c r="G72" s="11">
        <f t="shared" si="1"/>
        <v>7.1413064591688666E-6</v>
      </c>
    </row>
    <row r="73" spans="1:7" x14ac:dyDescent="0.45">
      <c r="A73">
        <v>62</v>
      </c>
      <c r="B73" s="335" t="n">
        <v>0.0</v>
      </c>
      <c r="C73" s="11">
        <f t="shared" si="0"/>
        <v>0</v>
      </c>
      <c r="E73" s="81">
        <v>62</v>
      </c>
      <c r="F73" s="337" t="n">
        <v>6.0</v>
      </c>
      <c r="G73" s="11">
        <f t="shared" si="1"/>
        <v>1.5710874210171505E-5</v>
      </c>
    </row>
    <row r="74" spans="1:7" x14ac:dyDescent="0.45">
      <c r="A74">
        <v>63</v>
      </c>
      <c r="B74" s="335" t="n">
        <v>0.0</v>
      </c>
      <c r="C74" s="11">
        <f t="shared" si="0"/>
        <v>0</v>
      </c>
      <c r="E74" s="82">
        <v>63</v>
      </c>
      <c r="F74" s="337" t="n">
        <v>7.0</v>
      </c>
      <c r="G74" s="11">
        <f t="shared" si="1"/>
        <v>0</v>
      </c>
    </row>
    <row r="75" spans="1:7" x14ac:dyDescent="0.45">
      <c r="A75">
        <v>64</v>
      </c>
      <c r="B75" s="335" t="n">
        <v>0.0</v>
      </c>
      <c r="C75" s="11">
        <f t="shared" si="0"/>
        <v>0</v>
      </c>
      <c r="E75" s="83">
        <v>64</v>
      </c>
      <c r="F75" s="337" t="n">
        <v>1.0</v>
      </c>
      <c r="G75" s="11">
        <f t="shared" si="1"/>
        <v>4.2847838755013199E-6</v>
      </c>
    </row>
    <row r="76" spans="1:7" x14ac:dyDescent="0.45">
      <c r="A76">
        <v>65</v>
      </c>
      <c r="B76" s="335" t="n">
        <v>0.0</v>
      </c>
      <c r="C76" s="11">
        <f t="shared" si="0"/>
        <v>0</v>
      </c>
      <c r="E76" s="84">
        <v>65</v>
      </c>
      <c r="F76" s="337" t="n">
        <v>2.0</v>
      </c>
      <c r="G76" s="11">
        <f t="shared" si="1"/>
        <v>2.4280441961174145E-5</v>
      </c>
    </row>
    <row r="77" spans="1:7" x14ac:dyDescent="0.45">
      <c r="A77">
        <v>66</v>
      </c>
      <c r="B77" s="335" t="n">
        <v>0.0</v>
      </c>
      <c r="C77" s="11">
        <f t="shared" ref="C77:C102" si="2">B77/B$102</f>
        <v>0</v>
      </c>
      <c r="E77" s="85">
        <v>66</v>
      </c>
      <c r="F77" s="337" t="n">
        <v>0.0</v>
      </c>
      <c r="G77" s="11">
        <f t="shared" ref="G77:G102" si="3">F77/F$102</f>
        <v>7.1413064591688666E-6</v>
      </c>
    </row>
    <row r="78" spans="1:7" x14ac:dyDescent="0.45">
      <c r="A78">
        <v>67</v>
      </c>
      <c r="B78" s="335" t="n">
        <v>0.0</v>
      </c>
      <c r="C78" s="11">
        <f t="shared" si="2"/>
        <v>0</v>
      </c>
      <c r="E78" s="86">
        <v>67</v>
      </c>
      <c r="F78" s="337" t="n">
        <v>2.0</v>
      </c>
      <c r="G78" s="11">
        <f t="shared" si="3"/>
        <v>5.7130451673350932E-6</v>
      </c>
    </row>
    <row r="79" spans="1:7" x14ac:dyDescent="0.45">
      <c r="A79">
        <v>68</v>
      </c>
      <c r="B79" s="335" t="n">
        <v>0.0</v>
      </c>
      <c r="C79" s="11">
        <f t="shared" si="2"/>
        <v>0</v>
      </c>
      <c r="E79" s="87">
        <v>68</v>
      </c>
      <c r="F79" s="337" t="n">
        <v>1.0</v>
      </c>
      <c r="G79" s="11">
        <f t="shared" si="3"/>
        <v>2.8565225836675466E-6</v>
      </c>
    </row>
    <row r="80" spans="1:7" x14ac:dyDescent="0.45">
      <c r="A80">
        <v>69</v>
      </c>
      <c r="B80" s="335" t="n">
        <v>0.0</v>
      </c>
      <c r="C80" s="11">
        <f t="shared" si="2"/>
        <v>0</v>
      </c>
      <c r="E80" s="88">
        <v>69</v>
      </c>
      <c r="F80" s="337" t="n">
        <v>0.0</v>
      </c>
      <c r="G80" s="11">
        <f t="shared" si="3"/>
        <v>1.4282612918337733E-6</v>
      </c>
    </row>
    <row r="81" spans="1:7" x14ac:dyDescent="0.45">
      <c r="A81">
        <v>70</v>
      </c>
      <c r="B81" s="335" t="n">
        <v>0.0</v>
      </c>
      <c r="C81" s="11">
        <f t="shared" si="2"/>
        <v>0</v>
      </c>
      <c r="E81" s="89">
        <v>70</v>
      </c>
      <c r="F81" s="337" t="n">
        <v>1.0</v>
      </c>
      <c r="G81" s="11">
        <f t="shared" si="3"/>
        <v>8.5695677510026399E-6</v>
      </c>
    </row>
    <row r="82" spans="1:7" x14ac:dyDescent="0.45">
      <c r="A82">
        <v>71</v>
      </c>
      <c r="B82" s="335" t="n">
        <v>0.0</v>
      </c>
      <c r="C82" s="11">
        <f t="shared" si="2"/>
        <v>0</v>
      </c>
      <c r="E82" s="90">
        <v>71</v>
      </c>
      <c r="F82" s="337" t="n">
        <v>4.0</v>
      </c>
      <c r="G82" s="11">
        <f t="shared" si="3"/>
        <v>5.7130451673350932E-6</v>
      </c>
    </row>
    <row r="83" spans="1:7" x14ac:dyDescent="0.45">
      <c r="A83">
        <v>72</v>
      </c>
      <c r="B83" s="335" t="n">
        <v>0.0</v>
      </c>
      <c r="C83" s="11">
        <f t="shared" si="2"/>
        <v>0</v>
      </c>
      <c r="E83" s="91">
        <v>72</v>
      </c>
      <c r="F83" s="337" t="n">
        <v>0.0</v>
      </c>
      <c r="G83" s="11">
        <f t="shared" si="3"/>
        <v>2.8565225836675466E-6</v>
      </c>
    </row>
    <row r="84" spans="1:7" x14ac:dyDescent="0.45">
      <c r="A84">
        <v>73</v>
      </c>
      <c r="B84" s="335" t="n">
        <v>0.0</v>
      </c>
      <c r="C84" s="11">
        <f t="shared" si="2"/>
        <v>0</v>
      </c>
      <c r="E84" s="92">
        <v>73</v>
      </c>
      <c r="F84" s="337" t="n">
        <v>0.0</v>
      </c>
      <c r="G84" s="11">
        <f t="shared" si="3"/>
        <v>0</v>
      </c>
    </row>
    <row r="85" spans="1:7" x14ac:dyDescent="0.45">
      <c r="A85">
        <v>74</v>
      </c>
      <c r="B85" s="335" t="n">
        <v>0.0</v>
      </c>
      <c r="C85" s="11">
        <f t="shared" si="2"/>
        <v>0</v>
      </c>
      <c r="E85" s="93">
        <v>74</v>
      </c>
      <c r="F85" s="337" t="n">
        <v>1.0</v>
      </c>
      <c r="G85" s="11">
        <f t="shared" si="3"/>
        <v>4.2847838755013199E-6</v>
      </c>
    </row>
    <row r="86" spans="1:7" x14ac:dyDescent="0.45">
      <c r="A86">
        <v>75</v>
      </c>
      <c r="B86" s="335" t="n">
        <v>0.0</v>
      </c>
      <c r="C86" s="11">
        <f t="shared" si="2"/>
        <v>0</v>
      </c>
      <c r="E86" s="94">
        <v>75</v>
      </c>
      <c r="F86" s="337" t="n">
        <v>0.0</v>
      </c>
      <c r="G86" s="11">
        <f t="shared" si="3"/>
        <v>0</v>
      </c>
    </row>
    <row r="87" spans="1:7" x14ac:dyDescent="0.45">
      <c r="A87">
        <v>76</v>
      </c>
      <c r="B87" s="335" t="n">
        <v>0.0</v>
      </c>
      <c r="C87" s="11">
        <f t="shared" si="2"/>
        <v>0</v>
      </c>
      <c r="E87" s="95">
        <v>76</v>
      </c>
      <c r="F87" s="337" t="n">
        <v>0.0</v>
      </c>
      <c r="G87" s="11">
        <f t="shared" si="3"/>
        <v>0</v>
      </c>
    </row>
    <row r="88" spans="1:7" x14ac:dyDescent="0.45">
      <c r="A88">
        <v>77</v>
      </c>
      <c r="B88" s="335" t="n">
        <v>0.0</v>
      </c>
      <c r="C88" s="11">
        <f t="shared" si="2"/>
        <v>0</v>
      </c>
      <c r="E88" s="96">
        <v>77</v>
      </c>
      <c r="F88" s="337" t="n">
        <v>0.0</v>
      </c>
      <c r="G88" s="11">
        <f t="shared" si="3"/>
        <v>1.4282612918337733E-6</v>
      </c>
    </row>
    <row r="89" spans="1:7" x14ac:dyDescent="0.45">
      <c r="A89">
        <v>78</v>
      </c>
      <c r="B89" s="335" t="n">
        <v>0.0</v>
      </c>
      <c r="C89" s="11">
        <f t="shared" si="2"/>
        <v>0</v>
      </c>
      <c r="E89" s="97">
        <v>78</v>
      </c>
      <c r="F89" s="337" t="n">
        <v>5.0</v>
      </c>
      <c r="G89" s="11">
        <f t="shared" si="3"/>
        <v>7.1413064591688666E-6</v>
      </c>
    </row>
    <row r="90" spans="1:7" x14ac:dyDescent="0.45">
      <c r="A90">
        <v>79</v>
      </c>
      <c r="B90" s="335" t="n">
        <v>0.0</v>
      </c>
      <c r="C90" s="11">
        <f t="shared" si="2"/>
        <v>0</v>
      </c>
      <c r="E90" s="98">
        <v>79</v>
      </c>
      <c r="F90" s="337" t="n">
        <v>0.0</v>
      </c>
      <c r="G90" s="11">
        <f t="shared" si="3"/>
        <v>0</v>
      </c>
    </row>
    <row r="91" spans="1:7" x14ac:dyDescent="0.45">
      <c r="A91">
        <v>80</v>
      </c>
      <c r="B91" s="335" t="n">
        <v>0.0</v>
      </c>
      <c r="C91" s="11">
        <f t="shared" si="2"/>
        <v>0</v>
      </c>
      <c r="E91" s="99">
        <v>80</v>
      </c>
      <c r="F91" s="337" t="n">
        <v>0.0</v>
      </c>
      <c r="G91" s="11">
        <f t="shared" si="3"/>
        <v>0</v>
      </c>
    </row>
    <row r="92" spans="1:7" x14ac:dyDescent="0.45">
      <c r="A92">
        <v>81</v>
      </c>
      <c r="B92" s="335" t="n">
        <v>0.0</v>
      </c>
      <c r="C92" s="11">
        <f t="shared" si="2"/>
        <v>0</v>
      </c>
      <c r="E92" s="100">
        <v>81</v>
      </c>
      <c r="F92" s="337" t="n">
        <v>0.0</v>
      </c>
      <c r="G92" s="11">
        <f t="shared" si="3"/>
        <v>0</v>
      </c>
    </row>
    <row r="93" spans="1:7" x14ac:dyDescent="0.45">
      <c r="A93">
        <v>82</v>
      </c>
      <c r="B93" s="335" t="n">
        <v>0.0</v>
      </c>
      <c r="C93" s="11">
        <f t="shared" si="2"/>
        <v>0</v>
      </c>
      <c r="E93" s="101">
        <v>82</v>
      </c>
      <c r="F93" s="337" t="n">
        <v>0.0</v>
      </c>
      <c r="G93" s="11">
        <f t="shared" si="3"/>
        <v>0</v>
      </c>
    </row>
    <row r="94" spans="1:7" x14ac:dyDescent="0.45">
      <c r="A94">
        <v>83</v>
      </c>
      <c r="B94" s="335" t="n">
        <v>0.0</v>
      </c>
      <c r="C94" s="11">
        <f t="shared" si="2"/>
        <v>0</v>
      </c>
      <c r="E94" s="102">
        <v>83</v>
      </c>
      <c r="F94" s="337" t="n">
        <v>0.0</v>
      </c>
      <c r="G94" s="11">
        <f t="shared" si="3"/>
        <v>0</v>
      </c>
    </row>
    <row r="95" spans="1:7" x14ac:dyDescent="0.45">
      <c r="A95">
        <v>84</v>
      </c>
      <c r="B95" s="335" t="n">
        <v>0.0</v>
      </c>
      <c r="C95" s="11">
        <f t="shared" si="2"/>
        <v>0</v>
      </c>
      <c r="E95" s="103">
        <v>84</v>
      </c>
      <c r="F95" s="337" t="n">
        <v>0.0</v>
      </c>
      <c r="G95" s="11">
        <f t="shared" si="3"/>
        <v>0</v>
      </c>
    </row>
    <row r="96" spans="1:7" x14ac:dyDescent="0.45">
      <c r="A96">
        <v>85</v>
      </c>
      <c r="B96" s="335" t="n">
        <v>0.0</v>
      </c>
      <c r="C96" s="11">
        <f t="shared" si="2"/>
        <v>0</v>
      </c>
      <c r="E96" s="104">
        <v>85</v>
      </c>
      <c r="F96" s="337" t="n">
        <v>1.0</v>
      </c>
      <c r="G96" s="11">
        <f t="shared" si="3"/>
        <v>0</v>
      </c>
    </row>
    <row r="97" spans="1:7" x14ac:dyDescent="0.45">
      <c r="A97">
        <v>86</v>
      </c>
      <c r="B97" s="335" t="n">
        <v>0.0</v>
      </c>
      <c r="C97" s="11">
        <f t="shared" si="2"/>
        <v>0</v>
      </c>
      <c r="E97" s="105">
        <v>86</v>
      </c>
      <c r="F97" s="337" t="n">
        <v>0.0</v>
      </c>
      <c r="G97" s="11">
        <f t="shared" si="3"/>
        <v>0</v>
      </c>
    </row>
    <row r="98" spans="1:7" x14ac:dyDescent="0.45">
      <c r="A98">
        <v>87</v>
      </c>
      <c r="B98" s="335" t="n">
        <v>0.0</v>
      </c>
      <c r="C98" s="11">
        <f t="shared" si="2"/>
        <v>0</v>
      </c>
      <c r="E98" s="106">
        <v>87</v>
      </c>
      <c r="F98" s="337" t="n">
        <v>1.0</v>
      </c>
      <c r="G98" s="11">
        <f t="shared" si="3"/>
        <v>0</v>
      </c>
    </row>
    <row r="99" spans="1:7" x14ac:dyDescent="0.45">
      <c r="A99">
        <v>88</v>
      </c>
      <c r="B99" s="335" t="n">
        <v>0.0</v>
      </c>
      <c r="C99" s="11">
        <f t="shared" si="2"/>
        <v>0</v>
      </c>
      <c r="E99" s="107">
        <v>88</v>
      </c>
      <c r="F99" s="337" t="n">
        <v>0.0</v>
      </c>
      <c r="G99" s="11">
        <f t="shared" si="3"/>
        <v>1.4282612918337733E-6</v>
      </c>
    </row>
    <row r="100" spans="1:7" x14ac:dyDescent="0.45">
      <c r="A100">
        <v>89</v>
      </c>
      <c r="B100" s="335" t="n">
        <v>0.0</v>
      </c>
      <c r="C100" s="11">
        <f t="shared" si="2"/>
        <v>0</v>
      </c>
      <c r="E100" s="108">
        <v>89</v>
      </c>
      <c r="F100" s="337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36" t="n">
        <v>0.0</v>
      </c>
      <c r="C101" s="11">
        <f t="shared" si="2"/>
        <v>0</v>
      </c>
      <c r="E101" s="291">
        <v>90</v>
      </c>
      <c r="F101" s="338" t="n">
        <v>0.0</v>
      </c>
      <c r="G101" s="11">
        <f t="shared" si="3"/>
        <v>0</v>
      </c>
    </row>
    <row r="102" spans="1:7" x14ac:dyDescent="0.45">
      <c r="B102" s="335">
        <f>SUM(B11:B101)</f>
        <v>647767.55754784425</v>
      </c>
      <c r="C102" s="11">
        <f t="shared" si="2"/>
        <v>1</v>
      </c>
      <c r="F102" s="335">
        <f>SUM(F11:F101)</f>
        <v>700152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K31" sqref="K3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5105.924878342</v>
      </c>
      <c r="C11" s="11">
        <f>B11/B$102</f>
        <v>7.8823411559398367E-3</v>
      </c>
      <c r="E11" s="109">
        <v>0</v>
      </c>
      <c r="F11" s="199" t="n">
        <v>11645.0</v>
      </c>
      <c r="G11" s="11">
        <f>F11/F$102</f>
        <v>1.7064865914829922E-2</v>
      </c>
      <c r="K11" s="8" t="n">
        <v>22.15593424968025</v>
      </c>
      <c r="L11" s="8" t="n">
        <v>18.300343831400316</v>
      </c>
    </row>
    <row r="12" spans="1:12" x14ac:dyDescent="0.45">
      <c r="A12">
        <v>1</v>
      </c>
      <c r="B12" s="8" t="n">
        <v>5412.8913844765</v>
      </c>
      <c r="C12" s="11">
        <f>B12/B$102</f>
        <v>8.3562248856167854E-3</v>
      </c>
      <c r="E12" s="110">
        <v>1</v>
      </c>
      <c r="F12" s="200" t="n">
        <v>19362.0</v>
      </c>
      <c r="G12" s="11">
        <f>F12/F$102</f>
        <v>2.8118180052331493E-2</v>
      </c>
      <c r="K12" s="8"/>
      <c r="L12" s="290"/>
    </row>
    <row r="13" spans="1:12" x14ac:dyDescent="0.45">
      <c r="A13">
        <v>2</v>
      </c>
      <c r="B13" s="8" t="n">
        <v>5422.716751428</v>
      </c>
      <c r="C13" s="11">
        <f t="shared" ref="C13:C76" si="0">B13/B$102</f>
        <v>8.3713929298280358E-3</v>
      </c>
      <c r="E13" s="111">
        <v>2</v>
      </c>
      <c r="F13" s="201" t="n">
        <v>25164.0</v>
      </c>
      <c r="G13" s="11">
        <f t="shared" ref="G13:G76" si="1">F13/F$102</f>
        <v>3.5793656234646191E-2</v>
      </c>
    </row>
    <row r="14" spans="1:12" x14ac:dyDescent="0.45">
      <c r="A14">
        <v>3</v>
      </c>
      <c r="B14" s="8" t="n">
        <v>8995.9253181265</v>
      </c>
      <c r="C14" s="11">
        <f t="shared" si="0"/>
        <v>1.3887582379366161E-2</v>
      </c>
      <c r="E14" s="112">
        <v>3</v>
      </c>
      <c r="F14" s="202" t="n">
        <v>26821.0</v>
      </c>
      <c r="G14" s="11">
        <f t="shared" si="1"/>
        <v>3.8884413670174478E-2</v>
      </c>
    </row>
    <row r="15" spans="1:12" x14ac:dyDescent="0.45">
      <c r="A15">
        <v>4</v>
      </c>
      <c r="B15" s="8" t="n">
        <v>6411.2446108812</v>
      </c>
      <c r="C15" s="11">
        <f t="shared" si="0"/>
        <v>9.8974462925424649E-3</v>
      </c>
      <c r="E15" s="113">
        <v>4</v>
      </c>
      <c r="F15" s="203" t="n">
        <v>25952.0</v>
      </c>
      <c r="G15" s="11">
        <f t="shared" si="1"/>
        <v>3.6997680503662062E-2</v>
      </c>
    </row>
    <row r="16" spans="1:12" x14ac:dyDescent="0.45">
      <c r="A16">
        <v>5</v>
      </c>
      <c r="B16" s="8" t="n">
        <v>11002.780564376899</v>
      </c>
      <c r="C16" s="11">
        <f t="shared" si="0"/>
        <v>1.6985692531482219E-2</v>
      </c>
      <c r="E16" s="114">
        <v>5</v>
      </c>
      <c r="F16" s="204" t="n">
        <v>24366.0</v>
      </c>
      <c r="G16" s="11">
        <f t="shared" si="1"/>
        <v>3.4831008123950229E-2</v>
      </c>
    </row>
    <row r="17" spans="1:7" x14ac:dyDescent="0.45">
      <c r="A17">
        <v>6</v>
      </c>
      <c r="B17" s="8" t="n">
        <v>11132.0476186587</v>
      </c>
      <c r="C17" s="11">
        <f t="shared" si="0"/>
        <v>1.7185250309230689E-2</v>
      </c>
      <c r="E17" s="115">
        <v>6</v>
      </c>
      <c r="F17" s="205" t="n">
        <v>23268.0</v>
      </c>
      <c r="G17" s="11">
        <f t="shared" si="1"/>
        <v>3.3544144700008001E-2</v>
      </c>
    </row>
    <row r="18" spans="1:7" x14ac:dyDescent="0.45">
      <c r="A18">
        <v>7</v>
      </c>
      <c r="B18" s="8" t="n">
        <v>12878.5938719198</v>
      </c>
      <c r="C18" s="11">
        <f t="shared" si="0"/>
        <v>1.9881504903815104E-2</v>
      </c>
      <c r="E18" s="116">
        <v>7</v>
      </c>
      <c r="F18" s="206" t="n">
        <v>21773.0</v>
      </c>
      <c r="G18" s="11">
        <f t="shared" si="1"/>
        <v>3.0734754738970967E-2</v>
      </c>
    </row>
    <row r="19" spans="1:7" x14ac:dyDescent="0.45">
      <c r="A19">
        <v>8</v>
      </c>
      <c r="B19" s="8" t="n">
        <v>6601.8343167874</v>
      </c>
      <c r="C19" s="11">
        <f t="shared" si="0"/>
        <v>1.0191671749939075E-2</v>
      </c>
      <c r="E19" s="117">
        <v>8</v>
      </c>
      <c r="F19" s="207" t="n">
        <v>19532.0</v>
      </c>
      <c r="G19" s="11">
        <f t="shared" si="1"/>
        <v>2.8131034403957998E-2</v>
      </c>
    </row>
    <row r="20" spans="1:7" x14ac:dyDescent="0.45">
      <c r="A20">
        <v>9</v>
      </c>
      <c r="B20" s="8" t="n">
        <v>13591.1873498755</v>
      </c>
      <c r="C20" s="11">
        <f t="shared" si="0"/>
        <v>2.0981580802418697E-2</v>
      </c>
      <c r="E20" s="118">
        <v>9</v>
      </c>
      <c r="F20" s="208" t="n">
        <v>17928.0</v>
      </c>
      <c r="G20" s="11">
        <f t="shared" si="1"/>
        <v>2.5014568265176704E-2</v>
      </c>
    </row>
    <row r="21" spans="1:7" x14ac:dyDescent="0.45">
      <c r="A21">
        <v>10</v>
      </c>
      <c r="B21" s="8" t="n">
        <v>6709.0241913616</v>
      </c>
      <c r="C21" s="11">
        <f t="shared" si="0"/>
        <v>1.0357147580466885E-2</v>
      </c>
      <c r="E21" s="119">
        <v>10</v>
      </c>
      <c r="F21" s="209" t="n">
        <v>15697.0</v>
      </c>
      <c r="G21" s="11">
        <f t="shared" si="1"/>
        <v>2.2330865297821044E-2</v>
      </c>
    </row>
    <row r="22" spans="1:7" x14ac:dyDescent="0.45">
      <c r="A22">
        <v>11</v>
      </c>
      <c r="B22" s="8" t="n">
        <v>13501.3204330015</v>
      </c>
      <c r="C22" s="11">
        <f t="shared" si="0"/>
        <v>2.0842847524058485E-2</v>
      </c>
      <c r="E22" s="120">
        <v>11</v>
      </c>
      <c r="F22" s="210" t="n">
        <v>13557.0</v>
      </c>
      <c r="G22" s="11">
        <f t="shared" si="1"/>
        <v>1.9234394817125425E-2</v>
      </c>
    </row>
    <row r="23" spans="1:7" x14ac:dyDescent="0.45">
      <c r="A23">
        <v>12</v>
      </c>
      <c r="B23" s="8" t="n">
        <v>19825.251585863</v>
      </c>
      <c r="C23" s="11">
        <f t="shared" si="0"/>
        <v>3.060550247516633E-2</v>
      </c>
      <c r="E23" s="121">
        <v>12</v>
      </c>
      <c r="F23" s="211" t="n">
        <v>12521.0</v>
      </c>
      <c r="G23" s="11">
        <f t="shared" si="1"/>
        <v>1.7571898673430911E-2</v>
      </c>
    </row>
    <row r="24" spans="1:7" x14ac:dyDescent="0.45">
      <c r="A24">
        <v>13</v>
      </c>
      <c r="B24" s="8" t="n">
        <v>9266.783585143201</v>
      </c>
      <c r="C24" s="11">
        <f t="shared" si="0"/>
        <v>1.4305723522528763E-2</v>
      </c>
      <c r="E24" s="122">
        <v>13</v>
      </c>
      <c r="F24" s="212" t="n">
        <v>10524.0</v>
      </c>
      <c r="G24" s="11">
        <f t="shared" si="1"/>
        <v>1.4689667386510358E-2</v>
      </c>
    </row>
    <row r="25" spans="1:7" x14ac:dyDescent="0.45">
      <c r="A25">
        <v>14</v>
      </c>
      <c r="B25" s="8" t="n">
        <v>12275.5732279132</v>
      </c>
      <c r="C25" s="11">
        <f t="shared" si="0"/>
        <v>1.8950583561768639E-2</v>
      </c>
      <c r="E25" s="123">
        <v>14</v>
      </c>
      <c r="F25" s="213" t="n">
        <v>10037.0</v>
      </c>
      <c r="G25" s="11">
        <f t="shared" si="1"/>
        <v>1.4339743370011083E-2</v>
      </c>
    </row>
    <row r="26" spans="1:7" x14ac:dyDescent="0.45">
      <c r="A26">
        <v>15</v>
      </c>
      <c r="B26" s="8" t="n">
        <v>1534.9153554067</v>
      </c>
      <c r="C26" s="11">
        <f t="shared" si="0"/>
        <v>2.3695465101975727E-3</v>
      </c>
      <c r="E26" s="124">
        <v>15</v>
      </c>
      <c r="F26" s="214" t="n">
        <v>8892.0</v>
      </c>
      <c r="G26" s="11">
        <f t="shared" si="1"/>
        <v>1.251728196163119E-2</v>
      </c>
    </row>
    <row r="27" spans="1:7" x14ac:dyDescent="0.45">
      <c r="A27">
        <v>16</v>
      </c>
      <c r="B27" s="8" t="n">
        <v>36476.5443891382</v>
      </c>
      <c r="C27" s="11">
        <f t="shared" si="0"/>
        <v>5.6311162799233011E-2</v>
      </c>
      <c r="E27" s="125">
        <v>16</v>
      </c>
      <c r="F27" s="215" t="n">
        <v>8459.0</v>
      </c>
      <c r="G27" s="11">
        <f t="shared" si="1"/>
        <v>1.1883133948056993E-2</v>
      </c>
    </row>
    <row r="28" spans="1:7" x14ac:dyDescent="0.45">
      <c r="A28">
        <v>17</v>
      </c>
      <c r="B28" s="8" t="n">
        <v>17636.713957282</v>
      </c>
      <c r="C28" s="11">
        <f t="shared" si="0"/>
        <v>2.722691766788482E-2</v>
      </c>
      <c r="E28" s="126">
        <v>17</v>
      </c>
      <c r="F28" s="216" t="n">
        <v>7308.0</v>
      </c>
      <c r="G28" s="11">
        <f t="shared" si="1"/>
        <v>1.0823364069516334E-2</v>
      </c>
    </row>
    <row r="29" spans="1:7" x14ac:dyDescent="0.45">
      <c r="A29">
        <v>18</v>
      </c>
      <c r="B29" s="8" t="n">
        <v>50573.8350385529</v>
      </c>
      <c r="C29" s="11">
        <f t="shared" si="0"/>
        <v>7.8074047471600169E-2</v>
      </c>
      <c r="E29" s="127">
        <v>18</v>
      </c>
      <c r="F29" s="217" t="n">
        <v>91076.0</v>
      </c>
      <c r="G29" s="11">
        <f t="shared" si="1"/>
        <v>0.13000034278271003</v>
      </c>
    </row>
    <row r="30" spans="1:7" x14ac:dyDescent="0.45">
      <c r="A30">
        <v>19</v>
      </c>
      <c r="B30" s="8" t="n">
        <v>21628.9416653866</v>
      </c>
      <c r="C30" s="11">
        <f t="shared" si="0"/>
        <v>3.3389973630763493E-2</v>
      </c>
      <c r="E30" s="128">
        <v>19</v>
      </c>
      <c r="F30" s="218" t="n">
        <v>26088.0</v>
      </c>
      <c r="G30" s="11">
        <f t="shared" si="1"/>
        <v>3.7436156720255027E-2</v>
      </c>
    </row>
    <row r="31" spans="1:7" x14ac:dyDescent="0.45">
      <c r="A31">
        <v>20</v>
      </c>
      <c r="B31" s="8" t="n">
        <v>44280.4145247083</v>
      </c>
      <c r="C31" s="11">
        <f t="shared" si="0"/>
        <v>6.8358493735521372E-2</v>
      </c>
      <c r="E31" s="129">
        <v>20</v>
      </c>
      <c r="F31" s="219" t="n">
        <v>27895.0</v>
      </c>
      <c r="G31" s="11">
        <f t="shared" si="1"/>
        <v>3.8353100469612315E-2</v>
      </c>
    </row>
    <row r="32" spans="1:7" x14ac:dyDescent="0.45">
      <c r="A32">
        <v>21</v>
      </c>
      <c r="B32" s="8" t="n">
        <v>39767.9164662281</v>
      </c>
      <c r="C32" s="11">
        <f t="shared" si="0"/>
        <v>6.1392263324781933E-2</v>
      </c>
      <c r="E32" s="130">
        <v>21</v>
      </c>
      <c r="F32" s="220" t="n">
        <v>28164.0</v>
      </c>
      <c r="G32" s="11">
        <f t="shared" si="1"/>
        <v>4.0671168546258525E-2</v>
      </c>
    </row>
    <row r="33" spans="1:7" x14ac:dyDescent="0.45">
      <c r="A33">
        <v>22</v>
      </c>
      <c r="B33" s="8" t="n">
        <v>35963.611184434</v>
      </c>
      <c r="C33" s="11">
        <f t="shared" si="0"/>
        <v>5.5519315170052666E-2</v>
      </c>
      <c r="E33" s="131">
        <v>22</v>
      </c>
      <c r="F33" s="221" t="n">
        <v>28442.0</v>
      </c>
      <c r="G33" s="11">
        <f t="shared" si="1"/>
        <v>4.0694020726927869E-2</v>
      </c>
    </row>
    <row r="34" spans="1:7" x14ac:dyDescent="0.45">
      <c r="A34">
        <v>23</v>
      </c>
      <c r="B34" s="8" t="n">
        <v>20849.1719522749</v>
      </c>
      <c r="C34" s="11">
        <f t="shared" si="0"/>
        <v>3.2186193503114691E-2</v>
      </c>
      <c r="E34" s="132">
        <v>23</v>
      </c>
      <c r="F34" s="222" t="n">
        <v>18521.0</v>
      </c>
      <c r="G34" s="11">
        <f t="shared" si="1"/>
        <v>2.7716838629326203E-2</v>
      </c>
    </row>
    <row r="35" spans="1:7" x14ac:dyDescent="0.45">
      <c r="A35">
        <v>24</v>
      </c>
      <c r="B35" s="8" t="n">
        <v>24106.870151671</v>
      </c>
      <c r="C35" s="11">
        <f t="shared" si="0"/>
        <v>3.7215309520792814E-2</v>
      </c>
      <c r="E35" s="133">
        <v>24</v>
      </c>
      <c r="F35" s="223" t="n">
        <v>19227.0</v>
      </c>
      <c r="G35" s="11">
        <f t="shared" si="1"/>
        <v>2.2040928255578789E-2</v>
      </c>
    </row>
    <row r="36" spans="1:7" x14ac:dyDescent="0.45">
      <c r="A36">
        <v>25</v>
      </c>
      <c r="B36" s="8" t="n">
        <v>17873.8082586151</v>
      </c>
      <c r="C36" s="11">
        <f t="shared" si="0"/>
        <v>2.7592935228613905E-2</v>
      </c>
      <c r="E36" s="134">
        <v>25</v>
      </c>
      <c r="F36" s="224" t="n">
        <v>13360.0</v>
      </c>
      <c r="G36" s="11">
        <f t="shared" si="1"/>
        <v>2.3497754773249238E-2</v>
      </c>
    </row>
    <row r="37" spans="1:7" x14ac:dyDescent="0.45">
      <c r="A37">
        <v>26</v>
      </c>
      <c r="B37" s="8" t="n">
        <v>31361.0697096279</v>
      </c>
      <c r="C37" s="11">
        <f t="shared" si="0"/>
        <v>4.8414079007517381E-2</v>
      </c>
      <c r="E37" s="135">
        <v>26</v>
      </c>
      <c r="F37" s="225" t="n">
        <v>10506.0</v>
      </c>
      <c r="G37" s="11">
        <f t="shared" si="1"/>
        <v>1.3259977833384751E-2</v>
      </c>
    </row>
    <row r="38" spans="1:7" x14ac:dyDescent="0.45">
      <c r="A38">
        <v>27</v>
      </c>
      <c r="B38" s="8" t="n">
        <v>7141.4740373969</v>
      </c>
      <c r="C38" s="11">
        <f t="shared" si="0"/>
        <v>1.1024747927221452E-2</v>
      </c>
      <c r="E38" s="136">
        <v>27</v>
      </c>
      <c r="F38" s="226" t="n">
        <v>7305.0</v>
      </c>
      <c r="G38" s="11">
        <f t="shared" si="1"/>
        <v>1.2145934025754408E-2</v>
      </c>
    </row>
    <row r="39" spans="1:7" x14ac:dyDescent="0.45">
      <c r="A39">
        <v>28</v>
      </c>
      <c r="B39" s="8" t="n">
        <v>11669.0787857126</v>
      </c>
      <c r="C39" s="11">
        <f t="shared" si="0"/>
        <v>1.8014299496391061E-2</v>
      </c>
      <c r="E39" s="137">
        <v>28</v>
      </c>
      <c r="F39" s="227" t="n">
        <v>8582.0</v>
      </c>
      <c r="G39" s="11">
        <f t="shared" si="1"/>
        <v>1.1121870679509592E-2</v>
      </c>
    </row>
    <row r="40" spans="1:7" x14ac:dyDescent="0.45">
      <c r="A40">
        <v>29</v>
      </c>
      <c r="B40" s="8" t="n">
        <v>22597.847322537</v>
      </c>
      <c r="C40" s="11">
        <f t="shared" si="0"/>
        <v>3.4885734951102296E-2</v>
      </c>
      <c r="E40" s="138">
        <v>29</v>
      </c>
      <c r="F40" s="228" t="n">
        <v>11982.0</v>
      </c>
      <c r="G40" s="11">
        <f t="shared" si="1"/>
        <v>1.1944549183605846E-2</v>
      </c>
    </row>
    <row r="41" spans="1:7" x14ac:dyDescent="0.45">
      <c r="A41">
        <v>30</v>
      </c>
      <c r="B41" s="8" t="n">
        <v>8001.9242200252</v>
      </c>
      <c r="C41" s="11">
        <f t="shared" si="0"/>
        <v>1.2353079629854996E-2</v>
      </c>
      <c r="E41" s="139">
        <v>30</v>
      </c>
      <c r="F41" s="229" t="n">
        <v>11050.0</v>
      </c>
      <c r="G41" s="11">
        <f t="shared" si="1"/>
        <v>2.1009723602874803E-2</v>
      </c>
    </row>
    <row r="42" spans="1:7" x14ac:dyDescent="0.45">
      <c r="A42">
        <v>31</v>
      </c>
      <c r="B42" s="8" t="n">
        <v>5141.7663219134</v>
      </c>
      <c r="C42" s="11">
        <f t="shared" si="0"/>
        <v>7.9376718731913754E-3</v>
      </c>
      <c r="E42" s="140">
        <v>31</v>
      </c>
      <c r="F42" s="230" t="n">
        <v>6992.0</v>
      </c>
      <c r="G42" s="11">
        <f t="shared" si="1"/>
        <v>1.0754807527508313E-2</v>
      </c>
    </row>
    <row r="43" spans="1:7" x14ac:dyDescent="0.45">
      <c r="A43">
        <v>32</v>
      </c>
      <c r="B43" s="8" t="n">
        <v>5295.2539796039</v>
      </c>
      <c r="C43" s="11">
        <f t="shared" si="0"/>
        <v>8.1746205377270544E-3</v>
      </c>
      <c r="E43" s="141">
        <v>32</v>
      </c>
      <c r="F43" s="231" t="n">
        <v>8238.0</v>
      </c>
      <c r="G43" s="11">
        <f t="shared" si="1"/>
        <v>1.0623407488659605E-2</v>
      </c>
    </row>
    <row r="44" spans="1:7" x14ac:dyDescent="0.45">
      <c r="A44">
        <v>33</v>
      </c>
      <c r="B44" s="8" t="n">
        <v>7708.5946500699</v>
      </c>
      <c r="C44" s="11">
        <f t="shared" si="0"/>
        <v>1.1900248106359573E-2</v>
      </c>
      <c r="E44" s="142">
        <v>33</v>
      </c>
      <c r="F44" s="232" t="n">
        <v>9819.0</v>
      </c>
      <c r="G44" s="11">
        <f t="shared" si="1"/>
        <v>1.4829636993110068E-2</v>
      </c>
    </row>
    <row r="45" spans="1:7" x14ac:dyDescent="0.45">
      <c r="A45">
        <v>34</v>
      </c>
      <c r="B45" s="8" t="n">
        <v>9295.233746452699</v>
      </c>
      <c r="C45" s="11">
        <f t="shared" si="0"/>
        <v>1.4349643847000087E-2</v>
      </c>
      <c r="E45" s="143">
        <v>34</v>
      </c>
      <c r="F45" s="233" t="n">
        <v>5273.0</v>
      </c>
      <c r="G45" s="11">
        <f t="shared" si="1"/>
        <v>8.4238850992355944E-3</v>
      </c>
    </row>
    <row r="46" spans="1:7" x14ac:dyDescent="0.45">
      <c r="A46">
        <v>35</v>
      </c>
      <c r="B46" s="8" t="n">
        <v>1913.506840464</v>
      </c>
      <c r="C46" s="11">
        <f t="shared" si="0"/>
        <v>2.954002277773332E-3</v>
      </c>
      <c r="E46" s="144">
        <v>35</v>
      </c>
      <c r="F46" s="234" t="n">
        <v>4582.0</v>
      </c>
      <c r="G46" s="11">
        <f t="shared" si="1"/>
        <v>6.0201213450793538E-3</v>
      </c>
    </row>
    <row r="47" spans="1:7" x14ac:dyDescent="0.45">
      <c r="A47">
        <v>36</v>
      </c>
      <c r="B47" s="8" t="n">
        <v>1505.593957757</v>
      </c>
      <c r="C47" s="11">
        <f t="shared" si="0"/>
        <v>2.3242812027457799E-3</v>
      </c>
      <c r="E47" s="145">
        <v>36</v>
      </c>
      <c r="F47" s="235" t="n">
        <v>4559.0</v>
      </c>
      <c r="G47" s="11">
        <f t="shared" si="1"/>
        <v>6.214364880768747E-3</v>
      </c>
    </row>
    <row r="48" spans="1:7" x14ac:dyDescent="0.45">
      <c r="A48">
        <v>37</v>
      </c>
      <c r="B48" s="8" t="n">
        <v>8806.2590100408</v>
      </c>
      <c r="C48" s="11">
        <f t="shared" si="0"/>
        <v>1.359478242994651E-2</v>
      </c>
      <c r="E48" s="146">
        <v>37</v>
      </c>
      <c r="F48" s="236" t="n">
        <v>4502.0</v>
      </c>
      <c r="G48" s="11">
        <f t="shared" si="1"/>
        <v>6.2372170614380879E-3</v>
      </c>
    </row>
    <row r="49" spans="1:7" x14ac:dyDescent="0.45">
      <c r="A49">
        <v>38</v>
      </c>
      <c r="B49" s="8" t="n">
        <v>6890.9801801649</v>
      </c>
      <c r="C49" s="11">
        <f t="shared" si="0"/>
        <v>1.06380446193555E-2</v>
      </c>
      <c r="E49" s="147">
        <v>38</v>
      </c>
      <c r="F49" s="237" t="n">
        <v>3493.0</v>
      </c>
      <c r="G49" s="11">
        <f t="shared" si="1"/>
        <v>9.4093853906008981E-3</v>
      </c>
    </row>
    <row r="50" spans="1:7" x14ac:dyDescent="0.45">
      <c r="A50">
        <v>39</v>
      </c>
      <c r="B50" s="8" t="n">
        <v>2315.29114893</v>
      </c>
      <c r="C50" s="11">
        <f t="shared" si="0"/>
        <v>3.5742622827463718E-3</v>
      </c>
      <c r="E50" s="148">
        <v>39</v>
      </c>
      <c r="F50" s="238" t="n">
        <v>7701.0</v>
      </c>
      <c r="G50" s="11">
        <f t="shared" si="1"/>
        <v>4.9117905826163459E-3</v>
      </c>
    </row>
    <row r="51" spans="1:7" x14ac:dyDescent="0.45">
      <c r="A51">
        <v>40</v>
      </c>
      <c r="B51" s="8" t="n">
        <v>1550.0612718621</v>
      </c>
      <c r="C51" s="11">
        <f t="shared" si="0"/>
        <v>2.3929282252571162E-3</v>
      </c>
      <c r="E51" s="149">
        <v>40</v>
      </c>
      <c r="F51" s="239" t="n">
        <v>3018.0</v>
      </c>
      <c r="G51" s="11">
        <f t="shared" si="1"/>
        <v>5.2517167700727842E-3</v>
      </c>
    </row>
    <row r="52" spans="1:7" x14ac:dyDescent="0.45">
      <c r="A52">
        <v>41</v>
      </c>
      <c r="B52" s="8" t="n">
        <v>1997.928509444</v>
      </c>
      <c r="C52" s="11">
        <f t="shared" si="0"/>
        <v>3.0843293804451331E-3</v>
      </c>
      <c r="E52" s="150">
        <v>41</v>
      </c>
      <c r="F52" s="240" t="n">
        <v>3625.0</v>
      </c>
      <c r="G52" s="11">
        <f t="shared" si="1"/>
        <v>5.8630126029776391E-3</v>
      </c>
    </row>
    <row r="53" spans="1:7" x14ac:dyDescent="0.45">
      <c r="A53">
        <v>42</v>
      </c>
      <c r="B53" s="8" t="n">
        <v>691.907580159</v>
      </c>
      <c r="C53" s="11">
        <f t="shared" si="0"/>
        <v>1.0681417618045735E-3</v>
      </c>
      <c r="E53" s="151">
        <v>42</v>
      </c>
      <c r="F53" s="241" t="n">
        <v>2553.0</v>
      </c>
      <c r="G53" s="11">
        <f t="shared" si="1"/>
        <v>3.8834424524960293E-3</v>
      </c>
    </row>
    <row r="54" spans="1:7" x14ac:dyDescent="0.45">
      <c r="A54">
        <v>43</v>
      </c>
      <c r="B54" s="8" t="n">
        <v>728.5422207096</v>
      </c>
      <c r="C54" s="11">
        <f t="shared" si="0"/>
        <v>1.1246969877088814E-3</v>
      </c>
      <c r="E54" s="152">
        <v>43</v>
      </c>
      <c r="F54" s="242" t="n">
        <v>3272.0</v>
      </c>
      <c r="G54" s="11">
        <f t="shared" si="1"/>
        <v>4.1033946914384306E-3</v>
      </c>
    </row>
    <row r="55" spans="1:7" x14ac:dyDescent="0.45">
      <c r="A55">
        <v>44</v>
      </c>
      <c r="B55" s="8" t="n">
        <v>1833.598052242</v>
      </c>
      <c r="C55" s="11">
        <f t="shared" si="0"/>
        <v>2.8306419963098719E-3</v>
      </c>
      <c r="E55" s="153">
        <v>44</v>
      </c>
      <c r="F55" s="243" t="n">
        <v>1747.0</v>
      </c>
      <c r="G55" s="11">
        <f t="shared" si="1"/>
        <v>4.5147339434865571E-3</v>
      </c>
    </row>
    <row r="56" spans="1:7" x14ac:dyDescent="0.45">
      <c r="A56">
        <v>45</v>
      </c>
      <c r="B56" s="8" t="n">
        <v>36013.058642884</v>
      </c>
      <c r="C56" s="11">
        <f t="shared" si="0"/>
        <v>5.5595650358306291E-2</v>
      </c>
      <c r="E56" s="154">
        <v>45</v>
      </c>
      <c r="F56" s="244" t="n">
        <v>1948.0</v>
      </c>
      <c r="G56" s="11">
        <f t="shared" si="1"/>
        <v>3.2907140163850137E-3</v>
      </c>
    </row>
    <row r="57" spans="1:7" x14ac:dyDescent="0.45">
      <c r="A57">
        <v>46</v>
      </c>
      <c r="B57" s="8" t="n">
        <v>350.8827418362</v>
      </c>
      <c r="C57" s="11">
        <f t="shared" si="0"/>
        <v>5.4168001738846524E-4</v>
      </c>
      <c r="E57" s="155">
        <v>46</v>
      </c>
      <c r="F57" s="245" t="n">
        <v>1876.0</v>
      </c>
      <c r="G57" s="11">
        <f t="shared" si="1"/>
        <v>3.5178075617865834E-3</v>
      </c>
    </row>
    <row r="58" spans="1:7" x14ac:dyDescent="0.45">
      <c r="A58">
        <v>47</v>
      </c>
      <c r="B58" s="8" t="n">
        <v>514.0966729920001</v>
      </c>
      <c r="C58" s="11">
        <f t="shared" si="0"/>
        <v>7.9364374921482345E-4</v>
      </c>
      <c r="E58" s="156">
        <v>47</v>
      </c>
      <c r="F58" s="246" t="n">
        <v>2634.0</v>
      </c>
      <c r="G58" s="11">
        <f t="shared" si="1"/>
        <v>3.3964053519807127E-3</v>
      </c>
    </row>
    <row r="59" spans="1:7" x14ac:dyDescent="0.45">
      <c r="A59">
        <v>48</v>
      </c>
      <c r="B59" s="8" t="n">
        <v>2118.7496220499997</v>
      </c>
      <c r="C59" s="11">
        <f t="shared" si="0"/>
        <v>3.2708486205617177E-3</v>
      </c>
      <c r="E59" s="157">
        <v>48</v>
      </c>
      <c r="F59" s="247" t="n">
        <v>1791.0</v>
      </c>
      <c r="G59" s="11">
        <f t="shared" si="1"/>
        <v>2.4237594122419131E-3</v>
      </c>
    </row>
    <row r="60" spans="1:7" x14ac:dyDescent="0.45">
      <c r="A60">
        <v>49</v>
      </c>
      <c r="B60" s="8" t="n">
        <v>230.26359417499998</v>
      </c>
      <c r="C60" s="11">
        <f t="shared" si="0"/>
        <v>3.5547256340943354E-4</v>
      </c>
      <c r="E60" s="158">
        <v>49</v>
      </c>
      <c r="F60" s="248" t="n">
        <v>2088.0</v>
      </c>
      <c r="G60" s="11">
        <f t="shared" si="1"/>
        <v>3.0593356871079424E-3</v>
      </c>
    </row>
    <row r="61" spans="1:7" x14ac:dyDescent="0.45">
      <c r="A61">
        <v>50</v>
      </c>
      <c r="B61" s="8" t="n">
        <v>324.775829405</v>
      </c>
      <c r="C61" s="11">
        <f t="shared" si="0"/>
        <v>5.0137711532583504E-4</v>
      </c>
      <c r="E61" s="159">
        <v>50</v>
      </c>
      <c r="F61" s="249" t="n">
        <v>2069.0</v>
      </c>
      <c r="G61" s="11">
        <f t="shared" si="1"/>
        <v>2.0852614860773088E-3</v>
      </c>
    </row>
    <row r="62" spans="1:7" x14ac:dyDescent="0.45">
      <c r="A62">
        <v>51</v>
      </c>
      <c r="B62" s="8" t="n">
        <v>195.252872306</v>
      </c>
      <c r="C62" s="11">
        <f t="shared" si="0"/>
        <v>3.0142428411379424E-4</v>
      </c>
      <c r="E62" s="160">
        <v>51</v>
      </c>
      <c r="F62" s="250" t="n">
        <v>1106.0</v>
      </c>
      <c r="G62" s="11">
        <f t="shared" si="1"/>
        <v>1.5225265370948022E-3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161">
        <v>52</v>
      </c>
      <c r="F63" s="251" t="n">
        <v>1833.0</v>
      </c>
      <c r="G63" s="11">
        <f t="shared" si="1"/>
        <v>1.9752853666061086E-3</v>
      </c>
    </row>
    <row r="64" spans="1:7" x14ac:dyDescent="0.45">
      <c r="A64">
        <v>53</v>
      </c>
      <c r="B64" s="8" t="n">
        <v>641.7401844716001</v>
      </c>
      <c r="C64" s="11">
        <f t="shared" si="0"/>
        <v>9.9069516062357107E-4</v>
      </c>
      <c r="E64" s="162">
        <v>53</v>
      </c>
      <c r="F64" s="252" t="n">
        <v>997.0</v>
      </c>
      <c r="G64" s="11">
        <f t="shared" si="1"/>
        <v>1.3911264982460951E-3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163">
        <v>54</v>
      </c>
      <c r="F65" s="253" t="n">
        <v>964.0</v>
      </c>
      <c r="G65" s="11">
        <f t="shared" si="1"/>
        <v>1.6767787566128497E-3</v>
      </c>
    </row>
    <row r="66" spans="1:7" x14ac:dyDescent="0.45">
      <c r="A66">
        <v>55</v>
      </c>
      <c r="B66" s="8" t="n">
        <v>746.214690547</v>
      </c>
      <c r="C66" s="11">
        <f t="shared" si="0"/>
        <v>1.1519791040042698E-3</v>
      </c>
      <c r="E66" s="164">
        <v>55</v>
      </c>
      <c r="F66" s="254" t="n">
        <v>740.0</v>
      </c>
      <c r="G66" s="11">
        <f t="shared" si="1"/>
        <v>1.4196917240827706E-3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650.0</v>
      </c>
      <c r="G67" s="11">
        <f t="shared" si="1"/>
        <v>1.6210765662313326E-3</v>
      </c>
    </row>
    <row r="68" spans="1:7" x14ac:dyDescent="0.45">
      <c r="A68">
        <v>57</v>
      </c>
      <c r="B68" s="8" t="n">
        <v>1335.01152099</v>
      </c>
      <c r="C68" s="11">
        <f t="shared" si="0"/>
        <v>2.0609422399043126E-3</v>
      </c>
      <c r="E68" s="166">
        <v>57</v>
      </c>
      <c r="F68" s="256" t="n">
        <v>709.0</v>
      </c>
      <c r="G68" s="11">
        <f t="shared" si="1"/>
        <v>1.0097807333264777E-3</v>
      </c>
    </row>
    <row r="69" spans="1:7" x14ac:dyDescent="0.45">
      <c r="A69">
        <v>58</v>
      </c>
      <c r="B69" s="8" t="n">
        <v>91.6389155216</v>
      </c>
      <c r="C69" s="11">
        <f t="shared" si="0"/>
        <v>1.4146882543562936E-4</v>
      </c>
      <c r="E69" s="167">
        <v>58</v>
      </c>
      <c r="F69" s="257" t="n">
        <v>858.0</v>
      </c>
      <c r="G69" s="11">
        <f t="shared" si="1"/>
        <v>6.9413498783121375E-4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545.0</v>
      </c>
      <c r="G70" s="11">
        <f t="shared" si="1"/>
        <v>8.5695677510026389E-4</v>
      </c>
    </row>
    <row r="71" spans="1:7" x14ac:dyDescent="0.45">
      <c r="A71">
        <v>60</v>
      </c>
      <c r="B71" s="8" t="n">
        <v>974.321633473</v>
      </c>
      <c r="C71" s="11">
        <f t="shared" si="0"/>
        <v>1.5041223076397066E-3</v>
      </c>
      <c r="E71" s="169">
        <v>60</v>
      </c>
      <c r="F71" s="259" t="n">
        <v>678.0</v>
      </c>
      <c r="G71" s="11">
        <f t="shared" si="1"/>
        <v>7.4555239433722967E-4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476.0</v>
      </c>
      <c r="G72" s="11">
        <f t="shared" si="1"/>
        <v>5.0988928118465707E-4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348.0</v>
      </c>
      <c r="G73" s="11">
        <f t="shared" si="1"/>
        <v>6.1272409419668868E-4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330.0</v>
      </c>
      <c r="G74" s="11">
        <f t="shared" si="1"/>
        <v>4.9417840697448554E-4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415.0</v>
      </c>
      <c r="G75" s="11">
        <f t="shared" si="1"/>
        <v>4.9560666826631934E-4</v>
      </c>
    </row>
    <row r="76" spans="1:7" x14ac:dyDescent="0.45">
      <c r="A76">
        <v>65</v>
      </c>
      <c r="B76" s="8" t="n">
        <v>292.681617382</v>
      </c>
      <c r="C76" s="11">
        <f t="shared" si="0"/>
        <v>4.5183123787483358E-4</v>
      </c>
      <c r="E76" s="174">
        <v>65</v>
      </c>
      <c r="F76" s="264" t="n">
        <v>245.0</v>
      </c>
      <c r="G76" s="11">
        <f t="shared" si="1"/>
        <v>4.313349101337995E-4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175">
        <v>66</v>
      </c>
      <c r="F77" s="265" t="n">
        <v>226.0</v>
      </c>
      <c r="G77" s="11">
        <f t="shared" ref="G77:G102" si="3">F77/F$102</f>
        <v>3.7706098104411614E-4</v>
      </c>
    </row>
    <row r="78" spans="1:7" x14ac:dyDescent="0.45">
      <c r="A78">
        <v>67</v>
      </c>
      <c r="B78" s="8" t="n">
        <v>498.635433791</v>
      </c>
      <c r="C78" s="11">
        <f t="shared" si="2"/>
        <v>7.6977525036698159E-4</v>
      </c>
      <c r="E78" s="176">
        <v>67</v>
      </c>
      <c r="F78" s="266" t="n">
        <v>240.0</v>
      </c>
      <c r="G78" s="11">
        <f t="shared" si="3"/>
        <v>3.3135661970543539E-4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179.0</v>
      </c>
      <c r="G79" s="11">
        <f t="shared" si="3"/>
        <v>3.7706098104411614E-4</v>
      </c>
    </row>
    <row r="80" spans="1:7" x14ac:dyDescent="0.45">
      <c r="A80">
        <v>69</v>
      </c>
      <c r="B80" s="8" t="n">
        <v>387.674382174</v>
      </c>
      <c r="C80" s="11">
        <f t="shared" si="2"/>
        <v>5.9847761385513083E-4</v>
      </c>
      <c r="E80" s="178">
        <v>69</v>
      </c>
      <c r="F80" s="268" t="n">
        <v>158.0</v>
      </c>
      <c r="G80" s="11">
        <f t="shared" si="3"/>
        <v>2.5851529382191294E-4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117.0</v>
      </c>
      <c r="G81" s="11">
        <f t="shared" si="3"/>
        <v>2.1852397765056731E-4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130.0</v>
      </c>
      <c r="G82" s="11">
        <f t="shared" si="3"/>
        <v>1.9995658085672824E-4</v>
      </c>
    </row>
    <row r="83" spans="1:7" x14ac:dyDescent="0.45">
      <c r="A83">
        <v>72</v>
      </c>
      <c r="B83" s="8" t="n">
        <v>5062.342946146</v>
      </c>
      <c r="C83" s="11">
        <f t="shared" si="2"/>
        <v>7.8150609538238467E-3</v>
      </c>
      <c r="E83" s="181">
        <v>72</v>
      </c>
      <c r="F83" s="271" t="n">
        <v>141.0</v>
      </c>
      <c r="G83" s="11">
        <f t="shared" si="3"/>
        <v>1.9138701310572563E-4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95.0</v>
      </c>
      <c r="G84" s="11">
        <f t="shared" si="3"/>
        <v>1.5996526468538261E-4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118.0</v>
      </c>
      <c r="G85" s="11">
        <f t="shared" si="3"/>
        <v>1.4282612918337732E-4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184">
        <v>75</v>
      </c>
      <c r="F86" s="274" t="n">
        <v>107.0</v>
      </c>
      <c r="G86" s="11">
        <f t="shared" si="3"/>
        <v>9.5693506552862814E-5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72.0</v>
      </c>
      <c r="G87" s="11">
        <f t="shared" si="3"/>
        <v>1.1568916463853563E-4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150.0</v>
      </c>
      <c r="G88" s="11">
        <f t="shared" si="3"/>
        <v>8.5695677510026392E-5</v>
      </c>
    </row>
    <row r="89" spans="1:7" x14ac:dyDescent="0.45">
      <c r="A89">
        <v>78</v>
      </c>
      <c r="B89" s="8" t="n">
        <v>256.371317496</v>
      </c>
      <c r="C89" s="11">
        <f t="shared" si="2"/>
        <v>3.9577671729425001E-4</v>
      </c>
      <c r="E89" s="187">
        <v>78</v>
      </c>
      <c r="F89" s="277" t="n">
        <v>76.0</v>
      </c>
      <c r="G89" s="11">
        <f t="shared" si="3"/>
        <v>8.8552200093693935E-5</v>
      </c>
    </row>
    <row r="90" spans="1:7" x14ac:dyDescent="0.45">
      <c r="A90">
        <v>79</v>
      </c>
      <c r="B90" s="8" t="n">
        <v>256.371317496</v>
      </c>
      <c r="C90" s="11">
        <f t="shared" si="2"/>
        <v>3.9577671729425001E-4</v>
      </c>
      <c r="E90" s="188">
        <v>79</v>
      </c>
      <c r="F90" s="278" t="n">
        <v>42.0</v>
      </c>
      <c r="G90" s="11">
        <f t="shared" si="3"/>
        <v>6.5700019424353562E-5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46.0</v>
      </c>
      <c r="G91" s="11">
        <f t="shared" si="3"/>
        <v>5.7130451673350932E-5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56.0</v>
      </c>
      <c r="G92" s="11">
        <f t="shared" si="3"/>
        <v>4.4276100046846968E-5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35.0</v>
      </c>
      <c r="G93" s="11">
        <f t="shared" si="3"/>
        <v>4.4276100046846968E-5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32.0</v>
      </c>
      <c r="G94" s="11">
        <f t="shared" si="3"/>
        <v>8.141089363452507E-5</v>
      </c>
    </row>
    <row r="95" spans="1:7" x14ac:dyDescent="0.45">
      <c r="A95">
        <v>84</v>
      </c>
      <c r="B95" s="8" t="n">
        <v>1132.619328192</v>
      </c>
      <c r="C95" s="11">
        <f t="shared" si="2"/>
        <v>1.7484965324283692E-3</v>
      </c>
      <c r="E95" s="193">
        <v>84</v>
      </c>
      <c r="F95" s="283" t="n">
        <v>28.0</v>
      </c>
      <c r="G95" s="11">
        <f t="shared" si="3"/>
        <v>5.5702190381517154E-5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22.0</v>
      </c>
      <c r="G96" s="11">
        <f t="shared" si="3"/>
        <v>2.8565225836675466E-5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24.0</v>
      </c>
      <c r="G97" s="11">
        <f t="shared" si="3"/>
        <v>3.2850009712176781E-5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23.0</v>
      </c>
      <c r="G98" s="11">
        <f t="shared" si="3"/>
        <v>1.8567396793839051E-5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18.0</v>
      </c>
      <c r="G99" s="11">
        <f t="shared" si="3"/>
        <v>5.4273929089683382E-5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20.0</v>
      </c>
      <c r="G100" s="11">
        <f t="shared" si="3"/>
        <v>2.4280441961174145E-5</v>
      </c>
    </row>
    <row r="101" spans="1:7" ht="14.65" thickBot="1" x14ac:dyDescent="0.5">
      <c r="A101" s="1">
        <v>90</v>
      </c>
      <c r="B101" s="9" t="n">
        <v>1073.10010755</v>
      </c>
      <c r="C101" s="11">
        <f t="shared" si="2"/>
        <v>1.6566129239511049E-3</v>
      </c>
      <c r="E101" s="291">
        <v>90</v>
      </c>
      <c r="F101" s="291" t="n">
        <v>127.0</v>
      </c>
      <c r="G101" s="11">
        <f t="shared" si="3"/>
        <v>1.8281744535472298E-4</v>
      </c>
    </row>
    <row r="102" spans="1:7" x14ac:dyDescent="0.45">
      <c r="B102" s="8">
        <f>SUM(B11:B101)</f>
        <v>647767.55754784436</v>
      </c>
      <c r="C102" s="11">
        <f t="shared" si="2"/>
        <v>1</v>
      </c>
      <c r="F102" s="8">
        <f>SUM(F11:F101)</f>
        <v>700152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7" workbookViewId="0">
      <selection activeCell="AE36" sqref="AE36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7" t="n">
        <v>17581.0</v>
      </c>
      <c r="N7" s="337" t="n">
        <v>3038.0</v>
      </c>
      <c r="O7" s="337" t="n">
        <v>1215.0</v>
      </c>
      <c r="P7" s="337" t="n">
        <v>2384.0</v>
      </c>
      <c r="Q7" s="337" t="n">
        <v>1749.0</v>
      </c>
      <c r="R7" s="337" t="n">
        <v>295.0</v>
      </c>
      <c r="S7" s="337" t="n">
        <v>3586.0</v>
      </c>
      <c r="T7" s="337"/>
      <c r="U7" s="335">
        <f>SUM(M7:T7)</f>
        <v>29623</v>
      </c>
    </row>
    <row r="8" spans="1:21" x14ac:dyDescent="0.4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t="shared" ref="J8:J14" si="0">SUM(B8:I8)</f>
        <v>462.67095220929997</v>
      </c>
      <c r="K8" s="12"/>
      <c r="L8" t="str">
        <f>$A$8</f>
        <v>Bellevue Downtown</v>
      </c>
      <c r="M8" s="337" t="n">
        <v>1009.0</v>
      </c>
      <c r="N8" s="337" t="n">
        <v>922.0</v>
      </c>
      <c r="O8" s="337" t="n">
        <v>78.0</v>
      </c>
      <c r="P8" s="337" t="n">
        <v>52.0</v>
      </c>
      <c r="Q8" s="337" t="n">
        <v>91.0</v>
      </c>
      <c r="R8" s="337" t="n">
        <v>15.0</v>
      </c>
      <c r="S8" s="337" t="n">
        <v>61.0</v>
      </c>
      <c r="T8" s="337"/>
      <c r="U8" s="335">
        <f t="shared" ref="U8:U14" si="1">SUM(M8:T8)</f>
        <v>2205</v>
      </c>
    </row>
    <row r="9" spans="1:21" x14ac:dyDescent="0.4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t="shared" si="0"/>
        <v>31876.0289466779</v>
      </c>
      <c r="K9" s="13"/>
      <c r="L9" t="str">
        <f>$A$9</f>
        <v>Kirkland</v>
      </c>
      <c r="M9" s="337" t="n">
        <v>2214.0</v>
      </c>
      <c r="N9" s="337" t="n">
        <v>690.0</v>
      </c>
      <c r="O9" s="337" t="n">
        <v>13281.0</v>
      </c>
      <c r="P9" s="337" t="n">
        <v>2694.0</v>
      </c>
      <c r="Q9" s="337" t="n">
        <v>2432.0</v>
      </c>
      <c r="R9" s="337" t="n">
        <v>206.0</v>
      </c>
      <c r="S9" s="337" t="n">
        <v>4006.0</v>
      </c>
      <c r="T9" s="337"/>
      <c r="U9" s="335">
        <f t="shared" si="1"/>
        <v>25527</v>
      </c>
    </row>
    <row r="10" spans="1:21" x14ac:dyDescent="0.4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t="shared" si="0"/>
        <v>34571.719632258399</v>
      </c>
      <c r="K10" s="13"/>
      <c r="L10" t="str">
        <f>$A$10</f>
        <v>Redmond</v>
      </c>
      <c r="M10" s="337" t="n">
        <v>3237.0</v>
      </c>
      <c r="N10" s="337" t="n">
        <v>372.0</v>
      </c>
      <c r="O10" s="337" t="n">
        <v>3284.0</v>
      </c>
      <c r="P10" s="337" t="n">
        <v>10927.0</v>
      </c>
      <c r="Q10" s="337" t="n">
        <v>1105.0</v>
      </c>
      <c r="R10" s="337" t="n">
        <v>189.0</v>
      </c>
      <c r="S10" s="337" t="n">
        <v>3234.0</v>
      </c>
      <c r="T10" s="337"/>
      <c r="U10" s="335">
        <f t="shared" si="1"/>
        <v>22178</v>
      </c>
    </row>
    <row r="11" spans="1:21" x14ac:dyDescent="0.4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t="shared" si="0"/>
        <v>92579.880363555902</v>
      </c>
      <c r="K11" s="13"/>
      <c r="L11" t="str">
        <f>$A$11</f>
        <v>Seattle</v>
      </c>
      <c r="M11" s="337" t="n">
        <v>1085.0</v>
      </c>
      <c r="N11" s="337" t="n">
        <v>235.0</v>
      </c>
      <c r="O11" s="337" t="n">
        <v>838.0</v>
      </c>
      <c r="P11" s="337" t="n">
        <v>322.0</v>
      </c>
      <c r="Q11" s="337" t="n">
        <v>90131.0</v>
      </c>
      <c r="R11" s="337" t="n">
        <v>4581.0</v>
      </c>
      <c r="S11" s="337" t="n">
        <v>8589.0</v>
      </c>
      <c r="T11" s="337"/>
      <c r="U11" s="335">
        <f t="shared" si="1"/>
        <v>105782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t="shared" si="0"/>
        <v>2611.1811652475003</v>
      </c>
      <c r="K12" s="13"/>
      <c r="L12" t="str">
        <f>$A$12</f>
        <v>Seattle Downtown</v>
      </c>
      <c r="M12" s="337" t="n">
        <v>75.0</v>
      </c>
      <c r="N12" s="337" t="n">
        <v>26.0</v>
      </c>
      <c r="O12" s="337" t="n">
        <v>25.0</v>
      </c>
      <c r="P12" s="337" t="n">
        <v>19.0</v>
      </c>
      <c r="Q12" s="337" t="n">
        <v>2009.0</v>
      </c>
      <c r="R12" s="337" t="n">
        <v>6092.0</v>
      </c>
      <c r="S12" s="337" t="n">
        <v>231.0</v>
      </c>
      <c r="T12" s="337"/>
      <c r="U12" s="335">
        <f t="shared" si="1"/>
        <v>8680</v>
      </c>
    </row>
    <row r="13" spans="1:21" x14ac:dyDescent="0.4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t="shared" si="0"/>
        <v>452633.55433099094</v>
      </c>
      <c r="K13" s="13"/>
      <c r="L13" t="str">
        <f>A13</f>
        <v>Rest</v>
      </c>
      <c r="M13" s="337" t="n">
        <v>6249.0</v>
      </c>
      <c r="N13" s="337" t="n">
        <v>1032.0</v>
      </c>
      <c r="O13" s="337" t="n">
        <v>4377.0</v>
      </c>
      <c r="P13" s="337" t="n">
        <v>4229.0</v>
      </c>
      <c r="Q13" s="337" t="n">
        <v>17345.0</v>
      </c>
      <c r="R13" s="337" t="n">
        <v>1783.0</v>
      </c>
      <c r="S13" s="337" t="n">
        <v>470740.0</v>
      </c>
      <c r="T13" s="337"/>
      <c r="U13" s="335">
        <f t="shared" si="1"/>
        <v>506157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38714.170245996902</v>
      </c>
      <c r="C15" s="15">
        <f t="shared" si="2"/>
        <v>6841.166558722899</v>
      </c>
      <c r="D15" s="15">
        <f t="shared" si="2"/>
        <v>36468.632455516701</v>
      </c>
      <c r="E15" s="15">
        <f t="shared" si="2"/>
        <v>26686.834731226099</v>
      </c>
      <c r="F15" s="15">
        <f t="shared" si="2"/>
        <v>89100.184345504706</v>
      </c>
      <c r="G15" s="15">
        <f t="shared" si="2"/>
        <v>13903.2810479912</v>
      </c>
      <c r="H15" s="15">
        <f t="shared" si="2"/>
        <v>437082.74371261062</v>
      </c>
      <c r="I15" s="15">
        <f t="shared" si="2"/>
        <v>0</v>
      </c>
      <c r="J15" s="15">
        <f t="shared" si="2"/>
        <v>648797.01309756911</v>
      </c>
      <c r="K15" s="12"/>
      <c r="L15" s="15" t="s">
        <v>4</v>
      </c>
      <c r="M15" s="336">
        <f t="shared" ref="M15:U15" si="3">SUM(M7:M14)</f>
        <v>31228</v>
      </c>
      <c r="N15" s="336">
        <f t="shared" si="3"/>
        <v>6548</v>
      </c>
      <c r="O15" s="336">
        <f t="shared" si="3"/>
        <v>23073</v>
      </c>
      <c r="P15" s="336">
        <f t="shared" si="3"/>
        <v>20543</v>
      </c>
      <c r="Q15" s="336">
        <f t="shared" si="3"/>
        <v>114892</v>
      </c>
      <c r="R15" s="336">
        <f t="shared" si="3"/>
        <v>13222</v>
      </c>
      <c r="S15" s="336">
        <f t="shared" si="3"/>
        <v>490646</v>
      </c>
      <c r="T15" s="336">
        <f t="shared" si="3"/>
        <v>0</v>
      </c>
      <c r="U15" s="336">
        <f t="shared" si="3"/>
        <v>700152</v>
      </c>
    </row>
    <row r="18" spans="1:32" ht="14.65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22637.5594947563</v>
      </c>
      <c r="C20" s="12">
        <f t="shared" si="4"/>
        <v>495.37557267295119</v>
      </c>
      <c r="D20" s="12">
        <f t="shared" si="4"/>
        <v>1334.9079159740922</v>
      </c>
      <c r="E20" s="12">
        <f t="shared" si="4"/>
        <v>1729.387347174574</v>
      </c>
      <c r="F20" s="12">
        <f t="shared" si="4"/>
        <v>1020.1756934072511</v>
      </c>
      <c r="G20" s="12">
        <f t="shared" si="4"/>
        <v>0</v>
      </c>
      <c r="H20" s="12">
        <f t="shared" ref="H20" si="5">($U7/$J7)*H7</f>
        <v>2405.5939760148312</v>
      </c>
      <c r="I20" s="12"/>
      <c r="J20" s="12">
        <f>SUM(B20:I20)</f>
        <v>29623.000000000004</v>
      </c>
      <c r="K20" s="12"/>
      <c r="L20" t="str">
        <f>$A$7</f>
        <v>Bellevue</v>
      </c>
      <c r="M20" s="12">
        <f t="shared" ref="M20:M26" si="6">M7</f>
        <v>17310</v>
      </c>
      <c r="N20" s="12">
        <f t="shared" ref="N20:U20" si="7">N7</f>
        <v>3151</v>
      </c>
      <c r="O20" s="12">
        <f t="shared" si="7"/>
        <v>1211</v>
      </c>
      <c r="P20" s="12">
        <f t="shared" si="7"/>
        <v>2360</v>
      </c>
      <c r="Q20" s="12">
        <f t="shared" si="7"/>
        <v>1678</v>
      </c>
      <c r="R20" s="12">
        <f t="shared" si="7"/>
        <v>310</v>
      </c>
      <c r="S20" s="12">
        <f t="shared" ref="S20" si="8">S7</f>
        <v>3603</v>
      </c>
      <c r="T20" s="12"/>
      <c r="U20" s="12">
        <f t="shared" si="7"/>
        <v>29623</v>
      </c>
    </row>
    <row r="21" spans="1:32" x14ac:dyDescent="0.45">
      <c r="A21" t="str">
        <f>$A$8</f>
        <v>Bellevue Downtown</v>
      </c>
      <c r="B21" s="12">
        <f t="shared" ref="B21:G26" si="9">($U8/$J8)*B8</f>
        <v>1750.5724018759777</v>
      </c>
      <c r="C21" s="12">
        <f t="shared" si="9"/>
        <v>0</v>
      </c>
      <c r="D21" s="12">
        <f t="shared" si="9"/>
        <v>0</v>
      </c>
      <c r="E21" s="12">
        <f t="shared" si="9"/>
        <v>0</v>
      </c>
      <c r="F21" s="12">
        <f t="shared" si="9"/>
        <v>454.42759812402227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2205</v>
      </c>
      <c r="K21" s="12"/>
      <c r="L21" t="str">
        <f>$A$8</f>
        <v>Bellevue Downtown</v>
      </c>
      <c r="M21" s="12">
        <f t="shared" si="6"/>
        <v>948</v>
      </c>
      <c r="N21" s="12">
        <f t="shared" ref="N21:R25" si="12">N8</f>
        <v>930</v>
      </c>
      <c r="O21" s="12">
        <f t="shared" si="12"/>
        <v>102</v>
      </c>
      <c r="P21" s="12">
        <f t="shared" si="12"/>
        <v>56</v>
      </c>
      <c r="Q21" s="12">
        <f t="shared" si="12"/>
        <v>74</v>
      </c>
      <c r="R21" s="12">
        <f t="shared" si="12"/>
        <v>9</v>
      </c>
      <c r="S21" s="12">
        <f t="shared" ref="S21" si="13">S8</f>
        <v>86</v>
      </c>
      <c r="T21" s="12"/>
      <c r="U21" s="12">
        <f t="shared" ref="U21:U26" si="14">U8</f>
        <v>2205</v>
      </c>
    </row>
    <row r="22" spans="1:32" x14ac:dyDescent="0.45">
      <c r="A22" t="str">
        <f>$A$9</f>
        <v>Kirkland</v>
      </c>
      <c r="B22" s="12">
        <f t="shared" si="9"/>
        <v>1644.2809435006268</v>
      </c>
      <c r="C22" s="12">
        <f t="shared" si="9"/>
        <v>0</v>
      </c>
      <c r="D22" s="12">
        <f t="shared" si="9"/>
        <v>20287.311507184961</v>
      </c>
      <c r="E22" s="12">
        <f t="shared" si="9"/>
        <v>814.22472007574436</v>
      </c>
      <c r="F22" s="12">
        <f t="shared" si="9"/>
        <v>1449.5739643039888</v>
      </c>
      <c r="G22" s="12">
        <f t="shared" si="9"/>
        <v>0</v>
      </c>
      <c r="H22" s="12">
        <f t="shared" ref="H22" si="15">($U9/$J9)*H9</f>
        <v>1331.6088649346802</v>
      </c>
      <c r="I22" s="12"/>
      <c r="J22" s="12">
        <f t="shared" si="11"/>
        <v>25527</v>
      </c>
      <c r="K22" s="13"/>
      <c r="L22" t="str">
        <f>$A$9</f>
        <v>Kirkland</v>
      </c>
      <c r="M22" s="12">
        <f t="shared" si="6"/>
        <v>2157</v>
      </c>
      <c r="N22" s="12">
        <f t="shared" si="12"/>
        <v>682</v>
      </c>
      <c r="O22" s="12">
        <f t="shared" si="12"/>
        <v>13409</v>
      </c>
      <c r="P22" s="12">
        <f t="shared" si="12"/>
        <v>2667</v>
      </c>
      <c r="Q22" s="12">
        <f t="shared" si="12"/>
        <v>2444</v>
      </c>
      <c r="R22" s="12">
        <f t="shared" si="12"/>
        <v>231</v>
      </c>
      <c r="S22" s="12">
        <f t="shared" ref="S22" si="16">S9</f>
        <v>3937</v>
      </c>
      <c r="T22" s="12"/>
      <c r="U22" s="12">
        <f t="shared" si="14"/>
        <v>25527</v>
      </c>
    </row>
    <row r="23" spans="1:32" x14ac:dyDescent="0.45">
      <c r="A23" t="str">
        <f>$A$10</f>
        <v>Redmond</v>
      </c>
      <c r="B23" s="12">
        <f t="shared" si="9"/>
        <v>1948.2369538649609</v>
      </c>
      <c r="C23" s="12">
        <f t="shared" si="9"/>
        <v>3891.8073084062885</v>
      </c>
      <c r="D23" s="12">
        <f t="shared" si="9"/>
        <v>214.5652446678792</v>
      </c>
      <c r="E23" s="12">
        <f t="shared" si="9"/>
        <v>13393.629762238823</v>
      </c>
      <c r="F23" s="12">
        <f t="shared" si="9"/>
        <v>0</v>
      </c>
      <c r="G23" s="12">
        <f t="shared" si="9"/>
        <v>93.590884137794987</v>
      </c>
      <c r="H23" s="12">
        <f t="shared" ref="H23" si="17">($U10/$J10)*H10</f>
        <v>2636.1698466842513</v>
      </c>
      <c r="I23" s="12"/>
      <c r="J23" s="12">
        <f>SUM(B23:I23)</f>
        <v>22177.999999999996</v>
      </c>
      <c r="K23" s="13"/>
      <c r="L23" t="str">
        <f>$A$10</f>
        <v>Redmond</v>
      </c>
      <c r="M23" s="12">
        <f t="shared" si="6"/>
        <v>3284</v>
      </c>
      <c r="N23" s="12">
        <f t="shared" si="12"/>
        <v>357</v>
      </c>
      <c r="O23" s="12">
        <f t="shared" si="12"/>
        <v>3224</v>
      </c>
      <c r="P23" s="12">
        <f t="shared" si="12"/>
        <v>10809</v>
      </c>
      <c r="Q23" s="12">
        <f t="shared" si="12"/>
        <v>1107</v>
      </c>
      <c r="R23" s="12">
        <f t="shared" si="12"/>
        <v>219</v>
      </c>
      <c r="S23" s="12">
        <f t="shared" ref="S23" si="18">S10</f>
        <v>3178</v>
      </c>
      <c r="T23" s="12"/>
      <c r="U23" s="12">
        <f t="shared" si="14"/>
        <v>22178</v>
      </c>
    </row>
    <row r="24" spans="1:32" x14ac:dyDescent="0.45">
      <c r="A24" t="str">
        <f>$A$11</f>
        <v>Seattle</v>
      </c>
      <c r="B24" s="12">
        <f t="shared" si="9"/>
        <v>221.58745141791516</v>
      </c>
      <c r="C24" s="12">
        <f t="shared" si="9"/>
        <v>234.11419234949329</v>
      </c>
      <c r="D24" s="12">
        <f t="shared" si="9"/>
        <v>1732.5527478635083</v>
      </c>
      <c r="E24" s="12">
        <f t="shared" si="9"/>
        <v>0</v>
      </c>
      <c r="F24" s="12">
        <f t="shared" si="9"/>
        <v>77690.3104636848</v>
      </c>
      <c r="G24" s="12">
        <f t="shared" si="9"/>
        <v>13100.943146042402</v>
      </c>
      <c r="H24" s="12">
        <f t="shared" ref="H24" si="19">($U11/$J11)*H11</f>
        <v>12802.49199864187</v>
      </c>
      <c r="I24" s="12"/>
      <c r="J24" s="12">
        <f t="shared" si="11"/>
        <v>105782</v>
      </c>
      <c r="K24" s="13"/>
      <c r="L24" t="str">
        <f>$A$11</f>
        <v>Seattle</v>
      </c>
      <c r="M24" s="12">
        <f t="shared" si="6"/>
        <v>1141</v>
      </c>
      <c r="N24" s="12">
        <f t="shared" si="12"/>
        <v>232</v>
      </c>
      <c r="O24" s="12">
        <f t="shared" si="12"/>
        <v>766</v>
      </c>
      <c r="P24" s="12">
        <f t="shared" si="12"/>
        <v>328</v>
      </c>
      <c r="Q24" s="12">
        <f t="shared" si="12"/>
        <v>90271</v>
      </c>
      <c r="R24" s="12">
        <f t="shared" si="12"/>
        <v>4562</v>
      </c>
      <c r="S24" s="12">
        <f t="shared" ref="S24" si="20">S11</f>
        <v>8482</v>
      </c>
      <c r="T24" s="12"/>
      <c r="U24" s="12">
        <f t="shared" si="14"/>
        <v>105782</v>
      </c>
    </row>
    <row r="25" spans="1:32" x14ac:dyDescent="0.4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2885.9043758117755</v>
      </c>
      <c r="G25" s="12">
        <f t="shared" si="9"/>
        <v>5465.9956838153294</v>
      </c>
      <c r="H25" s="12">
        <f t="shared" ref="H25:H26" si="21">($U12/$J12)*H12</f>
        <v>328.09994037289368</v>
      </c>
      <c r="I25" s="12"/>
      <c r="J25" s="12">
        <f t="shared" si="11"/>
        <v>8679.9999999999982</v>
      </c>
      <c r="K25" s="13"/>
      <c r="L25" t="str">
        <f>$A$12</f>
        <v>Seattle Downtown</v>
      </c>
      <c r="M25" s="12">
        <f t="shared" si="6"/>
        <v>81</v>
      </c>
      <c r="N25" s="12">
        <f t="shared" si="12"/>
        <v>11</v>
      </c>
      <c r="O25" s="12">
        <f t="shared" si="12"/>
        <v>24</v>
      </c>
      <c r="P25" s="12">
        <f t="shared" si="12"/>
        <v>23</v>
      </c>
      <c r="Q25" s="12">
        <f t="shared" si="12"/>
        <v>2101</v>
      </c>
      <c r="R25" s="12">
        <f t="shared" si="12"/>
        <v>6245</v>
      </c>
      <c r="S25" s="12">
        <f t="shared" ref="S25" si="22">S12</f>
        <v>195</v>
      </c>
      <c r="T25" s="12"/>
      <c r="U25" s="12">
        <f t="shared" si="14"/>
        <v>8680</v>
      </c>
    </row>
    <row r="26" spans="1:32" x14ac:dyDescent="0.45">
      <c r="A26" t="str">
        <f>$A$13</f>
        <v>Rest</v>
      </c>
      <c r="B26" s="12">
        <f t="shared" si="9"/>
        <v>7864.5670174927254</v>
      </c>
      <c r="C26" s="12">
        <f t="shared" si="9"/>
        <v>0</v>
      </c>
      <c r="D26" s="12">
        <f t="shared" si="9"/>
        <v>8666.1644364480489</v>
      </c>
      <c r="E26" s="12">
        <f t="shared" si="9"/>
        <v>3134.6515390997297</v>
      </c>
      <c r="F26" s="12">
        <f t="shared" si="9"/>
        <v>19188.41742734913</v>
      </c>
      <c r="G26" s="12">
        <f t="shared" si="9"/>
        <v>723.71694638954409</v>
      </c>
      <c r="H26" s="12">
        <f t="shared" si="21"/>
        <v>466579.48263322085</v>
      </c>
      <c r="I26" s="12"/>
      <c r="J26" s="12">
        <f t="shared" si="11"/>
        <v>506157</v>
      </c>
      <c r="K26" s="13"/>
      <c r="L26" t="str">
        <f>$A$13</f>
        <v>Rest</v>
      </c>
      <c r="M26" s="12">
        <f t="shared" si="6"/>
        <v>6307</v>
      </c>
      <c r="N26" s="12">
        <f t="shared" ref="N26:R26" si="23">N13</f>
        <v>1185</v>
      </c>
      <c r="O26" s="12">
        <f t="shared" si="23"/>
        <v>4337</v>
      </c>
      <c r="P26" s="12">
        <f t="shared" si="23"/>
        <v>4300</v>
      </c>
      <c r="Q26" s="12">
        <f t="shared" si="23"/>
        <v>17217</v>
      </c>
      <c r="R26" s="12">
        <f t="shared" si="23"/>
        <v>1646</v>
      </c>
      <c r="S26" s="12">
        <f t="shared" ref="S26" si="24">S13</f>
        <v>471165</v>
      </c>
      <c r="T26" s="12"/>
      <c r="U26" s="12">
        <f t="shared" si="14"/>
        <v>506157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11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>
        <f t="shared" ref="B28:J28" si="25">SUM(B20:B27)</f>
        <v>36066.80426290851</v>
      </c>
      <c r="C28" s="15">
        <f t="shared" si="25"/>
        <v>4621.2970734287328</v>
      </c>
      <c r="D28" s="15">
        <f t="shared" si="25"/>
        <v>32235.501852138492</v>
      </c>
      <c r="E28" s="15">
        <f t="shared" si="25"/>
        <v>19071.89336858887</v>
      </c>
      <c r="F28" s="15">
        <f t="shared" si="25"/>
        <v>102688.80952268097</v>
      </c>
      <c r="G28" s="15">
        <f t="shared" si="25"/>
        <v>19384.24666038507</v>
      </c>
      <c r="H28" s="15">
        <f t="shared" si="25"/>
        <v>486083.44725986937</v>
      </c>
      <c r="I28" s="15">
        <f t="shared" si="25"/>
        <v>0</v>
      </c>
      <c r="J28" s="15">
        <f t="shared" si="25"/>
        <v>700152</v>
      </c>
      <c r="K28" s="12"/>
      <c r="L28" s="15" t="s">
        <v>4</v>
      </c>
      <c r="M28" s="15">
        <f t="shared" ref="M28:U28" si="26">M15</f>
        <v>31228</v>
      </c>
      <c r="N28" s="15">
        <f t="shared" si="26"/>
        <v>6548</v>
      </c>
      <c r="O28" s="15">
        <f t="shared" si="26"/>
        <v>23073</v>
      </c>
      <c r="P28" s="15">
        <f t="shared" si="26"/>
        <v>20543</v>
      </c>
      <c r="Q28" s="15">
        <f t="shared" si="26"/>
        <v>114892</v>
      </c>
      <c r="R28" s="15">
        <f t="shared" si="26"/>
        <v>13222</v>
      </c>
      <c r="S28" s="15">
        <f t="shared" si="26"/>
        <v>490646</v>
      </c>
      <c r="T28" s="15"/>
      <c r="U28" s="15">
        <f t="shared" si="26"/>
        <v>700152</v>
      </c>
    </row>
    <row r="31" spans="1:32" ht="14.65" thickBot="1" x14ac:dyDescent="0.5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>
        <f t="shared" ref="B33:J39" si="27">B20/$J$28</f>
        <v>3.2332349967944533E-2</v>
      </c>
      <c r="C33" s="16">
        <f t="shared" si="27"/>
        <v>7.0752575536876447E-4</v>
      </c>
      <c r="D33" s="16">
        <f t="shared" si="27"/>
        <v>1.9065973045482871E-3</v>
      </c>
      <c r="E33" s="16">
        <f t="shared" si="27"/>
        <v>2.4700170065565393E-3</v>
      </c>
      <c r="F33" s="16">
        <f t="shared" si="27"/>
        <v>1.4570774537632557E-3</v>
      </c>
      <c r="G33" s="16">
        <f t="shared" si="27"/>
        <v>0</v>
      </c>
      <c r="H33" s="16">
        <f t="shared" ref="H33" si="28">H20/$J$28</f>
        <v>3.4358167598104858E-3</v>
      </c>
      <c r="I33" s="16"/>
      <c r="J33" s="16">
        <f t="shared" ref="J33:J38" si="29">J20/$J$28</f>
        <v>4.2309384247991869E-2</v>
      </c>
      <c r="K33" s="12"/>
      <c r="L33" t="str">
        <f>$A$7</f>
        <v>Bellevue</v>
      </c>
      <c r="M33" s="16">
        <f t="shared" ref="M33:R33" si="30">M20/$U$28</f>
        <v>2.4723202961642616E-2</v>
      </c>
      <c r="N33" s="16">
        <f t="shared" si="30"/>
        <v>4.5004513305682194E-3</v>
      </c>
      <c r="O33" s="16">
        <f t="shared" si="30"/>
        <v>1.7296244244106994E-3</v>
      </c>
      <c r="P33" s="16">
        <f t="shared" si="30"/>
        <v>3.3706966487277047E-3</v>
      </c>
      <c r="Q33" s="16">
        <f t="shared" si="30"/>
        <v>2.3966224476970714E-3</v>
      </c>
      <c r="R33" s="16">
        <f t="shared" si="30"/>
        <v>4.4276100046846973E-4</v>
      </c>
      <c r="S33" s="16">
        <f t="shared" ref="S33" si="31">S20/$U$28</f>
        <v>5.1460254344770848E-3</v>
      </c>
      <c r="T33" s="16"/>
      <c r="U33" s="16">
        <f t="shared" ref="U33:U39" si="32">U20/$U$28</f>
        <v>4.2309384247991862E-2</v>
      </c>
      <c r="W33" t="str">
        <f>$A$7</f>
        <v>Bellevue</v>
      </c>
      <c r="X33" s="16">
        <f t="shared" ref="X33:AD33" si="33">M33-B33</f>
        <v>-7.6091470063019175E-3</v>
      </c>
      <c r="Y33" s="16">
        <f t="shared" si="33"/>
        <v>3.7929255751994548E-3</v>
      </c>
      <c r="Z33" s="16">
        <f t="shared" si="33"/>
        <v>-1.7697288013758766E-4</v>
      </c>
      <c r="AA33" s="16">
        <f t="shared" si="33"/>
        <v>9.0067964217116535E-4</v>
      </c>
      <c r="AB33" s="16">
        <f t="shared" si="33"/>
        <v>9.3954499393381573E-4</v>
      </c>
      <c r="AC33" s="16">
        <f t="shared" si="33"/>
        <v>4.4276100046846973E-4</v>
      </c>
      <c r="AD33" s="16">
        <f t="shared" si="33"/>
        <v>1.710208674666599E-3</v>
      </c>
      <c r="AE33" s="16"/>
      <c r="AF33" s="16">
        <f t="shared" ref="AF33:AF39" si="34">U33-J33</f>
        <v>0</v>
      </c>
    </row>
    <row r="34" spans="1:32" x14ac:dyDescent="0.45">
      <c r="A34" t="str">
        <f>$A$8</f>
        <v>Bellevue Downtown</v>
      </c>
      <c r="B34" s="16">
        <f t="shared" si="27"/>
        <v>2.500274800151935E-3</v>
      </c>
      <c r="C34" s="16">
        <f t="shared" si="27"/>
        <v>0</v>
      </c>
      <c r="D34" s="16">
        <f t="shared" si="27"/>
        <v>0</v>
      </c>
      <c r="E34" s="16">
        <f t="shared" si="27"/>
        <v>0</v>
      </c>
      <c r="F34" s="16">
        <f t="shared" si="27"/>
        <v>6.4904134834153481E-4</v>
      </c>
      <c r="G34" s="16">
        <f t="shared" si="27"/>
        <v>0</v>
      </c>
      <c r="H34" s="16">
        <f t="shared" ref="H34" si="35">H21/$J$28</f>
        <v>0</v>
      </c>
      <c r="I34" s="16"/>
      <c r="J34" s="16">
        <f t="shared" si="29"/>
        <v>3.1493161484934698E-3</v>
      </c>
      <c r="K34" s="12"/>
      <c r="L34" t="str">
        <f>$A$8</f>
        <v>Bellevue Downtown</v>
      </c>
      <c r="M34" s="16">
        <f t="shared" ref="M34:R39" si="36">M21/$U$28</f>
        <v>1.353991704658417E-3</v>
      </c>
      <c r="N34" s="16">
        <f t="shared" si="36"/>
        <v>1.3282830014054092E-3</v>
      </c>
      <c r="O34" s="16">
        <f t="shared" si="36"/>
        <v>1.4568265176704488E-4</v>
      </c>
      <c r="P34" s="16">
        <f t="shared" si="36"/>
        <v>7.9982632342691305E-5</v>
      </c>
      <c r="Q34" s="16">
        <f t="shared" si="36"/>
        <v>1.0569133559569922E-4</v>
      </c>
      <c r="R34" s="16">
        <f t="shared" si="36"/>
        <v>1.285435162650396E-5</v>
      </c>
      <c r="S34" s="16">
        <f t="shared" ref="S34" si="37">S21/$U$28</f>
        <v>1.2283047109770451E-4</v>
      </c>
      <c r="T34" s="16"/>
      <c r="U34" s="16">
        <f t="shared" si="32"/>
        <v>3.1493161484934698E-3</v>
      </c>
      <c r="W34" t="str">
        <f>$A$8</f>
        <v>Bellevue Downtown</v>
      </c>
      <c r="X34" s="16">
        <f t="shared" ref="X34:X38" si="38">M34-B34</f>
        <v>-1.1462830954935179E-3</v>
      </c>
      <c r="Y34" s="16">
        <f t="shared" ref="Y34:AD38" si="39">N34-C34</f>
        <v>1.3282830014054092E-3</v>
      </c>
      <c r="Z34" s="16">
        <f t="shared" si="39"/>
        <v>1.4568265176704488E-4</v>
      </c>
      <c r="AA34" s="16">
        <f t="shared" si="39"/>
        <v>7.9982632342691305E-5</v>
      </c>
      <c r="AB34" s="16">
        <f t="shared" si="39"/>
        <v>-5.4335001274583559E-4</v>
      </c>
      <c r="AC34" s="16">
        <f t="shared" si="39"/>
        <v>1.285435162650396E-5</v>
      </c>
      <c r="AD34" s="16">
        <f t="shared" si="39"/>
        <v>1.2283047109770451E-4</v>
      </c>
      <c r="AE34" s="16"/>
      <c r="AF34" s="16">
        <f t="shared" si="34"/>
        <v>0</v>
      </c>
    </row>
    <row r="35" spans="1:32" x14ac:dyDescent="0.45">
      <c r="A35" t="str">
        <f>$A$9</f>
        <v>Kirkland</v>
      </c>
      <c r="B35" s="16">
        <f t="shared" si="27"/>
        <v>2.3484628245018608E-3</v>
      </c>
      <c r="C35" s="16">
        <f t="shared" si="27"/>
        <v>0</v>
      </c>
      <c r="D35" s="16">
        <f t="shared" si="27"/>
        <v>2.8975581741086165E-2</v>
      </c>
      <c r="E35" s="16">
        <f t="shared" si="27"/>
        <v>1.1629256505383751E-3</v>
      </c>
      <c r="F35" s="16">
        <f t="shared" si="27"/>
        <v>2.0703703828654188E-3</v>
      </c>
      <c r="G35" s="16">
        <f t="shared" si="27"/>
        <v>0</v>
      </c>
      <c r="H35" s="16">
        <f t="shared" ref="H35" si="40">H22/$J$28</f>
        <v>1.9018853976489108E-3</v>
      </c>
      <c r="I35" s="16"/>
      <c r="J35" s="16">
        <f t="shared" si="29"/>
        <v>3.6459225996640726E-2</v>
      </c>
      <c r="K35" s="13"/>
      <c r="L35" t="str">
        <f>$A$9</f>
        <v>Kirkland</v>
      </c>
      <c r="M35" s="16">
        <f t="shared" si="36"/>
        <v>3.0807596064854489E-3</v>
      </c>
      <c r="N35" s="16">
        <f t="shared" si="36"/>
        <v>9.7407420103063334E-4</v>
      </c>
      <c r="O35" s="16">
        <f t="shared" si="36"/>
        <v>1.9151555662199067E-2</v>
      </c>
      <c r="P35" s="16">
        <f t="shared" si="36"/>
        <v>3.8091728653206732E-3</v>
      </c>
      <c r="Q35" s="16">
        <f t="shared" si="36"/>
        <v>3.4906705972417417E-3</v>
      </c>
      <c r="R35" s="16">
        <f t="shared" si="36"/>
        <v>3.2992835841360164E-4</v>
      </c>
      <c r="S35" s="16">
        <f t="shared" ref="S35" si="41">S22/$U$28</f>
        <v>5.623064705949565E-3</v>
      </c>
      <c r="T35" s="16"/>
      <c r="U35" s="16">
        <f t="shared" si="32"/>
        <v>3.6459225996640726E-2</v>
      </c>
      <c r="W35" t="str">
        <f>$A$9</f>
        <v>Kirkland</v>
      </c>
      <c r="X35" s="16">
        <f t="shared" si="38"/>
        <v>7.3229678198358803E-4</v>
      </c>
      <c r="Y35" s="16">
        <f t="shared" si="39"/>
        <v>9.7407420103063334E-4</v>
      </c>
      <c r="Z35" s="16">
        <f t="shared" si="39"/>
        <v>-9.8240260788870978E-3</v>
      </c>
      <c r="AA35" s="16">
        <f t="shared" si="39"/>
        <v>2.6462472147822979E-3</v>
      </c>
      <c r="AB35" s="16">
        <f t="shared" si="39"/>
        <v>1.4203002143763229E-3</v>
      </c>
      <c r="AC35" s="16">
        <f t="shared" si="39"/>
        <v>3.2992835841360164E-4</v>
      </c>
      <c r="AD35" s="16">
        <f t="shared" si="39"/>
        <v>3.7211793083006539E-3</v>
      </c>
      <c r="AE35" s="16"/>
      <c r="AF35" s="16">
        <f t="shared" si="34"/>
        <v>0</v>
      </c>
    </row>
    <row r="36" spans="1:32" x14ac:dyDescent="0.45">
      <c r="A36" t="str">
        <f>$A$10</f>
        <v>Redmond</v>
      </c>
      <c r="B36" s="16">
        <f t="shared" si="27"/>
        <v>2.7825914285254643E-3</v>
      </c>
      <c r="C36" s="16">
        <f t="shared" si="27"/>
        <v>5.5585177338724851E-3</v>
      </c>
      <c r="D36" s="16">
        <f t="shared" si="27"/>
        <v>3.0645523353197476E-4</v>
      </c>
      <c r="E36" s="16">
        <f t="shared" si="27"/>
        <v>1.9129602946558494E-2</v>
      </c>
      <c r="F36" s="16">
        <f t="shared" si="27"/>
        <v>0</v>
      </c>
      <c r="G36" s="16">
        <f t="shared" si="27"/>
        <v>1.3367223708251206E-4</v>
      </c>
      <c r="H36" s="16">
        <f t="shared" ref="H36" si="42">H23/$J$28</f>
        <v>3.7651393507184888E-3</v>
      </c>
      <c r="I36" s="16"/>
      <c r="J36" s="16">
        <f t="shared" si="29"/>
        <v>3.1675978930289415E-2</v>
      </c>
      <c r="K36" s="13"/>
      <c r="L36" t="str">
        <f>$A$10</f>
        <v>Redmond</v>
      </c>
      <c r="M36" s="16">
        <f t="shared" si="36"/>
        <v>4.6904100823821114E-3</v>
      </c>
      <c r="N36" s="16">
        <f t="shared" si="36"/>
        <v>5.0988928118465707E-4</v>
      </c>
      <c r="O36" s="16">
        <f t="shared" si="36"/>
        <v>4.6047144048720848E-3</v>
      </c>
      <c r="P36" s="16">
        <f t="shared" si="36"/>
        <v>1.5438076303431254E-2</v>
      </c>
      <c r="Q36" s="16">
        <f t="shared" si="36"/>
        <v>1.5810852500599869E-3</v>
      </c>
      <c r="R36" s="16">
        <f t="shared" si="36"/>
        <v>3.1278922291159636E-4</v>
      </c>
      <c r="S36" s="16">
        <f t="shared" ref="S36" si="43">S23/$U$28</f>
        <v>4.5390143854477311E-3</v>
      </c>
      <c r="T36" s="16"/>
      <c r="U36" s="16">
        <f t="shared" si="32"/>
        <v>3.1675978930289422E-2</v>
      </c>
      <c r="W36" t="str">
        <f>$A$10</f>
        <v>Redmond</v>
      </c>
      <c r="X36" s="16">
        <f t="shared" si="38"/>
        <v>1.9078186538566471E-3</v>
      </c>
      <c r="Y36" s="16">
        <f t="shared" si="39"/>
        <v>-5.0486284526878276E-3</v>
      </c>
      <c r="Z36" s="16">
        <f t="shared" si="39"/>
        <v>4.2982591713401101E-3</v>
      </c>
      <c r="AA36" s="16">
        <f t="shared" si="39"/>
        <v>-3.6915266431272395E-3</v>
      </c>
      <c r="AB36" s="16">
        <f t="shared" si="39"/>
        <v>1.5810852500599869E-3</v>
      </c>
      <c r="AC36" s="16">
        <f t="shared" si="39"/>
        <v>1.791169858290843E-4</v>
      </c>
      <c r="AD36" s="16">
        <f t="shared" si="39"/>
        <v>7.7387503472924231E-4</v>
      </c>
      <c r="AE36" s="16"/>
      <c r="AF36" s="16">
        <f t="shared" si="34"/>
        <v>0</v>
      </c>
    </row>
    <row r="37" spans="1:32" x14ac:dyDescent="0.45">
      <c r="A37" t="str">
        <f>$A$11</f>
        <v>Seattle</v>
      </c>
      <c r="B37" s="16">
        <f t="shared" si="27"/>
        <v>3.1648477961630496E-4</v>
      </c>
      <c r="C37" s="16">
        <f t="shared" si="27"/>
        <v>3.3437623880170779E-4</v>
      </c>
      <c r="D37" s="16">
        <f t="shared" si="27"/>
        <v>2.4745380258336881E-3</v>
      </c>
      <c r="E37" s="16">
        <f t="shared" si="27"/>
        <v>0</v>
      </c>
      <c r="F37" s="16">
        <f t="shared" si="27"/>
        <v>0.11096206318582937</v>
      </c>
      <c r="G37" s="16">
        <f t="shared" si="27"/>
        <v>1.8711569982007337E-2</v>
      </c>
      <c r="H37" s="16">
        <f t="shared" ref="H37" si="44">H24/$J$28</f>
        <v>1.8285303760671782E-2</v>
      </c>
      <c r="I37" s="16"/>
      <c r="J37" s="16">
        <f t="shared" si="29"/>
        <v>0.15108433597276019</v>
      </c>
      <c r="K37" s="13"/>
      <c r="L37" t="str">
        <f>$A$11</f>
        <v>Seattle</v>
      </c>
      <c r="M37" s="16">
        <f t="shared" si="36"/>
        <v>1.6296461339823352E-3</v>
      </c>
      <c r="N37" s="16">
        <f t="shared" si="36"/>
        <v>3.3135661970543539E-4</v>
      </c>
      <c r="O37" s="16">
        <f t="shared" si="36"/>
        <v>1.0940481495446703E-3</v>
      </c>
      <c r="P37" s="16">
        <f t="shared" si="36"/>
        <v>4.6846970372147763E-4</v>
      </c>
      <c r="Q37" s="16">
        <f t="shared" si="36"/>
        <v>0.12893057507512654</v>
      </c>
      <c r="R37" s="16">
        <f t="shared" si="36"/>
        <v>6.5157280133456737E-3</v>
      </c>
      <c r="S37" s="16">
        <f t="shared" ref="S37" si="45">S24/$U$28</f>
        <v>1.2114512277334065E-2</v>
      </c>
      <c r="T37" s="16"/>
      <c r="U37" s="16">
        <f t="shared" si="32"/>
        <v>0.15108433597276019</v>
      </c>
      <c r="W37" t="str">
        <f>$A$11</f>
        <v>Seattle</v>
      </c>
      <c r="X37" s="16">
        <f t="shared" si="38"/>
        <v>1.3131613543660302E-3</v>
      </c>
      <c r="Y37" s="16">
        <f t="shared" si="39"/>
        <v>-3.0196190962723953E-6</v>
      </c>
      <c r="Z37" s="16">
        <f t="shared" si="39"/>
        <v>-1.3804898762890178E-3</v>
      </c>
      <c r="AA37" s="16">
        <f t="shared" si="39"/>
        <v>4.6846970372147763E-4</v>
      </c>
      <c r="AB37" s="16">
        <f t="shared" si="39"/>
        <v>1.796851188929717E-2</v>
      </c>
      <c r="AC37" s="16">
        <f t="shared" si="39"/>
        <v>-1.2195841968661664E-2</v>
      </c>
      <c r="AD37" s="16">
        <f t="shared" si="39"/>
        <v>-6.1707914833377172E-3</v>
      </c>
      <c r="AE37" s="16"/>
      <c r="AF37" s="16">
        <f t="shared" si="34"/>
        <v>0</v>
      </c>
    </row>
    <row r="38" spans="1:32" x14ac:dyDescent="0.45">
      <c r="A38" t="str">
        <f>$A$12</f>
        <v>Seattle Downtown</v>
      </c>
      <c r="B38" s="16">
        <f t="shared" si="27"/>
        <v>0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4.1218255119056654E-3</v>
      </c>
      <c r="G38" s="16">
        <f t="shared" si="27"/>
        <v>7.806870056523911E-3</v>
      </c>
      <c r="H38" s="16">
        <f t="shared" ref="H38:H39" si="46">H25/$J$28</f>
        <v>4.6861244468757309E-4</v>
      </c>
      <c r="I38" s="16"/>
      <c r="J38" s="16">
        <f t="shared" si="29"/>
        <v>1.2397308013117149E-2</v>
      </c>
      <c r="K38" s="13"/>
      <c r="L38" t="str">
        <f>$A$12</f>
        <v>Seattle Downtown</v>
      </c>
      <c r="M38" s="16">
        <f t="shared" si="36"/>
        <v>1.1568916463853563E-4</v>
      </c>
      <c r="N38" s="16">
        <f t="shared" si="36"/>
        <v>1.5710874210171505E-5</v>
      </c>
      <c r="O38" s="16">
        <f t="shared" si="36"/>
        <v>3.4278271004010559E-5</v>
      </c>
      <c r="P38" s="16">
        <f t="shared" si="36"/>
        <v>3.2850009712176781E-5</v>
      </c>
      <c r="Q38" s="16">
        <f t="shared" si="36"/>
        <v>3.0007769741427575E-3</v>
      </c>
      <c r="R38" s="16">
        <f t="shared" si="36"/>
        <v>8.9194917675019143E-3</v>
      </c>
      <c r="S38" s="16">
        <f t="shared" ref="S38:S39" si="47">S25/$U$28</f>
        <v>2.7851095190758578E-4</v>
      </c>
      <c r="T38" s="16"/>
      <c r="U38" s="16">
        <f t="shared" si="32"/>
        <v>1.2397308013117152E-2</v>
      </c>
      <c r="W38" t="str">
        <f>$A$12</f>
        <v>Seattle Downtown</v>
      </c>
      <c r="X38" s="16">
        <f t="shared" si="38"/>
        <v>1.1568916463853563E-4</v>
      </c>
      <c r="Y38" s="16">
        <f t="shared" si="39"/>
        <v>1.5710874210171505E-5</v>
      </c>
      <c r="Z38" s="16">
        <f t="shared" si="39"/>
        <v>3.4278271004010559E-5</v>
      </c>
      <c r="AA38" s="16">
        <f t="shared" si="39"/>
        <v>3.2850009712176781E-5</v>
      </c>
      <c r="AB38" s="16">
        <f t="shared" si="39"/>
        <v>-1.1210485377629079E-3</v>
      </c>
      <c r="AC38" s="16">
        <f t="shared" si="39"/>
        <v>1.1126217109780033E-3</v>
      </c>
      <c r="AD38" s="16">
        <f t="shared" si="39"/>
        <v>-1.9010149277998731E-4</v>
      </c>
      <c r="AE38" s="16"/>
      <c r="AF38" s="16">
        <f t="shared" si="34"/>
        <v>0</v>
      </c>
    </row>
    <row r="39" spans="1:32" x14ac:dyDescent="0.45">
      <c r="A39" t="str">
        <f>$A$13</f>
        <v>Rest</v>
      </c>
      <c r="B39" s="16">
        <f t="shared" si="27"/>
        <v>1.1232656648117446E-2</v>
      </c>
      <c r="C39" s="16">
        <f t="shared" si="27"/>
        <v>0</v>
      </c>
      <c r="D39" s="16">
        <f t="shared" si="27"/>
        <v>1.2377547213245193E-2</v>
      </c>
      <c r="E39" s="16">
        <f t="shared" si="27"/>
        <v>4.4771014566833056E-3</v>
      </c>
      <c r="F39" s="16">
        <f t="shared" si="27"/>
        <v>2.7406073863031354E-2</v>
      </c>
      <c r="G39" s="16">
        <f t="shared" si="27"/>
        <v>1.0336569007723239E-3</v>
      </c>
      <c r="H39" s="16">
        <f t="shared" si="46"/>
        <v>0.6663974146088576</v>
      </c>
      <c r="I39" s="16"/>
      <c r="J39" s="16">
        <f t="shared" si="27"/>
        <v>0.72292445069070721</v>
      </c>
      <c r="K39" s="13"/>
      <c r="L39" t="str">
        <f>$A$13</f>
        <v>Rest</v>
      </c>
      <c r="M39" s="16">
        <f t="shared" si="36"/>
        <v>9.0080439675956081E-3</v>
      </c>
      <c r="N39" s="16">
        <f t="shared" si="36"/>
        <v>1.6924896308230214E-3</v>
      </c>
      <c r="O39" s="16">
        <f t="shared" si="36"/>
        <v>6.1943692226830742E-3</v>
      </c>
      <c r="P39" s="16">
        <f t="shared" si="36"/>
        <v>6.1415235548852249E-3</v>
      </c>
      <c r="Q39" s="16">
        <f t="shared" si="36"/>
        <v>2.4590374661502074E-2</v>
      </c>
      <c r="R39" s="16">
        <f t="shared" si="36"/>
        <v>2.3509180863583909E-3</v>
      </c>
      <c r="S39" s="16">
        <f t="shared" si="47"/>
        <v>0.6729467315668598</v>
      </c>
      <c r="T39" s="16"/>
      <c r="U39" s="16">
        <f t="shared" si="32"/>
        <v>0.72292445069070721</v>
      </c>
      <c r="W39" t="str">
        <f>$A$13</f>
        <v>Rest</v>
      </c>
      <c r="X39" s="16">
        <f t="shared" ref="X39" si="48">M39-B39</f>
        <v>-2.2246126805218376E-3</v>
      </c>
      <c r="Y39" s="16">
        <f t="shared" ref="Y39" si="49">N39-C39</f>
        <v>1.6924896308230214E-3</v>
      </c>
      <c r="Z39" s="16">
        <f t="shared" ref="Z39" si="50">O39-D39</f>
        <v>-6.1831779905621191E-3</v>
      </c>
      <c r="AA39" s="16">
        <f t="shared" ref="AA39" si="51">P39-E39</f>
        <v>1.6644220982019193E-3</v>
      </c>
      <c r="AB39" s="16">
        <f t="shared" ref="AB39" si="52">Q39-F39</f>
        <v>-2.8156992015292807E-3</v>
      </c>
      <c r="AC39" s="16">
        <f t="shared" ref="AC39" si="53">R39-G39</f>
        <v>1.317261185586067E-3</v>
      </c>
      <c r="AD39" s="16">
        <f t="shared" ref="AD39" si="54">S39-H39</f>
        <v>6.5493169580022048E-3</v>
      </c>
      <c r="AE39" s="16"/>
      <c r="AF39" s="16">
        <f t="shared" si="34"/>
        <v>0</v>
      </c>
    </row>
    <row r="40" spans="1:32" x14ac:dyDescent="0.4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4.65" thickBot="1" x14ac:dyDescent="0.5">
      <c r="A41" s="1" t="s">
        <v>4</v>
      </c>
      <c r="B41" s="18">
        <f t="shared" ref="B41:H41" si="55">B28/$J$28</f>
        <v>5.1512820448857549E-2</v>
      </c>
      <c r="C41" s="18">
        <f t="shared" si="55"/>
        <v>6.6004197280429572E-3</v>
      </c>
      <c r="D41" s="18">
        <f t="shared" si="55"/>
        <v>4.6040719518245316E-2</v>
      </c>
      <c r="E41" s="18">
        <f t="shared" si="55"/>
        <v>2.7239647060336714E-2</v>
      </c>
      <c r="F41" s="18">
        <f t="shared" si="55"/>
        <v>0.14666645174573659</v>
      </c>
      <c r="G41" s="18">
        <f t="shared" si="55"/>
        <v>2.7685769176386085E-2</v>
      </c>
      <c r="H41" s="18">
        <f t="shared" si="55"/>
        <v>0.69425417232239484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4.4601743621385068E-2</v>
      </c>
      <c r="N41" s="18">
        <f>N28/$U$28</f>
        <v>9.3522549389275476E-3</v>
      </c>
      <c r="O41" s="18">
        <f>O28/$U$28</f>
        <v>3.2954272786480651E-2</v>
      </c>
      <c r="P41" s="18">
        <f>P28/$U$28</f>
        <v>2.9340771718141204E-2</v>
      </c>
      <c r="Q41" s="18">
        <f t="shared" ref="Q41:S41" si="56">Q28/$U$28</f>
        <v>0.16409579634136587</v>
      </c>
      <c r="R41" s="18">
        <f t="shared" si="56"/>
        <v>1.8884470800626149E-2</v>
      </c>
      <c r="S41" s="18">
        <f t="shared" si="56"/>
        <v>0.70077068979307355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7">M41-B41</f>
        <v>-6.9110768274724815E-3</v>
      </c>
      <c r="Y41" s="18">
        <f t="shared" si="57"/>
        <v>2.7518352108845904E-3</v>
      </c>
      <c r="Z41" s="18">
        <f t="shared" si="57"/>
        <v>-1.3086446731764664E-2</v>
      </c>
      <c r="AA41" s="18">
        <f t="shared" si="57"/>
        <v>2.1011246578044908E-3</v>
      </c>
      <c r="AB41" s="18">
        <f t="shared" si="57"/>
        <v>1.7429344595629281E-2</v>
      </c>
      <c r="AC41" s="18">
        <f t="shared" si="57"/>
        <v>-8.8012983757599361E-3</v>
      </c>
      <c r="AD41" s="18">
        <f t="shared" si="57"/>
        <v>6.5165174706787177E-3</v>
      </c>
      <c r="AE41" s="18">
        <f t="shared" si="57"/>
        <v>0</v>
      </c>
      <c r="AF41" s="18">
        <f t="shared" si="57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J16" sqref="J16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24</v>
      </c>
    </row>
    <row r="4" spans="1:3" x14ac:dyDescent="0.45">
      <c r="B4" t="s">
        <v>21</v>
      </c>
      <c r="C4" t="s">
        <v>25</v>
      </c>
    </row>
    <row r="5" spans="1:3" x14ac:dyDescent="0.45">
      <c r="B5" t="s">
        <v>22</v>
      </c>
      <c r="C5" t="s">
        <v>26</v>
      </c>
    </row>
    <row r="6" spans="1:3" x14ac:dyDescent="0.45">
      <c r="B6" t="s">
        <v>23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31</v>
      </c>
    </row>
    <row r="12" spans="1:3" x14ac:dyDescent="0.45">
      <c r="A12">
        <v>4</v>
      </c>
      <c r="B12" t="s">
        <v>32</v>
      </c>
    </row>
    <row r="14" spans="1:3" x14ac:dyDescent="0.45">
      <c r="A14">
        <v>5</v>
      </c>
      <c r="B14" t="s">
        <v>29</v>
      </c>
    </row>
    <row r="15" spans="1:3" x14ac:dyDescent="0.4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0" workbookViewId="0">
      <selection activeCell="D28" sqref="D28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96" t="s">
        <v>41</v>
      </c>
    </row>
    <row r="2" spans="1:4" x14ac:dyDescent="0.45">
      <c r="A2" t="s">
        <v>259</v>
      </c>
      <c r="B2" t="s">
        <v>260</v>
      </c>
      <c r="C2" t="s">
        <v>90</v>
      </c>
      <c r="D2" t="s">
        <v>261</v>
      </c>
    </row>
    <row r="3" spans="1:4" x14ac:dyDescent="0.45">
      <c r="A3">
        <v>1</v>
      </c>
      <c r="B3" t="s">
        <v>44</v>
      </c>
      <c r="C3" t="s">
        <v>278</v>
      </c>
      <c r="D3" t="s">
        <v>45</v>
      </c>
    </row>
    <row r="4" spans="1:4" x14ac:dyDescent="0.45">
      <c r="A4">
        <v>2</v>
      </c>
      <c r="B4" t="s">
        <v>47</v>
      </c>
      <c r="C4" t="s">
        <v>278</v>
      </c>
      <c r="D4" t="s">
        <v>48</v>
      </c>
    </row>
    <row r="5" spans="1:4" x14ac:dyDescent="0.45">
      <c r="A5">
        <v>3</v>
      </c>
      <c r="B5" t="s">
        <v>50</v>
      </c>
      <c r="C5" t="s">
        <v>278</v>
      </c>
      <c r="D5" t="s">
        <v>51</v>
      </c>
    </row>
    <row r="6" spans="1:4" x14ac:dyDescent="0.45">
      <c r="A6">
        <v>4</v>
      </c>
      <c r="B6" t="s">
        <v>53</v>
      </c>
      <c r="C6" t="s">
        <v>278</v>
      </c>
      <c r="D6" t="s">
        <v>54</v>
      </c>
    </row>
    <row r="7" spans="1:4" x14ac:dyDescent="0.45">
      <c r="A7">
        <v>5</v>
      </c>
      <c r="B7" t="s">
        <v>56</v>
      </c>
      <c r="C7" t="s">
        <v>278</v>
      </c>
      <c r="D7" t="s">
        <v>57</v>
      </c>
    </row>
    <row r="8" spans="1:4" x14ac:dyDescent="0.45">
      <c r="A8">
        <v>6</v>
      </c>
      <c r="B8" t="s">
        <v>58</v>
      </c>
      <c r="C8" t="s">
        <v>278</v>
      </c>
      <c r="D8" t="s">
        <v>59</v>
      </c>
    </row>
    <row r="9" spans="1:4" x14ac:dyDescent="0.45">
      <c r="A9">
        <v>7</v>
      </c>
      <c r="B9" t="s">
        <v>60</v>
      </c>
      <c r="C9" t="s">
        <v>278</v>
      </c>
      <c r="D9" t="s">
        <v>61</v>
      </c>
    </row>
    <row r="10" spans="1:4" x14ac:dyDescent="0.45">
      <c r="A10">
        <v>8</v>
      </c>
      <c r="B10" t="s">
        <v>63</v>
      </c>
      <c r="C10" t="s">
        <v>278</v>
      </c>
      <c r="D10" t="s">
        <v>64</v>
      </c>
    </row>
    <row r="11" spans="1:4" x14ac:dyDescent="0.45">
      <c r="A11">
        <v>9</v>
      </c>
      <c r="B11" t="s">
        <v>65</v>
      </c>
      <c r="C11" t="s">
        <v>278</v>
      </c>
      <c r="D11" t="s">
        <v>66</v>
      </c>
    </row>
    <row r="12" spans="1:4" x14ac:dyDescent="0.45">
      <c r="A12">
        <v>10</v>
      </c>
      <c r="B12" t="s">
        <v>67</v>
      </c>
      <c r="C12" t="s">
        <v>278</v>
      </c>
      <c r="D12" t="s">
        <v>68</v>
      </c>
    </row>
    <row r="13" spans="1:4" x14ac:dyDescent="0.45">
      <c r="A13">
        <v>11</v>
      </c>
      <c r="B13" t="s">
        <v>69</v>
      </c>
      <c r="C13" t="s">
        <v>278</v>
      </c>
      <c r="D13" t="s">
        <v>70</v>
      </c>
    </row>
    <row r="14" spans="1:4" x14ac:dyDescent="0.45">
      <c r="A14">
        <v>12</v>
      </c>
      <c r="B14" t="s">
        <v>71</v>
      </c>
      <c r="C14" t="s">
        <v>278</v>
      </c>
      <c r="D14" t="s">
        <v>72</v>
      </c>
    </row>
    <row r="15" spans="1:4" x14ac:dyDescent="0.45">
      <c r="A15">
        <v>13</v>
      </c>
      <c r="B15" t="s">
        <v>73</v>
      </c>
      <c r="C15" t="s">
        <v>278</v>
      </c>
      <c r="D15" t="s">
        <v>74</v>
      </c>
    </row>
    <row r="16" spans="1:4" x14ac:dyDescent="0.45">
      <c r="A16">
        <v>14</v>
      </c>
      <c r="B16" t="s">
        <v>75</v>
      </c>
      <c r="C16" t="s">
        <v>278</v>
      </c>
      <c r="D16" t="s">
        <v>76</v>
      </c>
    </row>
    <row r="17" spans="1:4" x14ac:dyDescent="0.45">
      <c r="A17">
        <v>15</v>
      </c>
      <c r="B17" t="s">
        <v>77</v>
      </c>
      <c r="C17" t="s">
        <v>278</v>
      </c>
      <c r="D17" t="s">
        <v>78</v>
      </c>
    </row>
    <row r="18" spans="1:4" x14ac:dyDescent="0.45">
      <c r="A18">
        <v>16</v>
      </c>
      <c r="B18" t="s">
        <v>79</v>
      </c>
      <c r="C18" t="s">
        <v>278</v>
      </c>
      <c r="D18" t="s">
        <v>80</v>
      </c>
    </row>
    <row r="19" spans="1:4" x14ac:dyDescent="0.45">
      <c r="A19">
        <v>17</v>
      </c>
      <c r="B19" t="s">
        <v>82</v>
      </c>
      <c r="C19" t="s">
        <v>278</v>
      </c>
      <c r="D19" t="s">
        <v>83</v>
      </c>
    </row>
    <row r="20" spans="1:4" x14ac:dyDescent="0.45">
      <c r="A20">
        <v>18</v>
      </c>
      <c r="B20" t="s">
        <v>85</v>
      </c>
      <c r="C20" t="s">
        <v>278</v>
      </c>
      <c r="D20" t="s">
        <v>86</v>
      </c>
    </row>
    <row r="21" spans="1:4" x14ac:dyDescent="0.45">
      <c r="A21">
        <v>19</v>
      </c>
      <c r="B21" t="s">
        <v>88</v>
      </c>
      <c r="C21" t="s">
        <v>278</v>
      </c>
      <c r="D21" t="s">
        <v>89</v>
      </c>
    </row>
    <row r="22" spans="1:4" x14ac:dyDescent="0.45">
      <c r="A22">
        <v>20</v>
      </c>
      <c r="B22" t="s">
        <v>91</v>
      </c>
      <c r="C22" t="s">
        <v>87</v>
      </c>
      <c r="D22" t="s">
        <v>92</v>
      </c>
    </row>
    <row r="23" spans="1:4" x14ac:dyDescent="0.45">
      <c r="A23">
        <v>21</v>
      </c>
      <c r="B23" t="s">
        <v>93</v>
      </c>
      <c r="C23" t="s">
        <v>87</v>
      </c>
      <c r="D23" t="s">
        <v>94</v>
      </c>
    </row>
    <row r="24" spans="1:4" x14ac:dyDescent="0.45">
      <c r="A24">
        <v>22</v>
      </c>
      <c r="B24" t="s">
        <v>95</v>
      </c>
      <c r="C24" t="s">
        <v>87</v>
      </c>
      <c r="D24" t="s">
        <v>96</v>
      </c>
    </row>
    <row r="25" spans="1:4" x14ac:dyDescent="0.45">
      <c r="A25">
        <v>23</v>
      </c>
      <c r="B25" t="s">
        <v>97</v>
      </c>
      <c r="C25" t="s">
        <v>87</v>
      </c>
      <c r="D25" t="s">
        <v>98</v>
      </c>
    </row>
    <row r="26" spans="1:4" x14ac:dyDescent="0.45">
      <c r="A26">
        <v>24</v>
      </c>
      <c r="B26" t="s">
        <v>99</v>
      </c>
      <c r="C26" t="s">
        <v>87</v>
      </c>
      <c r="D26" t="s">
        <v>100</v>
      </c>
    </row>
    <row r="27" spans="1:4" x14ac:dyDescent="0.45">
      <c r="A27">
        <v>25</v>
      </c>
      <c r="B27" t="s">
        <v>102</v>
      </c>
      <c r="C27" t="s">
        <v>87</v>
      </c>
      <c r="D27" t="s">
        <v>103</v>
      </c>
    </row>
    <row r="28" spans="1:4" x14ac:dyDescent="0.45">
      <c r="A28">
        <v>26</v>
      </c>
      <c r="B28" t="s">
        <v>104</v>
      </c>
      <c r="C28" t="s">
        <v>101</v>
      </c>
      <c r="D28" t="s">
        <v>92</v>
      </c>
    </row>
    <row r="29" spans="1:4" x14ac:dyDescent="0.45">
      <c r="A29">
        <v>27</v>
      </c>
      <c r="B29" t="s">
        <v>105</v>
      </c>
      <c r="C29" t="s">
        <v>101</v>
      </c>
      <c r="D29" t="s">
        <v>94</v>
      </c>
    </row>
    <row r="30" spans="1:4" x14ac:dyDescent="0.45">
      <c r="A30">
        <v>28</v>
      </c>
      <c r="B30" t="s">
        <v>107</v>
      </c>
      <c r="C30" t="s">
        <v>101</v>
      </c>
      <c r="D30" t="s">
        <v>96</v>
      </c>
    </row>
    <row r="31" spans="1:4" x14ac:dyDescent="0.45">
      <c r="A31">
        <v>29</v>
      </c>
      <c r="B31" t="s">
        <v>108</v>
      </c>
      <c r="C31" t="s">
        <v>101</v>
      </c>
      <c r="D31" t="s">
        <v>98</v>
      </c>
    </row>
    <row r="32" spans="1:4" x14ac:dyDescent="0.45">
      <c r="A32">
        <v>30</v>
      </c>
      <c r="B32" t="s">
        <v>109</v>
      </c>
      <c r="C32" t="s">
        <v>101</v>
      </c>
      <c r="D32" t="s">
        <v>110</v>
      </c>
    </row>
    <row r="33" spans="1:4" x14ac:dyDescent="0.45">
      <c r="A33">
        <v>31</v>
      </c>
      <c r="B33" t="s">
        <v>111</v>
      </c>
      <c r="C33" t="s">
        <v>101</v>
      </c>
      <c r="D33" t="s">
        <v>112</v>
      </c>
    </row>
    <row r="34" spans="1:4" x14ac:dyDescent="0.45">
      <c r="A34">
        <v>32</v>
      </c>
      <c r="B34" t="s">
        <v>113</v>
      </c>
      <c r="C34" t="s">
        <v>101</v>
      </c>
      <c r="D34" t="s">
        <v>114</v>
      </c>
    </row>
    <row r="35" spans="1:4" x14ac:dyDescent="0.45">
      <c r="A35">
        <v>33</v>
      </c>
      <c r="B35" t="s">
        <v>115</v>
      </c>
      <c r="C35" t="s">
        <v>101</v>
      </c>
      <c r="D35" t="s">
        <v>116</v>
      </c>
    </row>
    <row r="36" spans="1:4" x14ac:dyDescent="0.45">
      <c r="A36">
        <v>34</v>
      </c>
      <c r="B36" t="s">
        <v>117</v>
      </c>
      <c r="C36" t="s">
        <v>101</v>
      </c>
      <c r="D36" t="s">
        <v>118</v>
      </c>
    </row>
    <row r="37" spans="1:4" x14ac:dyDescent="0.45">
      <c r="A37">
        <v>35</v>
      </c>
      <c r="B37" t="s">
        <v>120</v>
      </c>
      <c r="C37" t="s">
        <v>101</v>
      </c>
      <c r="D37" t="s">
        <v>121</v>
      </c>
    </row>
    <row r="38" spans="1:4" x14ac:dyDescent="0.45">
      <c r="A38">
        <v>36</v>
      </c>
      <c r="B38" t="s">
        <v>122</v>
      </c>
      <c r="C38" t="s">
        <v>119</v>
      </c>
      <c r="D38" t="s">
        <v>92</v>
      </c>
    </row>
    <row r="39" spans="1:4" x14ac:dyDescent="0.45">
      <c r="A39">
        <v>37</v>
      </c>
      <c r="B39" t="s">
        <v>123</v>
      </c>
      <c r="C39" t="s">
        <v>119</v>
      </c>
      <c r="D39" t="s">
        <v>94</v>
      </c>
    </row>
    <row r="40" spans="1:4" x14ac:dyDescent="0.45">
      <c r="A40">
        <v>38</v>
      </c>
      <c r="B40" t="s">
        <v>125</v>
      </c>
      <c r="C40" t="s">
        <v>119</v>
      </c>
      <c r="D40" t="s">
        <v>96</v>
      </c>
    </row>
    <row r="41" spans="1:4" x14ac:dyDescent="0.45">
      <c r="A41">
        <v>39</v>
      </c>
      <c r="B41" t="s">
        <v>126</v>
      </c>
      <c r="C41" t="s">
        <v>119</v>
      </c>
      <c r="D41" t="s">
        <v>98</v>
      </c>
    </row>
    <row r="42" spans="1:4" x14ac:dyDescent="0.45">
      <c r="A42">
        <v>40</v>
      </c>
      <c r="B42" t="s">
        <v>127</v>
      </c>
      <c r="C42" t="s">
        <v>119</v>
      </c>
      <c r="D42" t="s">
        <v>110</v>
      </c>
    </row>
    <row r="43" spans="1:4" x14ac:dyDescent="0.45">
      <c r="A43">
        <v>41</v>
      </c>
      <c r="B43" t="s">
        <v>128</v>
      </c>
      <c r="C43" t="s">
        <v>119</v>
      </c>
      <c r="D43" t="s">
        <v>112</v>
      </c>
    </row>
    <row r="44" spans="1:4" x14ac:dyDescent="0.45">
      <c r="A44">
        <v>42</v>
      </c>
      <c r="B44" t="s">
        <v>130</v>
      </c>
      <c r="C44" t="s">
        <v>119</v>
      </c>
      <c r="D44" t="s">
        <v>131</v>
      </c>
    </row>
    <row r="45" spans="1:4" x14ac:dyDescent="0.45">
      <c r="A45">
        <v>43</v>
      </c>
      <c r="B45" t="s">
        <v>132</v>
      </c>
      <c r="C45" t="s">
        <v>129</v>
      </c>
      <c r="D45" t="s">
        <v>92</v>
      </c>
    </row>
    <row r="46" spans="1:4" x14ac:dyDescent="0.45">
      <c r="A46">
        <v>44</v>
      </c>
      <c r="B46" t="s">
        <v>133</v>
      </c>
      <c r="C46" t="s">
        <v>129</v>
      </c>
      <c r="D46" t="s">
        <v>134</v>
      </c>
    </row>
    <row r="47" spans="1:4" x14ac:dyDescent="0.45">
      <c r="A47">
        <v>45</v>
      </c>
      <c r="B47" t="s">
        <v>135</v>
      </c>
      <c r="C47" t="s">
        <v>129</v>
      </c>
      <c r="D47" t="s">
        <v>136</v>
      </c>
    </row>
    <row r="48" spans="1:4" x14ac:dyDescent="0.45">
      <c r="A48">
        <v>46</v>
      </c>
      <c r="B48" t="s">
        <v>137</v>
      </c>
      <c r="C48" t="s">
        <v>129</v>
      </c>
      <c r="D48" t="s">
        <v>138</v>
      </c>
    </row>
    <row r="49" spans="1:4" x14ac:dyDescent="0.45">
      <c r="A49">
        <v>47</v>
      </c>
      <c r="B49" t="s">
        <v>139</v>
      </c>
      <c r="C49" t="s">
        <v>129</v>
      </c>
      <c r="D49" t="s">
        <v>140</v>
      </c>
    </row>
    <row r="50" spans="1:4" x14ac:dyDescent="0.45">
      <c r="A50">
        <v>48</v>
      </c>
      <c r="B50" t="s">
        <v>142</v>
      </c>
      <c r="C50" t="s">
        <v>129</v>
      </c>
      <c r="D50" t="s">
        <v>143</v>
      </c>
    </row>
    <row r="51" spans="1:4" x14ac:dyDescent="0.45">
      <c r="A51">
        <v>49</v>
      </c>
      <c r="B51" t="s">
        <v>144</v>
      </c>
      <c r="C51" t="s">
        <v>141</v>
      </c>
      <c r="D51" t="s">
        <v>92</v>
      </c>
    </row>
    <row r="52" spans="1:4" x14ac:dyDescent="0.45">
      <c r="A52">
        <v>50</v>
      </c>
      <c r="B52" t="s">
        <v>145</v>
      </c>
      <c r="C52" t="s">
        <v>141</v>
      </c>
      <c r="D52" t="s">
        <v>94</v>
      </c>
    </row>
    <row r="53" spans="1:4" x14ac:dyDescent="0.45">
      <c r="A53">
        <v>51</v>
      </c>
      <c r="B53" t="s">
        <v>146</v>
      </c>
      <c r="C53" t="s">
        <v>141</v>
      </c>
      <c r="D53" t="s">
        <v>96</v>
      </c>
    </row>
    <row r="54" spans="1:4" x14ac:dyDescent="0.45">
      <c r="A54">
        <v>52</v>
      </c>
      <c r="B54" t="s">
        <v>147</v>
      </c>
      <c r="C54" t="s">
        <v>141</v>
      </c>
      <c r="D54" t="s">
        <v>98</v>
      </c>
    </row>
    <row r="55" spans="1:4" x14ac:dyDescent="0.45">
      <c r="A55">
        <v>53</v>
      </c>
      <c r="B55" t="s">
        <v>148</v>
      </c>
      <c r="C55" t="s">
        <v>141</v>
      </c>
      <c r="D55" t="s">
        <v>110</v>
      </c>
    </row>
    <row r="56" spans="1:4" x14ac:dyDescent="0.45">
      <c r="A56">
        <v>54</v>
      </c>
      <c r="B56" t="s">
        <v>149</v>
      </c>
      <c r="C56" t="s">
        <v>141</v>
      </c>
      <c r="D56" t="s">
        <v>150</v>
      </c>
    </row>
    <row r="57" spans="1:4" x14ac:dyDescent="0.45">
      <c r="A57">
        <v>55</v>
      </c>
      <c r="B57" t="s">
        <v>151</v>
      </c>
      <c r="C57" t="s">
        <v>141</v>
      </c>
      <c r="D57" t="s">
        <v>114</v>
      </c>
    </row>
    <row r="58" spans="1:4" x14ac:dyDescent="0.45">
      <c r="A58">
        <v>56</v>
      </c>
      <c r="B58" t="s">
        <v>152</v>
      </c>
      <c r="C58" t="s">
        <v>141</v>
      </c>
      <c r="D58" t="s">
        <v>118</v>
      </c>
    </row>
    <row r="59" spans="1:4" x14ac:dyDescent="0.45">
      <c r="A59">
        <v>57</v>
      </c>
      <c r="B59" t="s">
        <v>153</v>
      </c>
      <c r="C59" t="s">
        <v>141</v>
      </c>
      <c r="D59" t="s">
        <v>121</v>
      </c>
    </row>
    <row r="60" spans="1:4" x14ac:dyDescent="0.45">
      <c r="A60">
        <v>118</v>
      </c>
      <c r="B60" t="s">
        <v>257</v>
      </c>
    </row>
    <row r="61" spans="1:4" x14ac:dyDescent="0.45">
      <c r="A61">
        <v>70</v>
      </c>
      <c r="B61" t="s">
        <v>154</v>
      </c>
      <c r="C61" t="s">
        <v>87</v>
      </c>
    </row>
    <row r="62" spans="1:4" x14ac:dyDescent="0.45">
      <c r="A62">
        <v>71</v>
      </c>
      <c r="B62" t="s">
        <v>155</v>
      </c>
      <c r="C62" t="s">
        <v>87</v>
      </c>
      <c r="D62" t="s">
        <v>156</v>
      </c>
    </row>
    <row r="63" spans="1:4" x14ac:dyDescent="0.45">
      <c r="A63">
        <v>72</v>
      </c>
      <c r="B63" t="s">
        <v>157</v>
      </c>
      <c r="C63" t="s">
        <v>87</v>
      </c>
      <c r="D63" t="s">
        <v>158</v>
      </c>
    </row>
    <row r="64" spans="1:4" x14ac:dyDescent="0.45">
      <c r="A64">
        <v>73</v>
      </c>
      <c r="B64" t="s">
        <v>159</v>
      </c>
      <c r="C64" t="s">
        <v>87</v>
      </c>
      <c r="D64" t="s">
        <v>160</v>
      </c>
    </row>
    <row r="65" spans="1:4" x14ac:dyDescent="0.45">
      <c r="A65">
        <v>74</v>
      </c>
      <c r="B65" t="s">
        <v>161</v>
      </c>
      <c r="C65" t="s">
        <v>87</v>
      </c>
      <c r="D65" t="s">
        <v>162</v>
      </c>
    </row>
    <row r="66" spans="1:4" x14ac:dyDescent="0.45">
      <c r="A66">
        <v>75</v>
      </c>
      <c r="B66" t="s">
        <v>163</v>
      </c>
      <c r="C66" t="s">
        <v>87</v>
      </c>
      <c r="D66" t="s">
        <v>164</v>
      </c>
    </row>
    <row r="67" spans="1:4" x14ac:dyDescent="0.45">
      <c r="A67">
        <v>76</v>
      </c>
      <c r="B67" t="s">
        <v>165</v>
      </c>
      <c r="C67" t="s">
        <v>87</v>
      </c>
      <c r="D67" t="s">
        <v>166</v>
      </c>
    </row>
    <row r="68" spans="1:4" x14ac:dyDescent="0.45">
      <c r="A68">
        <v>77</v>
      </c>
      <c r="B68" t="s">
        <v>167</v>
      </c>
      <c r="C68" t="s">
        <v>87</v>
      </c>
      <c r="D68" t="s">
        <v>168</v>
      </c>
    </row>
    <row r="69" spans="1:4" x14ac:dyDescent="0.45">
      <c r="A69">
        <v>78</v>
      </c>
      <c r="B69" t="s">
        <v>169</v>
      </c>
      <c r="C69" t="s">
        <v>87</v>
      </c>
      <c r="D69" t="s">
        <v>170</v>
      </c>
    </row>
    <row r="70" spans="1:4" x14ac:dyDescent="0.45">
      <c r="A70">
        <v>79</v>
      </c>
      <c r="B70" t="s">
        <v>171</v>
      </c>
      <c r="C70" t="s">
        <v>87</v>
      </c>
      <c r="D70" t="s">
        <v>172</v>
      </c>
    </row>
    <row r="71" spans="1:4" x14ac:dyDescent="0.45">
      <c r="A71">
        <v>80</v>
      </c>
      <c r="B71" t="s">
        <v>173</v>
      </c>
      <c r="C71" t="s">
        <v>87</v>
      </c>
      <c r="D71" t="s">
        <v>174</v>
      </c>
    </row>
    <row r="72" spans="1:4" x14ac:dyDescent="0.45">
      <c r="A72">
        <v>81</v>
      </c>
      <c r="B72" t="s">
        <v>175</v>
      </c>
      <c r="C72" t="s">
        <v>87</v>
      </c>
      <c r="D72" t="s">
        <v>176</v>
      </c>
    </row>
    <row r="73" spans="1:4" x14ac:dyDescent="0.45">
      <c r="A73">
        <v>82</v>
      </c>
      <c r="B73" t="s">
        <v>177</v>
      </c>
      <c r="C73" t="s">
        <v>87</v>
      </c>
      <c r="D73" t="s">
        <v>176</v>
      </c>
    </row>
    <row r="74" spans="1:4" x14ac:dyDescent="0.45">
      <c r="A74">
        <v>83</v>
      </c>
      <c r="B74" t="s">
        <v>178</v>
      </c>
      <c r="C74" t="s">
        <v>87</v>
      </c>
      <c r="D74" t="s">
        <v>179</v>
      </c>
    </row>
    <row r="75" spans="1:4" x14ac:dyDescent="0.45">
      <c r="A75">
        <v>84</v>
      </c>
      <c r="B75" t="s">
        <v>180</v>
      </c>
      <c r="C75" t="s">
        <v>87</v>
      </c>
      <c r="D75" t="s">
        <v>181</v>
      </c>
    </row>
    <row r="76" spans="1:4" x14ac:dyDescent="0.45">
      <c r="A76">
        <v>85</v>
      </c>
      <c r="B76" t="s">
        <v>182</v>
      </c>
      <c r="C76" t="s">
        <v>87</v>
      </c>
      <c r="D76" t="s">
        <v>183</v>
      </c>
    </row>
    <row r="77" spans="1:4" x14ac:dyDescent="0.45">
      <c r="A77">
        <v>86</v>
      </c>
      <c r="B77" t="s">
        <v>184</v>
      </c>
      <c r="C77" t="s">
        <v>87</v>
      </c>
      <c r="D77" t="s">
        <v>185</v>
      </c>
    </row>
    <row r="78" spans="1:4" x14ac:dyDescent="0.45">
      <c r="A78">
        <v>87</v>
      </c>
      <c r="B78" t="s">
        <v>186</v>
      </c>
      <c r="C78" t="s">
        <v>87</v>
      </c>
      <c r="D78" t="s">
        <v>187</v>
      </c>
    </row>
    <row r="79" spans="1:4" x14ac:dyDescent="0.45">
      <c r="A79">
        <v>88</v>
      </c>
      <c r="B79" t="s">
        <v>188</v>
      </c>
      <c r="C79" t="s">
        <v>87</v>
      </c>
      <c r="D79" t="s">
        <v>189</v>
      </c>
    </row>
    <row r="80" spans="1:4" x14ac:dyDescent="0.45">
      <c r="A80">
        <v>89</v>
      </c>
      <c r="B80" t="s">
        <v>190</v>
      </c>
      <c r="C80" t="s">
        <v>101</v>
      </c>
      <c r="D80" t="s">
        <v>191</v>
      </c>
    </row>
    <row r="81" spans="1:4" x14ac:dyDescent="0.45">
      <c r="A81">
        <v>90</v>
      </c>
      <c r="B81" t="s">
        <v>192</v>
      </c>
      <c r="C81" t="s">
        <v>101</v>
      </c>
      <c r="D81" t="s">
        <v>193</v>
      </c>
    </row>
    <row r="82" spans="1:4" x14ac:dyDescent="0.45">
      <c r="A82">
        <v>91</v>
      </c>
      <c r="B82" t="s">
        <v>194</v>
      </c>
      <c r="C82" t="s">
        <v>101</v>
      </c>
      <c r="D82" t="s">
        <v>195</v>
      </c>
    </row>
    <row r="83" spans="1:4" x14ac:dyDescent="0.45">
      <c r="A83">
        <v>92</v>
      </c>
      <c r="B83" t="s">
        <v>196</v>
      </c>
      <c r="C83" t="s">
        <v>101</v>
      </c>
      <c r="D83" t="s">
        <v>197</v>
      </c>
    </row>
    <row r="84" spans="1:4" x14ac:dyDescent="0.45">
      <c r="A84">
        <v>93</v>
      </c>
      <c r="B84" t="s">
        <v>198</v>
      </c>
      <c r="C84" t="s">
        <v>101</v>
      </c>
      <c r="D84" t="s">
        <v>199</v>
      </c>
    </row>
    <row r="85" spans="1:4" x14ac:dyDescent="0.45">
      <c r="A85">
        <v>94</v>
      </c>
      <c r="B85" t="s">
        <v>200</v>
      </c>
      <c r="C85" t="s">
        <v>101</v>
      </c>
      <c r="D85" t="s">
        <v>201</v>
      </c>
    </row>
    <row r="86" spans="1:4" x14ac:dyDescent="0.45">
      <c r="A86">
        <v>95</v>
      </c>
      <c r="B86" t="s">
        <v>202</v>
      </c>
      <c r="C86" t="s">
        <v>101</v>
      </c>
      <c r="D86" t="s">
        <v>203</v>
      </c>
    </row>
    <row r="87" spans="1:4" x14ac:dyDescent="0.45">
      <c r="A87">
        <v>96</v>
      </c>
      <c r="B87" t="s">
        <v>204</v>
      </c>
      <c r="C87" t="s">
        <v>101</v>
      </c>
      <c r="D87" t="s">
        <v>205</v>
      </c>
    </row>
    <row r="88" spans="1:4" x14ac:dyDescent="0.45">
      <c r="A88">
        <v>97</v>
      </c>
      <c r="B88" t="s">
        <v>206</v>
      </c>
      <c r="C88" t="s">
        <v>101</v>
      </c>
      <c r="D88" t="s">
        <v>207</v>
      </c>
    </row>
    <row r="89" spans="1:4" x14ac:dyDescent="0.45">
      <c r="A89">
        <v>98</v>
      </c>
      <c r="B89" t="s">
        <v>208</v>
      </c>
      <c r="C89" t="s">
        <v>119</v>
      </c>
      <c r="D89" t="s">
        <v>193</v>
      </c>
    </row>
    <row r="90" spans="1:4" x14ac:dyDescent="0.45">
      <c r="A90">
        <v>99</v>
      </c>
      <c r="B90" t="s">
        <v>209</v>
      </c>
      <c r="C90" t="s">
        <v>119</v>
      </c>
      <c r="D90" t="s">
        <v>195</v>
      </c>
    </row>
    <row r="91" spans="1:4" x14ac:dyDescent="0.45">
      <c r="A91">
        <v>100</v>
      </c>
      <c r="B91" t="s">
        <v>210</v>
      </c>
      <c r="C91" t="s">
        <v>119</v>
      </c>
      <c r="D91" t="s">
        <v>197</v>
      </c>
    </row>
    <row r="92" spans="1:4" x14ac:dyDescent="0.45">
      <c r="A92">
        <v>101</v>
      </c>
      <c r="B92" t="s">
        <v>211</v>
      </c>
      <c r="C92" t="s">
        <v>119</v>
      </c>
      <c r="D92" t="s">
        <v>199</v>
      </c>
    </row>
    <row r="93" spans="1:4" x14ac:dyDescent="0.45">
      <c r="A93">
        <v>102</v>
      </c>
      <c r="B93" t="s">
        <v>212</v>
      </c>
      <c r="C93" t="s">
        <v>129</v>
      </c>
      <c r="D93" t="s">
        <v>193</v>
      </c>
    </row>
    <row r="94" spans="1:4" x14ac:dyDescent="0.45">
      <c r="A94">
        <v>103</v>
      </c>
      <c r="B94" t="s">
        <v>213</v>
      </c>
      <c r="C94" t="s">
        <v>129</v>
      </c>
      <c r="D94" t="s">
        <v>195</v>
      </c>
    </row>
    <row r="95" spans="1:4" x14ac:dyDescent="0.45">
      <c r="A95">
        <v>104</v>
      </c>
      <c r="B95" t="s">
        <v>214</v>
      </c>
      <c r="C95" t="s">
        <v>129</v>
      </c>
      <c r="D95" t="s">
        <v>197</v>
      </c>
    </row>
    <row r="96" spans="1:4" x14ac:dyDescent="0.45">
      <c r="A96">
        <v>105</v>
      </c>
      <c r="B96" t="s">
        <v>215</v>
      </c>
      <c r="C96" t="s">
        <v>129</v>
      </c>
      <c r="D96" t="s">
        <v>199</v>
      </c>
    </row>
    <row r="97" spans="1:4" x14ac:dyDescent="0.45">
      <c r="A97">
        <v>106</v>
      </c>
      <c r="B97" t="s">
        <v>216</v>
      </c>
      <c r="C97" t="s">
        <v>141</v>
      </c>
      <c r="D97" t="s">
        <v>193</v>
      </c>
    </row>
    <row r="98" spans="1:4" x14ac:dyDescent="0.45">
      <c r="A98">
        <v>107</v>
      </c>
      <c r="B98" t="s">
        <v>217</v>
      </c>
      <c r="C98" t="s">
        <v>141</v>
      </c>
      <c r="D98" t="s">
        <v>218</v>
      </c>
    </row>
    <row r="99" spans="1:4" x14ac:dyDescent="0.45">
      <c r="A99">
        <v>108</v>
      </c>
      <c r="B99" t="s">
        <v>219</v>
      </c>
      <c r="C99" t="s">
        <v>141</v>
      </c>
      <c r="D99" t="s">
        <v>195</v>
      </c>
    </row>
    <row r="100" spans="1:4" x14ac:dyDescent="0.45">
      <c r="A100">
        <v>109</v>
      </c>
      <c r="B100" t="s">
        <v>220</v>
      </c>
      <c r="C100" t="s">
        <v>141</v>
      </c>
      <c r="D100" t="s">
        <v>197</v>
      </c>
    </row>
    <row r="101" spans="1:4" x14ac:dyDescent="0.45">
      <c r="A101">
        <v>110</v>
      </c>
      <c r="B101" t="s">
        <v>221</v>
      </c>
      <c r="C101" t="s">
        <v>141</v>
      </c>
      <c r="D101" t="s">
        <v>199</v>
      </c>
    </row>
    <row r="102" spans="1:4" x14ac:dyDescent="0.45">
      <c r="A102">
        <v>111</v>
      </c>
      <c r="B102" t="s">
        <v>222</v>
      </c>
      <c r="C102" t="s">
        <v>141</v>
      </c>
      <c r="D102" t="s">
        <v>205</v>
      </c>
    </row>
    <row r="103" spans="1:4" x14ac:dyDescent="0.45">
      <c r="A103">
        <v>112</v>
      </c>
      <c r="B103" t="s">
        <v>223</v>
      </c>
      <c r="C103" t="s">
        <v>141</v>
      </c>
      <c r="D103" t="s">
        <v>224</v>
      </c>
    </row>
    <row r="104" spans="1:4" x14ac:dyDescent="0.45">
      <c r="A104">
        <v>113</v>
      </c>
      <c r="B104" t="s">
        <v>225</v>
      </c>
      <c r="C104" t="s">
        <v>141</v>
      </c>
      <c r="D104" t="s">
        <v>207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4.25" x14ac:dyDescent="0.45"/>
  <sheetData>
    <row r="1" spans="1:11" x14ac:dyDescent="0.4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4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4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4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4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45">
      <c r="A8" t="s">
        <v>227</v>
      </c>
      <c r="B8" t="s">
        <v>228</v>
      </c>
      <c r="C8" t="s">
        <v>229</v>
      </c>
      <c r="D8" t="s">
        <v>255</v>
      </c>
    </row>
    <row r="9" spans="1:11" x14ac:dyDescent="0.4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45">
      <c r="A10" t="s">
        <v>226</v>
      </c>
    </row>
    <row r="11" spans="1:11" x14ac:dyDescent="0.4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4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45">
      <c r="B13">
        <v>3</v>
      </c>
      <c r="C13" t="s">
        <v>50</v>
      </c>
      <c r="D13" t="s">
        <v>235</v>
      </c>
      <c r="E13" s="333">
        <v>-0.2117</v>
      </c>
      <c r="F13">
        <v>0</v>
      </c>
    </row>
    <row r="14" spans="1:11" x14ac:dyDescent="0.45">
      <c r="B14">
        <v>4</v>
      </c>
      <c r="C14" t="s">
        <v>53</v>
      </c>
      <c r="D14" t="s">
        <v>236</v>
      </c>
      <c r="E14" s="333">
        <v>0.27120783067900001</v>
      </c>
      <c r="F14">
        <v>0.28080475059900001</v>
      </c>
    </row>
    <row r="15" spans="1:11" x14ac:dyDescent="0.4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58</v>
      </c>
      <c r="D16" t="s">
        <v>236</v>
      </c>
      <c r="E16" s="333">
        <v>-8.2865473150899996E-2</v>
      </c>
      <c r="F16">
        <v>0.12955742148800001</v>
      </c>
    </row>
    <row r="17" spans="2:6" x14ac:dyDescent="0.4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63</v>
      </c>
      <c r="D18" t="s">
        <v>235</v>
      </c>
      <c r="E18" s="333">
        <v>6.9400000000000003E-2</v>
      </c>
      <c r="F18">
        <v>0</v>
      </c>
    </row>
    <row r="19" spans="2:6" x14ac:dyDescent="0.45">
      <c r="B19">
        <v>9</v>
      </c>
      <c r="C19" t="s">
        <v>65</v>
      </c>
      <c r="D19" t="s">
        <v>236</v>
      </c>
      <c r="E19" s="333">
        <v>-9.5820044919499997E-2</v>
      </c>
      <c r="F19">
        <v>0.17082561533000001</v>
      </c>
    </row>
    <row r="20" spans="2:6" x14ac:dyDescent="0.4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4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4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4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45">
      <c r="B30">
        <v>20</v>
      </c>
      <c r="C30" t="s">
        <v>91</v>
      </c>
      <c r="D30" t="s">
        <v>236</v>
      </c>
      <c r="E30">
        <v>0.63771148688699997</v>
      </c>
      <c r="F30" s="333">
        <v>6.0015015733300002E-2</v>
      </c>
    </row>
    <row r="31" spans="2:6" x14ac:dyDescent="0.4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97</v>
      </c>
      <c r="D33" t="s">
        <v>236</v>
      </c>
      <c r="E33">
        <v>-2.4557170493427001</v>
      </c>
      <c r="F33">
        <v>0.27393549837699999</v>
      </c>
    </row>
    <row r="34" spans="2:6" x14ac:dyDescent="0.45">
      <c r="B34">
        <v>24</v>
      </c>
      <c r="C34" t="s">
        <v>99</v>
      </c>
      <c r="D34" t="s">
        <v>236</v>
      </c>
      <c r="E34">
        <v>0.10429329553199999</v>
      </c>
      <c r="F34" s="333">
        <v>1.6423300294899999E-2</v>
      </c>
    </row>
    <row r="35" spans="2:6" x14ac:dyDescent="0.45">
      <c r="B35">
        <v>25</v>
      </c>
      <c r="C35" t="s">
        <v>102</v>
      </c>
      <c r="D35" t="s">
        <v>235</v>
      </c>
      <c r="E35">
        <v>0</v>
      </c>
      <c r="F35" s="333">
        <v>0</v>
      </c>
    </row>
    <row r="36" spans="2:6" x14ac:dyDescent="0.45">
      <c r="B36">
        <v>26</v>
      </c>
      <c r="C36" t="s">
        <v>104</v>
      </c>
      <c r="D36" t="s">
        <v>236</v>
      </c>
      <c r="E36">
        <v>0.417326479157</v>
      </c>
      <c r="F36" s="333">
        <v>9.4301876730200004E-2</v>
      </c>
    </row>
    <row r="37" spans="2:6" x14ac:dyDescent="0.4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109</v>
      </c>
      <c r="D40" t="s">
        <v>236</v>
      </c>
      <c r="E40">
        <v>-0.91046169190000004</v>
      </c>
      <c r="F40" s="333">
        <v>9.2244527309799998E-2</v>
      </c>
    </row>
    <row r="41" spans="2:6" x14ac:dyDescent="0.45">
      <c r="B41">
        <v>31</v>
      </c>
      <c r="C41" t="s">
        <v>111</v>
      </c>
      <c r="D41" t="s">
        <v>236</v>
      </c>
      <c r="E41" s="333">
        <v>5.7553461640599997E-2</v>
      </c>
      <c r="F41" s="333">
        <v>1.69631861578E-2</v>
      </c>
    </row>
    <row r="42" spans="2:6" x14ac:dyDescent="0.45">
      <c r="B42">
        <v>32</v>
      </c>
      <c r="C42" t="s">
        <v>113</v>
      </c>
      <c r="D42" t="s">
        <v>236</v>
      </c>
      <c r="E42">
        <v>0.237798002151</v>
      </c>
      <c r="F42" s="333">
        <v>2.05709725741E-2</v>
      </c>
    </row>
    <row r="43" spans="2:6" x14ac:dyDescent="0.45">
      <c r="B43">
        <v>33</v>
      </c>
      <c r="C43" t="s">
        <v>115</v>
      </c>
      <c r="D43" t="s">
        <v>235</v>
      </c>
      <c r="E43">
        <v>0</v>
      </c>
      <c r="F43" s="333">
        <v>0</v>
      </c>
    </row>
    <row r="44" spans="2:6" x14ac:dyDescent="0.45">
      <c r="B44">
        <v>34</v>
      </c>
      <c r="C44" t="s">
        <v>117</v>
      </c>
      <c r="D44" t="s">
        <v>235</v>
      </c>
      <c r="E44">
        <v>0</v>
      </c>
      <c r="F44" s="333">
        <v>0</v>
      </c>
    </row>
    <row r="45" spans="2:6" x14ac:dyDescent="0.45">
      <c r="B45">
        <v>35</v>
      </c>
      <c r="C45" t="s">
        <v>120</v>
      </c>
      <c r="D45" t="s">
        <v>235</v>
      </c>
      <c r="E45">
        <v>0</v>
      </c>
      <c r="F45" s="333">
        <v>0</v>
      </c>
    </row>
    <row r="46" spans="2:6" x14ac:dyDescent="0.45">
      <c r="B46">
        <v>36</v>
      </c>
      <c r="C46" t="s">
        <v>122</v>
      </c>
      <c r="D46" t="s">
        <v>236</v>
      </c>
      <c r="E46" s="333">
        <v>0.61259135262599995</v>
      </c>
      <c r="F46" s="333">
        <v>9.8788050589500007E-2</v>
      </c>
    </row>
    <row r="47" spans="2:6" x14ac:dyDescent="0.4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128</v>
      </c>
      <c r="D51" t="s">
        <v>236</v>
      </c>
      <c r="E51">
        <v>-0.22141031751900001</v>
      </c>
      <c r="F51" s="333">
        <v>1.8224220405400001E-2</v>
      </c>
    </row>
    <row r="52" spans="2:6" x14ac:dyDescent="0.45">
      <c r="B52">
        <v>42</v>
      </c>
      <c r="C52" t="s">
        <v>130</v>
      </c>
      <c r="D52" t="s">
        <v>236</v>
      </c>
      <c r="E52">
        <v>0.64228876129599999</v>
      </c>
      <c r="F52" s="333">
        <v>2.3327425635499999E-2</v>
      </c>
    </row>
    <row r="53" spans="2:6" x14ac:dyDescent="0.45">
      <c r="B53">
        <v>43</v>
      </c>
      <c r="C53" t="s">
        <v>132</v>
      </c>
      <c r="D53" t="s">
        <v>236</v>
      </c>
      <c r="E53">
        <v>0.74588429254199995</v>
      </c>
      <c r="F53" s="333">
        <v>9.8514285453599998E-2</v>
      </c>
    </row>
    <row r="54" spans="2:6" x14ac:dyDescent="0.4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142</v>
      </c>
      <c r="D58" t="s">
        <v>236</v>
      </c>
      <c r="E58">
        <v>0.65760260093900003</v>
      </c>
      <c r="F58" s="333">
        <v>2.9500746847800002E-2</v>
      </c>
    </row>
    <row r="59" spans="2:6" x14ac:dyDescent="0.45">
      <c r="B59">
        <v>49</v>
      </c>
      <c r="C59" t="s">
        <v>144</v>
      </c>
      <c r="D59" t="s">
        <v>236</v>
      </c>
      <c r="E59">
        <v>0.201576719663</v>
      </c>
      <c r="F59" s="333">
        <v>0.11309559824400001</v>
      </c>
    </row>
    <row r="60" spans="2:6" x14ac:dyDescent="0.45">
      <c r="B60">
        <v>50</v>
      </c>
      <c r="C60" t="s">
        <v>145</v>
      </c>
      <c r="D60" t="s">
        <v>236</v>
      </c>
      <c r="E60">
        <v>-29.556856147209999</v>
      </c>
      <c r="F60">
        <v>2.50137650421</v>
      </c>
    </row>
    <row r="61" spans="2:6" x14ac:dyDescent="0.45">
      <c r="B61">
        <v>51</v>
      </c>
      <c r="C61" t="s">
        <v>146</v>
      </c>
      <c r="D61" t="s">
        <v>236</v>
      </c>
      <c r="E61">
        <v>-5.8091947247600002</v>
      </c>
      <c r="F61">
        <v>0.70645143226499996</v>
      </c>
    </row>
    <row r="62" spans="2:6" x14ac:dyDescent="0.45">
      <c r="B62">
        <v>52</v>
      </c>
      <c r="C62" t="s">
        <v>147</v>
      </c>
      <c r="D62" t="s">
        <v>236</v>
      </c>
      <c r="E62">
        <v>-1.94064618888</v>
      </c>
      <c r="F62">
        <v>0.24991877725200001</v>
      </c>
    </row>
    <row r="63" spans="2:6" x14ac:dyDescent="0.45">
      <c r="B63">
        <v>53</v>
      </c>
      <c r="C63" t="s">
        <v>148</v>
      </c>
      <c r="D63" t="s">
        <v>236</v>
      </c>
      <c r="E63">
        <v>-0.66321888748000002</v>
      </c>
      <c r="F63">
        <v>0.12393486604700001</v>
      </c>
    </row>
    <row r="64" spans="2:6" x14ac:dyDescent="0.45">
      <c r="B64">
        <v>54</v>
      </c>
      <c r="C64" t="s">
        <v>149</v>
      </c>
      <c r="D64" t="s">
        <v>236</v>
      </c>
      <c r="E64">
        <v>0.20818008309700001</v>
      </c>
      <c r="F64" s="333">
        <v>4.2700310294800002E-2</v>
      </c>
    </row>
    <row r="65" spans="2:6" x14ac:dyDescent="0.45">
      <c r="B65">
        <v>55</v>
      </c>
      <c r="C65" t="s">
        <v>151</v>
      </c>
      <c r="D65" t="s">
        <v>236</v>
      </c>
      <c r="E65">
        <v>0.42522231451499998</v>
      </c>
      <c r="F65" s="333">
        <v>4.5274903018000003E-2</v>
      </c>
    </row>
    <row r="66" spans="2:6" x14ac:dyDescent="0.45">
      <c r="B66">
        <v>56</v>
      </c>
      <c r="C66" t="s">
        <v>152</v>
      </c>
      <c r="D66" t="s">
        <v>236</v>
      </c>
      <c r="E66">
        <v>-0.743588483327</v>
      </c>
      <c r="F66" s="333">
        <v>4.4293261467400001E-2</v>
      </c>
    </row>
    <row r="67" spans="2:6" x14ac:dyDescent="0.45">
      <c r="B67">
        <v>57</v>
      </c>
      <c r="C67" t="s">
        <v>153</v>
      </c>
      <c r="D67" t="s">
        <v>235</v>
      </c>
      <c r="E67" s="333">
        <v>6.2100000000000002E-2</v>
      </c>
      <c r="F67" s="333">
        <v>0</v>
      </c>
    </row>
    <row r="68" spans="2:6" x14ac:dyDescent="0.45">
      <c r="B68">
        <v>118</v>
      </c>
      <c r="C68" t="s">
        <v>257</v>
      </c>
      <c r="D68" t="s">
        <v>235</v>
      </c>
      <c r="E68" s="333">
        <v>-3</v>
      </c>
      <c r="F68" s="333">
        <v>0</v>
      </c>
    </row>
    <row r="69" spans="2:6" x14ac:dyDescent="0.45">
      <c r="B69">
        <v>70</v>
      </c>
      <c r="C69" t="s">
        <v>154</v>
      </c>
      <c r="D69" t="s">
        <v>236</v>
      </c>
      <c r="E69">
        <v>0.29394695214400002</v>
      </c>
      <c r="F69" s="333">
        <v>8.1089668188599993E-3</v>
      </c>
    </row>
    <row r="70" spans="2:6" x14ac:dyDescent="0.4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4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4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4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4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4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4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4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4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4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4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2:11" x14ac:dyDescent="0.45">
      <c r="B113">
        <v>-1</v>
      </c>
    </row>
    <row r="114" spans="2:11" x14ac:dyDescent="0.45">
      <c r="B114">
        <v>10005</v>
      </c>
      <c r="C114" s="333">
        <v>-5981.59020986</v>
      </c>
      <c r="D114" s="333">
        <v>-29805.783655800002</v>
      </c>
      <c r="E114" s="333">
        <v>-17292.021287899999</v>
      </c>
    </row>
    <row r="115" spans="2:11" x14ac:dyDescent="0.4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topLeftCell="A4" zoomScaleNormal="100" workbookViewId="0">
      <selection activeCell="E24" sqref="E24"/>
    </sheetView>
  </sheetViews>
  <sheetFormatPr defaultColWidth="9.1328125" defaultRowHeight="14.25" x14ac:dyDescent="0.45"/>
  <cols>
    <col min="1" max="2" style="295" width="9.1328125" collapsed="true"/>
    <col min="3" max="3" customWidth="true" style="295" width="12.73046875" collapsed="true"/>
    <col min="4" max="4" customWidth="true" style="294" width="18.86328125" collapsed="true"/>
    <col min="5" max="5" customWidth="true" style="295" width="39.3984375" collapsed="true"/>
    <col min="6" max="6" customWidth="true" style="295" width="12.73046875" collapsed="true"/>
    <col min="7" max="7" customWidth="true" style="294" width="18.86328125" collapsed="true"/>
    <col min="8" max="8" customWidth="true" style="294" width="8.73046875" collapsed="true"/>
    <col min="9" max="9" bestFit="true" customWidth="true" style="294" width="6.59765625" collapsed="true"/>
    <col min="10" max="10" bestFit="true" customWidth="true" style="294" width="10.1328125" collapsed="true"/>
    <col min="11" max="11" bestFit="true" customWidth="true" style="294" width="9.86328125" collapsed="true"/>
    <col min="12" max="14" style="295" width="9.1328125" collapsed="true"/>
    <col min="15" max="15" customWidth="true" style="295" width="13.0" collapsed="true"/>
    <col min="16" max="16" bestFit="true" customWidth="true" style="297" width="19.59765625" collapsed="true"/>
    <col min="17" max="17" customWidth="true" style="354" width="19.59765625" collapsed="true"/>
    <col min="18" max="16384" style="295" width="9.1328125" collapsed="true"/>
  </cols>
  <sheetData>
    <row r="1" spans="3:23" x14ac:dyDescent="0.4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r="2" spans="3:23" ht="14.65" thickBot="1" x14ac:dyDescent="0.5">
      <c r="C2" s="296" t="s">
        <v>42</v>
      </c>
      <c r="M2" s="10" t="s">
        <v>90</v>
      </c>
      <c r="N2" s="10" t="s">
        <v>259</v>
      </c>
      <c r="O2" s="10" t="s">
        <v>260</v>
      </c>
      <c r="P2" s="358" t="s">
        <v>264</v>
      </c>
      <c r="Q2" s="355" t="s">
        <v>262</v>
      </c>
      <c r="T2" s="320"/>
      <c r="U2" s="296" t="s">
        <v>265</v>
      </c>
      <c r="V2"/>
      <c r="W2" s="320"/>
    </row>
    <row r="3" spans="3:23" x14ac:dyDescent="0.4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20"/>
    </row>
    <row r="4" spans="3:23" x14ac:dyDescent="0.45">
      <c r="C4" s="301" t="s">
        <v>46</v>
      </c>
      <c r="D4" s="302">
        <f>TLFD!B11</f>
        <v>26340.527496600098</v>
      </c>
      <c r="F4" s="301" t="s">
        <v>46</v>
      </c>
      <c r="G4" s="302">
        <f>TLFD!F11</f>
        <v>98951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6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45">
      <c r="C5" s="304" t="s">
        <v>49</v>
      </c>
      <c r="D5" s="305">
        <f>TLFD!B12+TLFD!B13+(TLFD!B14/2)</f>
        <v>116374.9164653949</v>
      </c>
      <c r="F5" s="304" t="s">
        <v>49</v>
      </c>
      <c r="G5" s="305">
        <f>TLFD!F12+TLFD!F13+(TLFD!F14/2)</f>
        <v>158721.5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6">
        <f t="shared" ref="Q5:Q68" si="0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45">
      <c r="C6" s="304" t="s">
        <v>52</v>
      </c>
      <c r="D6" s="305">
        <f>(TLFD!B14/2)+SUM(TLFD!B15:B20)</f>
        <v>382074.40701693262</v>
      </c>
      <c r="F6" s="304" t="s">
        <v>52</v>
      </c>
      <c r="G6" s="305">
        <f>(TLFD!F14/2)+SUM(TLFD!F15:F20)</f>
        <v>335657.5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6">
        <f t="shared" si="0"/>
        <v>0.27120783067900001</v>
      </c>
      <c r="T6">
        <v>4</v>
      </c>
      <c r="U6" s="320" t="s">
        <v>269</v>
      </c>
      <c r="V6" s="320"/>
      <c r="W6" s="320"/>
    </row>
    <row r="7" spans="3:23" x14ac:dyDescent="0.45">
      <c r="C7" s="307" t="s">
        <v>55</v>
      </c>
      <c r="D7" s="308">
        <f>SUM(TLFD!B21:B101)</f>
        <v>122977.70656891659</v>
      </c>
      <c r="F7" s="307" t="s">
        <v>55</v>
      </c>
      <c r="G7" s="308">
        <f>SUM(TLFD!F21:F101)</f>
        <v>106822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6">
        <f t="shared" si="0"/>
        <v>-0.34490013167299999</v>
      </c>
      <c r="T7" s="320">
        <v>5</v>
      </c>
      <c r="U7" s="320" t="s">
        <v>270</v>
      </c>
      <c r="V7" s="320"/>
      <c r="W7" s="320"/>
    </row>
    <row r="8" spans="3:23" ht="14.65" thickBot="1" x14ac:dyDescent="0.5">
      <c r="C8" s="310" t="s">
        <v>4</v>
      </c>
      <c r="D8" s="311">
        <f>SUM(D4:D7)</f>
        <v>647767.55754784413</v>
      </c>
      <c r="E8" s="312"/>
      <c r="F8" s="310" t="s">
        <v>4</v>
      </c>
      <c r="G8" s="311">
        <f>SUM(G4:G7)</f>
        <v>700152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6">
        <f t="shared" si="0"/>
        <v>-8.2865473150899996E-2</v>
      </c>
      <c r="T8" s="320"/>
      <c r="U8" s="320"/>
      <c r="V8" s="320"/>
      <c r="W8" s="320"/>
    </row>
    <row r="9" spans="3:23" x14ac:dyDescent="0.4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6">
        <f t="shared" si="0"/>
        <v>-3.9895313632499998</v>
      </c>
      <c r="T9" s="320"/>
      <c r="U9" s="357" t="s">
        <v>271</v>
      </c>
      <c r="V9" s="320"/>
      <c r="W9" s="320"/>
    </row>
    <row r="10" spans="3:23" ht="14.65" thickBot="1" x14ac:dyDescent="0.5">
      <c r="C10" s="313" t="s">
        <v>62</v>
      </c>
      <c r="H10" s="294" t="s">
        <v>284</v>
      </c>
      <c r="I10" s="377" t="s">
        <v>283</v>
      </c>
      <c r="J10" s="373"/>
      <c r="K10" s="373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6">
        <f t="shared" si="0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4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279</v>
      </c>
      <c r="J11" s="299" t="s">
        <v>280</v>
      </c>
      <c r="K11" s="299" t="s">
        <v>281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6">
        <f t="shared" si="0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45">
      <c r="C12" s="301" t="s">
        <v>46</v>
      </c>
      <c r="D12" s="315">
        <f>D4/D$8</f>
        <v>4.0663548505444541E-2</v>
      </c>
      <c r="F12" s="301" t="s">
        <v>46</v>
      </c>
      <c r="G12" s="315">
        <f>G4/G$8</f>
        <v>0.14132788308824371</v>
      </c>
      <c r="H12" s="378">
        <v>0</v>
      </c>
      <c r="I12" s="371">
        <f>D12/G12</f>
        <v>0.28772488214554681</v>
      </c>
      <c r="J12" s="370">
        <f>LN(I12)</f>
        <v>-1.2457505257356363</v>
      </c>
      <c r="K12" s="370">
        <f>H12*J12</f>
        <v>0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6">
        <f t="shared" si="0"/>
        <v>0.517563261484</v>
      </c>
      <c r="T12" s="320">
        <v>3</v>
      </c>
      <c r="U12" s="320" t="s">
        <v>273</v>
      </c>
      <c r="V12" s="320"/>
      <c r="W12" s="320"/>
    </row>
    <row r="13" spans="3:23" x14ac:dyDescent="0.45">
      <c r="C13" s="304" t="s">
        <v>49</v>
      </c>
      <c r="D13" s="316">
        <f t="shared" ref="D13:D16" si="1">D5/D$8</f>
        <v>0.17965536419566588</v>
      </c>
      <c r="F13" s="304" t="s">
        <v>49</v>
      </c>
      <c r="G13" s="316">
        <f t="shared" ref="G13:G16" si="2">G5/G$8</f>
        <v>0.22669577463179424</v>
      </c>
      <c r="H13" s="379">
        <v>0</v>
      </c>
      <c r="I13" s="371">
        <f t="shared" ref="I13:I15" si="3">D13/G13</f>
        <v>0.79249542470505796</v>
      </c>
      <c r="J13" s="370">
        <f t="shared" ref="J13" si="4">LN(I13)</f>
        <v>-0.23256854649019568</v>
      </c>
      <c r="K13" s="370">
        <f>H13*(J13-J12)</f>
        <v>0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6">
        <f t="shared" si="0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45">
      <c r="C14" s="304" t="s">
        <v>52</v>
      </c>
      <c r="D14" s="316">
        <f t="shared" si="1"/>
        <v>0.58983257584448046</v>
      </c>
      <c r="F14" s="304" t="s">
        <v>52</v>
      </c>
      <c r="G14" s="316">
        <f t="shared" si="2"/>
        <v>0.47940661456369477</v>
      </c>
      <c r="H14" s="379">
        <v>0</v>
      </c>
      <c r="I14" s="371"/>
      <c r="J14" s="370">
        <f>LN(I15)</f>
        <v>0.2186047235310152</v>
      </c>
      <c r="K14" s="370">
        <f>H15*J14</f>
        <v>0.2186047235310152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6">
        <f t="shared" si="0"/>
        <v>-0.80534348065299999</v>
      </c>
      <c r="T14" s="320">
        <v>5</v>
      </c>
      <c r="U14" s="293" t="s">
        <v>275</v>
      </c>
      <c r="V14" s="320"/>
      <c r="W14" s="320"/>
    </row>
    <row r="15" spans="3:23" ht="14.65" thickBot="1" x14ac:dyDescent="0.5">
      <c r="C15" s="307" t="s">
        <v>55</v>
      </c>
      <c r="D15" s="316">
        <f t="shared" si="1"/>
        <v>0.18984851145440926</v>
      </c>
      <c r="F15" s="307" t="s">
        <v>55</v>
      </c>
      <c r="G15" s="316">
        <f t="shared" si="2"/>
        <v>0.15256972771626731</v>
      </c>
      <c r="H15" s="379">
        <v>1</v>
      </c>
      <c r="I15" s="372">
        <f t="shared" si="3"/>
        <v>1.2443393214115779</v>
      </c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6">
        <f t="shared" si="0"/>
        <v>-0.51977799879300002</v>
      </c>
      <c r="T15" s="320">
        <v>6</v>
      </c>
      <c r="U15" s="320" t="s">
        <v>276</v>
      </c>
      <c r="V15" s="320"/>
      <c r="W15" s="320"/>
    </row>
    <row r="16" spans="3:23" ht="14.65" thickBot="1" x14ac:dyDescent="0.5">
      <c r="C16" s="310" t="s">
        <v>4</v>
      </c>
      <c r="D16" s="318">
        <f t="shared" si="1"/>
        <v>1</v>
      </c>
      <c r="E16" s="312"/>
      <c r="F16" s="310" t="s">
        <v>4</v>
      </c>
      <c r="G16" s="318">
        <f t="shared" si="2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6">
        <f t="shared" si="0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4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6">
        <f t="shared" si="0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4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6">
        <f t="shared" si="0"/>
        <v>-0.493022087256</v>
      </c>
    </row>
    <row r="19" spans="2:23" x14ac:dyDescent="0.45">
      <c r="C19" s="319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t="shared" si="0"/>
        <v>0</v>
      </c>
    </row>
    <row r="20" spans="2:23" x14ac:dyDescent="0.45">
      <c r="C20" s="319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t="shared" si="0"/>
        <v>0</v>
      </c>
    </row>
    <row r="21" spans="2:23" ht="14.65" thickBot="1" x14ac:dyDescent="0.5">
      <c r="C21" s="320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t="shared" si="0"/>
        <v>0</v>
      </c>
    </row>
    <row r="22" spans="2:23" x14ac:dyDescent="0.45">
      <c r="B22" s="349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6">
        <f t="shared" si="0"/>
        <v>0.63771148688699997</v>
      </c>
    </row>
    <row r="23" spans="2:23" x14ac:dyDescent="0.45">
      <c r="B23" s="350">
        <v>21</v>
      </c>
      <c r="C23" s="301" t="s">
        <v>46</v>
      </c>
      <c r="D23" s="362">
        <f>_xlfn.IFNA(VLOOKUP($B23,$N$3:$P$104,3,FALSE),0)</f>
        <v>-12.0946718381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-12.0946718381</v>
      </c>
      <c r="Q23" s="356">
        <f t="shared" si="0"/>
        <v>-12.0946718381</v>
      </c>
      <c r="R23" s="295" t="str">
        <f>VLOOKUP(N23,Coeff_Descr!$A$2:$E$104,4,FALSE)</f>
        <v>distanceFromOrigin4</v>
      </c>
    </row>
    <row r="24" spans="2:23" x14ac:dyDescent="0.45">
      <c r="B24" s="350">
        <v>22</v>
      </c>
      <c r="C24" s="304" t="s">
        <v>49</v>
      </c>
      <c r="D24" s="363">
        <f t="shared" ref="D24:D25" si="5">_xlfn.IFNA(VLOOKUP($B24,$N$3:$P$104,3,FALSE),0)</f>
        <v>-4.03623745316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-4.03623745316</v>
      </c>
      <c r="Q24" s="356">
        <f t="shared" si="0"/>
        <v>-4.03623745316</v>
      </c>
      <c r="R24" s="295" t="str">
        <f>VLOOKUP(N24,Coeff_Descr!$A$2:$E$104,4,FALSE)</f>
        <v>distanceFromOrigin8</v>
      </c>
    </row>
    <row r="25" spans="2:23" x14ac:dyDescent="0.45">
      <c r="B25" s="350">
        <v>23</v>
      </c>
      <c r="C25" s="304" t="s">
        <v>52</v>
      </c>
      <c r="D25" s="363">
        <f t="shared" si="5"/>
        <v>-2.4557170493427001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-2.4557170493427001</v>
      </c>
      <c r="Q25" s="356">
        <f t="shared" si="0"/>
        <v>-2.237112325811685</v>
      </c>
      <c r="R25" s="295" t="str">
        <f>VLOOKUP(N25,Coeff_Descr!$A$2:$E$104,4,FALSE)</f>
        <v>distanceFromOrigin9</v>
      </c>
    </row>
    <row r="26" spans="2:23" ht="14.65" thickBot="1" x14ac:dyDescent="0.5">
      <c r="B26" s="351"/>
      <c r="C26" s="324"/>
      <c r="D26" s="361"/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0.10429329553199999</v>
      </c>
      <c r="Q26" s="356">
        <f t="shared" si="0"/>
        <v>0.10429329553199999</v>
      </c>
    </row>
    <row r="27" spans="2:23" x14ac:dyDescent="0.45">
      <c r="C27" s="320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6">
        <f t="shared" si="0"/>
        <v>0</v>
      </c>
    </row>
    <row r="28" spans="2:23" x14ac:dyDescent="0.45">
      <c r="C28" s="320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6">
        <f t="shared" si="0"/>
        <v>0.417326479157</v>
      </c>
    </row>
    <row r="29" spans="2:23" x14ac:dyDescent="0.45">
      <c r="C29" s="319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6">
        <f t="shared" si="0"/>
        <v>-14.8384910501</v>
      </c>
    </row>
    <row r="30" spans="2:23" x14ac:dyDescent="0.45">
      <c r="C30" s="319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6">
        <f t="shared" si="0"/>
        <v>-5.1880432348000003</v>
      </c>
    </row>
    <row r="31" spans="2:23" ht="14.65" thickBot="1" x14ac:dyDescent="0.5">
      <c r="C31" s="320"/>
      <c r="D31" s="325"/>
      <c r="E31" s="320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6">
        <f t="shared" si="0"/>
        <v>-2.6156308707</v>
      </c>
    </row>
    <row r="32" spans="2:23" x14ac:dyDescent="0.45">
      <c r="B32" s="380" t="s">
        <v>259</v>
      </c>
      <c r="C32" s="381" t="s">
        <v>90</v>
      </c>
      <c r="D32" s="382"/>
      <c r="E32" s="381" t="s">
        <v>261</v>
      </c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6">
        <f t="shared" si="0"/>
        <v>-0.91046169190000004</v>
      </c>
    </row>
    <row r="33" spans="2:17" x14ac:dyDescent="0.45">
      <c r="B33" s="383">
        <f>B23</f>
        <v>21</v>
      </c>
      <c r="C33" s="384" t="s">
        <v>46</v>
      </c>
      <c r="D33" s="385">
        <f>K12</f>
        <v>0</v>
      </c>
      <c r="E33" s="386" t="s">
        <v>285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6">
        <f t="shared" si="0"/>
        <v>5.7553461640599997E-2</v>
      </c>
    </row>
    <row r="34" spans="2:17" x14ac:dyDescent="0.45">
      <c r="B34" s="383">
        <f t="shared" ref="B34:B35" si="6">B24</f>
        <v>22</v>
      </c>
      <c r="C34" s="387" t="s">
        <v>49</v>
      </c>
      <c r="D34" s="385">
        <f t="shared" ref="D34:D35" si="7">K13</f>
        <v>0</v>
      </c>
      <c r="E34" s="386" t="s">
        <v>286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6">
        <f t="shared" si="0"/>
        <v>0.237798002151</v>
      </c>
    </row>
    <row r="35" spans="2:17" x14ac:dyDescent="0.45">
      <c r="B35" s="383">
        <f t="shared" si="6"/>
        <v>23</v>
      </c>
      <c r="C35" s="387" t="s">
        <v>52</v>
      </c>
      <c r="D35" s="385">
        <f t="shared" si="7"/>
        <v>0.2186047235310152</v>
      </c>
      <c r="E35" s="386" t="s">
        <v>287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6">
        <f t="shared" si="0"/>
        <v>0</v>
      </c>
    </row>
    <row r="36" spans="2:17" ht="14.65" thickBot="1" x14ac:dyDescent="0.5">
      <c r="B36" s="388"/>
      <c r="C36" s="389"/>
      <c r="D36" s="390"/>
      <c r="E36" s="390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6">
        <f t="shared" si="0"/>
        <v>0</v>
      </c>
    </row>
    <row r="37" spans="2:17" x14ac:dyDescent="0.4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6">
        <f t="shared" si="0"/>
        <v>0</v>
      </c>
    </row>
    <row r="38" spans="2:17" x14ac:dyDescent="0.4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6">
        <f t="shared" si="0"/>
        <v>0.61259135262599995</v>
      </c>
    </row>
    <row r="39" spans="2:17" x14ac:dyDescent="0.45">
      <c r="C39" s="319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6">
        <f t="shared" si="0"/>
        <v>-20.810228388700001</v>
      </c>
    </row>
    <row r="40" spans="2:17" x14ac:dyDescent="0.45">
      <c r="C40" s="319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6">
        <f t="shared" si="0"/>
        <v>-7.1836373472300004</v>
      </c>
    </row>
    <row r="41" spans="2:17" ht="14.65" thickBot="1" x14ac:dyDescent="0.5">
      <c r="B41" s="352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6">
        <f t="shared" si="0"/>
        <v>-3.6600975390500001</v>
      </c>
    </row>
    <row r="42" spans="2:17" x14ac:dyDescent="0.45">
      <c r="B42" s="349" t="s">
        <v>259</v>
      </c>
      <c r="C42" s="321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6">
        <f t="shared" si="0"/>
        <v>-1.3605457273599999</v>
      </c>
    </row>
    <row r="43" spans="2:17" x14ac:dyDescent="0.45">
      <c r="B43" s="350">
        <f>B33</f>
        <v>21</v>
      </c>
      <c r="C43" s="301" t="s">
        <v>46</v>
      </c>
      <c r="D43" s="359">
        <f>D23+D33</f>
        <v>-12.0946718381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6">
        <f t="shared" si="0"/>
        <v>-0.22141031751900001</v>
      </c>
    </row>
    <row r="44" spans="2:17" x14ac:dyDescent="0.45">
      <c r="B44" s="350">
        <f t="shared" ref="B44:B45" si="8">B34</f>
        <v>22</v>
      </c>
      <c r="C44" s="304" t="s">
        <v>49</v>
      </c>
      <c r="D44" s="359">
        <f t="shared" ref="D44:D45" si="9">D24+D34</f>
        <v>-4.03623745316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6">
        <f t="shared" si="0"/>
        <v>0.64228876129599999</v>
      </c>
    </row>
    <row r="45" spans="2:17" x14ac:dyDescent="0.45">
      <c r="B45" s="350">
        <f t="shared" si="8"/>
        <v>23</v>
      </c>
      <c r="C45" s="304" t="s">
        <v>52</v>
      </c>
      <c r="D45" s="359">
        <f t="shared" si="9"/>
        <v>-2.237112325811685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6">
        <f t="shared" si="0"/>
        <v>0.74588429254199995</v>
      </c>
    </row>
    <row r="46" spans="2:17" ht="14.65" thickBot="1" x14ac:dyDescent="0.5">
      <c r="B46" s="353"/>
      <c r="C46" s="324"/>
      <c r="D46" s="360"/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6">
        <f t="shared" si="0"/>
        <v>-32.156094092099998</v>
      </c>
    </row>
    <row r="47" spans="2:17" ht="14.65" thickTop="1" x14ac:dyDescent="0.4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6">
        <f t="shared" si="0"/>
        <v>-7.5551873767200002</v>
      </c>
    </row>
    <row r="48" spans="2:17" x14ac:dyDescent="0.4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6">
        <f t="shared" si="0"/>
        <v>-3.4784098231399998</v>
      </c>
    </row>
    <row r="49" spans="13:17" x14ac:dyDescent="0.4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6">
        <f t="shared" si="0"/>
        <v>-0.79171784712299997</v>
      </c>
    </row>
    <row r="50" spans="13:17" x14ac:dyDescent="0.4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6">
        <f t="shared" si="0"/>
        <v>0.65760260093900003</v>
      </c>
    </row>
    <row r="51" spans="13:17" x14ac:dyDescent="0.4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6">
        <f t="shared" si="0"/>
        <v>0.201576719663</v>
      </c>
    </row>
    <row r="52" spans="13:17" x14ac:dyDescent="0.4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-29.556856147209999</v>
      </c>
      <c r="Q52" s="356">
        <f t="shared" si="0"/>
        <v>-29.556856147209999</v>
      </c>
    </row>
    <row r="53" spans="13:17" x14ac:dyDescent="0.4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-5.8091947247600002</v>
      </c>
      <c r="Q53" s="356">
        <f t="shared" si="0"/>
        <v>-5.8091947247600002</v>
      </c>
    </row>
    <row r="54" spans="13:17" x14ac:dyDescent="0.4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-1.94064618888</v>
      </c>
      <c r="Q54" s="356">
        <f t="shared" si="0"/>
        <v>-1.94064618888</v>
      </c>
    </row>
    <row r="55" spans="13:17" x14ac:dyDescent="0.4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-0.66321888748000002</v>
      </c>
      <c r="Q55" s="356">
        <f t="shared" si="0"/>
        <v>-0.66321888748000002</v>
      </c>
    </row>
    <row r="56" spans="13:17" x14ac:dyDescent="0.4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6">
        <f t="shared" si="0"/>
        <v>0.20818008309700001</v>
      </c>
    </row>
    <row r="57" spans="13:17" x14ac:dyDescent="0.4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6">
        <f t="shared" si="0"/>
        <v>0.42522231451499998</v>
      </c>
    </row>
    <row r="58" spans="13:17" x14ac:dyDescent="0.4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6">
        <f t="shared" si="0"/>
        <v>-0.743588483327</v>
      </c>
    </row>
    <row r="59" spans="13:17" x14ac:dyDescent="0.4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6">
        <f t="shared" si="0"/>
        <v>6.2100000000000002E-2</v>
      </c>
    </row>
    <row r="60" spans="13:17" x14ac:dyDescent="0.4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6">
        <f t="shared" si="0"/>
        <v>-3</v>
      </c>
    </row>
    <row r="61" spans="13:17" x14ac:dyDescent="0.4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6">
        <f t="shared" si="0"/>
        <v>0.29394695214400002</v>
      </c>
    </row>
    <row r="62" spans="13:17" x14ac:dyDescent="0.4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6">
        <f t="shared" si="0"/>
        <v>0</v>
      </c>
    </row>
    <row r="63" spans="13:17" x14ac:dyDescent="0.4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6">
        <f t="shared" si="0"/>
        <v>-6.2798471793299999</v>
      </c>
    </row>
    <row r="64" spans="13:17" x14ac:dyDescent="0.4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6">
        <f t="shared" si="0"/>
        <v>3.2962256518299999</v>
      </c>
    </row>
    <row r="65" spans="13:17" x14ac:dyDescent="0.4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6">
        <f t="shared" si="0"/>
        <v>-5.4150639062700003</v>
      </c>
    </row>
    <row r="66" spans="13:17" x14ac:dyDescent="0.4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6">
        <f t="shared" si="0"/>
        <v>-5.94820877094</v>
      </c>
    </row>
    <row r="67" spans="13:17" x14ac:dyDescent="0.4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6">
        <f t="shared" si="0"/>
        <v>-4.8479831726300002</v>
      </c>
    </row>
    <row r="68" spans="13:17" x14ac:dyDescent="0.4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6">
        <f t="shared" si="0"/>
        <v>-5.4883496585599998</v>
      </c>
    </row>
    <row r="69" spans="13:17" x14ac:dyDescent="0.4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6">
        <f t="shared" ref="Q69:Q104" si="10">_xlfn.IFNA(VLOOKUP(N69,$B$43:$D$46,3,FALSE),P69)</f>
        <v>-6.9308352438999998</v>
      </c>
    </row>
    <row r="70" spans="13:17" x14ac:dyDescent="0.4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6">
        <f t="shared" si="10"/>
        <v>-22.404820174200001</v>
      </c>
    </row>
    <row r="71" spans="13:17" x14ac:dyDescent="0.4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6">
        <f t="shared" si="10"/>
        <v>-2.8929233973800002</v>
      </c>
    </row>
    <row r="72" spans="13:17" x14ac:dyDescent="0.4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6">
        <f t="shared" si="10"/>
        <v>-2.5610724948299999</v>
      </c>
    </row>
    <row r="73" spans="13:17" x14ac:dyDescent="0.4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6">
        <f t="shared" si="10"/>
        <v>-6.7871010869299999</v>
      </c>
    </row>
    <row r="74" spans="13:17" x14ac:dyDescent="0.4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6">
        <f t="shared" si="10"/>
        <v>-7.1983706387300002</v>
      </c>
    </row>
    <row r="75" spans="13:17" x14ac:dyDescent="0.4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6">
        <f t="shared" si="10"/>
        <v>-6.5584328775399996</v>
      </c>
    </row>
    <row r="76" spans="13:17" x14ac:dyDescent="0.4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6">
        <f t="shared" si="10"/>
        <v>-7.3832576457999997</v>
      </c>
    </row>
    <row r="77" spans="13:17" x14ac:dyDescent="0.4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6">
        <f t="shared" si="10"/>
        <v>-8.5452246906399996</v>
      </c>
    </row>
    <row r="78" spans="13:17" x14ac:dyDescent="0.4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6">
        <f t="shared" si="10"/>
        <v>-24.633851965200002</v>
      </c>
    </row>
    <row r="79" spans="13:17" x14ac:dyDescent="0.4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6">
        <f t="shared" si="10"/>
        <v>0</v>
      </c>
    </row>
    <row r="80" spans="13:17" x14ac:dyDescent="0.4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6">
        <f t="shared" si="10"/>
        <v>-0.55009338373399996</v>
      </c>
    </row>
    <row r="81" spans="13:17" x14ac:dyDescent="0.4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6">
        <f t="shared" si="10"/>
        <v>-9.9117567037699992</v>
      </c>
    </row>
    <row r="82" spans="13:17" x14ac:dyDescent="0.4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6">
        <f t="shared" si="10"/>
        <v>-9.3194311560499994</v>
      </c>
    </row>
    <row r="83" spans="13:17" x14ac:dyDescent="0.4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6">
        <f t="shared" si="10"/>
        <v>-0.20086270196799999</v>
      </c>
    </row>
    <row r="84" spans="13:17" x14ac:dyDescent="0.4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6">
        <f t="shared" si="10"/>
        <v>-2.1843835309699999</v>
      </c>
    </row>
    <row r="85" spans="13:17" x14ac:dyDescent="0.4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6">
        <f t="shared" si="10"/>
        <v>0</v>
      </c>
    </row>
    <row r="86" spans="13:17" x14ac:dyDescent="0.4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6">
        <f t="shared" si="10"/>
        <v>-9.9476357147400005</v>
      </c>
    </row>
    <row r="87" spans="13:17" x14ac:dyDescent="0.4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6">
        <f t="shared" si="10"/>
        <v>-12.800107987600001</v>
      </c>
    </row>
    <row r="88" spans="13:17" x14ac:dyDescent="0.4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6">
        <f t="shared" si="10"/>
        <v>-30</v>
      </c>
    </row>
    <row r="89" spans="13:17" x14ac:dyDescent="0.4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6">
        <f t="shared" si="10"/>
        <v>-21.699928591700001</v>
      </c>
    </row>
    <row r="90" spans="13:17" x14ac:dyDescent="0.4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6">
        <f t="shared" si="10"/>
        <v>-17.700475093400001</v>
      </c>
    </row>
    <row r="91" spans="13:17" x14ac:dyDescent="0.4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6">
        <f t="shared" si="10"/>
        <v>-0.7</v>
      </c>
    </row>
    <row r="92" spans="13:17" x14ac:dyDescent="0.4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6">
        <f t="shared" si="10"/>
        <v>-17.8758745875</v>
      </c>
    </row>
    <row r="93" spans="13:17" x14ac:dyDescent="0.4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6">
        <f t="shared" si="10"/>
        <v>0</v>
      </c>
    </row>
    <row r="94" spans="13:17" x14ac:dyDescent="0.4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6">
        <f t="shared" si="10"/>
        <v>5</v>
      </c>
    </row>
    <row r="95" spans="13:17" x14ac:dyDescent="0.4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6">
        <f t="shared" si="10"/>
        <v>-30</v>
      </c>
    </row>
    <row r="96" spans="13:17" x14ac:dyDescent="0.4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6">
        <f t="shared" si="10"/>
        <v>-24.158093970700001</v>
      </c>
    </row>
    <row r="97" spans="13:17" x14ac:dyDescent="0.4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6">
        <f t="shared" si="10"/>
        <v>-9.5803170794600003</v>
      </c>
    </row>
    <row r="98" spans="13:17" x14ac:dyDescent="0.4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6">
        <f t="shared" si="10"/>
        <v>0</v>
      </c>
    </row>
    <row r="99" spans="13:17" x14ac:dyDescent="0.4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6">
        <f t="shared" si="10"/>
        <v>-15.671349338700001</v>
      </c>
    </row>
    <row r="100" spans="13:17" x14ac:dyDescent="0.4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6">
        <f t="shared" si="10"/>
        <v>-18.208541213899998</v>
      </c>
    </row>
    <row r="101" spans="13:17" x14ac:dyDescent="0.4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6">
        <f t="shared" si="10"/>
        <v>-11.2471450075</v>
      </c>
    </row>
    <row r="102" spans="13:17" x14ac:dyDescent="0.4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6">
        <f t="shared" si="10"/>
        <v>-10.0807778908</v>
      </c>
    </row>
    <row r="103" spans="13:17" x14ac:dyDescent="0.4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6">
        <f t="shared" si="10"/>
        <v>-5.6623999999999999</v>
      </c>
    </row>
    <row r="104" spans="13:17" x14ac:dyDescent="0.4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2022-01-21T23:36:55Z</dcterms:modified>
</cp:coreProperties>
</file>