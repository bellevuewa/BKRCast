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C01D0F81-8AF2-4F6D-A7BB-6F72B85A17F5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_1">TLFD!$B$11:$B$101</definedName>
    <definedName name="out_10">County_Flow!$M$7:$S$13</definedName>
    <definedName name="out_2">TLFD!$F$11:$F$101</definedName>
    <definedName name="out_3">TDFD!$B$11:$B$101</definedName>
    <definedName name="out_4">TDFD!$F$11:$F$101</definedName>
    <definedName name="out_5">TLFD!$K$11:$K$11</definedName>
    <definedName name="out_6">TLFD!$L$11:$L$11</definedName>
    <definedName name="out_7">TDFD!$K$11:$K$11</definedName>
    <definedName name="out_8">TDFD!$L$11:$L$11</definedName>
    <definedName name="out_9">County_Flow!$B$7:$H$13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6" l="1"/>
  <c r="D7" i="6"/>
  <c r="G6" i="6"/>
  <c r="G7" i="6"/>
  <c r="B34" i="6" l="1"/>
  <c r="B44" i="6" s="1"/>
  <c r="B35" i="6"/>
  <c r="B45" i="6" s="1"/>
  <c r="B33" i="6"/>
  <c r="B43" i="6" s="1"/>
  <c r="N4" i="6"/>
  <c r="M4" i="6" s="1"/>
  <c r="O4" i="6"/>
  <c r="P4" i="6"/>
  <c r="N5" i="6"/>
  <c r="M5" i="6" s="1"/>
  <c r="O5" i="6"/>
  <c r="P5" i="6"/>
  <c r="N6" i="6"/>
  <c r="M6" i="6" s="1"/>
  <c r="O6" i="6"/>
  <c r="P6" i="6"/>
  <c r="N7" i="6"/>
  <c r="M7" i="6" s="1"/>
  <c r="O7" i="6"/>
  <c r="P7" i="6"/>
  <c r="N8" i="6"/>
  <c r="M8" i="6" s="1"/>
  <c r="O8" i="6"/>
  <c r="P8" i="6"/>
  <c r="N9" i="6"/>
  <c r="M9" i="6" s="1"/>
  <c r="O9" i="6"/>
  <c r="P9" i="6"/>
  <c r="N10" i="6"/>
  <c r="M10" i="6" s="1"/>
  <c r="O10" i="6"/>
  <c r="P10" i="6"/>
  <c r="N11" i="6"/>
  <c r="M11" i="6" s="1"/>
  <c r="O11" i="6"/>
  <c r="P11" i="6"/>
  <c r="N12" i="6"/>
  <c r="M12" i="6" s="1"/>
  <c r="O12" i="6"/>
  <c r="P12" i="6"/>
  <c r="N13" i="6"/>
  <c r="M13" i="6" s="1"/>
  <c r="O13" i="6"/>
  <c r="P13" i="6"/>
  <c r="N14" i="6"/>
  <c r="M14" i="6" s="1"/>
  <c r="O14" i="6"/>
  <c r="P14" i="6"/>
  <c r="N15" i="6"/>
  <c r="M15" i="6" s="1"/>
  <c r="O15" i="6"/>
  <c r="P15" i="6"/>
  <c r="N16" i="6"/>
  <c r="O16" i="6"/>
  <c r="P16" i="6"/>
  <c r="N17" i="6"/>
  <c r="M17" i="6" s="1"/>
  <c r="O17" i="6"/>
  <c r="P17" i="6"/>
  <c r="N18" i="6"/>
  <c r="M18" i="6" s="1"/>
  <c r="O18" i="6"/>
  <c r="P18" i="6"/>
  <c r="N19" i="6"/>
  <c r="O19" i="6"/>
  <c r="P19" i="6"/>
  <c r="N20" i="6"/>
  <c r="M20" i="6" s="1"/>
  <c r="O20" i="6"/>
  <c r="P20" i="6"/>
  <c r="N21" i="6"/>
  <c r="M21" i="6" s="1"/>
  <c r="O21" i="6"/>
  <c r="P21" i="6"/>
  <c r="N22" i="6"/>
  <c r="O22" i="6"/>
  <c r="P22" i="6"/>
  <c r="N23" i="6"/>
  <c r="M23" i="6" s="1"/>
  <c r="O23" i="6"/>
  <c r="P23" i="6"/>
  <c r="N24" i="6"/>
  <c r="M24" i="6" s="1"/>
  <c r="O24" i="6"/>
  <c r="P24" i="6"/>
  <c r="N25" i="6"/>
  <c r="M25" i="6" s="1"/>
  <c r="O25" i="6"/>
  <c r="P25" i="6"/>
  <c r="N26" i="6"/>
  <c r="M26" i="6" s="1"/>
  <c r="O26" i="6"/>
  <c r="P26" i="6"/>
  <c r="N27" i="6"/>
  <c r="M27" i="6" s="1"/>
  <c r="O27" i="6"/>
  <c r="P27" i="6"/>
  <c r="N28" i="6"/>
  <c r="M28" i="6" s="1"/>
  <c r="O28" i="6"/>
  <c r="P28" i="6"/>
  <c r="N29" i="6"/>
  <c r="M29" i="6" s="1"/>
  <c r="O29" i="6"/>
  <c r="P29" i="6"/>
  <c r="N30" i="6"/>
  <c r="M30" i="6" s="1"/>
  <c r="O30" i="6"/>
  <c r="P30" i="6"/>
  <c r="N31" i="6"/>
  <c r="M31" i="6" s="1"/>
  <c r="O31" i="6"/>
  <c r="P31" i="6"/>
  <c r="N32" i="6"/>
  <c r="M32" i="6" s="1"/>
  <c r="O32" i="6"/>
  <c r="P32" i="6"/>
  <c r="N33" i="6"/>
  <c r="O33" i="6"/>
  <c r="P33" i="6"/>
  <c r="N34" i="6"/>
  <c r="O34" i="6"/>
  <c r="P34" i="6"/>
  <c r="N35" i="6"/>
  <c r="O35" i="6"/>
  <c r="P35" i="6"/>
  <c r="N36" i="6"/>
  <c r="M36" i="6" s="1"/>
  <c r="O36" i="6"/>
  <c r="P36" i="6"/>
  <c r="N37" i="6"/>
  <c r="M37" i="6" s="1"/>
  <c r="O37" i="6"/>
  <c r="P37" i="6"/>
  <c r="N38" i="6"/>
  <c r="M38" i="6" s="1"/>
  <c r="O38" i="6"/>
  <c r="P38" i="6"/>
  <c r="N39" i="6"/>
  <c r="M39" i="6" s="1"/>
  <c r="O39" i="6"/>
  <c r="P39" i="6"/>
  <c r="N40" i="6"/>
  <c r="M40" i="6" s="1"/>
  <c r="O40" i="6"/>
  <c r="P40" i="6"/>
  <c r="N41" i="6"/>
  <c r="M41" i="6" s="1"/>
  <c r="O41" i="6"/>
  <c r="P41" i="6"/>
  <c r="N42" i="6"/>
  <c r="M42" i="6" s="1"/>
  <c r="O42" i="6"/>
  <c r="P42" i="6"/>
  <c r="N43" i="6"/>
  <c r="M43" i="6" s="1"/>
  <c r="O43" i="6"/>
  <c r="P43" i="6"/>
  <c r="N44" i="6"/>
  <c r="M44" i="6" s="1"/>
  <c r="O44" i="6"/>
  <c r="P44" i="6"/>
  <c r="N45" i="6"/>
  <c r="M45" i="6" s="1"/>
  <c r="O45" i="6"/>
  <c r="P45" i="6"/>
  <c r="N46" i="6"/>
  <c r="M46" i="6" s="1"/>
  <c r="O46" i="6"/>
  <c r="P46" i="6"/>
  <c r="N47" i="6"/>
  <c r="O47" i="6"/>
  <c r="P47" i="6"/>
  <c r="N48" i="6"/>
  <c r="M48" i="6" s="1"/>
  <c r="O48" i="6"/>
  <c r="P48" i="6"/>
  <c r="N49" i="6"/>
  <c r="M49" i="6" s="1"/>
  <c r="O49" i="6"/>
  <c r="P49" i="6"/>
  <c r="N50" i="6"/>
  <c r="M50" i="6" s="1"/>
  <c r="O50" i="6"/>
  <c r="P50" i="6"/>
  <c r="N51" i="6"/>
  <c r="M51" i="6" s="1"/>
  <c r="O51" i="6"/>
  <c r="P51" i="6"/>
  <c r="N52" i="6"/>
  <c r="M52" i="6" s="1"/>
  <c r="O52" i="6"/>
  <c r="P52" i="6"/>
  <c r="N53" i="6"/>
  <c r="M53" i="6" s="1"/>
  <c r="O53" i="6"/>
  <c r="P53" i="6"/>
  <c r="N54" i="6"/>
  <c r="M54" i="6" s="1"/>
  <c r="O54" i="6"/>
  <c r="P54" i="6"/>
  <c r="N55" i="6"/>
  <c r="M55" i="6" s="1"/>
  <c r="O55" i="6"/>
  <c r="P55" i="6"/>
  <c r="N56" i="6"/>
  <c r="M56" i="6" s="1"/>
  <c r="O56" i="6"/>
  <c r="P56" i="6"/>
  <c r="N57" i="6"/>
  <c r="M57" i="6" s="1"/>
  <c r="O57" i="6"/>
  <c r="P57" i="6"/>
  <c r="N58" i="6"/>
  <c r="M58" i="6" s="1"/>
  <c r="O58" i="6"/>
  <c r="P58" i="6"/>
  <c r="N59" i="6"/>
  <c r="M59" i="6" s="1"/>
  <c r="O59" i="6"/>
  <c r="P59" i="6"/>
  <c r="N60" i="6"/>
  <c r="M60" i="6" s="1"/>
  <c r="O60" i="6"/>
  <c r="P60" i="6"/>
  <c r="N61" i="6"/>
  <c r="M61" i="6" s="1"/>
  <c r="O61" i="6"/>
  <c r="P61" i="6"/>
  <c r="N62" i="6"/>
  <c r="O62" i="6"/>
  <c r="P62" i="6"/>
  <c r="N63" i="6"/>
  <c r="O63" i="6"/>
  <c r="P63" i="6"/>
  <c r="N64" i="6"/>
  <c r="M64" i="6" s="1"/>
  <c r="O64" i="6"/>
  <c r="P64" i="6"/>
  <c r="N65" i="6"/>
  <c r="M65" i="6" s="1"/>
  <c r="O65" i="6"/>
  <c r="P65" i="6"/>
  <c r="N66" i="6"/>
  <c r="M66" i="6" s="1"/>
  <c r="O66" i="6"/>
  <c r="P66" i="6"/>
  <c r="N67" i="6"/>
  <c r="M67" i="6" s="1"/>
  <c r="O67" i="6"/>
  <c r="P67" i="6"/>
  <c r="N68" i="6"/>
  <c r="M68" i="6" s="1"/>
  <c r="O68" i="6"/>
  <c r="P68" i="6"/>
  <c r="N69" i="6"/>
  <c r="M69" i="6" s="1"/>
  <c r="O69" i="6"/>
  <c r="P69" i="6"/>
  <c r="N70" i="6"/>
  <c r="M70" i="6" s="1"/>
  <c r="O70" i="6"/>
  <c r="P70" i="6"/>
  <c r="N71" i="6"/>
  <c r="M71" i="6" s="1"/>
  <c r="O71" i="6"/>
  <c r="P71" i="6"/>
  <c r="N72" i="6"/>
  <c r="M72" i="6" s="1"/>
  <c r="O72" i="6"/>
  <c r="P72" i="6"/>
  <c r="N73" i="6"/>
  <c r="M73" i="6" s="1"/>
  <c r="O73" i="6"/>
  <c r="P73" i="6"/>
  <c r="N74" i="6"/>
  <c r="M74" i="6" s="1"/>
  <c r="O74" i="6"/>
  <c r="P74" i="6"/>
  <c r="N75" i="6"/>
  <c r="M75" i="6" s="1"/>
  <c r="O75" i="6"/>
  <c r="P75" i="6"/>
  <c r="N76" i="6"/>
  <c r="M76" i="6" s="1"/>
  <c r="O76" i="6"/>
  <c r="P76" i="6"/>
  <c r="N77" i="6"/>
  <c r="M77" i="6" s="1"/>
  <c r="O77" i="6"/>
  <c r="P77" i="6"/>
  <c r="N78" i="6"/>
  <c r="M78" i="6" s="1"/>
  <c r="O78" i="6"/>
  <c r="P78" i="6"/>
  <c r="N79" i="6"/>
  <c r="M79" i="6" s="1"/>
  <c r="O79" i="6"/>
  <c r="P79" i="6"/>
  <c r="N80" i="6"/>
  <c r="M80" i="6" s="1"/>
  <c r="O80" i="6"/>
  <c r="P80" i="6"/>
  <c r="N81" i="6"/>
  <c r="M81" i="6" s="1"/>
  <c r="O81" i="6"/>
  <c r="P81" i="6"/>
  <c r="N82" i="6"/>
  <c r="M82" i="6" s="1"/>
  <c r="O82" i="6"/>
  <c r="P82" i="6"/>
  <c r="N83" i="6"/>
  <c r="O83" i="6"/>
  <c r="P83" i="6"/>
  <c r="N84" i="6"/>
  <c r="M84" i="6" s="1"/>
  <c r="O84" i="6"/>
  <c r="P84" i="6"/>
  <c r="N85" i="6"/>
  <c r="M85" i="6" s="1"/>
  <c r="O85" i="6"/>
  <c r="P85" i="6"/>
  <c r="N86" i="6"/>
  <c r="M86" i="6" s="1"/>
  <c r="O86" i="6"/>
  <c r="P86" i="6"/>
  <c r="N87" i="6"/>
  <c r="M87" i="6" s="1"/>
  <c r="O87" i="6"/>
  <c r="P87" i="6"/>
  <c r="N88" i="6"/>
  <c r="O88" i="6"/>
  <c r="P88" i="6"/>
  <c r="N89" i="6"/>
  <c r="M89" i="6" s="1"/>
  <c r="O89" i="6"/>
  <c r="P89" i="6"/>
  <c r="N90" i="6"/>
  <c r="M90" i="6" s="1"/>
  <c r="O90" i="6"/>
  <c r="P90" i="6"/>
  <c r="N91" i="6"/>
  <c r="M91" i="6" s="1"/>
  <c r="O91" i="6"/>
  <c r="P91" i="6"/>
  <c r="N92" i="6"/>
  <c r="M92" i="6" s="1"/>
  <c r="O92" i="6"/>
  <c r="P92" i="6"/>
  <c r="N93" i="6"/>
  <c r="M93" i="6" s="1"/>
  <c r="O93" i="6"/>
  <c r="P93" i="6"/>
  <c r="N94" i="6"/>
  <c r="M94" i="6" s="1"/>
  <c r="O94" i="6"/>
  <c r="P94" i="6"/>
  <c r="N95" i="6"/>
  <c r="M95" i="6" s="1"/>
  <c r="O95" i="6"/>
  <c r="P95" i="6"/>
  <c r="N96" i="6"/>
  <c r="M96" i="6" s="1"/>
  <c r="O96" i="6"/>
  <c r="P96" i="6"/>
  <c r="N97" i="6"/>
  <c r="M97" i="6" s="1"/>
  <c r="O97" i="6"/>
  <c r="P97" i="6"/>
  <c r="N98" i="6"/>
  <c r="M98" i="6" s="1"/>
  <c r="O98" i="6"/>
  <c r="P98" i="6"/>
  <c r="N99" i="6"/>
  <c r="M99" i="6" s="1"/>
  <c r="O99" i="6"/>
  <c r="P99" i="6"/>
  <c r="N100" i="6"/>
  <c r="M100" i="6" s="1"/>
  <c r="O100" i="6"/>
  <c r="P100" i="6"/>
  <c r="N101" i="6"/>
  <c r="M101" i="6" s="1"/>
  <c r="O101" i="6"/>
  <c r="P101" i="6"/>
  <c r="N102" i="6"/>
  <c r="M102" i="6" s="1"/>
  <c r="O102" i="6"/>
  <c r="P102" i="6"/>
  <c r="N103" i="6"/>
  <c r="M103" i="6" s="1"/>
  <c r="O103" i="6"/>
  <c r="P103" i="6"/>
  <c r="N104" i="6"/>
  <c r="M104" i="6" s="1"/>
  <c r="O104" i="6"/>
  <c r="P104" i="6"/>
  <c r="P3" i="6"/>
  <c r="O3" i="6"/>
  <c r="N3" i="6"/>
  <c r="M3" i="6" s="1"/>
  <c r="Q8" i="6" l="1"/>
  <c r="R23" i="6"/>
  <c r="Q34" i="6"/>
  <c r="Q19" i="6"/>
  <c r="Q16" i="6"/>
  <c r="Q63" i="6"/>
  <c r="Q47" i="6"/>
  <c r="Q83" i="6"/>
  <c r="R25" i="6"/>
  <c r="Q35" i="6"/>
  <c r="Q33" i="6"/>
  <c r="Q88" i="6"/>
  <c r="R24" i="6"/>
  <c r="Q49" i="6"/>
  <c r="Q44" i="6"/>
  <c r="Q22" i="6"/>
  <c r="Q62" i="6"/>
  <c r="M33" i="6"/>
  <c r="M34" i="6"/>
  <c r="M35" i="6"/>
  <c r="M47" i="6"/>
  <c r="M83" i="6"/>
  <c r="Q60" i="6"/>
  <c r="Q84" i="6"/>
  <c r="M88" i="6"/>
  <c r="Q3" i="6"/>
  <c r="Q36" i="6"/>
  <c r="Q48" i="6"/>
  <c r="Q50" i="6"/>
  <c r="Q51" i="6"/>
  <c r="Q56" i="6"/>
  <c r="Q57" i="6"/>
  <c r="M16" i="6"/>
  <c r="M19" i="6"/>
  <c r="Q90" i="6"/>
  <c r="Q80" i="6"/>
  <c r="M62" i="6"/>
  <c r="Q81" i="6"/>
  <c r="M63" i="6"/>
  <c r="Q82" i="6"/>
  <c r="Q45" i="6"/>
  <c r="Q85" i="6"/>
  <c r="Q46" i="6"/>
  <c r="Q86" i="6"/>
  <c r="Q87" i="6"/>
  <c r="M22" i="6"/>
  <c r="D23" i="6"/>
  <c r="Q58" i="6"/>
  <c r="D25" i="6"/>
  <c r="Q17" i="6"/>
  <c r="Q59" i="6"/>
  <c r="D24" i="6"/>
  <c r="Q104" i="6"/>
  <c r="Q18" i="6"/>
  <c r="Q61" i="6"/>
  <c r="Q20" i="6"/>
  <c r="Q72" i="6"/>
  <c r="Q26" i="6"/>
  <c r="Q73" i="6"/>
  <c r="Q27" i="6"/>
  <c r="Q74" i="6"/>
  <c r="Q21" i="6"/>
  <c r="Q32" i="6"/>
  <c r="Q75" i="6"/>
  <c r="Q89" i="6"/>
  <c r="Q91" i="6"/>
  <c r="Q64" i="6"/>
  <c r="Q92" i="6"/>
  <c r="Q9" i="6"/>
  <c r="Q37" i="6"/>
  <c r="Q65" i="6"/>
  <c r="Q93" i="6"/>
  <c r="Q10" i="6"/>
  <c r="Q38" i="6"/>
  <c r="Q66" i="6"/>
  <c r="Q94" i="6"/>
  <c r="Q11" i="6"/>
  <c r="Q39" i="6"/>
  <c r="Q67" i="6"/>
  <c r="Q95" i="6"/>
  <c r="Q12" i="6"/>
  <c r="Q40" i="6"/>
  <c r="Q68" i="6"/>
  <c r="Q96" i="6"/>
  <c r="Q13" i="6"/>
  <c r="Q41" i="6"/>
  <c r="Q69" i="6"/>
  <c r="Q97" i="6"/>
  <c r="Q14" i="6"/>
  <c r="Q42" i="6"/>
  <c r="Q70" i="6"/>
  <c r="Q98" i="6"/>
  <c r="Q15" i="6"/>
  <c r="Q43" i="6"/>
  <c r="Q71" i="6"/>
  <c r="Q99" i="6"/>
  <c r="Q4" i="6"/>
  <c r="Q28" i="6"/>
  <c r="Q52" i="6"/>
  <c r="Q76" i="6"/>
  <c r="Q100" i="6"/>
  <c r="Q5" i="6"/>
  <c r="Q29" i="6"/>
  <c r="Q53" i="6"/>
  <c r="Q77" i="6"/>
  <c r="Q101" i="6"/>
  <c r="Q6" i="6"/>
  <c r="Q30" i="6"/>
  <c r="Q54" i="6"/>
  <c r="Q78" i="6"/>
  <c r="Q102" i="6"/>
  <c r="Q7" i="6"/>
  <c r="Q31" i="6"/>
  <c r="Q55" i="6"/>
  <c r="Q79" i="6"/>
  <c r="Q103" i="6"/>
  <c r="S20" i="1"/>
  <c r="S21" i="1"/>
  <c r="S22" i="1"/>
  <c r="S23" i="1"/>
  <c r="S24" i="1"/>
  <c r="S25" i="1"/>
  <c r="S26" i="1"/>
  <c r="L13" i="1"/>
  <c r="H6" i="1"/>
  <c r="G5" i="6" l="1"/>
  <c r="D5" i="6"/>
  <c r="G4" i="6"/>
  <c r="D4" i="6"/>
  <c r="G8" i="6" l="1"/>
  <c r="G12" i="6" s="1"/>
  <c r="D8" i="6"/>
  <c r="D14" i="6" s="1"/>
  <c r="J13" i="1"/>
  <c r="H15" i="1"/>
  <c r="U13" i="1"/>
  <c r="S15" i="1"/>
  <c r="G13" i="6" l="1"/>
  <c r="G15" i="6"/>
  <c r="G14" i="6"/>
  <c r="G16" i="6"/>
  <c r="D26" i="1"/>
  <c r="H26" i="1"/>
  <c r="B26" i="1"/>
  <c r="E26" i="1"/>
  <c r="F26" i="1"/>
  <c r="C26" i="1"/>
  <c r="G26" i="1"/>
  <c r="D16" i="6"/>
  <c r="D13" i="6"/>
  <c r="D12" i="6"/>
  <c r="I12" i="6" s="1"/>
  <c r="J12" i="6" s="1"/>
  <c r="D15" i="6"/>
  <c r="U26" i="1"/>
  <c r="S28" i="1"/>
  <c r="N26" i="1"/>
  <c r="O26" i="1"/>
  <c r="P26" i="1"/>
  <c r="Q26" i="1"/>
  <c r="R26" i="1"/>
  <c r="M26" i="1"/>
  <c r="W39" i="1"/>
  <c r="L39" i="1"/>
  <c r="A39" i="1"/>
  <c r="L26" i="1"/>
  <c r="A26" i="1"/>
  <c r="AD32" i="1"/>
  <c r="S32" i="1"/>
  <c r="H32" i="1"/>
  <c r="S19" i="1"/>
  <c r="H19" i="1"/>
  <c r="S6" i="1"/>
  <c r="K12" i="6" l="1"/>
  <c r="D33" i="6" s="1"/>
  <c r="D43" i="6" s="1"/>
  <c r="Q23" i="6" s="1"/>
  <c r="I13" i="6"/>
  <c r="J13" i="6" s="1"/>
  <c r="I15" i="6"/>
  <c r="J14" i="6" s="1"/>
  <c r="K14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3" i="6" l="1"/>
  <c r="D34" i="6" s="1"/>
  <c r="D44" i="6" s="1"/>
  <c r="Q24" i="6" s="1"/>
  <c r="D35" i="6"/>
  <c r="D45" i="6" s="1"/>
  <c r="Q25" i="6" s="1"/>
  <c r="Q15" i="1"/>
  <c r="Q28" i="1" s="1"/>
  <c r="R15" i="1"/>
  <c r="R28" i="1" s="1"/>
  <c r="U10" i="1"/>
  <c r="U11" i="1"/>
  <c r="U12" i="1"/>
  <c r="J10" i="1"/>
  <c r="J11" i="1"/>
  <c r="J12" i="1"/>
  <c r="F15" i="1"/>
  <c r="G15" i="1"/>
  <c r="G23" i="1" l="1"/>
  <c r="H24" i="1"/>
  <c r="H25" i="1"/>
  <c r="H23" i="1"/>
  <c r="G25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2" i="1" l="1"/>
  <c r="H20" i="1"/>
  <c r="H21" i="1"/>
  <c r="J23" i="1"/>
  <c r="J25" i="1"/>
  <c r="J24" i="1"/>
  <c r="U20" i="1"/>
  <c r="U21" i="1"/>
  <c r="G21" i="1"/>
  <c r="J27" i="1"/>
  <c r="G22" i="1"/>
  <c r="F21" i="1"/>
  <c r="G20" i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G28" i="1" l="1"/>
  <c r="S33" i="1"/>
  <c r="S34" i="1"/>
  <c r="S35" i="1"/>
  <c r="S36" i="1"/>
  <c r="S38" i="1"/>
  <c r="S39" i="1"/>
  <c r="S37" i="1"/>
  <c r="P39" i="1"/>
  <c r="Q39" i="1"/>
  <c r="N39" i="1"/>
  <c r="R39" i="1"/>
  <c r="M39" i="1"/>
  <c r="O39" i="1"/>
  <c r="J20" i="1"/>
  <c r="H28" i="1"/>
  <c r="I28" i="1"/>
  <c r="S41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35" i="1" s="1"/>
  <c r="Y35" i="1" s="1"/>
  <c r="E38" i="1" l="1"/>
  <c r="AA38" i="1" s="1"/>
  <c r="C33" i="1"/>
  <c r="Y33" i="1" s="1"/>
  <c r="E33" i="1"/>
  <c r="AA33" i="1" s="1"/>
  <c r="I41" i="1"/>
  <c r="AE41" i="1" s="1"/>
  <c r="J37" i="1"/>
  <c r="AF37" i="1" s="1"/>
  <c r="D34" i="1"/>
  <c r="Z34" i="1" s="1"/>
  <c r="C39" i="1"/>
  <c r="Y39" i="1" s="1"/>
  <c r="F39" i="1"/>
  <c r="AB39" i="1" s="1"/>
  <c r="D39" i="1"/>
  <c r="Z39" i="1" s="1"/>
  <c r="E39" i="1"/>
  <c r="AA39" i="1" s="1"/>
  <c r="H39" i="1"/>
  <c r="AD39" i="1" s="1"/>
  <c r="B39" i="1"/>
  <c r="X39" i="1" s="1"/>
  <c r="G39" i="1"/>
  <c r="AC39" i="1" s="1"/>
  <c r="H35" i="1"/>
  <c r="AD35" i="1" s="1"/>
  <c r="H36" i="1"/>
  <c r="AD36" i="1" s="1"/>
  <c r="H38" i="1"/>
  <c r="AD38" i="1" s="1"/>
  <c r="H37" i="1"/>
  <c r="AD37" i="1" s="1"/>
  <c r="H34" i="1"/>
  <c r="AD34" i="1" s="1"/>
  <c r="H33" i="1"/>
  <c r="AD33" i="1" s="1"/>
  <c r="G36" i="1"/>
  <c r="AC36" i="1" s="1"/>
  <c r="D33" i="1"/>
  <c r="Z33" i="1" s="1"/>
  <c r="E35" i="1"/>
  <c r="AA35" i="1" s="1"/>
  <c r="B33" i="1"/>
  <c r="X33" i="1" s="1"/>
  <c r="G33" i="1"/>
  <c r="AC33" i="1" s="1"/>
  <c r="C34" i="1"/>
  <c r="Y34" i="1" s="1"/>
  <c r="G38" i="1"/>
  <c r="AC38" i="1" s="1"/>
  <c r="E41" i="1"/>
  <c r="AA41" i="1" s="1"/>
  <c r="F33" i="1"/>
  <c r="AB33" i="1" s="1"/>
  <c r="G41" i="1"/>
  <c r="AC41" i="1" s="1"/>
  <c r="D35" i="1"/>
  <c r="Z35" i="1" s="1"/>
  <c r="G35" i="1"/>
  <c r="AC35" i="1" s="1"/>
  <c r="F41" i="1"/>
  <c r="AB41" i="1" s="1"/>
  <c r="B41" i="1"/>
  <c r="X41" i="1" s="1"/>
  <c r="J34" i="1"/>
  <c r="AF34" i="1" s="1"/>
  <c r="F35" i="1"/>
  <c r="AB35" i="1" s="1"/>
  <c r="C37" i="1"/>
  <c r="Y37" i="1" s="1"/>
  <c r="B37" i="1"/>
  <c r="X37" i="1" s="1"/>
  <c r="D41" i="1"/>
  <c r="Z41" i="1" s="1"/>
  <c r="B35" i="1"/>
  <c r="X35" i="1" s="1"/>
  <c r="B36" i="1"/>
  <c r="X36" i="1" s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J39" i="1"/>
  <c r="AF39" i="1" s="1"/>
  <c r="E37" i="1"/>
  <c r="AA37" i="1" s="1"/>
  <c r="J38" i="1"/>
  <c r="AF38" i="1" s="1"/>
  <c r="D36" i="1"/>
  <c r="Z36" i="1" s="1"/>
  <c r="H41" i="1"/>
  <c r="AD41" i="1" s="1"/>
  <c r="B34" i="1"/>
  <c r="X34" i="1" s="1"/>
  <c r="D38" i="1"/>
  <c r="Z38" i="1" s="1"/>
  <c r="J36" i="1"/>
  <c r="AF36" i="1" s="1"/>
  <c r="E34" i="1"/>
  <c r="AA34" i="1" s="1"/>
  <c r="G37" i="1"/>
  <c r="AC37" i="1" s="1"/>
</calcChain>
</file>

<file path=xl/sharedStrings.xml><?xml version="1.0" encoding="utf-8"?>
<sst xmlns="http://schemas.openxmlformats.org/spreadsheetml/2006/main" count="717" uniqueCount="288">
  <si>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</si>
  <si>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</si>
  <si>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</si>
  <si>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</si>
  <si>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</si>
  <si>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</si>
  <si>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</si>
  <si>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</si>
  <si>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</si>
  <si>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</si>
  <si>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</si>
  <si>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</si>
  <si>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</si>
  <si>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</si>
  <si>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</si>
  <si>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</si>
  <si>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</si>
  <si>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</si>
  <si>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</si>
  <si>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</si>
  <si>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</si>
  <si>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</si>
  <si>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</si>
  <si>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</si>
  <si>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</si>
  <si>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</si>
  <si>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</si>
  <si>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</si>
  <si>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</si>
  <si>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</si>
  <si>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</si>
  <si>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</si>
  <si>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</si>
  <si>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</si>
  <si>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</si>
  <si>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</si>
  <si>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</si>
  <si>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</si>
  <si>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</si>
  <si>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</si>
  <si>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</si>
  <si>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</si>
  <si>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</si>
  <si>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</si>
  <si>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</si>
  <si>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</si>
  <si>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</si>
  <si>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</si>
  <si>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</si>
  <si>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</si>
  <si>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</si>
  <si>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</si>
  <si>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</si>
  <si>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</si>
  <si>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</si>
  <si>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</si>
  <si>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</si>
  <si>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</si>
  <si>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</si>
  <si>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</si>
  <si>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</si>
  <si>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</si>
  <si>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</si>
  <si>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</si>
  <si>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</si>
  <si>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</si>
  <si>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</si>
  <si>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</si>
  <si>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</si>
  <si>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</si>
  <si>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</si>
  <si>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</si>
  <si>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</si>
  <si>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</si>
  <si>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</si>
  <si>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</si>
  <si>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</si>
  <si>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</si>
  <si>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</si>
  <si>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</si>
  <si>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</si>
  <si>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</si>
  <si>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</si>
  <si>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</si>
  <si>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</si>
  <si>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</si>
  <si>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</si>
  <si>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</si>
  <si>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</si>
  <si>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</si>
  <si>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</si>
  <si>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</si>
  <si>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</si>
  <si>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</si>
  <si>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</si>
  <si>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</si>
  <si>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</si>
  <si>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</si>
  <si>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</si>
  <si>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</si>
  <si>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</si>
  <si>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</si>
  <si>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</si>
  <si>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</si>
  <si>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</si>
  <si>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</si>
  <si>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</si>
  <si>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</si>
  <si>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</si>
  <si>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</si>
  <si>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</si>
  <si>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</si>
  <si>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</si>
  <si>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</si>
  <si>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</si>
  <si>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</si>
  <si>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</si>
  <si>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</si>
  <si>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</si>
  <si>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</si>
  <si>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</si>
  <si>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</si>
  <si>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</si>
  <si>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</si>
  <si>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</si>
  <si>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</si>
  <si>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</si>
  <si>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</si>
  <si>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</si>
  <si>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</si>
  <si>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</si>
  <si>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</si>
  <si>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</si>
  <si>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</si>
  <si>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</si>
  <si>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</si>
  <si>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</si>
  <si>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</si>
  <si>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</si>
  <si>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</si>
  <si>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</si>
  <si>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</si>
  <si>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</si>
  <si>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</si>
  <si>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</si>
  <si>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</si>
  <si>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</si>
  <si>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</si>
  <si>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</si>
  <si>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</si>
  <si>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</si>
  <si>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</si>
  <si>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</si>
  <si>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</si>
  <si>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</si>
  <si>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</si>
  <si>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</si>
  <si>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</si>
  <si>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</si>
  <si>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</si>
  <si>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</si>
  <si>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</si>
  <si>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</si>
  <si>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</si>
  <si>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</si>
  <si>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</si>
  <si>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</si>
  <si>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</si>
  <si>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</si>
  <si>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</si>
  <si>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</si>
  <si>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</si>
  <si>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</si>
  <si>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</si>
  <si>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</si>
  <si>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</si>
  <si>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</si>
  <si>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</si>
  <si>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</si>
  <si>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</si>
  <si>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</si>
  <si>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</si>
  <si>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</si>
  <si>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</si>
  <si>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</si>
  <si>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</si>
  <si>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</si>
  <si>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</si>
  <si>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</si>
  <si>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</si>
  <si>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</si>
  <si>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</si>
  <si>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</si>
  <si>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</si>
  <si>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</si>
  <si>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</si>
  <si>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</si>
  <si>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</si>
  <si>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</si>
  <si>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</si>
  <si>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</si>
  <si>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</si>
  <si>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</si>
  <si>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</si>
  <si>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</si>
  <si>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</si>
  <si>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</si>
  <si>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</si>
  <si>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</si>
  <si>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</si>
  <si>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</si>
  <si>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</si>
  <si>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</si>
  <si>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</si>
  <si>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</si>
  <si>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</si>
  <si>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</si>
  <si>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</si>
  <si>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</si>
  <si>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</si>
  <si>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</si>
  <si>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</si>
  <si>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</si>
  <si>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</si>
  <si>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</si>
  <si>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</si>
  <si>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</si>
  <si>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</si>
  <si>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</si>
  <si>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</si>
  <si>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</si>
  <si>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</si>
  <si>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</si>
  <si>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</si>
  <si>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</si>
  <si>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</si>
  <si>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</si>
  <si>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</si>
  <si>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</si>
  <si>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</si>
  <si>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</si>
  <si>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</si>
  <si>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</si>
  <si>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</si>
  <si>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</si>
  <si>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</si>
  <si>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</si>
  <si>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</si>
  <si>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</si>
  <si>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</si>
  <si>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</si>
  <si>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</si>
  <si>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</si>
  <si>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</si>
  <si>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</si>
  <si>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</si>
  <si>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</si>
  <si>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</si>
  <si>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</si>
  <si>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</si>
  <si>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</si>
  <si>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</si>
  <si>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</si>
  <si>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</si>
  <si>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</si>
  <si>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</si>
  <si>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</si>
  <si>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</si>
  <si>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</si>
  <si>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</si>
  <si>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</si>
  <si>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</si>
  <si>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</si>
  <si>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</si>
  <si>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</si>
  <si>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</si>
  <si>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</si>
  <si>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</si>
  <si>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</si>
  <si>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RATIO</t>
  </si>
  <si>
    <t>LN(RATIO)</t>
  </si>
  <si>
    <t>ADJ</t>
  </si>
  <si>
    <t>Copy (Ctrl-c) cells Q3:Q104</t>
  </si>
  <si>
    <t>CALIBRATION</t>
  </si>
  <si>
    <t>Damp</t>
  </si>
  <si>
    <t>Distance from origin is 0-1 mile</t>
  </si>
  <si>
    <t>Distance from origin is 1-3.5 miles</t>
  </si>
  <si>
    <t>Distance from origin is 3.5-10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</si>
</sst>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169" fontId="0" fillId="0" borderId="3" xfId="8" applyNumberFormat="1" applyFont="1" applyBorder="1"/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0" fontId="0" fillId="0" borderId="12" xfId="0" applyFont="1" applyBorder="1" applyAlignment="1">
      <alignment horizontal="left"/>
    </xf>
    <xf numFmtId="167" fontId="0" fillId="0" borderId="0" xfId="0" applyNumberFormat="1" applyFont="1"/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1" fillId="0" borderId="0" xfId="0" applyNumberFormat="1" applyFont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6" fontId="7" fillId="4" borderId="1" xfId="0" applyNumberFormat="1" applyFont="1" applyFill="1" applyBorder="1" applyAlignment="1">
      <alignment horizontal="right"/>
    </xf>
    <xf numFmtId="166" fontId="7" fillId="4" borderId="6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171" fontId="0" fillId="0" borderId="0" xfId="0" applyNumberFormat="1" applyFont="1"/>
    <xf numFmtId="171" fontId="0" fillId="0" borderId="0" xfId="0" applyNumberFormat="1" applyFont="1" applyAlignment="1">
      <alignment horizontal="righ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" fontId="0" fillId="0" borderId="1" xfId="0" applyNumberFormat="1" applyFont="1" applyBorder="1" applyAlignment="1">
      <alignment horizontal="right"/>
    </xf>
    <xf numFmtId="170" fontId="0" fillId="0" borderId="1" xfId="0" applyNumberFormat="1" applyFont="1" applyBorder="1" applyAlignment="1">
      <alignment horizontal="right" vertical="top"/>
    </xf>
    <xf numFmtId="0" fontId="0" fillId="0" borderId="0" xfId="0" applyFont="1" applyBorder="1"/>
    <xf numFmtId="2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0" borderId="0" xfId="0" applyNumberFormat="1" applyFont="1" applyBorder="1" applyAlignment="1">
      <alignment horizontal="right" vertical="top"/>
    </xf>
    <xf numFmtId="172" fontId="0" fillId="0" borderId="0" xfId="0" applyNumberFormat="1" applyFont="1" applyAlignment="1">
      <alignment horizontal="right"/>
    </xf>
    <xf numFmtId="0" fontId="1" fillId="6" borderId="2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left"/>
    </xf>
    <xf numFmtId="1" fontId="6" fillId="6" borderId="2" xfId="0" applyNumberFormat="1" applyFont="1" applyFill="1" applyBorder="1" applyAlignment="1">
      <alignment horizontal="right"/>
    </xf>
    <xf numFmtId="0" fontId="0" fillId="6" borderId="0" xfId="0" applyFont="1" applyFill="1" applyAlignment="1">
      <alignment horizontal="left"/>
    </xf>
    <xf numFmtId="0" fontId="0" fillId="6" borderId="0" xfId="0" applyFont="1" applyFill="1" applyBorder="1" applyAlignment="1">
      <alignment horizontal="left" vertical="top"/>
    </xf>
    <xf numFmtId="166" fontId="7" fillId="6" borderId="0" xfId="0" applyNumberFormat="1" applyFont="1" applyFill="1" applyAlignment="1">
      <alignment horizontal="right"/>
    </xf>
    <xf numFmtId="0" fontId="0" fillId="6" borderId="0" xfId="0" applyFont="1" applyFill="1"/>
    <xf numFmtId="3" fontId="0" fillId="6" borderId="0" xfId="0" applyNumberFormat="1" applyFont="1" applyFill="1"/>
    <xf numFmtId="0" fontId="0" fillId="6" borderId="1" xfId="0" applyFont="1" applyFill="1" applyBorder="1" applyAlignment="1">
      <alignment horizontal="left"/>
    </xf>
    <xf numFmtId="3" fontId="0" fillId="6" borderId="1" xfId="0" applyNumberFormat="1" applyFont="1" applyFill="1" applyBorder="1"/>
    <xf numFmtId="166" fontId="7" fillId="6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4.0663548505444534E-2</c:v>
                </c:pt>
                <c:pt idx="1">
                  <c:v>5.4075128560358961E-2</c:v>
                </c:pt>
                <c:pt idx="2">
                  <c:v>7.1263169458941247E-2</c:v>
                </c:pt>
                <c:pt idx="3">
                  <c:v>0.1086341323527313</c:v>
                </c:pt>
                <c:pt idx="4">
                  <c:v>0.20221555173518957</c:v>
                </c:pt>
                <c:pt idx="5">
                  <c:v>8.7182570512387245E-2</c:v>
                </c:pt>
                <c:pt idx="6">
                  <c:v>0.12011221186629407</c:v>
                </c:pt>
                <c:pt idx="7">
                  <c:v>7.1789132269216654E-2</c:v>
                </c:pt>
                <c:pt idx="8">
                  <c:v>3.091890479280248E-2</c:v>
                </c:pt>
                <c:pt idx="9">
                  <c:v>2.3297138492224451E-2</c:v>
                </c:pt>
                <c:pt idx="10">
                  <c:v>7.0983326556598128E-2</c:v>
                </c:pt>
                <c:pt idx="11">
                  <c:v>1.236829340649597E-2</c:v>
                </c:pt>
                <c:pt idx="12">
                  <c:v>1.6574818158702539E-2</c:v>
                </c:pt>
                <c:pt idx="13">
                  <c:v>7.9620856270818403E-3</c:v>
                </c:pt>
                <c:pt idx="14">
                  <c:v>9.4429366990092124E-3</c:v>
                </c:pt>
                <c:pt idx="15">
                  <c:v>5.2172578020261299E-3</c:v>
                </c:pt>
                <c:pt idx="16">
                  <c:v>1.55637068578515E-2</c:v>
                </c:pt>
                <c:pt idx="17">
                  <c:v>1.4395788097115754E-2</c:v>
                </c:pt>
                <c:pt idx="18">
                  <c:v>1.4022051187162187E-2</c:v>
                </c:pt>
                <c:pt idx="19">
                  <c:v>3.1976208799237562E-3</c:v>
                </c:pt>
                <c:pt idx="20">
                  <c:v>1.4171558563406399E-3</c:v>
                </c:pt>
                <c:pt idx="21">
                  <c:v>2.8106520781222151E-3</c:v>
                </c:pt>
                <c:pt idx="22">
                  <c:v>2.3039300946086209E-3</c:v>
                </c:pt>
                <c:pt idx="23">
                  <c:v>1.1641621602611698E-3</c:v>
                </c:pt>
                <c:pt idx="24">
                  <c:v>1.3655160684095669E-3</c:v>
                </c:pt>
                <c:pt idx="25">
                  <c:v>0</c:v>
                </c:pt>
                <c:pt idx="26">
                  <c:v>3.8200666267687106E-4</c:v>
                </c:pt>
                <c:pt idx="27">
                  <c:v>2.8338534256362731E-3</c:v>
                </c:pt>
                <c:pt idx="28">
                  <c:v>1.9790544197180078E-3</c:v>
                </c:pt>
                <c:pt idx="29">
                  <c:v>8.3860491240621846E-4</c:v>
                </c:pt>
                <c:pt idx="30">
                  <c:v>0</c:v>
                </c:pt>
                <c:pt idx="31">
                  <c:v>5.684206346484161E-4</c:v>
                </c:pt>
                <c:pt idx="32">
                  <c:v>0</c:v>
                </c:pt>
                <c:pt idx="33">
                  <c:v>1.2045499525443111E-3</c:v>
                </c:pt>
                <c:pt idx="34">
                  <c:v>2.2024110653399423E-3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4.5183123787483363E-4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5.9847761385513093E-4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0.13190933455047632</c:v>
                </c:pt>
                <c:pt idx="1">
                  <c:v>0.12111011633078202</c:v>
                </c:pt>
                <c:pt idx="2">
                  <c:v>8.082882756360743E-2</c:v>
                </c:pt>
                <c:pt idx="3">
                  <c:v>5.4611977155162326E-2</c:v>
                </c:pt>
                <c:pt idx="4">
                  <c:v>0.19151423121035507</c:v>
                </c:pt>
                <c:pt idx="5">
                  <c:v>8.5052255225522552E-2</c:v>
                </c:pt>
                <c:pt idx="6">
                  <c:v>8.2616506331484207E-2</c:v>
                </c:pt>
                <c:pt idx="7">
                  <c:v>3.1231713596891603E-2</c:v>
                </c:pt>
                <c:pt idx="8">
                  <c:v>5.1095136109355614E-2</c:v>
                </c:pt>
                <c:pt idx="9">
                  <c:v>1.6861526578189734E-2</c:v>
                </c:pt>
                <c:pt idx="10">
                  <c:v>9.7429955761533602E-3</c:v>
                </c:pt>
                <c:pt idx="11">
                  <c:v>1.2076340612784682E-2</c:v>
                </c:pt>
                <c:pt idx="12">
                  <c:v>1.2270907941858016E-2</c:v>
                </c:pt>
                <c:pt idx="13">
                  <c:v>1.8122556936544718E-2</c:v>
                </c:pt>
                <c:pt idx="14">
                  <c:v>8.1557357863445926E-3</c:v>
                </c:pt>
                <c:pt idx="15">
                  <c:v>1.5812618495892144E-2</c:v>
                </c:pt>
                <c:pt idx="16">
                  <c:v>8.2084006272967729E-3</c:v>
                </c:pt>
                <c:pt idx="17">
                  <c:v>8.263991292746296E-3</c:v>
                </c:pt>
                <c:pt idx="18">
                  <c:v>5.7770404700044475E-3</c:v>
                </c:pt>
                <c:pt idx="19">
                  <c:v>4.4092175174964303E-3</c:v>
                </c:pt>
                <c:pt idx="20">
                  <c:v>4.3360719050628471E-3</c:v>
                </c:pt>
                <c:pt idx="21">
                  <c:v>6.229080354843995E-3</c:v>
                </c:pt>
                <c:pt idx="22">
                  <c:v>3.3939564169182877E-3</c:v>
                </c:pt>
                <c:pt idx="23">
                  <c:v>3.373475645436884E-3</c:v>
                </c:pt>
                <c:pt idx="24">
                  <c:v>3.649966060435831E-3</c:v>
                </c:pt>
                <c:pt idx="25">
                  <c:v>3.1467242468927745E-3</c:v>
                </c:pt>
                <c:pt idx="26">
                  <c:v>2.3786953163401447E-3</c:v>
                </c:pt>
                <c:pt idx="27">
                  <c:v>5.9408866418556748E-3</c:v>
                </c:pt>
                <c:pt idx="28">
                  <c:v>1.9822460969501207E-3</c:v>
                </c:pt>
                <c:pt idx="29">
                  <c:v>2.5469302249373875E-3</c:v>
                </c:pt>
                <c:pt idx="30">
                  <c:v>2.2031458464995437E-3</c:v>
                </c:pt>
                <c:pt idx="31">
                  <c:v>1.340027619783255E-3</c:v>
                </c:pt>
                <c:pt idx="32">
                  <c:v>1.1205907824825036E-3</c:v>
                </c:pt>
                <c:pt idx="33">
                  <c:v>1.0576855557896216E-3</c:v>
                </c:pt>
                <c:pt idx="34">
                  <c:v>1.0547597312922782E-3</c:v>
                </c:pt>
                <c:pt idx="35">
                  <c:v>7.4462233457388294E-4</c:v>
                </c:pt>
                <c:pt idx="36">
                  <c:v>7.9875008777473494E-4</c:v>
                </c:pt>
                <c:pt idx="37">
                  <c:v>8.3239706949418343E-4</c:v>
                </c:pt>
                <c:pt idx="38">
                  <c:v>7.4608524682255465E-4</c:v>
                </c:pt>
                <c:pt idx="39">
                  <c:v>4.8422395431032465E-4</c:v>
                </c:pt>
                <c:pt idx="40">
                  <c:v>3.9352339489268074E-4</c:v>
                </c:pt>
                <c:pt idx="41">
                  <c:v>3.2915525595112702E-4</c:v>
                </c:pt>
                <c:pt idx="42">
                  <c:v>2.413805210308265E-4</c:v>
                </c:pt>
                <c:pt idx="43">
                  <c:v>1.7701238208927276E-4</c:v>
                </c:pt>
                <c:pt idx="44">
                  <c:v>2.6478711700957331E-4</c:v>
                </c:pt>
                <c:pt idx="45">
                  <c:v>3.2915525595112702E-4</c:v>
                </c:pt>
                <c:pt idx="46">
                  <c:v>1.6969782084591439E-4</c:v>
                </c:pt>
                <c:pt idx="47">
                  <c:v>1.8140111883528778E-4</c:v>
                </c:pt>
                <c:pt idx="48">
                  <c:v>1.0386676965568898E-4</c:v>
                </c:pt>
                <c:pt idx="49">
                  <c:v>6.1442314444210374E-5</c:v>
                </c:pt>
                <c:pt idx="50">
                  <c:v>1.0240385740701729E-4</c:v>
                </c:pt>
                <c:pt idx="51">
                  <c:v>1.1703297989373405E-4</c:v>
                </c:pt>
                <c:pt idx="52">
                  <c:v>7.6071436930927132E-5</c:v>
                </c:pt>
                <c:pt idx="53">
                  <c:v>3.8035718465463566E-5</c:v>
                </c:pt>
                <c:pt idx="54">
                  <c:v>4.3887367460150268E-5</c:v>
                </c:pt>
                <c:pt idx="55">
                  <c:v>6.4368138941553728E-5</c:v>
                </c:pt>
                <c:pt idx="56">
                  <c:v>4.82761042061653E-5</c:v>
                </c:pt>
                <c:pt idx="57">
                  <c:v>4.6813191957493623E-5</c:v>
                </c:pt>
                <c:pt idx="58">
                  <c:v>2.7795332724761839E-5</c:v>
                </c:pt>
                <c:pt idx="59">
                  <c:v>1.1703297989373406E-5</c:v>
                </c:pt>
                <c:pt idx="60">
                  <c:v>3.3646981719448541E-5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4888"/>
        <c:axId val="116616848"/>
      </c:lineChart>
      <c:catAx>
        <c:axId val="11661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616848"/>
        <c:crosses val="autoZero"/>
        <c:auto val="1"/>
        <c:lblAlgn val="ctr"/>
        <c:lblOffset val="100"/>
        <c:tickLblSkip val="10"/>
        <c:noMultiLvlLbl val="0"/>
      </c:catAx>
      <c:valAx>
        <c:axId val="116616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488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7.8823411559398367E-3</c:v>
                </c:pt>
                <c:pt idx="1">
                  <c:v>8.3562248856167854E-3</c:v>
                </c:pt>
                <c:pt idx="2">
                  <c:v>8.3713929298280358E-3</c:v>
                </c:pt>
                <c:pt idx="3">
                  <c:v>1.3887582379366161E-2</c:v>
                </c:pt>
                <c:pt idx="4">
                  <c:v>9.8974462925424649E-3</c:v>
                </c:pt>
                <c:pt idx="5">
                  <c:v>1.6985692531482219E-2</c:v>
                </c:pt>
                <c:pt idx="6">
                  <c:v>1.7185250309230689E-2</c:v>
                </c:pt>
                <c:pt idx="7">
                  <c:v>1.9881504903815104E-2</c:v>
                </c:pt>
                <c:pt idx="8">
                  <c:v>1.0191671749939075E-2</c:v>
                </c:pt>
                <c:pt idx="9">
                  <c:v>2.0981580802418697E-2</c:v>
                </c:pt>
                <c:pt idx="10">
                  <c:v>1.0357147580466885E-2</c:v>
                </c:pt>
                <c:pt idx="11">
                  <c:v>2.0842847524058485E-2</c:v>
                </c:pt>
                <c:pt idx="12">
                  <c:v>3.060550247516633E-2</c:v>
                </c:pt>
                <c:pt idx="13">
                  <c:v>1.4305723522528763E-2</c:v>
                </c:pt>
                <c:pt idx="14">
                  <c:v>1.8950583561768639E-2</c:v>
                </c:pt>
                <c:pt idx="15">
                  <c:v>2.3695465101975727E-3</c:v>
                </c:pt>
                <c:pt idx="16">
                  <c:v>5.6311162799233011E-2</c:v>
                </c:pt>
                <c:pt idx="17">
                  <c:v>2.722691766788482E-2</c:v>
                </c:pt>
                <c:pt idx="18">
                  <c:v>7.8074047471600169E-2</c:v>
                </c:pt>
                <c:pt idx="19">
                  <c:v>3.3389973630763493E-2</c:v>
                </c:pt>
                <c:pt idx="20">
                  <c:v>6.8358493735521372E-2</c:v>
                </c:pt>
                <c:pt idx="21">
                  <c:v>6.1392263324781933E-2</c:v>
                </c:pt>
                <c:pt idx="22">
                  <c:v>5.5519315170052666E-2</c:v>
                </c:pt>
                <c:pt idx="23">
                  <c:v>3.2186193503114691E-2</c:v>
                </c:pt>
                <c:pt idx="24">
                  <c:v>3.7215309520792814E-2</c:v>
                </c:pt>
                <c:pt idx="25">
                  <c:v>2.7592935228613905E-2</c:v>
                </c:pt>
                <c:pt idx="26">
                  <c:v>4.8414079007517381E-2</c:v>
                </c:pt>
                <c:pt idx="27">
                  <c:v>1.1024747927221452E-2</c:v>
                </c:pt>
                <c:pt idx="28">
                  <c:v>1.8014299496391061E-2</c:v>
                </c:pt>
                <c:pt idx="29">
                  <c:v>3.4885734951102296E-2</c:v>
                </c:pt>
                <c:pt idx="30">
                  <c:v>1.2353079629854996E-2</c:v>
                </c:pt>
                <c:pt idx="31">
                  <c:v>7.9376718731913754E-3</c:v>
                </c:pt>
                <c:pt idx="32">
                  <c:v>8.1746205377270544E-3</c:v>
                </c:pt>
                <c:pt idx="33">
                  <c:v>1.1900248106359573E-2</c:v>
                </c:pt>
                <c:pt idx="34">
                  <c:v>1.4349643847000087E-2</c:v>
                </c:pt>
                <c:pt idx="35">
                  <c:v>2.954002277773332E-3</c:v>
                </c:pt>
                <c:pt idx="36">
                  <c:v>2.3242812027457799E-3</c:v>
                </c:pt>
                <c:pt idx="37">
                  <c:v>1.359478242994651E-2</c:v>
                </c:pt>
                <c:pt idx="38">
                  <c:v>1.06380446193555E-2</c:v>
                </c:pt>
                <c:pt idx="39">
                  <c:v>3.5742622827463718E-3</c:v>
                </c:pt>
                <c:pt idx="40">
                  <c:v>2.3929282252571162E-3</c:v>
                </c:pt>
                <c:pt idx="41">
                  <c:v>3.0843293804451331E-3</c:v>
                </c:pt>
                <c:pt idx="42">
                  <c:v>1.0681417618045735E-3</c:v>
                </c:pt>
                <c:pt idx="43">
                  <c:v>1.1246969877088814E-3</c:v>
                </c:pt>
                <c:pt idx="44">
                  <c:v>2.8306419963098719E-3</c:v>
                </c:pt>
                <c:pt idx="45">
                  <c:v>5.5595650358306291E-2</c:v>
                </c:pt>
                <c:pt idx="46">
                  <c:v>5.4168001738846524E-4</c:v>
                </c:pt>
                <c:pt idx="47">
                  <c:v>7.9364374921482345E-4</c:v>
                </c:pt>
                <c:pt idx="48">
                  <c:v>3.2708486205617177E-3</c:v>
                </c:pt>
                <c:pt idx="49">
                  <c:v>3.5547256340943354E-4</c:v>
                </c:pt>
                <c:pt idx="50">
                  <c:v>5.0137711532583504E-4</c:v>
                </c:pt>
                <c:pt idx="51">
                  <c:v>3.0142428411379424E-4</c:v>
                </c:pt>
                <c:pt idx="52">
                  <c:v>0</c:v>
                </c:pt>
                <c:pt idx="53">
                  <c:v>9.9069516062357107E-4</c:v>
                </c:pt>
                <c:pt idx="54">
                  <c:v>0</c:v>
                </c:pt>
                <c:pt idx="55">
                  <c:v>1.1519791040042698E-3</c:v>
                </c:pt>
                <c:pt idx="56">
                  <c:v>0</c:v>
                </c:pt>
                <c:pt idx="57">
                  <c:v>2.0609422399043126E-3</c:v>
                </c:pt>
                <c:pt idx="58">
                  <c:v>1.4146882543562936E-4</c:v>
                </c:pt>
                <c:pt idx="59">
                  <c:v>0</c:v>
                </c:pt>
                <c:pt idx="60">
                  <c:v>1.5041223076397066E-3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1.003118928914168E-2</c:v>
                </c:pt>
                <c:pt idx="1">
                  <c:v>2.7172132106827705E-2</c:v>
                </c:pt>
                <c:pt idx="2">
                  <c:v>3.4066837534817311E-2</c:v>
                </c:pt>
                <c:pt idx="3">
                  <c:v>3.8031329728717554E-2</c:v>
                </c:pt>
                <c:pt idx="4">
                  <c:v>3.7538328300915198E-2</c:v>
                </c:pt>
                <c:pt idx="5">
                  <c:v>3.5301535472696204E-2</c:v>
                </c:pt>
                <c:pt idx="6">
                  <c:v>3.3265161622545232E-2</c:v>
                </c:pt>
                <c:pt idx="7">
                  <c:v>3.1806638110619574E-2</c:v>
                </c:pt>
                <c:pt idx="8">
                  <c:v>2.8203485242141235E-2</c:v>
                </c:pt>
                <c:pt idx="9">
                  <c:v>2.5871603117758584E-2</c:v>
                </c:pt>
                <c:pt idx="10">
                  <c:v>2.2531774454041149E-2</c:v>
                </c:pt>
                <c:pt idx="11">
                  <c:v>2.0097488472251481E-2</c:v>
                </c:pt>
                <c:pt idx="12">
                  <c:v>1.7831437399059055E-2</c:v>
                </c:pt>
                <c:pt idx="13">
                  <c:v>1.53912997682747E-2</c:v>
                </c:pt>
                <c:pt idx="14">
                  <c:v>1.3499754230742223E-2</c:v>
                </c:pt>
                <c:pt idx="15">
                  <c:v>1.3581677316667836E-2</c:v>
                </c:pt>
                <c:pt idx="16">
                  <c:v>1.222263183765185E-2</c:v>
                </c:pt>
                <c:pt idx="17">
                  <c:v>1.0900159164852655E-2</c:v>
                </c:pt>
                <c:pt idx="18">
                  <c:v>0.12979688926339442</c:v>
                </c:pt>
                <c:pt idx="19">
                  <c:v>3.7753376401469932E-2</c:v>
                </c:pt>
                <c:pt idx="20">
                  <c:v>3.8811061957259557E-2</c:v>
                </c:pt>
                <c:pt idx="21">
                  <c:v>4.2137724410738944E-2</c:v>
                </c:pt>
                <c:pt idx="22">
                  <c:v>4.1738349366851578E-2</c:v>
                </c:pt>
                <c:pt idx="23">
                  <c:v>2.7363773611403693E-2</c:v>
                </c:pt>
                <c:pt idx="24">
                  <c:v>2.2451314280364208E-2</c:v>
                </c:pt>
                <c:pt idx="25">
                  <c:v>2.3251527280387613E-2</c:v>
                </c:pt>
                <c:pt idx="26">
                  <c:v>1.4297041406268286E-2</c:v>
                </c:pt>
                <c:pt idx="27">
                  <c:v>1.2613229408047188E-2</c:v>
                </c:pt>
                <c:pt idx="28">
                  <c:v>1.0588558855885588E-2</c:v>
                </c:pt>
                <c:pt idx="29">
                  <c:v>1.2567879128338367E-2</c:v>
                </c:pt>
                <c:pt idx="30">
                  <c:v>2.256688434800927E-2</c:v>
                </c:pt>
                <c:pt idx="31">
                  <c:v>1.0047281323877069E-2</c:v>
                </c:pt>
                <c:pt idx="32">
                  <c:v>1.4225358706083375E-2</c:v>
                </c:pt>
                <c:pt idx="33">
                  <c:v>8.0694239636729635E-3</c:v>
                </c:pt>
                <c:pt idx="34">
                  <c:v>1.3395887461086534E-2</c:v>
                </c:pt>
                <c:pt idx="35">
                  <c:v>6.2407836528333687E-3</c:v>
                </c:pt>
                <c:pt idx="36">
                  <c:v>6.0740116564847978E-3</c:v>
                </c:pt>
                <c:pt idx="37">
                  <c:v>6.995646373147953E-3</c:v>
                </c:pt>
                <c:pt idx="38">
                  <c:v>8.9427825761299526E-3</c:v>
                </c:pt>
                <c:pt idx="39">
                  <c:v>5.7814292067504625E-3</c:v>
                </c:pt>
                <c:pt idx="40">
                  <c:v>4.4574936217025955E-3</c:v>
                </c:pt>
                <c:pt idx="41">
                  <c:v>4.725206563209512E-3</c:v>
                </c:pt>
                <c:pt idx="42">
                  <c:v>3.4627132926058563E-3</c:v>
                </c:pt>
                <c:pt idx="43">
                  <c:v>4.3243686070734734E-3</c:v>
                </c:pt>
                <c:pt idx="44">
                  <c:v>4.4516419727079091E-3</c:v>
                </c:pt>
                <c:pt idx="45">
                  <c:v>4.0127682981064066E-3</c:v>
                </c:pt>
                <c:pt idx="46">
                  <c:v>3.5080635723146784E-3</c:v>
                </c:pt>
                <c:pt idx="47">
                  <c:v>2.4693958757577884E-3</c:v>
                </c:pt>
                <c:pt idx="48">
                  <c:v>2.1095194625845564E-3</c:v>
                </c:pt>
                <c:pt idx="49">
                  <c:v>3.9908246143763315E-3</c:v>
                </c:pt>
                <c:pt idx="50">
                  <c:v>1.6589424899936802E-3</c:v>
                </c:pt>
                <c:pt idx="51">
                  <c:v>2.0919645156004963E-3</c:v>
                </c:pt>
                <c:pt idx="52">
                  <c:v>1.5272803876132295E-3</c:v>
                </c:pt>
                <c:pt idx="53">
                  <c:v>1.4848559324017508E-3</c:v>
                </c:pt>
                <c:pt idx="54">
                  <c:v>1.1849589214240573E-3</c:v>
                </c:pt>
                <c:pt idx="55">
                  <c:v>1.5170400018725276E-3</c:v>
                </c:pt>
                <c:pt idx="56">
                  <c:v>1.5901856143061114E-3</c:v>
                </c:pt>
                <c:pt idx="57">
                  <c:v>9.6259625962596257E-4</c:v>
                </c:pt>
                <c:pt idx="58">
                  <c:v>8.6750696346230363E-4</c:v>
                </c:pt>
                <c:pt idx="59">
                  <c:v>7.3145612433583786E-4</c:v>
                </c:pt>
                <c:pt idx="60">
                  <c:v>5.968681974580437E-4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17240"/>
        <c:axId val="116615672"/>
      </c:lineChart>
      <c:catAx>
        <c:axId val="11661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615672"/>
        <c:crosses val="autoZero"/>
        <c:auto val="1"/>
        <c:lblAlgn val="ctr"/>
        <c:lblOffset val="100"/>
        <c:tickLblSkip val="10"/>
        <c:noMultiLvlLbl val="0"/>
      </c:catAx>
      <c:valAx>
        <c:axId val="1166156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61724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6" max="6" width="10.5703125" bestFit="1" customWidth="1" collapsed="1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>
        <v>26340.527496600098</v>
      </c>
      <c r="C11" s="11">
        <f>B11/B$102</f>
        <v>4.0663548505444534E-2</v>
      </c>
      <c r="E11" s="19">
        <v>0</v>
      </c>
      <c r="F11" s="337">
        <v>90169</v>
      </c>
      <c r="G11" s="11">
        <f>F11/F$102</f>
        <v>0.13190933455047632</v>
      </c>
      <c r="K11" s="8">
        <v>6.1568762160541111</v>
      </c>
      <c r="L11" s="8">
        <v>6.1419950151484928</v>
      </c>
    </row>
    <row r="12" spans="1:12" x14ac:dyDescent="0.25">
      <c r="A12">
        <v>1</v>
      </c>
      <c r="B12" s="335">
        <v>35028.113951629399</v>
      </c>
      <c r="C12" s="11">
        <f>B12/B$102</f>
        <v>5.4075128560358961E-2</v>
      </c>
      <c r="E12" s="20">
        <v>1</v>
      </c>
      <c r="F12" s="337">
        <v>82787</v>
      </c>
      <c r="G12" s="11">
        <f>F12/F$102</f>
        <v>0.12111011633078202</v>
      </c>
      <c r="K12" s="8"/>
      <c r="L12" s="289"/>
    </row>
    <row r="13" spans="1:12" x14ac:dyDescent="0.25">
      <c r="A13">
        <v>2</v>
      </c>
      <c r="B13" s="335">
        <v>46161.9692235365</v>
      </c>
      <c r="C13" s="11">
        <f t="shared" ref="C13:C76" si="0">B13/B$102</f>
        <v>7.1263169458941247E-2</v>
      </c>
      <c r="E13" s="21">
        <v>2</v>
      </c>
      <c r="F13" s="337">
        <v>55252</v>
      </c>
      <c r="G13" s="11">
        <f t="shared" ref="G13:G76" si="1">F13/F$102</f>
        <v>8.082882756360743E-2</v>
      </c>
    </row>
    <row r="14" spans="1:12" x14ac:dyDescent="0.25">
      <c r="A14">
        <v>3</v>
      </c>
      <c r="B14" s="335">
        <v>70369.666580457997</v>
      </c>
      <c r="C14" s="11">
        <f t="shared" si="0"/>
        <v>0.1086341323527313</v>
      </c>
      <c r="E14" s="22">
        <v>3</v>
      </c>
      <c r="F14" s="337">
        <v>37331</v>
      </c>
      <c r="G14" s="11">
        <f t="shared" si="1"/>
        <v>5.4611977155162326E-2</v>
      </c>
    </row>
    <row r="15" spans="1:12" x14ac:dyDescent="0.25">
      <c r="A15">
        <v>4</v>
      </c>
      <c r="B15" s="335">
        <v>130988.67404569349</v>
      </c>
      <c r="C15" s="11">
        <f t="shared" si="0"/>
        <v>0.20221555173518957</v>
      </c>
      <c r="E15" s="23">
        <v>4</v>
      </c>
      <c r="F15" s="337">
        <v>130913</v>
      </c>
      <c r="G15" s="11">
        <f t="shared" si="1"/>
        <v>0.19151423121035507</v>
      </c>
    </row>
    <row r="16" spans="1:12" x14ac:dyDescent="0.25">
      <c r="A16">
        <v>5</v>
      </c>
      <c r="B16" s="335">
        <v>56474.040761551798</v>
      </c>
      <c r="C16" s="11">
        <f t="shared" si="0"/>
        <v>8.7182570512387245E-2</v>
      </c>
      <c r="E16" s="24">
        <v>5</v>
      </c>
      <c r="F16" s="337">
        <v>58139</v>
      </c>
      <c r="G16" s="11">
        <f t="shared" si="1"/>
        <v>8.5052255225522552E-2</v>
      </c>
    </row>
    <row r="17" spans="1:7" x14ac:dyDescent="0.25">
      <c r="A17">
        <v>6</v>
      </c>
      <c r="B17" s="335">
        <v>77804.794112298507</v>
      </c>
      <c r="C17" s="11">
        <f t="shared" si="0"/>
        <v>0.12011221186629407</v>
      </c>
      <c r="E17" s="25">
        <v>6</v>
      </c>
      <c r="F17" s="337">
        <v>56474</v>
      </c>
      <c r="G17" s="11">
        <f t="shared" si="1"/>
        <v>8.2616506331484207E-2</v>
      </c>
    </row>
    <row r="18" spans="1:7" x14ac:dyDescent="0.25">
      <c r="A18">
        <v>7</v>
      </c>
      <c r="B18" s="335">
        <v>46502.670868509602</v>
      </c>
      <c r="C18" s="11">
        <f t="shared" si="0"/>
        <v>7.1789132269216654E-2</v>
      </c>
      <c r="E18" s="26">
        <v>7</v>
      </c>
      <c r="F18" s="337">
        <v>21349</v>
      </c>
      <c r="G18" s="11">
        <f t="shared" si="1"/>
        <v>3.1231713596891603E-2</v>
      </c>
    </row>
    <row r="19" spans="1:7" x14ac:dyDescent="0.25">
      <c r="A19">
        <v>8</v>
      </c>
      <c r="B19" s="335">
        <v>20028.263439687998</v>
      </c>
      <c r="C19" s="11">
        <f t="shared" si="0"/>
        <v>3.091890479280248E-2</v>
      </c>
      <c r="E19" s="27">
        <v>8</v>
      </c>
      <c r="F19" s="337">
        <v>34927</v>
      </c>
      <c r="G19" s="11">
        <f t="shared" si="1"/>
        <v>5.1095136109355614E-2</v>
      </c>
    </row>
    <row r="20" spans="1:7" x14ac:dyDescent="0.25">
      <c r="A20">
        <v>9</v>
      </c>
      <c r="B20" s="335">
        <v>15091.1304989621</v>
      </c>
      <c r="C20" s="11">
        <f t="shared" si="0"/>
        <v>2.3297138492224451E-2</v>
      </c>
      <c r="E20" s="28">
        <v>9</v>
      </c>
      <c r="F20" s="337">
        <v>11526</v>
      </c>
      <c r="G20" s="11">
        <f t="shared" si="1"/>
        <v>1.6861526578189734E-2</v>
      </c>
    </row>
    <row r="21" spans="1:7" x14ac:dyDescent="0.25">
      <c r="A21">
        <v>10</v>
      </c>
      <c r="B21" s="335">
        <v>45980.696070188598</v>
      </c>
      <c r="C21" s="11">
        <f t="shared" si="0"/>
        <v>7.0983326556598128E-2</v>
      </c>
      <c r="E21" s="29">
        <v>10</v>
      </c>
      <c r="F21" s="337">
        <v>6660</v>
      </c>
      <c r="G21" s="11">
        <f t="shared" si="1"/>
        <v>9.7429955761533602E-3</v>
      </c>
    </row>
    <row r="22" spans="1:7" x14ac:dyDescent="0.25">
      <c r="A22">
        <v>11</v>
      </c>
      <c r="B22" s="335">
        <v>8011.779210961</v>
      </c>
      <c r="C22" s="11">
        <f t="shared" si="0"/>
        <v>1.236829340649597E-2</v>
      </c>
      <c r="E22" s="30">
        <v>11</v>
      </c>
      <c r="F22" s="337">
        <v>8255</v>
      </c>
      <c r="G22" s="11">
        <f t="shared" si="1"/>
        <v>1.2076340612784682E-2</v>
      </c>
    </row>
    <row r="23" spans="1:7" x14ac:dyDescent="0.25">
      <c r="A23">
        <v>12</v>
      </c>
      <c r="B23" s="335">
        <v>10736.6294754624</v>
      </c>
      <c r="C23" s="11">
        <f t="shared" si="0"/>
        <v>1.6574818158702539E-2</v>
      </c>
      <c r="E23" s="31">
        <v>12</v>
      </c>
      <c r="F23" s="337">
        <v>8388</v>
      </c>
      <c r="G23" s="11">
        <f t="shared" si="1"/>
        <v>1.2270907941858016E-2</v>
      </c>
    </row>
    <row r="24" spans="1:7" x14ac:dyDescent="0.25">
      <c r="A24">
        <v>13</v>
      </c>
      <c r="B24" s="335">
        <v>5157.5807596415998</v>
      </c>
      <c r="C24" s="11">
        <f t="shared" si="0"/>
        <v>7.9620856270818403E-3</v>
      </c>
      <c r="E24" s="32">
        <v>13</v>
      </c>
      <c r="F24" s="337">
        <v>12388</v>
      </c>
      <c r="G24" s="11">
        <f t="shared" si="1"/>
        <v>1.8122556936544718E-2</v>
      </c>
    </row>
    <row r="25" spans="1:7" x14ac:dyDescent="0.25">
      <c r="A25">
        <v>14</v>
      </c>
      <c r="B25" s="335">
        <v>6116.8280415960999</v>
      </c>
      <c r="C25" s="11">
        <f t="shared" si="0"/>
        <v>9.4429366990092124E-3</v>
      </c>
      <c r="E25" s="33">
        <v>14</v>
      </c>
      <c r="F25" s="337">
        <v>5575</v>
      </c>
      <c r="G25" s="11">
        <f t="shared" si="1"/>
        <v>8.1557357863445926E-3</v>
      </c>
    </row>
    <row r="26" spans="1:7" x14ac:dyDescent="0.25">
      <c r="A26">
        <v>15</v>
      </c>
      <c r="B26" s="335">
        <v>3379.5703435159003</v>
      </c>
      <c r="C26" s="11">
        <f t="shared" si="0"/>
        <v>5.2172578020261299E-3</v>
      </c>
      <c r="E26" s="34">
        <v>15</v>
      </c>
      <c r="F26" s="337">
        <v>10809</v>
      </c>
      <c r="G26" s="11">
        <f t="shared" si="1"/>
        <v>1.5812618495892144E-2</v>
      </c>
    </row>
    <row r="27" spans="1:7" x14ac:dyDescent="0.25">
      <c r="A27">
        <v>16</v>
      </c>
      <c r="B27" s="335">
        <v>10081.6643777011</v>
      </c>
      <c r="C27" s="11">
        <f t="shared" si="0"/>
        <v>1.55637068578515E-2</v>
      </c>
      <c r="E27" s="35">
        <v>16</v>
      </c>
      <c r="F27" s="337">
        <v>5611</v>
      </c>
      <c r="G27" s="11">
        <f t="shared" si="1"/>
        <v>8.2084006272967729E-3</v>
      </c>
    </row>
    <row r="28" spans="1:7" x14ac:dyDescent="0.25">
      <c r="A28">
        <v>17</v>
      </c>
      <c r="B28" s="335">
        <v>9325.1244946450006</v>
      </c>
      <c r="C28" s="11">
        <f t="shared" si="0"/>
        <v>1.4395788097115754E-2</v>
      </c>
      <c r="E28" s="36">
        <v>17</v>
      </c>
      <c r="F28" s="337">
        <v>5649</v>
      </c>
      <c r="G28" s="11">
        <f t="shared" si="1"/>
        <v>8.263991292746296E-3</v>
      </c>
    </row>
    <row r="29" spans="1:7" x14ac:dyDescent="0.25">
      <c r="A29">
        <v>18</v>
      </c>
      <c r="B29" s="335">
        <v>9083.0298493189002</v>
      </c>
      <c r="C29" s="11">
        <f t="shared" si="0"/>
        <v>1.4022051187162187E-2</v>
      </c>
      <c r="E29" s="37">
        <v>18</v>
      </c>
      <c r="F29" s="337">
        <v>3949</v>
      </c>
      <c r="G29" s="11">
        <f t="shared" si="1"/>
        <v>5.7770404700044475E-3</v>
      </c>
    </row>
    <row r="30" spans="1:7" x14ac:dyDescent="0.25">
      <c r="A30">
        <v>19</v>
      </c>
      <c r="B30" s="335">
        <v>2071.3150673522</v>
      </c>
      <c r="C30" s="11">
        <f t="shared" si="0"/>
        <v>3.1976208799237562E-3</v>
      </c>
      <c r="E30" s="38">
        <v>19</v>
      </c>
      <c r="F30" s="337">
        <v>3014</v>
      </c>
      <c r="G30" s="11">
        <f t="shared" si="1"/>
        <v>4.4092175174964303E-3</v>
      </c>
    </row>
    <row r="31" spans="1:7" x14ac:dyDescent="0.25">
      <c r="A31">
        <v>20</v>
      </c>
      <c r="B31" s="335">
        <v>917.98758772639997</v>
      </c>
      <c r="C31" s="11">
        <f t="shared" si="0"/>
        <v>1.4171558563406399E-3</v>
      </c>
      <c r="E31" s="39">
        <v>20</v>
      </c>
      <c r="F31" s="337">
        <v>2964</v>
      </c>
      <c r="G31" s="11">
        <f t="shared" si="1"/>
        <v>4.3360719050628471E-3</v>
      </c>
    </row>
    <row r="32" spans="1:7" x14ac:dyDescent="0.25">
      <c r="A32">
        <v>21</v>
      </c>
      <c r="B32" s="335">
        <v>1820.649231762</v>
      </c>
      <c r="C32" s="11">
        <f t="shared" si="0"/>
        <v>2.8106520781222151E-3</v>
      </c>
      <c r="E32" s="40">
        <v>21</v>
      </c>
      <c r="F32" s="337">
        <v>4258</v>
      </c>
      <c r="G32" s="11">
        <f t="shared" si="1"/>
        <v>6.229080354843995E-3</v>
      </c>
    </row>
    <row r="33" spans="1:7" x14ac:dyDescent="0.25">
      <c r="A33">
        <v>22</v>
      </c>
      <c r="B33" s="335">
        <v>1492.4111701456</v>
      </c>
      <c r="C33" s="11">
        <f t="shared" si="0"/>
        <v>2.3039300946086209E-3</v>
      </c>
      <c r="E33" s="41">
        <v>22</v>
      </c>
      <c r="F33" s="337">
        <v>2320</v>
      </c>
      <c r="G33" s="11">
        <f t="shared" si="1"/>
        <v>3.3939564169182877E-3</v>
      </c>
    </row>
    <row r="34" spans="1:7" x14ac:dyDescent="0.25">
      <c r="A34">
        <v>23</v>
      </c>
      <c r="B34" s="335">
        <v>754.10647914200001</v>
      </c>
      <c r="C34" s="11">
        <f t="shared" si="0"/>
        <v>1.1641621602611698E-3</v>
      </c>
      <c r="E34" s="42">
        <v>23</v>
      </c>
      <c r="F34" s="337">
        <v>2306</v>
      </c>
      <c r="G34" s="11">
        <f t="shared" si="1"/>
        <v>3.373475645436884E-3</v>
      </c>
    </row>
    <row r="35" spans="1:7" x14ac:dyDescent="0.25">
      <c r="A35">
        <v>24</v>
      </c>
      <c r="B35" s="335">
        <v>884.53700842600006</v>
      </c>
      <c r="C35" s="11">
        <f t="shared" si="0"/>
        <v>1.3655160684095669E-3</v>
      </c>
      <c r="E35" s="43">
        <v>24</v>
      </c>
      <c r="F35" s="337">
        <v>2495</v>
      </c>
      <c r="G35" s="11">
        <f t="shared" si="1"/>
        <v>3.649966060435831E-3</v>
      </c>
    </row>
    <row r="36" spans="1:7" x14ac:dyDescent="0.25">
      <c r="A36">
        <v>25</v>
      </c>
      <c r="B36" s="335">
        <v>0</v>
      </c>
      <c r="C36" s="11">
        <f t="shared" si="0"/>
        <v>0</v>
      </c>
      <c r="E36" s="44">
        <v>25</v>
      </c>
      <c r="F36" s="337">
        <v>2151</v>
      </c>
      <c r="G36" s="11">
        <f t="shared" si="1"/>
        <v>3.1467242468927745E-3</v>
      </c>
    </row>
    <row r="37" spans="1:7" x14ac:dyDescent="0.25">
      <c r="A37">
        <v>26</v>
      </c>
      <c r="B37" s="335">
        <v>247.45152284919999</v>
      </c>
      <c r="C37" s="11">
        <f t="shared" si="0"/>
        <v>3.8200666267687106E-4</v>
      </c>
      <c r="E37" s="45">
        <v>26</v>
      </c>
      <c r="F37" s="337">
        <v>1626</v>
      </c>
      <c r="G37" s="11">
        <f t="shared" si="1"/>
        <v>2.3786953163401447E-3</v>
      </c>
    </row>
    <row r="38" spans="1:7" x14ac:dyDescent="0.25">
      <c r="A38">
        <v>27</v>
      </c>
      <c r="B38" s="335">
        <v>1835.6783119730001</v>
      </c>
      <c r="C38" s="11">
        <f t="shared" si="0"/>
        <v>2.8338534256362731E-3</v>
      </c>
      <c r="E38" s="46">
        <v>27</v>
      </c>
      <c r="F38" s="337">
        <v>4061</v>
      </c>
      <c r="G38" s="11">
        <f t="shared" si="1"/>
        <v>5.9408866418556748E-3</v>
      </c>
    </row>
    <row r="39" spans="1:7" x14ac:dyDescent="0.25">
      <c r="A39">
        <v>28</v>
      </c>
      <c r="B39" s="335">
        <v>1281.967247715</v>
      </c>
      <c r="C39" s="11">
        <f t="shared" si="0"/>
        <v>1.9790544197180078E-3</v>
      </c>
      <c r="E39" s="47">
        <v>28</v>
      </c>
      <c r="F39" s="337">
        <v>1355</v>
      </c>
      <c r="G39" s="11">
        <f t="shared" si="1"/>
        <v>1.9822460969501207E-3</v>
      </c>
    </row>
    <row r="40" spans="1:7" x14ac:dyDescent="0.25">
      <c r="A40">
        <v>29</v>
      </c>
      <c r="B40" s="335">
        <v>543.22105585700001</v>
      </c>
      <c r="C40" s="11">
        <f t="shared" si="0"/>
        <v>8.3860491240621846E-4</v>
      </c>
      <c r="E40" s="48">
        <v>29</v>
      </c>
      <c r="F40" s="337">
        <v>1741</v>
      </c>
      <c r="G40" s="11">
        <f t="shared" si="1"/>
        <v>2.5469302249373875E-3</v>
      </c>
    </row>
    <row r="41" spans="1:7" x14ac:dyDescent="0.25">
      <c r="A41">
        <v>30</v>
      </c>
      <c r="B41" s="335">
        <v>0</v>
      </c>
      <c r="C41" s="11">
        <f t="shared" si="0"/>
        <v>0</v>
      </c>
      <c r="E41" s="49">
        <v>30</v>
      </c>
      <c r="F41" s="337">
        <v>1506</v>
      </c>
      <c r="G41" s="11">
        <f t="shared" si="1"/>
        <v>2.2031458464995437E-3</v>
      </c>
    </row>
    <row r="42" spans="1:7" x14ac:dyDescent="0.25">
      <c r="A42">
        <v>31</v>
      </c>
      <c r="B42" s="335">
        <v>368.20444616600003</v>
      </c>
      <c r="C42" s="11">
        <f t="shared" si="0"/>
        <v>5.684206346484161E-4</v>
      </c>
      <c r="E42" s="50">
        <v>31</v>
      </c>
      <c r="F42" s="337">
        <v>916</v>
      </c>
      <c r="G42" s="11">
        <f t="shared" si="1"/>
        <v>1.340027619783255E-3</v>
      </c>
    </row>
    <row r="43" spans="1:7" x14ac:dyDescent="0.25">
      <c r="A43">
        <v>32</v>
      </c>
      <c r="B43" s="335">
        <v>0</v>
      </c>
      <c r="C43" s="11">
        <f t="shared" si="0"/>
        <v>0</v>
      </c>
      <c r="E43" s="51">
        <v>32</v>
      </c>
      <c r="F43" s="337">
        <v>766</v>
      </c>
      <c r="G43" s="11">
        <f t="shared" si="1"/>
        <v>1.1205907824825036E-3</v>
      </c>
    </row>
    <row r="44" spans="1:7" x14ac:dyDescent="0.25">
      <c r="A44">
        <v>33</v>
      </c>
      <c r="B44" s="335">
        <v>780.26838070400004</v>
      </c>
      <c r="C44" s="11">
        <f t="shared" si="0"/>
        <v>1.2045499525443111E-3</v>
      </c>
      <c r="E44" s="52">
        <v>33</v>
      </c>
      <c r="F44" s="337">
        <v>723</v>
      </c>
      <c r="G44" s="11">
        <f t="shared" si="1"/>
        <v>1.0576855557896216E-3</v>
      </c>
    </row>
    <row r="45" spans="1:7" x14ac:dyDescent="0.25">
      <c r="A45">
        <v>34</v>
      </c>
      <c r="B45" s="335">
        <v>1426.6504365116</v>
      </c>
      <c r="C45" s="11">
        <f t="shared" si="0"/>
        <v>2.2024110653399423E-3</v>
      </c>
      <c r="E45" s="53">
        <v>34</v>
      </c>
      <c r="F45" s="337">
        <v>721</v>
      </c>
      <c r="G45" s="11">
        <f t="shared" si="1"/>
        <v>1.0547597312922782E-3</v>
      </c>
    </row>
    <row r="46" spans="1:7" x14ac:dyDescent="0.25">
      <c r="A46">
        <v>35</v>
      </c>
      <c r="B46" s="335">
        <v>0</v>
      </c>
      <c r="C46" s="11">
        <f t="shared" si="0"/>
        <v>0</v>
      </c>
      <c r="E46" s="54">
        <v>35</v>
      </c>
      <c r="F46" s="337">
        <v>509</v>
      </c>
      <c r="G46" s="11">
        <f t="shared" si="1"/>
        <v>7.4462233457388294E-4</v>
      </c>
    </row>
    <row r="47" spans="1:7" x14ac:dyDescent="0.25">
      <c r="A47">
        <v>36</v>
      </c>
      <c r="B47" s="335">
        <v>0</v>
      </c>
      <c r="C47" s="11">
        <f t="shared" si="0"/>
        <v>0</v>
      </c>
      <c r="E47" s="55">
        <v>36</v>
      </c>
      <c r="F47" s="337">
        <v>546</v>
      </c>
      <c r="G47" s="11">
        <f t="shared" si="1"/>
        <v>7.9875008777473494E-4</v>
      </c>
    </row>
    <row r="48" spans="1:7" x14ac:dyDescent="0.25">
      <c r="A48">
        <v>37</v>
      </c>
      <c r="B48" s="335">
        <v>0</v>
      </c>
      <c r="C48" s="11">
        <f t="shared" si="0"/>
        <v>0</v>
      </c>
      <c r="E48" s="56">
        <v>37</v>
      </c>
      <c r="F48" s="337">
        <v>569</v>
      </c>
      <c r="G48" s="11">
        <f t="shared" si="1"/>
        <v>8.3239706949418343E-4</v>
      </c>
    </row>
    <row r="49" spans="1:7" x14ac:dyDescent="0.25">
      <c r="A49">
        <v>38</v>
      </c>
      <c r="B49" s="335">
        <v>292.68161738200001</v>
      </c>
      <c r="C49" s="11">
        <f t="shared" si="0"/>
        <v>4.5183123787483363E-4</v>
      </c>
      <c r="E49" s="57">
        <v>38</v>
      </c>
      <c r="F49" s="337">
        <v>510</v>
      </c>
      <c r="G49" s="11">
        <f t="shared" si="1"/>
        <v>7.4608524682255465E-4</v>
      </c>
    </row>
    <row r="50" spans="1:7" x14ac:dyDescent="0.25">
      <c r="A50">
        <v>39</v>
      </c>
      <c r="B50" s="335">
        <v>0</v>
      </c>
      <c r="C50" s="11">
        <f t="shared" si="0"/>
        <v>0</v>
      </c>
      <c r="E50" s="58">
        <v>39</v>
      </c>
      <c r="F50" s="337">
        <v>331</v>
      </c>
      <c r="G50" s="11">
        <f t="shared" si="1"/>
        <v>4.8422395431032465E-4</v>
      </c>
    </row>
    <row r="51" spans="1:7" x14ac:dyDescent="0.25">
      <c r="A51">
        <v>40</v>
      </c>
      <c r="B51" s="335">
        <v>0</v>
      </c>
      <c r="C51" s="11">
        <f t="shared" si="0"/>
        <v>0</v>
      </c>
      <c r="E51" s="59">
        <v>40</v>
      </c>
      <c r="F51" s="337">
        <v>269</v>
      </c>
      <c r="G51" s="11">
        <f t="shared" si="1"/>
        <v>3.9352339489268074E-4</v>
      </c>
    </row>
    <row r="52" spans="1:7" x14ac:dyDescent="0.25">
      <c r="A52">
        <v>41</v>
      </c>
      <c r="B52" s="335">
        <v>0</v>
      </c>
      <c r="C52" s="11">
        <f t="shared" si="0"/>
        <v>0</v>
      </c>
      <c r="E52" s="60">
        <v>41</v>
      </c>
      <c r="F52" s="337">
        <v>225</v>
      </c>
      <c r="G52" s="11">
        <f t="shared" si="1"/>
        <v>3.2915525595112702E-4</v>
      </c>
    </row>
    <row r="53" spans="1:7" x14ac:dyDescent="0.25">
      <c r="A53">
        <v>42</v>
      </c>
      <c r="B53" s="335">
        <v>0</v>
      </c>
      <c r="C53" s="11">
        <f t="shared" si="0"/>
        <v>0</v>
      </c>
      <c r="E53" s="61">
        <v>42</v>
      </c>
      <c r="F53" s="337">
        <v>165</v>
      </c>
      <c r="G53" s="11">
        <f t="shared" si="1"/>
        <v>2.413805210308265E-4</v>
      </c>
    </row>
    <row r="54" spans="1:7" x14ac:dyDescent="0.25">
      <c r="A54">
        <v>43</v>
      </c>
      <c r="B54" s="335">
        <v>0</v>
      </c>
      <c r="C54" s="11">
        <f t="shared" si="0"/>
        <v>0</v>
      </c>
      <c r="E54" s="62">
        <v>43</v>
      </c>
      <c r="F54" s="337">
        <v>121</v>
      </c>
      <c r="G54" s="11">
        <f t="shared" si="1"/>
        <v>1.7701238208927276E-4</v>
      </c>
    </row>
    <row r="55" spans="1:7" x14ac:dyDescent="0.25">
      <c r="A55">
        <v>44</v>
      </c>
      <c r="B55" s="335">
        <v>0</v>
      </c>
      <c r="C55" s="11">
        <f t="shared" si="0"/>
        <v>0</v>
      </c>
      <c r="E55" s="63">
        <v>44</v>
      </c>
      <c r="F55" s="337">
        <v>181</v>
      </c>
      <c r="G55" s="11">
        <f t="shared" si="1"/>
        <v>2.6478711700957331E-4</v>
      </c>
    </row>
    <row r="56" spans="1:7" x14ac:dyDescent="0.25">
      <c r="A56">
        <v>45</v>
      </c>
      <c r="B56" s="335">
        <v>0</v>
      </c>
      <c r="C56" s="11">
        <f t="shared" si="0"/>
        <v>0</v>
      </c>
      <c r="E56" s="64">
        <v>45</v>
      </c>
      <c r="F56" s="337">
        <v>225</v>
      </c>
      <c r="G56" s="11">
        <f t="shared" si="1"/>
        <v>3.2915525595112702E-4</v>
      </c>
    </row>
    <row r="57" spans="1:7" x14ac:dyDescent="0.25">
      <c r="A57">
        <v>46</v>
      </c>
      <c r="B57" s="335">
        <v>0</v>
      </c>
      <c r="C57" s="11">
        <f t="shared" si="0"/>
        <v>0</v>
      </c>
      <c r="E57" s="65">
        <v>46</v>
      </c>
      <c r="F57" s="337">
        <v>116</v>
      </c>
      <c r="G57" s="11">
        <f t="shared" si="1"/>
        <v>1.6969782084591439E-4</v>
      </c>
    </row>
    <row r="58" spans="1:7" x14ac:dyDescent="0.25">
      <c r="A58">
        <v>47</v>
      </c>
      <c r="B58" s="335">
        <v>0</v>
      </c>
      <c r="C58" s="11">
        <f t="shared" si="0"/>
        <v>0</v>
      </c>
      <c r="E58" s="66">
        <v>47</v>
      </c>
      <c r="F58" s="337">
        <v>124</v>
      </c>
      <c r="G58" s="11">
        <f t="shared" si="1"/>
        <v>1.8140111883528778E-4</v>
      </c>
    </row>
    <row r="59" spans="1:7" x14ac:dyDescent="0.25">
      <c r="A59">
        <v>48</v>
      </c>
      <c r="B59" s="335">
        <v>0</v>
      </c>
      <c r="C59" s="11">
        <f t="shared" si="0"/>
        <v>0</v>
      </c>
      <c r="E59" s="67">
        <v>48</v>
      </c>
      <c r="F59" s="337">
        <v>71</v>
      </c>
      <c r="G59" s="11">
        <f t="shared" si="1"/>
        <v>1.0386676965568898E-4</v>
      </c>
    </row>
    <row r="60" spans="1:7" x14ac:dyDescent="0.25">
      <c r="A60">
        <v>49</v>
      </c>
      <c r="B60" s="335">
        <v>0</v>
      </c>
      <c r="C60" s="11">
        <f t="shared" si="0"/>
        <v>0</v>
      </c>
      <c r="E60" s="68">
        <v>49</v>
      </c>
      <c r="F60" s="337">
        <v>42</v>
      </c>
      <c r="G60" s="11">
        <f t="shared" si="1"/>
        <v>6.1442314444210374E-5</v>
      </c>
    </row>
    <row r="61" spans="1:7" x14ac:dyDescent="0.25">
      <c r="A61">
        <v>50</v>
      </c>
      <c r="B61" s="335">
        <v>0</v>
      </c>
      <c r="C61" s="11">
        <f t="shared" si="0"/>
        <v>0</v>
      </c>
      <c r="E61" s="69">
        <v>50</v>
      </c>
      <c r="F61" s="337">
        <v>70</v>
      </c>
      <c r="G61" s="11">
        <f t="shared" si="1"/>
        <v>1.0240385740701729E-4</v>
      </c>
    </row>
    <row r="62" spans="1:7" x14ac:dyDescent="0.25">
      <c r="A62">
        <v>51</v>
      </c>
      <c r="B62" s="335">
        <v>387.67438217400002</v>
      </c>
      <c r="C62" s="11">
        <f t="shared" si="0"/>
        <v>5.9847761385513093E-4</v>
      </c>
      <c r="E62" s="70">
        <v>51</v>
      </c>
      <c r="F62" s="337">
        <v>80</v>
      </c>
      <c r="G62" s="11">
        <f t="shared" si="1"/>
        <v>1.1703297989373405E-4</v>
      </c>
    </row>
    <row r="63" spans="1:7" x14ac:dyDescent="0.25">
      <c r="A63">
        <v>52</v>
      </c>
      <c r="B63" s="335">
        <v>0</v>
      </c>
      <c r="C63" s="11">
        <f t="shared" si="0"/>
        <v>0</v>
      </c>
      <c r="E63" s="71">
        <v>52</v>
      </c>
      <c r="F63" s="337">
        <v>52</v>
      </c>
      <c r="G63" s="11">
        <f t="shared" si="1"/>
        <v>7.6071436930927132E-5</v>
      </c>
    </row>
    <row r="64" spans="1:7" x14ac:dyDescent="0.25">
      <c r="A64">
        <v>53</v>
      </c>
      <c r="B64" s="335">
        <v>0</v>
      </c>
      <c r="C64" s="11">
        <f t="shared" si="0"/>
        <v>0</v>
      </c>
      <c r="E64" s="72">
        <v>53</v>
      </c>
      <c r="F64" s="337">
        <v>26</v>
      </c>
      <c r="G64" s="11">
        <f t="shared" si="1"/>
        <v>3.8035718465463566E-5</v>
      </c>
    </row>
    <row r="65" spans="1:7" x14ac:dyDescent="0.25">
      <c r="A65">
        <v>54</v>
      </c>
      <c r="B65" s="335">
        <v>0</v>
      </c>
      <c r="C65" s="11">
        <f t="shared" si="0"/>
        <v>0</v>
      </c>
      <c r="E65" s="73">
        <v>54</v>
      </c>
      <c r="F65" s="337">
        <v>30</v>
      </c>
      <c r="G65" s="11">
        <f t="shared" si="1"/>
        <v>4.3887367460150268E-5</v>
      </c>
    </row>
    <row r="66" spans="1:7" x14ac:dyDescent="0.25">
      <c r="A66">
        <v>55</v>
      </c>
      <c r="B66" s="335">
        <v>0</v>
      </c>
      <c r="C66" s="11">
        <f t="shared" si="0"/>
        <v>0</v>
      </c>
      <c r="E66" s="74">
        <v>55</v>
      </c>
      <c r="F66" s="337">
        <v>44</v>
      </c>
      <c r="G66" s="11">
        <f t="shared" si="1"/>
        <v>6.4368138941553728E-5</v>
      </c>
    </row>
    <row r="67" spans="1:7" x14ac:dyDescent="0.25">
      <c r="A67">
        <v>56</v>
      </c>
      <c r="B67" s="335">
        <v>0</v>
      </c>
      <c r="C67" s="11">
        <f t="shared" si="0"/>
        <v>0</v>
      </c>
      <c r="E67" s="75">
        <v>56</v>
      </c>
      <c r="F67" s="337">
        <v>33</v>
      </c>
      <c r="G67" s="11">
        <f t="shared" si="1"/>
        <v>4.82761042061653E-5</v>
      </c>
    </row>
    <row r="68" spans="1:7" x14ac:dyDescent="0.25">
      <c r="A68">
        <v>57</v>
      </c>
      <c r="B68" s="335">
        <v>0</v>
      </c>
      <c r="C68" s="11">
        <f t="shared" si="0"/>
        <v>0</v>
      </c>
      <c r="E68" s="76">
        <v>57</v>
      </c>
      <c r="F68" s="337">
        <v>32</v>
      </c>
      <c r="G68" s="11">
        <f t="shared" si="1"/>
        <v>4.6813191957493623E-5</v>
      </c>
    </row>
    <row r="69" spans="1:7" x14ac:dyDescent="0.25">
      <c r="A69">
        <v>58</v>
      </c>
      <c r="B69" s="335">
        <v>0</v>
      </c>
      <c r="C69" s="11">
        <f t="shared" si="0"/>
        <v>0</v>
      </c>
      <c r="E69" s="77">
        <v>58</v>
      </c>
      <c r="F69" s="337">
        <v>19</v>
      </c>
      <c r="G69" s="11">
        <f t="shared" si="1"/>
        <v>2.7795332724761839E-5</v>
      </c>
    </row>
    <row r="70" spans="1:7" x14ac:dyDescent="0.25">
      <c r="A70">
        <v>59</v>
      </c>
      <c r="B70" s="335">
        <v>0</v>
      </c>
      <c r="C70" s="11">
        <f t="shared" si="0"/>
        <v>0</v>
      </c>
      <c r="E70" s="78">
        <v>59</v>
      </c>
      <c r="F70" s="337">
        <v>8</v>
      </c>
      <c r="G70" s="11">
        <f t="shared" si="1"/>
        <v>1.1703297989373406E-5</v>
      </c>
    </row>
    <row r="71" spans="1:7" x14ac:dyDescent="0.25">
      <c r="A71">
        <v>60</v>
      </c>
      <c r="B71" s="335">
        <v>0</v>
      </c>
      <c r="C71" s="11">
        <f t="shared" si="0"/>
        <v>0</v>
      </c>
      <c r="E71" s="79">
        <v>60</v>
      </c>
      <c r="F71" s="337">
        <v>23</v>
      </c>
      <c r="G71" s="11">
        <f t="shared" si="1"/>
        <v>3.3646981719448541E-5</v>
      </c>
    </row>
    <row r="72" spans="1:7" x14ac:dyDescent="0.25">
      <c r="A72">
        <v>61</v>
      </c>
      <c r="B72" s="335">
        <v>0</v>
      </c>
      <c r="C72" s="11">
        <f t="shared" si="0"/>
        <v>0</v>
      </c>
      <c r="E72" s="80">
        <v>61</v>
      </c>
      <c r="F72" s="337">
        <v>11</v>
      </c>
      <c r="G72" s="11">
        <f t="shared" si="1"/>
        <v>1.6092034735388432E-5</v>
      </c>
    </row>
    <row r="73" spans="1:7" x14ac:dyDescent="0.25">
      <c r="A73">
        <v>62</v>
      </c>
      <c r="B73" s="335">
        <v>0</v>
      </c>
      <c r="C73" s="11">
        <f t="shared" si="0"/>
        <v>0</v>
      </c>
      <c r="E73" s="81">
        <v>62</v>
      </c>
      <c r="F73" s="337">
        <v>22</v>
      </c>
      <c r="G73" s="11">
        <f t="shared" si="1"/>
        <v>3.2184069470776864E-5</v>
      </c>
    </row>
    <row r="74" spans="1:7" x14ac:dyDescent="0.25">
      <c r="A74">
        <v>63</v>
      </c>
      <c r="B74" s="335">
        <v>0</v>
      </c>
      <c r="C74" s="11">
        <f t="shared" si="0"/>
        <v>0</v>
      </c>
      <c r="E74" s="82">
        <v>63</v>
      </c>
      <c r="F74" s="337">
        <v>5</v>
      </c>
      <c r="G74" s="11">
        <f t="shared" si="1"/>
        <v>7.3145612433583783E-6</v>
      </c>
    </row>
    <row r="75" spans="1:7" x14ac:dyDescent="0.25">
      <c r="A75">
        <v>64</v>
      </c>
      <c r="B75" s="335">
        <v>0</v>
      </c>
      <c r="C75" s="11">
        <f t="shared" si="0"/>
        <v>0</v>
      </c>
      <c r="E75" s="83">
        <v>64</v>
      </c>
      <c r="F75" s="337">
        <v>2</v>
      </c>
      <c r="G75" s="11">
        <f t="shared" si="1"/>
        <v>2.9258244973433514E-6</v>
      </c>
    </row>
    <row r="76" spans="1:7" x14ac:dyDescent="0.25">
      <c r="A76">
        <v>65</v>
      </c>
      <c r="B76" s="335">
        <v>0</v>
      </c>
      <c r="C76" s="11">
        <f t="shared" si="0"/>
        <v>0</v>
      </c>
      <c r="E76" s="84">
        <v>65</v>
      </c>
      <c r="F76" s="337">
        <v>2</v>
      </c>
      <c r="G76" s="11">
        <f t="shared" si="1"/>
        <v>2.9258244973433514E-6</v>
      </c>
    </row>
    <row r="77" spans="1:7" x14ac:dyDescent="0.25">
      <c r="A77">
        <v>66</v>
      </c>
      <c r="B77" s="335">
        <v>0</v>
      </c>
      <c r="C77" s="11">
        <f t="shared" ref="C77:C102" si="2">B77/B$102</f>
        <v>0</v>
      </c>
      <c r="E77" s="85">
        <v>66</v>
      </c>
      <c r="F77" s="337">
        <v>2</v>
      </c>
      <c r="G77" s="11">
        <f t="shared" ref="G77:G102" si="3">F77/F$102</f>
        <v>2.9258244973433514E-6</v>
      </c>
    </row>
    <row r="78" spans="1:7" x14ac:dyDescent="0.25">
      <c r="A78">
        <v>67</v>
      </c>
      <c r="B78" s="335">
        <v>0</v>
      </c>
      <c r="C78" s="11">
        <f t="shared" si="2"/>
        <v>0</v>
      </c>
      <c r="E78" s="86">
        <v>67</v>
      </c>
      <c r="F78" s="337">
        <v>0</v>
      </c>
      <c r="G78" s="11">
        <f t="shared" si="3"/>
        <v>0</v>
      </c>
    </row>
    <row r="79" spans="1:7" x14ac:dyDescent="0.25">
      <c r="A79">
        <v>68</v>
      </c>
      <c r="B79" s="335">
        <v>0</v>
      </c>
      <c r="C79" s="11">
        <f t="shared" si="2"/>
        <v>0</v>
      </c>
      <c r="E79" s="87">
        <v>68</v>
      </c>
      <c r="F79" s="337">
        <v>2</v>
      </c>
      <c r="G79" s="11">
        <f t="shared" si="3"/>
        <v>2.9258244973433514E-6</v>
      </c>
    </row>
    <row r="80" spans="1:7" x14ac:dyDescent="0.25">
      <c r="A80">
        <v>69</v>
      </c>
      <c r="B80" s="335">
        <v>0</v>
      </c>
      <c r="C80" s="11">
        <f t="shared" si="2"/>
        <v>0</v>
      </c>
      <c r="E80" s="88">
        <v>69</v>
      </c>
      <c r="F80" s="337">
        <v>5</v>
      </c>
      <c r="G80" s="11">
        <f t="shared" si="3"/>
        <v>7.3145612433583783E-6</v>
      </c>
    </row>
    <row r="81" spans="1:7" x14ac:dyDescent="0.25">
      <c r="A81">
        <v>70</v>
      </c>
      <c r="B81" s="335">
        <v>0</v>
      </c>
      <c r="C81" s="11">
        <f t="shared" si="2"/>
        <v>0</v>
      </c>
      <c r="E81" s="89">
        <v>70</v>
      </c>
      <c r="F81" s="337">
        <v>4</v>
      </c>
      <c r="G81" s="11">
        <f t="shared" si="3"/>
        <v>5.8516489946867028E-6</v>
      </c>
    </row>
    <row r="82" spans="1:7" x14ac:dyDescent="0.25">
      <c r="A82">
        <v>71</v>
      </c>
      <c r="B82" s="335">
        <v>0</v>
      </c>
      <c r="C82" s="11">
        <f t="shared" si="2"/>
        <v>0</v>
      </c>
      <c r="E82" s="90">
        <v>71</v>
      </c>
      <c r="F82" s="337">
        <v>4</v>
      </c>
      <c r="G82" s="11">
        <f t="shared" si="3"/>
        <v>5.8516489946867028E-6</v>
      </c>
    </row>
    <row r="83" spans="1:7" x14ac:dyDescent="0.25">
      <c r="A83">
        <v>72</v>
      </c>
      <c r="B83" s="335">
        <v>0</v>
      </c>
      <c r="C83" s="11">
        <f t="shared" si="2"/>
        <v>0</v>
      </c>
      <c r="E83" s="91">
        <v>72</v>
      </c>
      <c r="F83" s="337">
        <v>6</v>
      </c>
      <c r="G83" s="11">
        <f t="shared" si="3"/>
        <v>8.7774734920300546E-6</v>
      </c>
    </row>
    <row r="84" spans="1:7" x14ac:dyDescent="0.25">
      <c r="A84">
        <v>73</v>
      </c>
      <c r="B84" s="335">
        <v>0</v>
      </c>
      <c r="C84" s="11">
        <f t="shared" si="2"/>
        <v>0</v>
      </c>
      <c r="E84" s="92">
        <v>73</v>
      </c>
      <c r="F84" s="337">
        <v>4</v>
      </c>
      <c r="G84" s="11">
        <f t="shared" si="3"/>
        <v>5.8516489946867028E-6</v>
      </c>
    </row>
    <row r="85" spans="1:7" x14ac:dyDescent="0.25">
      <c r="A85">
        <v>74</v>
      </c>
      <c r="B85" s="335">
        <v>0</v>
      </c>
      <c r="C85" s="11">
        <f t="shared" si="2"/>
        <v>0</v>
      </c>
      <c r="E85" s="93">
        <v>74</v>
      </c>
      <c r="F85" s="337">
        <v>0</v>
      </c>
      <c r="G85" s="11">
        <f t="shared" si="3"/>
        <v>0</v>
      </c>
    </row>
    <row r="86" spans="1:7" x14ac:dyDescent="0.25">
      <c r="A86">
        <v>75</v>
      </c>
      <c r="B86" s="335">
        <v>0</v>
      </c>
      <c r="C86" s="11">
        <f t="shared" si="2"/>
        <v>0</v>
      </c>
      <c r="E86" s="94">
        <v>75</v>
      </c>
      <c r="F86" s="337">
        <v>0</v>
      </c>
      <c r="G86" s="11">
        <f t="shared" si="3"/>
        <v>0</v>
      </c>
    </row>
    <row r="87" spans="1:7" x14ac:dyDescent="0.25">
      <c r="A87">
        <v>76</v>
      </c>
      <c r="B87" s="335">
        <v>0</v>
      </c>
      <c r="C87" s="11">
        <f t="shared" si="2"/>
        <v>0</v>
      </c>
      <c r="E87" s="95">
        <v>76</v>
      </c>
      <c r="F87" s="337">
        <v>0</v>
      </c>
      <c r="G87" s="11">
        <f t="shared" si="3"/>
        <v>0</v>
      </c>
    </row>
    <row r="88" spans="1:7" x14ac:dyDescent="0.25">
      <c r="A88">
        <v>77</v>
      </c>
      <c r="B88" s="335">
        <v>0</v>
      </c>
      <c r="C88" s="11">
        <f t="shared" si="2"/>
        <v>0</v>
      </c>
      <c r="E88" s="96">
        <v>77</v>
      </c>
      <c r="F88" s="337">
        <v>0</v>
      </c>
      <c r="G88" s="11">
        <f t="shared" si="3"/>
        <v>0</v>
      </c>
    </row>
    <row r="89" spans="1:7" x14ac:dyDescent="0.25">
      <c r="A89">
        <v>78</v>
      </c>
      <c r="B89" s="335">
        <v>0</v>
      </c>
      <c r="C89" s="11">
        <f t="shared" si="2"/>
        <v>0</v>
      </c>
      <c r="E89" s="97">
        <v>78</v>
      </c>
      <c r="F89" s="337">
        <v>1</v>
      </c>
      <c r="G89" s="11">
        <f t="shared" si="3"/>
        <v>1.4629122486716757E-6</v>
      </c>
    </row>
    <row r="90" spans="1:7" x14ac:dyDescent="0.25">
      <c r="A90">
        <v>79</v>
      </c>
      <c r="B90" s="335">
        <v>0</v>
      </c>
      <c r="C90" s="11">
        <f t="shared" si="2"/>
        <v>0</v>
      </c>
      <c r="E90" s="98">
        <v>79</v>
      </c>
      <c r="F90" s="337">
        <v>0</v>
      </c>
      <c r="G90" s="11">
        <f t="shared" si="3"/>
        <v>0</v>
      </c>
    </row>
    <row r="91" spans="1:7" x14ac:dyDescent="0.25">
      <c r="A91">
        <v>80</v>
      </c>
      <c r="B91" s="335">
        <v>0</v>
      </c>
      <c r="C91" s="11">
        <f t="shared" si="2"/>
        <v>0</v>
      </c>
      <c r="E91" s="99">
        <v>80</v>
      </c>
      <c r="F91" s="337">
        <v>2</v>
      </c>
      <c r="G91" s="11">
        <f t="shared" si="3"/>
        <v>2.9258244973433514E-6</v>
      </c>
    </row>
    <row r="92" spans="1:7" x14ac:dyDescent="0.25">
      <c r="A92">
        <v>81</v>
      </c>
      <c r="B92" s="335">
        <v>0</v>
      </c>
      <c r="C92" s="11">
        <f t="shared" si="2"/>
        <v>0</v>
      </c>
      <c r="E92" s="100">
        <v>81</v>
      </c>
      <c r="F92" s="337">
        <v>0</v>
      </c>
      <c r="G92" s="11">
        <f t="shared" si="3"/>
        <v>0</v>
      </c>
    </row>
    <row r="93" spans="1:7" x14ac:dyDescent="0.25">
      <c r="A93">
        <v>82</v>
      </c>
      <c r="B93" s="335">
        <v>0</v>
      </c>
      <c r="C93" s="11">
        <f t="shared" si="2"/>
        <v>0</v>
      </c>
      <c r="E93" s="101">
        <v>82</v>
      </c>
      <c r="F93" s="337">
        <v>1</v>
      </c>
      <c r="G93" s="11">
        <f t="shared" si="3"/>
        <v>1.4629122486716757E-6</v>
      </c>
    </row>
    <row r="94" spans="1:7" x14ac:dyDescent="0.25">
      <c r="A94">
        <v>83</v>
      </c>
      <c r="B94" s="335">
        <v>0</v>
      </c>
      <c r="C94" s="11">
        <f t="shared" si="2"/>
        <v>0</v>
      </c>
      <c r="E94" s="102">
        <v>83</v>
      </c>
      <c r="F94" s="337">
        <v>0</v>
      </c>
      <c r="G94" s="11">
        <f t="shared" si="3"/>
        <v>0</v>
      </c>
    </row>
    <row r="95" spans="1:7" x14ac:dyDescent="0.25">
      <c r="A95">
        <v>84</v>
      </c>
      <c r="B95" s="335">
        <v>0</v>
      </c>
      <c r="C95" s="11">
        <f t="shared" si="2"/>
        <v>0</v>
      </c>
      <c r="E95" s="103">
        <v>84</v>
      </c>
      <c r="F95" s="337">
        <v>0</v>
      </c>
      <c r="G95" s="11">
        <f t="shared" si="3"/>
        <v>0</v>
      </c>
    </row>
    <row r="96" spans="1:7" x14ac:dyDescent="0.25">
      <c r="A96">
        <v>85</v>
      </c>
      <c r="B96" s="335">
        <v>0</v>
      </c>
      <c r="C96" s="11">
        <f t="shared" si="2"/>
        <v>0</v>
      </c>
      <c r="E96" s="104">
        <v>85</v>
      </c>
      <c r="F96" s="337">
        <v>0</v>
      </c>
      <c r="G96" s="11">
        <f t="shared" si="3"/>
        <v>0</v>
      </c>
    </row>
    <row r="97" spans="1:7" x14ac:dyDescent="0.25">
      <c r="A97">
        <v>86</v>
      </c>
      <c r="B97" s="335">
        <v>0</v>
      </c>
      <c r="C97" s="11">
        <f t="shared" si="2"/>
        <v>0</v>
      </c>
      <c r="E97" s="105">
        <v>86</v>
      </c>
      <c r="F97" s="337">
        <v>0</v>
      </c>
      <c r="G97" s="11">
        <f t="shared" si="3"/>
        <v>0</v>
      </c>
    </row>
    <row r="98" spans="1:7" x14ac:dyDescent="0.25">
      <c r="A98">
        <v>87</v>
      </c>
      <c r="B98" s="335">
        <v>0</v>
      </c>
      <c r="C98" s="11">
        <f t="shared" si="2"/>
        <v>0</v>
      </c>
      <c r="E98" s="106">
        <v>87</v>
      </c>
      <c r="F98" s="337">
        <v>0</v>
      </c>
      <c r="G98" s="11">
        <f t="shared" si="3"/>
        <v>0</v>
      </c>
    </row>
    <row r="99" spans="1:7" x14ac:dyDescent="0.25">
      <c r="A99">
        <v>88</v>
      </c>
      <c r="B99" s="335">
        <v>0</v>
      </c>
      <c r="C99" s="11">
        <f t="shared" si="2"/>
        <v>0</v>
      </c>
      <c r="E99" s="107">
        <v>88</v>
      </c>
      <c r="F99" s="337">
        <v>0</v>
      </c>
      <c r="G99" s="11">
        <f t="shared" si="3"/>
        <v>0</v>
      </c>
    </row>
    <row r="100" spans="1:7" x14ac:dyDescent="0.25">
      <c r="A100">
        <v>89</v>
      </c>
      <c r="B100" s="335">
        <v>0</v>
      </c>
      <c r="C100" s="11">
        <f t="shared" si="2"/>
        <v>0</v>
      </c>
      <c r="E100" s="108">
        <v>89</v>
      </c>
      <c r="F100" s="337">
        <v>0</v>
      </c>
      <c r="G100" s="11">
        <f t="shared" si="3"/>
        <v>0</v>
      </c>
    </row>
    <row r="101" spans="1:7" ht="15.75" thickBot="1" x14ac:dyDescent="0.3">
      <c r="A101" s="1">
        <v>90</v>
      </c>
      <c r="B101" s="336">
        <v>0</v>
      </c>
      <c r="C101" s="11">
        <f t="shared" si="2"/>
        <v>0</v>
      </c>
      <c r="E101" s="291">
        <v>90</v>
      </c>
      <c r="F101" s="338">
        <v>0</v>
      </c>
      <c r="G101" s="11">
        <f t="shared" si="3"/>
        <v>0</v>
      </c>
    </row>
    <row r="102" spans="1:7" x14ac:dyDescent="0.25">
      <c r="B102" s="335">
        <f>SUM(B11:B101)</f>
        <v>647767.55754784425</v>
      </c>
      <c r="C102" s="11">
        <f t="shared" si="2"/>
        <v>1</v>
      </c>
      <c r="F102" s="335">
        <f>SUM(F11:F101)</f>
        <v>683568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5105.9248783419998</v>
      </c>
      <c r="C11" s="11">
        <f>B11/B$102</f>
        <v>7.8823411559398367E-3</v>
      </c>
      <c r="E11" s="109">
        <v>0</v>
      </c>
      <c r="F11" s="199">
        <v>6857</v>
      </c>
      <c r="G11" s="11">
        <f>F11/F$102</f>
        <v>1.003118928914168E-2</v>
      </c>
      <c r="K11" s="8">
        <v>22.15593424968025</v>
      </c>
      <c r="L11" s="8">
        <v>18.456995847246642</v>
      </c>
    </row>
    <row r="12" spans="1:12" x14ac:dyDescent="0.25">
      <c r="A12">
        <v>1</v>
      </c>
      <c r="B12" s="8">
        <v>5412.8913844765002</v>
      </c>
      <c r="C12" s="11">
        <f>B12/B$102</f>
        <v>8.3562248856167854E-3</v>
      </c>
      <c r="E12" s="110">
        <v>1</v>
      </c>
      <c r="F12" s="200">
        <v>18574</v>
      </c>
      <c r="G12" s="11">
        <f>F12/F$102</f>
        <v>2.7172132106827705E-2</v>
      </c>
      <c r="K12" s="8"/>
      <c r="L12" s="290"/>
    </row>
    <row r="13" spans="1:12" x14ac:dyDescent="0.25">
      <c r="A13">
        <v>2</v>
      </c>
      <c r="B13" s="8">
        <v>5422.716751428</v>
      </c>
      <c r="C13" s="11">
        <f t="shared" ref="C13:C76" si="0">B13/B$102</f>
        <v>8.3713929298280358E-3</v>
      </c>
      <c r="E13" s="111">
        <v>2</v>
      </c>
      <c r="F13" s="201">
        <v>23287</v>
      </c>
      <c r="G13" s="11">
        <f t="shared" ref="G13:G76" si="1">F13/F$102</f>
        <v>3.4066837534817311E-2</v>
      </c>
    </row>
    <row r="14" spans="1:12" x14ac:dyDescent="0.25">
      <c r="A14">
        <v>3</v>
      </c>
      <c r="B14" s="8">
        <v>8995.9253181264994</v>
      </c>
      <c r="C14" s="11">
        <f t="shared" si="0"/>
        <v>1.3887582379366161E-2</v>
      </c>
      <c r="E14" s="112">
        <v>3</v>
      </c>
      <c r="F14" s="202">
        <v>25997</v>
      </c>
      <c r="G14" s="11">
        <f t="shared" si="1"/>
        <v>3.8031329728717554E-2</v>
      </c>
    </row>
    <row r="15" spans="1:12" x14ac:dyDescent="0.25">
      <c r="A15">
        <v>4</v>
      </c>
      <c r="B15" s="8">
        <v>6411.2446108812001</v>
      </c>
      <c r="C15" s="11">
        <f t="shared" si="0"/>
        <v>9.8974462925424649E-3</v>
      </c>
      <c r="E15" s="113">
        <v>4</v>
      </c>
      <c r="F15" s="203">
        <v>25660</v>
      </c>
      <c r="G15" s="11">
        <f t="shared" si="1"/>
        <v>3.7538328300915198E-2</v>
      </c>
    </row>
    <row r="16" spans="1:12" x14ac:dyDescent="0.25">
      <c r="A16">
        <v>5</v>
      </c>
      <c r="B16" s="8">
        <v>11002.780564376899</v>
      </c>
      <c r="C16" s="11">
        <f t="shared" si="0"/>
        <v>1.6985692531482219E-2</v>
      </c>
      <c r="E16" s="114">
        <v>5</v>
      </c>
      <c r="F16" s="204">
        <v>24131</v>
      </c>
      <c r="G16" s="11">
        <f t="shared" si="1"/>
        <v>3.5301535472696204E-2</v>
      </c>
    </row>
    <row r="17" spans="1:7" x14ac:dyDescent="0.25">
      <c r="A17">
        <v>6</v>
      </c>
      <c r="B17" s="8">
        <v>11132.0476186587</v>
      </c>
      <c r="C17" s="11">
        <f t="shared" si="0"/>
        <v>1.7185250309230689E-2</v>
      </c>
      <c r="E17" s="115">
        <v>6</v>
      </c>
      <c r="F17" s="205">
        <v>22739</v>
      </c>
      <c r="G17" s="11">
        <f t="shared" si="1"/>
        <v>3.3265161622545232E-2</v>
      </c>
    </row>
    <row r="18" spans="1:7" x14ac:dyDescent="0.25">
      <c r="A18">
        <v>7</v>
      </c>
      <c r="B18" s="8">
        <v>12878.5938719198</v>
      </c>
      <c r="C18" s="11">
        <f t="shared" si="0"/>
        <v>1.9881504903815104E-2</v>
      </c>
      <c r="E18" s="116">
        <v>7</v>
      </c>
      <c r="F18" s="206">
        <v>21742</v>
      </c>
      <c r="G18" s="11">
        <f t="shared" si="1"/>
        <v>3.1806638110619574E-2</v>
      </c>
    </row>
    <row r="19" spans="1:7" x14ac:dyDescent="0.25">
      <c r="A19">
        <v>8</v>
      </c>
      <c r="B19" s="8">
        <v>6601.8343167874</v>
      </c>
      <c r="C19" s="11">
        <f t="shared" si="0"/>
        <v>1.0191671749939075E-2</v>
      </c>
      <c r="E19" s="117">
        <v>8</v>
      </c>
      <c r="F19" s="207">
        <v>19279</v>
      </c>
      <c r="G19" s="11">
        <f t="shared" si="1"/>
        <v>2.8203485242141235E-2</v>
      </c>
    </row>
    <row r="20" spans="1:7" x14ac:dyDescent="0.25">
      <c r="A20">
        <v>9</v>
      </c>
      <c r="B20" s="8">
        <v>13591.187349875499</v>
      </c>
      <c r="C20" s="11">
        <f t="shared" si="0"/>
        <v>2.0981580802418697E-2</v>
      </c>
      <c r="E20" s="118">
        <v>9</v>
      </c>
      <c r="F20" s="208">
        <v>17685</v>
      </c>
      <c r="G20" s="11">
        <f t="shared" si="1"/>
        <v>2.5871603117758584E-2</v>
      </c>
    </row>
    <row r="21" spans="1:7" x14ac:dyDescent="0.25">
      <c r="A21">
        <v>10</v>
      </c>
      <c r="B21" s="8">
        <v>6709.0241913616001</v>
      </c>
      <c r="C21" s="11">
        <f t="shared" si="0"/>
        <v>1.0357147580466885E-2</v>
      </c>
      <c r="E21" s="119">
        <v>10</v>
      </c>
      <c r="F21" s="209">
        <v>15402</v>
      </c>
      <c r="G21" s="11">
        <f t="shared" si="1"/>
        <v>2.2531774454041149E-2</v>
      </c>
    </row>
    <row r="22" spans="1:7" x14ac:dyDescent="0.25">
      <c r="A22">
        <v>11</v>
      </c>
      <c r="B22" s="8">
        <v>13501.3204330015</v>
      </c>
      <c r="C22" s="11">
        <f t="shared" si="0"/>
        <v>2.0842847524058485E-2</v>
      </c>
      <c r="E22" s="120">
        <v>11</v>
      </c>
      <c r="F22" s="210">
        <v>13738</v>
      </c>
      <c r="G22" s="11">
        <f t="shared" si="1"/>
        <v>2.0097488472251481E-2</v>
      </c>
    </row>
    <row r="23" spans="1:7" x14ac:dyDescent="0.25">
      <c r="A23">
        <v>12</v>
      </c>
      <c r="B23" s="8">
        <v>19825.251585862999</v>
      </c>
      <c r="C23" s="11">
        <f t="shared" si="0"/>
        <v>3.060550247516633E-2</v>
      </c>
      <c r="E23" s="121">
        <v>12</v>
      </c>
      <c r="F23" s="211">
        <v>12189</v>
      </c>
      <c r="G23" s="11">
        <f t="shared" si="1"/>
        <v>1.7831437399059055E-2</v>
      </c>
    </row>
    <row r="24" spans="1:7" x14ac:dyDescent="0.25">
      <c r="A24">
        <v>13</v>
      </c>
      <c r="B24" s="8">
        <v>9266.783585143201</v>
      </c>
      <c r="C24" s="11">
        <f t="shared" si="0"/>
        <v>1.4305723522528763E-2</v>
      </c>
      <c r="E24" s="122">
        <v>13</v>
      </c>
      <c r="F24" s="212">
        <v>10521</v>
      </c>
      <c r="G24" s="11">
        <f t="shared" si="1"/>
        <v>1.53912997682747E-2</v>
      </c>
    </row>
    <row r="25" spans="1:7" x14ac:dyDescent="0.25">
      <c r="A25">
        <v>14</v>
      </c>
      <c r="B25" s="8">
        <v>12275.573227913201</v>
      </c>
      <c r="C25" s="11">
        <f t="shared" si="0"/>
        <v>1.8950583561768639E-2</v>
      </c>
      <c r="E25" s="123">
        <v>14</v>
      </c>
      <c r="F25" s="213">
        <v>9228</v>
      </c>
      <c r="G25" s="11">
        <f t="shared" si="1"/>
        <v>1.3499754230742223E-2</v>
      </c>
    </row>
    <row r="26" spans="1:7" x14ac:dyDescent="0.25">
      <c r="A26">
        <v>15</v>
      </c>
      <c r="B26" s="8">
        <v>1534.9153554067</v>
      </c>
      <c r="C26" s="11">
        <f t="shared" si="0"/>
        <v>2.3695465101975727E-3</v>
      </c>
      <c r="E26" s="124">
        <v>15</v>
      </c>
      <c r="F26" s="214">
        <v>9284</v>
      </c>
      <c r="G26" s="11">
        <f t="shared" si="1"/>
        <v>1.3581677316667836E-2</v>
      </c>
    </row>
    <row r="27" spans="1:7" x14ac:dyDescent="0.25">
      <c r="A27">
        <v>16</v>
      </c>
      <c r="B27" s="8">
        <v>36476.544389138202</v>
      </c>
      <c r="C27" s="11">
        <f t="shared" si="0"/>
        <v>5.6311162799233011E-2</v>
      </c>
      <c r="E27" s="125">
        <v>16</v>
      </c>
      <c r="F27" s="215">
        <v>8355</v>
      </c>
      <c r="G27" s="11">
        <f t="shared" si="1"/>
        <v>1.222263183765185E-2</v>
      </c>
    </row>
    <row r="28" spans="1:7" x14ac:dyDescent="0.25">
      <c r="A28">
        <v>17</v>
      </c>
      <c r="B28" s="8">
        <v>17636.713957282002</v>
      </c>
      <c r="C28" s="11">
        <f t="shared" si="0"/>
        <v>2.722691766788482E-2</v>
      </c>
      <c r="E28" s="126">
        <v>17</v>
      </c>
      <c r="F28" s="216">
        <v>7451</v>
      </c>
      <c r="G28" s="11">
        <f t="shared" si="1"/>
        <v>1.0900159164852655E-2</v>
      </c>
    </row>
    <row r="29" spans="1:7" x14ac:dyDescent="0.25">
      <c r="A29">
        <v>18</v>
      </c>
      <c r="B29" s="8">
        <v>50573.835038552897</v>
      </c>
      <c r="C29" s="11">
        <f t="shared" si="0"/>
        <v>7.8074047471600169E-2</v>
      </c>
      <c r="E29" s="127">
        <v>18</v>
      </c>
      <c r="F29" s="217">
        <v>88725</v>
      </c>
      <c r="G29" s="11">
        <f t="shared" si="1"/>
        <v>0.12979688926339442</v>
      </c>
    </row>
    <row r="30" spans="1:7" x14ac:dyDescent="0.25">
      <c r="A30">
        <v>19</v>
      </c>
      <c r="B30" s="8">
        <v>21628.941665386599</v>
      </c>
      <c r="C30" s="11">
        <f t="shared" si="0"/>
        <v>3.3389973630763493E-2</v>
      </c>
      <c r="E30" s="128">
        <v>19</v>
      </c>
      <c r="F30" s="218">
        <v>25807</v>
      </c>
      <c r="G30" s="11">
        <f t="shared" si="1"/>
        <v>3.7753376401469932E-2</v>
      </c>
    </row>
    <row r="31" spans="1:7" x14ac:dyDescent="0.25">
      <c r="A31">
        <v>20</v>
      </c>
      <c r="B31" s="8">
        <v>44280.4145247083</v>
      </c>
      <c r="C31" s="11">
        <f t="shared" si="0"/>
        <v>6.8358493735521372E-2</v>
      </c>
      <c r="E31" s="129">
        <v>20</v>
      </c>
      <c r="F31" s="219">
        <v>26530</v>
      </c>
      <c r="G31" s="11">
        <f t="shared" si="1"/>
        <v>3.8811061957259557E-2</v>
      </c>
    </row>
    <row r="32" spans="1:7" x14ac:dyDescent="0.25">
      <c r="A32">
        <v>21</v>
      </c>
      <c r="B32" s="8">
        <v>39767.916466228096</v>
      </c>
      <c r="C32" s="11">
        <f t="shared" si="0"/>
        <v>6.1392263324781933E-2</v>
      </c>
      <c r="E32" s="130">
        <v>21</v>
      </c>
      <c r="F32" s="220">
        <v>28804</v>
      </c>
      <c r="G32" s="11">
        <f t="shared" si="1"/>
        <v>4.2137724410738944E-2</v>
      </c>
    </row>
    <row r="33" spans="1:7" x14ac:dyDescent="0.25">
      <c r="A33">
        <v>22</v>
      </c>
      <c r="B33" s="8">
        <v>35963.611184433998</v>
      </c>
      <c r="C33" s="11">
        <f t="shared" si="0"/>
        <v>5.5519315170052666E-2</v>
      </c>
      <c r="E33" s="131">
        <v>22</v>
      </c>
      <c r="F33" s="221">
        <v>28531</v>
      </c>
      <c r="G33" s="11">
        <f t="shared" si="1"/>
        <v>4.1738349366851578E-2</v>
      </c>
    </row>
    <row r="34" spans="1:7" x14ac:dyDescent="0.25">
      <c r="A34">
        <v>23</v>
      </c>
      <c r="B34" s="8">
        <v>20849.171952274901</v>
      </c>
      <c r="C34" s="11">
        <f t="shared" si="0"/>
        <v>3.2186193503114691E-2</v>
      </c>
      <c r="E34" s="132">
        <v>23</v>
      </c>
      <c r="F34" s="222">
        <v>18705</v>
      </c>
      <c r="G34" s="11">
        <f t="shared" si="1"/>
        <v>2.7363773611403693E-2</v>
      </c>
    </row>
    <row r="35" spans="1:7" x14ac:dyDescent="0.25">
      <c r="A35">
        <v>24</v>
      </c>
      <c r="B35" s="8">
        <v>24106.870151670999</v>
      </c>
      <c r="C35" s="11">
        <f t="shared" si="0"/>
        <v>3.7215309520792814E-2</v>
      </c>
      <c r="E35" s="133">
        <v>24</v>
      </c>
      <c r="F35" s="223">
        <v>15347</v>
      </c>
      <c r="G35" s="11">
        <f t="shared" si="1"/>
        <v>2.2451314280364208E-2</v>
      </c>
    </row>
    <row r="36" spans="1:7" x14ac:dyDescent="0.25">
      <c r="A36">
        <v>25</v>
      </c>
      <c r="B36" s="8">
        <v>17873.808258615099</v>
      </c>
      <c r="C36" s="11">
        <f t="shared" si="0"/>
        <v>2.7592935228613905E-2</v>
      </c>
      <c r="E36" s="134">
        <v>25</v>
      </c>
      <c r="F36" s="224">
        <v>15894</v>
      </c>
      <c r="G36" s="11">
        <f t="shared" si="1"/>
        <v>2.3251527280387613E-2</v>
      </c>
    </row>
    <row r="37" spans="1:7" x14ac:dyDescent="0.25">
      <c r="A37">
        <v>26</v>
      </c>
      <c r="B37" s="8">
        <v>31361.0697096279</v>
      </c>
      <c r="C37" s="11">
        <f t="shared" si="0"/>
        <v>4.8414079007517381E-2</v>
      </c>
      <c r="E37" s="135">
        <v>26</v>
      </c>
      <c r="F37" s="225">
        <v>9773</v>
      </c>
      <c r="G37" s="11">
        <f t="shared" si="1"/>
        <v>1.4297041406268286E-2</v>
      </c>
    </row>
    <row r="38" spans="1:7" x14ac:dyDescent="0.25">
      <c r="A38">
        <v>27</v>
      </c>
      <c r="B38" s="8">
        <v>7141.4740373968998</v>
      </c>
      <c r="C38" s="11">
        <f t="shared" si="0"/>
        <v>1.1024747927221452E-2</v>
      </c>
      <c r="E38" s="136">
        <v>27</v>
      </c>
      <c r="F38" s="226">
        <v>8622</v>
      </c>
      <c r="G38" s="11">
        <f t="shared" si="1"/>
        <v>1.2613229408047188E-2</v>
      </c>
    </row>
    <row r="39" spans="1:7" x14ac:dyDescent="0.25">
      <c r="A39">
        <v>28</v>
      </c>
      <c r="B39" s="8">
        <v>11669.0787857126</v>
      </c>
      <c r="C39" s="11">
        <f t="shared" si="0"/>
        <v>1.8014299496391061E-2</v>
      </c>
      <c r="E39" s="137">
        <v>28</v>
      </c>
      <c r="F39" s="227">
        <v>7238</v>
      </c>
      <c r="G39" s="11">
        <f t="shared" si="1"/>
        <v>1.0588558855885588E-2</v>
      </c>
    </row>
    <row r="40" spans="1:7" x14ac:dyDescent="0.25">
      <c r="A40">
        <v>29</v>
      </c>
      <c r="B40" s="8">
        <v>22597.847322537</v>
      </c>
      <c r="C40" s="11">
        <f t="shared" si="0"/>
        <v>3.4885734951102296E-2</v>
      </c>
      <c r="E40" s="138">
        <v>29</v>
      </c>
      <c r="F40" s="228">
        <v>8591</v>
      </c>
      <c r="G40" s="11">
        <f t="shared" si="1"/>
        <v>1.2567879128338367E-2</v>
      </c>
    </row>
    <row r="41" spans="1:7" x14ac:dyDescent="0.25">
      <c r="A41">
        <v>30</v>
      </c>
      <c r="B41" s="8">
        <v>8001.9242200252002</v>
      </c>
      <c r="C41" s="11">
        <f t="shared" si="0"/>
        <v>1.2353079629854996E-2</v>
      </c>
      <c r="E41" s="139">
        <v>30</v>
      </c>
      <c r="F41" s="229">
        <v>15426</v>
      </c>
      <c r="G41" s="11">
        <f t="shared" si="1"/>
        <v>2.256688434800927E-2</v>
      </c>
    </row>
    <row r="42" spans="1:7" x14ac:dyDescent="0.25">
      <c r="A42">
        <v>31</v>
      </c>
      <c r="B42" s="8">
        <v>5141.7663219134001</v>
      </c>
      <c r="C42" s="11">
        <f t="shared" si="0"/>
        <v>7.9376718731913754E-3</v>
      </c>
      <c r="E42" s="140">
        <v>31</v>
      </c>
      <c r="F42" s="230">
        <v>6868</v>
      </c>
      <c r="G42" s="11">
        <f t="shared" si="1"/>
        <v>1.0047281323877069E-2</v>
      </c>
    </row>
    <row r="43" spans="1:7" x14ac:dyDescent="0.25">
      <c r="A43">
        <v>32</v>
      </c>
      <c r="B43" s="8">
        <v>5295.2539796039</v>
      </c>
      <c r="C43" s="11">
        <f t="shared" si="0"/>
        <v>8.1746205377270544E-3</v>
      </c>
      <c r="E43" s="141">
        <v>32</v>
      </c>
      <c r="F43" s="231">
        <v>9724</v>
      </c>
      <c r="G43" s="11">
        <f t="shared" si="1"/>
        <v>1.4225358706083375E-2</v>
      </c>
    </row>
    <row r="44" spans="1:7" x14ac:dyDescent="0.25">
      <c r="A44">
        <v>33</v>
      </c>
      <c r="B44" s="8">
        <v>7708.5946500699001</v>
      </c>
      <c r="C44" s="11">
        <f t="shared" si="0"/>
        <v>1.1900248106359573E-2</v>
      </c>
      <c r="E44" s="142">
        <v>33</v>
      </c>
      <c r="F44" s="232">
        <v>5516</v>
      </c>
      <c r="G44" s="11">
        <f t="shared" si="1"/>
        <v>8.0694239636729635E-3</v>
      </c>
    </row>
    <row r="45" spans="1:7" x14ac:dyDescent="0.25">
      <c r="A45">
        <v>34</v>
      </c>
      <c r="B45" s="8">
        <v>9295.2337464526991</v>
      </c>
      <c r="C45" s="11">
        <f t="shared" si="0"/>
        <v>1.4349643847000087E-2</v>
      </c>
      <c r="E45" s="143">
        <v>34</v>
      </c>
      <c r="F45" s="233">
        <v>9157</v>
      </c>
      <c r="G45" s="11">
        <f t="shared" si="1"/>
        <v>1.3395887461086534E-2</v>
      </c>
    </row>
    <row r="46" spans="1:7" x14ac:dyDescent="0.25">
      <c r="A46">
        <v>35</v>
      </c>
      <c r="B46" s="8">
        <v>1913.5068404640001</v>
      </c>
      <c r="C46" s="11">
        <f t="shared" si="0"/>
        <v>2.954002277773332E-3</v>
      </c>
      <c r="E46" s="144">
        <v>35</v>
      </c>
      <c r="F46" s="234">
        <v>4266</v>
      </c>
      <c r="G46" s="11">
        <f t="shared" si="1"/>
        <v>6.2407836528333687E-3</v>
      </c>
    </row>
    <row r="47" spans="1:7" x14ac:dyDescent="0.25">
      <c r="A47">
        <v>36</v>
      </c>
      <c r="B47" s="8">
        <v>1505.593957757</v>
      </c>
      <c r="C47" s="11">
        <f t="shared" si="0"/>
        <v>2.3242812027457799E-3</v>
      </c>
      <c r="E47" s="145">
        <v>36</v>
      </c>
      <c r="F47" s="235">
        <v>4152</v>
      </c>
      <c r="G47" s="11">
        <f t="shared" si="1"/>
        <v>6.0740116564847978E-3</v>
      </c>
    </row>
    <row r="48" spans="1:7" x14ac:dyDescent="0.25">
      <c r="A48">
        <v>37</v>
      </c>
      <c r="B48" s="8">
        <v>8806.2590100407997</v>
      </c>
      <c r="C48" s="11">
        <f t="shared" si="0"/>
        <v>1.359478242994651E-2</v>
      </c>
      <c r="E48" s="146">
        <v>37</v>
      </c>
      <c r="F48" s="236">
        <v>4782</v>
      </c>
      <c r="G48" s="11">
        <f t="shared" si="1"/>
        <v>6.995646373147953E-3</v>
      </c>
    </row>
    <row r="49" spans="1:7" x14ac:dyDescent="0.25">
      <c r="A49">
        <v>38</v>
      </c>
      <c r="B49" s="8">
        <v>6890.9801801649</v>
      </c>
      <c r="C49" s="11">
        <f t="shared" si="0"/>
        <v>1.06380446193555E-2</v>
      </c>
      <c r="E49" s="147">
        <v>38</v>
      </c>
      <c r="F49" s="237">
        <v>6113</v>
      </c>
      <c r="G49" s="11">
        <f t="shared" si="1"/>
        <v>8.9427825761299526E-3</v>
      </c>
    </row>
    <row r="50" spans="1:7" x14ac:dyDescent="0.25">
      <c r="A50">
        <v>39</v>
      </c>
      <c r="B50" s="8">
        <v>2315.29114893</v>
      </c>
      <c r="C50" s="11">
        <f t="shared" si="0"/>
        <v>3.5742622827463718E-3</v>
      </c>
      <c r="E50" s="148">
        <v>39</v>
      </c>
      <c r="F50" s="238">
        <v>3952</v>
      </c>
      <c r="G50" s="11">
        <f t="shared" si="1"/>
        <v>5.7814292067504625E-3</v>
      </c>
    </row>
    <row r="51" spans="1:7" x14ac:dyDescent="0.25">
      <c r="A51">
        <v>40</v>
      </c>
      <c r="B51" s="8">
        <v>1550.0612718621001</v>
      </c>
      <c r="C51" s="11">
        <f t="shared" si="0"/>
        <v>2.3929282252571162E-3</v>
      </c>
      <c r="E51" s="149">
        <v>40</v>
      </c>
      <c r="F51" s="239">
        <v>3047</v>
      </c>
      <c r="G51" s="11">
        <f t="shared" si="1"/>
        <v>4.4574936217025955E-3</v>
      </c>
    </row>
    <row r="52" spans="1:7" x14ac:dyDescent="0.25">
      <c r="A52">
        <v>41</v>
      </c>
      <c r="B52" s="8">
        <v>1997.9285094439999</v>
      </c>
      <c r="C52" s="11">
        <f t="shared" si="0"/>
        <v>3.0843293804451331E-3</v>
      </c>
      <c r="E52" s="150">
        <v>41</v>
      </c>
      <c r="F52" s="240">
        <v>3230</v>
      </c>
      <c r="G52" s="11">
        <f t="shared" si="1"/>
        <v>4.725206563209512E-3</v>
      </c>
    </row>
    <row r="53" spans="1:7" x14ac:dyDescent="0.25">
      <c r="A53">
        <v>42</v>
      </c>
      <c r="B53" s="8">
        <v>691.90758015899996</v>
      </c>
      <c r="C53" s="11">
        <f t="shared" si="0"/>
        <v>1.0681417618045735E-3</v>
      </c>
      <c r="E53" s="151">
        <v>42</v>
      </c>
      <c r="F53" s="241">
        <v>2367</v>
      </c>
      <c r="G53" s="11">
        <f t="shared" si="1"/>
        <v>3.4627132926058563E-3</v>
      </c>
    </row>
    <row r="54" spans="1:7" x14ac:dyDescent="0.25">
      <c r="A54">
        <v>43</v>
      </c>
      <c r="B54" s="8">
        <v>728.54222070959997</v>
      </c>
      <c r="C54" s="11">
        <f t="shared" si="0"/>
        <v>1.1246969877088814E-3</v>
      </c>
      <c r="E54" s="152">
        <v>43</v>
      </c>
      <c r="F54" s="242">
        <v>2956</v>
      </c>
      <c r="G54" s="11">
        <f t="shared" si="1"/>
        <v>4.3243686070734734E-3</v>
      </c>
    </row>
    <row r="55" spans="1:7" x14ac:dyDescent="0.25">
      <c r="A55">
        <v>44</v>
      </c>
      <c r="B55" s="8">
        <v>1833.598052242</v>
      </c>
      <c r="C55" s="11">
        <f t="shared" si="0"/>
        <v>2.8306419963098719E-3</v>
      </c>
      <c r="E55" s="153">
        <v>44</v>
      </c>
      <c r="F55" s="243">
        <v>3043</v>
      </c>
      <c r="G55" s="11">
        <f t="shared" si="1"/>
        <v>4.4516419727079091E-3</v>
      </c>
    </row>
    <row r="56" spans="1:7" x14ac:dyDescent="0.25">
      <c r="A56">
        <v>45</v>
      </c>
      <c r="B56" s="8">
        <v>36013.058642884003</v>
      </c>
      <c r="C56" s="11">
        <f t="shared" si="0"/>
        <v>5.5595650358306291E-2</v>
      </c>
      <c r="E56" s="154">
        <v>45</v>
      </c>
      <c r="F56" s="244">
        <v>2743</v>
      </c>
      <c r="G56" s="11">
        <f t="shared" si="1"/>
        <v>4.0127682981064066E-3</v>
      </c>
    </row>
    <row r="57" spans="1:7" x14ac:dyDescent="0.25">
      <c r="A57">
        <v>46</v>
      </c>
      <c r="B57" s="8">
        <v>350.88274183620001</v>
      </c>
      <c r="C57" s="11">
        <f t="shared" si="0"/>
        <v>5.4168001738846524E-4</v>
      </c>
      <c r="E57" s="155">
        <v>46</v>
      </c>
      <c r="F57" s="245">
        <v>2398</v>
      </c>
      <c r="G57" s="11">
        <f t="shared" si="1"/>
        <v>3.5080635723146784E-3</v>
      </c>
    </row>
    <row r="58" spans="1:7" x14ac:dyDescent="0.25">
      <c r="A58">
        <v>47</v>
      </c>
      <c r="B58" s="8">
        <v>514.09667299200009</v>
      </c>
      <c r="C58" s="11">
        <f t="shared" si="0"/>
        <v>7.9364374921482345E-4</v>
      </c>
      <c r="E58" s="156">
        <v>47</v>
      </c>
      <c r="F58" s="246">
        <v>1688</v>
      </c>
      <c r="G58" s="11">
        <f t="shared" si="1"/>
        <v>2.4693958757577884E-3</v>
      </c>
    </row>
    <row r="59" spans="1:7" x14ac:dyDescent="0.25">
      <c r="A59">
        <v>48</v>
      </c>
      <c r="B59" s="8">
        <v>2118.7496220499997</v>
      </c>
      <c r="C59" s="11">
        <f t="shared" si="0"/>
        <v>3.2708486205617177E-3</v>
      </c>
      <c r="E59" s="157">
        <v>48</v>
      </c>
      <c r="F59" s="247">
        <v>1442</v>
      </c>
      <c r="G59" s="11">
        <f t="shared" si="1"/>
        <v>2.1095194625845564E-3</v>
      </c>
    </row>
    <row r="60" spans="1:7" x14ac:dyDescent="0.25">
      <c r="A60">
        <v>49</v>
      </c>
      <c r="B60" s="8">
        <v>230.26359417499998</v>
      </c>
      <c r="C60" s="11">
        <f t="shared" si="0"/>
        <v>3.5547256340943354E-4</v>
      </c>
      <c r="E60" s="158">
        <v>49</v>
      </c>
      <c r="F60" s="248">
        <v>2728</v>
      </c>
      <c r="G60" s="11">
        <f t="shared" si="1"/>
        <v>3.9908246143763315E-3</v>
      </c>
    </row>
    <row r="61" spans="1:7" x14ac:dyDescent="0.25">
      <c r="A61">
        <v>50</v>
      </c>
      <c r="B61" s="8">
        <v>324.77582940500002</v>
      </c>
      <c r="C61" s="11">
        <f t="shared" si="0"/>
        <v>5.0137711532583504E-4</v>
      </c>
      <c r="E61" s="159">
        <v>50</v>
      </c>
      <c r="F61" s="249">
        <v>1134</v>
      </c>
      <c r="G61" s="11">
        <f t="shared" si="1"/>
        <v>1.6589424899936802E-3</v>
      </c>
    </row>
    <row r="62" spans="1:7" x14ac:dyDescent="0.25">
      <c r="A62">
        <v>51</v>
      </c>
      <c r="B62" s="8">
        <v>195.252872306</v>
      </c>
      <c r="C62" s="11">
        <f t="shared" si="0"/>
        <v>3.0142428411379424E-4</v>
      </c>
      <c r="E62" s="160">
        <v>51</v>
      </c>
      <c r="F62" s="250">
        <v>1430</v>
      </c>
      <c r="G62" s="11">
        <f t="shared" si="1"/>
        <v>2.0919645156004963E-3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161">
        <v>52</v>
      </c>
      <c r="F63" s="251">
        <v>1044</v>
      </c>
      <c r="G63" s="11">
        <f t="shared" si="1"/>
        <v>1.5272803876132295E-3</v>
      </c>
    </row>
    <row r="64" spans="1:7" x14ac:dyDescent="0.25">
      <c r="A64">
        <v>53</v>
      </c>
      <c r="B64" s="8">
        <v>641.74018447160006</v>
      </c>
      <c r="C64" s="11">
        <f t="shared" si="0"/>
        <v>9.9069516062357107E-4</v>
      </c>
      <c r="E64" s="162">
        <v>53</v>
      </c>
      <c r="F64" s="252">
        <v>1015</v>
      </c>
      <c r="G64" s="11">
        <f t="shared" si="1"/>
        <v>1.4848559324017508E-3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163">
        <v>54</v>
      </c>
      <c r="F65" s="253">
        <v>810</v>
      </c>
      <c r="G65" s="11">
        <f t="shared" si="1"/>
        <v>1.1849589214240573E-3</v>
      </c>
    </row>
    <row r="66" spans="1:7" x14ac:dyDescent="0.25">
      <c r="A66">
        <v>55</v>
      </c>
      <c r="B66" s="8">
        <v>746.21469054700003</v>
      </c>
      <c r="C66" s="11">
        <f t="shared" si="0"/>
        <v>1.1519791040042698E-3</v>
      </c>
      <c r="E66" s="164">
        <v>55</v>
      </c>
      <c r="F66" s="254">
        <v>1037</v>
      </c>
      <c r="G66" s="11">
        <f t="shared" si="1"/>
        <v>1.5170400018725276E-3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165">
        <v>56</v>
      </c>
      <c r="F67" s="255">
        <v>1087</v>
      </c>
      <c r="G67" s="11">
        <f t="shared" si="1"/>
        <v>1.5901856143061114E-3</v>
      </c>
    </row>
    <row r="68" spans="1:7" x14ac:dyDescent="0.25">
      <c r="A68">
        <v>57</v>
      </c>
      <c r="B68" s="8">
        <v>1335.01152099</v>
      </c>
      <c r="C68" s="11">
        <f t="shared" si="0"/>
        <v>2.0609422399043126E-3</v>
      </c>
      <c r="E68" s="166">
        <v>57</v>
      </c>
      <c r="F68" s="256">
        <v>658</v>
      </c>
      <c r="G68" s="11">
        <f t="shared" si="1"/>
        <v>9.6259625962596257E-4</v>
      </c>
    </row>
    <row r="69" spans="1:7" x14ac:dyDescent="0.25">
      <c r="A69">
        <v>58</v>
      </c>
      <c r="B69" s="8">
        <v>91.638915521599998</v>
      </c>
      <c r="C69" s="11">
        <f t="shared" si="0"/>
        <v>1.4146882543562936E-4</v>
      </c>
      <c r="E69" s="167">
        <v>58</v>
      </c>
      <c r="F69" s="257">
        <v>593</v>
      </c>
      <c r="G69" s="11">
        <f t="shared" si="1"/>
        <v>8.6750696346230363E-4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168">
        <v>59</v>
      </c>
      <c r="F70" s="258">
        <v>500</v>
      </c>
      <c r="G70" s="11">
        <f t="shared" si="1"/>
        <v>7.3145612433583786E-4</v>
      </c>
    </row>
    <row r="71" spans="1:7" x14ac:dyDescent="0.25">
      <c r="A71">
        <v>60</v>
      </c>
      <c r="B71" s="8">
        <v>974.32163347300002</v>
      </c>
      <c r="C71" s="11">
        <f t="shared" si="0"/>
        <v>1.5041223076397066E-3</v>
      </c>
      <c r="E71" s="169">
        <v>60</v>
      </c>
      <c r="F71" s="259">
        <v>408</v>
      </c>
      <c r="G71" s="11">
        <f t="shared" si="1"/>
        <v>5.968681974580437E-4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170">
        <v>61</v>
      </c>
      <c r="F72" s="260">
        <v>413</v>
      </c>
      <c r="G72" s="11">
        <f t="shared" si="1"/>
        <v>6.0418275870140203E-4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171">
        <v>62</v>
      </c>
      <c r="F73" s="261">
        <v>324</v>
      </c>
      <c r="G73" s="11">
        <f t="shared" si="1"/>
        <v>4.7398356856962289E-4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172">
        <v>63</v>
      </c>
      <c r="F74" s="262">
        <v>295</v>
      </c>
      <c r="G74" s="11">
        <f t="shared" si="1"/>
        <v>4.315591133581443E-4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173">
        <v>64</v>
      </c>
      <c r="F75" s="263">
        <v>352</v>
      </c>
      <c r="G75" s="11">
        <f t="shared" si="1"/>
        <v>5.1494511153242983E-4</v>
      </c>
    </row>
    <row r="76" spans="1:7" x14ac:dyDescent="0.25">
      <c r="A76">
        <v>65</v>
      </c>
      <c r="B76" s="8">
        <v>292.68161738200001</v>
      </c>
      <c r="C76" s="11">
        <f t="shared" si="0"/>
        <v>4.5183123787483358E-4</v>
      </c>
      <c r="E76" s="174">
        <v>65</v>
      </c>
      <c r="F76" s="264">
        <v>232</v>
      </c>
      <c r="G76" s="11">
        <f t="shared" si="1"/>
        <v>3.3939564169182878E-4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175">
        <v>66</v>
      </c>
      <c r="F77" s="265">
        <v>206</v>
      </c>
      <c r="G77" s="11">
        <f t="shared" ref="G77:G102" si="3">F77/F$102</f>
        <v>3.0135992322636522E-4</v>
      </c>
    </row>
    <row r="78" spans="1:7" x14ac:dyDescent="0.25">
      <c r="A78">
        <v>67</v>
      </c>
      <c r="B78" s="8">
        <v>498.63543379100003</v>
      </c>
      <c r="C78" s="11">
        <f t="shared" si="2"/>
        <v>7.6977525036698159E-4</v>
      </c>
      <c r="E78" s="176">
        <v>67</v>
      </c>
      <c r="F78" s="266">
        <v>208</v>
      </c>
      <c r="G78" s="11">
        <f t="shared" si="3"/>
        <v>3.0428574772370853E-4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177">
        <v>68</v>
      </c>
      <c r="F79" s="267">
        <v>125</v>
      </c>
      <c r="G79" s="11">
        <f t="shared" si="3"/>
        <v>1.8286403108395947E-4</v>
      </c>
    </row>
    <row r="80" spans="1:7" x14ac:dyDescent="0.25">
      <c r="A80">
        <v>69</v>
      </c>
      <c r="B80" s="8">
        <v>387.67438217400002</v>
      </c>
      <c r="C80" s="11">
        <f t="shared" si="2"/>
        <v>5.9847761385513083E-4</v>
      </c>
      <c r="E80" s="178">
        <v>69</v>
      </c>
      <c r="F80" s="268">
        <v>136</v>
      </c>
      <c r="G80" s="11">
        <f t="shared" si="3"/>
        <v>1.9895606581934788E-4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179">
        <v>70</v>
      </c>
      <c r="F81" s="269">
        <v>222</v>
      </c>
      <c r="G81" s="11">
        <f t="shared" si="3"/>
        <v>3.24766519205112E-4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180">
        <v>71</v>
      </c>
      <c r="F82" s="270">
        <v>130</v>
      </c>
      <c r="G82" s="11">
        <f t="shared" si="3"/>
        <v>1.9017859232731783E-4</v>
      </c>
    </row>
    <row r="83" spans="1:7" x14ac:dyDescent="0.25">
      <c r="A83">
        <v>72</v>
      </c>
      <c r="B83" s="8">
        <v>5062.342946146</v>
      </c>
      <c r="C83" s="11">
        <f t="shared" si="2"/>
        <v>7.8150609538238467E-3</v>
      </c>
      <c r="E83" s="181">
        <v>72</v>
      </c>
      <c r="F83" s="271">
        <v>96</v>
      </c>
      <c r="G83" s="11">
        <f t="shared" si="3"/>
        <v>1.4043957587248087E-4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182">
        <v>73</v>
      </c>
      <c r="F84" s="272">
        <v>100</v>
      </c>
      <c r="G84" s="11">
        <f t="shared" si="3"/>
        <v>1.4629122486716756E-4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183">
        <v>74</v>
      </c>
      <c r="F85" s="273">
        <v>96</v>
      </c>
      <c r="G85" s="11">
        <f t="shared" si="3"/>
        <v>1.4043957587248087E-4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184">
        <v>75</v>
      </c>
      <c r="F86" s="274">
        <v>84</v>
      </c>
      <c r="G86" s="11">
        <f t="shared" si="3"/>
        <v>1.2288462888842075E-4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185">
        <v>76</v>
      </c>
      <c r="F87" s="275">
        <v>39</v>
      </c>
      <c r="G87" s="11">
        <f t="shared" si="3"/>
        <v>5.7053577698195349E-5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186">
        <v>77</v>
      </c>
      <c r="F88" s="276">
        <v>65</v>
      </c>
      <c r="G88" s="11">
        <f t="shared" si="3"/>
        <v>9.5089296163658915E-5</v>
      </c>
    </row>
    <row r="89" spans="1:7" x14ac:dyDescent="0.25">
      <c r="A89">
        <v>78</v>
      </c>
      <c r="B89" s="8">
        <v>256.37131749600002</v>
      </c>
      <c r="C89" s="11">
        <f t="shared" si="2"/>
        <v>3.9577671729425001E-4</v>
      </c>
      <c r="E89" s="187">
        <v>78</v>
      </c>
      <c r="F89" s="277">
        <v>60</v>
      </c>
      <c r="G89" s="11">
        <f t="shared" si="3"/>
        <v>8.7774734920300536E-5</v>
      </c>
    </row>
    <row r="90" spans="1:7" x14ac:dyDescent="0.25">
      <c r="A90">
        <v>79</v>
      </c>
      <c r="B90" s="8">
        <v>256.37131749600002</v>
      </c>
      <c r="C90" s="11">
        <f t="shared" si="2"/>
        <v>3.9577671729425001E-4</v>
      </c>
      <c r="E90" s="188">
        <v>79</v>
      </c>
      <c r="F90" s="278">
        <v>52</v>
      </c>
      <c r="G90" s="11">
        <f t="shared" si="3"/>
        <v>7.6071436930927132E-5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89">
        <v>80</v>
      </c>
      <c r="F91" s="279">
        <v>28</v>
      </c>
      <c r="G91" s="11">
        <f t="shared" si="3"/>
        <v>4.0961542962806921E-5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90">
        <v>81</v>
      </c>
      <c r="F92" s="280">
        <v>34</v>
      </c>
      <c r="G92" s="11">
        <f t="shared" si="3"/>
        <v>4.973901645483697E-5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91">
        <v>82</v>
      </c>
      <c r="F93" s="281">
        <v>29</v>
      </c>
      <c r="G93" s="11">
        <f t="shared" si="3"/>
        <v>4.2424455211478598E-5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92">
        <v>83</v>
      </c>
      <c r="F94" s="282">
        <v>31</v>
      </c>
      <c r="G94" s="11">
        <f t="shared" si="3"/>
        <v>4.5350279708821945E-5</v>
      </c>
    </row>
    <row r="95" spans="1:7" x14ac:dyDescent="0.25">
      <c r="A95">
        <v>84</v>
      </c>
      <c r="B95" s="8">
        <v>1132.619328192</v>
      </c>
      <c r="C95" s="11">
        <f t="shared" si="2"/>
        <v>1.7484965324283692E-3</v>
      </c>
      <c r="E95" s="193">
        <v>84</v>
      </c>
      <c r="F95" s="283">
        <v>17</v>
      </c>
      <c r="G95" s="11">
        <f t="shared" si="3"/>
        <v>2.4869508227418485E-5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94">
        <v>85</v>
      </c>
      <c r="F96" s="284">
        <v>25</v>
      </c>
      <c r="G96" s="11">
        <f t="shared" si="3"/>
        <v>3.6572806216791889E-5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95">
        <v>86</v>
      </c>
      <c r="F97" s="285">
        <v>25</v>
      </c>
      <c r="G97" s="11">
        <f t="shared" si="3"/>
        <v>3.6572806216791889E-5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96">
        <v>87</v>
      </c>
      <c r="F98" s="286">
        <v>13</v>
      </c>
      <c r="G98" s="11">
        <f t="shared" si="3"/>
        <v>1.9017859232731783E-5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97">
        <v>88</v>
      </c>
      <c r="F99" s="287">
        <v>9</v>
      </c>
      <c r="G99" s="11">
        <f t="shared" si="3"/>
        <v>1.3166210238045081E-5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98">
        <v>89</v>
      </c>
      <c r="F100" s="288">
        <v>9</v>
      </c>
      <c r="G100" s="11">
        <f t="shared" si="3"/>
        <v>1.3166210238045081E-5</v>
      </c>
    </row>
    <row r="101" spans="1:7" ht="15.75" thickBot="1" x14ac:dyDescent="0.3">
      <c r="A101" s="1">
        <v>90</v>
      </c>
      <c r="B101" s="9">
        <v>1073.1001075500001</v>
      </c>
      <c r="C101" s="11">
        <f t="shared" si="2"/>
        <v>1.6566129239511049E-3</v>
      </c>
      <c r="E101" s="291">
        <v>90</v>
      </c>
      <c r="F101" s="291">
        <v>113</v>
      </c>
      <c r="G101" s="11">
        <f t="shared" si="3"/>
        <v>1.6530908409989934E-4</v>
      </c>
    </row>
    <row r="102" spans="1:7" x14ac:dyDescent="0.25">
      <c r="B102" s="8">
        <f>SUM(B11:B101)</f>
        <v>647767.55754784436</v>
      </c>
      <c r="C102" s="11">
        <f t="shared" si="2"/>
        <v>1</v>
      </c>
      <c r="F102" s="8">
        <f>SUM(F11:F101)</f>
        <v>683568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width="12.28515625" bestFit="1" customWidth="1" collapsed="1"/>
    <col min="13" max="14" width="10.7109375" bestFit="1" customWidth="1" collapsed="1"/>
    <col min="15" max="15" width="12.5703125" bestFit="1" customWidth="1" collapsed="1"/>
    <col min="16" max="18" width="10.7109375" bestFit="1" customWidth="1" collapsed="1"/>
    <col min="19" max="19" width="11.5703125" bestFit="1" customWidth="1" collapsed="1"/>
    <col min="20" max="20" width="9.28515625" bestFit="1" customWidth="1" collapsed="1"/>
    <col min="21" max="21" width="11.5703125" bestFit="1" customWidth="1" collapsed="1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>
        <v>26029.775743269802</v>
      </c>
      <c r="C7" s="12">
        <v>569.6071198999</v>
      </c>
      <c r="D7" s="12">
        <v>1534.9425674075001</v>
      </c>
      <c r="E7" s="12">
        <v>1988.534357276</v>
      </c>
      <c r="F7" s="12">
        <v>1173.048027738</v>
      </c>
      <c r="G7" s="12">
        <v>0</v>
      </c>
      <c r="H7" s="12">
        <v>2766.0698910380002</v>
      </c>
      <c r="I7" s="12"/>
      <c r="J7" s="12">
        <f>SUM(B7:I7)</f>
        <v>34061.977706629201</v>
      </c>
      <c r="K7" s="12"/>
      <c r="L7" t="str">
        <f>$A$7</f>
        <v>Bellevue</v>
      </c>
      <c r="M7" s="337">
        <v>17054</v>
      </c>
      <c r="N7" s="337">
        <v>2677</v>
      </c>
      <c r="O7" s="337">
        <v>1391</v>
      </c>
      <c r="P7" s="337">
        <v>3122</v>
      </c>
      <c r="Q7" s="337">
        <v>1878</v>
      </c>
      <c r="R7" s="337">
        <v>316</v>
      </c>
      <c r="S7" s="337">
        <v>3249</v>
      </c>
      <c r="T7" s="337"/>
      <c r="U7" s="335">
        <f>SUM(M7:T7)</f>
        <v>29687</v>
      </c>
    </row>
    <row r="8" spans="1:21" x14ac:dyDescent="0.25">
      <c r="A8" t="s">
        <v>249</v>
      </c>
      <c r="B8" s="12">
        <v>367.31927441599998</v>
      </c>
      <c r="C8" s="12">
        <v>0</v>
      </c>
      <c r="D8" s="12">
        <v>0</v>
      </c>
      <c r="E8" s="12">
        <v>0</v>
      </c>
      <c r="F8" s="12">
        <v>95.351677793299999</v>
      </c>
      <c r="G8" s="12">
        <v>0</v>
      </c>
      <c r="H8" s="12">
        <v>0</v>
      </c>
      <c r="I8" s="12"/>
      <c r="J8" s="12">
        <f t="shared" ref="J8:J14" si="0">SUM(B8:I8)</f>
        <v>462.67095220929997</v>
      </c>
      <c r="K8" s="12"/>
      <c r="L8" t="str">
        <f>$A$8</f>
        <v>Bellevue Downtown</v>
      </c>
      <c r="M8" s="337">
        <v>914</v>
      </c>
      <c r="N8" s="337">
        <v>698</v>
      </c>
      <c r="O8" s="337">
        <v>151</v>
      </c>
      <c r="P8" s="337">
        <v>96</v>
      </c>
      <c r="Q8" s="337">
        <v>48</v>
      </c>
      <c r="R8" s="337">
        <v>10</v>
      </c>
      <c r="S8" s="337">
        <v>65</v>
      </c>
      <c r="T8" s="337"/>
      <c r="U8" s="335">
        <f t="shared" ref="U8:U14" si="1">SUM(M8:T8)</f>
        <v>1982</v>
      </c>
    </row>
    <row r="9" spans="1:21" x14ac:dyDescent="0.25">
      <c r="A9" t="s">
        <v>250</v>
      </c>
      <c r="B9" s="12">
        <v>2053.2435049750002</v>
      </c>
      <c r="C9" s="12">
        <v>0</v>
      </c>
      <c r="D9" s="12">
        <v>25333.134675179201</v>
      </c>
      <c r="E9" s="12">
        <v>1016.7372094737</v>
      </c>
      <c r="F9" s="12">
        <v>1810.1093605400001</v>
      </c>
      <c r="G9" s="12">
        <v>0</v>
      </c>
      <c r="H9" s="12">
        <v>1662.8041965100001</v>
      </c>
      <c r="I9" s="12"/>
      <c r="J9" s="12">
        <f t="shared" si="0"/>
        <v>31876.0289466779</v>
      </c>
      <c r="K9" s="13"/>
      <c r="L9" t="str">
        <f>$A$9</f>
        <v>Kirkland</v>
      </c>
      <c r="M9" s="337">
        <v>1815</v>
      </c>
      <c r="N9" s="337">
        <v>431</v>
      </c>
      <c r="O9" s="337">
        <v>13444</v>
      </c>
      <c r="P9" s="337">
        <v>3186</v>
      </c>
      <c r="Q9" s="337">
        <v>2270</v>
      </c>
      <c r="R9" s="337">
        <v>193</v>
      </c>
      <c r="S9" s="337">
        <v>3188</v>
      </c>
      <c r="T9" s="337"/>
      <c r="U9" s="335">
        <f t="shared" si="1"/>
        <v>24527</v>
      </c>
    </row>
    <row r="10" spans="1:21" x14ac:dyDescent="0.25">
      <c r="A10" t="s">
        <v>251</v>
      </c>
      <c r="B10" s="12">
        <v>3036.9691471830001</v>
      </c>
      <c r="C10" s="12">
        <v>6066.6638618899997</v>
      </c>
      <c r="D10" s="12">
        <v>334.47062320700002</v>
      </c>
      <c r="E10" s="12">
        <v>20878.384570222399</v>
      </c>
      <c r="F10" s="12">
        <v>0</v>
      </c>
      <c r="G10" s="12">
        <v>145.89222682600001</v>
      </c>
      <c r="H10" s="12">
        <v>4109.3392029300003</v>
      </c>
      <c r="I10" s="12"/>
      <c r="J10" s="12">
        <f t="shared" si="0"/>
        <v>34571.719632258399</v>
      </c>
      <c r="K10" s="13"/>
      <c r="L10" t="str">
        <f>$A$10</f>
        <v>Redmond</v>
      </c>
      <c r="M10" s="337">
        <v>2673</v>
      </c>
      <c r="N10" s="337">
        <v>237</v>
      </c>
      <c r="O10" s="337">
        <v>3077</v>
      </c>
      <c r="P10" s="337">
        <v>11147</v>
      </c>
      <c r="Q10" s="337">
        <v>1050</v>
      </c>
      <c r="R10" s="337">
        <v>179</v>
      </c>
      <c r="S10" s="337">
        <v>2727</v>
      </c>
      <c r="T10" s="337"/>
      <c r="U10" s="335">
        <f t="shared" si="1"/>
        <v>21090</v>
      </c>
    </row>
    <row r="11" spans="1:21" x14ac:dyDescent="0.25">
      <c r="A11" t="s">
        <v>247</v>
      </c>
      <c r="B11" s="12">
        <v>193.93223556309999</v>
      </c>
      <c r="C11" s="12">
        <v>204.895576933</v>
      </c>
      <c r="D11" s="12">
        <v>1516.3215492310001</v>
      </c>
      <c r="E11" s="12">
        <v>0</v>
      </c>
      <c r="F11" s="12">
        <v>67994.173376713006</v>
      </c>
      <c r="G11" s="12">
        <v>11465.8802925862</v>
      </c>
      <c r="H11" s="12">
        <v>11204.6773325296</v>
      </c>
      <c r="I11" s="12"/>
      <c r="J11" s="12">
        <f t="shared" si="0"/>
        <v>92579.880363555902</v>
      </c>
      <c r="K11" s="13"/>
      <c r="L11" t="str">
        <f>$A$11</f>
        <v>Seattle</v>
      </c>
      <c r="M11" s="337">
        <v>1317</v>
      </c>
      <c r="N11" s="337">
        <v>232</v>
      </c>
      <c r="O11" s="337">
        <v>1155</v>
      </c>
      <c r="P11" s="337">
        <v>549</v>
      </c>
      <c r="Q11" s="337">
        <v>86528</v>
      </c>
      <c r="R11" s="337">
        <v>4067</v>
      </c>
      <c r="S11" s="337">
        <v>8242</v>
      </c>
      <c r="T11" s="337"/>
      <c r="U11" s="335">
        <f t="shared" si="1"/>
        <v>102090</v>
      </c>
    </row>
    <row r="12" spans="1:21" x14ac:dyDescent="0.25">
      <c r="A12" t="s">
        <v>252</v>
      </c>
      <c r="B12" s="12">
        <v>0</v>
      </c>
      <c r="C12" s="12">
        <v>0</v>
      </c>
      <c r="D12" s="12">
        <v>0</v>
      </c>
      <c r="E12" s="12">
        <v>0</v>
      </c>
      <c r="F12" s="12">
        <v>868.1588883439</v>
      </c>
      <c r="G12" s="12">
        <v>1644.3208501040001</v>
      </c>
      <c r="H12" s="12">
        <v>98.7014267996</v>
      </c>
      <c r="I12" s="12"/>
      <c r="J12" s="12">
        <f t="shared" si="0"/>
        <v>2611.1811652475003</v>
      </c>
      <c r="K12" s="13"/>
      <c r="L12" t="str">
        <f>$A$12</f>
        <v>Seattle Downtown</v>
      </c>
      <c r="M12" s="337">
        <v>83</v>
      </c>
      <c r="N12" s="337">
        <v>16</v>
      </c>
      <c r="O12" s="337">
        <v>55</v>
      </c>
      <c r="P12" s="337">
        <v>53</v>
      </c>
      <c r="Q12" s="337">
        <v>2085</v>
      </c>
      <c r="R12" s="337">
        <v>5613</v>
      </c>
      <c r="S12" s="337">
        <v>197</v>
      </c>
      <c r="T12" s="337"/>
      <c r="U12" s="335">
        <f t="shared" si="1"/>
        <v>8102</v>
      </c>
    </row>
    <row r="13" spans="1:21" x14ac:dyDescent="0.25">
      <c r="A13" t="s">
        <v>253</v>
      </c>
      <c r="B13" s="12">
        <v>7032.93034059</v>
      </c>
      <c r="C13" s="12">
        <v>0</v>
      </c>
      <c r="D13" s="12">
        <v>7749.7630404920001</v>
      </c>
      <c r="E13" s="12">
        <v>2803.178594254</v>
      </c>
      <c r="F13" s="12">
        <v>17159.3430143765</v>
      </c>
      <c r="G13" s="12">
        <v>647.18767847499998</v>
      </c>
      <c r="H13" s="12">
        <v>417241.15166280343</v>
      </c>
      <c r="I13" s="12"/>
      <c r="J13" s="12">
        <f t="shared" si="0"/>
        <v>452633.55433099094</v>
      </c>
      <c r="K13" s="13"/>
      <c r="L13" t="str">
        <f>A13</f>
        <v>Rest</v>
      </c>
      <c r="M13" s="337">
        <v>6393</v>
      </c>
      <c r="N13" s="337">
        <v>903</v>
      </c>
      <c r="O13" s="337">
        <v>4907</v>
      </c>
      <c r="P13" s="337">
        <v>5027</v>
      </c>
      <c r="Q13" s="337">
        <v>17027</v>
      </c>
      <c r="R13" s="337">
        <v>1744</v>
      </c>
      <c r="S13" s="337">
        <v>459904</v>
      </c>
      <c r="T13" s="337"/>
      <c r="U13" s="335">
        <f t="shared" si="1"/>
        <v>495905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38714.170245996902</v>
      </c>
      <c r="C15" s="15">
        <f t="shared" si="2"/>
        <v>6841.166558722899</v>
      </c>
      <c r="D15" s="15">
        <f t="shared" si="2"/>
        <v>36468.632455516701</v>
      </c>
      <c r="E15" s="15">
        <f t="shared" si="2"/>
        <v>26686.834731226099</v>
      </c>
      <c r="F15" s="15">
        <f t="shared" si="2"/>
        <v>89100.184345504706</v>
      </c>
      <c r="G15" s="15">
        <f t="shared" si="2"/>
        <v>13903.2810479912</v>
      </c>
      <c r="H15" s="15">
        <f t="shared" si="2"/>
        <v>437082.74371261062</v>
      </c>
      <c r="I15" s="15">
        <f t="shared" si="2"/>
        <v>0</v>
      </c>
      <c r="J15" s="15">
        <f t="shared" si="2"/>
        <v>648797.01309756911</v>
      </c>
      <c r="K15" s="12"/>
      <c r="L15" s="15" t="s">
        <v>4</v>
      </c>
      <c r="M15" s="336">
        <f t="shared" ref="M15:U15" si="3">SUM(M7:M14)</f>
        <v>30249</v>
      </c>
      <c r="N15" s="336">
        <f t="shared" si="3"/>
        <v>5194</v>
      </c>
      <c r="O15" s="336">
        <f t="shared" si="3"/>
        <v>24180</v>
      </c>
      <c r="P15" s="336">
        <f t="shared" si="3"/>
        <v>23180</v>
      </c>
      <c r="Q15" s="336">
        <f t="shared" si="3"/>
        <v>110886</v>
      </c>
      <c r="R15" s="336">
        <f t="shared" si="3"/>
        <v>12122</v>
      </c>
      <c r="S15" s="336">
        <f t="shared" si="3"/>
        <v>477572</v>
      </c>
      <c r="T15" s="336">
        <f t="shared" si="3"/>
        <v>0</v>
      </c>
      <c r="U15" s="336">
        <f t="shared" si="3"/>
        <v>683383</v>
      </c>
    </row>
    <row r="18" spans="1:32" ht="15.75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22686.467566446016</v>
      </c>
      <c r="C20" s="12">
        <f t="shared" si="4"/>
        <v>496.44582337852012</v>
      </c>
      <c r="D20" s="12">
        <f t="shared" si="4"/>
        <v>1337.791962377979</v>
      </c>
      <c r="E20" s="12">
        <f t="shared" si="4"/>
        <v>1733.1236598444307</v>
      </c>
      <c r="F20" s="12">
        <f t="shared" si="4"/>
        <v>1022.3797660662682</v>
      </c>
      <c r="G20" s="12">
        <f t="shared" si="4"/>
        <v>0</v>
      </c>
      <c r="H20" s="12">
        <f t="shared" ref="H20" si="5">($U7/$J7)*H7</f>
        <v>2410.7912218867868</v>
      </c>
      <c r="I20" s="12"/>
      <c r="J20" s="12">
        <f>SUM(B20:I20)</f>
        <v>29686.999999999996</v>
      </c>
      <c r="K20" s="12"/>
      <c r="L20" t="str">
        <f>$A$7</f>
        <v>Bellevue</v>
      </c>
      <c r="M20" s="12">
        <f t="shared" ref="M20:M26" si="6">M7</f>
        <v>17054</v>
      </c>
      <c r="N20" s="12">
        <f t="shared" ref="N20:U20" si="7">N7</f>
        <v>2677</v>
      </c>
      <c r="O20" s="12">
        <f t="shared" si="7"/>
        <v>1391</v>
      </c>
      <c r="P20" s="12">
        <f t="shared" si="7"/>
        <v>3122</v>
      </c>
      <c r="Q20" s="12">
        <f t="shared" si="7"/>
        <v>1878</v>
      </c>
      <c r="R20" s="12">
        <f t="shared" si="7"/>
        <v>316</v>
      </c>
      <c r="S20" s="12">
        <f t="shared" ref="S20" si="8">S7</f>
        <v>3249</v>
      </c>
      <c r="T20" s="12"/>
      <c r="U20" s="12">
        <f t="shared" si="7"/>
        <v>29687</v>
      </c>
    </row>
    <row r="21" spans="1:32" x14ac:dyDescent="0.25">
      <c r="A21" t="str">
        <f>$A$8</f>
        <v>Bellevue Downtown</v>
      </c>
      <c r="B21" s="12">
        <f t="shared" ref="B21:G26" si="9">($U8/$J8)*B8</f>
        <v>1573.5303857225342</v>
      </c>
      <c r="C21" s="12">
        <f t="shared" si="9"/>
        <v>0</v>
      </c>
      <c r="D21" s="12">
        <f t="shared" si="9"/>
        <v>0</v>
      </c>
      <c r="E21" s="12">
        <f t="shared" si="9"/>
        <v>0</v>
      </c>
      <c r="F21" s="12">
        <f t="shared" si="9"/>
        <v>408.46961427746589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1982</v>
      </c>
      <c r="K21" s="12"/>
      <c r="L21" t="str">
        <f>$A$8</f>
        <v>Bellevue Downtown</v>
      </c>
      <c r="M21" s="12">
        <f t="shared" si="6"/>
        <v>914</v>
      </c>
      <c r="N21" s="12">
        <f t="shared" ref="N21:R25" si="12">N8</f>
        <v>698</v>
      </c>
      <c r="O21" s="12">
        <f t="shared" si="12"/>
        <v>151</v>
      </c>
      <c r="P21" s="12">
        <f t="shared" si="12"/>
        <v>96</v>
      </c>
      <c r="Q21" s="12">
        <f t="shared" si="12"/>
        <v>48</v>
      </c>
      <c r="R21" s="12">
        <f t="shared" si="12"/>
        <v>10</v>
      </c>
      <c r="S21" s="12">
        <f t="shared" ref="S21" si="13">S8</f>
        <v>65</v>
      </c>
      <c r="T21" s="12"/>
      <c r="U21" s="12">
        <f t="shared" ref="U21:U26" si="14">U8</f>
        <v>1982</v>
      </c>
    </row>
    <row r="22" spans="1:32" x14ac:dyDescent="0.25">
      <c r="A22" t="str">
        <f>$A$9</f>
        <v>Kirkland</v>
      </c>
      <c r="B22" s="12">
        <f t="shared" si="9"/>
        <v>1579.8675403000695</v>
      </c>
      <c r="C22" s="12">
        <f t="shared" si="9"/>
        <v>0</v>
      </c>
      <c r="D22" s="12">
        <f t="shared" si="9"/>
        <v>19492.572152494438</v>
      </c>
      <c r="E22" s="12">
        <f t="shared" si="9"/>
        <v>782.32811177567999</v>
      </c>
      <c r="F22" s="12">
        <f t="shared" si="9"/>
        <v>1392.7880527474413</v>
      </c>
      <c r="G22" s="12">
        <f t="shared" si="9"/>
        <v>0</v>
      </c>
      <c r="H22" s="12">
        <f t="shared" ref="H22" si="15">($U9/$J9)*H9</f>
        <v>1279.4441426823719</v>
      </c>
      <c r="I22" s="12"/>
      <c r="J22" s="12">
        <f t="shared" si="11"/>
        <v>24527.000000000004</v>
      </c>
      <c r="K22" s="13"/>
      <c r="L22" t="str">
        <f>$A$9</f>
        <v>Kirkland</v>
      </c>
      <c r="M22" s="12">
        <f t="shared" si="6"/>
        <v>1815</v>
      </c>
      <c r="N22" s="12">
        <f t="shared" si="12"/>
        <v>431</v>
      </c>
      <c r="O22" s="12">
        <f t="shared" si="12"/>
        <v>13444</v>
      </c>
      <c r="P22" s="12">
        <f t="shared" si="12"/>
        <v>3186</v>
      </c>
      <c r="Q22" s="12">
        <f t="shared" si="12"/>
        <v>2270</v>
      </c>
      <c r="R22" s="12">
        <f t="shared" si="12"/>
        <v>193</v>
      </c>
      <c r="S22" s="12">
        <f t="shared" ref="S22" si="16">S9</f>
        <v>3188</v>
      </c>
      <c r="T22" s="12"/>
      <c r="U22" s="12">
        <f t="shared" si="14"/>
        <v>24527</v>
      </c>
    </row>
    <row r="23" spans="1:32" x14ac:dyDescent="0.25">
      <c r="A23" t="str">
        <f>$A$10</f>
        <v>Redmond</v>
      </c>
      <c r="B23" s="12">
        <f t="shared" si="9"/>
        <v>1852.6610766079912</v>
      </c>
      <c r="C23" s="12">
        <f t="shared" si="9"/>
        <v>3700.8844861704679</v>
      </c>
      <c r="D23" s="12">
        <f t="shared" si="9"/>
        <v>204.03918342707064</v>
      </c>
      <c r="E23" s="12">
        <f t="shared" si="9"/>
        <v>12736.570100352457</v>
      </c>
      <c r="F23" s="12">
        <f t="shared" si="9"/>
        <v>0</v>
      </c>
      <c r="G23" s="12">
        <f t="shared" si="9"/>
        <v>88.999537670939503</v>
      </c>
      <c r="H23" s="12">
        <f t="shared" ref="H23" si="17">($U10/$J10)*H10</f>
        <v>2506.8456157710734</v>
      </c>
      <c r="I23" s="12"/>
      <c r="J23" s="12">
        <f>SUM(B23:I23)</f>
        <v>21090</v>
      </c>
      <c r="K23" s="13"/>
      <c r="L23" t="str">
        <f>$A$10</f>
        <v>Redmond</v>
      </c>
      <c r="M23" s="12">
        <f t="shared" si="6"/>
        <v>2673</v>
      </c>
      <c r="N23" s="12">
        <f t="shared" si="12"/>
        <v>237</v>
      </c>
      <c r="O23" s="12">
        <f t="shared" si="12"/>
        <v>3077</v>
      </c>
      <c r="P23" s="12">
        <f t="shared" si="12"/>
        <v>11147</v>
      </c>
      <c r="Q23" s="12">
        <f t="shared" si="12"/>
        <v>1050</v>
      </c>
      <c r="R23" s="12">
        <f t="shared" si="12"/>
        <v>179</v>
      </c>
      <c r="S23" s="12">
        <f t="shared" ref="S23" si="18">S10</f>
        <v>2727</v>
      </c>
      <c r="T23" s="12"/>
      <c r="U23" s="12">
        <f t="shared" si="14"/>
        <v>21090</v>
      </c>
    </row>
    <row r="24" spans="1:32" x14ac:dyDescent="0.25">
      <c r="A24" t="str">
        <f>$A$11</f>
        <v>Seattle</v>
      </c>
      <c r="B24" s="12">
        <f t="shared" si="9"/>
        <v>213.85361323528542</v>
      </c>
      <c r="C24" s="12">
        <f t="shared" si="9"/>
        <v>225.94314625323565</v>
      </c>
      <c r="D24" s="12">
        <f t="shared" si="9"/>
        <v>1672.0832469549223</v>
      </c>
      <c r="E24" s="12">
        <f t="shared" si="9"/>
        <v>0</v>
      </c>
      <c r="F24" s="12">
        <f t="shared" si="9"/>
        <v>74978.765718530398</v>
      </c>
      <c r="G24" s="12">
        <f t="shared" si="9"/>
        <v>12643.694444985622</v>
      </c>
      <c r="H24" s="12">
        <f t="shared" ref="H24" si="19">($U11/$J11)*H11</f>
        <v>12355.659830040542</v>
      </c>
      <c r="I24" s="12"/>
      <c r="J24" s="12">
        <f t="shared" si="11"/>
        <v>102090.00000000001</v>
      </c>
      <c r="K24" s="13"/>
      <c r="L24" t="str">
        <f>$A$11</f>
        <v>Seattle</v>
      </c>
      <c r="M24" s="12">
        <f t="shared" si="6"/>
        <v>1317</v>
      </c>
      <c r="N24" s="12">
        <f t="shared" si="12"/>
        <v>232</v>
      </c>
      <c r="O24" s="12">
        <f t="shared" si="12"/>
        <v>1155</v>
      </c>
      <c r="P24" s="12">
        <f t="shared" si="12"/>
        <v>549</v>
      </c>
      <c r="Q24" s="12">
        <f t="shared" si="12"/>
        <v>86528</v>
      </c>
      <c r="R24" s="12">
        <f t="shared" si="12"/>
        <v>4067</v>
      </c>
      <c r="S24" s="12">
        <f t="shared" ref="S24" si="20">S11</f>
        <v>8242</v>
      </c>
      <c r="T24" s="12"/>
      <c r="U24" s="12">
        <f t="shared" si="14"/>
        <v>102090</v>
      </c>
    </row>
    <row r="25" spans="1:32" x14ac:dyDescent="0.2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2693.7324023994247</v>
      </c>
      <c r="G25" s="12">
        <f t="shared" si="9"/>
        <v>5102.015786897673</v>
      </c>
      <c r="H25" s="12">
        <f t="shared" ref="H25:H26" si="21">($U12/$J12)*H12</f>
        <v>306.25181070290148</v>
      </c>
      <c r="I25" s="12"/>
      <c r="J25" s="12">
        <f t="shared" si="11"/>
        <v>8101.9999999999991</v>
      </c>
      <c r="K25" s="13"/>
      <c r="L25" t="str">
        <f>$A$12</f>
        <v>Seattle Downtown</v>
      </c>
      <c r="M25" s="12">
        <f t="shared" si="6"/>
        <v>83</v>
      </c>
      <c r="N25" s="12">
        <f t="shared" si="12"/>
        <v>16</v>
      </c>
      <c r="O25" s="12">
        <f t="shared" si="12"/>
        <v>55</v>
      </c>
      <c r="P25" s="12">
        <f t="shared" si="12"/>
        <v>53</v>
      </c>
      <c r="Q25" s="12">
        <f t="shared" si="12"/>
        <v>2085</v>
      </c>
      <c r="R25" s="12">
        <f t="shared" si="12"/>
        <v>5613</v>
      </c>
      <c r="S25" s="12">
        <f t="shared" ref="S25" si="22">S12</f>
        <v>197</v>
      </c>
      <c r="T25" s="12"/>
      <c r="U25" s="12">
        <f t="shared" si="14"/>
        <v>8102</v>
      </c>
    </row>
    <row r="26" spans="1:32" x14ac:dyDescent="0.25">
      <c r="A26" t="str">
        <f>$A$13</f>
        <v>Rest</v>
      </c>
      <c r="B26" s="12">
        <f t="shared" si="9"/>
        <v>7705.273476035557</v>
      </c>
      <c r="C26" s="12">
        <f t="shared" si="9"/>
        <v>0</v>
      </c>
      <c r="D26" s="12">
        <f t="shared" si="9"/>
        <v>8490.6348719009493</v>
      </c>
      <c r="E26" s="12">
        <f t="shared" si="9"/>
        <v>3071.1604729308324</v>
      </c>
      <c r="F26" s="12">
        <f t="shared" si="9"/>
        <v>18799.763994787329</v>
      </c>
      <c r="G26" s="12">
        <f t="shared" si="9"/>
        <v>709.05835995413838</v>
      </c>
      <c r="H26" s="12">
        <f t="shared" si="21"/>
        <v>457129.10882439115</v>
      </c>
      <c r="I26" s="12"/>
      <c r="J26" s="12">
        <f t="shared" si="11"/>
        <v>495904.99999999994</v>
      </c>
      <c r="K26" s="13"/>
      <c r="L26" t="str">
        <f>$A$13</f>
        <v>Rest</v>
      </c>
      <c r="M26" s="12">
        <f t="shared" si="6"/>
        <v>6393</v>
      </c>
      <c r="N26" s="12">
        <f t="shared" ref="N26:R26" si="23">N13</f>
        <v>903</v>
      </c>
      <c r="O26" s="12">
        <f t="shared" si="23"/>
        <v>4907</v>
      </c>
      <c r="P26" s="12">
        <f t="shared" si="23"/>
        <v>5027</v>
      </c>
      <c r="Q26" s="12">
        <f t="shared" si="23"/>
        <v>17027</v>
      </c>
      <c r="R26" s="12">
        <f t="shared" si="23"/>
        <v>1744</v>
      </c>
      <c r="S26" s="12">
        <f t="shared" ref="S26" si="24">S13</f>
        <v>459904</v>
      </c>
      <c r="T26" s="12"/>
      <c r="U26" s="12">
        <f t="shared" si="14"/>
        <v>495905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11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5">SUM(B20:B27)</f>
        <v>35611.653658347452</v>
      </c>
      <c r="C28" s="15">
        <f t="shared" si="25"/>
        <v>4423.2734558022239</v>
      </c>
      <c r="D28" s="15">
        <f t="shared" si="25"/>
        <v>31197.121417155358</v>
      </c>
      <c r="E28" s="15">
        <f t="shared" si="25"/>
        <v>18323.182344903398</v>
      </c>
      <c r="F28" s="15">
        <f t="shared" si="25"/>
        <v>99295.899548808331</v>
      </c>
      <c r="G28" s="15">
        <f t="shared" si="25"/>
        <v>18543.768129508371</v>
      </c>
      <c r="H28" s="15">
        <f t="shared" si="25"/>
        <v>475988.10144547484</v>
      </c>
      <c r="I28" s="15">
        <f t="shared" si="25"/>
        <v>0</v>
      </c>
      <c r="J28" s="15">
        <f t="shared" si="25"/>
        <v>683383</v>
      </c>
      <c r="K28" s="12"/>
      <c r="L28" s="15" t="s">
        <v>4</v>
      </c>
      <c r="M28" s="15">
        <f t="shared" ref="M28:U28" si="26">M15</f>
        <v>30249</v>
      </c>
      <c r="N28" s="15">
        <f t="shared" si="26"/>
        <v>5194</v>
      </c>
      <c r="O28" s="15">
        <f t="shared" si="26"/>
        <v>24180</v>
      </c>
      <c r="P28" s="15">
        <f t="shared" si="26"/>
        <v>23180</v>
      </c>
      <c r="Q28" s="15">
        <f t="shared" si="26"/>
        <v>110886</v>
      </c>
      <c r="R28" s="15">
        <f t="shared" si="26"/>
        <v>12122</v>
      </c>
      <c r="S28" s="15">
        <f t="shared" si="26"/>
        <v>477572</v>
      </c>
      <c r="T28" s="15"/>
      <c r="U28" s="15">
        <f t="shared" si="26"/>
        <v>683383</v>
      </c>
    </row>
    <row r="31" spans="1:32" ht="15.75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J39" si="27">B20/$J$28</f>
        <v>3.3197295757204988E-2</v>
      </c>
      <c r="C33" s="16">
        <f t="shared" si="27"/>
        <v>7.2645328224219821E-4</v>
      </c>
      <c r="D33" s="16">
        <f t="shared" si="27"/>
        <v>1.9576020509406568E-3</v>
      </c>
      <c r="E33" s="16">
        <f t="shared" si="27"/>
        <v>2.5360941958527364E-3</v>
      </c>
      <c r="F33" s="16">
        <f t="shared" si="27"/>
        <v>1.4960567735314871E-3</v>
      </c>
      <c r="G33" s="16">
        <f t="shared" si="27"/>
        <v>0</v>
      </c>
      <c r="H33" s="16">
        <f t="shared" ref="H33" si="28">H20/$J$28</f>
        <v>3.5277307481848198E-3</v>
      </c>
      <c r="I33" s="16"/>
      <c r="J33" s="16">
        <f t="shared" ref="J33:J38" si="29">J20/$J$28</f>
        <v>4.3441232807956878E-2</v>
      </c>
      <c r="K33" s="12"/>
      <c r="L33" t="str">
        <f>$A$7</f>
        <v>Bellevue</v>
      </c>
      <c r="M33" s="16">
        <f t="shared" ref="M33:R33" si="30">M20/$U$28</f>
        <v>2.4955259349442406E-2</v>
      </c>
      <c r="N33" s="16">
        <f t="shared" si="30"/>
        <v>3.9172762565062346E-3</v>
      </c>
      <c r="O33" s="16">
        <f t="shared" si="30"/>
        <v>2.0354618127755592E-3</v>
      </c>
      <c r="P33" s="16">
        <f t="shared" si="30"/>
        <v>4.5684484396012193E-3</v>
      </c>
      <c r="Q33" s="16">
        <f t="shared" si="30"/>
        <v>2.7480929434884976E-3</v>
      </c>
      <c r="R33" s="16">
        <f t="shared" si="30"/>
        <v>4.624054154112701E-4</v>
      </c>
      <c r="S33" s="16">
        <f t="shared" ref="S33" si="31">S20/$U$28</f>
        <v>4.7542885907316977E-3</v>
      </c>
      <c r="T33" s="16"/>
      <c r="U33" s="16">
        <f t="shared" ref="U33:U39" si="32">U20/$U$28</f>
        <v>4.3441232807956885E-2</v>
      </c>
      <c r="W33" t="str">
        <f>$A$7</f>
        <v>Bellevue</v>
      </c>
      <c r="X33" s="16">
        <f t="shared" ref="X33:AD33" si="33">M33-B33</f>
        <v>-8.2420364077625818E-3</v>
      </c>
      <c r="Y33" s="16">
        <f t="shared" si="33"/>
        <v>3.1908229742640365E-3</v>
      </c>
      <c r="Z33" s="16">
        <f t="shared" si="33"/>
        <v>7.7859761834902456E-5</v>
      </c>
      <c r="AA33" s="16">
        <f t="shared" si="33"/>
        <v>2.0323542437484829E-3</v>
      </c>
      <c r="AB33" s="16">
        <f t="shared" si="33"/>
        <v>1.2520361699570105E-3</v>
      </c>
      <c r="AC33" s="16">
        <f t="shared" si="33"/>
        <v>4.624054154112701E-4</v>
      </c>
      <c r="AD33" s="16">
        <f t="shared" si="33"/>
        <v>1.2265578425468778E-3</v>
      </c>
      <c r="AE33" s="16"/>
      <c r="AF33" s="16">
        <f t="shared" ref="AF33:AF39" si="34">U33-J33</f>
        <v>0</v>
      </c>
    </row>
    <row r="34" spans="1:32" x14ac:dyDescent="0.25">
      <c r="A34" t="str">
        <f>$A$8</f>
        <v>Bellevue Downtown</v>
      </c>
      <c r="B34" s="16">
        <f t="shared" si="27"/>
        <v>2.3025600369376092E-3</v>
      </c>
      <c r="C34" s="16">
        <f t="shared" si="27"/>
        <v>0</v>
      </c>
      <c r="D34" s="16">
        <f t="shared" si="27"/>
        <v>0</v>
      </c>
      <c r="E34" s="16">
        <f t="shared" si="27"/>
        <v>0</v>
      </c>
      <c r="F34" s="16">
        <f t="shared" si="27"/>
        <v>5.9771696731915466E-4</v>
      </c>
      <c r="G34" s="16">
        <f t="shared" si="27"/>
        <v>0</v>
      </c>
      <c r="H34" s="16">
        <f t="shared" ref="H34" si="35">H21/$J$28</f>
        <v>0</v>
      </c>
      <c r="I34" s="16"/>
      <c r="J34" s="16">
        <f t="shared" si="29"/>
        <v>2.9002770042567639E-3</v>
      </c>
      <c r="K34" s="12"/>
      <c r="L34" t="str">
        <f>$A$8</f>
        <v>Bellevue Downtown</v>
      </c>
      <c r="M34" s="16">
        <f t="shared" ref="M34:R39" si="36">M21/$U$28</f>
        <v>1.3374637648288002E-3</v>
      </c>
      <c r="N34" s="16">
        <f t="shared" si="36"/>
        <v>1.0213891770793244E-3</v>
      </c>
      <c r="O34" s="16">
        <f t="shared" si="36"/>
        <v>2.2095954976930946E-4</v>
      </c>
      <c r="P34" s="16">
        <f t="shared" si="36"/>
        <v>1.4047759455532255E-4</v>
      </c>
      <c r="Q34" s="16">
        <f t="shared" si="36"/>
        <v>7.0238797277661277E-5</v>
      </c>
      <c r="R34" s="16">
        <f t="shared" si="36"/>
        <v>1.4633082766179434E-5</v>
      </c>
      <c r="S34" s="16">
        <f t="shared" ref="S34" si="37">S21/$U$28</f>
        <v>9.5115037980166321E-5</v>
      </c>
      <c r="T34" s="16"/>
      <c r="U34" s="16">
        <f t="shared" si="32"/>
        <v>2.9002770042567639E-3</v>
      </c>
      <c r="W34" t="str">
        <f>$A$8</f>
        <v>Bellevue Downtown</v>
      </c>
      <c r="X34" s="16">
        <f t="shared" ref="X34:X38" si="38">M34-B34</f>
        <v>-9.6509627210880893E-4</v>
      </c>
      <c r="Y34" s="16">
        <f t="shared" ref="Y34:AD38" si="39">N34-C34</f>
        <v>1.0213891770793244E-3</v>
      </c>
      <c r="Z34" s="16">
        <f t="shared" si="39"/>
        <v>2.2095954976930946E-4</v>
      </c>
      <c r="AA34" s="16">
        <f t="shared" si="39"/>
        <v>1.4047759455532255E-4</v>
      </c>
      <c r="AB34" s="16">
        <f t="shared" si="39"/>
        <v>-5.2747817004149343E-4</v>
      </c>
      <c r="AC34" s="16">
        <f t="shared" si="39"/>
        <v>1.4633082766179434E-5</v>
      </c>
      <c r="AD34" s="16">
        <f t="shared" si="39"/>
        <v>9.5115037980166321E-5</v>
      </c>
      <c r="AE34" s="16"/>
      <c r="AF34" s="16">
        <f t="shared" si="34"/>
        <v>0</v>
      </c>
    </row>
    <row r="35" spans="1:32" x14ac:dyDescent="0.25">
      <c r="A35" t="str">
        <f>$A$9</f>
        <v>Kirkland</v>
      </c>
      <c r="B35" s="16">
        <f t="shared" si="27"/>
        <v>2.311833247681124E-3</v>
      </c>
      <c r="C35" s="16">
        <f t="shared" si="27"/>
        <v>0</v>
      </c>
      <c r="D35" s="16">
        <f t="shared" si="27"/>
        <v>2.8523642163317552E-2</v>
      </c>
      <c r="E35" s="16">
        <f t="shared" si="27"/>
        <v>1.14478720099224E-3</v>
      </c>
      <c r="F35" s="16">
        <f t="shared" si="27"/>
        <v>2.0380782851599196E-3</v>
      </c>
      <c r="G35" s="16">
        <f t="shared" si="27"/>
        <v>0</v>
      </c>
      <c r="H35" s="16">
        <f t="shared" ref="H35" si="40">H22/$J$28</f>
        <v>1.8722212034574636E-3</v>
      </c>
      <c r="I35" s="16"/>
      <c r="J35" s="16">
        <f t="shared" si="29"/>
        <v>3.58905621006083E-2</v>
      </c>
      <c r="K35" s="13"/>
      <c r="L35" t="str">
        <f>$A$9</f>
        <v>Kirkland</v>
      </c>
      <c r="M35" s="16">
        <f t="shared" si="36"/>
        <v>2.6559045220615673E-3</v>
      </c>
      <c r="N35" s="16">
        <f t="shared" si="36"/>
        <v>6.3068586722233363E-4</v>
      </c>
      <c r="O35" s="16">
        <f t="shared" si="36"/>
        <v>1.9672716470851632E-2</v>
      </c>
      <c r="P35" s="16">
        <f t="shared" si="36"/>
        <v>4.6621001693047679E-3</v>
      </c>
      <c r="Q35" s="16">
        <f t="shared" si="36"/>
        <v>3.3217097879227313E-3</v>
      </c>
      <c r="R35" s="16">
        <f t="shared" si="36"/>
        <v>2.824184973872631E-4</v>
      </c>
      <c r="S35" s="16">
        <f t="shared" ref="S35" si="41">S22/$U$28</f>
        <v>4.6650267858580037E-3</v>
      </c>
      <c r="T35" s="16"/>
      <c r="U35" s="16">
        <f t="shared" si="32"/>
        <v>3.58905621006083E-2</v>
      </c>
      <c r="W35" t="str">
        <f>$A$9</f>
        <v>Kirkland</v>
      </c>
      <c r="X35" s="16">
        <f t="shared" si="38"/>
        <v>3.4407127438044333E-4</v>
      </c>
      <c r="Y35" s="16">
        <f t="shared" si="39"/>
        <v>6.3068586722233363E-4</v>
      </c>
      <c r="Z35" s="16">
        <f t="shared" si="39"/>
        <v>-8.8509256924659205E-3</v>
      </c>
      <c r="AA35" s="16">
        <f t="shared" si="39"/>
        <v>3.5173129683125281E-3</v>
      </c>
      <c r="AB35" s="16">
        <f t="shared" si="39"/>
        <v>1.2836315027628118E-3</v>
      </c>
      <c r="AC35" s="16">
        <f t="shared" si="39"/>
        <v>2.824184973872631E-4</v>
      </c>
      <c r="AD35" s="16">
        <f t="shared" si="39"/>
        <v>2.7928055824005399E-3</v>
      </c>
      <c r="AE35" s="16"/>
      <c r="AF35" s="16">
        <f t="shared" si="34"/>
        <v>0</v>
      </c>
    </row>
    <row r="36" spans="1:32" x14ac:dyDescent="0.25">
      <c r="A36" t="str">
        <f>$A$10</f>
        <v>Redmond</v>
      </c>
      <c r="B36" s="16">
        <f t="shared" si="27"/>
        <v>2.7110142871683831E-3</v>
      </c>
      <c r="C36" s="16">
        <f t="shared" si="27"/>
        <v>5.4155348994201899E-3</v>
      </c>
      <c r="D36" s="16">
        <f t="shared" si="27"/>
        <v>2.9857222586319917E-4</v>
      </c>
      <c r="E36" s="16">
        <f t="shared" si="27"/>
        <v>1.8637528443570379E-2</v>
      </c>
      <c r="F36" s="16">
        <f t="shared" si="27"/>
        <v>0</v>
      </c>
      <c r="G36" s="16">
        <f t="shared" si="27"/>
        <v>1.3023376008905623E-4</v>
      </c>
      <c r="H36" s="16">
        <f t="shared" ref="H36" si="42">H23/$J$28</f>
        <v>3.6682879377612164E-3</v>
      </c>
      <c r="I36" s="16"/>
      <c r="J36" s="16">
        <f t="shared" si="29"/>
        <v>3.0861171553872427E-2</v>
      </c>
      <c r="K36" s="13"/>
      <c r="L36" t="str">
        <f>$A$10</f>
        <v>Redmond</v>
      </c>
      <c r="M36" s="16">
        <f t="shared" si="36"/>
        <v>3.9114230233997628E-3</v>
      </c>
      <c r="N36" s="16">
        <f t="shared" si="36"/>
        <v>3.468040615584526E-4</v>
      </c>
      <c r="O36" s="16">
        <f t="shared" si="36"/>
        <v>4.5025995671534114E-3</v>
      </c>
      <c r="P36" s="16">
        <f t="shared" si="36"/>
        <v>1.6311497359460216E-2</v>
      </c>
      <c r="Q36" s="16">
        <f t="shared" si="36"/>
        <v>1.5364736904488405E-3</v>
      </c>
      <c r="R36" s="16">
        <f t="shared" si="36"/>
        <v>2.6193218151461187E-4</v>
      </c>
      <c r="S36" s="16">
        <f t="shared" ref="S36" si="43">S23/$U$28</f>
        <v>3.9904416703371312E-3</v>
      </c>
      <c r="T36" s="16"/>
      <c r="U36" s="16">
        <f t="shared" si="32"/>
        <v>3.0861171553872427E-2</v>
      </c>
      <c r="W36" t="str">
        <f>$A$10</f>
        <v>Redmond</v>
      </c>
      <c r="X36" s="16">
        <f t="shared" si="38"/>
        <v>1.2004087362313797E-3</v>
      </c>
      <c r="Y36" s="16">
        <f t="shared" si="39"/>
        <v>-5.068730837861737E-3</v>
      </c>
      <c r="Z36" s="16">
        <f t="shared" si="39"/>
        <v>4.2040273412902122E-3</v>
      </c>
      <c r="AA36" s="16">
        <f t="shared" si="39"/>
        <v>-2.3260310841101625E-3</v>
      </c>
      <c r="AB36" s="16">
        <f t="shared" si="39"/>
        <v>1.5364736904488405E-3</v>
      </c>
      <c r="AC36" s="16">
        <f t="shared" si="39"/>
        <v>1.3169842142555564E-4</v>
      </c>
      <c r="AD36" s="16">
        <f t="shared" si="39"/>
        <v>3.221537325759148E-4</v>
      </c>
      <c r="AE36" s="16"/>
      <c r="AF36" s="16">
        <f t="shared" si="34"/>
        <v>0</v>
      </c>
    </row>
    <row r="37" spans="1:32" x14ac:dyDescent="0.25">
      <c r="A37" t="str">
        <f>$A$11</f>
        <v>Seattle</v>
      </c>
      <c r="B37" s="16">
        <f t="shared" si="27"/>
        <v>3.1293376223184572E-4</v>
      </c>
      <c r="C37" s="16">
        <f t="shared" si="27"/>
        <v>3.3062447595745819E-4</v>
      </c>
      <c r="D37" s="16">
        <f t="shared" si="27"/>
        <v>2.4467732544633425E-3</v>
      </c>
      <c r="E37" s="16">
        <f t="shared" si="27"/>
        <v>0</v>
      </c>
      <c r="F37" s="16">
        <f t="shared" si="27"/>
        <v>0.10971704844652325</v>
      </c>
      <c r="G37" s="16">
        <f t="shared" si="27"/>
        <v>1.8501622728375775E-2</v>
      </c>
      <c r="H37" s="16">
        <f t="shared" ref="H37" si="44">H24/$J$28</f>
        <v>1.8080139292374175E-2</v>
      </c>
      <c r="I37" s="16"/>
      <c r="J37" s="16">
        <f t="shared" si="29"/>
        <v>0.14938914195992586</v>
      </c>
      <c r="K37" s="13"/>
      <c r="L37" t="str">
        <f>$A$11</f>
        <v>Seattle</v>
      </c>
      <c r="M37" s="16">
        <f t="shared" si="36"/>
        <v>1.9271770003058315E-3</v>
      </c>
      <c r="N37" s="16">
        <f t="shared" si="36"/>
        <v>3.3948752017536288E-4</v>
      </c>
      <c r="O37" s="16">
        <f t="shared" si="36"/>
        <v>1.6901210594937246E-3</v>
      </c>
      <c r="P37" s="16">
        <f t="shared" si="36"/>
        <v>8.0335624386325096E-4</v>
      </c>
      <c r="Q37" s="16">
        <f t="shared" si="36"/>
        <v>0.1266171385591974</v>
      </c>
      <c r="R37" s="16">
        <f t="shared" si="36"/>
        <v>5.9512747610051759E-3</v>
      </c>
      <c r="S37" s="16">
        <f t="shared" ref="S37" si="45">S24/$U$28</f>
        <v>1.2060586815885089E-2</v>
      </c>
      <c r="T37" s="16"/>
      <c r="U37" s="16">
        <f t="shared" si="32"/>
        <v>0.14938914195992584</v>
      </c>
      <c r="W37" t="str">
        <f>$A$11</f>
        <v>Seattle</v>
      </c>
      <c r="X37" s="16">
        <f t="shared" si="38"/>
        <v>1.6142432380739859E-3</v>
      </c>
      <c r="Y37" s="16">
        <f t="shared" si="39"/>
        <v>8.8630442179046874E-6</v>
      </c>
      <c r="Z37" s="16">
        <f t="shared" si="39"/>
        <v>-7.5665219496961794E-4</v>
      </c>
      <c r="AA37" s="16">
        <f t="shared" si="39"/>
        <v>8.0335624386325096E-4</v>
      </c>
      <c r="AB37" s="16">
        <f t="shared" si="39"/>
        <v>1.6900090112674154E-2</v>
      </c>
      <c r="AC37" s="16">
        <f t="shared" si="39"/>
        <v>-1.25503479673706E-2</v>
      </c>
      <c r="AD37" s="16">
        <f t="shared" si="39"/>
        <v>-6.019552476489087E-3</v>
      </c>
      <c r="AE37" s="16"/>
      <c r="AF37" s="16">
        <f t="shared" si="34"/>
        <v>0</v>
      </c>
    </row>
    <row r="38" spans="1:32" x14ac:dyDescent="0.25">
      <c r="A38" t="str">
        <f>$A$12</f>
        <v>Seattle Downtown</v>
      </c>
      <c r="B38" s="16">
        <f t="shared" si="27"/>
        <v>0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3.9417609194250143E-3</v>
      </c>
      <c r="G38" s="16">
        <f t="shared" si="27"/>
        <v>7.465821928402774E-3</v>
      </c>
      <c r="H38" s="16">
        <f t="shared" ref="H38:H39" si="46">H25/$J$28</f>
        <v>4.4814080933078737E-4</v>
      </c>
      <c r="I38" s="16"/>
      <c r="J38" s="16">
        <f t="shared" si="29"/>
        <v>1.1855723657158576E-2</v>
      </c>
      <c r="K38" s="13"/>
      <c r="L38" t="str">
        <f>$A$12</f>
        <v>Seattle Downtown</v>
      </c>
      <c r="M38" s="16">
        <f t="shared" si="36"/>
        <v>1.214545869592893E-4</v>
      </c>
      <c r="N38" s="16">
        <f t="shared" si="36"/>
        <v>2.3412932425887093E-5</v>
      </c>
      <c r="O38" s="16">
        <f t="shared" si="36"/>
        <v>8.0481955213986892E-5</v>
      </c>
      <c r="P38" s="16">
        <f t="shared" si="36"/>
        <v>7.7555338660750998E-5</v>
      </c>
      <c r="Q38" s="16">
        <f t="shared" si="36"/>
        <v>3.0509977567484119E-3</v>
      </c>
      <c r="R38" s="16">
        <f t="shared" si="36"/>
        <v>8.2135493566565156E-3</v>
      </c>
      <c r="S38" s="16">
        <f t="shared" ref="S38:S39" si="47">S25/$U$28</f>
        <v>2.8827173049373483E-4</v>
      </c>
      <c r="T38" s="16"/>
      <c r="U38" s="16">
        <f t="shared" si="32"/>
        <v>1.1855723657158578E-2</v>
      </c>
      <c r="W38" t="str">
        <f>$A$12</f>
        <v>Seattle Downtown</v>
      </c>
      <c r="X38" s="16">
        <f t="shared" si="38"/>
        <v>1.214545869592893E-4</v>
      </c>
      <c r="Y38" s="16">
        <f t="shared" si="39"/>
        <v>2.3412932425887093E-5</v>
      </c>
      <c r="Z38" s="16">
        <f t="shared" si="39"/>
        <v>8.0481955213986892E-5</v>
      </c>
      <c r="AA38" s="16">
        <f t="shared" si="39"/>
        <v>7.7555338660750998E-5</v>
      </c>
      <c r="AB38" s="16">
        <f t="shared" si="39"/>
        <v>-8.9076316267660237E-4</v>
      </c>
      <c r="AC38" s="16">
        <f t="shared" si="39"/>
        <v>7.4772742825374161E-4</v>
      </c>
      <c r="AD38" s="16">
        <f t="shared" si="39"/>
        <v>-1.5986907883705254E-4</v>
      </c>
      <c r="AE38" s="16"/>
      <c r="AF38" s="16">
        <f t="shared" si="34"/>
        <v>0</v>
      </c>
    </row>
    <row r="39" spans="1:32" x14ac:dyDescent="0.25">
      <c r="A39" t="str">
        <f>$A$13</f>
        <v>Rest</v>
      </c>
      <c r="B39" s="16">
        <f t="shared" si="27"/>
        <v>1.1275190451087541E-2</v>
      </c>
      <c r="C39" s="16">
        <f t="shared" si="27"/>
        <v>0</v>
      </c>
      <c r="D39" s="16">
        <f t="shared" si="27"/>
        <v>1.2424416281793591E-2</v>
      </c>
      <c r="E39" s="16">
        <f t="shared" si="27"/>
        <v>4.4940545388615647E-3</v>
      </c>
      <c r="F39" s="16">
        <f t="shared" si="27"/>
        <v>2.7509850252036307E-2</v>
      </c>
      <c r="G39" s="16">
        <f t="shared" si="27"/>
        <v>1.0375709667260356E-3</v>
      </c>
      <c r="H39" s="16">
        <f t="shared" si="46"/>
        <v>0.66892080842571611</v>
      </c>
      <c r="I39" s="16"/>
      <c r="J39" s="16">
        <f t="shared" si="27"/>
        <v>0.72566189091622113</v>
      </c>
      <c r="K39" s="13"/>
      <c r="L39" t="str">
        <f>$A$13</f>
        <v>Rest</v>
      </c>
      <c r="M39" s="16">
        <f t="shared" si="36"/>
        <v>9.3549298124185123E-3</v>
      </c>
      <c r="N39" s="16">
        <f t="shared" si="36"/>
        <v>1.321367373786003E-3</v>
      </c>
      <c r="O39" s="16">
        <f t="shared" si="36"/>
        <v>7.1804537133642486E-3</v>
      </c>
      <c r="P39" s="16">
        <f t="shared" si="36"/>
        <v>7.3560507065584015E-3</v>
      </c>
      <c r="Q39" s="16">
        <f t="shared" si="36"/>
        <v>2.4915750025973724E-2</v>
      </c>
      <c r="R39" s="16">
        <f t="shared" si="36"/>
        <v>2.5520096344216932E-3</v>
      </c>
      <c r="S39" s="16">
        <f t="shared" si="47"/>
        <v>0.67298132964969859</v>
      </c>
      <c r="T39" s="16"/>
      <c r="U39" s="16">
        <f t="shared" si="32"/>
        <v>0.72566189091622124</v>
      </c>
      <c r="W39" t="str">
        <f>$A$13</f>
        <v>Rest</v>
      </c>
      <c r="X39" s="16">
        <f t="shared" ref="X39" si="48">M39-B39</f>
        <v>-1.9202606386690291E-3</v>
      </c>
      <c r="Y39" s="16">
        <f t="shared" ref="Y39" si="49">N39-C39</f>
        <v>1.321367373786003E-3</v>
      </c>
      <c r="Z39" s="16">
        <f t="shared" ref="Z39" si="50">O39-D39</f>
        <v>-5.2439625684293422E-3</v>
      </c>
      <c r="AA39" s="16">
        <f t="shared" ref="AA39" si="51">P39-E39</f>
        <v>2.8619961676968368E-3</v>
      </c>
      <c r="AB39" s="16">
        <f t="shared" ref="AB39" si="52">Q39-F39</f>
        <v>-2.5941002260625838E-3</v>
      </c>
      <c r="AC39" s="16">
        <f t="shared" ref="AC39" si="53">R39-G39</f>
        <v>1.5144386676956576E-3</v>
      </c>
      <c r="AD39" s="16">
        <f t="shared" ref="AD39" si="54">S39-H39</f>
        <v>4.0605212239824828E-3</v>
      </c>
      <c r="AE39" s="16"/>
      <c r="AF39" s="16">
        <f t="shared" si="34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H41" si="55">B28/$J$28</f>
        <v>5.2110827542311486E-2</v>
      </c>
      <c r="C41" s="18">
        <f t="shared" si="55"/>
        <v>6.4726126576198466E-3</v>
      </c>
      <c r="D41" s="18">
        <f t="shared" si="55"/>
        <v>4.5651005976378341E-2</v>
      </c>
      <c r="E41" s="18">
        <f t="shared" si="55"/>
        <v>2.6812464379276917E-2</v>
      </c>
      <c r="F41" s="18">
        <f t="shared" si="55"/>
        <v>0.14530051164399513</v>
      </c>
      <c r="G41" s="18">
        <f t="shared" si="55"/>
        <v>2.713524938359364E-2</v>
      </c>
      <c r="H41" s="18">
        <f t="shared" si="55"/>
        <v>0.69651732841682457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4.4263612059416167E-2</v>
      </c>
      <c r="N41" s="18">
        <f>N28/$U$28</f>
        <v>7.6004231887535981E-3</v>
      </c>
      <c r="O41" s="18">
        <f>O28/$U$28</f>
        <v>3.5382794128621872E-2</v>
      </c>
      <c r="P41" s="18">
        <f>P28/$U$28</f>
        <v>3.3919485852003925E-2</v>
      </c>
      <c r="Q41" s="18">
        <f t="shared" ref="Q41:S41" si="56">Q28/$U$28</f>
        <v>0.16226040156105728</v>
      </c>
      <c r="R41" s="18">
        <f t="shared" si="56"/>
        <v>1.773822292916271E-2</v>
      </c>
      <c r="S41" s="18">
        <f t="shared" si="56"/>
        <v>0.69883506028098441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7">M41-B41</f>
        <v>-7.8472154828953186E-3</v>
      </c>
      <c r="Y41" s="18">
        <f t="shared" si="57"/>
        <v>1.1278105311337515E-3</v>
      </c>
      <c r="Z41" s="18">
        <f t="shared" si="57"/>
        <v>-1.0268211847756469E-2</v>
      </c>
      <c r="AA41" s="18">
        <f t="shared" si="57"/>
        <v>7.1070214727270084E-3</v>
      </c>
      <c r="AB41" s="18">
        <f t="shared" si="57"/>
        <v>1.6959889917062154E-2</v>
      </c>
      <c r="AC41" s="18">
        <f t="shared" si="57"/>
        <v>-9.3970264544309297E-3</v>
      </c>
      <c r="AD41" s="18">
        <f t="shared" si="57"/>
        <v>2.3177318641598443E-3</v>
      </c>
      <c r="AE41" s="18">
        <f t="shared" si="57"/>
        <v>0</v>
      </c>
      <c r="AF41" s="18">
        <f t="shared" si="57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0" workbookViewId="0">
      <selection activeCell="D28" sqref="D28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2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3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3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3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3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3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3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3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3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3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3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3">
        <v>5.7553461640599997E-2</v>
      </c>
      <c r="F41" s="333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3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3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3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3">
        <v>0</v>
      </c>
    </row>
    <row r="46" spans="2:6" x14ac:dyDescent="0.25">
      <c r="B46">
        <v>36</v>
      </c>
      <c r="C46" t="s">
        <v>122</v>
      </c>
      <c r="D46" t="s">
        <v>236</v>
      </c>
      <c r="E46" s="333">
        <v>0.61259135262599995</v>
      </c>
      <c r="F46" s="333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3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3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3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3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3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3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3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3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3">
        <v>6.2100000000000002E-2</v>
      </c>
      <c r="F67" s="333">
        <v>0</v>
      </c>
    </row>
    <row r="68" spans="2:6" x14ac:dyDescent="0.25">
      <c r="B68">
        <v>118</v>
      </c>
      <c r="C68" t="s">
        <v>257</v>
      </c>
      <c r="D68" t="s">
        <v>235</v>
      </c>
      <c r="E68" s="333">
        <v>-3</v>
      </c>
      <c r="F68" s="333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3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3">
        <v>-5981.59020986</v>
      </c>
      <c r="D114" s="333">
        <v>-29805.783655800002</v>
      </c>
      <c r="E114" s="333">
        <v>-17292.021287899999</v>
      </c>
    </row>
    <row r="115" spans="2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topLeftCell="A4" zoomScaleNormal="100" workbookViewId="0">
      <selection activeCell="E24" sqref="E24"/>
    </sheetView>
  </sheetViews>
  <sheetFormatPr defaultColWidth="9.140625" defaultRowHeight="15" x14ac:dyDescent="0.25"/>
  <cols>
    <col min="1" max="2" width="9.140625" style="295" collapsed="1"/>
    <col min="3" max="3" width="12.7109375" style="295" customWidth="1" collapsed="1"/>
    <col min="4" max="4" width="18.85546875" style="294" customWidth="1" collapsed="1"/>
    <col min="5" max="5" width="39.42578125" style="295" customWidth="1" collapsed="1"/>
    <col min="6" max="6" width="12.7109375" style="295" customWidth="1" collapsed="1"/>
    <col min="7" max="7" width="18.85546875" style="294" customWidth="1" collapsed="1"/>
    <col min="8" max="8" width="8.7109375" style="294" customWidth="1" collapsed="1"/>
    <col min="9" max="9" width="6.5703125" style="294" bestFit="1" customWidth="1" collapsed="1"/>
    <col min="10" max="10" width="10.140625" style="294" bestFit="1" customWidth="1" collapsed="1"/>
    <col min="11" max="11" width="9.85546875" style="294" bestFit="1" customWidth="1" collapsed="1"/>
    <col min="12" max="14" width="9.140625" style="295" collapsed="1"/>
    <col min="15" max="15" width="13" style="295" customWidth="1" collapsed="1"/>
    <col min="16" max="16" width="19.5703125" style="297" bestFit="1" customWidth="1" collapsed="1"/>
    <col min="17" max="17" width="19.5703125" style="354" customWidth="1" collapsed="1"/>
    <col min="18" max="16384" width="9.140625" style="295" collapsed="1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r="2" spans="3:23" ht="15.75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8" t="s">
        <v>264</v>
      </c>
      <c r="Q2" s="355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20"/>
    </row>
    <row r="4" spans="3:23" x14ac:dyDescent="0.25">
      <c r="C4" s="301" t="s">
        <v>46</v>
      </c>
      <c r="D4" s="302">
        <f>TLFD!B11</f>
        <v>26340.527496600098</v>
      </c>
      <c r="F4" s="301" t="s">
        <v>46</v>
      </c>
      <c r="G4" s="302">
        <f>TLFD!F11</f>
        <v>90169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6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116374.9164653949</v>
      </c>
      <c r="F5" s="304" t="s">
        <v>49</v>
      </c>
      <c r="G5" s="305">
        <f>TLFD!F12+TLFD!F13+(TLFD!F14/2)</f>
        <v>156704.5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6">
        <f t="shared" ref="Q5:Q68" si="0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382074.40701693262</v>
      </c>
      <c r="F6" s="304" t="s">
        <v>52</v>
      </c>
      <c r="G6" s="305">
        <f>(TLFD!F14/2)+SUM(TLFD!F15:F20)</f>
        <v>331993.5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6">
        <f t="shared" si="0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122977.70656891659</v>
      </c>
      <c r="F7" s="307" t="s">
        <v>55</v>
      </c>
      <c r="G7" s="308">
        <f>SUM(TLFD!F21:F101)</f>
        <v>104701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6">
        <f t="shared" si="0"/>
        <v>-0.34490013167299999</v>
      </c>
      <c r="T7" s="320">
        <v>5</v>
      </c>
      <c r="U7" s="320" t="s">
        <v>270</v>
      </c>
      <c r="V7" s="320"/>
      <c r="W7" s="320"/>
    </row>
    <row r="8" spans="3:23" ht="15.75" thickBot="1" x14ac:dyDescent="0.3">
      <c r="C8" s="310" t="s">
        <v>4</v>
      </c>
      <c r="D8" s="311">
        <f>SUM(D4:D7)</f>
        <v>647767.55754784413</v>
      </c>
      <c r="E8" s="312"/>
      <c r="F8" s="310" t="s">
        <v>4</v>
      </c>
      <c r="G8" s="311">
        <f>SUM(G4:G7)</f>
        <v>683568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6">
        <f t="shared" si="0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6">
        <f t="shared" si="0"/>
        <v>-3.9895313632499998</v>
      </c>
      <c r="T9" s="320"/>
      <c r="U9" s="357" t="s">
        <v>271</v>
      </c>
      <c r="V9" s="320"/>
      <c r="W9" s="320"/>
    </row>
    <row r="10" spans="3:23" ht="15.75" thickBot="1" x14ac:dyDescent="0.3">
      <c r="C10" s="313" t="s">
        <v>62</v>
      </c>
      <c r="H10" s="294" t="s">
        <v>284</v>
      </c>
      <c r="I10" s="377" t="s">
        <v>283</v>
      </c>
      <c r="J10" s="373"/>
      <c r="K10" s="373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6">
        <f t="shared" si="0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279</v>
      </c>
      <c r="J11" s="299" t="s">
        <v>280</v>
      </c>
      <c r="K11" s="299" t="s">
        <v>281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6">
        <f t="shared" si="0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4.0663548505444541E-2</v>
      </c>
      <c r="F12" s="301" t="s">
        <v>46</v>
      </c>
      <c r="G12" s="315">
        <f>G4/G$8</f>
        <v>0.13190933455047632</v>
      </c>
      <c r="H12" s="378">
        <v>0</v>
      </c>
      <c r="I12" s="371">
        <f>D12/G12</f>
        <v>0.30826892307522225</v>
      </c>
      <c r="J12" s="370">
        <f>LN(I12)</f>
        <v>-1.1767827500944903</v>
      </c>
      <c r="K12" s="370">
        <f>H12*J12</f>
        <v>0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6">
        <f t="shared" si="0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t="shared" ref="D13:D16" si="1">D5/D$8</f>
        <v>0.17965536419566588</v>
      </c>
      <c r="F13" s="304" t="s">
        <v>49</v>
      </c>
      <c r="G13" s="316">
        <f t="shared" ref="G13:G16" si="2">G5/G$8</f>
        <v>0.22924493247197061</v>
      </c>
      <c r="H13" s="379">
        <v>0</v>
      </c>
      <c r="I13" s="371">
        <f t="shared" ref="I13:I15" si="3">D13/G13</f>
        <v>0.78368303394288574</v>
      </c>
      <c r="J13" s="370">
        <f t="shared" ref="J13" si="4">LN(I13)</f>
        <v>-0.24375063382055323</v>
      </c>
      <c r="K13" s="370">
        <f>H13*(J13-J12)</f>
        <v>0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6">
        <f t="shared" si="0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t="shared" si="1"/>
        <v>0.58983257584448046</v>
      </c>
      <c r="F14" s="304" t="s">
        <v>52</v>
      </c>
      <c r="G14" s="316">
        <f t="shared" si="2"/>
        <v>0.48567735762937997</v>
      </c>
      <c r="H14" s="379">
        <v>0</v>
      </c>
      <c r="I14" s="371"/>
      <c r="J14" s="370">
        <f>LN(I15)</f>
        <v>0.21468863724040485</v>
      </c>
      <c r="K14" s="370">
        <f>H15*J14</f>
        <v>0.21468863724040485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6">
        <f t="shared" si="0"/>
        <v>-0.80534348065299999</v>
      </c>
      <c r="T14" s="320">
        <v>5</v>
      </c>
      <c r="U14" s="293" t="s">
        <v>275</v>
      </c>
      <c r="V14" s="320"/>
      <c r="W14" s="320"/>
    </row>
    <row r="15" spans="3:23" ht="15.75" thickBot="1" x14ac:dyDescent="0.3">
      <c r="C15" s="307" t="s">
        <v>55</v>
      </c>
      <c r="D15" s="316">
        <f t="shared" si="1"/>
        <v>0.18984851145440926</v>
      </c>
      <c r="F15" s="307" t="s">
        <v>55</v>
      </c>
      <c r="G15" s="316">
        <f t="shared" si="2"/>
        <v>0.15316837534817312</v>
      </c>
      <c r="H15" s="379">
        <v>1</v>
      </c>
      <c r="I15" s="372">
        <f t="shared" si="3"/>
        <v>1.2394759102383703</v>
      </c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6">
        <f t="shared" si="0"/>
        <v>-0.51977799879300002</v>
      </c>
      <c r="T15" s="320">
        <v>6</v>
      </c>
      <c r="U15" s="320" t="s">
        <v>276</v>
      </c>
      <c r="V15" s="320"/>
      <c r="W15" s="320"/>
    </row>
    <row r="16" spans="3:23" ht="15.75" thickBot="1" x14ac:dyDescent="0.3">
      <c r="C16" s="310" t="s">
        <v>4</v>
      </c>
      <c r="D16" s="318">
        <f t="shared" si="1"/>
        <v>1</v>
      </c>
      <c r="E16" s="312"/>
      <c r="F16" s="310" t="s">
        <v>4</v>
      </c>
      <c r="G16" s="318">
        <f t="shared" si="2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6">
        <f t="shared" si="0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6">
        <f t="shared" si="0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6">
        <f t="shared" si="0"/>
        <v>-0.493022087256</v>
      </c>
    </row>
    <row r="19" spans="2:23" x14ac:dyDescent="0.25">
      <c r="C19" s="319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t="shared" si="0"/>
        <v>0</v>
      </c>
    </row>
    <row r="20" spans="2:23" x14ac:dyDescent="0.25">
      <c r="C20" s="319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t="shared" si="0"/>
        <v>0</v>
      </c>
    </row>
    <row r="21" spans="2:23" ht="15.75" thickBot="1" x14ac:dyDescent="0.3">
      <c r="C21" s="320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t="shared" si="0"/>
        <v>0</v>
      </c>
    </row>
    <row r="22" spans="2:23" x14ac:dyDescent="0.25">
      <c r="B22" s="349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6">
        <f t="shared" si="0"/>
        <v>0.63771148688699997</v>
      </c>
    </row>
    <row r="23" spans="2:23" x14ac:dyDescent="0.25">
      <c r="B23" s="350">
        <v>21</v>
      </c>
      <c r="C23" s="301" t="s">
        <v>46</v>
      </c>
      <c r="D23" s="362">
        <f>_xlfn.IFNA(VLOOKUP($B23,$N$3:$P$104,3,FALSE),0)</f>
        <v>-12.0946718381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-12.0946718381</v>
      </c>
      <c r="Q23" s="356">
        <f t="shared" si="0"/>
        <v>-12.0946718381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49</v>
      </c>
      <c r="D24" s="363">
        <f t="shared" ref="D24:D25" si="5">_xlfn.IFNA(VLOOKUP($B24,$N$3:$P$104,3,FALSE),0)</f>
        <v>-4.03623745316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-4.03623745316</v>
      </c>
      <c r="Q24" s="356">
        <f t="shared" si="0"/>
        <v>-4.03623745316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52</v>
      </c>
      <c r="D25" s="363">
        <f t="shared" si="5"/>
        <v>-2.4557170493427001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-2.4557170493427001</v>
      </c>
      <c r="Q25" s="356">
        <f t="shared" si="0"/>
        <v>-2.2410284121022954</v>
      </c>
      <c r="R25" s="295" t="str">
        <f>VLOOKUP(N25,Coeff_Descr!$A$2:$E$104,4,FALSE)</f>
        <v>distanceFromOrigin9</v>
      </c>
    </row>
    <row r="26" spans="2:23" ht="15.75" thickBot="1" x14ac:dyDescent="0.3">
      <c r="B26" s="351"/>
      <c r="C26" s="324"/>
      <c r="D26" s="361"/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0.10429329553199999</v>
      </c>
      <c r="Q26" s="356">
        <f t="shared" si="0"/>
        <v>0.10429329553199999</v>
      </c>
    </row>
    <row r="27" spans="2:23" x14ac:dyDescent="0.25">
      <c r="C27" s="320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6">
        <f t="shared" si="0"/>
        <v>0</v>
      </c>
    </row>
    <row r="28" spans="2:23" x14ac:dyDescent="0.25">
      <c r="C28" s="320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6">
        <f t="shared" si="0"/>
        <v>0.417326479157</v>
      </c>
    </row>
    <row r="29" spans="2:23" x14ac:dyDescent="0.25">
      <c r="C29" s="319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6">
        <f t="shared" si="0"/>
        <v>-14.8384910501</v>
      </c>
    </row>
    <row r="30" spans="2:23" x14ac:dyDescent="0.25">
      <c r="C30" s="319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6">
        <f t="shared" si="0"/>
        <v>-5.1880432348000003</v>
      </c>
    </row>
    <row r="31" spans="2:23" ht="15.75" thickBot="1" x14ac:dyDescent="0.3">
      <c r="C31" s="320"/>
      <c r="D31" s="325"/>
      <c r="E31" s="320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6">
        <f t="shared" si="0"/>
        <v>-2.6156308707</v>
      </c>
    </row>
    <row r="32" spans="2:23" x14ac:dyDescent="0.25">
      <c r="B32" s="380" t="s">
        <v>259</v>
      </c>
      <c r="C32" s="381" t="s">
        <v>90</v>
      </c>
      <c r="D32" s="382"/>
      <c r="E32" s="381" t="s">
        <v>261</v>
      </c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6">
        <f t="shared" si="0"/>
        <v>-0.91046169190000004</v>
      </c>
    </row>
    <row r="33" spans="2:17" x14ac:dyDescent="0.25">
      <c r="B33" s="383">
        <f>B23</f>
        <v>21</v>
      </c>
      <c r="C33" s="384" t="s">
        <v>46</v>
      </c>
      <c r="D33" s="385">
        <f>K12</f>
        <v>0</v>
      </c>
      <c r="E33" s="386" t="s">
        <v>285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6">
        <f t="shared" si="0"/>
        <v>5.7553461640599997E-2</v>
      </c>
    </row>
    <row r="34" spans="2:17" x14ac:dyDescent="0.25">
      <c r="B34" s="383">
        <f t="shared" ref="B34:B35" si="6">B24</f>
        <v>22</v>
      </c>
      <c r="C34" s="387" t="s">
        <v>49</v>
      </c>
      <c r="D34" s="385">
        <f t="shared" ref="D34:D35" si="7">K13</f>
        <v>0</v>
      </c>
      <c r="E34" s="386" t="s">
        <v>286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6">
        <f t="shared" si="0"/>
        <v>0.237798002151</v>
      </c>
    </row>
    <row r="35" spans="2:17" x14ac:dyDescent="0.25">
      <c r="B35" s="383">
        <f t="shared" si="6"/>
        <v>23</v>
      </c>
      <c r="C35" s="387" t="s">
        <v>52</v>
      </c>
      <c r="D35" s="385">
        <f t="shared" si="7"/>
        <v>0.21468863724040485</v>
      </c>
      <c r="E35" s="386" t="s">
        <v>287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6">
        <f t="shared" si="0"/>
        <v>0</v>
      </c>
    </row>
    <row r="36" spans="2:17" ht="15.75" thickBot="1" x14ac:dyDescent="0.3">
      <c r="B36" s="388"/>
      <c r="C36" s="389"/>
      <c r="D36" s="390"/>
      <c r="E36" s="390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6">
        <f t="shared" si="0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6">
        <f t="shared" si="0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6">
        <f t="shared" si="0"/>
        <v>0.61259135262599995</v>
      </c>
    </row>
    <row r="39" spans="2:17" x14ac:dyDescent="0.25">
      <c r="C39" s="319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6">
        <f t="shared" si="0"/>
        <v>-20.810228388700001</v>
      </c>
    </row>
    <row r="40" spans="2:17" x14ac:dyDescent="0.25">
      <c r="C40" s="319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6">
        <f t="shared" si="0"/>
        <v>-7.1836373472300004</v>
      </c>
    </row>
    <row r="41" spans="2:17" ht="15.75" thickBot="1" x14ac:dyDescent="0.3">
      <c r="B41" s="352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6">
        <f t="shared" si="0"/>
        <v>-3.6600975390500001</v>
      </c>
    </row>
    <row r="42" spans="2:17" x14ac:dyDescent="0.25">
      <c r="B42" s="349" t="s">
        <v>259</v>
      </c>
      <c r="C42" s="321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6">
        <f t="shared" si="0"/>
        <v>-1.3605457273599999</v>
      </c>
    </row>
    <row r="43" spans="2:17" x14ac:dyDescent="0.25">
      <c r="B43" s="350">
        <f>B33</f>
        <v>21</v>
      </c>
      <c r="C43" s="301" t="s">
        <v>46</v>
      </c>
      <c r="D43" s="359">
        <f>D23+D33</f>
        <v>-12.0946718381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6">
        <f t="shared" si="0"/>
        <v>-0.22141031751900001</v>
      </c>
    </row>
    <row r="44" spans="2:17" x14ac:dyDescent="0.25">
      <c r="B44" s="350">
        <f t="shared" ref="B44:B45" si="8">B34</f>
        <v>22</v>
      </c>
      <c r="C44" s="304" t="s">
        <v>49</v>
      </c>
      <c r="D44" s="359">
        <f t="shared" ref="D44:D45" si="9">D24+D34</f>
        <v>-4.03623745316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6">
        <f t="shared" si="0"/>
        <v>0.64228876129599999</v>
      </c>
    </row>
    <row r="45" spans="2:17" x14ac:dyDescent="0.25">
      <c r="B45" s="350">
        <f t="shared" si="8"/>
        <v>23</v>
      </c>
      <c r="C45" s="304" t="s">
        <v>52</v>
      </c>
      <c r="D45" s="359">
        <f t="shared" si="9"/>
        <v>-2.2410284121022954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6">
        <f t="shared" si="0"/>
        <v>0.74588429254199995</v>
      </c>
    </row>
    <row r="46" spans="2:17" ht="15.75" thickBot="1" x14ac:dyDescent="0.3">
      <c r="B46" s="353"/>
      <c r="C46" s="324"/>
      <c r="D46" s="360"/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6">
        <f t="shared" si="0"/>
        <v>-32.156094092099998</v>
      </c>
    </row>
    <row r="47" spans="2:17" ht="15.75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6">
        <f t="shared" si="0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6">
        <f t="shared" si="0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6">
        <f t="shared" si="0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6">
        <f t="shared" si="0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6">
        <f t="shared" si="0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-29.556856147209999</v>
      </c>
      <c r="Q52" s="356">
        <f t="shared" si="0"/>
        <v>-29.556856147209999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-5.8091947247600002</v>
      </c>
      <c r="Q53" s="356">
        <f t="shared" si="0"/>
        <v>-5.8091947247600002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-1.94064618888</v>
      </c>
      <c r="Q54" s="356">
        <f t="shared" si="0"/>
        <v>-1.94064618888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-0.66321888748000002</v>
      </c>
      <c r="Q55" s="356">
        <f t="shared" si="0"/>
        <v>-0.66321888748000002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6">
        <f t="shared" si="0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6">
        <f t="shared" si="0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6">
        <f t="shared" si="0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6">
        <f t="shared" si="0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6">
        <f t="shared" si="0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6">
        <f t="shared" si="0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6">
        <f t="shared" si="0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6">
        <f t="shared" si="0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6">
        <f t="shared" si="0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6">
        <f t="shared" si="0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6">
        <f t="shared" si="0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6">
        <f t="shared" si="0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6">
        <f t="shared" si="0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6">
        <f t="shared" ref="Q69:Q104" si="10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6">
        <f t="shared" si="10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6">
        <f t="shared" si="10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6">
        <f t="shared" si="10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6">
        <f t="shared" si="10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6">
        <f t="shared" si="10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6">
        <f t="shared" si="10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6">
        <f t="shared" si="10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6">
        <f t="shared" si="10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6">
        <f t="shared" si="10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6">
        <f t="shared" si="10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6">
        <f t="shared" si="10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6">
        <f t="shared" si="10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6">
        <f t="shared" si="10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6">
        <f t="shared" si="10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6">
        <f t="shared" si="10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6">
        <f t="shared" si="10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6">
        <f t="shared" si="10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6">
        <f t="shared" si="10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6">
        <f t="shared" si="10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6">
        <f t="shared" si="10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6">
        <f t="shared" si="10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6">
        <f t="shared" si="10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6">
        <f t="shared" si="10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6">
        <f t="shared" si="10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6">
        <f t="shared" si="10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6">
        <f t="shared" si="10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6">
        <f t="shared" si="10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6">
        <f t="shared" si="10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6">
        <f t="shared" si="10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6">
        <f t="shared" si="10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6">
        <f t="shared" si="10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6">
        <f t="shared" si="10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6">
        <f t="shared" si="10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6">
        <f t="shared" si="10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2019-10-07T21:07:11Z</dcterms:modified>
</cp:coreProperties>
</file>