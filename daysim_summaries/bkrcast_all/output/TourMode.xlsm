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99350E6F-6B95-40FE-ACF9-55CC4256CB5F}" xr6:coauthVersionLast="41" xr6:coauthVersionMax="41" xr10:uidLastSave="{00000000-0000-0000-0000-000000000000}"/>
  <bookViews>
    <workbookView xWindow="12405" yWindow="2640" windowWidth="21600" windowHeight="11265" firstSheet="14" activeTab="16" xr2:uid="{00000000-000D-0000-FFFF-FFFF00000000}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  <sheet name="input_districts" sheetId="20" r:id="rId18"/>
  </sheets>
  <definedNames>
    <definedName name="out_1">Work!$B$4:$C$11</definedName>
    <definedName name="out_10">Shop!$G$4:$H$11</definedName>
    <definedName name="out_11">Meal!$B$4:$C$11</definedName>
    <definedName name="out_12">Meal!$G$4:$H$11</definedName>
    <definedName name="out_13">SocRec!$B$4:$C$11</definedName>
    <definedName name="out_14">SocRec!$G$4:$H$11</definedName>
    <definedName name="out_15">Workbased!$B$5:$H$11</definedName>
    <definedName name="out_16">Workbased!$L$5:$R$11</definedName>
    <definedName name="out_2">Work!$G$4:$H$11</definedName>
    <definedName name="out_3">School!$B$4:$C$11</definedName>
    <definedName name="out_4">School!$G$4:$H$11</definedName>
    <definedName name="out_5">Escort!$B$4:$C$11</definedName>
    <definedName name="out_6">Escort!$G$4:$H$11</definedName>
    <definedName name="out_7">Personal_Business!$B$4:$C$11</definedName>
    <definedName name="out_8">Personal_Business!$G$4:$H$11</definedName>
    <definedName name="out_9">Shop!$B$4:$C$11</definedName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19" i="15" l="1"/>
  <c r="AB119" i="15"/>
  <c r="AV69" i="15"/>
  <c r="AW69" i="15"/>
  <c r="AX69" i="15"/>
  <c r="AV66" i="15"/>
  <c r="AW66" i="15"/>
  <c r="AX66" i="15"/>
  <c r="AV67" i="15"/>
  <c r="AW67" i="15"/>
  <c r="AX67" i="15"/>
  <c r="AV68" i="15"/>
  <c r="AW68" i="15"/>
  <c r="AX68" i="15"/>
  <c r="AV59" i="15"/>
  <c r="AW59" i="15"/>
  <c r="AX59" i="15"/>
  <c r="AV60" i="15"/>
  <c r="AW60" i="15"/>
  <c r="AX60" i="15"/>
  <c r="AV61" i="15"/>
  <c r="AW61" i="15"/>
  <c r="AX61" i="15"/>
  <c r="AV62" i="15"/>
  <c r="AW62" i="15"/>
  <c r="AX62" i="15"/>
  <c r="AV63" i="15"/>
  <c r="AW63" i="15"/>
  <c r="AX63" i="15"/>
  <c r="AV64" i="15"/>
  <c r="AW64" i="15"/>
  <c r="AX64" i="15"/>
  <c r="AV65" i="15"/>
  <c r="AW65" i="15"/>
  <c r="AX65" i="15"/>
  <c r="AL66" i="15"/>
  <c r="AM66" i="15"/>
  <c r="AN66" i="15"/>
  <c r="AL45" i="15"/>
  <c r="AM45" i="15"/>
  <c r="AN45" i="15"/>
  <c r="AL46" i="15"/>
  <c r="AM46" i="15"/>
  <c r="AN46" i="15"/>
  <c r="AL47" i="15"/>
  <c r="AM47" i="15"/>
  <c r="AN47" i="15"/>
  <c r="AL48" i="15"/>
  <c r="AM48" i="15"/>
  <c r="AN48" i="15"/>
  <c r="AL49" i="15"/>
  <c r="AM49" i="15"/>
  <c r="AN49" i="15"/>
  <c r="AL50" i="15"/>
  <c r="AM50" i="15"/>
  <c r="AN50" i="15"/>
  <c r="AL51" i="15"/>
  <c r="AM51" i="15"/>
  <c r="AN51" i="15"/>
  <c r="AL52" i="15"/>
  <c r="AM52" i="15"/>
  <c r="AN52" i="15"/>
  <c r="AL53" i="15"/>
  <c r="AM53" i="15"/>
  <c r="AN53" i="15"/>
  <c r="AL54" i="15"/>
  <c r="AM54" i="15"/>
  <c r="AN54" i="15"/>
  <c r="AL55" i="15"/>
  <c r="AM55" i="15"/>
  <c r="AN55" i="15"/>
  <c r="AL56" i="15"/>
  <c r="AM56" i="15"/>
  <c r="AN56" i="15"/>
  <c r="AL57" i="15"/>
  <c r="AM57" i="15"/>
  <c r="AN57" i="15"/>
  <c r="AL58" i="15"/>
  <c r="AM58" i="15"/>
  <c r="AN58" i="15"/>
  <c r="AL59" i="15"/>
  <c r="AM59" i="15"/>
  <c r="AN59" i="15"/>
  <c r="AL60" i="15"/>
  <c r="AM60" i="15"/>
  <c r="AN60" i="15"/>
  <c r="AL61" i="15"/>
  <c r="AM61" i="15"/>
  <c r="AN61" i="15"/>
  <c r="AL62" i="15"/>
  <c r="AM62" i="15"/>
  <c r="AN62" i="15"/>
  <c r="AL63" i="15"/>
  <c r="AM63" i="15"/>
  <c r="AN63" i="15"/>
  <c r="AL64" i="15"/>
  <c r="AM64" i="15"/>
  <c r="AN64" i="15"/>
  <c r="AL65" i="15"/>
  <c r="AM65" i="15"/>
  <c r="AN65" i="15"/>
  <c r="AG60" i="15"/>
  <c r="AH60" i="15"/>
  <c r="AI60" i="15"/>
  <c r="AG50" i="15"/>
  <c r="AH50" i="15"/>
  <c r="AI50" i="15"/>
  <c r="AG51" i="15"/>
  <c r="AH51" i="15"/>
  <c r="AI51" i="15"/>
  <c r="AG52" i="15"/>
  <c r="AH52" i="15"/>
  <c r="AI52" i="15"/>
  <c r="AG53" i="15"/>
  <c r="AH53" i="15"/>
  <c r="AI53" i="15"/>
  <c r="AG54" i="15"/>
  <c r="AH54" i="15"/>
  <c r="AI54" i="15"/>
  <c r="AG55" i="15"/>
  <c r="AH55" i="15"/>
  <c r="AI55" i="15"/>
  <c r="AG56" i="15"/>
  <c r="AH56" i="15"/>
  <c r="AI56" i="15"/>
  <c r="AG57" i="15"/>
  <c r="AH57" i="15"/>
  <c r="AI57" i="15"/>
  <c r="AG58" i="15"/>
  <c r="AH58" i="15"/>
  <c r="AI58" i="15"/>
  <c r="AG59" i="15"/>
  <c r="AH59" i="15"/>
  <c r="AI59" i="15"/>
  <c r="Z92" i="15"/>
  <c r="Z93" i="15"/>
  <c r="Z94" i="15"/>
  <c r="Z95" i="15"/>
  <c r="Z96" i="15"/>
  <c r="Z97" i="15"/>
  <c r="Z98" i="15"/>
  <c r="Z99" i="15"/>
  <c r="Z100" i="15"/>
  <c r="Z101" i="15"/>
  <c r="Z91" i="15"/>
  <c r="Z120" i="15"/>
  <c r="A92" i="15" l="1"/>
  <c r="A93" i="15"/>
  <c r="A94" i="15"/>
  <c r="A95" i="15"/>
  <c r="A96" i="15"/>
  <c r="A97" i="15"/>
  <c r="A98" i="15"/>
  <c r="A99" i="15"/>
  <c r="A100" i="15"/>
  <c r="A101" i="15"/>
  <c r="A91" i="15"/>
  <c r="AA58" i="15" l="1"/>
  <c r="AB58" i="15"/>
  <c r="AC58" i="15"/>
  <c r="AD58" i="15"/>
  <c r="AB59" i="15"/>
  <c r="Z61" i="15"/>
  <c r="AA61" i="15"/>
  <c r="AB61" i="15"/>
  <c r="AC61" i="15"/>
  <c r="AD61" i="15"/>
  <c r="Z62" i="15"/>
  <c r="AB62" i="15"/>
  <c r="AC62" i="15"/>
  <c r="AD62" i="15"/>
  <c r="Z106" i="15"/>
  <c r="K90" i="15"/>
  <c r="A61" i="15"/>
  <c r="A62" i="15"/>
  <c r="A63" i="15"/>
  <c r="A64" i="15"/>
  <c r="A65" i="15"/>
  <c r="A66" i="15"/>
  <c r="A67" i="15"/>
  <c r="A68" i="15"/>
  <c r="A69" i="15"/>
  <c r="A70" i="15"/>
  <c r="A60" i="15"/>
  <c r="L77" i="15"/>
  <c r="M77" i="15"/>
  <c r="N77" i="15"/>
  <c r="O77" i="15"/>
  <c r="L78" i="15"/>
  <c r="M78" i="15"/>
  <c r="N78" i="15"/>
  <c r="O78" i="15"/>
  <c r="L79" i="15"/>
  <c r="M79" i="15"/>
  <c r="N79" i="15"/>
  <c r="O79" i="15"/>
  <c r="L80" i="15"/>
  <c r="M80" i="15"/>
  <c r="N80" i="15"/>
  <c r="O80" i="15"/>
  <c r="L81" i="15"/>
  <c r="M81" i="15"/>
  <c r="N81" i="15"/>
  <c r="O81" i="15"/>
  <c r="L82" i="15"/>
  <c r="M82" i="15"/>
  <c r="N82" i="15"/>
  <c r="O82" i="15"/>
  <c r="L83" i="15"/>
  <c r="M83" i="15"/>
  <c r="N83" i="15"/>
  <c r="O83" i="15"/>
  <c r="L84" i="15"/>
  <c r="M84" i="15"/>
  <c r="N84" i="15"/>
  <c r="O84" i="15"/>
  <c r="L85" i="15"/>
  <c r="M85" i="15"/>
  <c r="N85" i="15"/>
  <c r="O85" i="15"/>
  <c r="L86" i="15"/>
  <c r="M86" i="15"/>
  <c r="N86" i="15"/>
  <c r="O86" i="15"/>
  <c r="M76" i="15"/>
  <c r="N76" i="15"/>
  <c r="O76" i="15"/>
  <c r="L76" i="15"/>
  <c r="L46" i="15"/>
  <c r="M46" i="15"/>
  <c r="N46" i="15"/>
  <c r="O46" i="15"/>
  <c r="L47" i="15"/>
  <c r="M47" i="15"/>
  <c r="N47" i="15"/>
  <c r="O47" i="15"/>
  <c r="L48" i="15"/>
  <c r="M48" i="15"/>
  <c r="N48" i="15"/>
  <c r="O48" i="15"/>
  <c r="L49" i="15"/>
  <c r="M49" i="15"/>
  <c r="N49" i="15"/>
  <c r="O49" i="15"/>
  <c r="L50" i="15"/>
  <c r="M50" i="15"/>
  <c r="N50" i="15"/>
  <c r="O50" i="15"/>
  <c r="L51" i="15"/>
  <c r="M51" i="15"/>
  <c r="N51" i="15"/>
  <c r="O51" i="15"/>
  <c r="L52" i="15"/>
  <c r="M52" i="15"/>
  <c r="N52" i="15"/>
  <c r="O52" i="15"/>
  <c r="L53" i="15"/>
  <c r="M53" i="15"/>
  <c r="N53" i="15"/>
  <c r="O53" i="15"/>
  <c r="L54" i="15"/>
  <c r="M54" i="15"/>
  <c r="N54" i="15"/>
  <c r="O54" i="15"/>
  <c r="L55" i="15"/>
  <c r="M55" i="15"/>
  <c r="N55" i="15"/>
  <c r="O55" i="15"/>
  <c r="M45" i="15"/>
  <c r="N45" i="15"/>
  <c r="O45" i="15"/>
  <c r="L45" i="15"/>
  <c r="C77" i="15"/>
  <c r="D77" i="15"/>
  <c r="E77" i="15"/>
  <c r="F77" i="15"/>
  <c r="C78" i="15"/>
  <c r="D78" i="15"/>
  <c r="E78" i="15"/>
  <c r="F78" i="15"/>
  <c r="C79" i="15"/>
  <c r="D79" i="15"/>
  <c r="E79" i="15"/>
  <c r="F79" i="15"/>
  <c r="C80" i="15"/>
  <c r="D80" i="15"/>
  <c r="E80" i="15"/>
  <c r="F80" i="15"/>
  <c r="C81" i="15"/>
  <c r="D81" i="15"/>
  <c r="E81" i="15"/>
  <c r="F81" i="15"/>
  <c r="C82" i="15"/>
  <c r="D82" i="15"/>
  <c r="E82" i="15"/>
  <c r="F82" i="15"/>
  <c r="C83" i="15"/>
  <c r="D83" i="15"/>
  <c r="E83" i="15"/>
  <c r="F83" i="15"/>
  <c r="C84" i="15"/>
  <c r="D84" i="15"/>
  <c r="E84" i="15"/>
  <c r="F84" i="15"/>
  <c r="C85" i="15"/>
  <c r="D85" i="15"/>
  <c r="E85" i="15"/>
  <c r="F85" i="15"/>
  <c r="C86" i="15"/>
  <c r="D86" i="15"/>
  <c r="E86" i="15"/>
  <c r="F86" i="15"/>
  <c r="D76" i="15"/>
  <c r="E76" i="15"/>
  <c r="F76" i="15"/>
  <c r="C76" i="15"/>
  <c r="F46" i="15"/>
  <c r="F47" i="15"/>
  <c r="F48" i="15"/>
  <c r="F49" i="15"/>
  <c r="F50" i="15"/>
  <c r="F51" i="15"/>
  <c r="F52" i="15"/>
  <c r="F53" i="15"/>
  <c r="F54" i="15"/>
  <c r="F55" i="15"/>
  <c r="F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D45" i="15"/>
  <c r="E45" i="15"/>
  <c r="C45" i="15"/>
  <c r="Z110" i="15" l="1"/>
  <c r="Z109" i="15"/>
  <c r="Z107" i="15"/>
  <c r="Z115" i="15"/>
  <c r="Z112" i="15"/>
  <c r="Z108" i="15"/>
  <c r="Z113" i="15"/>
  <c r="Z116" i="15"/>
  <c r="Z111" i="15"/>
  <c r="Z114" i="15"/>
  <c r="P77" i="15"/>
  <c r="P79" i="15"/>
  <c r="P78" i="15"/>
  <c r="G85" i="15"/>
  <c r="G83" i="15"/>
  <c r="G77" i="15"/>
  <c r="P80" i="15"/>
  <c r="P83" i="15"/>
  <c r="G47" i="15"/>
  <c r="P49" i="15"/>
  <c r="P53" i="15"/>
  <c r="P84" i="15"/>
  <c r="P48" i="15"/>
  <c r="G49" i="15"/>
  <c r="G78" i="15"/>
  <c r="P81" i="15"/>
  <c r="G55" i="15"/>
  <c r="E56" i="15"/>
  <c r="E71" i="15" s="1"/>
  <c r="D56" i="15"/>
  <c r="D71" i="15" s="1"/>
  <c r="G79" i="15"/>
  <c r="G81" i="15"/>
  <c r="P55" i="15"/>
  <c r="P86" i="15"/>
  <c r="G80" i="15"/>
  <c r="P54" i="15"/>
  <c r="P85" i="15"/>
  <c r="G53" i="15"/>
  <c r="G84" i="15"/>
  <c r="G52" i="15"/>
  <c r="F56" i="15"/>
  <c r="F71" i="15" s="1"/>
  <c r="P82" i="15"/>
  <c r="G82" i="15"/>
  <c r="G86" i="15"/>
  <c r="O87" i="15"/>
  <c r="O91" i="15" s="1"/>
  <c r="N87" i="15"/>
  <c r="N102" i="15" s="1"/>
  <c r="M87" i="15"/>
  <c r="M94" i="15" s="1"/>
  <c r="P76" i="15"/>
  <c r="L87" i="15"/>
  <c r="F87" i="15"/>
  <c r="F102" i="15" s="1"/>
  <c r="E87" i="15"/>
  <c r="E102" i="15" s="1"/>
  <c r="D87" i="15"/>
  <c r="D100" i="15" s="1"/>
  <c r="G76" i="15"/>
  <c r="C87" i="15"/>
  <c r="C102" i="15" s="1"/>
  <c r="O56" i="15"/>
  <c r="O71" i="15" s="1"/>
  <c r="N56" i="15"/>
  <c r="N71" i="15" s="1"/>
  <c r="P50" i="15"/>
  <c r="G50" i="15"/>
  <c r="P45" i="15"/>
  <c r="P51" i="15"/>
  <c r="C56" i="15"/>
  <c r="C71" i="15" s="1"/>
  <c r="M56" i="15"/>
  <c r="M63" i="15" s="1"/>
  <c r="G48" i="15"/>
  <c r="P46" i="15"/>
  <c r="P52" i="15"/>
  <c r="G54" i="15"/>
  <c r="G46" i="15"/>
  <c r="P47" i="15"/>
  <c r="G51" i="15"/>
  <c r="L56" i="15"/>
  <c r="L65" i="15" s="1"/>
  <c r="G45" i="15"/>
  <c r="Z130" i="15" l="1"/>
  <c r="Z125" i="15"/>
  <c r="Z127" i="15"/>
  <c r="Z123" i="15"/>
  <c r="Z126" i="15"/>
  <c r="Z122" i="15"/>
  <c r="Z124" i="15"/>
  <c r="Z128" i="15"/>
  <c r="Z129" i="15"/>
  <c r="Z121" i="15"/>
  <c r="D70" i="15"/>
  <c r="F99" i="15"/>
  <c r="D67" i="15"/>
  <c r="E62" i="15"/>
  <c r="N98" i="15"/>
  <c r="N91" i="15"/>
  <c r="N93" i="15"/>
  <c r="L63" i="15"/>
  <c r="M67" i="15"/>
  <c r="O93" i="15"/>
  <c r="N97" i="15"/>
  <c r="O95" i="15"/>
  <c r="M69" i="15"/>
  <c r="M66" i="15"/>
  <c r="C61" i="15"/>
  <c r="F64" i="15"/>
  <c r="C63" i="15"/>
  <c r="E101" i="15"/>
  <c r="M97" i="15"/>
  <c r="M93" i="15"/>
  <c r="L62" i="15"/>
  <c r="O99" i="15"/>
  <c r="M68" i="15"/>
  <c r="L61" i="15"/>
  <c r="C98" i="15"/>
  <c r="F94" i="15"/>
  <c r="F60" i="15"/>
  <c r="M99" i="15"/>
  <c r="C69" i="15"/>
  <c r="O94" i="15"/>
  <c r="O100" i="15"/>
  <c r="M95" i="15"/>
  <c r="D61" i="15"/>
  <c r="E63" i="15"/>
  <c r="E61" i="15"/>
  <c r="P87" i="15"/>
  <c r="P101" i="15" s="1"/>
  <c r="M101" i="15"/>
  <c r="M61" i="15"/>
  <c r="F98" i="15"/>
  <c r="O92" i="15"/>
  <c r="F69" i="15"/>
  <c r="C70" i="15"/>
  <c r="E66" i="15"/>
  <c r="M65" i="15"/>
  <c r="D69" i="15"/>
  <c r="M96" i="15"/>
  <c r="D64" i="15"/>
  <c r="F62" i="15"/>
  <c r="D92" i="15"/>
  <c r="F100" i="15"/>
  <c r="C67" i="15"/>
  <c r="F63" i="15"/>
  <c r="M70" i="15"/>
  <c r="O101" i="15"/>
  <c r="E67" i="15"/>
  <c r="F65" i="15"/>
  <c r="O68" i="15"/>
  <c r="D98" i="15"/>
  <c r="W98" i="15" s="1"/>
  <c r="AE98" i="15" s="1"/>
  <c r="N61" i="15"/>
  <c r="L97" i="15"/>
  <c r="L102" i="15"/>
  <c r="E100" i="15"/>
  <c r="E94" i="15"/>
  <c r="L100" i="15"/>
  <c r="N63" i="15"/>
  <c r="L98" i="15"/>
  <c r="G87" i="15"/>
  <c r="G91" i="15" s="1"/>
  <c r="D102" i="15"/>
  <c r="D94" i="15"/>
  <c r="W94" i="15" s="1"/>
  <c r="AE94" i="15" s="1"/>
  <c r="D97" i="15"/>
  <c r="O65" i="15"/>
  <c r="N96" i="15"/>
  <c r="N68" i="15"/>
  <c r="D99" i="15"/>
  <c r="G56" i="15"/>
  <c r="G71" i="15" s="1"/>
  <c r="L60" i="15"/>
  <c r="C101" i="15"/>
  <c r="V101" i="15" s="1"/>
  <c r="AD101" i="15" s="1"/>
  <c r="C93" i="15"/>
  <c r="L99" i="15"/>
  <c r="L95" i="15"/>
  <c r="F97" i="15"/>
  <c r="N66" i="15"/>
  <c r="E93" i="15"/>
  <c r="F92" i="15"/>
  <c r="D91" i="15"/>
  <c r="W91" i="15" s="1"/>
  <c r="AE91" i="15" s="1"/>
  <c r="N64" i="15"/>
  <c r="L101" i="15"/>
  <c r="L96" i="15"/>
  <c r="F66" i="15"/>
  <c r="E92" i="15"/>
  <c r="M98" i="15"/>
  <c r="O61" i="15"/>
  <c r="N69" i="15"/>
  <c r="O70" i="15"/>
  <c r="N70" i="15"/>
  <c r="C99" i="15"/>
  <c r="E68" i="15"/>
  <c r="N67" i="15"/>
  <c r="D62" i="15"/>
  <c r="C91" i="15"/>
  <c r="L71" i="15"/>
  <c r="L69" i="15"/>
  <c r="N92" i="15"/>
  <c r="E96" i="15"/>
  <c r="M60" i="15"/>
  <c r="D68" i="15"/>
  <c r="T99" i="15" s="1"/>
  <c r="AB99" i="15" s="1"/>
  <c r="C100" i="15"/>
  <c r="V100" i="15" s="1"/>
  <c r="AD100" i="15" s="1"/>
  <c r="L92" i="15"/>
  <c r="E70" i="15"/>
  <c r="C96" i="15"/>
  <c r="V96" i="15" s="1"/>
  <c r="AD96" i="15" s="1"/>
  <c r="L67" i="15"/>
  <c r="F91" i="15"/>
  <c r="X91" i="15" s="1"/>
  <c r="AF91" i="15" s="1"/>
  <c r="C97" i="15"/>
  <c r="C94" i="15"/>
  <c r="D95" i="15"/>
  <c r="L64" i="15"/>
  <c r="O96" i="15"/>
  <c r="O102" i="15"/>
  <c r="E99" i="15"/>
  <c r="E64" i="15"/>
  <c r="F61" i="15"/>
  <c r="C95" i="15"/>
  <c r="O63" i="15"/>
  <c r="D63" i="15"/>
  <c r="T94" i="15" s="1"/>
  <c r="AB94" i="15" s="1"/>
  <c r="N60" i="15"/>
  <c r="L70" i="15"/>
  <c r="L68" i="15"/>
  <c r="F96" i="15"/>
  <c r="D65" i="15"/>
  <c r="T96" i="15" s="1"/>
  <c r="AB96" i="15" s="1"/>
  <c r="N99" i="15"/>
  <c r="L91" i="15"/>
  <c r="C60" i="15"/>
  <c r="O64" i="15"/>
  <c r="C62" i="15"/>
  <c r="S93" i="15" s="1"/>
  <c r="AA93" i="15" s="1"/>
  <c r="N62" i="15"/>
  <c r="C65" i="15"/>
  <c r="S96" i="15" s="1"/>
  <c r="AA96" i="15" s="1"/>
  <c r="E65" i="15"/>
  <c r="N95" i="15"/>
  <c r="E69" i="15"/>
  <c r="O66" i="15"/>
  <c r="F93" i="15"/>
  <c r="L94" i="15"/>
  <c r="M92" i="15"/>
  <c r="M102" i="15"/>
  <c r="C68" i="15"/>
  <c r="M91" i="15"/>
  <c r="C66" i="15"/>
  <c r="S97" i="15" s="1"/>
  <c r="AA97" i="15" s="1"/>
  <c r="N101" i="15"/>
  <c r="O98" i="15"/>
  <c r="F68" i="15"/>
  <c r="O62" i="15"/>
  <c r="N94" i="15"/>
  <c r="C92" i="15"/>
  <c r="L93" i="15"/>
  <c r="E98" i="15"/>
  <c r="D66" i="15"/>
  <c r="N65" i="15"/>
  <c r="D60" i="15"/>
  <c r="F70" i="15"/>
  <c r="F95" i="15"/>
  <c r="O69" i="15"/>
  <c r="N100" i="15"/>
  <c r="C64" i="15"/>
  <c r="M100" i="15"/>
  <c r="W100" i="15" s="1"/>
  <c r="AE100" i="15" s="1"/>
  <c r="D93" i="15"/>
  <c r="L66" i="15"/>
  <c r="O60" i="15"/>
  <c r="E60" i="15"/>
  <c r="O97" i="15"/>
  <c r="E95" i="15"/>
  <c r="D96" i="15"/>
  <c r="W96" i="15" s="1"/>
  <c r="AE96" i="15" s="1"/>
  <c r="M71" i="15"/>
  <c r="M64" i="15"/>
  <c r="E91" i="15"/>
  <c r="O67" i="15"/>
  <c r="F67" i="15"/>
  <c r="E97" i="15"/>
  <c r="F101" i="15"/>
  <c r="M62" i="15"/>
  <c r="D101" i="15"/>
  <c r="P56" i="15"/>
  <c r="P71" i="15" s="1"/>
  <c r="W93" i="15" l="1"/>
  <c r="AE93" i="15" s="1"/>
  <c r="W97" i="15"/>
  <c r="AE97" i="15" s="1"/>
  <c r="S95" i="15"/>
  <c r="AA95" i="15" s="1"/>
  <c r="S98" i="15"/>
  <c r="AA98" i="15" s="1"/>
  <c r="T97" i="15"/>
  <c r="AB97" i="15" s="1"/>
  <c r="S100" i="15"/>
  <c r="AA100" i="15" s="1"/>
  <c r="T92" i="15"/>
  <c r="AB92" i="15" s="1"/>
  <c r="V98" i="15"/>
  <c r="AD98" i="15" s="1"/>
  <c r="V93" i="15"/>
  <c r="AD93" i="15" s="1"/>
  <c r="T93" i="15"/>
  <c r="AB93" i="15" s="1"/>
  <c r="T98" i="15"/>
  <c r="AB98" i="15" s="1"/>
  <c r="W92" i="15"/>
  <c r="AE92" i="15" s="1"/>
  <c r="T101" i="15"/>
  <c r="AB101" i="15" s="1"/>
  <c r="W99" i="15"/>
  <c r="AE99" i="15" s="1"/>
  <c r="S99" i="15"/>
  <c r="AA99" i="15" s="1"/>
  <c r="V99" i="15"/>
  <c r="AD99" i="15" s="1"/>
  <c r="V95" i="15"/>
  <c r="AD95" i="15" s="1"/>
  <c r="T100" i="15"/>
  <c r="AB100" i="15" s="1"/>
  <c r="V92" i="15"/>
  <c r="AD92" i="15" s="1"/>
  <c r="W95" i="15"/>
  <c r="AE95" i="15" s="1"/>
  <c r="V94" i="15"/>
  <c r="AD94" i="15" s="1"/>
  <c r="S101" i="15"/>
  <c r="AA101" i="15" s="1"/>
  <c r="T95" i="15"/>
  <c r="AB95" i="15" s="1"/>
  <c r="V97" i="15"/>
  <c r="AD97" i="15" s="1"/>
  <c r="S94" i="15"/>
  <c r="AA94" i="15" s="1"/>
  <c r="X95" i="15"/>
  <c r="AF95" i="15" s="1"/>
  <c r="S92" i="15"/>
  <c r="AA92" i="15" s="1"/>
  <c r="W101" i="15"/>
  <c r="AE101" i="15" s="1"/>
  <c r="T91" i="15"/>
  <c r="AB91" i="15" s="1"/>
  <c r="P99" i="15"/>
  <c r="X99" i="15"/>
  <c r="AF99" i="15" s="1"/>
  <c r="X93" i="15"/>
  <c r="AF93" i="15" s="1"/>
  <c r="U100" i="15"/>
  <c r="AC100" i="15" s="1"/>
  <c r="U95" i="15"/>
  <c r="AC95" i="15" s="1"/>
  <c r="P91" i="15"/>
  <c r="P92" i="15"/>
  <c r="U96" i="15"/>
  <c r="AC96" i="15" s="1"/>
  <c r="U91" i="15"/>
  <c r="AC91" i="15" s="1"/>
  <c r="P61" i="15"/>
  <c r="P67" i="15"/>
  <c r="P64" i="15"/>
  <c r="U93" i="15"/>
  <c r="AC93" i="15" s="1"/>
  <c r="P60" i="15"/>
  <c r="P66" i="15"/>
  <c r="P93" i="15"/>
  <c r="P94" i="15"/>
  <c r="P102" i="15"/>
  <c r="P95" i="15"/>
  <c r="P100" i="15"/>
  <c r="S91" i="15"/>
  <c r="AA91" i="15" s="1"/>
  <c r="G63" i="15"/>
  <c r="X100" i="15"/>
  <c r="AF100" i="15" s="1"/>
  <c r="X94" i="15"/>
  <c r="AF94" i="15" s="1"/>
  <c r="P70" i="15"/>
  <c r="G66" i="15"/>
  <c r="G62" i="15"/>
  <c r="P98" i="15"/>
  <c r="X92" i="15"/>
  <c r="AF92" i="15" s="1"/>
  <c r="P96" i="15"/>
  <c r="P68" i="15"/>
  <c r="G61" i="15"/>
  <c r="X98" i="15"/>
  <c r="AF98" i="15" s="1"/>
  <c r="U99" i="15"/>
  <c r="AC99" i="15" s="1"/>
  <c r="G65" i="15"/>
  <c r="U94" i="15"/>
  <c r="AC94" i="15" s="1"/>
  <c r="V91" i="15"/>
  <c r="AD91" i="15" s="1"/>
  <c r="G69" i="15"/>
  <c r="P97" i="15"/>
  <c r="X101" i="15"/>
  <c r="AF101" i="15" s="1"/>
  <c r="U98" i="15"/>
  <c r="AC98" i="15" s="1"/>
  <c r="U92" i="15"/>
  <c r="AC92" i="15" s="1"/>
  <c r="G102" i="15"/>
  <c r="G92" i="15"/>
  <c r="G98" i="15"/>
  <c r="G100" i="15"/>
  <c r="X97" i="15"/>
  <c r="AF97" i="15" s="1"/>
  <c r="G94" i="15"/>
  <c r="G93" i="15"/>
  <c r="G96" i="15"/>
  <c r="G68" i="15"/>
  <c r="G60" i="15"/>
  <c r="G97" i="15"/>
  <c r="P63" i="15"/>
  <c r="G67" i="15"/>
  <c r="X96" i="15"/>
  <c r="AF96" i="15" s="1"/>
  <c r="G95" i="15"/>
  <c r="U97" i="15"/>
  <c r="AC97" i="15" s="1"/>
  <c r="P62" i="15"/>
  <c r="G70" i="15"/>
  <c r="P69" i="15"/>
  <c r="P65" i="15"/>
  <c r="U101" i="15"/>
  <c r="AC101" i="15" s="1"/>
  <c r="G101" i="15"/>
  <c r="G64" i="15"/>
  <c r="G99" i="15"/>
  <c r="AQ18" i="15"/>
  <c r="AR18" i="15"/>
  <c r="AS18" i="15"/>
  <c r="AV58" i="15"/>
  <c r="AW58" i="15"/>
  <c r="AX58" i="15"/>
  <c r="AV55" i="15"/>
  <c r="AW55" i="15"/>
  <c r="AX55" i="15"/>
  <c r="AV56" i="15"/>
  <c r="AW56" i="15"/>
  <c r="AX56" i="15"/>
  <c r="AV57" i="15"/>
  <c r="AW57" i="15"/>
  <c r="AX57" i="15"/>
  <c r="AV48" i="15"/>
  <c r="AW48" i="15"/>
  <c r="AX48" i="15"/>
  <c r="AV49" i="15"/>
  <c r="AW49" i="15"/>
  <c r="AX49" i="15"/>
  <c r="AV50" i="15"/>
  <c r="AW50" i="15"/>
  <c r="AX50" i="15"/>
  <c r="AV51" i="15"/>
  <c r="AW51" i="15"/>
  <c r="AX51" i="15"/>
  <c r="AV52" i="15"/>
  <c r="AW52" i="15"/>
  <c r="AX52" i="15"/>
  <c r="AV53" i="15"/>
  <c r="AW53" i="15"/>
  <c r="AX53" i="15"/>
  <c r="AV54" i="15"/>
  <c r="AW54" i="15"/>
  <c r="AX54" i="15"/>
  <c r="AG39" i="15"/>
  <c r="AH39" i="15"/>
  <c r="AI39" i="15"/>
  <c r="AG40" i="15"/>
  <c r="AH40" i="15"/>
  <c r="AI40" i="15"/>
  <c r="AG41" i="15"/>
  <c r="AH41" i="15"/>
  <c r="AI41" i="15"/>
  <c r="AG42" i="15"/>
  <c r="AH42" i="15"/>
  <c r="AI42" i="15"/>
  <c r="AG43" i="15"/>
  <c r="AH43" i="15"/>
  <c r="AI43" i="15"/>
  <c r="AG44" i="15"/>
  <c r="AH44" i="15"/>
  <c r="AI44" i="15"/>
  <c r="AG45" i="15"/>
  <c r="AH45" i="15"/>
  <c r="AI45" i="15"/>
  <c r="AG46" i="15"/>
  <c r="AH46" i="15"/>
  <c r="AI46" i="15"/>
  <c r="AG47" i="15"/>
  <c r="AH47" i="15"/>
  <c r="AI47" i="15"/>
  <c r="AG48" i="15"/>
  <c r="AH48" i="15"/>
  <c r="AI48" i="15"/>
  <c r="AG49" i="15"/>
  <c r="AH49" i="15"/>
  <c r="AI49" i="15"/>
  <c r="AS11" i="15" l="1"/>
  <c r="W60" i="15" l="1"/>
  <c r="W59" i="15"/>
  <c r="V60" i="15"/>
  <c r="V59" i="15"/>
  <c r="U60" i="15"/>
  <c r="T62" i="15"/>
  <c r="T60" i="15"/>
  <c r="T59" i="15"/>
  <c r="W56" i="15"/>
  <c r="W57" i="15"/>
  <c r="V56" i="15"/>
  <c r="V57" i="15"/>
  <c r="U56" i="15"/>
  <c r="U57" i="15"/>
  <c r="T56" i="15"/>
  <c r="T57" i="15"/>
  <c r="T55" i="15"/>
  <c r="U55" i="15"/>
  <c r="V55" i="15"/>
  <c r="AY69" i="15" s="1"/>
  <c r="W55" i="15"/>
  <c r="S56" i="15"/>
  <c r="S57" i="15"/>
  <c r="S58" i="15"/>
  <c r="S59" i="15"/>
  <c r="S60" i="15"/>
  <c r="S55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X4" i="15"/>
  <c r="AX5" i="15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S4" i="15"/>
  <c r="AS5" i="15"/>
  <c r="AS6" i="15"/>
  <c r="AS7" i="15"/>
  <c r="AS8" i="15"/>
  <c r="AS9" i="15"/>
  <c r="AS10" i="15"/>
  <c r="AS12" i="15"/>
  <c r="AS13" i="15"/>
  <c r="AS14" i="15"/>
  <c r="AS15" i="15"/>
  <c r="AS16" i="15"/>
  <c r="AS17" i="15"/>
  <c r="AS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3" i="15"/>
  <c r="AQ17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O20" i="15" s="1"/>
  <c r="AL21" i="15"/>
  <c r="AL22" i="15"/>
  <c r="AL23" i="15"/>
  <c r="AO23" i="15" s="1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Y27" i="15" l="1"/>
  <c r="AY25" i="15"/>
  <c r="AY24" i="15"/>
  <c r="AY23" i="15"/>
  <c r="AO15" i="15"/>
  <c r="AO39" i="15"/>
  <c r="AJ29" i="15"/>
  <c r="AY28" i="15"/>
  <c r="AY4" i="15"/>
  <c r="BD14" i="15"/>
  <c r="AO21" i="15"/>
  <c r="AY26" i="15"/>
  <c r="AY41" i="15"/>
  <c r="AY39" i="15"/>
  <c r="AY15" i="15"/>
  <c r="AY36" i="15"/>
  <c r="AY12" i="15"/>
  <c r="AY34" i="15"/>
  <c r="AY10" i="15"/>
  <c r="AY33" i="15"/>
  <c r="AY9" i="15"/>
  <c r="AY32" i="15"/>
  <c r="AY8" i="15"/>
  <c r="AY31" i="15"/>
  <c r="AY30" i="15"/>
  <c r="AY6" i="15"/>
  <c r="AY29" i="15"/>
  <c r="AY17" i="15"/>
  <c r="AY40" i="15"/>
  <c r="AY16" i="15"/>
  <c r="AJ24" i="15"/>
  <c r="AO42" i="15"/>
  <c r="AO18" i="15"/>
  <c r="AJ27" i="15"/>
  <c r="AJ26" i="15"/>
  <c r="AJ25" i="15"/>
  <c r="AO43" i="15"/>
  <c r="AJ23" i="15"/>
  <c r="AO41" i="15"/>
  <c r="AY46" i="15"/>
  <c r="AY22" i="15"/>
  <c r="AO19" i="15"/>
  <c r="U107" i="15"/>
  <c r="AC107" i="15" s="1"/>
  <c r="AY48" i="15" s="1"/>
  <c r="U108" i="15"/>
  <c r="AC108" i="15" s="1"/>
  <c r="AY49" i="15" s="1"/>
  <c r="U122" i="15"/>
  <c r="AC122" i="15" s="1"/>
  <c r="U109" i="15"/>
  <c r="AC109" i="15" s="1"/>
  <c r="AY50" i="15" s="1"/>
  <c r="U110" i="15"/>
  <c r="AC110" i="15" s="1"/>
  <c r="AY51" i="15" s="1"/>
  <c r="U125" i="15"/>
  <c r="AC125" i="15" s="1"/>
  <c r="U111" i="15"/>
  <c r="AC111" i="15" s="1"/>
  <c r="AY52" i="15" s="1"/>
  <c r="U114" i="15"/>
  <c r="AC114" i="15" s="1"/>
  <c r="AY55" i="15" s="1"/>
  <c r="U112" i="15"/>
  <c r="AC112" i="15" s="1"/>
  <c r="AY53" i="15" s="1"/>
  <c r="U113" i="15"/>
  <c r="AC113" i="15" s="1"/>
  <c r="AY54" i="15" s="1"/>
  <c r="U121" i="15"/>
  <c r="AC121" i="15" s="1"/>
  <c r="U115" i="15"/>
  <c r="AC115" i="15" s="1"/>
  <c r="AY56" i="15" s="1"/>
  <c r="U123" i="15"/>
  <c r="AC123" i="15" s="1"/>
  <c r="U126" i="15"/>
  <c r="AC126" i="15" s="1"/>
  <c r="U116" i="15"/>
  <c r="AC116" i="15" s="1"/>
  <c r="AY57" i="15" s="1"/>
  <c r="U124" i="15"/>
  <c r="AC124" i="15" s="1"/>
  <c r="U106" i="15"/>
  <c r="AC106" i="15" s="1"/>
  <c r="AY47" i="15" s="1"/>
  <c r="U130" i="15"/>
  <c r="AC130" i="15" s="1"/>
  <c r="U127" i="15"/>
  <c r="AC127" i="15" s="1"/>
  <c r="U129" i="15"/>
  <c r="AC129" i="15" s="1"/>
  <c r="U128" i="15"/>
  <c r="AC128" i="15" s="1"/>
  <c r="U120" i="15"/>
  <c r="AC120" i="15" s="1"/>
  <c r="AY3" i="15"/>
  <c r="AO40" i="15"/>
  <c r="AO16" i="15"/>
  <c r="AY45" i="15"/>
  <c r="AO66" i="15"/>
  <c r="AO37" i="15"/>
  <c r="AY42" i="15"/>
  <c r="AY43" i="15"/>
  <c r="AJ17" i="15"/>
  <c r="AO35" i="15"/>
  <c r="AO11" i="15"/>
  <c r="AY19" i="15"/>
  <c r="AJ16" i="15"/>
  <c r="AO34" i="15"/>
  <c r="AO10" i="15"/>
  <c r="AO36" i="15"/>
  <c r="S127" i="15"/>
  <c r="AA127" i="15" s="1"/>
  <c r="S124" i="15"/>
  <c r="AA124" i="15" s="1"/>
  <c r="AJ3" i="15"/>
  <c r="S129" i="15"/>
  <c r="AA129" i="15" s="1"/>
  <c r="S130" i="15"/>
  <c r="AA130" i="15" s="1"/>
  <c r="S120" i="15"/>
  <c r="AA120" i="15" s="1"/>
  <c r="S106" i="15"/>
  <c r="S121" i="15"/>
  <c r="AA121" i="15" s="1"/>
  <c r="S122" i="15"/>
  <c r="AA122" i="15" s="1"/>
  <c r="S123" i="15"/>
  <c r="AA123" i="15" s="1"/>
  <c r="S125" i="15"/>
  <c r="AA125" i="15" s="1"/>
  <c r="S128" i="15"/>
  <c r="AA128" i="15" s="1"/>
  <c r="S126" i="15"/>
  <c r="AA126" i="15" s="1"/>
  <c r="AO33" i="15"/>
  <c r="AO9" i="15"/>
  <c r="AY38" i="15"/>
  <c r="AY44" i="15"/>
  <c r="AJ20" i="15"/>
  <c r="AJ14" i="15"/>
  <c r="AO32" i="15"/>
  <c r="AY37" i="15"/>
  <c r="AY13" i="15"/>
  <c r="AO38" i="15"/>
  <c r="AO12" i="15"/>
  <c r="AJ37" i="15"/>
  <c r="AJ13" i="15"/>
  <c r="AO31" i="15"/>
  <c r="AJ4" i="15"/>
  <c r="AJ36" i="15"/>
  <c r="AJ12" i="15"/>
  <c r="AO30" i="15"/>
  <c r="AY35" i="15"/>
  <c r="AY11" i="15"/>
  <c r="T106" i="15"/>
  <c r="AB106" i="15" s="1"/>
  <c r="AO44" i="15" s="1"/>
  <c r="T109" i="15"/>
  <c r="AB109" i="15" s="1"/>
  <c r="AO47" i="15" s="1"/>
  <c r="T126" i="15"/>
  <c r="AB126" i="15" s="1"/>
  <c r="T130" i="15"/>
  <c r="AB130" i="15" s="1"/>
  <c r="T121" i="15"/>
  <c r="AB121" i="15" s="1"/>
  <c r="T122" i="15"/>
  <c r="AB122" i="15" s="1"/>
  <c r="T123" i="15"/>
  <c r="AB123" i="15" s="1"/>
  <c r="T124" i="15"/>
  <c r="AB124" i="15" s="1"/>
  <c r="T125" i="15"/>
  <c r="AB125" i="15" s="1"/>
  <c r="T127" i="15"/>
  <c r="AB127" i="15" s="1"/>
  <c r="T129" i="15"/>
  <c r="AB129" i="15" s="1"/>
  <c r="T128" i="15"/>
  <c r="AB128" i="15" s="1"/>
  <c r="T120" i="15"/>
  <c r="AB120" i="15" s="1"/>
  <c r="T108" i="15"/>
  <c r="AB108" i="15" s="1"/>
  <c r="AO46" i="15" s="1"/>
  <c r="AO3" i="15"/>
  <c r="T107" i="15"/>
  <c r="AB107" i="15" s="1"/>
  <c r="AO45" i="15" s="1"/>
  <c r="T110" i="15"/>
  <c r="AB110" i="15" s="1"/>
  <c r="AO48" i="15" s="1"/>
  <c r="T112" i="15"/>
  <c r="AB112" i="15" s="1"/>
  <c r="AO50" i="15" s="1"/>
  <c r="T113" i="15"/>
  <c r="AB113" i="15" s="1"/>
  <c r="AO51" i="15" s="1"/>
  <c r="T111" i="15"/>
  <c r="AB111" i="15" s="1"/>
  <c r="AO49" i="15" s="1"/>
  <c r="T115" i="15"/>
  <c r="AB115" i="15" s="1"/>
  <c r="AO53" i="15" s="1"/>
  <c r="T116" i="15"/>
  <c r="AB116" i="15" s="1"/>
  <c r="AO54" i="15" s="1"/>
  <c r="T114" i="15"/>
  <c r="AB114" i="15" s="1"/>
  <c r="AO52" i="15" s="1"/>
  <c r="AJ18" i="15"/>
  <c r="AJ35" i="15"/>
  <c r="AJ11" i="15"/>
  <c r="AO29" i="15"/>
  <c r="AJ28" i="15"/>
  <c r="AY20" i="15"/>
  <c r="AJ34" i="15"/>
  <c r="AO4" i="15"/>
  <c r="AJ33" i="15"/>
  <c r="AJ21" i="15"/>
  <c r="AJ32" i="15"/>
  <c r="AO26" i="15"/>
  <c r="AJ31" i="15"/>
  <c r="AJ7" i="15"/>
  <c r="AO25" i="15"/>
  <c r="AJ60" i="15"/>
  <c r="AJ10" i="15"/>
  <c r="AO28" i="15"/>
  <c r="AJ30" i="15"/>
  <c r="AJ6" i="15"/>
  <c r="AO24" i="15"/>
  <c r="S109" i="15"/>
  <c r="S107" i="15"/>
  <c r="S110" i="15"/>
  <c r="S111" i="15"/>
  <c r="S112" i="15"/>
  <c r="S113" i="15"/>
  <c r="S114" i="15"/>
  <c r="S116" i="15"/>
  <c r="S115" i="15"/>
  <c r="S108" i="15"/>
  <c r="BD15" i="15"/>
  <c r="BD12" i="15"/>
  <c r="BD11" i="15"/>
  <c r="BD10" i="15"/>
  <c r="BD9" i="15"/>
  <c r="AT18" i="15"/>
  <c r="AT10" i="15"/>
  <c r="AT3" i="15"/>
  <c r="AT16" i="15"/>
  <c r="AT14" i="15"/>
  <c r="AT15" i="15"/>
  <c r="AT13" i="15"/>
  <c r="AT9" i="15"/>
  <c r="BD4" i="15"/>
  <c r="AT7" i="15"/>
  <c r="AT6" i="15"/>
  <c r="BD3" i="15"/>
  <c r="AT5" i="15"/>
  <c r="BD19" i="15"/>
  <c r="BD18" i="15"/>
  <c r="AT17" i="15"/>
  <c r="BD17" i="15"/>
  <c r="BD16" i="15"/>
  <c r="S46" i="15"/>
  <c r="V48" i="15"/>
  <c r="T44" i="15"/>
  <c r="S43" i="15"/>
  <c r="W48" i="15"/>
  <c r="U43" i="15"/>
  <c r="U48" i="15"/>
  <c r="U45" i="15"/>
  <c r="U44" i="15"/>
  <c r="V43" i="15"/>
  <c r="V45" i="15"/>
  <c r="V44" i="15"/>
  <c r="V47" i="15"/>
  <c r="W43" i="15"/>
  <c r="W45" i="15"/>
  <c r="W44" i="15"/>
  <c r="W47" i="15"/>
  <c r="S45" i="15"/>
  <c r="S44" i="15"/>
  <c r="S48" i="15"/>
  <c r="S47" i="15"/>
  <c r="T43" i="15"/>
  <c r="T50" i="15"/>
  <c r="T48" i="15"/>
  <c r="T47" i="15"/>
  <c r="T45" i="15"/>
  <c r="AO58" i="15" l="1"/>
  <c r="AY63" i="15"/>
  <c r="AO65" i="15"/>
  <c r="AJ55" i="15"/>
  <c r="AY60" i="15"/>
  <c r="AJ57" i="15"/>
  <c r="AJ54" i="15"/>
  <c r="AJ52" i="15"/>
  <c r="AJ51" i="15"/>
  <c r="AJ50" i="15"/>
  <c r="AY66" i="15"/>
  <c r="AY67" i="15"/>
  <c r="AJ59" i="15"/>
  <c r="AY65" i="15"/>
  <c r="AJ58" i="15"/>
  <c r="AY68" i="15"/>
  <c r="AJ53" i="15"/>
  <c r="AY62" i="15"/>
  <c r="AO61" i="15"/>
  <c r="AJ56" i="15"/>
  <c r="AY64" i="15"/>
  <c r="AO57" i="15"/>
  <c r="AY61" i="15"/>
  <c r="AO63" i="15"/>
  <c r="AY59" i="15"/>
  <c r="AO64" i="15"/>
  <c r="AO62" i="15"/>
  <c r="AO60" i="15"/>
  <c r="AO56" i="15"/>
  <c r="AO59" i="15"/>
  <c r="AY58" i="15"/>
  <c r="AO55" i="15"/>
  <c r="AJ49" i="15"/>
  <c r="R12" i="7"/>
  <c r="Q12" i="7"/>
  <c r="P12" i="7"/>
  <c r="O12" i="7"/>
  <c r="N12" i="7"/>
  <c r="M12" i="7"/>
  <c r="L12" i="7"/>
  <c r="H12" i="1"/>
  <c r="G12" i="1"/>
  <c r="H12" i="5"/>
  <c r="G12" i="5"/>
  <c r="H12" i="10"/>
  <c r="G12" i="10"/>
  <c r="H12" i="8"/>
  <c r="G12" i="8"/>
  <c r="H12" i="6"/>
  <c r="G12" i="6"/>
  <c r="H12" i="9"/>
  <c r="G12" i="9"/>
  <c r="H12" i="4"/>
  <c r="G12" i="4"/>
  <c r="I12" i="5" l="1"/>
  <c r="I12" i="8"/>
  <c r="I12" i="10"/>
  <c r="I12" i="9"/>
  <c r="I12" i="6"/>
  <c r="I12" i="4"/>
  <c r="S11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O26" i="15" l="1"/>
  <c r="O38" i="15" s="1"/>
  <c r="W38" i="15" s="1"/>
  <c r="AD38" i="15" s="1"/>
  <c r="S12" i="7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10" i="4"/>
  <c r="D9" i="4"/>
  <c r="D8" i="4"/>
  <c r="D7" i="4"/>
  <c r="D6" i="4"/>
  <c r="D5" i="4"/>
  <c r="D4" i="4"/>
  <c r="D26" i="15" s="1"/>
  <c r="I11" i="4"/>
  <c r="L25" i="15" s="1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I11" i="5"/>
  <c r="M25" i="15" s="1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1" i="5"/>
  <c r="D10" i="5"/>
  <c r="D9" i="5"/>
  <c r="D8" i="5"/>
  <c r="D7" i="5"/>
  <c r="D6" i="5"/>
  <c r="D5" i="5"/>
  <c r="D4" i="5"/>
  <c r="E26" i="15" s="1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I10" i="7"/>
  <c r="I9" i="7"/>
  <c r="I8" i="7"/>
  <c r="I7" i="7"/>
  <c r="I6" i="7"/>
  <c r="I5" i="7"/>
  <c r="H12" i="7"/>
  <c r="G12" i="7"/>
  <c r="F12" i="7"/>
  <c r="E12" i="7"/>
  <c r="D12" i="7"/>
  <c r="C12" i="7"/>
  <c r="B12" i="7"/>
  <c r="I11" i="1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1" i="1"/>
  <c r="D10" i="1"/>
  <c r="D9" i="1"/>
  <c r="D8" i="1"/>
  <c r="D7" i="1"/>
  <c r="D6" i="1"/>
  <c r="D5" i="1"/>
  <c r="D4" i="1"/>
  <c r="C12" i="1"/>
  <c r="B12" i="1"/>
  <c r="C26" i="15" l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C35" i="15"/>
  <c r="C31" i="15"/>
  <c r="L26" i="15"/>
  <c r="L37" i="15" s="1"/>
  <c r="O36" i="15"/>
  <c r="D38" i="15"/>
  <c r="E37" i="15"/>
  <c r="E9" i="11"/>
  <c r="K23" i="15"/>
  <c r="O33" i="15"/>
  <c r="M26" i="15"/>
  <c r="M36" i="15" s="1"/>
  <c r="E11" i="11"/>
  <c r="K25" i="15"/>
  <c r="O35" i="15"/>
  <c r="O34" i="15"/>
  <c r="O32" i="15"/>
  <c r="I12" i="1"/>
  <c r="E5" i="11"/>
  <c r="E10" i="11"/>
  <c r="E6" i="11"/>
  <c r="E8" i="11"/>
  <c r="E7" i="11"/>
  <c r="B10" i="11"/>
  <c r="D12" i="4"/>
  <c r="B17" i="4" s="1"/>
  <c r="B5" i="11"/>
  <c r="B7" i="11"/>
  <c r="B9" i="11"/>
  <c r="B4" i="11"/>
  <c r="B6" i="11"/>
  <c r="B8" i="11"/>
  <c r="H24" i="6"/>
  <c r="D12" i="9"/>
  <c r="C19" i="9" s="1"/>
  <c r="D12" i="10"/>
  <c r="C23" i="10" s="1"/>
  <c r="D12" i="6"/>
  <c r="B25" i="6" s="1"/>
  <c r="D12" i="5"/>
  <c r="D23" i="5" s="1"/>
  <c r="E4" i="11"/>
  <c r="I18" i="8"/>
  <c r="M31" i="8" s="1"/>
  <c r="I12" i="7"/>
  <c r="B11" i="11" s="1"/>
  <c r="D12" i="8"/>
  <c r="D24" i="8" s="1"/>
  <c r="D12" i="1"/>
  <c r="B25" i="1" s="1"/>
  <c r="I22" i="7" l="1"/>
  <c r="F26" i="15"/>
  <c r="F34" i="15" s="1"/>
  <c r="M33" i="15"/>
  <c r="O39" i="15"/>
  <c r="D34" i="15"/>
  <c r="E35" i="15"/>
  <c r="M31" i="15"/>
  <c r="D36" i="15"/>
  <c r="E34" i="15"/>
  <c r="E33" i="15"/>
  <c r="U33" i="15" s="1"/>
  <c r="AB33" i="15" s="1"/>
  <c r="AB57" i="15" s="1"/>
  <c r="E38" i="15"/>
  <c r="D33" i="15"/>
  <c r="T33" i="15" s="1"/>
  <c r="AA33" i="15" s="1"/>
  <c r="AA57" i="15" s="1"/>
  <c r="D32" i="15"/>
  <c r="D37" i="15"/>
  <c r="C34" i="15"/>
  <c r="K26" i="15"/>
  <c r="K38" i="15" s="1"/>
  <c r="M38" i="15"/>
  <c r="D31" i="15"/>
  <c r="C17" i="10"/>
  <c r="N26" i="15"/>
  <c r="C36" i="15"/>
  <c r="M32" i="15"/>
  <c r="D35" i="15"/>
  <c r="L32" i="15"/>
  <c r="E36" i="15"/>
  <c r="U36" i="15" s="1"/>
  <c r="AB36" i="15" s="1"/>
  <c r="AB60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T38" i="15" s="1"/>
  <c r="AA38" i="15" s="1"/>
  <c r="AA62" i="15" s="1"/>
  <c r="L36" i="15"/>
  <c r="P25" i="15"/>
  <c r="D24" i="6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H19" i="5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G18" i="9"/>
  <c r="G25" i="9"/>
  <c r="I21" i="9"/>
  <c r="H21" i="9"/>
  <c r="G21" i="9"/>
  <c r="I19" i="9"/>
  <c r="I24" i="9"/>
  <c r="G23" i="9"/>
  <c r="G22" i="9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AO14" i="15" l="1"/>
  <c r="AO6" i="15"/>
  <c r="G35" i="9"/>
  <c r="T36" i="15"/>
  <c r="AA36" i="15" s="1"/>
  <c r="AA60" i="15" s="1"/>
  <c r="K35" i="15"/>
  <c r="S35" i="15" s="1"/>
  <c r="Z35" i="15" s="1"/>
  <c r="Z59" i="15" s="1"/>
  <c r="AJ8" i="15" s="1"/>
  <c r="H26" i="15"/>
  <c r="G26" i="15"/>
  <c r="K37" i="15"/>
  <c r="K31" i="15"/>
  <c r="S31" i="15" s="1"/>
  <c r="Z31" i="15" s="1"/>
  <c r="Z55" i="15" s="1"/>
  <c r="AJ19" i="15" s="1"/>
  <c r="K34" i="15"/>
  <c r="S34" i="15" s="1"/>
  <c r="Z34" i="15" s="1"/>
  <c r="Z58" i="15" s="1"/>
  <c r="AJ5" i="15" s="1"/>
  <c r="K32" i="15"/>
  <c r="P26" i="15"/>
  <c r="S36" i="7"/>
  <c r="H36" i="9"/>
  <c r="G34" i="5"/>
  <c r="G35" i="6"/>
  <c r="K36" i="15"/>
  <c r="S36" i="15" s="1"/>
  <c r="Z36" i="15" s="1"/>
  <c r="Z60" i="15" s="1"/>
  <c r="AJ22" i="15" s="1"/>
  <c r="N38" i="10"/>
  <c r="H32" i="5"/>
  <c r="N35" i="9"/>
  <c r="N38" i="4"/>
  <c r="K33" i="15"/>
  <c r="S33" i="15" s="1"/>
  <c r="Z33" i="15" s="1"/>
  <c r="Z57" i="15" s="1"/>
  <c r="AJ9" i="15" s="1"/>
  <c r="H38" i="9"/>
  <c r="T35" i="15"/>
  <c r="AA35" i="15" s="1"/>
  <c r="AA59" i="15" s="1"/>
  <c r="F33" i="15"/>
  <c r="G35" i="10"/>
  <c r="H30" i="10"/>
  <c r="F31" i="15"/>
  <c r="F38" i="15"/>
  <c r="F32" i="15"/>
  <c r="T32" i="15"/>
  <c r="AA32" i="15" s="1"/>
  <c r="AA56" i="15" s="1"/>
  <c r="M39" i="15"/>
  <c r="N31" i="15"/>
  <c r="N32" i="15"/>
  <c r="N35" i="15"/>
  <c r="N33" i="15"/>
  <c r="N34" i="15"/>
  <c r="N38" i="15"/>
  <c r="N36" i="15"/>
  <c r="S32" i="15"/>
  <c r="Z32" i="15" s="1"/>
  <c r="Z56" i="15" s="1"/>
  <c r="AJ15" i="15" s="1"/>
  <c r="N37" i="15"/>
  <c r="L39" i="15"/>
  <c r="C39" i="15"/>
  <c r="F37" i="15"/>
  <c r="D39" i="15"/>
  <c r="T31" i="15"/>
  <c r="AA31" i="15" s="1"/>
  <c r="AA55" i="15" s="1"/>
  <c r="AO22" i="15" s="1"/>
  <c r="F35" i="15"/>
  <c r="F36" i="15"/>
  <c r="U32" i="15"/>
  <c r="AB32" i="15" s="1"/>
  <c r="AB56" i="15" s="1"/>
  <c r="E39" i="15"/>
  <c r="U31" i="15"/>
  <c r="AB31" i="15" s="1"/>
  <c r="AB55" i="15" s="1"/>
  <c r="N37" i="6"/>
  <c r="H35" i="10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AO17" i="15" l="1"/>
  <c r="AO7" i="15"/>
  <c r="AO27" i="15"/>
  <c r="AO13" i="15"/>
  <c r="AO8" i="15"/>
  <c r="AO5" i="15"/>
  <c r="G36" i="15"/>
  <c r="W36" i="15" s="1"/>
  <c r="G37" i="15"/>
  <c r="G31" i="15"/>
  <c r="G34" i="15"/>
  <c r="G32" i="15"/>
  <c r="W32" i="15" s="1"/>
  <c r="G35" i="15"/>
  <c r="W35" i="15" s="1"/>
  <c r="G33" i="15"/>
  <c r="W33" i="15" s="1"/>
  <c r="G38" i="15"/>
  <c r="K39" i="15"/>
  <c r="V32" i="15"/>
  <c r="AC32" i="15" s="1"/>
  <c r="AC56" i="15" s="1"/>
  <c r="AY14" i="15" s="1"/>
  <c r="V33" i="15"/>
  <c r="AC33" i="15" s="1"/>
  <c r="AC57" i="15" s="1"/>
  <c r="AY7" i="15" s="1"/>
  <c r="V31" i="15"/>
  <c r="AC31" i="15" s="1"/>
  <c r="AC55" i="15" s="1"/>
  <c r="AY18" i="15" s="1"/>
  <c r="AT11" i="15"/>
  <c r="V36" i="15"/>
  <c r="AC36" i="15" s="1"/>
  <c r="AC60" i="15" s="1"/>
  <c r="AY21" i="15" s="1"/>
  <c r="V35" i="15"/>
  <c r="AC35" i="15" s="1"/>
  <c r="AC59" i="15" s="1"/>
  <c r="AY5" i="15" s="1"/>
  <c r="N39" i="15"/>
  <c r="AT8" i="15"/>
  <c r="F39" i="15"/>
  <c r="AT12" i="15"/>
  <c r="AT4" i="15"/>
  <c r="E33" i="11"/>
  <c r="E36" i="11"/>
  <c r="E34" i="11"/>
  <c r="E32" i="11"/>
  <c r="E35" i="11"/>
  <c r="E30" i="11"/>
  <c r="E38" i="11"/>
  <c r="E37" i="11"/>
  <c r="AD33" i="15" l="1"/>
  <c r="AD57" i="15" s="1"/>
  <c r="BD6" i="15" s="1"/>
  <c r="AD35" i="15"/>
  <c r="AD59" i="15" s="1"/>
  <c r="BD5" i="15" s="1"/>
  <c r="AD32" i="15"/>
  <c r="AD56" i="15" s="1"/>
  <c r="BD7" i="15" s="1"/>
  <c r="AD36" i="15"/>
  <c r="AD60" i="15" s="1"/>
  <c r="BD13" i="15" s="1"/>
  <c r="W31" i="15"/>
  <c r="G39" i="15"/>
  <c r="AA106" i="15"/>
  <c r="AA108" i="15"/>
  <c r="AA113" i="15"/>
  <c r="AA109" i="15"/>
  <c r="AA107" i="15"/>
  <c r="AA110" i="15"/>
  <c r="AA116" i="15"/>
  <c r="AA114" i="15"/>
  <c r="AA112" i="15"/>
  <c r="AA115" i="15"/>
  <c r="AA111" i="15"/>
  <c r="AJ43" i="15" l="1"/>
  <c r="AJ46" i="15"/>
  <c r="AJ44" i="15"/>
  <c r="AJ45" i="15"/>
  <c r="AJ48" i="15"/>
  <c r="AJ41" i="15"/>
  <c r="AJ40" i="15"/>
  <c r="AJ47" i="15"/>
  <c r="AJ42" i="15"/>
  <c r="AJ39" i="15"/>
  <c r="AJ38" i="15"/>
  <c r="AD31" i="15"/>
  <c r="AD55" i="15" s="1"/>
  <c r="BD8" i="15" s="1"/>
</calcChain>
</file>

<file path=xl/sharedStrings.xml><?xml version="1.0" encoding="utf-8"?>
<sst xmlns="http://schemas.openxmlformats.org/spreadsheetml/2006/main" count="2114" uniqueCount="320">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</sst>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5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167" fontId="0" fillId="0" borderId="0" xfId="8" applyNumberFormat="1" applyFont="1"/>
    <xf numFmtId="167" fontId="0" fillId="0" borderId="0" xfId="0" applyNumberFormat="1"/>
    <xf numFmtId="167" fontId="1" fillId="0" borderId="1" xfId="0" applyNumberFormat="1" applyFont="1" applyBorder="1"/>
    <xf numFmtId="167" fontId="0" fillId="0" borderId="3" xfId="8" applyNumberFormat="1" applyFont="1" applyBorder="1"/>
    <xf numFmtId="167" fontId="0" fillId="0" borderId="3" xfId="0" applyNumberFormat="1" applyBorder="1"/>
    <xf numFmtId="9" fontId="0" fillId="0" borderId="0" xfId="9" applyFont="1"/>
    <xf numFmtId="9" fontId="0" fillId="0" borderId="3" xfId="9" applyFont="1" applyBorder="1"/>
    <xf numFmtId="0" fontId="1" fillId="0" borderId="4" xfId="0" applyFont="1" applyBorder="1"/>
    <xf numFmtId="9" fontId="0" fillId="0" borderId="4" xfId="9" applyFont="1" applyBorder="1"/>
    <xf numFmtId="168" fontId="0" fillId="0" borderId="0" xfId="0" applyNumberFormat="1"/>
    <xf numFmtId="168" fontId="0" fillId="0" borderId="3" xfId="0" applyNumberFormat="1" applyBorder="1"/>
    <xf numFmtId="0" fontId="0" fillId="0" borderId="3" xfId="0" applyBorder="1" applyAlignment="1">
      <alignment horizontal="right"/>
    </xf>
    <xf numFmtId="0" fontId="0" fillId="8" borderId="0" xfId="0" applyFill="1"/>
    <xf numFmtId="2" fontId="0" fillId="0" borderId="5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0" fontId="0" fillId="0" borderId="6" xfId="0" applyBorder="1"/>
    <xf numFmtId="168" fontId="0" fillId="0" borderId="0" xfId="0" applyNumberFormat="1" applyBorder="1"/>
    <xf numFmtId="0" fontId="0" fillId="0" borderId="0" xfId="0" applyAlignment="1">
      <alignment horizontal="center"/>
    </xf>
    <xf numFmtId="166" fontId="0" fillId="0" borderId="3" xfId="0" applyNumberFormat="1" applyBorder="1"/>
    <xf numFmtId="0" fontId="0" fillId="0" borderId="3" xfId="0" applyFill="1" applyBorder="1" applyAlignment="1">
      <alignment horizontal="right"/>
    </xf>
    <xf numFmtId="166" fontId="0" fillId="0" borderId="5" xfId="0" applyNumberFormat="1" applyBorder="1"/>
    <xf numFmtId="166" fontId="0" fillId="0" borderId="0" xfId="0" applyNumberFormat="1" applyBorder="1"/>
    <xf numFmtId="168" fontId="0" fillId="7" borderId="0" xfId="0" applyNumberFormat="1" applyFill="1"/>
    <xf numFmtId="168" fontId="0" fillId="6" borderId="0" xfId="0" applyNumberFormat="1" applyFill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10">
    <cellStyle name="Comma" xfId="8" builtinId="3"/>
    <cellStyle name="Normal" xfId="0" builtinId="0"/>
    <cellStyle name="Percent" xfId="9" builtinId="5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workbookViewId="0">
      <selection activeCell="H23" sqref="H23"/>
    </sheetView>
  </sheetViews>
  <sheetFormatPr defaultRowHeight="15" x14ac:dyDescent="0.25"/>
  <cols>
    <col min="1" max="2" width="16.7109375" customWidth="1" collapsed="1"/>
    <col min="4" max="5" width="16.7109375" customWidth="1" collapsed="1"/>
  </cols>
  <sheetData>
    <row r="2" spans="1:5" ht="15.7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2198628</v>
      </c>
    </row>
    <row r="5" spans="1:5" x14ac:dyDescent="0.2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1613142</v>
      </c>
    </row>
    <row r="6" spans="1:5" x14ac:dyDescent="0.2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1437085</v>
      </c>
    </row>
    <row r="7" spans="1:5" x14ac:dyDescent="0.2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58858</v>
      </c>
    </row>
    <row r="8" spans="1:5" x14ac:dyDescent="0.2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201866</v>
      </c>
    </row>
    <row r="9" spans="1:5" x14ac:dyDescent="0.2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96832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738869.64401924715</v>
      </c>
      <c r="D10" s="9" t="s">
        <v>7</v>
      </c>
      <c r="E10" s="9">
        <f>SUM(Work!I10,Workbased!S11,School!I10,Escort!I10,Personal_Business!I10,Shop!I10,Meal!I10,SocRec!I10)</f>
        <v>609179</v>
      </c>
    </row>
    <row r="11" spans="1:5" x14ac:dyDescent="0.25">
      <c r="A11" s="14" t="s">
        <v>8</v>
      </c>
      <c r="B11" s="14">
        <f>SUM(Work!D11,Workbased!I12,School!D11,Escort!D11,Personal_Business!D11,Shop!D11,Meal!D11,SocRec!D11)</f>
        <v>389300.92202213482</v>
      </c>
      <c r="D11" s="14" t="s">
        <v>8</v>
      </c>
      <c r="E11" s="14">
        <f>SUM(Work!I11,School!I11,Escort!I11,Personal_Business!I11,Shop!I11,Meal!I11,SocRec!I11)</f>
        <v>210835</v>
      </c>
    </row>
    <row r="12" spans="1:5" ht="15.75" thickBot="1" x14ac:dyDescent="0.3">
      <c r="A12" s="13" t="s">
        <v>19</v>
      </c>
      <c r="B12" s="10">
        <f>SUM(B4:B11)</f>
        <v>6215862.097222019</v>
      </c>
      <c r="D12" s="13" t="s">
        <v>19</v>
      </c>
      <c r="E12" s="10">
        <f>SUM(E4:E11)</f>
        <v>6426425</v>
      </c>
    </row>
    <row r="14" spans="1:5" x14ac:dyDescent="0.25">
      <c r="E14" s="8"/>
    </row>
    <row r="15" spans="1:5" ht="15.7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t="shared" ref="B17:B25" si="0">B4/$B$12</f>
        <v>0.33124947580257907</v>
      </c>
      <c r="D17" s="9" t="s">
        <v>1</v>
      </c>
      <c r="E17" s="16">
        <f t="shared" ref="E17:E25" si="1">E4/$E$12</f>
        <v>0.34212303107871017</v>
      </c>
    </row>
    <row r="18" spans="1:5" x14ac:dyDescent="0.25">
      <c r="A18" s="9" t="s">
        <v>2</v>
      </c>
      <c r="B18" s="16">
        <f t="shared" si="0"/>
        <v>0.21556010882621826</v>
      </c>
      <c r="D18" s="9" t="s">
        <v>2</v>
      </c>
      <c r="E18" s="16">
        <f t="shared" si="1"/>
        <v>0.25101701179115915</v>
      </c>
    </row>
    <row r="19" spans="1:5" x14ac:dyDescent="0.25">
      <c r="A19" s="9" t="s">
        <v>3</v>
      </c>
      <c r="B19" s="16">
        <f t="shared" si="0"/>
        <v>0.19253005537532314</v>
      </c>
      <c r="D19" s="9" t="s">
        <v>3</v>
      </c>
      <c r="E19" s="16">
        <f t="shared" si="1"/>
        <v>0.22362122019629888</v>
      </c>
    </row>
    <row r="20" spans="1:5" x14ac:dyDescent="0.25">
      <c r="A20" s="9" t="s">
        <v>4</v>
      </c>
      <c r="B20" s="16">
        <f t="shared" si="0"/>
        <v>8.9936289921636811E-3</v>
      </c>
      <c r="D20" s="9" t="s">
        <v>4</v>
      </c>
      <c r="E20" s="16">
        <f t="shared" si="1"/>
        <v>9.1587468927125104E-3</v>
      </c>
    </row>
    <row r="21" spans="1:5" x14ac:dyDescent="0.25">
      <c r="A21" s="9" t="s">
        <v>5</v>
      </c>
      <c r="B21" s="16">
        <f t="shared" si="0"/>
        <v>5.6992391462439534E-2</v>
      </c>
      <c r="D21" s="9" t="s">
        <v>5</v>
      </c>
      <c r="E21" s="16">
        <f t="shared" si="1"/>
        <v>3.1411865850764616E-2</v>
      </c>
    </row>
    <row r="22" spans="1:5" x14ac:dyDescent="0.25">
      <c r="A22" s="9" t="s">
        <v>6</v>
      </c>
      <c r="B22" s="16">
        <f t="shared" si="0"/>
        <v>1.3175691663360649E-2</v>
      </c>
      <c r="D22" s="9" t="s">
        <v>6</v>
      </c>
      <c r="E22" s="16">
        <f t="shared" si="1"/>
        <v>1.5067786522055419E-2</v>
      </c>
    </row>
    <row r="23" spans="1:5" x14ac:dyDescent="0.25">
      <c r="A23" s="9" t="s">
        <v>7</v>
      </c>
      <c r="B23" s="16">
        <f t="shared" si="0"/>
        <v>0.1188684099586864</v>
      </c>
      <c r="D23" s="9" t="s">
        <v>7</v>
      </c>
      <c r="E23" s="16">
        <f t="shared" si="1"/>
        <v>9.4792828049809971E-2</v>
      </c>
    </row>
    <row r="24" spans="1:5" x14ac:dyDescent="0.25">
      <c r="A24" s="14" t="s">
        <v>8</v>
      </c>
      <c r="B24" s="17">
        <f t="shared" si="0"/>
        <v>6.2630237919229323E-2</v>
      </c>
      <c r="D24" s="14" t="s">
        <v>8</v>
      </c>
      <c r="E24" s="17">
        <f t="shared" si="1"/>
        <v>3.2807509618489286E-2</v>
      </c>
    </row>
    <row r="25" spans="1:5" ht="15.75" thickBot="1" x14ac:dyDescent="0.3">
      <c r="A25" s="13" t="s">
        <v>19</v>
      </c>
      <c r="B25" s="18">
        <f t="shared" si="0"/>
        <v>1</v>
      </c>
      <c r="D25" s="13" t="s">
        <v>19</v>
      </c>
      <c r="E25" s="18">
        <f t="shared" si="1"/>
        <v>1</v>
      </c>
    </row>
    <row r="28" spans="1:5" ht="15.7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1.0873555276131097E-2</v>
      </c>
    </row>
    <row r="31" spans="1:5" x14ac:dyDescent="0.25">
      <c r="D31" s="9" t="s">
        <v>2</v>
      </c>
      <c r="E31" s="16">
        <f t="shared" ref="E31:E36" si="2">E18-B18</f>
        <v>3.545690296494089E-2</v>
      </c>
    </row>
    <row r="32" spans="1:5" x14ac:dyDescent="0.25">
      <c r="D32" s="9" t="s">
        <v>3</v>
      </c>
      <c r="E32" s="16">
        <f t="shared" si="2"/>
        <v>3.1091164820975736E-2</v>
      </c>
    </row>
    <row r="33" spans="4:5" x14ac:dyDescent="0.25">
      <c r="D33" s="9" t="s">
        <v>4</v>
      </c>
      <c r="E33" s="16">
        <f t="shared" si="2"/>
        <v>1.651179005488293E-4</v>
      </c>
    </row>
    <row r="34" spans="4:5" x14ac:dyDescent="0.25">
      <c r="D34" s="9" t="s">
        <v>5</v>
      </c>
      <c r="E34" s="16">
        <f t="shared" si="2"/>
        <v>-2.5580525611674919E-2</v>
      </c>
    </row>
    <row r="35" spans="4:5" x14ac:dyDescent="0.25">
      <c r="D35" s="9" t="s">
        <v>6</v>
      </c>
      <c r="E35" s="16">
        <f t="shared" si="2"/>
        <v>1.8920948586947702E-3</v>
      </c>
    </row>
    <row r="36" spans="4:5" x14ac:dyDescent="0.25">
      <c r="D36" s="9" t="s">
        <v>7</v>
      </c>
      <c r="E36" s="16">
        <f t="shared" si="2"/>
        <v>-2.4075581908876431E-2</v>
      </c>
    </row>
    <row r="37" spans="4:5" x14ac:dyDescent="0.25">
      <c r="D37" s="14" t="s">
        <v>8</v>
      </c>
      <c r="E37" s="17">
        <f>E24-B24</f>
        <v>-2.9822728300740037E-2</v>
      </c>
    </row>
    <row r="38" spans="4:5" ht="15.75" thickBot="1" x14ac:dyDescent="0.3">
      <c r="D38" s="13" t="s">
        <v>19</v>
      </c>
      <c r="E38" s="18">
        <f>E25-B25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755.49866391720002</v>
      </c>
      <c r="C4" s="9">
        <v>1034246.8449067186</v>
      </c>
      <c r="D4" s="9">
        <f>SUM(B4:C4)</f>
        <v>1035002.3435706358</v>
      </c>
      <c r="F4" s="9" t="s">
        <v>1</v>
      </c>
      <c r="G4" s="9">
        <v>0</v>
      </c>
      <c r="H4" s="9">
        <v>1260243</v>
      </c>
      <c r="I4" s="9">
        <f>SUM(G4:H4)</f>
        <v>1260243</v>
      </c>
    </row>
    <row r="5" spans="1:9" x14ac:dyDescent="0.25">
      <c r="A5" s="9" t="s">
        <v>2</v>
      </c>
      <c r="B5" s="9">
        <v>2607.3955390933997</v>
      </c>
      <c r="C5" s="9">
        <v>228412.48098986651</v>
      </c>
      <c r="D5" s="9">
        <f t="shared" ref="D5:D11" si="0">SUM(B5:C5)</f>
        <v>231019.87652895993</v>
      </c>
      <c r="F5" s="9" t="s">
        <v>2</v>
      </c>
      <c r="G5" s="9">
        <v>7561</v>
      </c>
      <c r="H5" s="9">
        <v>319702</v>
      </c>
      <c r="I5" s="9">
        <f t="shared" ref="I5:I11" si="1">SUM(G5:H5)</f>
        <v>327263</v>
      </c>
    </row>
    <row r="6" spans="1:9" x14ac:dyDescent="0.25">
      <c r="A6" s="9" t="s">
        <v>3</v>
      </c>
      <c r="B6" s="9">
        <v>785.86557534079998</v>
      </c>
      <c r="C6" s="9">
        <v>120696.7259558001</v>
      </c>
      <c r="D6" s="9">
        <f t="shared" si="0"/>
        <v>121482.59153114089</v>
      </c>
      <c r="F6" s="9" t="s">
        <v>3</v>
      </c>
      <c r="G6" s="9">
        <v>4022</v>
      </c>
      <c r="H6" s="9">
        <v>176763</v>
      </c>
      <c r="I6" s="9">
        <f t="shared" si="1"/>
        <v>180785</v>
      </c>
    </row>
    <row r="7" spans="1:9" x14ac:dyDescent="0.25">
      <c r="A7" s="9" t="s">
        <v>4</v>
      </c>
      <c r="B7" s="9">
        <v>10.4025</v>
      </c>
      <c r="C7" s="9">
        <v>46623.948294900401</v>
      </c>
      <c r="D7" s="9">
        <f t="shared" si="0"/>
        <v>46634.350794900398</v>
      </c>
      <c r="F7" s="9" t="s">
        <v>4</v>
      </c>
      <c r="G7" s="9">
        <v>3040</v>
      </c>
      <c r="H7" s="9">
        <v>55818</v>
      </c>
      <c r="I7" s="9">
        <f t="shared" si="1"/>
        <v>58858</v>
      </c>
    </row>
    <row r="8" spans="1:9" x14ac:dyDescent="0.25">
      <c r="A8" s="9" t="s">
        <v>5</v>
      </c>
      <c r="B8" s="9">
        <v>41650.902365624897</v>
      </c>
      <c r="C8" s="9">
        <v>152407.39498832711</v>
      </c>
      <c r="D8" s="9">
        <f t="shared" si="0"/>
        <v>194058.29735395202</v>
      </c>
      <c r="F8" s="9" t="s">
        <v>5</v>
      </c>
      <c r="G8" s="9">
        <v>28558</v>
      </c>
      <c r="H8" s="9">
        <v>108751</v>
      </c>
      <c r="I8" s="9">
        <f t="shared" si="1"/>
        <v>137309</v>
      </c>
    </row>
    <row r="9" spans="1:9" x14ac:dyDescent="0.25">
      <c r="A9" s="9" t="s">
        <v>6</v>
      </c>
      <c r="B9" s="9">
        <v>3006.0014558363</v>
      </c>
      <c r="C9" s="9">
        <v>37719.700375039298</v>
      </c>
      <c r="D9" s="9">
        <f t="shared" si="0"/>
        <v>40725.701830875594</v>
      </c>
      <c r="F9" s="9" t="s">
        <v>6</v>
      </c>
      <c r="G9" s="9">
        <v>8288</v>
      </c>
      <c r="H9" s="9">
        <v>27128</v>
      </c>
      <c r="I9" s="9">
        <f t="shared" si="1"/>
        <v>35416</v>
      </c>
    </row>
    <row r="10" spans="1:9" x14ac:dyDescent="0.25">
      <c r="A10" s="9" t="s">
        <v>7</v>
      </c>
      <c r="B10" s="9">
        <v>9410.6356553828991</v>
      </c>
      <c r="C10" s="9">
        <v>31355.656663773501</v>
      </c>
      <c r="D10" s="9">
        <f t="shared" si="0"/>
        <v>40766.292319156404</v>
      </c>
      <c r="F10" s="9" t="s">
        <v>7</v>
      </c>
      <c r="G10" s="9">
        <v>4003</v>
      </c>
      <c r="H10" s="9">
        <v>14576</v>
      </c>
      <c r="I10" s="9">
        <f t="shared" si="1"/>
        <v>18579</v>
      </c>
    </row>
    <row r="11" spans="1:9" x14ac:dyDescent="0.25">
      <c r="A11" s="14" t="s">
        <v>8</v>
      </c>
      <c r="B11" s="14">
        <v>0</v>
      </c>
      <c r="C11" s="14">
        <v>932.80780090899998</v>
      </c>
      <c r="D11" s="14">
        <f t="shared" si="0"/>
        <v>932.80780090899998</v>
      </c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58226.701755195492</v>
      </c>
      <c r="C12" s="10">
        <f>SUM(C4:C11)</f>
        <v>1652395.5599753347</v>
      </c>
      <c r="D12" s="10">
        <f>SUM(D4:D11)</f>
        <v>1710622.2617305301</v>
      </c>
      <c r="F12" s="13" t="s">
        <v>19</v>
      </c>
      <c r="G12" s="10">
        <f>SUM(G4:G11)</f>
        <v>55472</v>
      </c>
      <c r="H12" s="10">
        <f>SUM(H4:H11)</f>
        <v>1962981</v>
      </c>
      <c r="I12" s="10">
        <f>SUM(I4:I11)</f>
        <v>2018453</v>
      </c>
    </row>
    <row r="14" spans="1:9" x14ac:dyDescent="0.25">
      <c r="G14" s="8"/>
      <c r="H14" s="8"/>
      <c r="I14" s="8"/>
    </row>
    <row r="15" spans="1:9" ht="15.75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4.4165136910641453E-4</v>
      </c>
      <c r="C17" s="16">
        <f t="shared" ref="C17:D17" si="2">C4/$D$12</f>
        <v>0.60460270396600324</v>
      </c>
      <c r="D17" s="16">
        <f t="shared" si="2"/>
        <v>0.6050443553351097</v>
      </c>
      <c r="F17" s="9" t="s">
        <v>1</v>
      </c>
      <c r="G17" s="16">
        <f t="shared" ref="G17:I25" si="3">G4/$I$12</f>
        <v>0</v>
      </c>
      <c r="H17" s="16">
        <f t="shared" si="3"/>
        <v>0.62436083475810433</v>
      </c>
      <c r="I17" s="16">
        <f t="shared" si="3"/>
        <v>0.62436083475810433</v>
      </c>
    </row>
    <row r="18" spans="1:14" x14ac:dyDescent="0.25">
      <c r="A18" s="9" t="s">
        <v>2</v>
      </c>
      <c r="B18" s="16">
        <f t="shared" ref="B18:D18" si="4">B5/$D$12</f>
        <v>1.5242380491737901E-3</v>
      </c>
      <c r="C18" s="16">
        <f t="shared" si="4"/>
        <v>0.13352596075699133</v>
      </c>
      <c r="D18" s="16">
        <f t="shared" si="4"/>
        <v>0.13505019880616512</v>
      </c>
      <c r="F18" s="9" t="s">
        <v>2</v>
      </c>
      <c r="G18" s="16">
        <f t="shared" si="3"/>
        <v>3.7459381021009656E-3</v>
      </c>
      <c r="H18" s="16">
        <f t="shared" si="3"/>
        <v>0.15838961818779035</v>
      </c>
      <c r="I18" s="16">
        <f t="shared" si="3"/>
        <v>0.16213555628989132</v>
      </c>
    </row>
    <row r="19" spans="1:14" x14ac:dyDescent="0.25">
      <c r="A19" s="9" t="s">
        <v>3</v>
      </c>
      <c r="B19" s="16">
        <f t="shared" ref="B19:D19" si="5">B6/$D$12</f>
        <v>4.5940333697387328E-4</v>
      </c>
      <c r="C19" s="16">
        <f t="shared" si="5"/>
        <v>7.0557205208880383E-2</v>
      </c>
      <c r="D19" s="16">
        <f t="shared" si="5"/>
        <v>7.1016608545854246E-2</v>
      </c>
      <c r="F19" s="9" t="s">
        <v>3</v>
      </c>
      <c r="G19" s="16">
        <f t="shared" si="3"/>
        <v>1.992615136443603E-3</v>
      </c>
      <c r="H19" s="16">
        <f t="shared" si="3"/>
        <v>8.7573503073888767E-2</v>
      </c>
      <c r="I19" s="16">
        <f t="shared" si="3"/>
        <v>8.9566118210332363E-2</v>
      </c>
    </row>
    <row r="20" spans="1:14" x14ac:dyDescent="0.25">
      <c r="A20" s="9" t="s">
        <v>4</v>
      </c>
      <c r="B20" s="16">
        <f t="shared" ref="B20:D20" si="6">B7/$D$12</f>
        <v>6.081120439457182E-6</v>
      </c>
      <c r="C20" s="16">
        <f t="shared" si="6"/>
        <v>2.7255548660832844E-2</v>
      </c>
      <c r="D20" s="16">
        <f t="shared" si="6"/>
        <v>2.7261629781272299E-2</v>
      </c>
      <c r="F20" s="9" t="s">
        <v>4</v>
      </c>
      <c r="G20" s="16">
        <f t="shared" si="3"/>
        <v>1.5061039320707493E-3</v>
      </c>
      <c r="H20" s="16">
        <f t="shared" si="3"/>
        <v>2.765385173694904E-2</v>
      </c>
      <c r="I20" s="16">
        <f t="shared" si="3"/>
        <v>2.9159955669019789E-2</v>
      </c>
    </row>
    <row r="21" spans="1:14" x14ac:dyDescent="0.25">
      <c r="A21" s="9" t="s">
        <v>5</v>
      </c>
      <c r="B21" s="16">
        <f t="shared" ref="B21:D21" si="7">B8/$D$12</f>
        <v>2.4348392568847591E-2</v>
      </c>
      <c r="C21" s="16">
        <f t="shared" si="7"/>
        <v>8.9094710385766898E-2</v>
      </c>
      <c r="D21" s="16">
        <f t="shared" si="7"/>
        <v>0.11344310295461449</v>
      </c>
      <c r="F21" s="9" t="s">
        <v>5</v>
      </c>
      <c r="G21" s="16">
        <f t="shared" si="3"/>
        <v>1.4148459240814624E-2</v>
      </c>
      <c r="H21" s="16">
        <f t="shared" si="3"/>
        <v>5.3878391025205939E-2</v>
      </c>
      <c r="I21" s="16">
        <f t="shared" si="3"/>
        <v>6.8026850266020567E-2</v>
      </c>
    </row>
    <row r="22" spans="1:14" x14ac:dyDescent="0.25">
      <c r="A22" s="9" t="s">
        <v>6</v>
      </c>
      <c r="B22" s="16">
        <f t="shared" ref="B22:D22" si="8">B9/$D$12</f>
        <v>1.7572561301729555E-3</v>
      </c>
      <c r="C22" s="16">
        <f t="shared" si="8"/>
        <v>2.2050280309622899E-2</v>
      </c>
      <c r="D22" s="16">
        <f t="shared" si="8"/>
        <v>2.3807536439795853E-2</v>
      </c>
      <c r="F22" s="9" t="s">
        <v>6</v>
      </c>
      <c r="G22" s="16">
        <f t="shared" si="3"/>
        <v>4.106114930592885E-3</v>
      </c>
      <c r="H22" s="16">
        <f t="shared" si="3"/>
        <v>1.3439995878031344E-2</v>
      </c>
      <c r="I22" s="16">
        <f t="shared" si="3"/>
        <v>1.754611080862423E-2</v>
      </c>
    </row>
    <row r="23" spans="1:14" x14ac:dyDescent="0.25">
      <c r="A23" s="9" t="s">
        <v>7</v>
      </c>
      <c r="B23" s="16">
        <f t="shared" ref="B23:D23" si="9">B10/$D$12</f>
        <v>5.5012938074725775E-3</v>
      </c>
      <c r="C23" s="16">
        <f t="shared" si="9"/>
        <v>1.8329971125275159E-2</v>
      </c>
      <c r="D23" s="16">
        <f t="shared" si="9"/>
        <v>2.3831264932747738E-2</v>
      </c>
      <c r="F23" s="9" t="s">
        <v>7</v>
      </c>
      <c r="G23" s="16">
        <f t="shared" si="3"/>
        <v>1.9832019868681609E-3</v>
      </c>
      <c r="H23" s="16">
        <f t="shared" si="3"/>
        <v>7.2213720111392243E-3</v>
      </c>
      <c r="I23" s="16">
        <f t="shared" si="3"/>
        <v>9.2045739980073857E-3</v>
      </c>
    </row>
    <row r="24" spans="1:14" x14ac:dyDescent="0.25">
      <c r="A24" s="14" t="s">
        <v>8</v>
      </c>
      <c r="B24" s="17">
        <f t="shared" ref="B24:D24" si="10">B11/$D$12</f>
        <v>0</v>
      </c>
      <c r="C24" s="17">
        <f t="shared" si="10"/>
        <v>5.4530320444055045E-4</v>
      </c>
      <c r="D24" s="17">
        <f t="shared" si="10"/>
        <v>5.4530320444055045E-4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ref="B25:D25" si="11">B12/$D$12</f>
        <v>3.4038316382186656E-2</v>
      </c>
      <c r="C25" s="18">
        <f t="shared" si="11"/>
        <v>0.96596168361781343</v>
      </c>
      <c r="D25" s="18">
        <f t="shared" si="11"/>
        <v>1</v>
      </c>
      <c r="F25" s="13" t="s">
        <v>19</v>
      </c>
      <c r="G25" s="18">
        <f t="shared" si="3"/>
        <v>2.7482433328890988E-2</v>
      </c>
      <c r="H25" s="18">
        <f t="shared" si="3"/>
        <v>0.972517566671109</v>
      </c>
      <c r="I25" s="18">
        <f t="shared" si="3"/>
        <v>1</v>
      </c>
    </row>
    <row r="28" spans="1:14" ht="15.75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12">G17-B17</f>
        <v>-4.4165136910641453E-4</v>
      </c>
      <c r="H30" s="16">
        <f t="shared" ref="H30:H38" si="13">H17-C17</f>
        <v>1.9758130792101092E-2</v>
      </c>
      <c r="I30" s="16">
        <f t="shared" ref="I30:I38" si="14">I17-D17</f>
        <v>1.9316479422994637E-2</v>
      </c>
      <c r="K30" s="23" t="s">
        <v>1</v>
      </c>
      <c r="L30" s="24">
        <f>D17</f>
        <v>0.6050443553351097</v>
      </c>
      <c r="M30" s="24">
        <f t="shared" ref="M30:M38" si="15">I17</f>
        <v>0.62436083475810433</v>
      </c>
      <c r="N30" s="24">
        <f>M30-L30</f>
        <v>1.9316479422994637E-2</v>
      </c>
    </row>
    <row r="31" spans="1:14" x14ac:dyDescent="0.25">
      <c r="F31" s="9" t="s">
        <v>2</v>
      </c>
      <c r="G31" s="16">
        <f t="shared" si="12"/>
        <v>2.2217000529271757E-3</v>
      </c>
      <c r="H31" s="16">
        <f t="shared" si="13"/>
        <v>2.4863657430799019E-2</v>
      </c>
      <c r="I31" s="16">
        <f t="shared" si="14"/>
        <v>2.7085357483726202E-2</v>
      </c>
      <c r="K31" s="30" t="s">
        <v>2</v>
      </c>
      <c r="L31" s="31">
        <f t="shared" ref="L31:L38" si="16">D18</f>
        <v>0.13505019880616512</v>
      </c>
      <c r="M31" s="31">
        <f t="shared" si="15"/>
        <v>0.16213555628989132</v>
      </c>
      <c r="N31" s="31">
        <f t="shared" ref="N31:N38" si="17">M31-L31</f>
        <v>2.7085357483726202E-2</v>
      </c>
    </row>
    <row r="32" spans="1:14" x14ac:dyDescent="0.25">
      <c r="F32" s="9" t="s">
        <v>3</v>
      </c>
      <c r="G32" s="16">
        <f t="shared" si="12"/>
        <v>1.5332117994697298E-3</v>
      </c>
      <c r="H32" s="16">
        <f t="shared" si="13"/>
        <v>1.7016297865008384E-2</v>
      </c>
      <c r="I32" s="16">
        <f t="shared" si="14"/>
        <v>1.8549509664478117E-2</v>
      </c>
      <c r="K32" s="23" t="s">
        <v>3</v>
      </c>
      <c r="L32" s="24">
        <f t="shared" si="16"/>
        <v>7.1016608545854246E-2</v>
      </c>
      <c r="M32" s="24">
        <f t="shared" si="15"/>
        <v>8.9566118210332363E-2</v>
      </c>
      <c r="N32" s="24">
        <f t="shared" si="17"/>
        <v>1.8549509664478117E-2</v>
      </c>
    </row>
    <row r="33" spans="6:14" x14ac:dyDescent="0.25">
      <c r="F33" s="9" t="s">
        <v>4</v>
      </c>
      <c r="G33" s="16">
        <f t="shared" si="12"/>
        <v>1.5000228116312921E-3</v>
      </c>
      <c r="H33" s="16">
        <f t="shared" si="13"/>
        <v>3.9830307611619584E-4</v>
      </c>
      <c r="I33" s="16">
        <f t="shared" si="14"/>
        <v>1.8983258877474894E-3</v>
      </c>
      <c r="K33" s="30" t="s">
        <v>4</v>
      </c>
      <c r="L33" s="31">
        <f t="shared" si="16"/>
        <v>2.7261629781272299E-2</v>
      </c>
      <c r="M33" s="31">
        <f t="shared" si="15"/>
        <v>2.9159955669019789E-2</v>
      </c>
      <c r="N33" s="31">
        <f t="shared" si="17"/>
        <v>1.8983258877474894E-3</v>
      </c>
    </row>
    <row r="34" spans="6:14" x14ac:dyDescent="0.25">
      <c r="F34" s="9" t="s">
        <v>5</v>
      </c>
      <c r="G34" s="16">
        <f t="shared" si="12"/>
        <v>-1.0199933328032967E-2</v>
      </c>
      <c r="H34" s="16">
        <f t="shared" si="13"/>
        <v>-3.5216319360560959E-2</v>
      </c>
      <c r="I34" s="16">
        <f t="shared" si="14"/>
        <v>-4.5416252688593922E-2</v>
      </c>
      <c r="K34" s="23" t="s">
        <v>5</v>
      </c>
      <c r="L34" s="24">
        <f t="shared" si="16"/>
        <v>0.11344310295461449</v>
      </c>
      <c r="M34" s="24">
        <f t="shared" si="15"/>
        <v>6.8026850266020567E-2</v>
      </c>
      <c r="N34" s="24">
        <f t="shared" si="17"/>
        <v>-4.5416252688593922E-2</v>
      </c>
    </row>
    <row r="35" spans="6:14" x14ac:dyDescent="0.25">
      <c r="F35" s="9" t="s">
        <v>6</v>
      </c>
      <c r="G35" s="16">
        <f t="shared" si="12"/>
        <v>2.3488588004199297E-3</v>
      </c>
      <c r="H35" s="16">
        <f t="shared" si="13"/>
        <v>-8.6102844315915552E-3</v>
      </c>
      <c r="I35" s="16">
        <f t="shared" si="14"/>
        <v>-6.2614256311716229E-3</v>
      </c>
      <c r="K35" s="30" t="s">
        <v>6</v>
      </c>
      <c r="L35" s="31">
        <f t="shared" si="16"/>
        <v>2.3807536439795853E-2</v>
      </c>
      <c r="M35" s="31">
        <f t="shared" si="15"/>
        <v>1.754611080862423E-2</v>
      </c>
      <c r="N35" s="31">
        <f t="shared" si="17"/>
        <v>-6.2614256311716229E-3</v>
      </c>
    </row>
    <row r="36" spans="6:14" x14ac:dyDescent="0.25">
      <c r="F36" s="9" t="s">
        <v>7</v>
      </c>
      <c r="G36" s="16">
        <f t="shared" si="12"/>
        <v>-3.5180918206044165E-3</v>
      </c>
      <c r="H36" s="16">
        <f t="shared" si="13"/>
        <v>-1.1108599114135934E-2</v>
      </c>
      <c r="I36" s="16">
        <f t="shared" si="14"/>
        <v>-1.4626690934740352E-2</v>
      </c>
      <c r="K36" s="23" t="s">
        <v>7</v>
      </c>
      <c r="L36" s="24">
        <f t="shared" si="16"/>
        <v>2.3831264932747738E-2</v>
      </c>
      <c r="M36" s="24">
        <f t="shared" si="15"/>
        <v>9.2045739980073857E-3</v>
      </c>
      <c r="N36" s="24">
        <f t="shared" si="17"/>
        <v>-1.4626690934740352E-2</v>
      </c>
    </row>
    <row r="37" spans="6:14" x14ac:dyDescent="0.25">
      <c r="F37" s="14" t="s">
        <v>8</v>
      </c>
      <c r="G37" s="17">
        <f t="shared" si="12"/>
        <v>0</v>
      </c>
      <c r="H37" s="17">
        <f t="shared" si="13"/>
        <v>-5.4530320444055045E-4</v>
      </c>
      <c r="I37" s="17">
        <f t="shared" si="14"/>
        <v>-5.4530320444055045E-4</v>
      </c>
      <c r="K37" s="32" t="s">
        <v>8</v>
      </c>
      <c r="L37" s="33">
        <f t="shared" si="16"/>
        <v>5.4530320444055045E-4</v>
      </c>
      <c r="M37" s="33">
        <f t="shared" si="15"/>
        <v>0</v>
      </c>
      <c r="N37" s="33">
        <f t="shared" si="17"/>
        <v>-5.4530320444055045E-4</v>
      </c>
    </row>
    <row r="38" spans="6:14" ht="15.75" thickBot="1" x14ac:dyDescent="0.3">
      <c r="F38" s="13" t="s">
        <v>19</v>
      </c>
      <c r="G38" s="18">
        <f t="shared" si="12"/>
        <v>-6.5558830532956684E-3</v>
      </c>
      <c r="H38" s="18">
        <f t="shared" si="13"/>
        <v>6.5558830532955747E-3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5.2012499999999999</v>
      </c>
      <c r="C4" s="9">
        <v>89495.429581989796</v>
      </c>
      <c r="D4" s="9">
        <f>SUM(B4:C4)</f>
        <v>89500.630831989794</v>
      </c>
      <c r="E4" s="9"/>
      <c r="F4" s="9" t="s">
        <v>1</v>
      </c>
      <c r="G4" s="9">
        <v>0</v>
      </c>
      <c r="H4" s="9">
        <v>73106</v>
      </c>
      <c r="I4" s="9">
        <f>SUM(G4:H4)</f>
        <v>73106</v>
      </c>
    </row>
    <row r="5" spans="1:9" x14ac:dyDescent="0.25">
      <c r="A5" s="9" t="s">
        <v>2</v>
      </c>
      <c r="B5" s="9">
        <v>221.83250000000001</v>
      </c>
      <c r="C5" s="9">
        <v>134080.46550551659</v>
      </c>
      <c r="D5" s="9">
        <f t="shared" ref="D5:D12" si="0">SUM(B5:C5)</f>
        <v>134302.29800551658</v>
      </c>
      <c r="E5" s="9"/>
      <c r="F5" s="9" t="s">
        <v>2</v>
      </c>
      <c r="G5" s="9">
        <v>2921</v>
      </c>
      <c r="H5" s="9">
        <v>117327</v>
      </c>
      <c r="I5" s="9">
        <f t="shared" ref="I5:I12" si="1">SUM(G5:H5)</f>
        <v>120248</v>
      </c>
    </row>
    <row r="6" spans="1:9" x14ac:dyDescent="0.25">
      <c r="A6" s="9" t="s">
        <v>3</v>
      </c>
      <c r="B6" s="9">
        <v>1143.620625</v>
      </c>
      <c r="C6" s="9">
        <v>225205.34683589599</v>
      </c>
      <c r="D6" s="9">
        <f t="shared" si="0"/>
        <v>226348.967460896</v>
      </c>
      <c r="E6" s="9"/>
      <c r="F6" s="9" t="s">
        <v>3</v>
      </c>
      <c r="G6" s="9">
        <v>3630</v>
      </c>
      <c r="H6" s="9">
        <v>199710</v>
      </c>
      <c r="I6" s="9">
        <f t="shared" si="1"/>
        <v>203340</v>
      </c>
    </row>
    <row r="7" spans="1:9" x14ac:dyDescent="0.25">
      <c r="A7" s="9" t="s">
        <v>4</v>
      </c>
      <c r="B7" s="9">
        <v>14.49375</v>
      </c>
      <c r="C7" s="9">
        <v>5717.3422076879997</v>
      </c>
      <c r="D7" s="9">
        <f t="shared" si="0"/>
        <v>5731.8359576879993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10945.503781317801</v>
      </c>
      <c r="C8" s="9">
        <v>38251.283250358298</v>
      </c>
      <c r="D8" s="9">
        <f t="shared" si="0"/>
        <v>49196.787031676096</v>
      </c>
      <c r="E8" s="9"/>
      <c r="F8" s="9" t="s">
        <v>5</v>
      </c>
      <c r="G8" s="9">
        <v>4770</v>
      </c>
      <c r="H8" s="9">
        <v>26645</v>
      </c>
      <c r="I8" s="9">
        <f t="shared" si="1"/>
        <v>31415</v>
      </c>
    </row>
    <row r="9" spans="1:9" x14ac:dyDescent="0.25">
      <c r="A9" s="9" t="s">
        <v>6</v>
      </c>
      <c r="B9" s="9">
        <v>659.07011564100003</v>
      </c>
      <c r="C9" s="9">
        <v>8922.158501594</v>
      </c>
      <c r="D9" s="9">
        <f t="shared" si="0"/>
        <v>9581.2286172349995</v>
      </c>
      <c r="E9" s="9"/>
      <c r="F9" s="9" t="s">
        <v>6</v>
      </c>
      <c r="G9" s="9">
        <v>1187</v>
      </c>
      <c r="H9" s="9">
        <v>8190</v>
      </c>
      <c r="I9" s="9">
        <f t="shared" si="1"/>
        <v>9377</v>
      </c>
    </row>
    <row r="10" spans="1:9" x14ac:dyDescent="0.25">
      <c r="A10" s="9" t="s">
        <v>7</v>
      </c>
      <c r="B10" s="9">
        <v>12917.9071079409</v>
      </c>
      <c r="C10" s="9">
        <v>44282.052650219499</v>
      </c>
      <c r="D10" s="9">
        <f t="shared" si="0"/>
        <v>57199.959758160403</v>
      </c>
      <c r="E10" s="9"/>
      <c r="F10" s="9" t="s">
        <v>7</v>
      </c>
      <c r="G10" s="9">
        <v>4037</v>
      </c>
      <c r="H10" s="9">
        <v>37928</v>
      </c>
      <c r="I10" s="9">
        <f t="shared" si="1"/>
        <v>41965</v>
      </c>
    </row>
    <row r="11" spans="1:9" x14ac:dyDescent="0.25">
      <c r="A11" s="14" t="s">
        <v>8</v>
      </c>
      <c r="B11" s="14">
        <v>3907.5079437680001</v>
      </c>
      <c r="C11" s="14">
        <v>202624.66659945401</v>
      </c>
      <c r="D11" s="14">
        <f t="shared" si="0"/>
        <v>206532.17454322201</v>
      </c>
      <c r="E11" s="9"/>
      <c r="F11" s="14" t="s">
        <v>8</v>
      </c>
      <c r="G11" s="14">
        <v>8799</v>
      </c>
      <c r="H11" s="14">
        <v>202036</v>
      </c>
      <c r="I11" s="14">
        <f t="shared" si="1"/>
        <v>210835</v>
      </c>
    </row>
    <row r="12" spans="1:9" ht="15.75" thickBot="1" x14ac:dyDescent="0.3">
      <c r="A12" s="13" t="s">
        <v>19</v>
      </c>
      <c r="B12" s="10">
        <f>SUM(B4:B11)</f>
        <v>29815.137073667702</v>
      </c>
      <c r="C12" s="10">
        <f>SUM(C4:C11)</f>
        <v>748578.74513271626</v>
      </c>
      <c r="D12" s="10">
        <f t="shared" si="0"/>
        <v>778393.88220638398</v>
      </c>
      <c r="E12" s="9"/>
      <c r="F12" s="13" t="s">
        <v>19</v>
      </c>
      <c r="G12" s="10">
        <f>SUM(G4:G11)</f>
        <v>25344</v>
      </c>
      <c r="H12" s="10">
        <f>SUM(H4:H11)</f>
        <v>664942</v>
      </c>
      <c r="I12" s="10">
        <f t="shared" si="1"/>
        <v>690286</v>
      </c>
    </row>
    <row r="15" spans="1:9" ht="15.75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6.6820283649415124E-6</v>
      </c>
      <c r="C17" s="16">
        <f t="shared" ref="C17:D17" si="2">C4/$D$12</f>
        <v>0.11497447709675203</v>
      </c>
      <c r="D17" s="16">
        <f t="shared" si="2"/>
        <v>0.11498115912511697</v>
      </c>
      <c r="F17" s="9" t="s">
        <v>1</v>
      </c>
      <c r="G17" s="16">
        <f t="shared" ref="G17:I25" si="3">G4/$I$12</f>
        <v>0</v>
      </c>
      <c r="H17" s="16">
        <f t="shared" si="3"/>
        <v>0.10590682702531994</v>
      </c>
      <c r="I17" s="16">
        <f t="shared" si="3"/>
        <v>0.10590682702531994</v>
      </c>
    </row>
    <row r="18" spans="1:14" x14ac:dyDescent="0.25">
      <c r="A18" s="9" t="s">
        <v>2</v>
      </c>
      <c r="B18" s="16">
        <f t="shared" ref="B18:D25" si="4">B5/$D$12</f>
        <v>2.849874659487408E-4</v>
      </c>
      <c r="C18" s="16">
        <f t="shared" si="4"/>
        <v>0.17225272265175176</v>
      </c>
      <c r="D18" s="16">
        <f t="shared" si="4"/>
        <v>0.1725377101177005</v>
      </c>
      <c r="F18" s="9" t="s">
        <v>2</v>
      </c>
      <c r="G18" s="16">
        <f t="shared" si="3"/>
        <v>4.2315793743462858E-3</v>
      </c>
      <c r="H18" s="16">
        <f t="shared" si="3"/>
        <v>0.16996867964872531</v>
      </c>
      <c r="I18" s="16">
        <f t="shared" si="3"/>
        <v>0.1742002590230716</v>
      </c>
    </row>
    <row r="19" spans="1:14" x14ac:dyDescent="0.25">
      <c r="A19" s="9" t="s">
        <v>3</v>
      </c>
      <c r="B19" s="16">
        <f t="shared" si="4"/>
        <v>1.4692055669275924E-3</v>
      </c>
      <c r="C19" s="16">
        <f t="shared" si="4"/>
        <v>0.28932055092409487</v>
      </c>
      <c r="D19" s="16">
        <f t="shared" si="4"/>
        <v>0.29078975649102246</v>
      </c>
      <c r="F19" s="9" t="s">
        <v>3</v>
      </c>
      <c r="G19" s="16">
        <f t="shared" si="3"/>
        <v>5.2586898763700846E-3</v>
      </c>
      <c r="H19" s="16">
        <f t="shared" si="3"/>
        <v>0.28931486369417891</v>
      </c>
      <c r="I19" s="16">
        <f t="shared" si="3"/>
        <v>0.29457355357054904</v>
      </c>
    </row>
    <row r="20" spans="1:14" x14ac:dyDescent="0.25">
      <c r="A20" s="9" t="s">
        <v>4</v>
      </c>
      <c r="B20" s="16">
        <f t="shared" si="4"/>
        <v>1.8620071831650286E-5</v>
      </c>
      <c r="C20" s="16">
        <f t="shared" si="4"/>
        <v>7.3450502867288712E-3</v>
      </c>
      <c r="D20" s="16">
        <f t="shared" si="4"/>
        <v>7.3636703585605208E-3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1.4061651859714515E-2</v>
      </c>
      <c r="C21" s="16">
        <f t="shared" si="4"/>
        <v>4.9141294818419862E-2</v>
      </c>
      <c r="D21" s="16">
        <f t="shared" si="4"/>
        <v>6.3202946678134378E-2</v>
      </c>
      <c r="F21" s="9" t="s">
        <v>5</v>
      </c>
      <c r="G21" s="16">
        <f t="shared" si="3"/>
        <v>6.9101792590317637E-3</v>
      </c>
      <c r="H21" s="16">
        <f t="shared" si="3"/>
        <v>3.8599942632474078E-2</v>
      </c>
      <c r="I21" s="16">
        <f t="shared" si="3"/>
        <v>4.5510121891505842E-2</v>
      </c>
    </row>
    <row r="22" spans="1:14" x14ac:dyDescent="0.25">
      <c r="A22" s="9" t="s">
        <v>6</v>
      </c>
      <c r="B22" s="16">
        <f t="shared" si="4"/>
        <v>8.4670515879806682E-4</v>
      </c>
      <c r="C22" s="16">
        <f t="shared" si="4"/>
        <v>1.1462266990464825E-2</v>
      </c>
      <c r="D22" s="16">
        <f t="shared" si="4"/>
        <v>1.230897214926289E-2</v>
      </c>
      <c r="F22" s="9" t="s">
        <v>6</v>
      </c>
      <c r="G22" s="16">
        <f t="shared" si="3"/>
        <v>1.7195771028240469E-3</v>
      </c>
      <c r="H22" s="16">
        <f t="shared" si="3"/>
        <v>1.1864647407016801E-2</v>
      </c>
      <c r="I22" s="16">
        <f t="shared" si="3"/>
        <v>1.3584224509840849E-2</v>
      </c>
    </row>
    <row r="23" spans="1:14" x14ac:dyDescent="0.25">
      <c r="A23" s="9" t="s">
        <v>7</v>
      </c>
      <c r="B23" s="16">
        <f t="shared" si="4"/>
        <v>1.6595591773312313E-2</v>
      </c>
      <c r="C23" s="16">
        <f t="shared" si="4"/>
        <v>5.6889003963777968E-2</v>
      </c>
      <c r="D23" s="16">
        <f t="shared" si="4"/>
        <v>7.3484595737090291E-2</v>
      </c>
      <c r="F23" s="9" t="s">
        <v>7</v>
      </c>
      <c r="G23" s="16">
        <f t="shared" si="3"/>
        <v>5.8483005594782448E-3</v>
      </c>
      <c r="H23" s="16">
        <f t="shared" si="3"/>
        <v>5.494534149613349E-2</v>
      </c>
      <c r="I23" s="16">
        <f t="shared" si="3"/>
        <v>6.0793642055611732E-2</v>
      </c>
    </row>
    <row r="24" spans="1:14" x14ac:dyDescent="0.25">
      <c r="A24" s="14" t="s">
        <v>8</v>
      </c>
      <c r="B24" s="17">
        <f t="shared" si="4"/>
        <v>5.019962300695421E-3</v>
      </c>
      <c r="C24" s="17">
        <f t="shared" si="4"/>
        <v>0.26031122704241649</v>
      </c>
      <c r="D24" s="17">
        <f t="shared" si="4"/>
        <v>0.2653311893431119</v>
      </c>
      <c r="F24" s="14" t="s">
        <v>8</v>
      </c>
      <c r="G24" s="17">
        <f t="shared" si="3"/>
        <v>1.2746890419333436E-2</v>
      </c>
      <c r="H24" s="17">
        <f t="shared" si="3"/>
        <v>0.29268448150476761</v>
      </c>
      <c r="I24" s="17">
        <f t="shared" si="3"/>
        <v>0.30543137192410102</v>
      </c>
    </row>
    <row r="25" spans="1:14" ht="15.75" thickBot="1" x14ac:dyDescent="0.3">
      <c r="A25" s="13" t="s">
        <v>19</v>
      </c>
      <c r="B25" s="18">
        <f t="shared" si="4"/>
        <v>3.8303406225593244E-2</v>
      </c>
      <c r="C25" s="18">
        <f t="shared" si="4"/>
        <v>0.96169659377440675</v>
      </c>
      <c r="D25" s="18">
        <f t="shared" si="4"/>
        <v>1</v>
      </c>
      <c r="F25" s="13" t="s">
        <v>19</v>
      </c>
      <c r="G25" s="18">
        <f t="shared" si="3"/>
        <v>3.671521659138386E-2</v>
      </c>
      <c r="H25" s="18">
        <f t="shared" si="3"/>
        <v>0.96328478340861612</v>
      </c>
      <c r="I25" s="18">
        <f t="shared" si="3"/>
        <v>1</v>
      </c>
    </row>
    <row r="28" spans="1:14" ht="15.75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-6.6820283649415124E-6</v>
      </c>
      <c r="H30" s="16">
        <f t="shared" ref="H30:H38" si="6">H17-C17</f>
        <v>-9.0676500714320929E-3</v>
      </c>
      <c r="I30" s="16">
        <f t="shared" ref="I30:I38" si="7">I17-D17</f>
        <v>-9.0743320997970361E-3</v>
      </c>
      <c r="K30" s="23" t="s">
        <v>1</v>
      </c>
      <c r="L30" s="24">
        <f>D17</f>
        <v>0.11498115912511697</v>
      </c>
      <c r="M30" s="24">
        <f t="shared" ref="M30:M38" si="8">I17</f>
        <v>0.10590682702531994</v>
      </c>
      <c r="N30" s="24">
        <f>M30-L30</f>
        <v>-9.0743320997970361E-3</v>
      </c>
    </row>
    <row r="31" spans="1:14" x14ac:dyDescent="0.25">
      <c r="F31" s="9" t="s">
        <v>2</v>
      </c>
      <c r="G31" s="16">
        <f t="shared" si="5"/>
        <v>3.9465919083975448E-3</v>
      </c>
      <c r="H31" s="16">
        <f t="shared" si="6"/>
        <v>-2.2840430030264536E-3</v>
      </c>
      <c r="I31" s="16">
        <f t="shared" si="7"/>
        <v>1.6625489053710973E-3</v>
      </c>
      <c r="K31" s="30" t="s">
        <v>2</v>
      </c>
      <c r="L31" s="31">
        <f t="shared" ref="L31:L38" si="9">D18</f>
        <v>0.1725377101177005</v>
      </c>
      <c r="M31" s="31">
        <f t="shared" si="8"/>
        <v>0.1742002590230716</v>
      </c>
      <c r="N31" s="31">
        <f t="shared" ref="N31:N38" si="10">M31-L31</f>
        <v>1.6625489053710973E-3</v>
      </c>
    </row>
    <row r="32" spans="1:14" x14ac:dyDescent="0.25">
      <c r="F32" s="9" t="s">
        <v>3</v>
      </c>
      <c r="G32" s="16">
        <f t="shared" si="5"/>
        <v>3.7894843094424921E-3</v>
      </c>
      <c r="H32" s="16">
        <f t="shared" si="6"/>
        <v>-5.6872299159516082E-6</v>
      </c>
      <c r="I32" s="16">
        <f t="shared" si="7"/>
        <v>3.7837970795265852E-3</v>
      </c>
      <c r="K32" s="23" t="s">
        <v>3</v>
      </c>
      <c r="L32" s="24">
        <f t="shared" si="9"/>
        <v>0.29078975649102246</v>
      </c>
      <c r="M32" s="24">
        <f t="shared" si="8"/>
        <v>0.29457355357054904</v>
      </c>
      <c r="N32" s="24">
        <f t="shared" si="10"/>
        <v>3.7837970795265852E-3</v>
      </c>
    </row>
    <row r="33" spans="6:14" x14ac:dyDescent="0.25">
      <c r="F33" s="9" t="s">
        <v>4</v>
      </c>
      <c r="G33" s="16">
        <f t="shared" si="5"/>
        <v>-1.8620071831650286E-5</v>
      </c>
      <c r="H33" s="16">
        <f t="shared" si="6"/>
        <v>-7.3450502867288712E-3</v>
      </c>
      <c r="I33" s="16">
        <f t="shared" si="7"/>
        <v>-7.3636703585605208E-3</v>
      </c>
      <c r="K33" s="30" t="s">
        <v>4</v>
      </c>
      <c r="L33" s="31">
        <f t="shared" si="9"/>
        <v>7.3636703585605208E-3</v>
      </c>
      <c r="M33" s="31">
        <f t="shared" si="8"/>
        <v>0</v>
      </c>
      <c r="N33" s="31">
        <f t="shared" si="10"/>
        <v>-7.3636703585605208E-3</v>
      </c>
    </row>
    <row r="34" spans="6:14" x14ac:dyDescent="0.25">
      <c r="F34" s="9" t="s">
        <v>5</v>
      </c>
      <c r="G34" s="16">
        <f t="shared" si="5"/>
        <v>-7.1514726006827508E-3</v>
      </c>
      <c r="H34" s="16">
        <f t="shared" si="6"/>
        <v>-1.0541352185945783E-2</v>
      </c>
      <c r="I34" s="16">
        <f t="shared" si="7"/>
        <v>-1.7692824786628536E-2</v>
      </c>
      <c r="K34" s="23" t="s">
        <v>5</v>
      </c>
      <c r="L34" s="24">
        <f t="shared" si="9"/>
        <v>6.3202946678134378E-2</v>
      </c>
      <c r="M34" s="24">
        <f t="shared" si="8"/>
        <v>4.5510121891505842E-2</v>
      </c>
      <c r="N34" s="24">
        <f t="shared" si="10"/>
        <v>-1.7692824786628536E-2</v>
      </c>
    </row>
    <row r="35" spans="6:14" x14ac:dyDescent="0.25">
      <c r="F35" s="9" t="s">
        <v>6</v>
      </c>
      <c r="G35" s="16">
        <f t="shared" si="5"/>
        <v>8.7287194402598011E-4</v>
      </c>
      <c r="H35" s="16">
        <f t="shared" si="6"/>
        <v>4.02380416551976E-4</v>
      </c>
      <c r="I35" s="16">
        <f t="shared" si="7"/>
        <v>1.2752523605779591E-3</v>
      </c>
      <c r="K35" s="30" t="s">
        <v>6</v>
      </c>
      <c r="L35" s="31">
        <f t="shared" si="9"/>
        <v>1.230897214926289E-2</v>
      </c>
      <c r="M35" s="31">
        <f t="shared" si="8"/>
        <v>1.3584224509840849E-2</v>
      </c>
      <c r="N35" s="31">
        <f t="shared" si="10"/>
        <v>1.2752523605779591E-3</v>
      </c>
    </row>
    <row r="36" spans="6:14" x14ac:dyDescent="0.25">
      <c r="F36" s="9" t="s">
        <v>7</v>
      </c>
      <c r="G36" s="16">
        <f t="shared" si="5"/>
        <v>-1.0747291213834068E-2</v>
      </c>
      <c r="H36" s="16">
        <f t="shared" si="6"/>
        <v>-1.9436624676444775E-3</v>
      </c>
      <c r="I36" s="16">
        <f t="shared" si="7"/>
        <v>-1.2690953681478559E-2</v>
      </c>
      <c r="K36" s="23" t="s">
        <v>7</v>
      </c>
      <c r="L36" s="24">
        <f t="shared" si="9"/>
        <v>7.3484595737090291E-2</v>
      </c>
      <c r="M36" s="24">
        <f t="shared" si="8"/>
        <v>6.0793642055611732E-2</v>
      </c>
      <c r="N36" s="24">
        <f t="shared" si="10"/>
        <v>-1.2690953681478559E-2</v>
      </c>
    </row>
    <row r="37" spans="6:14" x14ac:dyDescent="0.25">
      <c r="F37" s="14" t="s">
        <v>8</v>
      </c>
      <c r="G37" s="17">
        <f t="shared" si="5"/>
        <v>7.7269281186380153E-3</v>
      </c>
      <c r="H37" s="17">
        <f t="shared" si="6"/>
        <v>3.237325446235112E-2</v>
      </c>
      <c r="I37" s="17">
        <f t="shared" si="7"/>
        <v>4.010018258098913E-2</v>
      </c>
      <c r="K37" s="32" t="s">
        <v>8</v>
      </c>
      <c r="L37" s="33">
        <f t="shared" si="9"/>
        <v>0.2653311893431119</v>
      </c>
      <c r="M37" s="33">
        <f t="shared" si="8"/>
        <v>0.30543137192410102</v>
      </c>
      <c r="N37" s="33">
        <f t="shared" si="10"/>
        <v>4.010018258098913E-2</v>
      </c>
    </row>
    <row r="38" spans="6:14" ht="15.75" thickBot="1" x14ac:dyDescent="0.3">
      <c r="F38" s="13" t="s">
        <v>19</v>
      </c>
      <c r="G38" s="18">
        <f t="shared" si="5"/>
        <v>-1.5881896342093832E-3</v>
      </c>
      <c r="H38" s="18">
        <f t="shared" si="6"/>
        <v>1.5881896342093693E-3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0</v>
      </c>
      <c r="C4" s="9">
        <v>19748.008397216199</v>
      </c>
      <c r="D4" s="9">
        <f>SUM(B4:C4)</f>
        <v>19748.008397216199</v>
      </c>
      <c r="F4" s="9" t="s">
        <v>1</v>
      </c>
      <c r="G4" s="9">
        <v>0</v>
      </c>
      <c r="H4" s="9">
        <v>181</v>
      </c>
      <c r="I4" s="9">
        <f>SUM(G4:H4)</f>
        <v>181</v>
      </c>
    </row>
    <row r="5" spans="1:9" x14ac:dyDescent="0.25">
      <c r="A5" s="9" t="s">
        <v>2</v>
      </c>
      <c r="B5" s="9">
        <v>902.86862261299996</v>
      </c>
      <c r="C5" s="9">
        <v>289271.99474909413</v>
      </c>
      <c r="D5" s="9">
        <f t="shared" ref="D5:D12" si="0">SUM(B5:C5)</f>
        <v>290174.86337170715</v>
      </c>
      <c r="F5" s="9" t="s">
        <v>2</v>
      </c>
      <c r="G5" s="9">
        <v>12284</v>
      </c>
      <c r="H5" s="9">
        <v>361196</v>
      </c>
      <c r="I5" s="9">
        <f t="shared" ref="I5:I12" si="1">SUM(G5:H5)</f>
        <v>373480</v>
      </c>
    </row>
    <row r="6" spans="1:9" x14ac:dyDescent="0.25">
      <c r="A6" s="9" t="s">
        <v>3</v>
      </c>
      <c r="B6" s="9">
        <v>624.485452184</v>
      </c>
      <c r="C6" s="9">
        <v>297482.66916705569</v>
      </c>
      <c r="D6" s="9">
        <f t="shared" si="0"/>
        <v>298107.15461923968</v>
      </c>
      <c r="F6" s="9" t="s">
        <v>3</v>
      </c>
      <c r="G6" s="9">
        <v>8771</v>
      </c>
      <c r="H6" s="9">
        <v>297928</v>
      </c>
      <c r="I6" s="9">
        <f t="shared" si="1"/>
        <v>306699</v>
      </c>
    </row>
    <row r="7" spans="1:9" x14ac:dyDescent="0.25">
      <c r="A7" s="9" t="s">
        <v>4</v>
      </c>
      <c r="B7" s="9">
        <v>0</v>
      </c>
      <c r="C7" s="9">
        <v>186.53392827799999</v>
      </c>
      <c r="D7" s="9">
        <f t="shared" si="0"/>
        <v>186.53392827799999</v>
      </c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102.3610283245</v>
      </c>
      <c r="C8" s="9">
        <v>2640.7405181216</v>
      </c>
      <c r="D8" s="9">
        <f t="shared" si="0"/>
        <v>2743.1015464460997</v>
      </c>
      <c r="F8" s="9" t="s">
        <v>5</v>
      </c>
      <c r="G8" s="9">
        <v>0</v>
      </c>
      <c r="H8" s="9">
        <v>0</v>
      </c>
      <c r="I8" s="9">
        <f t="shared" si="1"/>
        <v>0</v>
      </c>
    </row>
    <row r="9" spans="1:9" x14ac:dyDescent="0.25">
      <c r="A9" s="9" t="s">
        <v>6</v>
      </c>
      <c r="B9" s="9">
        <v>0</v>
      </c>
      <c r="C9" s="9">
        <v>2729.0206641394002</v>
      </c>
      <c r="D9" s="9">
        <f t="shared" si="0"/>
        <v>2729.0206641394002</v>
      </c>
      <c r="F9" s="9" t="s">
        <v>6</v>
      </c>
      <c r="G9" s="9">
        <v>728</v>
      </c>
      <c r="H9" s="9">
        <v>2267</v>
      </c>
      <c r="I9" s="9">
        <f t="shared" si="1"/>
        <v>2995</v>
      </c>
    </row>
    <row r="10" spans="1:9" x14ac:dyDescent="0.25">
      <c r="A10" s="9" t="s">
        <v>7</v>
      </c>
      <c r="B10" s="9">
        <v>265.0081224095</v>
      </c>
      <c r="C10" s="9">
        <v>33956.894053435099</v>
      </c>
      <c r="D10" s="9">
        <f t="shared" si="0"/>
        <v>34221.902175844596</v>
      </c>
      <c r="F10" s="9" t="s">
        <v>7</v>
      </c>
      <c r="G10" s="9">
        <v>20</v>
      </c>
      <c r="H10" s="9">
        <v>8</v>
      </c>
      <c r="I10" s="9">
        <f t="shared" si="1"/>
        <v>28</v>
      </c>
    </row>
    <row r="11" spans="1:9" x14ac:dyDescent="0.25">
      <c r="A11" s="14" t="s">
        <v>8</v>
      </c>
      <c r="B11" s="14">
        <v>0</v>
      </c>
      <c r="C11" s="14">
        <v>659.63149999999996</v>
      </c>
      <c r="D11" s="14">
        <f t="shared" si="0"/>
        <v>659.63149999999996</v>
      </c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1894.723225531</v>
      </c>
      <c r="C12" s="10">
        <f>SUM(C4:C11)</f>
        <v>646675.49297734024</v>
      </c>
      <c r="D12" s="10">
        <f t="shared" si="0"/>
        <v>648570.21620287129</v>
      </c>
      <c r="F12" s="13" t="s">
        <v>19</v>
      </c>
      <c r="G12" s="10">
        <f>SUM(G4:G11)</f>
        <v>21803</v>
      </c>
      <c r="H12" s="10">
        <f>SUM(H4:H11)</f>
        <v>661580</v>
      </c>
      <c r="I12" s="10">
        <f t="shared" si="1"/>
        <v>683383</v>
      </c>
    </row>
    <row r="15" spans="1:9" ht="15.75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3.0448528014180451E-2</v>
      </c>
      <c r="D17" s="16">
        <f t="shared" si="2"/>
        <v>3.0448528014180451E-2</v>
      </c>
      <c r="F17" s="9" t="s">
        <v>1</v>
      </c>
      <c r="G17" s="16">
        <f t="shared" ref="G17:I25" si="3">G4/$I$12</f>
        <v>0</v>
      </c>
      <c r="H17" s="16">
        <f t="shared" si="3"/>
        <v>2.6485879806784773E-4</v>
      </c>
      <c r="I17" s="16">
        <f t="shared" si="3"/>
        <v>2.6485879806784773E-4</v>
      </c>
    </row>
    <row r="18" spans="1:14" x14ac:dyDescent="0.25">
      <c r="A18" s="9" t="s">
        <v>2</v>
      </c>
      <c r="B18" s="16">
        <f t="shared" ref="B18:D25" si="4">B5/$D$12</f>
        <v>1.3920907868679938E-3</v>
      </c>
      <c r="C18" s="16">
        <f t="shared" si="4"/>
        <v>0.44601492255174807</v>
      </c>
      <c r="D18" s="16">
        <f t="shared" si="4"/>
        <v>0.4474070133386161</v>
      </c>
      <c r="F18" s="9" t="s">
        <v>2</v>
      </c>
      <c r="G18" s="16">
        <f t="shared" si="3"/>
        <v>1.7975278869974815E-2</v>
      </c>
      <c r="H18" s="16">
        <f t="shared" si="3"/>
        <v>0.52854109628129464</v>
      </c>
      <c r="I18" s="16">
        <f t="shared" si="3"/>
        <v>0.5465163751512695</v>
      </c>
    </row>
    <row r="19" spans="1:14" x14ac:dyDescent="0.25">
      <c r="A19" s="9" t="s">
        <v>3</v>
      </c>
      <c r="B19" s="16">
        <f t="shared" si="4"/>
        <v>9.6286483187606382E-4</v>
      </c>
      <c r="C19" s="16">
        <f t="shared" si="4"/>
        <v>0.4586745763761742</v>
      </c>
      <c r="D19" s="16">
        <f t="shared" si="4"/>
        <v>0.45963744120805022</v>
      </c>
      <c r="F19" s="9" t="s">
        <v>3</v>
      </c>
      <c r="G19" s="16">
        <f t="shared" si="3"/>
        <v>1.2834676894215982E-2</v>
      </c>
      <c r="H19" s="16">
        <f t="shared" si="3"/>
        <v>0.43596050823623061</v>
      </c>
      <c r="I19" s="16">
        <f t="shared" si="3"/>
        <v>0.44879518513044664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2.8760791602501311E-4</v>
      </c>
      <c r="D20" s="16">
        <f t="shared" si="4"/>
        <v>2.8760791602501311E-4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1.5782566909067206E-4</v>
      </c>
      <c r="C21" s="16">
        <f t="shared" si="4"/>
        <v>4.0716339605943027E-3</v>
      </c>
      <c r="D21" s="16">
        <f t="shared" si="4"/>
        <v>4.229459629684974E-3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4.2077489776153531E-3</v>
      </c>
      <c r="D22" s="16">
        <f t="shared" si="4"/>
        <v>4.2077489776153531E-3</v>
      </c>
      <c r="F22" s="9" t="s">
        <v>6</v>
      </c>
      <c r="G22" s="16">
        <f t="shared" si="3"/>
        <v>1.0652884253778629E-3</v>
      </c>
      <c r="H22" s="16">
        <f t="shared" si="3"/>
        <v>3.3173198630928775E-3</v>
      </c>
      <c r="I22" s="16">
        <f t="shared" si="3"/>
        <v>4.38260828847074E-3</v>
      </c>
    </row>
    <row r="23" spans="1:14" x14ac:dyDescent="0.25">
      <c r="A23" s="9" t="s">
        <v>7</v>
      </c>
      <c r="B23" s="16">
        <f t="shared" si="4"/>
        <v>4.0860359570783322E-4</v>
      </c>
      <c r="C23" s="16">
        <f t="shared" si="4"/>
        <v>5.2356542445380287E-2</v>
      </c>
      <c r="D23" s="16">
        <f t="shared" si="4"/>
        <v>5.2765146041088111E-2</v>
      </c>
      <c r="F23" s="9" t="s">
        <v>7</v>
      </c>
      <c r="G23" s="16">
        <f t="shared" si="3"/>
        <v>2.9266165532358868E-5</v>
      </c>
      <c r="H23" s="16">
        <f t="shared" si="3"/>
        <v>1.1706466212943547E-5</v>
      </c>
      <c r="I23" s="16">
        <f t="shared" si="3"/>
        <v>4.0972631745302413E-5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1.0170548747395281E-3</v>
      </c>
      <c r="D24" s="17">
        <f t="shared" si="4"/>
        <v>1.0170548747395281E-3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2.9213848835425629E-3</v>
      </c>
      <c r="C25" s="18">
        <f t="shared" si="4"/>
        <v>0.99707861511645735</v>
      </c>
      <c r="D25" s="18">
        <f t="shared" si="4"/>
        <v>1</v>
      </c>
      <c r="F25" s="13" t="s">
        <v>19</v>
      </c>
      <c r="G25" s="18">
        <f t="shared" si="3"/>
        <v>3.1904510355101022E-2</v>
      </c>
      <c r="H25" s="18">
        <f t="shared" si="3"/>
        <v>0.968095489644899</v>
      </c>
      <c r="I25" s="18">
        <f t="shared" si="3"/>
        <v>1</v>
      </c>
    </row>
    <row r="28" spans="1:14" ht="15.75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-3.0183669216112603E-2</v>
      </c>
      <c r="I30" s="16">
        <f t="shared" ref="I30:I38" si="7">I17-D17</f>
        <v>-3.0183669216112603E-2</v>
      </c>
      <c r="K30" s="23" t="s">
        <v>1</v>
      </c>
      <c r="L30" s="24">
        <f>D17</f>
        <v>3.0448528014180451E-2</v>
      </c>
      <c r="M30" s="24">
        <f t="shared" ref="M30:M38" si="8">I17</f>
        <v>2.6485879806784773E-4</v>
      </c>
      <c r="N30" s="24">
        <f>M30-L30</f>
        <v>-3.0183669216112603E-2</v>
      </c>
    </row>
    <row r="31" spans="1:14" x14ac:dyDescent="0.25">
      <c r="F31" s="9" t="s">
        <v>2</v>
      </c>
      <c r="G31" s="16">
        <f t="shared" si="5"/>
        <v>1.6583188083106822E-2</v>
      </c>
      <c r="H31" s="16">
        <f t="shared" si="6"/>
        <v>8.252617372954657E-2</v>
      </c>
      <c r="I31" s="16">
        <f t="shared" si="7"/>
        <v>9.9109361812653396E-2</v>
      </c>
      <c r="K31" s="30" t="s">
        <v>2</v>
      </c>
      <c r="L31" s="31">
        <f t="shared" ref="L31:L38" si="9">D18</f>
        <v>0.4474070133386161</v>
      </c>
      <c r="M31" s="31">
        <f t="shared" si="8"/>
        <v>0.5465163751512695</v>
      </c>
      <c r="N31" s="31">
        <f t="shared" ref="N31:N38" si="10">M31-L31</f>
        <v>9.9109361812653396E-2</v>
      </c>
    </row>
    <row r="32" spans="1:14" x14ac:dyDescent="0.25">
      <c r="F32" s="9" t="s">
        <v>3</v>
      </c>
      <c r="G32" s="16">
        <f t="shared" si="5"/>
        <v>1.1871812062339919E-2</v>
      </c>
      <c r="H32" s="16">
        <f t="shared" si="6"/>
        <v>-2.2714068139943588E-2</v>
      </c>
      <c r="I32" s="16">
        <f t="shared" si="7"/>
        <v>-1.0842256077603585E-2</v>
      </c>
      <c r="K32" s="23" t="s">
        <v>3</v>
      </c>
      <c r="L32" s="24">
        <f t="shared" si="9"/>
        <v>0.45963744120805022</v>
      </c>
      <c r="M32" s="24">
        <f t="shared" si="8"/>
        <v>0.44879518513044664</v>
      </c>
      <c r="N32" s="24">
        <f t="shared" si="10"/>
        <v>-1.0842256077603585E-2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-2.8760791602501311E-4</v>
      </c>
      <c r="I33" s="16">
        <f t="shared" si="7"/>
        <v>-2.8760791602501311E-4</v>
      </c>
      <c r="K33" s="30" t="s">
        <v>4</v>
      </c>
      <c r="L33" s="31">
        <f t="shared" si="9"/>
        <v>2.8760791602501311E-4</v>
      </c>
      <c r="M33" s="31">
        <f t="shared" si="8"/>
        <v>0</v>
      </c>
      <c r="N33" s="31">
        <f t="shared" si="10"/>
        <v>-2.8760791602501311E-4</v>
      </c>
    </row>
    <row r="34" spans="6:14" x14ac:dyDescent="0.25">
      <c r="F34" s="9" t="s">
        <v>5</v>
      </c>
      <c r="G34" s="16">
        <f t="shared" si="5"/>
        <v>-1.5782566909067206E-4</v>
      </c>
      <c r="H34" s="16">
        <f t="shared" si="6"/>
        <v>-4.0716339605943027E-3</v>
      </c>
      <c r="I34" s="16">
        <f t="shared" si="7"/>
        <v>-4.229459629684974E-3</v>
      </c>
      <c r="K34" s="23" t="s">
        <v>5</v>
      </c>
      <c r="L34" s="24">
        <f t="shared" si="9"/>
        <v>4.229459629684974E-3</v>
      </c>
      <c r="M34" s="24">
        <f t="shared" si="8"/>
        <v>0</v>
      </c>
      <c r="N34" s="24">
        <f t="shared" si="10"/>
        <v>-4.229459629684974E-3</v>
      </c>
    </row>
    <row r="35" spans="6:14" x14ac:dyDescent="0.25">
      <c r="F35" s="9" t="s">
        <v>6</v>
      </c>
      <c r="G35" s="16">
        <f t="shared" si="5"/>
        <v>1.0652884253778629E-3</v>
      </c>
      <c r="H35" s="16">
        <f t="shared" si="6"/>
        <v>-8.9042911452247558E-4</v>
      </c>
      <c r="I35" s="16">
        <f t="shared" si="7"/>
        <v>1.7485931085538687E-4</v>
      </c>
      <c r="K35" s="30" t="s">
        <v>6</v>
      </c>
      <c r="L35" s="31">
        <f t="shared" si="9"/>
        <v>4.2077489776153531E-3</v>
      </c>
      <c r="M35" s="31">
        <f t="shared" si="8"/>
        <v>4.38260828847074E-3</v>
      </c>
      <c r="N35" s="31">
        <f t="shared" si="10"/>
        <v>1.7485931085538687E-4</v>
      </c>
    </row>
    <row r="36" spans="6:14" x14ac:dyDescent="0.25">
      <c r="F36" s="9" t="s">
        <v>7</v>
      </c>
      <c r="G36" s="16">
        <f t="shared" si="5"/>
        <v>-3.7933743017547433E-4</v>
      </c>
      <c r="H36" s="16">
        <f t="shared" si="6"/>
        <v>-5.2344835979167344E-2</v>
      </c>
      <c r="I36" s="16">
        <f t="shared" si="7"/>
        <v>-5.2724173409342809E-2</v>
      </c>
      <c r="K36" s="23" t="s">
        <v>7</v>
      </c>
      <c r="L36" s="24">
        <f t="shared" si="9"/>
        <v>5.2765146041088111E-2</v>
      </c>
      <c r="M36" s="24">
        <f t="shared" si="8"/>
        <v>4.0972631745302413E-5</v>
      </c>
      <c r="N36" s="24">
        <f t="shared" si="10"/>
        <v>-5.2724173409342809E-2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-1.0170548747395281E-3</v>
      </c>
      <c r="I37" s="17">
        <f t="shared" si="7"/>
        <v>-1.0170548747395281E-3</v>
      </c>
      <c r="K37" s="32" t="s">
        <v>8</v>
      </c>
      <c r="L37" s="33">
        <f t="shared" si="9"/>
        <v>1.0170548747395281E-3</v>
      </c>
      <c r="M37" s="33">
        <f t="shared" si="8"/>
        <v>0</v>
      </c>
      <c r="N37" s="33">
        <f t="shared" si="10"/>
        <v>-1.0170548747395281E-3</v>
      </c>
    </row>
    <row r="38" spans="6:14" ht="15.75" thickBot="1" x14ac:dyDescent="0.3">
      <c r="F38" s="13" t="s">
        <v>19</v>
      </c>
      <c r="G38" s="18">
        <f t="shared" si="5"/>
        <v>2.8983125471558457E-2</v>
      </c>
      <c r="H38" s="18">
        <f t="shared" si="6"/>
        <v>-2.8983125471558346E-2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1544.1987679379999</v>
      </c>
      <c r="C4" s="9">
        <v>267399.96767193789</v>
      </c>
      <c r="D4" s="9">
        <f>SUM(B4:C4)</f>
        <v>268944.1664398759</v>
      </c>
      <c r="E4" s="9"/>
      <c r="F4" s="9" t="s">
        <v>1</v>
      </c>
      <c r="G4" s="9">
        <v>0</v>
      </c>
      <c r="H4" s="9">
        <v>242816</v>
      </c>
      <c r="I4" s="9">
        <f>SUM(G4:H4)</f>
        <v>242816</v>
      </c>
    </row>
    <row r="5" spans="1:9" x14ac:dyDescent="0.25">
      <c r="A5" s="9" t="s">
        <v>2</v>
      </c>
      <c r="B5" s="9">
        <v>3142.1048878060001</v>
      </c>
      <c r="C5" s="9">
        <v>170647.98475347579</v>
      </c>
      <c r="D5" s="9">
        <f t="shared" ref="D5:D12" si="0">SUM(B5:C5)</f>
        <v>173790.08964128178</v>
      </c>
      <c r="E5" s="9"/>
      <c r="F5" s="9" t="s">
        <v>2</v>
      </c>
      <c r="G5" s="9">
        <v>14681</v>
      </c>
      <c r="H5" s="9">
        <v>195999</v>
      </c>
      <c r="I5" s="9">
        <f t="shared" ref="I5:I12" si="1">SUM(G5:H5)</f>
        <v>210680</v>
      </c>
    </row>
    <row r="6" spans="1:9" x14ac:dyDescent="0.25">
      <c r="A6" s="9" t="s">
        <v>3</v>
      </c>
      <c r="B6" s="9">
        <v>1184.4207664</v>
      </c>
      <c r="C6" s="9">
        <v>151482.947816031</v>
      </c>
      <c r="D6" s="9">
        <f t="shared" si="0"/>
        <v>152667.36858243099</v>
      </c>
      <c r="E6" s="9"/>
      <c r="F6" s="9" t="s">
        <v>3</v>
      </c>
      <c r="G6" s="9">
        <v>8343</v>
      </c>
      <c r="H6" s="9">
        <v>190330</v>
      </c>
      <c r="I6" s="9">
        <f t="shared" si="1"/>
        <v>198673</v>
      </c>
    </row>
    <row r="7" spans="1:9" x14ac:dyDescent="0.25">
      <c r="A7" s="9" t="s">
        <v>4</v>
      </c>
      <c r="B7" s="9">
        <v>0</v>
      </c>
      <c r="C7" s="9">
        <v>1584.9143703309999</v>
      </c>
      <c r="D7" s="9">
        <f t="shared" si="0"/>
        <v>1584.9143703309999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21327.6288165966</v>
      </c>
      <c r="C8" s="9">
        <v>16148.8638673532</v>
      </c>
      <c r="D8" s="9">
        <f t="shared" si="0"/>
        <v>37476.4926839498</v>
      </c>
      <c r="E8" s="9"/>
      <c r="F8" s="9" t="s">
        <v>5</v>
      </c>
      <c r="G8" s="9">
        <v>7460</v>
      </c>
      <c r="H8" s="9">
        <v>4970</v>
      </c>
      <c r="I8" s="9">
        <f t="shared" si="1"/>
        <v>12430</v>
      </c>
    </row>
    <row r="9" spans="1:9" x14ac:dyDescent="0.25">
      <c r="A9" s="9" t="s">
        <v>6</v>
      </c>
      <c r="B9" s="9">
        <v>1918.0589257462</v>
      </c>
      <c r="C9" s="9">
        <v>4369.2265788014001</v>
      </c>
      <c r="D9" s="9">
        <f t="shared" si="0"/>
        <v>6287.2855045475999</v>
      </c>
      <c r="E9" s="9"/>
      <c r="F9" s="9" t="s">
        <v>6</v>
      </c>
      <c r="G9" s="9">
        <v>4249</v>
      </c>
      <c r="H9" s="9">
        <v>10129</v>
      </c>
      <c r="I9" s="9">
        <f t="shared" si="1"/>
        <v>14378</v>
      </c>
    </row>
    <row r="10" spans="1:9" x14ac:dyDescent="0.25">
      <c r="A10" s="9" t="s">
        <v>7</v>
      </c>
      <c r="B10" s="9">
        <v>12439.288815492901</v>
      </c>
      <c r="C10" s="9">
        <v>57707.610610026</v>
      </c>
      <c r="D10" s="9">
        <f t="shared" si="0"/>
        <v>70146.899425518903</v>
      </c>
      <c r="E10" s="9"/>
      <c r="F10" s="9" t="s">
        <v>7</v>
      </c>
      <c r="G10" s="9">
        <v>12303</v>
      </c>
      <c r="H10" s="9">
        <v>33035</v>
      </c>
      <c r="I10" s="9">
        <f t="shared" si="1"/>
        <v>45338</v>
      </c>
    </row>
    <row r="11" spans="1:9" x14ac:dyDescent="0.25">
      <c r="A11" s="14" t="s">
        <v>8</v>
      </c>
      <c r="B11" s="14">
        <v>0</v>
      </c>
      <c r="C11" s="14">
        <v>2859.9392499999999</v>
      </c>
      <c r="D11" s="14">
        <f t="shared" si="0"/>
        <v>2859.9392499999999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41555.700979979702</v>
      </c>
      <c r="C12" s="10">
        <f>SUM(C4:C11)</f>
        <v>672201.45491795626</v>
      </c>
      <c r="D12" s="10">
        <f t="shared" si="0"/>
        <v>713757.15589793597</v>
      </c>
      <c r="F12" s="13" t="s">
        <v>19</v>
      </c>
      <c r="G12" s="10">
        <f>SUM(G4:G11)</f>
        <v>47036</v>
      </c>
      <c r="H12" s="10">
        <f>SUM(H4:H11)</f>
        <v>677279</v>
      </c>
      <c r="I12" s="10">
        <f t="shared" si="1"/>
        <v>724315</v>
      </c>
    </row>
    <row r="15" spans="1:9" ht="15.75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2.1634792102298915E-3</v>
      </c>
      <c r="C17" s="16">
        <f t="shared" ref="C17:D17" si="2">C4/$D$12</f>
        <v>0.37463717941368685</v>
      </c>
      <c r="D17" s="16">
        <f t="shared" si="2"/>
        <v>0.37680065862391676</v>
      </c>
      <c r="F17" s="9" t="s">
        <v>1</v>
      </c>
      <c r="G17" s="16">
        <f t="shared" ref="G17:I25" si="3">G4/$I$12</f>
        <v>0</v>
      </c>
      <c r="H17" s="16">
        <f t="shared" si="3"/>
        <v>0.33523536030594425</v>
      </c>
      <c r="I17" s="16">
        <f t="shared" si="3"/>
        <v>0.33523536030594425</v>
      </c>
    </row>
    <row r="18" spans="1:14" x14ac:dyDescent="0.25">
      <c r="A18" s="9" t="s">
        <v>2</v>
      </c>
      <c r="B18" s="16">
        <f t="shared" ref="B18:D25" si="4">B5/$D$12</f>
        <v>4.402204393808287E-3</v>
      </c>
      <c r="C18" s="16">
        <f t="shared" si="4"/>
        <v>0.23908409652130713</v>
      </c>
      <c r="D18" s="16">
        <f t="shared" si="4"/>
        <v>0.24348630091511542</v>
      </c>
      <c r="F18" s="9" t="s">
        <v>2</v>
      </c>
      <c r="G18" s="16">
        <f t="shared" si="3"/>
        <v>2.0268805699177845E-2</v>
      </c>
      <c r="H18" s="16">
        <f t="shared" si="3"/>
        <v>0.27059911778715062</v>
      </c>
      <c r="I18" s="16">
        <f t="shared" si="3"/>
        <v>0.29086792348632845</v>
      </c>
    </row>
    <row r="19" spans="1:14" x14ac:dyDescent="0.25">
      <c r="A19" s="9" t="s">
        <v>3</v>
      </c>
      <c r="B19" s="16">
        <f t="shared" si="4"/>
        <v>1.6594170112521672E-3</v>
      </c>
      <c r="C19" s="16">
        <f t="shared" si="4"/>
        <v>0.21223317561763594</v>
      </c>
      <c r="D19" s="16">
        <f t="shared" si="4"/>
        <v>0.2138925926288881</v>
      </c>
      <c r="F19" s="9" t="s">
        <v>3</v>
      </c>
      <c r="G19" s="16">
        <f t="shared" si="3"/>
        <v>1.1518469174323327E-2</v>
      </c>
      <c r="H19" s="16">
        <f t="shared" si="3"/>
        <v>0.26277241255531086</v>
      </c>
      <c r="I19" s="16">
        <f t="shared" si="3"/>
        <v>0.27429088172963423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2.2205232651392646E-3</v>
      </c>
      <c r="D20" s="16">
        <f t="shared" si="4"/>
        <v>2.2205232651392646E-3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2.9880791583470099E-2</v>
      </c>
      <c r="C21" s="16">
        <f t="shared" si="4"/>
        <v>2.262515161341852E-2</v>
      </c>
      <c r="D21" s="16">
        <f t="shared" si="4"/>
        <v>5.2505943196888616E-2</v>
      </c>
      <c r="F21" s="9" t="s">
        <v>5</v>
      </c>
      <c r="G21" s="16">
        <f t="shared" si="3"/>
        <v>1.0299386316726838E-2</v>
      </c>
      <c r="H21" s="16">
        <f t="shared" si="3"/>
        <v>6.8616554951920093E-3</v>
      </c>
      <c r="I21" s="16">
        <f t="shared" si="3"/>
        <v>1.7161041811918847E-2</v>
      </c>
    </row>
    <row r="22" spans="1:14" x14ac:dyDescent="0.25">
      <c r="A22" s="9" t="s">
        <v>6</v>
      </c>
      <c r="B22" s="16">
        <f t="shared" si="4"/>
        <v>2.6872710275432582E-3</v>
      </c>
      <c r="C22" s="16">
        <f t="shared" si="4"/>
        <v>6.1214469693193236E-3</v>
      </c>
      <c r="D22" s="16">
        <f t="shared" si="4"/>
        <v>8.808717996862581E-3</v>
      </c>
      <c r="F22" s="9" t="s">
        <v>6</v>
      </c>
      <c r="G22" s="16">
        <f t="shared" si="3"/>
        <v>5.8662322332134502E-3</v>
      </c>
      <c r="H22" s="16">
        <f t="shared" si="3"/>
        <v>1.3984247185271602E-2</v>
      </c>
      <c r="I22" s="16">
        <f t="shared" si="3"/>
        <v>1.9850479418485053E-2</v>
      </c>
    </row>
    <row r="23" spans="1:14" x14ac:dyDescent="0.25">
      <c r="A23" s="9" t="s">
        <v>7</v>
      </c>
      <c r="B23" s="16">
        <f t="shared" si="4"/>
        <v>1.7427900670002758E-2</v>
      </c>
      <c r="C23" s="16">
        <f t="shared" si="4"/>
        <v>8.0850482735164236E-2</v>
      </c>
      <c r="D23" s="16">
        <f t="shared" si="4"/>
        <v>9.8278383405166994E-2</v>
      </c>
      <c r="F23" s="9" t="s">
        <v>7</v>
      </c>
      <c r="G23" s="16">
        <f t="shared" si="3"/>
        <v>1.6985703733872693E-2</v>
      </c>
      <c r="H23" s="16">
        <f t="shared" si="3"/>
        <v>4.5608609513816505E-2</v>
      </c>
      <c r="I23" s="16">
        <f t="shared" si="3"/>
        <v>6.2594313247689201E-2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4.006879968022287E-3</v>
      </c>
      <c r="D24" s="17">
        <f t="shared" si="4"/>
        <v>4.006879968022287E-3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5.8221063896306463E-2</v>
      </c>
      <c r="C25" s="18">
        <f t="shared" si="4"/>
        <v>0.94177893610369356</v>
      </c>
      <c r="D25" s="18">
        <f t="shared" si="4"/>
        <v>1</v>
      </c>
      <c r="F25" s="13" t="s">
        <v>19</v>
      </c>
      <c r="G25" s="18">
        <f t="shared" si="3"/>
        <v>6.4938597157314149E-2</v>
      </c>
      <c r="H25" s="18">
        <f t="shared" si="3"/>
        <v>0.9350614028426858</v>
      </c>
      <c r="I25" s="18">
        <f t="shared" si="3"/>
        <v>1</v>
      </c>
    </row>
    <row r="28" spans="1:14" ht="15.75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-2.1634792102298915E-3</v>
      </c>
      <c r="H30" s="16">
        <f t="shared" ref="H30:H38" si="6">H17-C17</f>
        <v>-3.9401819107742597E-2</v>
      </c>
      <c r="I30" s="16">
        <f t="shared" ref="I30:I38" si="7">I17-D17</f>
        <v>-4.156529831797251E-2</v>
      </c>
      <c r="K30" s="23" t="s">
        <v>1</v>
      </c>
      <c r="L30" s="24">
        <f>D17</f>
        <v>0.37680065862391676</v>
      </c>
      <c r="M30" s="24">
        <f t="shared" ref="M30:M38" si="8">I17</f>
        <v>0.33523536030594425</v>
      </c>
      <c r="N30" s="24">
        <f>M30-L30</f>
        <v>-4.156529831797251E-2</v>
      </c>
    </row>
    <row r="31" spans="1:14" x14ac:dyDescent="0.25">
      <c r="F31" s="9" t="s">
        <v>2</v>
      </c>
      <c r="G31" s="16">
        <f t="shared" si="5"/>
        <v>1.5866601305369557E-2</v>
      </c>
      <c r="H31" s="16">
        <f t="shared" si="6"/>
        <v>3.151502126584349E-2</v>
      </c>
      <c r="I31" s="16">
        <f t="shared" si="7"/>
        <v>4.7381622571213033E-2</v>
      </c>
      <c r="K31" s="30" t="s">
        <v>2</v>
      </c>
      <c r="L31" s="31">
        <f t="shared" ref="L31:L38" si="9">D18</f>
        <v>0.24348630091511542</v>
      </c>
      <c r="M31" s="31">
        <f t="shared" si="8"/>
        <v>0.29086792348632845</v>
      </c>
      <c r="N31" s="31">
        <f t="shared" ref="N31:N38" si="10">M31-L31</f>
        <v>4.7381622571213033E-2</v>
      </c>
    </row>
    <row r="32" spans="1:14" x14ac:dyDescent="0.25">
      <c r="F32" s="9" t="s">
        <v>3</v>
      </c>
      <c r="G32" s="16">
        <f t="shared" si="5"/>
        <v>9.8590521630711591E-3</v>
      </c>
      <c r="H32" s="16">
        <f t="shared" si="6"/>
        <v>5.0539236937674925E-2</v>
      </c>
      <c r="I32" s="16">
        <f t="shared" si="7"/>
        <v>6.0398289100746128E-2</v>
      </c>
      <c r="K32" s="23" t="s">
        <v>3</v>
      </c>
      <c r="L32" s="24">
        <f t="shared" si="9"/>
        <v>0.2138925926288881</v>
      </c>
      <c r="M32" s="24">
        <f t="shared" si="8"/>
        <v>0.27429088172963423</v>
      </c>
      <c r="N32" s="24">
        <f t="shared" si="10"/>
        <v>6.0398289100746128E-2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-2.2205232651392646E-3</v>
      </c>
      <c r="I33" s="16">
        <f t="shared" si="7"/>
        <v>-2.2205232651392646E-3</v>
      </c>
      <c r="K33" s="30" t="s">
        <v>4</v>
      </c>
      <c r="L33" s="31">
        <f t="shared" si="9"/>
        <v>2.2205232651392646E-3</v>
      </c>
      <c r="M33" s="31">
        <f t="shared" si="8"/>
        <v>0</v>
      </c>
      <c r="N33" s="31">
        <f t="shared" si="10"/>
        <v>-2.2205232651392646E-3</v>
      </c>
    </row>
    <row r="34" spans="6:14" x14ac:dyDescent="0.25">
      <c r="F34" s="9" t="s">
        <v>5</v>
      </c>
      <c r="G34" s="16">
        <f t="shared" si="5"/>
        <v>-1.9581405266743263E-2</v>
      </c>
      <c r="H34" s="16">
        <f t="shared" si="6"/>
        <v>-1.576349611822651E-2</v>
      </c>
      <c r="I34" s="16">
        <f t="shared" si="7"/>
        <v>-3.5344901384969769E-2</v>
      </c>
      <c r="K34" s="23" t="s">
        <v>5</v>
      </c>
      <c r="L34" s="24">
        <f t="shared" si="9"/>
        <v>5.2505943196888616E-2</v>
      </c>
      <c r="M34" s="24">
        <f t="shared" si="8"/>
        <v>1.7161041811918847E-2</v>
      </c>
      <c r="N34" s="24">
        <f t="shared" si="10"/>
        <v>-3.5344901384969769E-2</v>
      </c>
    </row>
    <row r="35" spans="6:14" x14ac:dyDescent="0.25">
      <c r="F35" s="9" t="s">
        <v>6</v>
      </c>
      <c r="G35" s="16">
        <f t="shared" si="5"/>
        <v>3.1789612056701919E-3</v>
      </c>
      <c r="H35" s="16">
        <f t="shared" si="6"/>
        <v>7.8628002159522783E-3</v>
      </c>
      <c r="I35" s="16">
        <f t="shared" si="7"/>
        <v>1.1041761421622472E-2</v>
      </c>
      <c r="K35" s="30" t="s">
        <v>6</v>
      </c>
      <c r="L35" s="31">
        <f t="shared" si="9"/>
        <v>8.808717996862581E-3</v>
      </c>
      <c r="M35" s="31">
        <f t="shared" si="8"/>
        <v>1.9850479418485053E-2</v>
      </c>
      <c r="N35" s="31">
        <f t="shared" si="10"/>
        <v>1.1041761421622472E-2</v>
      </c>
    </row>
    <row r="36" spans="6:14" x14ac:dyDescent="0.25">
      <c r="F36" s="9" t="s">
        <v>7</v>
      </c>
      <c r="G36" s="16">
        <f t="shared" si="5"/>
        <v>-4.4219693613006469E-4</v>
      </c>
      <c r="H36" s="16">
        <f t="shared" si="6"/>
        <v>-3.5241873221347732E-2</v>
      </c>
      <c r="I36" s="16">
        <f t="shared" si="7"/>
        <v>-3.5684070157477793E-2</v>
      </c>
      <c r="K36" s="23" t="s">
        <v>7</v>
      </c>
      <c r="L36" s="24">
        <f t="shared" si="9"/>
        <v>9.8278383405166994E-2</v>
      </c>
      <c r="M36" s="24">
        <f t="shared" si="8"/>
        <v>6.2594313247689201E-2</v>
      </c>
      <c r="N36" s="24">
        <f t="shared" si="10"/>
        <v>-3.5684070157477793E-2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-4.006879968022287E-3</v>
      </c>
      <c r="I37" s="17">
        <f t="shared" si="7"/>
        <v>-4.006879968022287E-3</v>
      </c>
      <c r="K37" s="32" t="s">
        <v>8</v>
      </c>
      <c r="L37" s="33">
        <f t="shared" si="9"/>
        <v>4.006879968022287E-3</v>
      </c>
      <c r="M37" s="33">
        <f t="shared" si="8"/>
        <v>0</v>
      </c>
      <c r="N37" s="33">
        <f t="shared" si="10"/>
        <v>-4.006879968022287E-3</v>
      </c>
    </row>
    <row r="38" spans="6:14" ht="15.75" thickBot="1" x14ac:dyDescent="0.3">
      <c r="F38" s="13" t="s">
        <v>19</v>
      </c>
      <c r="G38" s="18">
        <f t="shared" si="5"/>
        <v>6.7175332610076854E-3</v>
      </c>
      <c r="H38" s="18">
        <f t="shared" si="6"/>
        <v>-6.7175332610077687E-3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2047.0027573749999</v>
      </c>
      <c r="C4" s="9">
        <v>269597.04562864488</v>
      </c>
      <c r="D4" s="9">
        <f>SUM(B4:C4)</f>
        <v>271644.04838601989</v>
      </c>
      <c r="E4" s="9"/>
      <c r="F4" s="9" t="s">
        <v>1</v>
      </c>
      <c r="G4" s="9">
        <v>0</v>
      </c>
      <c r="H4" s="9">
        <v>249623</v>
      </c>
      <c r="I4" s="9">
        <f>SUM(G4:H4)</f>
        <v>249623</v>
      </c>
    </row>
    <row r="5" spans="1:9" x14ac:dyDescent="0.25">
      <c r="A5" s="9" t="s">
        <v>2</v>
      </c>
      <c r="B5" s="9">
        <v>5471.1925544224996</v>
      </c>
      <c r="C5" s="9">
        <v>167832.28705547031</v>
      </c>
      <c r="D5" s="9">
        <f t="shared" ref="D5:D12" si="0">SUM(B5:C5)</f>
        <v>173303.47960989282</v>
      </c>
      <c r="E5" s="9"/>
      <c r="F5" s="9" t="s">
        <v>2</v>
      </c>
      <c r="G5" s="9">
        <v>18545</v>
      </c>
      <c r="H5" s="9">
        <v>178768</v>
      </c>
      <c r="I5" s="9">
        <f t="shared" ref="I5:I12" si="1">SUM(G5:H5)</f>
        <v>197313</v>
      </c>
    </row>
    <row r="6" spans="1:9" x14ac:dyDescent="0.25">
      <c r="A6" s="9" t="s">
        <v>3</v>
      </c>
      <c r="B6" s="9">
        <v>2068.3272362080002</v>
      </c>
      <c r="C6" s="9">
        <v>132195.96841670771</v>
      </c>
      <c r="D6" s="9">
        <f t="shared" si="0"/>
        <v>134264.29565291569</v>
      </c>
      <c r="E6" s="9"/>
      <c r="F6" s="9" t="s">
        <v>3</v>
      </c>
      <c r="G6" s="9">
        <v>10998</v>
      </c>
      <c r="H6" s="9">
        <v>189620</v>
      </c>
      <c r="I6" s="9">
        <f t="shared" si="1"/>
        <v>200618</v>
      </c>
    </row>
    <row r="7" spans="1:9" x14ac:dyDescent="0.25">
      <c r="A7" s="9" t="s">
        <v>4</v>
      </c>
      <c r="B7" s="9">
        <v>24.971250000000001</v>
      </c>
      <c r="C7" s="9">
        <v>381.95556960199997</v>
      </c>
      <c r="D7" s="9">
        <f t="shared" si="0"/>
        <v>406.92681960199997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21884.947940287999</v>
      </c>
      <c r="C8" s="9">
        <v>12665.691935528499</v>
      </c>
      <c r="D8" s="9">
        <f t="shared" si="0"/>
        <v>34550.639875816501</v>
      </c>
      <c r="E8" s="9"/>
      <c r="F8" s="9" t="s">
        <v>5</v>
      </c>
      <c r="G8" s="9">
        <v>4795</v>
      </c>
      <c r="H8" s="9">
        <v>2884</v>
      </c>
      <c r="I8" s="9">
        <f t="shared" si="1"/>
        <v>7679</v>
      </c>
    </row>
    <row r="9" spans="1:9" x14ac:dyDescent="0.25">
      <c r="A9" s="9" t="s">
        <v>6</v>
      </c>
      <c r="B9" s="9">
        <v>1196.8745161055999</v>
      </c>
      <c r="C9" s="9">
        <v>2093.4175745484999</v>
      </c>
      <c r="D9" s="9">
        <f t="shared" si="0"/>
        <v>3290.2920906540999</v>
      </c>
      <c r="E9" s="9"/>
      <c r="F9" s="9" t="s">
        <v>6</v>
      </c>
      <c r="G9" s="9">
        <v>6125</v>
      </c>
      <c r="H9" s="9">
        <v>11352</v>
      </c>
      <c r="I9" s="9">
        <f t="shared" si="1"/>
        <v>17477</v>
      </c>
    </row>
    <row r="10" spans="1:9" x14ac:dyDescent="0.25">
      <c r="A10" s="9" t="s">
        <v>7</v>
      </c>
      <c r="B10" s="9">
        <v>34536.552486369597</v>
      </c>
      <c r="C10" s="9">
        <v>47184.276945694597</v>
      </c>
      <c r="D10" s="9">
        <f t="shared" si="0"/>
        <v>81720.829432064202</v>
      </c>
      <c r="E10" s="9"/>
      <c r="F10" s="9" t="s">
        <v>7</v>
      </c>
      <c r="G10" s="9">
        <v>17912</v>
      </c>
      <c r="H10" s="9">
        <v>36877</v>
      </c>
      <c r="I10" s="9">
        <f t="shared" si="1"/>
        <v>54789</v>
      </c>
    </row>
    <row r="11" spans="1:9" x14ac:dyDescent="0.25">
      <c r="A11" s="14" t="s">
        <v>8</v>
      </c>
      <c r="B11" s="14">
        <v>0</v>
      </c>
      <c r="C11" s="14">
        <v>0</v>
      </c>
      <c r="D11" s="14">
        <f t="shared" si="0"/>
        <v>0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67229.868740768696</v>
      </c>
      <c r="C12" s="10">
        <f>SUM(C4:C11)</f>
        <v>631950.64312619646</v>
      </c>
      <c r="D12" s="10">
        <f t="shared" si="0"/>
        <v>699180.5118669651</v>
      </c>
      <c r="F12" s="13" t="s">
        <v>19</v>
      </c>
      <c r="G12" s="10">
        <f>SUM(G4:G11)</f>
        <v>58375</v>
      </c>
      <c r="H12" s="10">
        <f>SUM(H4:H11)</f>
        <v>669124</v>
      </c>
      <c r="I12" s="10">
        <f t="shared" si="1"/>
        <v>727499</v>
      </c>
    </row>
    <row r="15" spans="1:9" ht="15.75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2.9277171240214553E-3</v>
      </c>
      <c r="C17" s="16">
        <f t="shared" ref="C17:D17" si="2">C4/$D$12</f>
        <v>0.38559004585062262</v>
      </c>
      <c r="D17" s="16">
        <f t="shared" si="2"/>
        <v>0.38851776297464413</v>
      </c>
      <c r="F17" s="9" t="s">
        <v>1</v>
      </c>
      <c r="G17" s="16">
        <f t="shared" ref="G17:I25" si="3">G4/$I$12</f>
        <v>0</v>
      </c>
      <c r="H17" s="16">
        <f t="shared" si="3"/>
        <v>0.34312487027473576</v>
      </c>
      <c r="I17" s="16">
        <f t="shared" si="3"/>
        <v>0.34312487027473576</v>
      </c>
    </row>
    <row r="18" spans="1:14" x14ac:dyDescent="0.25">
      <c r="A18" s="9" t="s">
        <v>2</v>
      </c>
      <c r="B18" s="16">
        <f t="shared" ref="B18:D25" si="4">B5/$D$12</f>
        <v>7.8251502459832836E-3</v>
      </c>
      <c r="C18" s="16">
        <f t="shared" si="4"/>
        <v>0.2400414259363742</v>
      </c>
      <c r="D18" s="16">
        <f t="shared" si="4"/>
        <v>0.2478665761823575</v>
      </c>
      <c r="F18" s="9" t="s">
        <v>2</v>
      </c>
      <c r="G18" s="16">
        <f t="shared" si="3"/>
        <v>2.5491443974493436E-2</v>
      </c>
      <c r="H18" s="16">
        <f t="shared" si="3"/>
        <v>0.24572954739456687</v>
      </c>
      <c r="I18" s="16">
        <f t="shared" si="3"/>
        <v>0.2712209913690603</v>
      </c>
    </row>
    <row r="19" spans="1:14" x14ac:dyDescent="0.25">
      <c r="A19" s="9" t="s">
        <v>3</v>
      </c>
      <c r="B19" s="16">
        <f t="shared" si="4"/>
        <v>2.9582163705980783E-3</v>
      </c>
      <c r="C19" s="16">
        <f t="shared" si="4"/>
        <v>0.18907273039363687</v>
      </c>
      <c r="D19" s="16">
        <f t="shared" si="4"/>
        <v>0.19203094676423491</v>
      </c>
      <c r="F19" s="9" t="s">
        <v>3</v>
      </c>
      <c r="G19" s="16">
        <f t="shared" si="3"/>
        <v>1.5117546553328596E-2</v>
      </c>
      <c r="H19" s="16">
        <f t="shared" si="3"/>
        <v>0.26064640638681291</v>
      </c>
      <c r="I19" s="16">
        <f t="shared" si="3"/>
        <v>0.2757639529401415</v>
      </c>
    </row>
    <row r="20" spans="1:14" x14ac:dyDescent="0.25">
      <c r="A20" s="9" t="s">
        <v>4</v>
      </c>
      <c r="B20" s="16">
        <f t="shared" si="4"/>
        <v>3.5715025771129255E-5</v>
      </c>
      <c r="C20" s="16">
        <f t="shared" si="4"/>
        <v>5.4629035437800595E-4</v>
      </c>
      <c r="D20" s="16">
        <f t="shared" si="4"/>
        <v>5.8200538014913517E-4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3.1300855170934894E-2</v>
      </c>
      <c r="C21" s="16">
        <f t="shared" si="4"/>
        <v>1.8115052866259571E-2</v>
      </c>
      <c r="D21" s="16">
        <f t="shared" si="4"/>
        <v>4.9415908037194464E-2</v>
      </c>
      <c r="F21" s="9" t="s">
        <v>5</v>
      </c>
      <c r="G21" s="16">
        <f t="shared" si="3"/>
        <v>6.5910743519922363E-3</v>
      </c>
      <c r="H21" s="16">
        <f t="shared" si="3"/>
        <v>3.9642666175486148E-3</v>
      </c>
      <c r="I21" s="16">
        <f t="shared" si="3"/>
        <v>1.0555340969540852E-2</v>
      </c>
    </row>
    <row r="22" spans="1:14" x14ac:dyDescent="0.25">
      <c r="A22" s="9" t="s">
        <v>6</v>
      </c>
      <c r="B22" s="16">
        <f t="shared" si="4"/>
        <v>1.7118247659816531E-3</v>
      </c>
      <c r="C22" s="16">
        <f t="shared" si="4"/>
        <v>2.9941017219696476E-3</v>
      </c>
      <c r="D22" s="16">
        <f t="shared" si="4"/>
        <v>4.7059264879513009E-3</v>
      </c>
      <c r="F22" s="9" t="s">
        <v>6</v>
      </c>
      <c r="G22" s="16">
        <f t="shared" si="3"/>
        <v>8.4192555591141704E-3</v>
      </c>
      <c r="H22" s="16">
        <f t="shared" si="3"/>
        <v>1.560414516033699E-2</v>
      </c>
      <c r="I22" s="16">
        <f t="shared" si="3"/>
        <v>2.4023400719451162E-2</v>
      </c>
    </row>
    <row r="23" spans="1:14" x14ac:dyDescent="0.25">
      <c r="A23" s="9" t="s">
        <v>7</v>
      </c>
      <c r="B23" s="16">
        <f t="shared" si="4"/>
        <v>4.9395759607414456E-2</v>
      </c>
      <c r="C23" s="16">
        <f t="shared" si="4"/>
        <v>6.7485114566054258E-2</v>
      </c>
      <c r="D23" s="16">
        <f t="shared" si="4"/>
        <v>0.11688087417346872</v>
      </c>
      <c r="F23" s="9" t="s">
        <v>7</v>
      </c>
      <c r="G23" s="16">
        <f t="shared" si="3"/>
        <v>2.4621339685690288E-2</v>
      </c>
      <c r="H23" s="16">
        <f t="shared" si="3"/>
        <v>5.0690104041380128E-2</v>
      </c>
      <c r="I23" s="16">
        <f t="shared" si="3"/>
        <v>7.531144372707041E-2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9.6155238310704938E-2</v>
      </c>
      <c r="C25" s="18">
        <f t="shared" si="4"/>
        <v>0.90384476168929517</v>
      </c>
      <c r="D25" s="18">
        <f t="shared" si="4"/>
        <v>1</v>
      </c>
      <c r="F25" s="13" t="s">
        <v>19</v>
      </c>
      <c r="G25" s="18">
        <f t="shared" si="3"/>
        <v>8.0240660124618723E-2</v>
      </c>
      <c r="H25" s="18">
        <f t="shared" si="3"/>
        <v>0.91975933987538128</v>
      </c>
      <c r="I25" s="18">
        <f t="shared" si="3"/>
        <v>1</v>
      </c>
    </row>
    <row r="28" spans="1:14" ht="15.75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-2.9277171240214553E-3</v>
      </c>
      <c r="H30" s="16">
        <f t="shared" ref="H30:H38" si="6">H17-C17</f>
        <v>-4.246517557588686E-2</v>
      </c>
      <c r="I30" s="16">
        <f t="shared" ref="I30:I38" si="7">I17-D17</f>
        <v>-4.5392892699908372E-2</v>
      </c>
      <c r="K30" s="23" t="s">
        <v>1</v>
      </c>
      <c r="L30" s="24">
        <f>D17</f>
        <v>0.38851776297464413</v>
      </c>
      <c r="M30" s="24">
        <f t="shared" ref="M30:M38" si="8">I17</f>
        <v>0.34312487027473576</v>
      </c>
      <c r="N30" s="24">
        <f>M30-L30</f>
        <v>-4.5392892699908372E-2</v>
      </c>
    </row>
    <row r="31" spans="1:14" x14ac:dyDescent="0.25">
      <c r="F31" s="9" t="s">
        <v>2</v>
      </c>
      <c r="G31" s="16">
        <f t="shared" si="5"/>
        <v>1.7666293728510155E-2</v>
      </c>
      <c r="H31" s="16">
        <f t="shared" si="6"/>
        <v>5.6881214581926687E-3</v>
      </c>
      <c r="I31" s="16">
        <f t="shared" si="7"/>
        <v>2.3354415186702809E-2</v>
      </c>
      <c r="K31" s="30" t="s">
        <v>2</v>
      </c>
      <c r="L31" s="31">
        <f t="shared" ref="L31:L38" si="9">D18</f>
        <v>0.2478665761823575</v>
      </c>
      <c r="M31" s="31">
        <f t="shared" si="8"/>
        <v>0.2712209913690603</v>
      </c>
      <c r="N31" s="31">
        <f t="shared" ref="N31:N38" si="10">M31-L31</f>
        <v>2.3354415186702809E-2</v>
      </c>
    </row>
    <row r="32" spans="1:14" x14ac:dyDescent="0.25">
      <c r="F32" s="9" t="s">
        <v>3</v>
      </c>
      <c r="G32" s="16">
        <f t="shared" si="5"/>
        <v>1.2159330182730518E-2</v>
      </c>
      <c r="H32" s="16">
        <f t="shared" si="6"/>
        <v>7.1573675993176045E-2</v>
      </c>
      <c r="I32" s="16">
        <f t="shared" si="7"/>
        <v>8.3733006175906594E-2</v>
      </c>
      <c r="K32" s="23" t="s">
        <v>3</v>
      </c>
      <c r="L32" s="24">
        <f t="shared" si="9"/>
        <v>0.19203094676423491</v>
      </c>
      <c r="M32" s="24">
        <f t="shared" si="8"/>
        <v>0.2757639529401415</v>
      </c>
      <c r="N32" s="24">
        <f t="shared" si="10"/>
        <v>8.3733006175906594E-2</v>
      </c>
    </row>
    <row r="33" spans="6:14" x14ac:dyDescent="0.25">
      <c r="F33" s="9" t="s">
        <v>4</v>
      </c>
      <c r="G33" s="16">
        <f t="shared" si="5"/>
        <v>-3.5715025771129255E-5</v>
      </c>
      <c r="H33" s="16">
        <f t="shared" si="6"/>
        <v>-5.4629035437800595E-4</v>
      </c>
      <c r="I33" s="16">
        <f t="shared" si="7"/>
        <v>-5.8200538014913517E-4</v>
      </c>
      <c r="K33" s="30" t="s">
        <v>4</v>
      </c>
      <c r="L33" s="31">
        <f t="shared" si="9"/>
        <v>5.8200538014913517E-4</v>
      </c>
      <c r="M33" s="31">
        <f t="shared" si="8"/>
        <v>0</v>
      </c>
      <c r="N33" s="31">
        <f t="shared" si="10"/>
        <v>-5.8200538014913517E-4</v>
      </c>
    </row>
    <row r="34" spans="6:14" x14ac:dyDescent="0.25">
      <c r="F34" s="9" t="s">
        <v>5</v>
      </c>
      <c r="G34" s="16">
        <f t="shared" si="5"/>
        <v>-2.4709780818942657E-2</v>
      </c>
      <c r="H34" s="16">
        <f t="shared" si="6"/>
        <v>-1.4150786248710957E-2</v>
      </c>
      <c r="I34" s="16">
        <f t="shared" si="7"/>
        <v>-3.8860567067653611E-2</v>
      </c>
      <c r="K34" s="23" t="s">
        <v>5</v>
      </c>
      <c r="L34" s="24">
        <f t="shared" si="9"/>
        <v>4.9415908037194464E-2</v>
      </c>
      <c r="M34" s="24">
        <f t="shared" si="8"/>
        <v>1.0555340969540852E-2</v>
      </c>
      <c r="N34" s="24">
        <f t="shared" si="10"/>
        <v>-3.8860567067653611E-2</v>
      </c>
    </row>
    <row r="35" spans="6:14" x14ac:dyDescent="0.25">
      <c r="F35" s="9" t="s">
        <v>6</v>
      </c>
      <c r="G35" s="16">
        <f t="shared" si="5"/>
        <v>6.7074307931325175E-3</v>
      </c>
      <c r="H35" s="16">
        <f t="shared" si="6"/>
        <v>1.2610043438367342E-2</v>
      </c>
      <c r="I35" s="16">
        <f t="shared" si="7"/>
        <v>1.9317474231499862E-2</v>
      </c>
      <c r="K35" s="30" t="s">
        <v>6</v>
      </c>
      <c r="L35" s="31">
        <f t="shared" si="9"/>
        <v>4.7059264879513009E-3</v>
      </c>
      <c r="M35" s="31">
        <f t="shared" si="8"/>
        <v>2.4023400719451162E-2</v>
      </c>
      <c r="N35" s="31">
        <f t="shared" si="10"/>
        <v>1.9317474231499862E-2</v>
      </c>
    </row>
    <row r="36" spans="6:14" x14ac:dyDescent="0.25">
      <c r="F36" s="9" t="s">
        <v>7</v>
      </c>
      <c r="G36" s="16">
        <f t="shared" si="5"/>
        <v>-2.4774419921724168E-2</v>
      </c>
      <c r="H36" s="16">
        <f t="shared" si="6"/>
        <v>-1.679501052467413E-2</v>
      </c>
      <c r="I36" s="16">
        <f t="shared" si="7"/>
        <v>-4.1569430446398312E-2</v>
      </c>
      <c r="K36" s="23" t="s">
        <v>7</v>
      </c>
      <c r="L36" s="24">
        <f t="shared" si="9"/>
        <v>0.11688087417346872</v>
      </c>
      <c r="M36" s="24">
        <f t="shared" si="8"/>
        <v>7.531144372707041E-2</v>
      </c>
      <c r="N36" s="24">
        <f t="shared" si="10"/>
        <v>-4.1569430446398312E-2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-1.5914578186086215E-2</v>
      </c>
      <c r="H38" s="18">
        <f t="shared" si="6"/>
        <v>1.5914578186086104E-2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78.779776568499997</v>
      </c>
      <c r="C4" s="9">
        <v>51509.263192976599</v>
      </c>
      <c r="D4" s="9">
        <f>SUM(B4:C4)</f>
        <v>51588.042969545102</v>
      </c>
      <c r="E4" s="9"/>
      <c r="F4" s="9" t="s">
        <v>1</v>
      </c>
      <c r="G4" s="9">
        <v>0</v>
      </c>
      <c r="H4" s="9">
        <v>40357</v>
      </c>
      <c r="I4" s="9">
        <f>SUM(G4:H4)</f>
        <v>40357</v>
      </c>
    </row>
    <row r="5" spans="1:9" x14ac:dyDescent="0.25">
      <c r="A5" s="9" t="s">
        <v>2</v>
      </c>
      <c r="B5" s="9">
        <v>2199.8988636568001</v>
      </c>
      <c r="C5" s="9">
        <v>81415.944841967503</v>
      </c>
      <c r="D5" s="9">
        <f t="shared" ref="D5:D12" si="0">SUM(B5:C5)</f>
        <v>83615.843705624298</v>
      </c>
      <c r="E5" s="9"/>
      <c r="F5" s="9" t="s">
        <v>2</v>
      </c>
      <c r="G5" s="9">
        <v>2591</v>
      </c>
      <c r="H5" s="9">
        <v>76671</v>
      </c>
      <c r="I5" s="9">
        <f t="shared" ref="I5:I12" si="1">SUM(G5:H5)</f>
        <v>79262</v>
      </c>
    </row>
    <row r="6" spans="1:9" x14ac:dyDescent="0.25">
      <c r="A6" s="9" t="s">
        <v>3</v>
      </c>
      <c r="B6" s="9">
        <v>474.29505646600001</v>
      </c>
      <c r="C6" s="9">
        <v>38605.907319714002</v>
      </c>
      <c r="D6" s="9">
        <f t="shared" si="0"/>
        <v>39080.202376180001</v>
      </c>
      <c r="E6" s="9"/>
      <c r="F6" s="9" t="s">
        <v>3</v>
      </c>
      <c r="G6" s="9">
        <v>1618</v>
      </c>
      <c r="H6" s="9">
        <v>66022</v>
      </c>
      <c r="I6" s="9">
        <f t="shared" si="1"/>
        <v>67640</v>
      </c>
    </row>
    <row r="7" spans="1:9" x14ac:dyDescent="0.25">
      <c r="A7" s="9" t="s">
        <v>4</v>
      </c>
      <c r="B7" s="9">
        <v>0</v>
      </c>
      <c r="C7" s="9">
        <v>288.32411238899999</v>
      </c>
      <c r="D7" s="9">
        <f t="shared" si="0"/>
        <v>288.32411238899999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8765.4207695241003</v>
      </c>
      <c r="C8" s="9">
        <v>2701.3162036347999</v>
      </c>
      <c r="D8" s="9">
        <f t="shared" si="0"/>
        <v>11466.736973158901</v>
      </c>
      <c r="E8" s="9"/>
      <c r="F8" s="9" t="s">
        <v>5</v>
      </c>
      <c r="G8" s="9">
        <v>866</v>
      </c>
      <c r="H8" s="9">
        <v>1292</v>
      </c>
      <c r="I8" s="9">
        <f t="shared" si="1"/>
        <v>2158</v>
      </c>
    </row>
    <row r="9" spans="1:9" x14ac:dyDescent="0.25">
      <c r="A9" s="9" t="s">
        <v>6</v>
      </c>
      <c r="B9" s="9">
        <v>1903.3855107507</v>
      </c>
      <c r="C9" s="9">
        <v>1409.4001897420999</v>
      </c>
      <c r="D9" s="9">
        <f t="shared" si="0"/>
        <v>3312.7857004928001</v>
      </c>
      <c r="E9" s="9"/>
      <c r="F9" s="9" t="s">
        <v>6</v>
      </c>
      <c r="G9" s="9">
        <v>240</v>
      </c>
      <c r="H9" s="9">
        <v>1178</v>
      </c>
      <c r="I9" s="9">
        <f t="shared" si="1"/>
        <v>1418</v>
      </c>
    </row>
    <row r="10" spans="1:9" x14ac:dyDescent="0.25">
      <c r="A10" s="9" t="s">
        <v>7</v>
      </c>
      <c r="B10" s="9">
        <v>10106.5037902775</v>
      </c>
      <c r="C10" s="9">
        <v>24909.918295758998</v>
      </c>
      <c r="D10" s="9">
        <f t="shared" si="0"/>
        <v>35016.422086036502</v>
      </c>
      <c r="E10" s="9"/>
      <c r="F10" s="9" t="s">
        <v>7</v>
      </c>
      <c r="G10" s="9">
        <v>6476</v>
      </c>
      <c r="H10" s="9">
        <v>35603</v>
      </c>
      <c r="I10" s="9">
        <f t="shared" si="1"/>
        <v>42079</v>
      </c>
    </row>
    <row r="11" spans="1:9" x14ac:dyDescent="0.25">
      <c r="A11" s="14" t="s">
        <v>8</v>
      </c>
      <c r="B11" s="14">
        <v>0</v>
      </c>
      <c r="C11" s="14">
        <v>0</v>
      </c>
      <c r="D11" s="14">
        <f t="shared" si="0"/>
        <v>0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23528.2837672436</v>
      </c>
      <c r="C12" s="10">
        <f>SUM(C4:C11)</f>
        <v>200840.07415618302</v>
      </c>
      <c r="D12" s="10">
        <f t="shared" si="0"/>
        <v>224368.35792342661</v>
      </c>
      <c r="F12" s="13" t="s">
        <v>19</v>
      </c>
      <c r="G12" s="10">
        <f>SUM(G4:G11)</f>
        <v>11791</v>
      </c>
      <c r="H12" s="10">
        <f>SUM(H4:H11)</f>
        <v>221123</v>
      </c>
      <c r="I12" s="10">
        <f t="shared" si="1"/>
        <v>232914</v>
      </c>
    </row>
    <row r="15" spans="1:9" ht="15.75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3.5111803329855584E-4</v>
      </c>
      <c r="C17" s="16">
        <f t="shared" ref="C17:D17" si="2">C4/$D$12</f>
        <v>0.22957454281746761</v>
      </c>
      <c r="D17" s="16">
        <f t="shared" si="2"/>
        <v>0.22992566085076618</v>
      </c>
      <c r="F17" s="9" t="s">
        <v>1</v>
      </c>
      <c r="G17" s="16">
        <f t="shared" ref="G17:I25" si="3">G4/$I$12</f>
        <v>0</v>
      </c>
      <c r="H17" s="16">
        <f t="shared" si="3"/>
        <v>0.17326996230368291</v>
      </c>
      <c r="I17" s="16">
        <f t="shared" si="3"/>
        <v>0.17326996230368291</v>
      </c>
    </row>
    <row r="18" spans="1:14" x14ac:dyDescent="0.25">
      <c r="A18" s="9" t="s">
        <v>2</v>
      </c>
      <c r="B18" s="16">
        <f t="shared" ref="B18:D25" si="4">B5/$D$12</f>
        <v>9.8048534295000316E-3</v>
      </c>
      <c r="C18" s="16">
        <f t="shared" si="4"/>
        <v>0.36286732048800519</v>
      </c>
      <c r="D18" s="16">
        <f t="shared" si="4"/>
        <v>0.37267217391750523</v>
      </c>
      <c r="F18" s="9" t="s">
        <v>2</v>
      </c>
      <c r="G18" s="16">
        <f t="shared" si="3"/>
        <v>1.1124277630370008E-2</v>
      </c>
      <c r="H18" s="16">
        <f t="shared" si="3"/>
        <v>0.32918158633658773</v>
      </c>
      <c r="I18" s="16">
        <f t="shared" si="3"/>
        <v>0.34030586396695778</v>
      </c>
    </row>
    <row r="19" spans="1:14" x14ac:dyDescent="0.25">
      <c r="A19" s="9" t="s">
        <v>3</v>
      </c>
      <c r="B19" s="16">
        <f t="shared" si="4"/>
        <v>2.1139124110712147E-3</v>
      </c>
      <c r="C19" s="16">
        <f t="shared" si="4"/>
        <v>0.1720648476327914</v>
      </c>
      <c r="D19" s="16">
        <f t="shared" si="4"/>
        <v>0.1741787600438626</v>
      </c>
      <c r="F19" s="9" t="s">
        <v>3</v>
      </c>
      <c r="G19" s="16">
        <f t="shared" si="3"/>
        <v>6.9467700524657172E-3</v>
      </c>
      <c r="H19" s="16">
        <f t="shared" si="3"/>
        <v>0.28346084821006895</v>
      </c>
      <c r="I19" s="16">
        <f t="shared" si="3"/>
        <v>0.29040761826253469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1.2850480123734759E-3</v>
      </c>
      <c r="D20" s="16">
        <f t="shared" si="4"/>
        <v>1.2850480123734759E-3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3.9067098634806612E-2</v>
      </c>
      <c r="C21" s="16">
        <f t="shared" si="4"/>
        <v>1.2039648677006036E-2</v>
      </c>
      <c r="D21" s="16">
        <f t="shared" si="4"/>
        <v>5.1106747311812646E-2</v>
      </c>
      <c r="F21" s="9" t="s">
        <v>5</v>
      </c>
      <c r="G21" s="16">
        <f t="shared" si="3"/>
        <v>3.7181105472406124E-3</v>
      </c>
      <c r="H21" s="16">
        <f t="shared" si="3"/>
        <v>5.5471118095090895E-3</v>
      </c>
      <c r="I21" s="16">
        <f t="shared" si="3"/>
        <v>9.265222356749701E-3</v>
      </c>
    </row>
    <row r="22" spans="1:14" x14ac:dyDescent="0.25">
      <c r="A22" s="9" t="s">
        <v>6</v>
      </c>
      <c r="B22" s="16">
        <f t="shared" si="4"/>
        <v>8.4833063287840949E-3</v>
      </c>
      <c r="C22" s="16">
        <f t="shared" si="4"/>
        <v>6.2816352661595265E-3</v>
      </c>
      <c r="D22" s="16">
        <f t="shared" si="4"/>
        <v>1.4764941594943622E-2</v>
      </c>
      <c r="F22" s="9" t="s">
        <v>6</v>
      </c>
      <c r="G22" s="16">
        <f t="shared" si="3"/>
        <v>1.0304232463484377E-3</v>
      </c>
      <c r="H22" s="16">
        <f t="shared" si="3"/>
        <v>5.0576607674935811E-3</v>
      </c>
      <c r="I22" s="16">
        <f t="shared" si="3"/>
        <v>6.0880840138420192E-3</v>
      </c>
    </row>
    <row r="23" spans="1:14" x14ac:dyDescent="0.25">
      <c r="A23" s="9" t="s">
        <v>7</v>
      </c>
      <c r="B23" s="16">
        <f t="shared" si="4"/>
        <v>4.5044247254003127E-2</v>
      </c>
      <c r="C23" s="16">
        <f t="shared" si="4"/>
        <v>0.11102242101473311</v>
      </c>
      <c r="D23" s="16">
        <f t="shared" si="4"/>
        <v>0.15606666826873625</v>
      </c>
      <c r="F23" s="9" t="s">
        <v>7</v>
      </c>
      <c r="G23" s="16">
        <f t="shared" si="3"/>
        <v>2.7804253930635341E-2</v>
      </c>
      <c r="H23" s="16">
        <f t="shared" si="3"/>
        <v>0.15285899516559759</v>
      </c>
      <c r="I23" s="16">
        <f t="shared" si="3"/>
        <v>0.18066324909623294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0.10486453609146364</v>
      </c>
      <c r="C25" s="18">
        <f t="shared" si="4"/>
        <v>0.89513546390853638</v>
      </c>
      <c r="D25" s="18">
        <f t="shared" si="4"/>
        <v>1</v>
      </c>
      <c r="F25" s="13" t="s">
        <v>19</v>
      </c>
      <c r="G25" s="18">
        <f t="shared" si="3"/>
        <v>5.0623835407060114E-2</v>
      </c>
      <c r="H25" s="18">
        <f t="shared" si="3"/>
        <v>0.94937616459293983</v>
      </c>
      <c r="I25" s="18">
        <f t="shared" si="3"/>
        <v>1</v>
      </c>
    </row>
    <row r="28" spans="1:14" ht="15.75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-3.5111803329855584E-4</v>
      </c>
      <c r="H30" s="16">
        <f t="shared" ref="H30:H38" si="6">H17-C17</f>
        <v>-5.6304580513784702E-2</v>
      </c>
      <c r="I30" s="16">
        <f t="shared" ref="I30:I38" si="7">I17-D17</f>
        <v>-5.6655698547083272E-2</v>
      </c>
      <c r="K30" s="23" t="s">
        <v>1</v>
      </c>
      <c r="L30" s="24">
        <f>D17</f>
        <v>0.22992566085076618</v>
      </c>
      <c r="M30" s="24">
        <f t="shared" ref="M30:M38" si="8">I17</f>
        <v>0.17326996230368291</v>
      </c>
      <c r="N30" s="24">
        <f>M30-L30</f>
        <v>-5.6655698547083272E-2</v>
      </c>
    </row>
    <row r="31" spans="1:14" x14ac:dyDescent="0.25">
      <c r="F31" s="9" t="s">
        <v>2</v>
      </c>
      <c r="G31" s="16">
        <f t="shared" si="5"/>
        <v>1.3194242008699765E-3</v>
      </c>
      <c r="H31" s="16">
        <f t="shared" si="6"/>
        <v>-3.3685734151417457E-2</v>
      </c>
      <c r="I31" s="16">
        <f t="shared" si="7"/>
        <v>-3.2366309950547456E-2</v>
      </c>
      <c r="K31" s="30" t="s">
        <v>2</v>
      </c>
      <c r="L31" s="31">
        <f t="shared" ref="L31:L38" si="9">D18</f>
        <v>0.37267217391750523</v>
      </c>
      <c r="M31" s="31">
        <f t="shared" si="8"/>
        <v>0.34030586396695778</v>
      </c>
      <c r="N31" s="31">
        <f t="shared" ref="N31:N38" si="10">M31-L31</f>
        <v>-3.2366309950547456E-2</v>
      </c>
    </row>
    <row r="32" spans="1:14" x14ac:dyDescent="0.25">
      <c r="F32" s="9" t="s">
        <v>3</v>
      </c>
      <c r="G32" s="16">
        <f t="shared" si="5"/>
        <v>4.8328576413945029E-3</v>
      </c>
      <c r="H32" s="16">
        <f t="shared" si="6"/>
        <v>0.11139600057727755</v>
      </c>
      <c r="I32" s="16">
        <f t="shared" si="7"/>
        <v>0.1162288582186721</v>
      </c>
      <c r="K32" s="23" t="s">
        <v>3</v>
      </c>
      <c r="L32" s="24">
        <f t="shared" si="9"/>
        <v>0.1741787600438626</v>
      </c>
      <c r="M32" s="24">
        <f t="shared" si="8"/>
        <v>0.29040761826253469</v>
      </c>
      <c r="N32" s="24">
        <f t="shared" si="10"/>
        <v>0.1162288582186721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-1.2850480123734759E-3</v>
      </c>
      <c r="I33" s="16">
        <f t="shared" si="7"/>
        <v>-1.2850480123734759E-3</v>
      </c>
      <c r="K33" s="30" t="s">
        <v>4</v>
      </c>
      <c r="L33" s="31">
        <f t="shared" si="9"/>
        <v>1.2850480123734759E-3</v>
      </c>
      <c r="M33" s="31">
        <f t="shared" si="8"/>
        <v>0</v>
      </c>
      <c r="N33" s="31">
        <f t="shared" si="10"/>
        <v>-1.2850480123734759E-3</v>
      </c>
    </row>
    <row r="34" spans="6:14" x14ac:dyDescent="0.25">
      <c r="F34" s="9" t="s">
        <v>5</v>
      </c>
      <c r="G34" s="16">
        <f t="shared" si="5"/>
        <v>-3.5348988087566001E-2</v>
      </c>
      <c r="H34" s="16">
        <f t="shared" si="6"/>
        <v>-6.4925368674969468E-3</v>
      </c>
      <c r="I34" s="16">
        <f t="shared" si="7"/>
        <v>-4.1841524955062943E-2</v>
      </c>
      <c r="K34" s="23" t="s">
        <v>5</v>
      </c>
      <c r="L34" s="24">
        <f t="shared" si="9"/>
        <v>5.1106747311812646E-2</v>
      </c>
      <c r="M34" s="24">
        <f t="shared" si="8"/>
        <v>9.265222356749701E-3</v>
      </c>
      <c r="N34" s="24">
        <f t="shared" si="10"/>
        <v>-4.1841524955062943E-2</v>
      </c>
    </row>
    <row r="35" spans="6:14" x14ac:dyDescent="0.25">
      <c r="F35" s="9" t="s">
        <v>6</v>
      </c>
      <c r="G35" s="16">
        <f t="shared" si="5"/>
        <v>-7.4528830824356577E-3</v>
      </c>
      <c r="H35" s="16">
        <f t="shared" si="6"/>
        <v>-1.2239744986659454E-3</v>
      </c>
      <c r="I35" s="16">
        <f t="shared" si="7"/>
        <v>-8.676857581101604E-3</v>
      </c>
      <c r="K35" s="30" t="s">
        <v>6</v>
      </c>
      <c r="L35" s="31">
        <f t="shared" si="9"/>
        <v>1.4764941594943622E-2</v>
      </c>
      <c r="M35" s="31">
        <f t="shared" si="8"/>
        <v>6.0880840138420192E-3</v>
      </c>
      <c r="N35" s="31">
        <f t="shared" si="10"/>
        <v>-8.676857581101604E-3</v>
      </c>
    </row>
    <row r="36" spans="6:14" x14ac:dyDescent="0.25">
      <c r="F36" s="9" t="s">
        <v>7</v>
      </c>
      <c r="G36" s="16">
        <f t="shared" si="5"/>
        <v>-1.7239993323367786E-2</v>
      </c>
      <c r="H36" s="16">
        <f t="shared" si="6"/>
        <v>4.1836574150864475E-2</v>
      </c>
      <c r="I36" s="16">
        <f t="shared" si="7"/>
        <v>2.4596580827496689E-2</v>
      </c>
      <c r="K36" s="23" t="s">
        <v>7</v>
      </c>
      <c r="L36" s="24">
        <f t="shared" si="9"/>
        <v>0.15606666826873625</v>
      </c>
      <c r="M36" s="24">
        <f t="shared" si="8"/>
        <v>0.18066324909623294</v>
      </c>
      <c r="N36" s="24">
        <f t="shared" si="10"/>
        <v>2.4596580827496689E-2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-5.4240700684403523E-2</v>
      </c>
      <c r="H38" s="18">
        <f t="shared" si="6"/>
        <v>5.4240700684403453E-2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99.356597434199998</v>
      </c>
      <c r="C4" s="9">
        <v>249602.60476329731</v>
      </c>
      <c r="D4" s="9">
        <f>SUM(B4:C4)</f>
        <v>249701.96136073151</v>
      </c>
      <c r="E4" s="9"/>
      <c r="F4" s="9" t="s">
        <v>1</v>
      </c>
      <c r="G4" s="9">
        <v>0</v>
      </c>
      <c r="H4" s="9">
        <v>218157</v>
      </c>
      <c r="I4" s="9">
        <f>SUM(G4:H4)</f>
        <v>218157</v>
      </c>
    </row>
    <row r="5" spans="1:9" x14ac:dyDescent="0.25">
      <c r="A5" s="9" t="s">
        <v>2</v>
      </c>
      <c r="B5" s="9">
        <v>1712.3968538774</v>
      </c>
      <c r="C5" s="9">
        <v>235939.46882668519</v>
      </c>
      <c r="D5" s="9">
        <f t="shared" ref="D5:D12" si="0">SUM(B5:C5)</f>
        <v>237651.86568056259</v>
      </c>
      <c r="E5" s="9"/>
      <c r="F5" s="9" t="s">
        <v>2</v>
      </c>
      <c r="G5" s="9">
        <v>11834</v>
      </c>
      <c r="H5" s="9">
        <v>265612</v>
      </c>
      <c r="I5" s="9">
        <f t="shared" ref="I5:I12" si="1">SUM(G5:H5)</f>
        <v>277446</v>
      </c>
    </row>
    <row r="6" spans="1:9" x14ac:dyDescent="0.25">
      <c r="A6" s="9" t="s">
        <v>3</v>
      </c>
      <c r="B6" s="9">
        <v>842.07999960000006</v>
      </c>
      <c r="C6" s="9">
        <v>217705.3317151326</v>
      </c>
      <c r="D6" s="9">
        <f t="shared" si="0"/>
        <v>218547.41171473262</v>
      </c>
      <c r="E6" s="9"/>
      <c r="F6" s="9" t="s">
        <v>3</v>
      </c>
      <c r="G6" s="9">
        <v>7128</v>
      </c>
      <c r="H6" s="9">
        <v>261436</v>
      </c>
      <c r="I6" s="9">
        <f t="shared" si="1"/>
        <v>268564</v>
      </c>
    </row>
    <row r="7" spans="1:9" x14ac:dyDescent="0.25">
      <c r="A7" s="9" t="s">
        <v>4</v>
      </c>
      <c r="B7" s="9">
        <v>240.321304484</v>
      </c>
      <c r="C7" s="9">
        <v>829.95028119489996</v>
      </c>
      <c r="D7" s="9">
        <f t="shared" si="0"/>
        <v>1070.2715856789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8867.8629351319996</v>
      </c>
      <c r="C8" s="9">
        <v>11266.900614377601</v>
      </c>
      <c r="D8" s="9">
        <f t="shared" si="0"/>
        <v>20134.7635495096</v>
      </c>
      <c r="E8" s="9"/>
      <c r="F8" s="9" t="s">
        <v>5</v>
      </c>
      <c r="G8" s="9">
        <v>4887</v>
      </c>
      <c r="H8" s="9">
        <v>3923</v>
      </c>
      <c r="I8" s="9">
        <f t="shared" si="1"/>
        <v>8810</v>
      </c>
    </row>
    <row r="9" spans="1:9" x14ac:dyDescent="0.25">
      <c r="A9" s="9" t="s">
        <v>6</v>
      </c>
      <c r="B9" s="9">
        <v>1103.2478982475</v>
      </c>
      <c r="C9" s="9">
        <v>14377.2789599386</v>
      </c>
      <c r="D9" s="9">
        <f t="shared" si="0"/>
        <v>15480.5268581861</v>
      </c>
      <c r="E9" s="9"/>
      <c r="F9" s="9" t="s">
        <v>6</v>
      </c>
      <c r="G9" s="9">
        <v>2444</v>
      </c>
      <c r="H9" s="9">
        <v>12780</v>
      </c>
      <c r="I9" s="9">
        <f t="shared" si="1"/>
        <v>15224</v>
      </c>
    </row>
    <row r="10" spans="1:9" x14ac:dyDescent="0.25">
      <c r="A10" s="9" t="s">
        <v>7</v>
      </c>
      <c r="B10" s="9">
        <v>20510.739361830299</v>
      </c>
      <c r="C10" s="9">
        <v>321984.69743208529</v>
      </c>
      <c r="D10" s="9">
        <f t="shared" si="0"/>
        <v>342495.43679391558</v>
      </c>
      <c r="E10" s="9"/>
      <c r="F10" s="9" t="s">
        <v>7</v>
      </c>
      <c r="G10" s="9">
        <v>13989</v>
      </c>
      <c r="H10" s="9">
        <v>323103</v>
      </c>
      <c r="I10" s="9">
        <f t="shared" si="1"/>
        <v>337092</v>
      </c>
    </row>
    <row r="11" spans="1:9" x14ac:dyDescent="0.25">
      <c r="A11" s="14" t="s">
        <v>8</v>
      </c>
      <c r="B11" s="14">
        <v>745.26400541800001</v>
      </c>
      <c r="C11" s="14">
        <v>0</v>
      </c>
      <c r="D11" s="14">
        <f t="shared" si="0"/>
        <v>745.26400541800001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34121.268956023399</v>
      </c>
      <c r="C12" s="10">
        <f>SUM(C4:C11)</f>
        <v>1051706.2325927112</v>
      </c>
      <c r="D12" s="10">
        <f t="shared" si="0"/>
        <v>1085827.5015487347</v>
      </c>
      <c r="F12" s="13" t="s">
        <v>19</v>
      </c>
      <c r="G12" s="10">
        <f>SUM(G4:G11)</f>
        <v>40282</v>
      </c>
      <c r="H12" s="10">
        <f>SUM(H4:H11)</f>
        <v>1085011</v>
      </c>
      <c r="I12" s="10">
        <f t="shared" si="1"/>
        <v>1125293</v>
      </c>
    </row>
    <row r="15" spans="1:9" ht="15.75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9.1503113793384256E-5</v>
      </c>
      <c r="C17" s="16">
        <f t="shared" ref="C17:D17" si="2">C4/$D$12</f>
        <v>0.22987316531151103</v>
      </c>
      <c r="D17" s="16">
        <f t="shared" si="2"/>
        <v>0.22996466842530444</v>
      </c>
      <c r="F17" s="9" t="s">
        <v>1</v>
      </c>
      <c r="G17" s="16">
        <f t="shared" ref="G17:I25" si="3">G4/$I$12</f>
        <v>0</v>
      </c>
      <c r="H17" s="16">
        <f t="shared" si="3"/>
        <v>0.19386684179142677</v>
      </c>
      <c r="I17" s="16">
        <f t="shared" si="3"/>
        <v>0.19386684179142677</v>
      </c>
    </row>
    <row r="18" spans="1:14" x14ac:dyDescent="0.25">
      <c r="A18" s="9" t="s">
        <v>2</v>
      </c>
      <c r="B18" s="16">
        <f t="shared" ref="B18:D25" si="4">B5/$D$12</f>
        <v>1.5770431780692408E-3</v>
      </c>
      <c r="C18" s="16">
        <f t="shared" si="4"/>
        <v>0.21729001014448482</v>
      </c>
      <c r="D18" s="16">
        <f t="shared" si="4"/>
        <v>0.21886705332255407</v>
      </c>
      <c r="F18" s="9" t="s">
        <v>2</v>
      </c>
      <c r="G18" s="16">
        <f t="shared" si="3"/>
        <v>1.0516372180401015E-2</v>
      </c>
      <c r="H18" s="16">
        <f t="shared" si="3"/>
        <v>0.23603808074874721</v>
      </c>
      <c r="I18" s="16">
        <f t="shared" si="3"/>
        <v>0.24655445292914824</v>
      </c>
    </row>
    <row r="19" spans="1:14" x14ac:dyDescent="0.25">
      <c r="A19" s="9" t="s">
        <v>3</v>
      </c>
      <c r="B19" s="16">
        <f t="shared" si="4"/>
        <v>7.755191302476007E-4</v>
      </c>
      <c r="C19" s="16">
        <f t="shared" si="4"/>
        <v>0.20049716129368217</v>
      </c>
      <c r="D19" s="16">
        <f t="shared" si="4"/>
        <v>0.20127268042392979</v>
      </c>
      <c r="F19" s="9" t="s">
        <v>3</v>
      </c>
      <c r="G19" s="16">
        <f t="shared" si="3"/>
        <v>6.3343502536672668E-3</v>
      </c>
      <c r="H19" s="16">
        <f t="shared" si="3"/>
        <v>0.23232704726680073</v>
      </c>
      <c r="I19" s="16">
        <f t="shared" si="3"/>
        <v>0.238661397520468</v>
      </c>
    </row>
    <row r="20" spans="1:14" x14ac:dyDescent="0.25">
      <c r="A20" s="9" t="s">
        <v>4</v>
      </c>
      <c r="B20" s="16">
        <f t="shared" si="4"/>
        <v>2.2132549059701061E-4</v>
      </c>
      <c r="C20" s="16">
        <f t="shared" si="4"/>
        <v>7.6434818607110924E-4</v>
      </c>
      <c r="D20" s="16">
        <f t="shared" si="4"/>
        <v>9.8567367666811982E-4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8.16691686523284E-3</v>
      </c>
      <c r="C21" s="16">
        <f t="shared" si="4"/>
        <v>1.0376326440716802E-2</v>
      </c>
      <c r="D21" s="16">
        <f t="shared" si="4"/>
        <v>1.8543243305949642E-2</v>
      </c>
      <c r="F21" s="9" t="s">
        <v>5</v>
      </c>
      <c r="G21" s="16">
        <f t="shared" si="3"/>
        <v>4.342868923915816E-3</v>
      </c>
      <c r="H21" s="16">
        <f t="shared" si="3"/>
        <v>3.4862031488687834E-3</v>
      </c>
      <c r="I21" s="16">
        <f t="shared" si="3"/>
        <v>7.8290720727845989E-3</v>
      </c>
    </row>
    <row r="22" spans="1:14" x14ac:dyDescent="0.25">
      <c r="A22" s="9" t="s">
        <v>6</v>
      </c>
      <c r="B22" s="16">
        <f t="shared" si="4"/>
        <v>1.0160434292499666E-3</v>
      </c>
      <c r="C22" s="16">
        <f t="shared" si="4"/>
        <v>1.3240849895063475E-2</v>
      </c>
      <c r="D22" s="16">
        <f t="shared" si="4"/>
        <v>1.4256893324313442E-2</v>
      </c>
      <c r="F22" s="9" t="s">
        <v>6</v>
      </c>
      <c r="G22" s="16">
        <f t="shared" si="3"/>
        <v>2.1718787906794051E-3</v>
      </c>
      <c r="H22" s="16">
        <f t="shared" si="3"/>
        <v>1.1357042121474141E-2</v>
      </c>
      <c r="I22" s="16">
        <f t="shared" si="3"/>
        <v>1.3528920912153545E-2</v>
      </c>
    </row>
    <row r="23" spans="1:14" x14ac:dyDescent="0.25">
      <c r="A23" s="9" t="s">
        <v>7</v>
      </c>
      <c r="B23" s="16">
        <f t="shared" si="4"/>
        <v>1.8889500710357283E-2</v>
      </c>
      <c r="C23" s="16">
        <f t="shared" si="4"/>
        <v>0.29653393100914544</v>
      </c>
      <c r="D23" s="16">
        <f t="shared" si="4"/>
        <v>0.31542343171950271</v>
      </c>
      <c r="F23" s="9" t="s">
        <v>7</v>
      </c>
      <c r="G23" s="16">
        <f t="shared" si="3"/>
        <v>1.2431428970054911E-2</v>
      </c>
      <c r="H23" s="16">
        <f t="shared" si="3"/>
        <v>0.28712788580396392</v>
      </c>
      <c r="I23" s="16">
        <f t="shared" si="3"/>
        <v>0.29955931477401887</v>
      </c>
    </row>
    <row r="24" spans="1:14" x14ac:dyDescent="0.25">
      <c r="A24" s="14" t="s">
        <v>8</v>
      </c>
      <c r="B24" s="17">
        <f t="shared" si="4"/>
        <v>6.863558017779223E-4</v>
      </c>
      <c r="C24" s="17">
        <f t="shared" si="4"/>
        <v>0</v>
      </c>
      <c r="D24" s="17">
        <f t="shared" si="4"/>
        <v>6.863558017779223E-4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3.1424207719325248E-2</v>
      </c>
      <c r="C25" s="18">
        <f t="shared" si="4"/>
        <v>0.9685757922806747</v>
      </c>
      <c r="D25" s="18">
        <f t="shared" si="4"/>
        <v>1</v>
      </c>
      <c r="F25" s="13" t="s">
        <v>19</v>
      </c>
      <c r="G25" s="18">
        <f t="shared" si="3"/>
        <v>3.5796899118718417E-2</v>
      </c>
      <c r="H25" s="18">
        <f t="shared" si="3"/>
        <v>0.96420310088128158</v>
      </c>
      <c r="I25" s="18">
        <f t="shared" si="3"/>
        <v>1</v>
      </c>
    </row>
    <row r="28" spans="1:14" ht="15.75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-9.1503113793384256E-5</v>
      </c>
      <c r="H30" s="16">
        <f t="shared" ref="H30:H38" si="6">H17-C17</f>
        <v>-3.600632352008426E-2</v>
      </c>
      <c r="I30" s="16">
        <f t="shared" ref="I30:I38" si="7">I17-D17</f>
        <v>-3.6097826633877672E-2</v>
      </c>
      <c r="K30" s="23" t="s">
        <v>1</v>
      </c>
      <c r="L30" s="24">
        <f>D17</f>
        <v>0.22996466842530444</v>
      </c>
      <c r="M30" s="24">
        <f t="shared" ref="M30:M38" si="8">I17</f>
        <v>0.19386684179142677</v>
      </c>
      <c r="N30" s="24">
        <f>M30-L30</f>
        <v>-3.6097826633877672E-2</v>
      </c>
    </row>
    <row r="31" spans="1:14" x14ac:dyDescent="0.25">
      <c r="F31" s="9" t="s">
        <v>2</v>
      </c>
      <c r="G31" s="16">
        <f t="shared" si="5"/>
        <v>8.9393290023317747E-3</v>
      </c>
      <c r="H31" s="16">
        <f t="shared" si="6"/>
        <v>1.8748070604262396E-2</v>
      </c>
      <c r="I31" s="16">
        <f t="shared" si="7"/>
        <v>2.7687399606594165E-2</v>
      </c>
      <c r="K31" s="30" t="s">
        <v>2</v>
      </c>
      <c r="L31" s="31">
        <f t="shared" ref="L31:L38" si="9">D18</f>
        <v>0.21886705332255407</v>
      </c>
      <c r="M31" s="31">
        <f t="shared" si="8"/>
        <v>0.24655445292914824</v>
      </c>
      <c r="N31" s="31">
        <f t="shared" ref="N31:N38" si="10">M31-L31</f>
        <v>2.7687399606594165E-2</v>
      </c>
    </row>
    <row r="32" spans="1:14" x14ac:dyDescent="0.25">
      <c r="F32" s="9" t="s">
        <v>3</v>
      </c>
      <c r="G32" s="16">
        <f t="shared" si="5"/>
        <v>5.5588311234196662E-3</v>
      </c>
      <c r="H32" s="16">
        <f t="shared" si="6"/>
        <v>3.182988597311856E-2</v>
      </c>
      <c r="I32" s="16">
        <f t="shared" si="7"/>
        <v>3.738871709653821E-2</v>
      </c>
      <c r="K32" s="23" t="s">
        <v>3</v>
      </c>
      <c r="L32" s="24">
        <f t="shared" si="9"/>
        <v>0.20127268042392979</v>
      </c>
      <c r="M32" s="24">
        <f t="shared" si="8"/>
        <v>0.238661397520468</v>
      </c>
      <c r="N32" s="24">
        <f t="shared" si="10"/>
        <v>3.738871709653821E-2</v>
      </c>
    </row>
    <row r="33" spans="6:14" x14ac:dyDescent="0.25">
      <c r="F33" s="9" t="s">
        <v>4</v>
      </c>
      <c r="G33" s="16">
        <f t="shared" si="5"/>
        <v>-2.2132549059701061E-4</v>
      </c>
      <c r="H33" s="16">
        <f t="shared" si="6"/>
        <v>-7.6434818607110924E-4</v>
      </c>
      <c r="I33" s="16">
        <f t="shared" si="7"/>
        <v>-9.8567367666811982E-4</v>
      </c>
      <c r="K33" s="30" t="s">
        <v>4</v>
      </c>
      <c r="L33" s="31">
        <f t="shared" si="9"/>
        <v>9.8567367666811982E-4</v>
      </c>
      <c r="M33" s="31">
        <f t="shared" si="8"/>
        <v>0</v>
      </c>
      <c r="N33" s="31">
        <f t="shared" si="10"/>
        <v>-9.8567367666811982E-4</v>
      </c>
    </row>
    <row r="34" spans="6:14" x14ac:dyDescent="0.25">
      <c r="F34" s="9" t="s">
        <v>5</v>
      </c>
      <c r="G34" s="16">
        <f t="shared" si="5"/>
        <v>-3.824047941317024E-3</v>
      </c>
      <c r="H34" s="16">
        <f t="shared" si="6"/>
        <v>-6.8901232918480177E-3</v>
      </c>
      <c r="I34" s="16">
        <f t="shared" si="7"/>
        <v>-1.0714171233165043E-2</v>
      </c>
      <c r="K34" s="23" t="s">
        <v>5</v>
      </c>
      <c r="L34" s="24">
        <f t="shared" si="9"/>
        <v>1.8543243305949642E-2</v>
      </c>
      <c r="M34" s="24">
        <f t="shared" si="8"/>
        <v>7.8290720727845989E-3</v>
      </c>
      <c r="N34" s="24">
        <f t="shared" si="10"/>
        <v>-1.0714171233165043E-2</v>
      </c>
    </row>
    <row r="35" spans="6:14" x14ac:dyDescent="0.25">
      <c r="F35" s="9" t="s">
        <v>6</v>
      </c>
      <c r="G35" s="16">
        <f t="shared" si="5"/>
        <v>1.1558353614294385E-3</v>
      </c>
      <c r="H35" s="16">
        <f t="shared" si="6"/>
        <v>-1.8838077735893344E-3</v>
      </c>
      <c r="I35" s="16">
        <f t="shared" si="7"/>
        <v>-7.2797241215989683E-4</v>
      </c>
      <c r="K35" s="30" t="s">
        <v>6</v>
      </c>
      <c r="L35" s="31">
        <f t="shared" si="9"/>
        <v>1.4256893324313442E-2</v>
      </c>
      <c r="M35" s="31">
        <f t="shared" si="8"/>
        <v>1.3528920912153545E-2</v>
      </c>
      <c r="N35" s="31">
        <f t="shared" si="10"/>
        <v>-7.2797241215989683E-4</v>
      </c>
    </row>
    <row r="36" spans="6:14" x14ac:dyDescent="0.25">
      <c r="F36" s="9" t="s">
        <v>7</v>
      </c>
      <c r="G36" s="16">
        <f t="shared" si="5"/>
        <v>-6.4580717403023725E-3</v>
      </c>
      <c r="H36" s="16">
        <f t="shared" si="6"/>
        <v>-9.4060452051815124E-3</v>
      </c>
      <c r="I36" s="16">
        <f t="shared" si="7"/>
        <v>-1.5864116945483842E-2</v>
      </c>
      <c r="K36" s="23" t="s">
        <v>7</v>
      </c>
      <c r="L36" s="24">
        <f t="shared" si="9"/>
        <v>0.31542343171950271</v>
      </c>
      <c r="M36" s="24">
        <f t="shared" si="8"/>
        <v>0.29955931477401887</v>
      </c>
      <c r="N36" s="24">
        <f t="shared" si="10"/>
        <v>-1.5864116945483842E-2</v>
      </c>
    </row>
    <row r="37" spans="6:14" x14ac:dyDescent="0.25">
      <c r="F37" s="14" t="s">
        <v>8</v>
      </c>
      <c r="G37" s="17">
        <f t="shared" si="5"/>
        <v>-6.863558017779223E-4</v>
      </c>
      <c r="H37" s="17">
        <f t="shared" si="6"/>
        <v>0</v>
      </c>
      <c r="I37" s="17">
        <f t="shared" si="7"/>
        <v>-6.863558017779223E-4</v>
      </c>
      <c r="K37" s="32" t="s">
        <v>8</v>
      </c>
      <c r="L37" s="33">
        <f t="shared" si="9"/>
        <v>6.863558017779223E-4</v>
      </c>
      <c r="M37" s="33">
        <f t="shared" si="8"/>
        <v>0</v>
      </c>
      <c r="N37" s="33">
        <f t="shared" si="10"/>
        <v>-6.863558017779223E-4</v>
      </c>
    </row>
    <row r="38" spans="6:14" ht="15.75" thickBot="1" x14ac:dyDescent="0.3">
      <c r="F38" s="13" t="s">
        <v>19</v>
      </c>
      <c r="G38" s="18">
        <f t="shared" si="5"/>
        <v>4.3726913993931693E-3</v>
      </c>
      <c r="H38" s="18">
        <f t="shared" si="6"/>
        <v>-4.3726913993931138E-3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T38"/>
  <sheetViews>
    <sheetView workbookViewId="0">
      <selection activeCell="L5" sqref="L5:R11"/>
    </sheetView>
  </sheetViews>
  <sheetFormatPr defaultRowHeight="15" x14ac:dyDescent="0.25"/>
  <cols>
    <col min="1" max="1" width="16.7109375" customWidth="1" collapsed="1"/>
    <col min="2" max="9" width="12.7109375" customWidth="1" collapsed="1"/>
    <col min="10" max="10" width="3.7109375" customWidth="1" collapsed="1"/>
    <col min="11" max="11" width="16.7109375" customWidth="1" collapsed="1"/>
    <col min="12" max="20" width="12.7109375" customWidth="1" collapsed="1"/>
  </cols>
  <sheetData>
    <row r="2" spans="1:19" ht="15.75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93" t="s">
        <v>18</v>
      </c>
      <c r="C3" s="93"/>
      <c r="D3" s="93"/>
      <c r="E3" s="93"/>
      <c r="F3" s="93"/>
      <c r="G3" s="93"/>
      <c r="H3" s="93"/>
      <c r="I3" s="11"/>
      <c r="K3" s="5"/>
      <c r="L3" s="94" t="s">
        <v>18</v>
      </c>
      <c r="M3" s="94"/>
      <c r="N3" s="94"/>
      <c r="O3" s="94"/>
      <c r="P3" s="94"/>
      <c r="Q3" s="94"/>
      <c r="R3" s="94"/>
      <c r="S3" s="94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>
        <v>51001.967972231403</v>
      </c>
      <c r="C5" s="9">
        <v>13917.4737817184</v>
      </c>
      <c r="D5" s="9">
        <v>6765.1863573211003</v>
      </c>
      <c r="E5" s="9">
        <v>0</v>
      </c>
      <c r="F5" s="9">
        <v>242.3506523824</v>
      </c>
      <c r="G5" s="9">
        <v>944.88064624599997</v>
      </c>
      <c r="H5" s="9">
        <v>0</v>
      </c>
      <c r="I5" s="9">
        <f>SUM(B5:H5)</f>
        <v>72871.859409899305</v>
      </c>
      <c r="J5" s="9"/>
      <c r="K5" s="9" t="s">
        <v>1</v>
      </c>
      <c r="L5" s="9">
        <v>82198</v>
      </c>
      <c r="M5" s="9">
        <v>19257</v>
      </c>
      <c r="N5" s="9">
        <v>7384</v>
      </c>
      <c r="O5" s="9">
        <v>1511</v>
      </c>
      <c r="P5" s="9">
        <v>2781</v>
      </c>
      <c r="Q5" s="9">
        <v>719</v>
      </c>
      <c r="R5" s="9">
        <v>295</v>
      </c>
      <c r="S5" s="9">
        <f>SUM(L5:R5)</f>
        <v>114145</v>
      </c>
    </row>
    <row r="6" spans="1:19" x14ac:dyDescent="0.25">
      <c r="A6" t="s">
        <v>2</v>
      </c>
      <c r="B6" s="9">
        <v>9306.2505931470005</v>
      </c>
      <c r="C6" s="9">
        <v>3363.3165183850997</v>
      </c>
      <c r="D6" s="9">
        <v>976.17787462000001</v>
      </c>
      <c r="E6" s="9">
        <v>0</v>
      </c>
      <c r="F6" s="9">
        <v>692.55247332639999</v>
      </c>
      <c r="G6" s="9">
        <v>1472.875643972</v>
      </c>
      <c r="H6" s="9">
        <v>222.42047894800001</v>
      </c>
      <c r="I6" s="9">
        <f t="shared" ref="I6:I11" si="0">SUM(B6:H6)</f>
        <v>16033.5935823985</v>
      </c>
      <c r="J6" s="9"/>
      <c r="K6" s="9" t="s">
        <v>2</v>
      </c>
      <c r="L6" s="9">
        <v>11311</v>
      </c>
      <c r="M6" s="9">
        <v>7164</v>
      </c>
      <c r="N6" s="9">
        <v>4266</v>
      </c>
      <c r="O6" s="9">
        <v>1021</v>
      </c>
      <c r="P6" s="9">
        <v>2757</v>
      </c>
      <c r="Q6" s="9">
        <v>661</v>
      </c>
      <c r="R6" s="9">
        <v>270</v>
      </c>
      <c r="S6" s="9">
        <f t="shared" ref="S6:S11" si="1">SUM(L6:R6)</f>
        <v>27450</v>
      </c>
    </row>
    <row r="7" spans="1:19" x14ac:dyDescent="0.25">
      <c r="A7" t="s">
        <v>3</v>
      </c>
      <c r="B7" s="9">
        <v>2766.3874999507998</v>
      </c>
      <c r="C7" s="9">
        <v>1137.0213935023999</v>
      </c>
      <c r="D7" s="9">
        <v>633.58902985320003</v>
      </c>
      <c r="E7" s="9">
        <v>174.35436988199999</v>
      </c>
      <c r="F7" s="9">
        <v>1009.6352257102001</v>
      </c>
      <c r="G7" s="9">
        <v>521.29432709320008</v>
      </c>
      <c r="H7" s="9">
        <v>0</v>
      </c>
      <c r="I7" s="9">
        <f t="shared" si="0"/>
        <v>6242.2818459917999</v>
      </c>
      <c r="J7" s="9"/>
      <c r="K7" s="9" t="s">
        <v>3</v>
      </c>
      <c r="L7" s="9">
        <v>4459</v>
      </c>
      <c r="M7" s="9">
        <v>2799</v>
      </c>
      <c r="N7" s="9">
        <v>1635</v>
      </c>
      <c r="O7" s="9">
        <v>388</v>
      </c>
      <c r="P7" s="9">
        <v>1151</v>
      </c>
      <c r="Q7" s="9">
        <v>255</v>
      </c>
      <c r="R7" s="9">
        <v>79</v>
      </c>
      <c r="S7" s="9">
        <f t="shared" si="1"/>
        <v>10766</v>
      </c>
    </row>
    <row r="8" spans="1:19" x14ac:dyDescent="0.25">
      <c r="A8" t="s">
        <v>4</v>
      </c>
      <c r="B8" s="9">
        <v>0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f t="shared" si="0"/>
        <v>0</v>
      </c>
      <c r="J8" s="9"/>
      <c r="K8" t="s">
        <v>4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f t="shared" si="1"/>
        <v>0</v>
      </c>
    </row>
    <row r="9" spans="1:19" x14ac:dyDescent="0.25">
      <c r="A9" t="s">
        <v>5</v>
      </c>
      <c r="B9" s="9">
        <v>1345.57431748</v>
      </c>
      <c r="C9" s="9">
        <v>0</v>
      </c>
      <c r="D9" s="9">
        <v>408.19759243200002</v>
      </c>
      <c r="E9" s="9">
        <v>174.35436988199999</v>
      </c>
      <c r="F9" s="9">
        <v>2701.9006271147</v>
      </c>
      <c r="G9" s="9">
        <v>0</v>
      </c>
      <c r="H9" s="9">
        <v>0</v>
      </c>
      <c r="I9" s="9">
        <f t="shared" si="0"/>
        <v>4630.0269069086999</v>
      </c>
      <c r="J9" s="9"/>
      <c r="K9" s="9" t="s">
        <v>5</v>
      </c>
      <c r="L9" s="9">
        <v>765</v>
      </c>
      <c r="M9" s="9">
        <v>225</v>
      </c>
      <c r="N9" s="9">
        <v>377</v>
      </c>
      <c r="O9" s="9">
        <v>133</v>
      </c>
      <c r="P9" s="9">
        <v>445</v>
      </c>
      <c r="Q9" s="9">
        <v>87</v>
      </c>
      <c r="R9" s="9">
        <v>33</v>
      </c>
      <c r="S9" s="9">
        <f t="shared" si="1"/>
        <v>2065</v>
      </c>
    </row>
    <row r="10" spans="1:19" x14ac:dyDescent="0.25">
      <c r="A10" t="s">
        <v>6</v>
      </c>
      <c r="B10" s="9">
        <v>135.96869297500001</v>
      </c>
      <c r="C10" s="9">
        <v>87.511284617499996</v>
      </c>
      <c r="D10" s="9">
        <v>0</v>
      </c>
      <c r="E10" s="9">
        <v>0</v>
      </c>
      <c r="F10" s="9">
        <v>0</v>
      </c>
      <c r="G10" s="9">
        <v>267.96117124450001</v>
      </c>
      <c r="H10" s="9">
        <v>0</v>
      </c>
      <c r="I10" s="9">
        <f t="shared" si="0"/>
        <v>491.44114883700001</v>
      </c>
      <c r="J10" s="9"/>
      <c r="K10" s="9" t="s">
        <v>6</v>
      </c>
      <c r="L10" s="9">
        <v>192</v>
      </c>
      <c r="M10" s="9">
        <v>65</v>
      </c>
      <c r="N10" s="9">
        <v>80</v>
      </c>
      <c r="O10" s="9">
        <v>17</v>
      </c>
      <c r="P10" s="9">
        <v>47</v>
      </c>
      <c r="Q10" s="9">
        <v>142</v>
      </c>
      <c r="R10" s="9">
        <v>4</v>
      </c>
      <c r="S10" s="9">
        <f t="shared" si="1"/>
        <v>547</v>
      </c>
    </row>
    <row r="11" spans="1:19" x14ac:dyDescent="0.25">
      <c r="A11" s="6" t="s">
        <v>7</v>
      </c>
      <c r="B11" s="14">
        <v>33534.5104241878</v>
      </c>
      <c r="C11" s="14">
        <v>7213.8167689376996</v>
      </c>
      <c r="D11" s="14">
        <v>2934.0662348024998</v>
      </c>
      <c r="E11" s="14">
        <v>4085.8621526686002</v>
      </c>
      <c r="F11" s="14">
        <v>18271.770157481998</v>
      </c>
      <c r="G11" s="14">
        <v>6203.4239979817003</v>
      </c>
      <c r="H11" s="14">
        <v>5058.4522924902003</v>
      </c>
      <c r="I11" s="9">
        <f t="shared" si="0"/>
        <v>77301.902028550496</v>
      </c>
      <c r="J11" s="9"/>
      <c r="K11" s="6" t="s">
        <v>7</v>
      </c>
      <c r="L11" s="12">
        <v>34415</v>
      </c>
      <c r="M11" s="12">
        <v>11382</v>
      </c>
      <c r="N11" s="12">
        <v>8349</v>
      </c>
      <c r="O11" s="12">
        <v>2781</v>
      </c>
      <c r="P11" s="12">
        <v>9598</v>
      </c>
      <c r="Q11" s="12">
        <v>1386</v>
      </c>
      <c r="R11" s="12">
        <v>1398</v>
      </c>
      <c r="S11" s="9">
        <f t="shared" si="1"/>
        <v>69309</v>
      </c>
    </row>
    <row r="12" spans="1:19" ht="15.75" thickBot="1" x14ac:dyDescent="0.3">
      <c r="A12" s="15" t="s">
        <v>19</v>
      </c>
      <c r="B12" s="19">
        <f>SUM(B5:B11)</f>
        <v>98090.659499972011</v>
      </c>
      <c r="C12" s="19">
        <f t="shared" ref="C12:I12" si="2">SUM(C5:C11)</f>
        <v>25719.139747161102</v>
      </c>
      <c r="D12" s="19">
        <f t="shared" si="2"/>
        <v>11717.2170890288</v>
      </c>
      <c r="E12" s="19">
        <f t="shared" si="2"/>
        <v>4434.5708924326</v>
      </c>
      <c r="F12" s="19">
        <f t="shared" si="2"/>
        <v>22918.209136015699</v>
      </c>
      <c r="G12" s="19">
        <f t="shared" si="2"/>
        <v>9410.4357865374004</v>
      </c>
      <c r="H12" s="19">
        <f t="shared" si="2"/>
        <v>5280.8727714382003</v>
      </c>
      <c r="I12" s="19">
        <f t="shared" si="2"/>
        <v>177571.1049225858</v>
      </c>
      <c r="K12" s="13" t="s">
        <v>19</v>
      </c>
      <c r="L12" s="19">
        <f>SUM(L5:L11)</f>
        <v>133340</v>
      </c>
      <c r="M12" s="19">
        <f t="shared" ref="M12:S12" si="3">SUM(M5:M11)</f>
        <v>40892</v>
      </c>
      <c r="N12" s="19">
        <f t="shared" si="3"/>
        <v>22091</v>
      </c>
      <c r="O12" s="19">
        <f t="shared" si="3"/>
        <v>5851</v>
      </c>
      <c r="P12" s="19">
        <f t="shared" si="3"/>
        <v>16779</v>
      </c>
      <c r="Q12" s="19">
        <f t="shared" si="3"/>
        <v>3250</v>
      </c>
      <c r="R12" s="19">
        <f t="shared" si="3"/>
        <v>2079</v>
      </c>
      <c r="S12" s="19">
        <f t="shared" si="3"/>
        <v>224282</v>
      </c>
    </row>
    <row r="15" spans="1:19" ht="15.75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93" t="s">
        <v>18</v>
      </c>
      <c r="C16" s="93"/>
      <c r="D16" s="93"/>
      <c r="E16" s="93"/>
      <c r="F16" s="93"/>
      <c r="G16" s="93"/>
      <c r="H16" s="93"/>
      <c r="I16" s="11"/>
      <c r="K16" s="5"/>
      <c r="L16" s="94" t="s">
        <v>18</v>
      </c>
      <c r="M16" s="94"/>
      <c r="N16" s="94"/>
      <c r="O16" s="94"/>
      <c r="P16" s="94"/>
      <c r="Q16" s="94"/>
      <c r="R16" s="94"/>
      <c r="S16" s="94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0.28721997306074265</v>
      </c>
      <c r="C18" s="16">
        <f t="shared" ref="C18:I18" si="4">C5/$I$12</f>
        <v>7.8376905903614694E-2</v>
      </c>
      <c r="D18" s="16">
        <f t="shared" si="4"/>
        <v>3.8098464050614893E-2</v>
      </c>
      <c r="E18" s="16">
        <f t="shared" si="4"/>
        <v>0</v>
      </c>
      <c r="F18" s="16">
        <f t="shared" si="4"/>
        <v>1.364809057690189E-3</v>
      </c>
      <c r="G18" s="16">
        <f t="shared" si="4"/>
        <v>5.3211396452025892E-3</v>
      </c>
      <c r="H18" s="16">
        <f t="shared" si="4"/>
        <v>0</v>
      </c>
      <c r="I18" s="16">
        <f t="shared" si="4"/>
        <v>0.41038129171786503</v>
      </c>
      <c r="J18" s="9"/>
      <c r="K18" s="9" t="s">
        <v>1</v>
      </c>
      <c r="L18" s="16">
        <f t="shared" ref="L18:S25" si="5">L5/$S$12</f>
        <v>0.36649396741602092</v>
      </c>
      <c r="M18" s="16">
        <f t="shared" si="5"/>
        <v>8.5860657565029738E-2</v>
      </c>
      <c r="N18" s="16">
        <f t="shared" si="5"/>
        <v>3.2922838212607344E-2</v>
      </c>
      <c r="O18" s="16">
        <f t="shared" si="5"/>
        <v>6.7370542442104133E-3</v>
      </c>
      <c r="P18" s="16">
        <f t="shared" si="5"/>
        <v>1.2399568400495805E-2</v>
      </c>
      <c r="Q18" s="16">
        <f t="shared" si="5"/>
        <v>3.2057855735190518E-3</v>
      </c>
      <c r="R18" s="16">
        <f t="shared" si="5"/>
        <v>1.3153084063812523E-3</v>
      </c>
      <c r="S18" s="16">
        <f t="shared" si="5"/>
        <v>0.50893517981826453</v>
      </c>
    </row>
    <row r="19" spans="1:19" x14ac:dyDescent="0.25">
      <c r="A19" t="s">
        <v>2</v>
      </c>
      <c r="B19" s="16">
        <f t="shared" ref="B19:I19" si="6">B6/$I$12</f>
        <v>5.2408586392499894E-2</v>
      </c>
      <c r="C19" s="16">
        <f t="shared" si="6"/>
        <v>1.8940674609483208E-2</v>
      </c>
      <c r="D19" s="16">
        <f t="shared" si="6"/>
        <v>5.4973914536690874E-3</v>
      </c>
      <c r="E19" s="16">
        <f t="shared" si="6"/>
        <v>0</v>
      </c>
      <c r="F19" s="16">
        <f t="shared" si="6"/>
        <v>3.9001417129680325E-3</v>
      </c>
      <c r="G19" s="16">
        <f t="shared" si="6"/>
        <v>8.2945682216378474E-3</v>
      </c>
      <c r="H19" s="16">
        <f t="shared" si="6"/>
        <v>1.2525713518816411E-3</v>
      </c>
      <c r="I19" s="16">
        <f t="shared" si="6"/>
        <v>9.0293933742139704E-2</v>
      </c>
      <c r="J19" s="9"/>
      <c r="K19" s="9" t="s">
        <v>2</v>
      </c>
      <c r="L19" s="16">
        <f t="shared" si="5"/>
        <v>5.043204537145201E-2</v>
      </c>
      <c r="M19" s="16">
        <f t="shared" si="5"/>
        <v>3.1941930248526408E-2</v>
      </c>
      <c r="N19" s="16">
        <f t="shared" si="5"/>
        <v>1.9020697158042107E-2</v>
      </c>
      <c r="O19" s="16">
        <f t="shared" si="5"/>
        <v>4.5523046878483339E-3</v>
      </c>
      <c r="P19" s="16">
        <f t="shared" si="5"/>
        <v>1.2292560258959702E-2</v>
      </c>
      <c r="Q19" s="16">
        <f t="shared" si="5"/>
        <v>2.9471825648068055E-3</v>
      </c>
      <c r="R19" s="16">
        <f t="shared" si="5"/>
        <v>1.203841592281146E-3</v>
      </c>
      <c r="S19" s="16">
        <f t="shared" si="5"/>
        <v>0.12239056188191652</v>
      </c>
    </row>
    <row r="20" spans="1:19" x14ac:dyDescent="0.25">
      <c r="A20" t="s">
        <v>3</v>
      </c>
      <c r="B20" s="16">
        <f t="shared" ref="B20:I20" si="7">B7/$I$12</f>
        <v>1.5579040864541777E-2</v>
      </c>
      <c r="C20" s="16">
        <f t="shared" si="7"/>
        <v>6.4031892688739961E-3</v>
      </c>
      <c r="D20" s="16">
        <f t="shared" si="7"/>
        <v>3.5680863174750227E-3</v>
      </c>
      <c r="E20" s="16">
        <f t="shared" si="7"/>
        <v>9.8188480585291059E-4</v>
      </c>
      <c r="F20" s="16">
        <f t="shared" si="7"/>
        <v>5.6858080944552454E-3</v>
      </c>
      <c r="G20" s="16">
        <f t="shared" si="7"/>
        <v>2.9356934357110884E-3</v>
      </c>
      <c r="H20" s="16">
        <f t="shared" si="7"/>
        <v>0</v>
      </c>
      <c r="I20" s="16">
        <f t="shared" si="7"/>
        <v>3.5153702786910039E-2</v>
      </c>
      <c r="J20" s="9"/>
      <c r="K20" s="9" t="s">
        <v>3</v>
      </c>
      <c r="L20" s="16">
        <f t="shared" si="5"/>
        <v>1.9881220962894929E-2</v>
      </c>
      <c r="M20" s="16">
        <f t="shared" si="5"/>
        <v>1.247982450664788E-2</v>
      </c>
      <c r="N20" s="16">
        <f t="shared" si="5"/>
        <v>7.2899296421469403E-3</v>
      </c>
      <c r="O20" s="16">
        <f t="shared" si="5"/>
        <v>1.7299649548336469E-3</v>
      </c>
      <c r="P20" s="16">
        <f t="shared" si="5"/>
        <v>5.1319321211688853E-3</v>
      </c>
      <c r="Q20" s="16">
        <f t="shared" si="5"/>
        <v>1.1369615038210824E-3</v>
      </c>
      <c r="R20" s="16">
        <f t="shared" si="5"/>
        <v>3.5223513255633532E-4</v>
      </c>
      <c r="S20" s="16">
        <f t="shared" si="5"/>
        <v>4.8002068824069696E-2</v>
      </c>
    </row>
    <row r="21" spans="1:19" x14ac:dyDescent="0.2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25">
      <c r="A22" t="s">
        <v>5</v>
      </c>
      <c r="B22" s="16">
        <f t="shared" ref="B22:I22" si="9">B9/$I$12</f>
        <v>7.5776648349776213E-3</v>
      </c>
      <c r="C22" s="16">
        <f t="shared" si="9"/>
        <v>0</v>
      </c>
      <c r="D22" s="16">
        <f t="shared" si="9"/>
        <v>2.2987838737048944E-3</v>
      </c>
      <c r="E22" s="16">
        <f t="shared" si="9"/>
        <v>9.8188480585291059E-4</v>
      </c>
      <c r="F22" s="16">
        <f t="shared" si="9"/>
        <v>1.5215880017712484E-2</v>
      </c>
      <c r="G22" s="16">
        <f t="shared" si="9"/>
        <v>0</v>
      </c>
      <c r="H22" s="16">
        <f t="shared" si="9"/>
        <v>0</v>
      </c>
      <c r="I22" s="16">
        <f t="shared" si="9"/>
        <v>2.6074213532247908E-2</v>
      </c>
      <c r="J22" s="9"/>
      <c r="K22" s="9" t="s">
        <v>5</v>
      </c>
      <c r="L22" s="16">
        <f t="shared" si="5"/>
        <v>3.4108845114632471E-3</v>
      </c>
      <c r="M22" s="16">
        <f t="shared" si="5"/>
        <v>1.0032013269009551E-3</v>
      </c>
      <c r="N22" s="16">
        <f t="shared" si="5"/>
        <v>1.6809195566296002E-3</v>
      </c>
      <c r="O22" s="16">
        <f t="shared" si="5"/>
        <v>5.9300345101256458E-4</v>
      </c>
      <c r="P22" s="16">
        <f t="shared" si="5"/>
        <v>1.9841092909818887E-3</v>
      </c>
      <c r="Q22" s="16">
        <f t="shared" si="5"/>
        <v>3.8790451306836926E-4</v>
      </c>
      <c r="R22" s="16">
        <f t="shared" si="5"/>
        <v>1.4713619461214006E-4</v>
      </c>
      <c r="S22" s="16">
        <f t="shared" si="5"/>
        <v>9.2071588446687655E-3</v>
      </c>
    </row>
    <row r="23" spans="1:19" x14ac:dyDescent="0.25">
      <c r="A23" t="s">
        <v>6</v>
      </c>
      <c r="B23" s="16">
        <f t="shared" ref="B23:I23" si="10">B10/$I$12</f>
        <v>7.6571406724239928E-4</v>
      </c>
      <c r="C23" s="16">
        <f t="shared" si="10"/>
        <v>4.9282390091367383E-4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1.5090358950084859E-3</v>
      </c>
      <c r="H23" s="16">
        <f t="shared" si="10"/>
        <v>0</v>
      </c>
      <c r="I23" s="16">
        <f t="shared" si="10"/>
        <v>2.7675738631645591E-3</v>
      </c>
      <c r="J23" s="9"/>
      <c r="K23" s="9" t="s">
        <v>6</v>
      </c>
      <c r="L23" s="16">
        <f t="shared" si="5"/>
        <v>8.5606513228881492E-4</v>
      </c>
      <c r="M23" s="16">
        <f t="shared" si="5"/>
        <v>2.8981371666027592E-4</v>
      </c>
      <c r="N23" s="16">
        <f t="shared" si="5"/>
        <v>3.5669380512033959E-4</v>
      </c>
      <c r="O23" s="16">
        <f t="shared" si="5"/>
        <v>7.5797433588072164E-5</v>
      </c>
      <c r="P23" s="16">
        <f t="shared" si="5"/>
        <v>2.095576105081995E-4</v>
      </c>
      <c r="Q23" s="16">
        <f t="shared" si="5"/>
        <v>6.3313150408860278E-4</v>
      </c>
      <c r="R23" s="16">
        <f t="shared" si="5"/>
        <v>1.7834690256016979E-5</v>
      </c>
      <c r="S23" s="16">
        <f t="shared" si="5"/>
        <v>2.4388938925103219E-3</v>
      </c>
    </row>
    <row r="24" spans="1:19" x14ac:dyDescent="0.25">
      <c r="A24" s="6" t="s">
        <v>7</v>
      </c>
      <c r="B24" s="17">
        <f t="shared" ref="B24:I24" si="11">B11/$I$12</f>
        <v>0.188851167191912</v>
      </c>
      <c r="C24" s="17">
        <f t="shared" si="11"/>
        <v>4.0624947240614669E-2</v>
      </c>
      <c r="D24" s="17">
        <f t="shared" si="11"/>
        <v>1.6523331518839397E-2</v>
      </c>
      <c r="E24" s="17">
        <f t="shared" si="11"/>
        <v>2.3009724214138778E-2</v>
      </c>
      <c r="F24" s="17">
        <f t="shared" si="11"/>
        <v>0.10289833002642965</v>
      </c>
      <c r="G24" s="17">
        <f t="shared" si="11"/>
        <v>3.4934872994602108E-2</v>
      </c>
      <c r="H24" s="17">
        <f t="shared" si="11"/>
        <v>2.8486911171136158E-2</v>
      </c>
      <c r="I24" s="16">
        <f t="shared" si="11"/>
        <v>0.43532928435767276</v>
      </c>
      <c r="J24" s="9"/>
      <c r="K24" s="6" t="s">
        <v>7</v>
      </c>
      <c r="L24" s="20">
        <f t="shared" si="5"/>
        <v>0.15344521629020608</v>
      </c>
      <c r="M24" s="20">
        <f t="shared" si="5"/>
        <v>5.0748611123496309E-2</v>
      </c>
      <c r="N24" s="20">
        <f t="shared" si="5"/>
        <v>3.7225457236871436E-2</v>
      </c>
      <c r="O24" s="20">
        <f t="shared" si="5"/>
        <v>1.2399568400495805E-2</v>
      </c>
      <c r="P24" s="20">
        <f t="shared" si="5"/>
        <v>4.2794339269312739E-2</v>
      </c>
      <c r="Q24" s="20">
        <f t="shared" si="5"/>
        <v>6.1797201737098829E-3</v>
      </c>
      <c r="R24" s="20">
        <f t="shared" si="5"/>
        <v>6.2332242444779343E-3</v>
      </c>
      <c r="S24" s="16">
        <f t="shared" si="5"/>
        <v>0.30902613673857021</v>
      </c>
    </row>
    <row r="25" spans="1:19" ht="15.75" thickBot="1" x14ac:dyDescent="0.3">
      <c r="A25" s="15" t="s">
        <v>19</v>
      </c>
      <c r="B25" s="18">
        <f t="shared" ref="B25:I25" si="12">B12/$I$12</f>
        <v>0.55240214641191643</v>
      </c>
      <c r="C25" s="18">
        <f t="shared" si="12"/>
        <v>0.14483854092350026</v>
      </c>
      <c r="D25" s="18">
        <f t="shared" si="12"/>
        <v>6.5986057214303298E-2</v>
      </c>
      <c r="E25" s="18">
        <f t="shared" si="12"/>
        <v>2.49734938258446E-2</v>
      </c>
      <c r="F25" s="18">
        <f t="shared" si="12"/>
        <v>0.12906496890925559</v>
      </c>
      <c r="G25" s="18">
        <f t="shared" si="12"/>
        <v>5.2995310192162116E-2</v>
      </c>
      <c r="H25" s="18">
        <f t="shared" si="12"/>
        <v>2.97394825230178E-2</v>
      </c>
      <c r="I25" s="18">
        <f t="shared" si="12"/>
        <v>1</v>
      </c>
      <c r="K25" s="13" t="s">
        <v>19</v>
      </c>
      <c r="L25" s="18">
        <f t="shared" si="5"/>
        <v>0.59451939968432599</v>
      </c>
      <c r="M25" s="18">
        <f t="shared" si="5"/>
        <v>0.18232403848726159</v>
      </c>
      <c r="N25" s="18">
        <f t="shared" si="5"/>
        <v>9.8496535611417774E-2</v>
      </c>
      <c r="O25" s="18">
        <f t="shared" si="5"/>
        <v>2.6087693171988835E-2</v>
      </c>
      <c r="P25" s="18">
        <f t="shared" si="5"/>
        <v>7.4812066951427225E-2</v>
      </c>
      <c r="Q25" s="18">
        <f t="shared" si="5"/>
        <v>1.4490685833013795E-2</v>
      </c>
      <c r="R25" s="18">
        <f t="shared" si="5"/>
        <v>9.2695802605648244E-3</v>
      </c>
      <c r="S25" s="18">
        <f t="shared" si="5"/>
        <v>1</v>
      </c>
    </row>
    <row r="28" spans="1:19" ht="15.75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94" t="s">
        <v>18</v>
      </c>
      <c r="M29" s="94"/>
      <c r="N29" s="94"/>
      <c r="O29" s="94"/>
      <c r="P29" s="94"/>
      <c r="Q29" s="94"/>
      <c r="R29" s="94"/>
      <c r="S29" s="94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t="shared" ref="L31:S33" si="13">L18-B18</f>
        <v>7.9273994355278266E-2</v>
      </c>
      <c r="M31" s="16">
        <f t="shared" si="13"/>
        <v>7.4837516614150446E-3</v>
      </c>
      <c r="N31" s="16">
        <f t="shared" si="13"/>
        <v>-5.1756258380075484E-3</v>
      </c>
      <c r="O31" s="16">
        <f t="shared" si="13"/>
        <v>6.7370542442104133E-3</v>
      </c>
      <c r="P31" s="16">
        <f t="shared" si="13"/>
        <v>1.1034759342805615E-2</v>
      </c>
      <c r="Q31" s="16">
        <f t="shared" si="13"/>
        <v>-2.1153540716835374E-3</v>
      </c>
      <c r="R31" s="16">
        <f t="shared" si="13"/>
        <v>1.3153084063812523E-3</v>
      </c>
      <c r="S31" s="16">
        <f t="shared" si="13"/>
        <v>9.85538881003995E-2</v>
      </c>
    </row>
    <row r="32" spans="1:19" x14ac:dyDescent="0.25">
      <c r="K32" s="9" t="s">
        <v>2</v>
      </c>
      <c r="L32" s="16">
        <f t="shared" si="13"/>
        <v>-1.976541021047884E-3</v>
      </c>
      <c r="M32" s="16">
        <f t="shared" si="13"/>
        <v>1.30012556390432E-2</v>
      </c>
      <c r="N32" s="16">
        <f t="shared" si="13"/>
        <v>1.3523305704373019E-2</v>
      </c>
      <c r="O32" s="16">
        <f t="shared" si="13"/>
        <v>4.5523046878483339E-3</v>
      </c>
      <c r="P32" s="16">
        <f t="shared" si="13"/>
        <v>8.392418545991669E-3</v>
      </c>
      <c r="Q32" s="16">
        <f t="shared" si="13"/>
        <v>-5.3473856568310423E-3</v>
      </c>
      <c r="R32" s="16">
        <f t="shared" si="13"/>
        <v>-4.8729759600495094E-5</v>
      </c>
      <c r="S32" s="16">
        <f t="shared" si="13"/>
        <v>3.2096628139776817E-2</v>
      </c>
    </row>
    <row r="33" spans="11:19" x14ac:dyDescent="0.25">
      <c r="K33" s="9" t="s">
        <v>3</v>
      </c>
      <c r="L33" s="16">
        <f t="shared" si="13"/>
        <v>4.3021800983531512E-3</v>
      </c>
      <c r="M33" s="16">
        <f t="shared" si="13"/>
        <v>6.0766352377738843E-3</v>
      </c>
      <c r="N33" s="16">
        <f t="shared" si="13"/>
        <v>3.7218433246719177E-3</v>
      </c>
      <c r="O33" s="16">
        <f t="shared" si="13"/>
        <v>7.4808014898073631E-4</v>
      </c>
      <c r="P33" s="16">
        <f t="shared" si="13"/>
        <v>-5.5387597328636004E-4</v>
      </c>
      <c r="Q33" s="16">
        <f t="shared" si="13"/>
        <v>-1.7987319318900059E-3</v>
      </c>
      <c r="R33" s="16">
        <f t="shared" si="13"/>
        <v>3.5223513255633532E-4</v>
      </c>
      <c r="S33" s="16">
        <f t="shared" si="13"/>
        <v>1.2848366037159657E-2</v>
      </c>
    </row>
    <row r="34" spans="11:19" x14ac:dyDescent="0.2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25">
      <c r="K35" s="9" t="s">
        <v>5</v>
      </c>
      <c r="L35" s="16">
        <f>L22-B22</f>
        <v>-4.1667803235143743E-3</v>
      </c>
      <c r="M35" s="16">
        <f t="shared" ref="M35:S38" si="15">M22-C22</f>
        <v>1.0032013269009551E-3</v>
      </c>
      <c r="N35" s="16">
        <f t="shared" si="15"/>
        <v>-6.1786431707529428E-4</v>
      </c>
      <c r="O35" s="16">
        <f t="shared" si="15"/>
        <v>-3.8888135484034601E-4</v>
      </c>
      <c r="P35" s="16">
        <f t="shared" si="15"/>
        <v>-1.3231770726730594E-2</v>
      </c>
      <c r="Q35" s="16">
        <f t="shared" si="15"/>
        <v>3.8790451306836926E-4</v>
      </c>
      <c r="R35" s="16">
        <f t="shared" si="15"/>
        <v>1.4713619461214006E-4</v>
      </c>
      <c r="S35" s="16">
        <f t="shared" si="15"/>
        <v>-1.6867054687579142E-2</v>
      </c>
    </row>
    <row r="36" spans="11:19" x14ac:dyDescent="0.25">
      <c r="K36" s="9" t="s">
        <v>6</v>
      </c>
      <c r="L36" s="16">
        <f>L23-B23</f>
        <v>9.0351065046415644E-5</v>
      </c>
      <c r="M36" s="16">
        <f t="shared" si="15"/>
        <v>-2.0301018425339791E-4</v>
      </c>
      <c r="N36" s="16">
        <f t="shared" si="15"/>
        <v>3.5669380512033959E-4</v>
      </c>
      <c r="O36" s="16">
        <f t="shared" si="15"/>
        <v>7.5797433588072164E-5</v>
      </c>
      <c r="P36" s="16">
        <f t="shared" si="15"/>
        <v>2.095576105081995E-4</v>
      </c>
      <c r="Q36" s="16">
        <f t="shared" si="15"/>
        <v>-8.759043909198831E-4</v>
      </c>
      <c r="R36" s="16">
        <f t="shared" si="15"/>
        <v>1.7834690256016979E-5</v>
      </c>
      <c r="S36" s="16">
        <f t="shared" si="15"/>
        <v>-3.2867997065423723E-4</v>
      </c>
    </row>
    <row r="37" spans="11:19" x14ac:dyDescent="0.25">
      <c r="K37" s="6" t="s">
        <v>7</v>
      </c>
      <c r="L37" s="20">
        <f>L24-B24</f>
        <v>-3.5405950901705924E-2</v>
      </c>
      <c r="M37" s="20">
        <f t="shared" si="15"/>
        <v>1.0123663882881641E-2</v>
      </c>
      <c r="N37" s="20">
        <f t="shared" si="15"/>
        <v>2.0702125718032038E-2</v>
      </c>
      <c r="O37" s="20">
        <f t="shared" si="15"/>
        <v>-1.0610155813642974E-2</v>
      </c>
      <c r="P37" s="20">
        <f t="shared" si="15"/>
        <v>-6.0103990757116907E-2</v>
      </c>
      <c r="Q37" s="20">
        <f t="shared" si="15"/>
        <v>-2.8755152820892225E-2</v>
      </c>
      <c r="R37" s="20">
        <f t="shared" si="15"/>
        <v>-2.2253686926658224E-2</v>
      </c>
      <c r="S37" s="16">
        <f t="shared" si="15"/>
        <v>-0.12630314761910255</v>
      </c>
    </row>
    <row r="38" spans="11:19" ht="15.75" thickBot="1" x14ac:dyDescent="0.3">
      <c r="K38" s="13" t="s">
        <v>19</v>
      </c>
      <c r="L38" s="18">
        <f>L25-B25</f>
        <v>4.2117253272409561E-2</v>
      </c>
      <c r="M38" s="18">
        <f t="shared" si="15"/>
        <v>3.7485497563761322E-2</v>
      </c>
      <c r="N38" s="18">
        <f t="shared" si="15"/>
        <v>3.2510478397114476E-2</v>
      </c>
      <c r="O38" s="18">
        <f t="shared" si="15"/>
        <v>1.1141993461442345E-3</v>
      </c>
      <c r="P38" s="18">
        <f t="shared" si="15"/>
        <v>-5.4252901957828364E-2</v>
      </c>
      <c r="Q38" s="18">
        <f t="shared" si="15"/>
        <v>-3.8504624359148323E-2</v>
      </c>
      <c r="R38" s="18">
        <f t="shared" si="15"/>
        <v>-2.0469902262452974E-2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width="11" bestFit="1" customWidth="1" collapsed="1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K134"/>
  <sheetViews>
    <sheetView topLeftCell="A4" workbookViewId="0">
      <selection activeCell="A8" sqref="A8:K13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0.51430888699999999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0.44708751299999999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-0.35387644200000001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9.2856180000000007E-3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4.4706600000000003E-5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0.19300757900000001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0.42372318599999997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-6.5359500000000005E-7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300</v>
      </c>
      <c r="D48" s="35" t="s">
        <v>73</v>
      </c>
      <c r="E48" s="35">
        <v>0</v>
      </c>
      <c r="F48">
        <v>0</v>
      </c>
    </row>
    <row r="49" spans="2:6" x14ac:dyDescent="0.2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2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2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2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2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2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2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2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25">
      <c r="B57">
        <v>301</v>
      </c>
      <c r="C57" t="s">
        <v>309</v>
      </c>
      <c r="D57" t="s">
        <v>73</v>
      </c>
      <c r="E57">
        <v>0</v>
      </c>
      <c r="F57" s="35">
        <v>0</v>
      </c>
    </row>
    <row r="58" spans="2:6" x14ac:dyDescent="0.2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25">
      <c r="B59">
        <v>303</v>
      </c>
      <c r="C59" s="35" t="s">
        <v>311</v>
      </c>
      <c r="D59" s="35" t="s">
        <v>73</v>
      </c>
      <c r="E59" s="35">
        <v>0</v>
      </c>
      <c r="F59">
        <v>0</v>
      </c>
    </row>
    <row r="60" spans="2:6" x14ac:dyDescent="0.2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2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2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2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2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2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2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2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25">
      <c r="B68">
        <v>99</v>
      </c>
      <c r="C68" t="s">
        <v>106</v>
      </c>
      <c r="D68" t="s">
        <v>64</v>
      </c>
      <c r="E68">
        <v>0.53642515987899997</v>
      </c>
      <c r="F68" s="35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35">
        <v>-7038.2122773399997</v>
      </c>
      <c r="D70" s="35">
        <v>-9577.4811960099996</v>
      </c>
      <c r="E70" s="35">
        <v>-4910.39365825</v>
      </c>
    </row>
    <row r="71" spans="2:11" x14ac:dyDescent="0.2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1.6366214969999999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0.91289459500000003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-5.0045351000000002E-2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-5.0746489999999998E-2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3.1769310329999998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25">
      <c r="B49">
        <v>168</v>
      </c>
      <c r="C49" t="s">
        <v>103</v>
      </c>
      <c r="D49" t="s">
        <v>64</v>
      </c>
      <c r="E49" s="35">
        <v>1.1363600000000001E-5</v>
      </c>
      <c r="F49" s="35">
        <v>1.31537878938E-5</v>
      </c>
    </row>
    <row r="50" spans="2:6" x14ac:dyDescent="0.2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298</v>
      </c>
      <c r="D52" t="s">
        <v>73</v>
      </c>
      <c r="E52">
        <v>0</v>
      </c>
      <c r="F52" s="35">
        <v>0</v>
      </c>
    </row>
    <row r="53" spans="2:6" x14ac:dyDescent="0.2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25">
      <c r="B54">
        <v>203</v>
      </c>
      <c r="C54" s="35" t="s">
        <v>300</v>
      </c>
      <c r="D54" s="35" t="s">
        <v>73</v>
      </c>
      <c r="E54" s="35">
        <v>0</v>
      </c>
      <c r="F54">
        <v>0</v>
      </c>
    </row>
    <row r="55" spans="2:6" x14ac:dyDescent="0.2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2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2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2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2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2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2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2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2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2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2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2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2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2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2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2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2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2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2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25">
      <c r="B74">
        <v>99</v>
      </c>
      <c r="C74" t="s">
        <v>106</v>
      </c>
      <c r="D74" t="s">
        <v>64</v>
      </c>
      <c r="E74">
        <v>0.78311080353600004</v>
      </c>
      <c r="F74" s="35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35">
        <v>-4862.5542158400003</v>
      </c>
      <c r="D76" s="35">
        <v>-5385.7599593000004</v>
      </c>
      <c r="E76" s="35">
        <v>-3079.5241074099999</v>
      </c>
    </row>
    <row r="77" spans="2:11" x14ac:dyDescent="0.2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1.335394824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0.52987540499999997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1.7160893999999999E-2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0.55327396100000004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249</v>
      </c>
      <c r="D26" t="s">
        <v>64</v>
      </c>
      <c r="E26">
        <v>0.541504192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0.46184606099999997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0.65961163700000003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0.51412339799999995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0.22481870400000001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0.15232257399999999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-8.9289955000000004E-2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-0.79057828100000005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-8.2669199999999998E-2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4.0664499999999997E-5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0.20969220399999999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-4.3232317999999999E-2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0.46798410400000001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2.09633E-4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-2.9531000000000002E-6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1.3793900000000001E-4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-6.1957300000000002E-6</v>
      </c>
      <c r="F54" s="35">
        <v>4.64771480534E-5</v>
      </c>
    </row>
    <row r="55" spans="2:6" x14ac:dyDescent="0.25">
      <c r="B55">
        <v>201</v>
      </c>
      <c r="C55" t="s">
        <v>298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300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2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2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25">
      <c r="B66">
        <v>301</v>
      </c>
      <c r="C66" t="s">
        <v>309</v>
      </c>
      <c r="D66" t="s">
        <v>73</v>
      </c>
      <c r="E66">
        <v>0</v>
      </c>
      <c r="F66" s="35">
        <v>0</v>
      </c>
    </row>
    <row r="67" spans="2:6" x14ac:dyDescent="0.2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25">
      <c r="B68">
        <v>303</v>
      </c>
      <c r="C68" s="35" t="s">
        <v>311</v>
      </c>
      <c r="D68" s="35" t="s">
        <v>73</v>
      </c>
      <c r="E68" s="35">
        <v>0</v>
      </c>
      <c r="F68">
        <v>0</v>
      </c>
    </row>
    <row r="69" spans="2:6" x14ac:dyDescent="0.2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2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2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2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2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2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2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2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25">
      <c r="F77" s="35"/>
    </row>
    <row r="78" spans="2:6" x14ac:dyDescent="0.25">
      <c r="B78">
        <v>99</v>
      </c>
      <c r="C78" t="s">
        <v>106</v>
      </c>
      <c r="D78" t="s">
        <v>64</v>
      </c>
      <c r="E78">
        <v>0.87615014565899996</v>
      </c>
      <c r="F78" s="35">
        <v>4.6027559906999999E-2</v>
      </c>
    </row>
    <row r="79" spans="2:6" x14ac:dyDescent="0.25">
      <c r="B79">
        <v>-1</v>
      </c>
      <c r="C79" s="35"/>
      <c r="D79" s="35"/>
      <c r="E79" s="35"/>
    </row>
    <row r="80" spans="2:6" x14ac:dyDescent="0.25">
      <c r="B80">
        <v>8060</v>
      </c>
      <c r="C80" s="35">
        <v>-10930.082431500001</v>
      </c>
      <c r="D80" s="35">
        <v>-13318.5283795</v>
      </c>
      <c r="E80" s="35">
        <v>-7668.86425667</v>
      </c>
    </row>
    <row r="81" spans="2:11" x14ac:dyDescent="0.2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254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-0.40221770000000001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BD130"/>
  <sheetViews>
    <sheetView tabSelected="1" topLeftCell="V40" workbookViewId="0">
      <selection activeCell="AK56" sqref="AK56"/>
    </sheetView>
  </sheetViews>
  <sheetFormatPr defaultRowHeight="15" x14ac:dyDescent="0.25"/>
  <cols>
    <col min="2" max="2" width="14.140625" bestFit="1" customWidth="1" collapsed="1"/>
    <col min="3" max="3" width="10.5703125" bestFit="1" customWidth="1" collapsed="1"/>
    <col min="18" max="18" width="13.85546875" customWidth="1" collapsed="1"/>
    <col min="19" max="19" width="11.7109375" customWidth="1" collapsed="1"/>
    <col min="20" max="20" width="10.140625" customWidth="1" collapsed="1"/>
    <col min="21" max="21" width="10.42578125" customWidth="1" collapsed="1"/>
    <col min="25" max="25" width="17" bestFit="1" customWidth="1" collapsed="1"/>
    <col min="26" max="28" width="10.28515625" bestFit="1" customWidth="1" collapsed="1"/>
    <col min="29" max="29" width="10.85546875" customWidth="1" collapsed="1"/>
    <col min="34" max="34" width="11" bestFit="1" customWidth="1" collapsed="1"/>
    <col min="36" max="36" width="10.28515625" bestFit="1" customWidth="1" collapsed="1"/>
    <col min="38" max="38" width="9.140625" style="59" collapsed="1"/>
    <col min="39" max="39" width="11" bestFit="1" customWidth="1" collapsed="1"/>
    <col min="40" max="41" width="9.28515625" bestFit="1" customWidth="1" collapsed="1"/>
    <col min="43" max="43" width="9.140625" style="59" collapsed="1"/>
    <col min="48" max="48" width="9.140625" style="59" collapsed="1"/>
    <col min="49" max="49" width="11.7109375" bestFit="1" customWidth="1" collapsed="1"/>
    <col min="50" max="51" width="12.7109375" bestFit="1" customWidth="1" collapsed="1"/>
    <col min="53" max="53" width="9.140625" style="59" collapsed="1"/>
  </cols>
  <sheetData>
    <row r="1" spans="2:56" x14ac:dyDescent="0.25">
      <c r="R1" s="36" t="s">
        <v>272</v>
      </c>
      <c r="S1" s="64"/>
      <c r="T1" s="64"/>
      <c r="U1" s="64"/>
      <c r="V1" s="64"/>
      <c r="W1" s="65"/>
      <c r="AG1" s="36" t="s">
        <v>259</v>
      </c>
      <c r="AL1" s="63" t="s">
        <v>260</v>
      </c>
      <c r="AQ1" s="63" t="s">
        <v>261</v>
      </c>
      <c r="AV1" s="63" t="s">
        <v>262</v>
      </c>
      <c r="BA1" s="63" t="s">
        <v>263</v>
      </c>
    </row>
    <row r="2" spans="2:56" x14ac:dyDescent="0.25">
      <c r="B2" t="s">
        <v>194</v>
      </c>
      <c r="R2" s="64"/>
      <c r="S2" s="36" t="s">
        <v>264</v>
      </c>
      <c r="U2" s="64"/>
      <c r="V2" s="64"/>
      <c r="W2" s="65"/>
      <c r="AI2" s="51" t="s">
        <v>242</v>
      </c>
      <c r="AJ2" s="51" t="s">
        <v>243</v>
      </c>
      <c r="AN2" s="51" t="s">
        <v>242</v>
      </c>
      <c r="AO2" s="51" t="s">
        <v>243</v>
      </c>
      <c r="AS2" s="51" t="s">
        <v>242</v>
      </c>
      <c r="AT2" s="51" t="s">
        <v>243</v>
      </c>
      <c r="AX2" s="51" t="s">
        <v>242</v>
      </c>
      <c r="AY2" s="51" t="s">
        <v>243</v>
      </c>
      <c r="BC2" s="51" t="s">
        <v>242</v>
      </c>
      <c r="BD2" s="51" t="s">
        <v>243</v>
      </c>
    </row>
    <row r="3" spans="2:56" ht="15.75" thickBot="1" x14ac:dyDescent="0.3">
      <c r="R3">
        <v>1</v>
      </c>
      <c r="S3" s="66" t="s">
        <v>273</v>
      </c>
      <c r="U3" s="64"/>
      <c r="V3" s="64"/>
      <c r="W3" s="65"/>
      <c r="AG3" s="59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91">
        <f>_xlfn.IFNA(VLOOKUP(AG3,$S$55:$AD$62,8,FALSE),_xlfn.IFNA(VLOOKUP(AG3, $Z$106:$AC$130,2,FALSE),AI3))</f>
        <v>0.98306756399999995</v>
      </c>
      <c r="AL3" s="59">
        <f>SchoolCoeffcients!B11</f>
        <v>1</v>
      </c>
      <c r="AM3" t="str">
        <f>SchoolCoeffcients!C11</f>
        <v>costutil</v>
      </c>
      <c r="AN3" s="55">
        <f>SchoolCoeffcients!E11</f>
        <v>1.6366214969999999</v>
      </c>
      <c r="AO3" s="62">
        <f>_xlfn.IFNA(VLOOKUP(AL3,$T$55:$AD$62,8,FALSE),_xlfn.IFNA(VLOOKUP(AL3, $Z$106:$AC$130,3,FALSE),AN3))</f>
        <v>1.6366214969999999</v>
      </c>
      <c r="AQ3" s="59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62">
        <f>_xlfn.IFNA(VLOOKUP(AQ3,$U$55:$AD$62,8,FALSE),AS3)</f>
        <v>2.5944321850000001</v>
      </c>
      <c r="AV3" s="59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62">
        <f>_xlfn.IFNA(VLOOKUP(AV3,$V$55:$AD$62,8,FALSE),_xlfn.IFNA(VLOOKUP(AV3, $Z$106:$AC$130,4,FALSE),AX3))</f>
        <v>0.46184606099999997</v>
      </c>
      <c r="BA3" s="59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62">
        <f>_xlfn.IFNA(VLOOKUP(BA3,$W$55:$AD$62,8,FALSE),BC3)</f>
        <v>1.1237337000000001</v>
      </c>
    </row>
    <row r="4" spans="2:56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R4">
        <v>2</v>
      </c>
      <c r="S4" s="66" t="s">
        <v>274</v>
      </c>
      <c r="U4" s="64"/>
      <c r="V4" s="64"/>
      <c r="W4" s="65"/>
      <c r="AG4" s="59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91">
        <f t="shared" ref="AJ4:AJ60" si="0">_xlfn.IFNA(VLOOKUP(AG4,$S$55:$AD$62,8,FALSE),_xlfn.IFNA(VLOOKUP(AG4, $Z$106:$AC$130,2,FALSE),AI4))</f>
        <v>0.51430888699999999</v>
      </c>
      <c r="AL4" s="59">
        <f>SchoolCoeffcients!B12</f>
        <v>2</v>
      </c>
      <c r="AM4" t="str">
        <f>SchoolCoeffcients!C12</f>
        <v>timeutil</v>
      </c>
      <c r="AN4" s="55">
        <f>SchoolCoeffcients!E12</f>
        <v>0.91289459500000003</v>
      </c>
      <c r="AO4" s="62">
        <f t="shared" ref="AO4:AO66" si="1">_xlfn.IFNA(VLOOKUP(AL4,$T$55:$AD$62,8,FALSE),_xlfn.IFNA(VLOOKUP(AL4, $Z$106:$AC$130,3,FALSE),AN4))</f>
        <v>0.91289459500000003</v>
      </c>
      <c r="AQ4" s="59">
        <f>EscortCoefficients!B12</f>
        <v>30</v>
      </c>
      <c r="AR4" s="54" t="str">
        <f>EscortCoefficients!C12</f>
        <v>s3-const</v>
      </c>
      <c r="AS4" s="54">
        <f>EscortCoefficients!E12</f>
        <v>-1.160280357</v>
      </c>
      <c r="AT4" s="62">
        <f t="shared" ref="AT4:AT18" si="2">_xlfn.IFNA(VLOOKUP(AQ4,$U$55:$AD$62,8,FALSE),AS4)</f>
        <v>-1.1318816750842642</v>
      </c>
      <c r="AV4" s="59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62">
        <f t="shared" ref="AY4:AY67" si="3">_xlfn.IFNA(VLOOKUP(AV4,$V$55:$AD$62,8,FALSE),_xlfn.IFNA(VLOOKUP(AV4, $Z$106:$AC$130,4,FALSE),AX4))</f>
        <v>0.65961163700000003</v>
      </c>
      <c r="BA4" s="59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62">
        <f t="shared" ref="BD4:BD19" si="4">_xlfn.IFNA(VLOOKUP(BA4,$W$55:$AD$62,8,FALSE),BC4)</f>
        <v>0.86183609999999999</v>
      </c>
    </row>
    <row r="5" spans="2:56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R5">
        <v>3</v>
      </c>
      <c r="S5" s="64" t="s">
        <v>276</v>
      </c>
      <c r="T5" s="64"/>
      <c r="U5" s="64"/>
      <c r="V5" s="64"/>
      <c r="W5" s="65"/>
      <c r="AG5" s="59">
        <f>WorkCoefficients!B13</f>
        <v>10</v>
      </c>
      <c r="AH5" s="54" t="str">
        <f>WorkCoefficients!C13</f>
        <v>dt-const</v>
      </c>
      <c r="AI5" s="54">
        <f>WorkCoefficients!E13</f>
        <v>-4.1251959730000003</v>
      </c>
      <c r="AJ5" s="91">
        <f t="shared" si="0"/>
        <v>-4.425021539530638</v>
      </c>
      <c r="AL5" s="59">
        <f>SchoolCoeffcients!B13</f>
        <v>10</v>
      </c>
      <c r="AM5" s="54" t="str">
        <f>SchoolCoeffcients!C13</f>
        <v>sb-const</v>
      </c>
      <c r="AN5" s="56">
        <f>SchoolCoeffcients!E13</f>
        <v>-0.27978488299999998</v>
      </c>
      <c r="AO5" s="62">
        <f t="shared" si="1"/>
        <v>-0.38738748366347281</v>
      </c>
      <c r="AQ5" s="59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62">
        <f t="shared" si="2"/>
        <v>1.335394824</v>
      </c>
      <c r="AV5" s="59">
        <f>OtherCoefficients!B13</f>
        <v>20</v>
      </c>
      <c r="AW5" s="54" t="str">
        <f>OtherCoefficients!C13</f>
        <v>wt-const</v>
      </c>
      <c r="AX5" s="54">
        <f>OtherCoefficients!E13</f>
        <v>-3.2974451419999999</v>
      </c>
      <c r="AY5" s="62">
        <f t="shared" si="3"/>
        <v>-2.9384149669835247</v>
      </c>
      <c r="BA5" s="59">
        <f>WorkBasedCoefficients!B13</f>
        <v>20</v>
      </c>
      <c r="BB5" s="54" t="str">
        <f>WorkBasedCoefficients!C13</f>
        <v>wt-const</v>
      </c>
      <c r="BC5" s="54">
        <f>WorkBasedCoefficients!E13</f>
        <v>-5.6403108</v>
      </c>
      <c r="BD5" s="62">
        <f t="shared" si="4"/>
        <v>-6.527323915703402</v>
      </c>
    </row>
    <row r="6" spans="2:56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4" t="s">
        <v>265</v>
      </c>
      <c r="T6" s="64"/>
      <c r="U6" s="64"/>
      <c r="V6" s="64"/>
      <c r="W6" s="65"/>
      <c r="AG6" s="59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91">
        <f t="shared" si="0"/>
        <v>-2.5630624740000001</v>
      </c>
      <c r="AL6" s="59">
        <f>SchoolCoeffcients!B14</f>
        <v>17</v>
      </c>
      <c r="AM6" t="str">
        <f>SchoolCoeffcients!C14</f>
        <v>sb-chun5</v>
      </c>
      <c r="AN6" s="55">
        <f>SchoolCoeffcients!E14</f>
        <v>-5.7474999999999996</v>
      </c>
      <c r="AO6" s="62">
        <f t="shared" si="1"/>
        <v>-5.7474999999999996</v>
      </c>
      <c r="AQ6" s="59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62">
        <f t="shared" si="2"/>
        <v>0.52987540499999997</v>
      </c>
      <c r="AV6" s="59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62">
        <f t="shared" si="3"/>
        <v>1.591760566</v>
      </c>
      <c r="BA6" s="59">
        <f>WorkBasedCoefficients!B14</f>
        <v>30</v>
      </c>
      <c r="BB6" s="54" t="str">
        <f>WorkBasedCoefficients!C14</f>
        <v>s3-const</v>
      </c>
      <c r="BC6" s="54">
        <f>WorkBasedCoefficients!E14</f>
        <v>-5.9141281000000001</v>
      </c>
      <c r="BD6" s="62">
        <f t="shared" si="4"/>
        <v>-6.8999827380555789</v>
      </c>
    </row>
    <row r="7" spans="2:56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4">
        <v>5</v>
      </c>
      <c r="S7" s="64" t="s">
        <v>266</v>
      </c>
      <c r="T7" s="64"/>
      <c r="U7" s="64"/>
      <c r="V7" s="64"/>
      <c r="W7" s="65"/>
      <c r="AG7" s="59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91">
        <f t="shared" si="0"/>
        <v>-1.185149333</v>
      </c>
      <c r="AL7" s="59">
        <f>SchoolCoeffcients!B15</f>
        <v>18</v>
      </c>
      <c r="AM7" t="str">
        <f>SchoolCoeffcients!C15</f>
        <v>sb-univtr</v>
      </c>
      <c r="AN7" s="55">
        <f>SchoolCoeffcients!E15</f>
        <v>-5.2693623949999999</v>
      </c>
      <c r="AO7" s="62">
        <f t="shared" si="1"/>
        <v>-5.2693623949999999</v>
      </c>
      <c r="AQ7" s="59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62">
        <f t="shared" si="2"/>
        <v>0.276830511</v>
      </c>
      <c r="AV7" s="59">
        <f>OtherCoefficients!B15</f>
        <v>30</v>
      </c>
      <c r="AW7" s="54" t="str">
        <f>OtherCoefficients!C15</f>
        <v>s3-const</v>
      </c>
      <c r="AX7" s="54">
        <f>OtherCoefficients!E15</f>
        <v>-1.911034796</v>
      </c>
      <c r="AY7" s="62">
        <f t="shared" si="3"/>
        <v>-2.1560278301860327</v>
      </c>
      <c r="BA7" s="59">
        <f>WorkBasedCoefficients!B15</f>
        <v>40</v>
      </c>
      <c r="BB7" s="54" t="str">
        <f>WorkBasedCoefficients!C15</f>
        <v>s2-const</v>
      </c>
      <c r="BC7" s="54">
        <f>WorkBasedCoefficients!E15</f>
        <v>-4.8747011999999996</v>
      </c>
      <c r="BD7" s="62">
        <f t="shared" si="4"/>
        <v>-5.8531886617939941</v>
      </c>
    </row>
    <row r="8" spans="2:56" x14ac:dyDescent="0.25">
      <c r="B8" s="9" t="s">
        <v>4</v>
      </c>
      <c r="C8" t="s">
        <v>199</v>
      </c>
      <c r="R8" s="64"/>
      <c r="S8" s="64"/>
      <c r="T8" s="64"/>
      <c r="U8" s="64"/>
      <c r="V8" s="64"/>
      <c r="W8" s="65"/>
      <c r="AG8" s="59">
        <f>WorkCoefficients!B16</f>
        <v>20</v>
      </c>
      <c r="AH8" s="54" t="str">
        <f>WorkCoefficients!C16</f>
        <v>wt-const</v>
      </c>
      <c r="AI8" s="54">
        <f>WorkCoefficients!E16</f>
        <v>-3.0344243999999998</v>
      </c>
      <c r="AJ8" s="91">
        <f t="shared" si="0"/>
        <v>-3.0404596864321238</v>
      </c>
      <c r="AL8" s="59">
        <f>SchoolCoeffcients!B16</f>
        <v>20</v>
      </c>
      <c r="AM8" s="54" t="str">
        <f>SchoolCoeffcients!C16</f>
        <v>wt-const</v>
      </c>
      <c r="AN8" s="56">
        <f>SchoolCoeffcients!E16</f>
        <v>-4.4278629379999996</v>
      </c>
      <c r="AO8" s="62">
        <f t="shared" si="1"/>
        <v>-4.5759588461505034</v>
      </c>
      <c r="AQ8" s="59">
        <f>EscortCoefficients!B16</f>
        <v>40</v>
      </c>
      <c r="AR8" s="54" t="str">
        <f>EscortCoefficients!C16</f>
        <v>s2-const</v>
      </c>
      <c r="AS8" s="54">
        <f>EscortCoefficients!E16</f>
        <v>-2.5111504E-2</v>
      </c>
      <c r="AT8" s="62">
        <f t="shared" si="2"/>
        <v>-0.22067974982506616</v>
      </c>
      <c r="AV8" s="59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62">
        <f t="shared" si="3"/>
        <v>0.51412339799999995</v>
      </c>
      <c r="BA8" s="59">
        <f>WorkBasedCoefficients!B16</f>
        <v>50</v>
      </c>
      <c r="BB8" s="54" t="str">
        <f>WorkBasedCoefficients!C16</f>
        <v>da-const</v>
      </c>
      <c r="BC8" s="54">
        <f>WorkBasedCoefficients!E16</f>
        <v>-4.1573700000000002</v>
      </c>
      <c r="BD8" s="62">
        <f t="shared" si="4"/>
        <v>-5.04694443573631</v>
      </c>
    </row>
    <row r="9" spans="2:56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4"/>
      <c r="S9" s="67" t="s">
        <v>267</v>
      </c>
      <c r="T9" s="64"/>
      <c r="U9" s="64"/>
      <c r="V9" s="64"/>
      <c r="W9" s="65"/>
      <c r="AG9" s="59">
        <f>WorkCoefficients!B17</f>
        <v>30</v>
      </c>
      <c r="AH9" s="54" t="str">
        <f>WorkCoefficients!C17</f>
        <v>s3-const</v>
      </c>
      <c r="AI9" s="54">
        <f>WorkCoefficients!E17</f>
        <v>-2.6026901850000002</v>
      </c>
      <c r="AJ9" s="91">
        <f t="shared" si="0"/>
        <v>-2.7765686020070017</v>
      </c>
      <c r="AL9" s="59">
        <f>SchoolCoeffcients!B17</f>
        <v>21</v>
      </c>
      <c r="AM9" t="str">
        <f>SchoolCoeffcients!C17</f>
        <v>wt-nocars</v>
      </c>
      <c r="AN9" s="55">
        <f>SchoolCoeffcients!E17</f>
        <v>-5.0045351000000002E-2</v>
      </c>
      <c r="AO9" s="62">
        <f t="shared" si="1"/>
        <v>-5.0045351000000002E-2</v>
      </c>
      <c r="AQ9" s="5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62">
        <f t="shared" si="2"/>
        <v>-5.9139999999999997</v>
      </c>
      <c r="AV9" s="5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62">
        <f t="shared" si="3"/>
        <v>0.22481870400000001</v>
      </c>
      <c r="BA9" s="5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62">
        <f t="shared" si="4"/>
        <v>0.97510620000000003</v>
      </c>
    </row>
    <row r="10" spans="2:56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4">
        <v>1</v>
      </c>
      <c r="S10" s="66" t="s">
        <v>273</v>
      </c>
      <c r="T10" s="64"/>
      <c r="U10" s="64"/>
      <c r="V10" s="64"/>
      <c r="W10" s="65"/>
      <c r="AG10" s="59">
        <f>WorkCoefficients!B18</f>
        <v>31</v>
      </c>
      <c r="AH10" t="str">
        <f>WorkCoefficients!C18</f>
        <v>sr-hhcu5</v>
      </c>
      <c r="AI10">
        <f>WorkCoefficients!E18</f>
        <v>0</v>
      </c>
      <c r="AJ10" s="91">
        <f t="shared" si="0"/>
        <v>0</v>
      </c>
      <c r="AL10" s="59">
        <f>SchoolCoeffcients!B18</f>
        <v>22</v>
      </c>
      <c r="AM10" t="str">
        <f>SchoolCoeffcients!C18</f>
        <v>wt-carsltd</v>
      </c>
      <c r="AN10" s="55">
        <f>SchoolCoeffcients!E18</f>
        <v>-5.0746489999999998E-2</v>
      </c>
      <c r="AO10" s="62">
        <f t="shared" si="1"/>
        <v>-5.0746489999999998E-2</v>
      </c>
      <c r="AQ10" s="59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62">
        <f t="shared" si="2"/>
        <v>1.7160893999999999E-2</v>
      </c>
      <c r="AV10" s="59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62">
        <f t="shared" si="3"/>
        <v>0.113320322</v>
      </c>
      <c r="BA10" s="59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62">
        <f t="shared" si="4"/>
        <v>0.1467164</v>
      </c>
    </row>
    <row r="11" spans="2:56" x14ac:dyDescent="0.25">
      <c r="B11" s="9" t="s">
        <v>7</v>
      </c>
      <c r="R11" s="64">
        <v>2</v>
      </c>
      <c r="S11" s="64" t="s">
        <v>268</v>
      </c>
      <c r="T11" s="64"/>
      <c r="U11" s="64"/>
      <c r="V11" s="64"/>
      <c r="W11" s="65"/>
      <c r="AG11" s="59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91">
        <f t="shared" si="0"/>
        <v>0.44708751299999999</v>
      </c>
      <c r="AL11" s="59">
        <f>SchoolCoeffcients!B19</f>
        <v>27</v>
      </c>
      <c r="AM11" t="str">
        <f>SchoolCoeffcients!C19</f>
        <v>wt-chun5</v>
      </c>
      <c r="AN11" s="55">
        <f>SchoolCoeffcients!E19</f>
        <v>-5</v>
      </c>
      <c r="AO11" s="62">
        <f t="shared" si="1"/>
        <v>-5</v>
      </c>
      <c r="AQ11" s="59">
        <f>EscortCoefficients!B19</f>
        <v>50</v>
      </c>
      <c r="AR11" s="59" t="str">
        <f>EscortCoefficients!C19</f>
        <v>hov-const</v>
      </c>
      <c r="AS11" s="59">
        <f>EscortCoefficients!E19</f>
        <v>-8.5658758939999995</v>
      </c>
      <c r="AT11" s="62">
        <f t="shared" si="2"/>
        <v>-3.8167525092846031</v>
      </c>
      <c r="AV11" s="59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62">
        <f t="shared" si="3"/>
        <v>0.15232257399999999</v>
      </c>
      <c r="BA11" s="59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62">
        <f t="shared" si="4"/>
        <v>2.1275970000000002</v>
      </c>
    </row>
    <row r="12" spans="2:56" x14ac:dyDescent="0.25">
      <c r="B12" s="14" t="s">
        <v>8</v>
      </c>
      <c r="D12" t="s">
        <v>199</v>
      </c>
      <c r="R12" s="64">
        <v>3</v>
      </c>
      <c r="S12" s="64" t="s">
        <v>269</v>
      </c>
      <c r="T12" s="64"/>
      <c r="U12" s="64"/>
      <c r="V12" s="64"/>
      <c r="W12" s="65"/>
      <c r="AG12" s="59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91">
        <f t="shared" si="0"/>
        <v>-0.35387644200000001</v>
      </c>
      <c r="AL12" s="59">
        <f>SchoolCoeffcients!B20</f>
        <v>28</v>
      </c>
      <c r="AM12" t="str">
        <f>SchoolCoeffcients!C20</f>
        <v>wt-univtr</v>
      </c>
      <c r="AN12" s="55">
        <f>SchoolCoeffcients!E20</f>
        <v>5.2955199730000002</v>
      </c>
      <c r="AO12" s="62">
        <f t="shared" si="1"/>
        <v>5.2955199730000002</v>
      </c>
      <c r="AQ12" s="59">
        <f>EscortCoefficients!B20</f>
        <v>60</v>
      </c>
      <c r="AR12" s="54" t="str">
        <f>EscortCoefficients!C20</f>
        <v>bi-const</v>
      </c>
      <c r="AS12" s="54">
        <f>EscortCoefficients!E20</f>
        <v>-10.566358470000001</v>
      </c>
      <c r="AT12" s="62">
        <f t="shared" si="2"/>
        <v>-10.602547396430406</v>
      </c>
      <c r="AV12" s="59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62">
        <f t="shared" si="3"/>
        <v>-2.7924179320000002</v>
      </c>
      <c r="BA12" s="59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62">
        <f t="shared" si="4"/>
        <v>1.7497597</v>
      </c>
    </row>
    <row r="13" spans="2:56" x14ac:dyDescent="0.25">
      <c r="C13" s="38"/>
      <c r="D13" s="38"/>
      <c r="E13" s="38"/>
      <c r="F13" s="38"/>
      <c r="G13" s="38"/>
      <c r="H13" s="45"/>
      <c r="R13" s="64">
        <v>4</v>
      </c>
      <c r="S13" s="64" t="s">
        <v>270</v>
      </c>
      <c r="T13" s="64"/>
      <c r="U13" s="64"/>
      <c r="V13" s="64"/>
      <c r="W13" s="65"/>
      <c r="AG13" s="59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91">
        <f t="shared" si="0"/>
        <v>-2.0693221340000001</v>
      </c>
      <c r="AL13" s="59">
        <f>SchoolCoeffcients!B21</f>
        <v>29</v>
      </c>
      <c r="AM13" t="str">
        <f>SchoolCoeffcients!C21</f>
        <v>wt-ch1617</v>
      </c>
      <c r="AN13" s="55">
        <f>SchoolCoeffcients!E21</f>
        <v>3.2469681079999999</v>
      </c>
      <c r="AO13" s="62">
        <f t="shared" si="1"/>
        <v>3.2469681079999999</v>
      </c>
      <c r="AQ13" s="59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62">
        <f t="shared" si="2"/>
        <v>-2.002935812</v>
      </c>
      <c r="AV13" s="59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62">
        <f t="shared" si="3"/>
        <v>-2.8161782519999998</v>
      </c>
      <c r="BA13" s="59">
        <f>WorkBasedCoefficients!B21</f>
        <v>60</v>
      </c>
      <c r="BB13" s="54" t="str">
        <f>WorkBasedCoefficients!C21</f>
        <v>bi-const</v>
      </c>
      <c r="BC13" s="54">
        <f>WorkBasedCoefficients!E21</f>
        <v>-7.2848658999999998</v>
      </c>
      <c r="BD13" s="62">
        <f t="shared" si="4"/>
        <v>-7.8327799217744509</v>
      </c>
    </row>
    <row r="14" spans="2:56" x14ac:dyDescent="0.25">
      <c r="R14" s="64">
        <v>5</v>
      </c>
      <c r="S14" s="66" t="s">
        <v>275</v>
      </c>
      <c r="T14" s="64"/>
      <c r="U14" s="64"/>
      <c r="V14" s="64"/>
      <c r="W14" s="65"/>
      <c r="AG14" s="59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91">
        <f t="shared" si="0"/>
        <v>-1.1541206639999999</v>
      </c>
      <c r="AL14" s="59">
        <f>SchoolCoeffcients!B22</f>
        <v>30</v>
      </c>
      <c r="AM14" s="54" t="str">
        <f>SchoolCoeffcients!C22</f>
        <v>s3-const</v>
      </c>
      <c r="AN14" s="56">
        <f>SchoolCoeffcients!E22</f>
        <v>-0.45676292000000002</v>
      </c>
      <c r="AO14" s="62">
        <f t="shared" si="1"/>
        <v>-0.43654743548094627</v>
      </c>
      <c r="AQ14" s="59">
        <f>EscortCoefficients!B22</f>
        <v>76</v>
      </c>
      <c r="AR14" t="str">
        <f>EscortCoefficients!C22</f>
        <v>wk-dintd</v>
      </c>
      <c r="AS14">
        <f>EscortCoefficients!E22</f>
        <v>0</v>
      </c>
      <c r="AT14" s="62">
        <f t="shared" si="2"/>
        <v>0</v>
      </c>
      <c r="AV14" s="59">
        <f>OtherCoefficients!B22</f>
        <v>40</v>
      </c>
      <c r="AW14" s="54" t="str">
        <f>OtherCoefficients!C22</f>
        <v>s2-const</v>
      </c>
      <c r="AX14" s="54">
        <f>OtherCoefficients!E22</f>
        <v>-2.144795593</v>
      </c>
      <c r="AY14" s="62">
        <f t="shared" si="3"/>
        <v>-2.2225054196700147</v>
      </c>
      <c r="BA14" s="59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62">
        <f t="shared" si="4"/>
        <v>-0.40221770000000001</v>
      </c>
    </row>
    <row r="15" spans="2:56" x14ac:dyDescent="0.25">
      <c r="B15" s="58" t="s">
        <v>245</v>
      </c>
      <c r="J15" s="36" t="s">
        <v>33</v>
      </c>
      <c r="R15" s="64">
        <v>6</v>
      </c>
      <c r="S15" s="64" t="s">
        <v>277</v>
      </c>
      <c r="T15" s="64"/>
      <c r="U15" s="64"/>
      <c r="V15" s="64"/>
      <c r="W15" s="65"/>
      <c r="AG15" s="59">
        <f>WorkCoefficients!B23</f>
        <v>40</v>
      </c>
      <c r="AH15" s="54" t="str">
        <f>WorkCoefficients!C23</f>
        <v>s2-const</v>
      </c>
      <c r="AI15" s="54">
        <f>WorkCoefficients!E23</f>
        <v>-2.14205632</v>
      </c>
      <c r="AJ15" s="91">
        <f t="shared" si="0"/>
        <v>-2.2666576066103614</v>
      </c>
      <c r="AL15" s="59">
        <f>SchoolCoeffcients!B23</f>
        <v>37</v>
      </c>
      <c r="AM15" t="str">
        <f>SchoolCoeffcients!C23</f>
        <v>s3-twophh</v>
      </c>
      <c r="AN15" s="55">
        <f>SchoolCoeffcients!E23</f>
        <v>-2.1066630989999999</v>
      </c>
      <c r="AO15" s="62">
        <f t="shared" si="1"/>
        <v>-2.1066630989999999</v>
      </c>
      <c r="AQ15" s="59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62">
        <f t="shared" si="2"/>
        <v>0.55040750800000005</v>
      </c>
      <c r="AV15" s="59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62">
        <f t="shared" si="3"/>
        <v>-1.480121056</v>
      </c>
      <c r="BA15" s="59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62">
        <f t="shared" si="4"/>
        <v>2.9044382999999998</v>
      </c>
    </row>
    <row r="16" spans="2:56" ht="15.75" thickBot="1" x14ac:dyDescent="0.3">
      <c r="R16" s="64">
        <v>7</v>
      </c>
      <c r="S16" s="64" t="s">
        <v>265</v>
      </c>
      <c r="T16" s="64"/>
      <c r="U16" s="64"/>
      <c r="V16" s="64"/>
      <c r="W16" s="65"/>
      <c r="Y16" t="s">
        <v>244</v>
      </c>
      <c r="AG16" s="59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91">
        <f t="shared" si="0"/>
        <v>-3.5522207300000002</v>
      </c>
      <c r="AL16" s="59">
        <f>SchoolCoeffcients!B24</f>
        <v>38</v>
      </c>
      <c r="AM16" t="str">
        <f>SchoolCoeffcients!C24</f>
        <v>s2-onephh</v>
      </c>
      <c r="AN16" s="55">
        <f>SchoolCoeffcients!E24</f>
        <v>-1.023984556</v>
      </c>
      <c r="AO16" s="62">
        <f t="shared" si="1"/>
        <v>-1.023984556</v>
      </c>
      <c r="AQ16" s="59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62">
        <f t="shared" si="2"/>
        <v>0.55327396100000004</v>
      </c>
      <c r="AV16" s="59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62">
        <f t="shared" si="3"/>
        <v>-8.9289955000000004E-2</v>
      </c>
      <c r="BA16" s="59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62">
        <f t="shared" si="4"/>
        <v>5</v>
      </c>
    </row>
    <row r="17" spans="2:56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5"/>
      <c r="R17" s="64">
        <v>8</v>
      </c>
      <c r="S17" s="64" t="s">
        <v>271</v>
      </c>
      <c r="T17" s="64"/>
      <c r="U17" s="64"/>
      <c r="V17" s="64"/>
      <c r="W17" s="65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9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91">
        <f t="shared" si="0"/>
        <v>0.417219746</v>
      </c>
      <c r="AL17" s="59">
        <f>SchoolCoeffcients!B25</f>
        <v>40</v>
      </c>
      <c r="AM17" s="54" t="str">
        <f>SchoolCoeffcients!C25</f>
        <v>s2-const</v>
      </c>
      <c r="AN17" s="56">
        <f>SchoolCoeffcients!E25</f>
        <v>-1.003425644</v>
      </c>
      <c r="AO17" s="62">
        <f t="shared" si="1"/>
        <v>-0.97987167927436847</v>
      </c>
      <c r="AQ17" s="59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62">
        <f t="shared" si="2"/>
        <v>-3.0048826470000001</v>
      </c>
      <c r="AV17" s="59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62">
        <f t="shared" si="3"/>
        <v>-1.4328025129999999</v>
      </c>
      <c r="BA17" s="59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62">
        <f t="shared" si="4"/>
        <v>0.53543289999999999</v>
      </c>
    </row>
    <row r="18" spans="2:56" x14ac:dyDescent="0.2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1260243</v>
      </c>
      <c r="L18" s="9">
        <f>School!I4</f>
        <v>73106</v>
      </c>
      <c r="M18" s="9">
        <f>Escort!I4</f>
        <v>181</v>
      </c>
      <c r="N18" s="9">
        <f>Shop!I4+Meal!I4+SocRec!I4+Personal_Business!I4</f>
        <v>750953</v>
      </c>
      <c r="O18" s="9">
        <f>Workbased!S5</f>
        <v>114145</v>
      </c>
      <c r="P18" s="9">
        <f>SUM(K18:O18)</f>
        <v>2198628</v>
      </c>
      <c r="Q18" s="9"/>
      <c r="Y18" s="9" t="s">
        <v>1</v>
      </c>
      <c r="Z18" s="52">
        <v>50</v>
      </c>
      <c r="AA18" s="52">
        <v>50</v>
      </c>
      <c r="AB18" s="52">
        <v>50</v>
      </c>
      <c r="AC18" s="52">
        <v>50</v>
      </c>
      <c r="AD18" s="52">
        <v>50</v>
      </c>
      <c r="AG18" s="59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91">
        <f t="shared" si="0"/>
        <v>-1.9493286999999999</v>
      </c>
      <c r="AL18" s="59">
        <f>SchoolCoeffcients!B26</f>
        <v>41</v>
      </c>
      <c r="AM18" t="str">
        <f>SchoolCoeffcients!C26</f>
        <v>sr-nocars</v>
      </c>
      <c r="AN18" s="55">
        <f>SchoolCoeffcients!E26</f>
        <v>-1.3307406129999999</v>
      </c>
      <c r="AO18" s="62">
        <f t="shared" si="1"/>
        <v>-1.3307406129999999</v>
      </c>
      <c r="AQ18" s="59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62">
        <f t="shared" si="2"/>
        <v>0.541504192</v>
      </c>
      <c r="AV18" s="59">
        <f>OtherCoefficients!B26</f>
        <v>50</v>
      </c>
      <c r="AW18" s="54" t="str">
        <f>OtherCoefficients!C26</f>
        <v>da-const</v>
      </c>
      <c r="AX18" s="54">
        <f>OtherCoefficients!E26</f>
        <v>-0.40342066599999998</v>
      </c>
      <c r="AY18" s="62">
        <f t="shared" si="3"/>
        <v>-0.23088528557330634</v>
      </c>
      <c r="BA18" s="59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62">
        <f t="shared" si="4"/>
        <v>1.1826209000000001</v>
      </c>
    </row>
    <row r="19" spans="2:56" x14ac:dyDescent="0.2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327263</v>
      </c>
      <c r="L19" s="9">
        <f>School!I5</f>
        <v>120248</v>
      </c>
      <c r="M19" s="9">
        <f>Escort!I5</f>
        <v>373480</v>
      </c>
      <c r="N19" s="9">
        <f>Shop!I5+Meal!I5+SocRec!I5+Personal_Business!I5</f>
        <v>764701</v>
      </c>
      <c r="O19" s="9">
        <f>Workbased!S6</f>
        <v>27450</v>
      </c>
      <c r="P19" s="9">
        <f t="shared" ref="P19:P25" si="5">SUM(K19:O19)</f>
        <v>1613142</v>
      </c>
      <c r="Q19" s="9"/>
      <c r="Y19" s="9" t="s">
        <v>2</v>
      </c>
      <c r="Z19" s="52">
        <v>40</v>
      </c>
      <c r="AA19" s="52">
        <v>40</v>
      </c>
      <c r="AB19" s="52">
        <v>40</v>
      </c>
      <c r="AC19" s="52">
        <v>40</v>
      </c>
      <c r="AD19" s="52">
        <v>40</v>
      </c>
      <c r="AG19" s="59">
        <f>WorkCoefficients!B27</f>
        <v>50</v>
      </c>
      <c r="AH19" s="54" t="str">
        <f>WorkCoefficients!C27</f>
        <v>da-const</v>
      </c>
      <c r="AI19" s="54">
        <f>WorkCoefficients!E27</f>
        <v>1.577637277</v>
      </c>
      <c r="AJ19" s="91">
        <f t="shared" si="0"/>
        <v>1.6043954984940632</v>
      </c>
      <c r="AL19" s="59">
        <f>SchoolCoeffcients!B27</f>
        <v>44</v>
      </c>
      <c r="AM19" t="str">
        <f>SchoolCoeffcients!C27</f>
        <v>sr-incu25</v>
      </c>
      <c r="AN19" s="55">
        <f>SchoolCoeffcients!E27</f>
        <v>0.22708982699999999</v>
      </c>
      <c r="AO19" s="62">
        <f t="shared" si="1"/>
        <v>0.22708982699999999</v>
      </c>
      <c r="AV19" s="5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62">
        <f t="shared" si="3"/>
        <v>-0.79057828100000005</v>
      </c>
      <c r="BA19" s="5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62">
        <f t="shared" si="4"/>
        <v>0.88959319999999997</v>
      </c>
    </row>
    <row r="20" spans="2:56" x14ac:dyDescent="0.2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180785</v>
      </c>
      <c r="L20" s="9">
        <f>School!I6</f>
        <v>203340</v>
      </c>
      <c r="M20" s="9">
        <f>Escort!I6</f>
        <v>306699</v>
      </c>
      <c r="N20" s="9">
        <f>Shop!I6+Meal!I6+SocRec!I6+Personal_Business!I6</f>
        <v>735495</v>
      </c>
      <c r="O20" s="9">
        <f>Workbased!S7</f>
        <v>10766</v>
      </c>
      <c r="P20" s="9">
        <f t="shared" si="5"/>
        <v>1437085</v>
      </c>
      <c r="Q20" s="9"/>
      <c r="Y20" s="9" t="s">
        <v>3</v>
      </c>
      <c r="Z20" s="52">
        <v>30</v>
      </c>
      <c r="AA20" s="52">
        <v>30</v>
      </c>
      <c r="AB20" s="52">
        <v>30</v>
      </c>
      <c r="AC20" s="52">
        <v>30</v>
      </c>
      <c r="AD20" s="52">
        <v>30</v>
      </c>
      <c r="AG20" s="59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91">
        <f t="shared" si="0"/>
        <v>-2.5141990239999998</v>
      </c>
      <c r="AL20" s="59">
        <f>SchoolCoeffcients!B28</f>
        <v>45</v>
      </c>
      <c r="AM20" t="str">
        <f>SchoolCoeffcients!C28</f>
        <v>sr-inc2550</v>
      </c>
      <c r="AN20" s="55">
        <f>SchoolCoeffcients!E28</f>
        <v>-0.52505228900000001</v>
      </c>
      <c r="AO20" s="62">
        <f t="shared" si="1"/>
        <v>-0.52505228900000001</v>
      </c>
      <c r="AV20" s="59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62">
        <f t="shared" si="3"/>
        <v>7.424277E-3</v>
      </c>
    </row>
    <row r="21" spans="2:56" x14ac:dyDescent="0.2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58858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5"/>
        <v>58858</v>
      </c>
      <c r="Q21" s="9"/>
      <c r="Y21" s="9" t="s">
        <v>4</v>
      </c>
      <c r="Z21" s="52">
        <v>10</v>
      </c>
      <c r="AA21" s="52"/>
      <c r="AB21" s="52"/>
      <c r="AC21" s="52"/>
      <c r="AD21" s="52"/>
      <c r="AG21" s="59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91">
        <f t="shared" si="0"/>
        <v>0.761602102</v>
      </c>
      <c r="AL21" s="59">
        <f>SchoolCoeffcients!B29</f>
        <v>47</v>
      </c>
      <c r="AM21" t="str">
        <f>SchoolCoeffcients!C29</f>
        <v>sr-chun5</v>
      </c>
      <c r="AN21" s="55">
        <f>SchoolCoeffcients!E29</f>
        <v>1.564023495</v>
      </c>
      <c r="AO21" s="62">
        <f t="shared" si="1"/>
        <v>1.564023495</v>
      </c>
      <c r="AV21" s="59">
        <f>OtherCoefficients!B29</f>
        <v>60</v>
      </c>
      <c r="AW21" s="54" t="str">
        <f>OtherCoefficients!C29</f>
        <v>bi-const</v>
      </c>
      <c r="AX21" s="54">
        <f>OtherCoefficients!E29</f>
        <v>-4.5539641590000004</v>
      </c>
      <c r="AY21" s="62">
        <f t="shared" si="3"/>
        <v>-5.0381722146977488</v>
      </c>
    </row>
    <row r="22" spans="2:56" x14ac:dyDescent="0.2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137309</v>
      </c>
      <c r="L22" s="9">
        <f>School!I8</f>
        <v>31415</v>
      </c>
      <c r="M22" s="9">
        <f>Escort!I8</f>
        <v>0</v>
      </c>
      <c r="N22" s="9">
        <f>Shop!I8+Meal!I8+SocRec!I8+Personal_Business!I8</f>
        <v>31077</v>
      </c>
      <c r="O22" s="9">
        <f>Workbased!S9</f>
        <v>2065</v>
      </c>
      <c r="P22" s="9">
        <f t="shared" si="5"/>
        <v>201866</v>
      </c>
      <c r="Q22" s="9"/>
      <c r="Y22" s="9" t="s">
        <v>5</v>
      </c>
      <c r="Z22" s="52">
        <v>20</v>
      </c>
      <c r="AA22" s="52">
        <v>20</v>
      </c>
      <c r="AB22" s="52"/>
      <c r="AC22" s="52">
        <v>20</v>
      </c>
      <c r="AD22" s="52">
        <v>20</v>
      </c>
      <c r="AG22" s="59">
        <f>WorkCoefficients!B30</f>
        <v>60</v>
      </c>
      <c r="AH22" s="54" t="str">
        <f>WorkCoefficients!C30</f>
        <v>bi-const</v>
      </c>
      <c r="AI22" s="54">
        <f>WorkCoefficients!E30</f>
        <v>-3.7193614820000001</v>
      </c>
      <c r="AJ22" s="91">
        <f t="shared" si="0"/>
        <v>-3.3560066997024687</v>
      </c>
      <c r="AL22" s="59">
        <f>SchoolCoeffcients!B30</f>
        <v>50</v>
      </c>
      <c r="AM22" s="54" t="str">
        <f>SchoolCoeffcients!C30</f>
        <v>da-const</v>
      </c>
      <c r="AN22" s="56">
        <f>SchoolCoeffcients!E30</f>
        <v>2.3671031779999998</v>
      </c>
      <c r="AO22" s="62">
        <f t="shared" si="1"/>
        <v>2.4824554361143525</v>
      </c>
      <c r="AV22" s="59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62">
        <f t="shared" si="3"/>
        <v>0.61466384799999996</v>
      </c>
    </row>
    <row r="23" spans="2:56" x14ac:dyDescent="0.2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35416</v>
      </c>
      <c r="L23" s="9">
        <f>School!I9</f>
        <v>9377</v>
      </c>
      <c r="M23" s="9">
        <f>Escort!I9</f>
        <v>2995</v>
      </c>
      <c r="N23" s="9">
        <f>Shop!I9+Meal!I9+SocRec!I9+Personal_Business!I9</f>
        <v>48497</v>
      </c>
      <c r="O23" s="9">
        <f>Workbased!S10</f>
        <v>547</v>
      </c>
      <c r="P23" s="9">
        <f t="shared" si="5"/>
        <v>96832</v>
      </c>
      <c r="Q23" s="9"/>
      <c r="Y23" s="9" t="s">
        <v>6</v>
      </c>
      <c r="Z23" s="52">
        <v>60</v>
      </c>
      <c r="AA23" s="52">
        <v>60</v>
      </c>
      <c r="AB23" s="52">
        <v>60</v>
      </c>
      <c r="AC23" s="52">
        <v>60</v>
      </c>
      <c r="AD23" s="52">
        <v>60</v>
      </c>
      <c r="AG23" s="59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91">
        <f t="shared" si="0"/>
        <v>1.7828694030000001</v>
      </c>
      <c r="AL23" s="59">
        <f>SchoolCoeffcients!B31</f>
        <v>52</v>
      </c>
      <c r="AM23" t="str">
        <f>SchoolCoeffcients!C31</f>
        <v>da-carsltd</v>
      </c>
      <c r="AN23" s="55">
        <f>SchoolCoeffcients!E31</f>
        <v>-2.1575125929999999</v>
      </c>
      <c r="AO23" s="62">
        <f t="shared" si="1"/>
        <v>-2.1575125929999999</v>
      </c>
      <c r="AV23" s="59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62">
        <f t="shared" si="3"/>
        <v>-0.87809104500000001</v>
      </c>
    </row>
    <row r="24" spans="2:56" x14ac:dyDescent="0.2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18579</v>
      </c>
      <c r="L24" s="9">
        <f>School!I10</f>
        <v>41965</v>
      </c>
      <c r="M24" s="9">
        <f>Escort!I10</f>
        <v>28</v>
      </c>
      <c r="N24" s="9">
        <f>Shop!I10+Meal!I10+SocRec!I10+Personal_Business!I10</f>
        <v>479298</v>
      </c>
      <c r="O24" s="9">
        <f>Workbased!S11</f>
        <v>69309</v>
      </c>
      <c r="P24" s="9">
        <f t="shared" si="5"/>
        <v>609179</v>
      </c>
      <c r="Q24" s="9"/>
      <c r="Y24" s="9" t="s">
        <v>7</v>
      </c>
      <c r="Z24" s="52"/>
      <c r="AA24" s="52"/>
      <c r="AB24" s="52"/>
      <c r="AC24" s="52"/>
      <c r="AD24" s="52"/>
      <c r="AG24" s="59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91">
        <f t="shared" si="0"/>
        <v>-1.1592853190000001</v>
      </c>
      <c r="AL24" s="59">
        <f>SchoolCoeffcients!B32</f>
        <v>54</v>
      </c>
      <c r="AM24" t="str">
        <f>SchoolCoeffcients!C32</f>
        <v>da-incu25</v>
      </c>
      <c r="AN24" s="55">
        <f>SchoolCoeffcients!E32</f>
        <v>0</v>
      </c>
      <c r="AO24" s="62">
        <f t="shared" si="1"/>
        <v>0</v>
      </c>
      <c r="AV24" s="59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62">
        <f t="shared" si="3"/>
        <v>-8.2669199999999998E-2</v>
      </c>
    </row>
    <row r="25" spans="2:56" x14ac:dyDescent="0.2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Work!I11</f>
        <v>0</v>
      </c>
      <c r="L25" s="9">
        <f>School!I11</f>
        <v>210835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t="shared" si="5"/>
        <v>210835</v>
      </c>
      <c r="Q25" s="9"/>
      <c r="Y25" s="14" t="s">
        <v>8</v>
      </c>
      <c r="Z25" s="53"/>
      <c r="AA25" s="53">
        <v>10</v>
      </c>
      <c r="AB25" s="53"/>
      <c r="AC25" s="53"/>
      <c r="AD25" s="53"/>
      <c r="AG25" s="59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91">
        <f t="shared" si="0"/>
        <v>0.93477131499999999</v>
      </c>
      <c r="AL25" s="59">
        <f>SchoolCoeffcients!B33</f>
        <v>56</v>
      </c>
      <c r="AM25" t="str">
        <f>SchoolCoeffcients!C33</f>
        <v>da-inco75</v>
      </c>
      <c r="AN25" s="55">
        <f>SchoolCoeffcients!E33</f>
        <v>0.30919284200000002</v>
      </c>
      <c r="AO25" s="62">
        <f t="shared" si="1"/>
        <v>0.30919284200000002</v>
      </c>
      <c r="AV25" s="59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62">
        <f t="shared" si="3"/>
        <v>-0.40759393700000002</v>
      </c>
    </row>
    <row r="26" spans="2:56" ht="15.75" thickBot="1" x14ac:dyDescent="0.3">
      <c r="B26" s="40" t="s">
        <v>19</v>
      </c>
      <c r="C26" s="19">
        <f>SUM(C18:C25)</f>
        <v>1710622.2617305303</v>
      </c>
      <c r="D26" s="19">
        <f t="shared" ref="D26:H26" si="6">SUM(D18:D25)</f>
        <v>778393.88220638398</v>
      </c>
      <c r="E26" s="19">
        <f t="shared" si="6"/>
        <v>648570.21620287129</v>
      </c>
      <c r="F26" s="19">
        <f t="shared" si="6"/>
        <v>2723133.5272370623</v>
      </c>
      <c r="G26" s="19">
        <f t="shared" si="6"/>
        <v>355142.20984517166</v>
      </c>
      <c r="H26" s="19">
        <f t="shared" si="6"/>
        <v>6215862.097222019</v>
      </c>
      <c r="J26" s="40" t="s">
        <v>19</v>
      </c>
      <c r="K26" s="19">
        <f>SUM(K18:K25)</f>
        <v>2018453</v>
      </c>
      <c r="L26" s="19">
        <f t="shared" ref="L26" si="7">SUM(L18:L25)</f>
        <v>690286</v>
      </c>
      <c r="M26" s="19">
        <f t="shared" ref="M26" si="8">SUM(M18:M25)</f>
        <v>683383</v>
      </c>
      <c r="N26" s="19">
        <f t="shared" ref="N26" si="9">SUM(N18:N25)</f>
        <v>2810021</v>
      </c>
      <c r="O26" s="19">
        <f t="shared" ref="O26" si="10">SUM(O18:O25)</f>
        <v>224282</v>
      </c>
      <c r="P26" s="19">
        <f>SUM(K26:O26)</f>
        <v>6426425</v>
      </c>
      <c r="Q26" s="12"/>
      <c r="AG26" s="59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91">
        <f t="shared" si="0"/>
        <v>1.3254575719999999</v>
      </c>
      <c r="AL26" s="59">
        <f>SchoolCoeffcients!B34</f>
        <v>59</v>
      </c>
      <c r="AM26" t="str">
        <f>SchoolCoeffcients!C34</f>
        <v>da-ch1617</v>
      </c>
      <c r="AN26" s="55">
        <f>SchoolCoeffcients!E34</f>
        <v>-3.2597140630000001</v>
      </c>
      <c r="AO26" s="62">
        <f t="shared" si="1"/>
        <v>-3.2597140630000001</v>
      </c>
      <c r="AV26" s="59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62">
        <f t="shared" si="3"/>
        <v>0.22849027299999999</v>
      </c>
    </row>
    <row r="27" spans="2:56" x14ac:dyDescent="0.25">
      <c r="T27" s="59"/>
      <c r="U27" s="59"/>
      <c r="V27" s="59"/>
      <c r="AG27" s="59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91">
        <f t="shared" si="0"/>
        <v>9.2856180000000007E-3</v>
      </c>
      <c r="AL27" s="59">
        <f>SchoolCoeffcients!B35</f>
        <v>60</v>
      </c>
      <c r="AM27" s="54" t="str">
        <f>SchoolCoeffcients!C35</f>
        <v>bi-const</v>
      </c>
      <c r="AN27" s="56">
        <f>SchoolCoeffcients!E35</f>
        <v>-3.8530967860000001</v>
      </c>
      <c r="AO27" s="62">
        <f t="shared" si="1"/>
        <v>-3.9185338093451585</v>
      </c>
      <c r="AV27" s="59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62">
        <f t="shared" si="3"/>
        <v>4.0664499999999997E-5</v>
      </c>
    </row>
    <row r="28" spans="2:56" x14ac:dyDescent="0.2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91">
        <f t="shared" si="0"/>
        <v>4.4706600000000003E-5</v>
      </c>
      <c r="AL28" s="59">
        <f>SchoolCoeffcients!B36</f>
        <v>61</v>
      </c>
      <c r="AM28" t="str">
        <f>SchoolCoeffcients!C36</f>
        <v>bi-male</v>
      </c>
      <c r="AN28" s="55">
        <f>SchoolCoeffcients!E36</f>
        <v>1.044595197</v>
      </c>
      <c r="AO28" s="62">
        <f t="shared" si="1"/>
        <v>1.044595197</v>
      </c>
      <c r="AV28" s="59">
        <f>OtherCoefficients!B36</f>
        <v>131</v>
      </c>
      <c r="AW28" t="str">
        <f>OtherCoefficients!C36</f>
        <v>da-escsptr</v>
      </c>
      <c r="AX28">
        <f>OtherCoefficients!E36</f>
        <v>0</v>
      </c>
      <c r="AY28" s="62">
        <f t="shared" si="3"/>
        <v>0</v>
      </c>
    </row>
    <row r="29" spans="2:56" ht="15.75" thickBot="1" x14ac:dyDescent="0.3">
      <c r="B29" s="39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91">
        <f t="shared" si="0"/>
        <v>-4.5175524459999998</v>
      </c>
      <c r="AL29" s="59">
        <f>SchoolCoeffcients!B37</f>
        <v>69</v>
      </c>
      <c r="AM29" t="str">
        <f>SchoolCoeffcients!C37</f>
        <v>bi-univtr</v>
      </c>
      <c r="AN29" s="55">
        <f>SchoolCoeffcients!E37</f>
        <v>2.655798109</v>
      </c>
      <c r="AO29" s="62">
        <f t="shared" si="1"/>
        <v>2.655798109</v>
      </c>
      <c r="AV29" s="5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62">
        <f t="shared" si="3"/>
        <v>0.20969220399999999</v>
      </c>
    </row>
    <row r="30" spans="2:56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91">
        <f t="shared" si="0"/>
        <v>0.19300757900000001</v>
      </c>
      <c r="AL30" s="59">
        <f>SchoolCoeffcients!B38</f>
        <v>79</v>
      </c>
      <c r="AM30" t="str">
        <f>SchoolCoeffcients!C38</f>
        <v>wk-univtr</v>
      </c>
      <c r="AN30" s="55">
        <f>SchoolCoeffcients!E38</f>
        <v>3.1769310329999998</v>
      </c>
      <c r="AO30" s="62">
        <f t="shared" si="1"/>
        <v>3.1769310329999998</v>
      </c>
      <c r="AV30" s="59">
        <f>OtherCoefficients!B38</f>
        <v>133</v>
      </c>
      <c r="AW30" t="str">
        <f>OtherCoefficients!C38</f>
        <v>sr-escsptr</v>
      </c>
      <c r="AX30">
        <f>OtherCoefficients!E38</f>
        <v>0</v>
      </c>
      <c r="AY30" s="62">
        <f t="shared" si="3"/>
        <v>0</v>
      </c>
    </row>
    <row r="31" spans="2:56" x14ac:dyDescent="0.25">
      <c r="B31" s="9" t="s">
        <v>1</v>
      </c>
      <c r="C31" s="42">
        <f>$C18/C$26</f>
        <v>0.6412931492920102</v>
      </c>
      <c r="D31" s="42">
        <f>$D18/D$26</f>
        <v>0.11885591668502474</v>
      </c>
      <c r="E31" s="42">
        <f>$E18/E$26</f>
        <v>3.0586690159631218E-2</v>
      </c>
      <c r="F31" s="42">
        <f>$F18/F$26</f>
        <v>0.31756626028895785</v>
      </c>
      <c r="G31" s="42">
        <f>$G18/G$26</f>
        <v>0.20908612002055477</v>
      </c>
      <c r="H31" s="42"/>
      <c r="J31" s="9" t="s">
        <v>1</v>
      </c>
      <c r="K31" s="42">
        <f>$K18/K$26</f>
        <v>0.62436083475810433</v>
      </c>
      <c r="L31" s="42">
        <f>$L18/L$26</f>
        <v>0.10590682702531994</v>
      </c>
      <c r="M31" s="42">
        <f>$M18/M$26</f>
        <v>2.6485879806784773E-4</v>
      </c>
      <c r="N31" s="42">
        <f>$N18/N$26</f>
        <v>0.26724106332301434</v>
      </c>
      <c r="O31" s="42">
        <f>$O18/O$26</f>
        <v>0.50893517981826453</v>
      </c>
      <c r="R31" s="9" t="s">
        <v>1</v>
      </c>
      <c r="S31" s="44">
        <f t="shared" ref="S31:W33" si="11">C31/K31</f>
        <v>1.0271194373370103</v>
      </c>
      <c r="T31" s="44">
        <f t="shared" si="11"/>
        <v>1.1222686962060431</v>
      </c>
      <c r="U31" s="44">
        <f t="shared" si="11"/>
        <v>115.48300597436057</v>
      </c>
      <c r="V31" s="44">
        <f t="shared" si="11"/>
        <v>1.1883138629227628</v>
      </c>
      <c r="W31" s="44">
        <f t="shared" si="11"/>
        <v>0.41083055035656457</v>
      </c>
      <c r="Y31" s="9" t="s">
        <v>1</v>
      </c>
      <c r="Z31" s="44">
        <f>IF(S31&gt;0,$AB$28*LN(S31),0)</f>
        <v>2.675822149406306E-2</v>
      </c>
      <c r="AA31" s="44">
        <f t="shared" ref="AA31:AD31" si="12">IF(T31&gt;0,$AB$28*LN(T31),0)</f>
        <v>0.11535225811435257</v>
      </c>
      <c r="AB31" s="44">
        <f t="shared" si="12"/>
        <v>4.7491233847153964</v>
      </c>
      <c r="AC31" s="44">
        <f t="shared" si="12"/>
        <v>0.17253538042669364</v>
      </c>
      <c r="AD31" s="44">
        <f t="shared" si="12"/>
        <v>-0.88957443573630957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91">
        <f t="shared" si="0"/>
        <v>5.5028395569999997</v>
      </c>
      <c r="AL31" s="59">
        <f>SchoolCoeffcients!B39</f>
        <v>122</v>
      </c>
      <c r="AM31" t="str">
        <f>SchoolCoeffcients!C39</f>
        <v>tr-ologts</v>
      </c>
      <c r="AN31" s="55">
        <f>SchoolCoeffcients!E39</f>
        <v>-0.24379659300000001</v>
      </c>
      <c r="AO31" s="62">
        <f t="shared" si="1"/>
        <v>-0.24379659300000001</v>
      </c>
      <c r="AV31" s="59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62">
        <f t="shared" si="3"/>
        <v>0.296367824</v>
      </c>
    </row>
    <row r="32" spans="2:56" x14ac:dyDescent="0.25">
      <c r="B32" s="9" t="s">
        <v>2</v>
      </c>
      <c r="C32" s="42">
        <f t="shared" ref="C32:C38" si="13">$C19/C$26</f>
        <v>0.14314118715635274</v>
      </c>
      <c r="D32" s="42">
        <f t="shared" ref="D32:D38" si="14">$D19/D$26</f>
        <v>0.17835206963307343</v>
      </c>
      <c r="E32" s="42">
        <f t="shared" ref="E32:E38" si="15">$E19/E$26</f>
        <v>0.44943715130862871</v>
      </c>
      <c r="F32" s="42">
        <f t="shared" ref="F32:F38" si="16">$F19/F$26</f>
        <v>0.25178690745653287</v>
      </c>
      <c r="G32" s="42">
        <f t="shared" ref="G32:G38" si="17">$G19/G$26</f>
        <v>4.6004066580394694E-2</v>
      </c>
      <c r="H32" s="42"/>
      <c r="J32" s="9" t="s">
        <v>2</v>
      </c>
      <c r="K32" s="42">
        <f t="shared" ref="K32:K38" si="18">$K19/K$26</f>
        <v>0.16213555628989132</v>
      </c>
      <c r="L32" s="42">
        <f t="shared" ref="L32:L38" si="19">$L19/L$26</f>
        <v>0.1742002590230716</v>
      </c>
      <c r="M32" s="42">
        <f t="shared" ref="M32:M38" si="20">$M19/M$26</f>
        <v>0.5465163751512695</v>
      </c>
      <c r="N32" s="42">
        <f t="shared" ref="N32:N38" si="21">$N19/N$26</f>
        <v>0.27213355345031232</v>
      </c>
      <c r="O32" s="42">
        <f t="shared" ref="O32:O38" si="22">$O19/O$26</f>
        <v>0.12239056188191652</v>
      </c>
      <c r="R32" s="9" t="s">
        <v>2</v>
      </c>
      <c r="S32" s="44">
        <f t="shared" si="11"/>
        <v>0.88284883607160491</v>
      </c>
      <c r="T32" s="44">
        <f t="shared" si="11"/>
        <v>1.0238335501524827</v>
      </c>
      <c r="U32" s="44">
        <f t="shared" si="11"/>
        <v>0.82236721851971895</v>
      </c>
      <c r="V32" s="44">
        <f t="shared" si="11"/>
        <v>0.92523286549633632</v>
      </c>
      <c r="W32" s="44">
        <f t="shared" si="11"/>
        <v>0.37587920075716147</v>
      </c>
      <c r="Y32" s="9" t="s">
        <v>2</v>
      </c>
      <c r="Z32" s="44">
        <f t="shared" ref="Z32:Z36" si="23">IF(S32&gt;0,$AB$28*LN(S32),0)</f>
        <v>-0.12460128661036142</v>
      </c>
      <c r="AA32" s="44">
        <f t="shared" ref="AA32:AA38" si="24">IF(T32&gt;0,$AB$28*LN(T32),0)</f>
        <v>2.3553964725631548E-2</v>
      </c>
      <c r="AB32" s="44">
        <f t="shared" ref="AB32:AB36" si="25">IF(U32&gt;0,$AB$28*LN(U32),0)</f>
        <v>-0.19556824582506616</v>
      </c>
      <c r="AC32" s="44">
        <f t="shared" ref="AC32:AC36" si="26">IF(V32&gt;0,$AB$28*LN(V32),0)</f>
        <v>-7.7709826670014595E-2</v>
      </c>
      <c r="AD32" s="44">
        <f t="shared" ref="AD32:AD38" si="27">IF(W32&gt;0,$AB$28*LN(W32),0)</f>
        <v>-0.97848746179399482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91">
        <f t="shared" si="0"/>
        <v>0.42372318599999997</v>
      </c>
      <c r="AL32" s="59">
        <f>SchoolCoeffcients!B40</f>
        <v>129</v>
      </c>
      <c r="AM32" t="str">
        <f>SchoolCoeffcients!C40</f>
        <v>tr-dmixed</v>
      </c>
      <c r="AN32" s="55">
        <f>SchoolCoeffcients!E40</f>
        <v>0.77462376499999996</v>
      </c>
      <c r="AO32" s="62">
        <f t="shared" si="1"/>
        <v>0.77462376499999996</v>
      </c>
      <c r="AV32" s="59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62">
        <f t="shared" si="3"/>
        <v>-4.3232317999999999E-2</v>
      </c>
    </row>
    <row r="33" spans="1:51" x14ac:dyDescent="0.25">
      <c r="B33" s="9" t="s">
        <v>3</v>
      </c>
      <c r="C33" s="42">
        <f t="shared" si="13"/>
        <v>7.5271282418930469E-2</v>
      </c>
      <c r="D33" s="42">
        <f t="shared" si="14"/>
        <v>0.30058909940842388</v>
      </c>
      <c r="E33" s="42">
        <f t="shared" si="15"/>
        <v>0.46172307552762154</v>
      </c>
      <c r="F33" s="42">
        <f t="shared" si="16"/>
        <v>0.20486654171446983</v>
      </c>
      <c r="G33" s="42">
        <f t="shared" si="17"/>
        <v>1.7910541899468391E-2</v>
      </c>
      <c r="H33" s="42"/>
      <c r="J33" s="9" t="s">
        <v>3</v>
      </c>
      <c r="K33" s="42">
        <f t="shared" si="18"/>
        <v>8.9566118210332363E-2</v>
      </c>
      <c r="L33" s="42">
        <f t="shared" si="19"/>
        <v>0.29457355357054904</v>
      </c>
      <c r="M33" s="42">
        <f t="shared" si="20"/>
        <v>0.44879518513044664</v>
      </c>
      <c r="N33" s="42">
        <f t="shared" si="21"/>
        <v>0.26174003681823016</v>
      </c>
      <c r="O33" s="42">
        <f t="shared" si="22"/>
        <v>4.8002068824069696E-2</v>
      </c>
      <c r="R33" s="9" t="s">
        <v>3</v>
      </c>
      <c r="S33" s="44">
        <f t="shared" si="11"/>
        <v>0.84039906968132017</v>
      </c>
      <c r="T33" s="44">
        <f t="shared" si="11"/>
        <v>1.0204212013093501</v>
      </c>
      <c r="U33" s="44">
        <f t="shared" si="11"/>
        <v>1.0288057689242305</v>
      </c>
      <c r="V33" s="44">
        <f t="shared" si="11"/>
        <v>0.78270999043506251</v>
      </c>
      <c r="W33" s="44">
        <f t="shared" si="11"/>
        <v>0.37312020790419559</v>
      </c>
      <c r="Y33" s="9" t="s">
        <v>3</v>
      </c>
      <c r="Z33" s="44">
        <f t="shared" si="23"/>
        <v>-0.1738784170070018</v>
      </c>
      <c r="AA33" s="44">
        <f t="shared" si="24"/>
        <v>2.0215484519053761E-2</v>
      </c>
      <c r="AB33" s="44">
        <f t="shared" si="25"/>
        <v>2.8398681915735888E-2</v>
      </c>
      <c r="AC33" s="44">
        <f t="shared" si="26"/>
        <v>-0.24499303418603255</v>
      </c>
      <c r="AD33" s="44">
        <f t="shared" si="27"/>
        <v>-0.9858546380555786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91">
        <f t="shared" si="0"/>
        <v>0</v>
      </c>
      <c r="AL33" s="59">
        <f>SchoolCoeffcients!B41</f>
        <v>131</v>
      </c>
      <c r="AM33" t="str">
        <f>SchoolCoeffcients!C41</f>
        <v>da-escsptr</v>
      </c>
      <c r="AN33" s="55">
        <f>SchoolCoeffcients!E41</f>
        <v>0</v>
      </c>
      <c r="AO33" s="62">
        <f t="shared" si="1"/>
        <v>0</v>
      </c>
      <c r="AV33" s="59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62">
        <f t="shared" si="3"/>
        <v>1.3197710739999999</v>
      </c>
    </row>
    <row r="34" spans="1:51" x14ac:dyDescent="0.25">
      <c r="B34" s="9" t="s">
        <v>4</v>
      </c>
      <c r="C34" s="42">
        <f t="shared" si="13"/>
        <v>2.1605994953855765E-2</v>
      </c>
      <c r="D34" s="42">
        <f t="shared" si="14"/>
        <v>0</v>
      </c>
      <c r="E34" s="42">
        <f t="shared" si="15"/>
        <v>0</v>
      </c>
      <c r="F34" s="42">
        <f t="shared" si="16"/>
        <v>0</v>
      </c>
      <c r="G34" s="42">
        <f t="shared" si="17"/>
        <v>0</v>
      </c>
      <c r="H34" s="42"/>
      <c r="J34" s="9" t="s">
        <v>4</v>
      </c>
      <c r="K34" s="42">
        <f t="shared" si="18"/>
        <v>2.9159955669019789E-2</v>
      </c>
      <c r="L34" s="42">
        <f t="shared" si="19"/>
        <v>0</v>
      </c>
      <c r="M34" s="42">
        <f t="shared" si="20"/>
        <v>0</v>
      </c>
      <c r="N34" s="42">
        <f t="shared" si="21"/>
        <v>0</v>
      </c>
      <c r="O34" s="42">
        <f t="shared" si="22"/>
        <v>0</v>
      </c>
      <c r="R34" s="9" t="s">
        <v>4</v>
      </c>
      <c r="S34" s="44">
        <f>C34/K34</f>
        <v>0.74094745544522467</v>
      </c>
      <c r="T34" s="44"/>
      <c r="U34" s="44"/>
      <c r="V34" s="44"/>
      <c r="W34" s="44"/>
      <c r="Y34" s="9" t="s">
        <v>4</v>
      </c>
      <c r="Z34" s="44">
        <f t="shared" si="23"/>
        <v>-0.29982556653063758</v>
      </c>
      <c r="AA34" s="44"/>
      <c r="AB34" s="44"/>
      <c r="AC34" s="44"/>
      <c r="AD34" s="44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91">
        <f t="shared" si="0"/>
        <v>1.336185706</v>
      </c>
      <c r="AL34" s="59">
        <f>SchoolCoeffcients!B42</f>
        <v>132</v>
      </c>
      <c r="AM34" t="str">
        <f>SchoolCoeffcients!C42</f>
        <v>da-othsptr</v>
      </c>
      <c r="AN34" s="55">
        <f>SchoolCoeffcients!E42</f>
        <v>1.337907E-2</v>
      </c>
      <c r="AO34" s="62">
        <f t="shared" si="1"/>
        <v>1.337907E-2</v>
      </c>
      <c r="AV34" s="59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62">
        <f t="shared" si="3"/>
        <v>0.46798410400000001</v>
      </c>
    </row>
    <row r="35" spans="1:51" x14ac:dyDescent="0.25">
      <c r="B35" s="9" t="s">
        <v>5</v>
      </c>
      <c r="C35" s="42">
        <f t="shared" si="13"/>
        <v>6.7617525179122173E-2</v>
      </c>
      <c r="D35" s="42">
        <f t="shared" si="14"/>
        <v>3.9245581012445907E-2</v>
      </c>
      <c r="E35" s="42">
        <f t="shared" si="15"/>
        <v>0</v>
      </c>
      <c r="F35" s="42">
        <f t="shared" si="16"/>
        <v>1.5836322818397693E-2</v>
      </c>
      <c r="G35" s="42">
        <f t="shared" si="17"/>
        <v>3.7922829569259171E-3</v>
      </c>
      <c r="H35" s="42"/>
      <c r="J35" s="9" t="s">
        <v>5</v>
      </c>
      <c r="K35" s="42">
        <f t="shared" si="18"/>
        <v>6.8026850266020567E-2</v>
      </c>
      <c r="L35" s="42">
        <f t="shared" si="19"/>
        <v>4.5510121891505842E-2</v>
      </c>
      <c r="M35" s="42">
        <f t="shared" si="20"/>
        <v>0</v>
      </c>
      <c r="N35" s="42">
        <f t="shared" si="21"/>
        <v>1.1059347955050869E-2</v>
      </c>
      <c r="O35" s="42">
        <f t="shared" si="22"/>
        <v>9.2071588446687655E-3</v>
      </c>
      <c r="R35" s="9" t="s">
        <v>5</v>
      </c>
      <c r="S35" s="44">
        <f>C35/K35</f>
        <v>0.99398288932535139</v>
      </c>
      <c r="T35" s="60">
        <f>IF(L35=0,1,D35/L35)</f>
        <v>0.86234840473522945</v>
      </c>
      <c r="U35" s="60"/>
      <c r="V35" s="60">
        <f>IF(N35=0,1,F35/N35)</f>
        <v>1.4319400097331374</v>
      </c>
      <c r="W35" s="60">
        <f>IF(O35=0,1,G35/O35)</f>
        <v>0.41188416762482255</v>
      </c>
      <c r="Y35" s="9" t="s">
        <v>5</v>
      </c>
      <c r="Z35" s="44">
        <f t="shared" si="23"/>
        <v>-6.0352864321238991E-3</v>
      </c>
      <c r="AA35" s="44">
        <f t="shared" si="24"/>
        <v>-0.14809590815050364</v>
      </c>
      <c r="AB35" s="44"/>
      <c r="AC35" s="44">
        <f t="shared" si="26"/>
        <v>0.35903017501647538</v>
      </c>
      <c r="AD35" s="44">
        <f t="shared" si="27"/>
        <v>-0.88701311570340158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91">
        <f t="shared" si="0"/>
        <v>-6.5359500000000005E-7</v>
      </c>
      <c r="AL35" s="59">
        <f>SchoolCoeffcients!B43</f>
        <v>133</v>
      </c>
      <c r="AM35" t="str">
        <f>SchoolCoeffcients!C43</f>
        <v>sr-escsptr</v>
      </c>
      <c r="AN35" s="55">
        <f>SchoolCoeffcients!E43</f>
        <v>0</v>
      </c>
      <c r="AO35" s="62">
        <f t="shared" si="1"/>
        <v>0</v>
      </c>
      <c r="AV35" s="59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62">
        <f t="shared" si="3"/>
        <v>1.5982044369999999</v>
      </c>
    </row>
    <row r="36" spans="1:51" x14ac:dyDescent="0.25">
      <c r="B36" s="9" t="s">
        <v>6</v>
      </c>
      <c r="C36" s="42">
        <f t="shared" si="13"/>
        <v>2.5233869030816529E-2</v>
      </c>
      <c r="D36" s="42">
        <f t="shared" si="14"/>
        <v>1.2723773002315275E-2</v>
      </c>
      <c r="E36" s="42">
        <f t="shared" si="15"/>
        <v>4.2268419080189129E-3</v>
      </c>
      <c r="F36" s="42">
        <f t="shared" si="16"/>
        <v>1.0634483995755738E-2</v>
      </c>
      <c r="G36" s="42">
        <f t="shared" si="17"/>
        <v>1.4100576527187353E-3</v>
      </c>
      <c r="H36" s="42"/>
      <c r="J36" s="9" t="s">
        <v>6</v>
      </c>
      <c r="K36" s="42">
        <f t="shared" si="18"/>
        <v>1.754611080862423E-2</v>
      </c>
      <c r="L36" s="42">
        <f t="shared" si="19"/>
        <v>1.3584224509840849E-2</v>
      </c>
      <c r="M36" s="42">
        <f t="shared" si="20"/>
        <v>4.38260828847074E-3</v>
      </c>
      <c r="N36" s="42">
        <f t="shared" si="21"/>
        <v>1.7258589882424367E-2</v>
      </c>
      <c r="O36" s="42">
        <f t="shared" si="22"/>
        <v>2.4388938925103219E-3</v>
      </c>
      <c r="R36" s="9" t="s">
        <v>6</v>
      </c>
      <c r="S36" s="44">
        <f>C36/K36</f>
        <v>1.4381459974830222</v>
      </c>
      <c r="T36" s="60">
        <f>D36/L36</f>
        <v>0.9366580324918633</v>
      </c>
      <c r="U36" s="60">
        <f>IF(M36=0,1,E36/M36)</f>
        <v>0.96445806465031358</v>
      </c>
      <c r="V36" s="60">
        <f>F36/N36</f>
        <v>0.61618498777733743</v>
      </c>
      <c r="W36" s="60">
        <f>G36/O36</f>
        <v>0.57815457123777581</v>
      </c>
      <c r="Y36" s="9" t="s">
        <v>6</v>
      </c>
      <c r="Z36" s="44">
        <f t="shared" si="23"/>
        <v>0.36335478229753121</v>
      </c>
      <c r="AA36" s="44">
        <f t="shared" si="24"/>
        <v>-6.5437023345158246E-2</v>
      </c>
      <c r="AB36" s="44">
        <f t="shared" si="25"/>
        <v>-3.618892643040534E-2</v>
      </c>
      <c r="AC36" s="44">
        <f t="shared" si="26"/>
        <v>-0.48420805569774833</v>
      </c>
      <c r="AD36" s="44">
        <f t="shared" si="27"/>
        <v>-0.54791402177445103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91">
        <f t="shared" si="0"/>
        <v>1.3874495019999999</v>
      </c>
      <c r="AL36" s="59">
        <f>SchoolCoeffcients!B44</f>
        <v>134</v>
      </c>
      <c r="AM36" t="str">
        <f>SchoolCoeffcients!C44</f>
        <v>sr-othsptr</v>
      </c>
      <c r="AN36" s="55">
        <f>SchoolCoeffcients!E44</f>
        <v>0.433890995</v>
      </c>
      <c r="AO36" s="62">
        <f t="shared" si="1"/>
        <v>0.433890995</v>
      </c>
      <c r="AV36" s="59">
        <f>OtherCoefficients!B44</f>
        <v>161</v>
      </c>
      <c r="AW36" t="str">
        <f>OtherCoefficients!C44</f>
        <v>bi-class1</v>
      </c>
      <c r="AX36">
        <f>OtherCoefficients!E44</f>
        <v>0</v>
      </c>
      <c r="AY36" s="62">
        <f t="shared" si="3"/>
        <v>0</v>
      </c>
    </row>
    <row r="37" spans="1:51" x14ac:dyDescent="0.25">
      <c r="B37" s="9" t="s">
        <v>7</v>
      </c>
      <c r="C37" s="42">
        <f t="shared" si="13"/>
        <v>2.525901912078744E-2</v>
      </c>
      <c r="D37" s="42">
        <f t="shared" si="14"/>
        <v>7.5960957908384988E-2</v>
      </c>
      <c r="E37" s="42">
        <f t="shared" si="15"/>
        <v>5.3004571269744963E-2</v>
      </c>
      <c r="F37" s="42">
        <f t="shared" si="16"/>
        <v>0.19794900694298012</v>
      </c>
      <c r="G37" s="42">
        <f t="shared" si="17"/>
        <v>0.22179693088993746</v>
      </c>
      <c r="H37" s="42"/>
      <c r="J37" s="9" t="s">
        <v>7</v>
      </c>
      <c r="K37" s="42">
        <f t="shared" si="18"/>
        <v>9.2045739980073857E-3</v>
      </c>
      <c r="L37" s="42">
        <f t="shared" si="19"/>
        <v>6.0793642055611732E-2</v>
      </c>
      <c r="M37" s="42">
        <f t="shared" si="20"/>
        <v>4.0972631745302413E-5</v>
      </c>
      <c r="N37" s="42">
        <f t="shared" si="21"/>
        <v>0.17056740857096797</v>
      </c>
      <c r="O37" s="42">
        <f t="shared" si="22"/>
        <v>0.30902613673857021</v>
      </c>
      <c r="R37" s="9" t="s">
        <v>7</v>
      </c>
      <c r="S37" s="44"/>
      <c r="T37" s="44"/>
      <c r="U37" s="44"/>
      <c r="V37" s="44"/>
      <c r="W37" s="44"/>
      <c r="Y37" s="9" t="s">
        <v>7</v>
      </c>
      <c r="Z37" s="44"/>
      <c r="AA37" s="44"/>
      <c r="AB37" s="44"/>
      <c r="AC37" s="44"/>
      <c r="AD37" s="44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91">
        <f t="shared" si="0"/>
        <v>1.736096511</v>
      </c>
      <c r="AL37" s="59">
        <f>SchoolCoeffcients!B45</f>
        <v>161</v>
      </c>
      <c r="AM37" t="str">
        <f>SchoolCoeffcients!C45</f>
        <v>bi-class1</v>
      </c>
      <c r="AN37" s="55">
        <f>SchoolCoeffcients!E45</f>
        <v>0</v>
      </c>
      <c r="AO37" s="62">
        <f t="shared" si="1"/>
        <v>0</v>
      </c>
      <c r="AV37" s="59">
        <f>OtherCoefficients!B45</f>
        <v>162</v>
      </c>
      <c r="AW37" t="str">
        <f>OtherCoefficients!C45</f>
        <v>bi-class2</v>
      </c>
      <c r="AX37">
        <f>OtherCoefficients!E45</f>
        <v>0</v>
      </c>
      <c r="AY37" s="62">
        <f t="shared" si="3"/>
        <v>0</v>
      </c>
    </row>
    <row r="38" spans="1:51" x14ac:dyDescent="0.25">
      <c r="B38" s="14" t="s">
        <v>8</v>
      </c>
      <c r="C38" s="42">
        <f t="shared" si="13"/>
        <v>5.7797284812453322E-4</v>
      </c>
      <c r="D38" s="42">
        <f t="shared" si="14"/>
        <v>0.2742726023503318</v>
      </c>
      <c r="E38" s="42">
        <f t="shared" si="15"/>
        <v>1.0216698263545859E-3</v>
      </c>
      <c r="F38" s="42">
        <f t="shared" si="16"/>
        <v>1.3604767829058157E-3</v>
      </c>
      <c r="G38" s="42">
        <f t="shared" si="17"/>
        <v>0.5</v>
      </c>
      <c r="H38" s="42"/>
      <c r="J38" s="14" t="s">
        <v>8</v>
      </c>
      <c r="K38" s="42">
        <f t="shared" si="18"/>
        <v>0</v>
      </c>
      <c r="L38" s="42">
        <f t="shared" si="19"/>
        <v>0.30543137192410102</v>
      </c>
      <c r="M38" s="42">
        <f t="shared" si="20"/>
        <v>0</v>
      </c>
      <c r="N38" s="42">
        <f t="shared" si="21"/>
        <v>0</v>
      </c>
      <c r="O38" s="42">
        <f t="shared" si="22"/>
        <v>0</v>
      </c>
      <c r="R38" s="14" t="s">
        <v>8</v>
      </c>
      <c r="S38" s="44"/>
      <c r="T38" s="44">
        <f>D38/L38</f>
        <v>0.89798438393056723</v>
      </c>
      <c r="U38" s="44"/>
      <c r="V38" s="44"/>
      <c r="W38" s="44">
        <f>IF(O38=0,1,G38/O38)</f>
        <v>1</v>
      </c>
      <c r="Y38" s="14" t="s">
        <v>8</v>
      </c>
      <c r="Z38" s="44"/>
      <c r="AA38" s="44">
        <f t="shared" si="24"/>
        <v>-0.10760260066347281</v>
      </c>
      <c r="AB38" s="44"/>
      <c r="AC38" s="44"/>
      <c r="AD38" s="44">
        <f t="shared" si="27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91">
        <f t="shared" si="0"/>
        <v>-0.8</v>
      </c>
      <c r="AL38" s="59">
        <f>SchoolCoeffcients!B46</f>
        <v>162</v>
      </c>
      <c r="AM38" t="str">
        <f>SchoolCoeffcients!C46</f>
        <v>bi-class2</v>
      </c>
      <c r="AN38" s="55">
        <f>SchoolCoeffcients!E46</f>
        <v>0</v>
      </c>
      <c r="AO38" s="62">
        <f t="shared" si="1"/>
        <v>0</v>
      </c>
      <c r="AV38" s="59">
        <f>OtherCoefficients!B46</f>
        <v>163</v>
      </c>
      <c r="AW38" t="str">
        <f>OtherCoefficients!C46</f>
        <v>bi-gauntl</v>
      </c>
      <c r="AX38">
        <f>OtherCoefficients!E46</f>
        <v>0</v>
      </c>
      <c r="AY38" s="62">
        <f t="shared" si="3"/>
        <v>0</v>
      </c>
    </row>
    <row r="39" spans="1:51" ht="15.75" thickBot="1" x14ac:dyDescent="0.3">
      <c r="B39" s="40" t="s">
        <v>19</v>
      </c>
      <c r="C39" s="43">
        <f>SUM(C31:C38)</f>
        <v>0.99999999999999967</v>
      </c>
      <c r="D39" s="43">
        <f t="shared" ref="D39:G39" si="28">SUM(D31:D38)</f>
        <v>1</v>
      </c>
      <c r="E39" s="43">
        <f t="shared" si="28"/>
        <v>0.99999999999999989</v>
      </c>
      <c r="F39" s="43">
        <f t="shared" si="28"/>
        <v>0.99999999999999989</v>
      </c>
      <c r="G39" s="43">
        <f t="shared" si="28"/>
        <v>1</v>
      </c>
      <c r="H39" s="47"/>
      <c r="J39" s="40" t="s">
        <v>19</v>
      </c>
      <c r="K39" s="43">
        <f>SUM(K31:K38)</f>
        <v>0.99999999999999989</v>
      </c>
      <c r="L39" s="43">
        <f t="shared" ref="L39" si="29">SUM(L31:L38)</f>
        <v>1</v>
      </c>
      <c r="M39" s="43">
        <f t="shared" ref="M39" si="30">SUM(M31:M38)</f>
        <v>1</v>
      </c>
      <c r="N39" s="43">
        <f t="shared" ref="N39" si="31">SUM(N31:N38)</f>
        <v>1</v>
      </c>
      <c r="O39" s="43">
        <f t="shared" ref="O39" si="32">SUM(O31:O38)</f>
        <v>1</v>
      </c>
      <c r="R39" s="48"/>
      <c r="S39" s="49"/>
      <c r="T39" s="49"/>
      <c r="U39" s="49"/>
      <c r="V39" s="49"/>
      <c r="W39" s="49"/>
      <c r="Z39" s="38"/>
      <c r="AA39" s="38"/>
      <c r="AB39" s="38"/>
      <c r="AC39" s="38"/>
      <c r="AD39" s="38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91">
        <f t="shared" si="0"/>
        <v>-0.8</v>
      </c>
      <c r="AL39" s="59">
        <f>SchoolCoeffcients!B47</f>
        <v>163</v>
      </c>
      <c r="AM39" t="str">
        <f>SchoolCoeffcients!C47</f>
        <v>bi-gauntl</v>
      </c>
      <c r="AN39" s="55">
        <f>SchoolCoeffcients!E47</f>
        <v>0</v>
      </c>
      <c r="AO39" s="62">
        <f t="shared" si="1"/>
        <v>0</v>
      </c>
      <c r="AV39" s="5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62">
        <f t="shared" si="3"/>
        <v>0.120618224</v>
      </c>
    </row>
    <row r="40" spans="1:51" x14ac:dyDescent="0.25">
      <c r="R40" s="45"/>
      <c r="S40" s="45"/>
      <c r="T40" s="45"/>
      <c r="U40" s="45"/>
      <c r="V40" s="45"/>
      <c r="W40" s="45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91">
        <f t="shared" si="0"/>
        <v>0</v>
      </c>
      <c r="AL40" s="59">
        <f>SchoolCoeffcients!B48</f>
        <v>164</v>
      </c>
      <c r="AM40" t="str">
        <f>SchoolCoeffcients!C48</f>
        <v>bi-omixed</v>
      </c>
      <c r="AN40" s="55">
        <f>SchoolCoeffcients!E48</f>
        <v>0</v>
      </c>
      <c r="AO40" s="62">
        <f t="shared" si="1"/>
        <v>0</v>
      </c>
      <c r="AV40" s="59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62">
        <f t="shared" si="3"/>
        <v>2.09633E-4</v>
      </c>
    </row>
    <row r="41" spans="1:51" ht="15.75" thickBot="1" x14ac:dyDescent="0.3">
      <c r="R41" s="39" t="s">
        <v>220</v>
      </c>
      <c r="S41" s="45"/>
      <c r="T41" s="45"/>
      <c r="U41" s="45"/>
      <c r="V41" s="45"/>
      <c r="W41" s="45"/>
      <c r="Y41" s="39"/>
      <c r="Z41" s="45"/>
      <c r="AA41" s="45"/>
      <c r="AB41" s="45"/>
      <c r="AC41" s="45"/>
      <c r="AD41" s="45"/>
      <c r="AE41" s="45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91">
        <f t="shared" si="0"/>
        <v>0</v>
      </c>
      <c r="AL41" s="59">
        <f>SchoolCoeffcients!B49</f>
        <v>168</v>
      </c>
      <c r="AM41" t="str">
        <f>SchoolCoeffcients!C49</f>
        <v>bi-dempdn</v>
      </c>
      <c r="AN41" s="55">
        <f>SchoolCoeffcients!E49</f>
        <v>1.1363600000000001E-5</v>
      </c>
      <c r="AO41" s="62">
        <f t="shared" si="1"/>
        <v>1.1363600000000001E-5</v>
      </c>
      <c r="AV41" s="59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62">
        <f t="shared" si="3"/>
        <v>-2.9531000000000002E-6</v>
      </c>
    </row>
    <row r="42" spans="1:51" x14ac:dyDescent="0.25">
      <c r="B42" s="36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5"/>
      <c r="Z42" s="45"/>
      <c r="AA42" s="45"/>
      <c r="AB42" s="45"/>
      <c r="AC42" s="45"/>
      <c r="AD42" s="45"/>
      <c r="AE42" s="45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91">
        <f t="shared" si="0"/>
        <v>0</v>
      </c>
      <c r="AL42" s="59">
        <f>SchoolCoeffcients!B50</f>
        <v>169</v>
      </c>
      <c r="AM42" t="str">
        <f>SchoolCoeffcients!C50</f>
        <v>bi-dmixed</v>
      </c>
      <c r="AN42" s="55">
        <f>SchoolCoeffcients!E50</f>
        <v>-0.36651267700000001</v>
      </c>
      <c r="AO42" s="62">
        <f t="shared" si="1"/>
        <v>-0.36651267700000001</v>
      </c>
      <c r="AV42" s="59">
        <f>OtherCoefficients!B50</f>
        <v>169</v>
      </c>
      <c r="AW42" t="str">
        <f>OtherCoefficients!C50</f>
        <v>bi-dmixed</v>
      </c>
      <c r="AX42">
        <f>OtherCoefficients!E50</f>
        <v>0</v>
      </c>
      <c r="AY42" s="62">
        <f t="shared" si="3"/>
        <v>0</v>
      </c>
    </row>
    <row r="43" spans="1:51" ht="15.75" thickBot="1" x14ac:dyDescent="0.3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4">
        <f>VLOOKUP(Z18,$AG$3:$AI$38,3,FALSE)</f>
        <v>1.577637277</v>
      </c>
      <c r="T43" s="44">
        <f>VLOOKUP(AA18,$AL$3:$AN$44,3,FALSE)</f>
        <v>2.3671031779999998</v>
      </c>
      <c r="U43" s="44">
        <f>VLOOKUP(AB18,$AQ$3:$AS$17,3,FALSE)</f>
        <v>-8.5658758939999995</v>
      </c>
      <c r="V43" s="44">
        <f>VLOOKUP(AC18,$AV$3:$AX$47,3,FALSE)</f>
        <v>-0.40342066599999998</v>
      </c>
      <c r="W43" s="44">
        <f>VLOOKUP(AD18,$BA$3:$BC$19,3,FALSE)</f>
        <v>-4.1573700000000002</v>
      </c>
      <c r="Y43" s="12"/>
      <c r="Z43" s="57"/>
      <c r="AA43" s="57"/>
      <c r="AB43" s="57"/>
      <c r="AC43" s="57"/>
      <c r="AD43" s="57"/>
      <c r="AE43" s="45"/>
      <c r="AG43" s="54">
        <f>WorkCoefficients!B51</f>
        <v>206</v>
      </c>
      <c r="AH43" s="54" t="str">
        <f>WorkCoefficients!C51</f>
        <v>odistcont6-tr</v>
      </c>
      <c r="AI43" s="54">
        <f>WorkCoefficients!E51</f>
        <v>-1.2715533000000001</v>
      </c>
      <c r="AJ43" s="91">
        <f t="shared" si="0"/>
        <v>-1.2715533000000001</v>
      </c>
      <c r="AL43" s="59">
        <f>SchoolCoeffcients!B51</f>
        <v>179</v>
      </c>
      <c r="AM43" t="str">
        <f>SchoolCoeffcients!C51</f>
        <v>wk-dmixed</v>
      </c>
      <c r="AN43" s="55">
        <f>SchoolCoeffcients!E51</f>
        <v>0.502373344</v>
      </c>
      <c r="AO43" s="62">
        <f t="shared" si="1"/>
        <v>0.502373344</v>
      </c>
      <c r="AV43" s="59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62">
        <f t="shared" si="3"/>
        <v>1.108747989</v>
      </c>
    </row>
    <row r="44" spans="1:51" x14ac:dyDescent="0.2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5"/>
      <c r="R44" s="9" t="s">
        <v>2</v>
      </c>
      <c r="S44" s="44">
        <f t="shared" ref="S44:S48" si="33">VLOOKUP(Z19,$AG$3:$AI$38,3,FALSE)</f>
        <v>-2.14205632</v>
      </c>
      <c r="T44" s="44">
        <f t="shared" ref="T44:T50" si="34">VLOOKUP(AA19,$AL$3:$AN$44,3,FALSE)</f>
        <v>-1.003425644</v>
      </c>
      <c r="U44" s="44">
        <f t="shared" ref="U44:U48" si="35">VLOOKUP(AB19,$AQ$3:$AS$17,3,FALSE)</f>
        <v>-2.5111504E-2</v>
      </c>
      <c r="V44" s="44">
        <f t="shared" ref="V44:V48" si="36">VLOOKUP(AC19,$AV$3:$AX$47,3,FALSE)</f>
        <v>-2.144795593</v>
      </c>
      <c r="W44" s="44">
        <f t="shared" ref="W44:W48" si="37">VLOOKUP(AD19,$BA$3:$BC$19,3,FALSE)</f>
        <v>-4.8747011999999996</v>
      </c>
      <c r="Y44" s="12"/>
      <c r="Z44" s="57"/>
      <c r="AA44" s="57"/>
      <c r="AB44" s="57"/>
      <c r="AC44" s="57"/>
      <c r="AD44" s="57"/>
      <c r="AE44" s="45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91">
        <f t="shared" si="0"/>
        <v>0</v>
      </c>
      <c r="AL44" s="59">
        <f>SchoolCoeffcients!B52</f>
        <v>201</v>
      </c>
      <c r="AM44" t="str">
        <f>SchoolCoeffcients!C52</f>
        <v>odistcont1-tr</v>
      </c>
      <c r="AN44" s="55">
        <f>SchoolCoeffcients!E52</f>
        <v>0</v>
      </c>
      <c r="AO44" s="62">
        <f t="shared" si="1"/>
        <v>0</v>
      </c>
      <c r="AV44" s="59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62">
        <f t="shared" si="3"/>
        <v>2.0996029740000002</v>
      </c>
    </row>
    <row r="45" spans="1:51" x14ac:dyDescent="0.25">
      <c r="A45">
        <v>1</v>
      </c>
      <c r="C45" s="68">
        <f>SUMIFS(input_districts!$C$1:$C$63,input_districts!$A$1:$A$63,$A45,input_districts!$B$1:$B$63,C$43)</f>
        <v>16557.145128</v>
      </c>
      <c r="D45" s="68">
        <f>SUMIFS(input_districts!$C$1:$C$63,input_districts!$A$1:$A$63,$A45,input_districts!$B$1:$B$63,D$43)</f>
        <v>5480.2495798999998</v>
      </c>
      <c r="E45" s="68">
        <f>SUMIFS(input_districts!$C$1:$C$63,input_districts!$A$1:$A$63,$A45,input_districts!$B$1:$B$63,E$43)</f>
        <v>0</v>
      </c>
      <c r="F45" s="68">
        <f>SUMIFS(input_districts!$C$1:$C$63,input_districts!$A$1:$A$63,$A45,input_districts!$B$1:$B$63,F$43)</f>
        <v>1656.1317055720001</v>
      </c>
      <c r="G45" s="69">
        <f>SUM(C45:F45)</f>
        <v>23693.526413471998</v>
      </c>
      <c r="J45">
        <v>1</v>
      </c>
      <c r="L45" s="68">
        <f>SUMIFS(input_districts!$C$124:$C$193,input_districts!$A$124:$A$193,$A45,input_districts!$B$124:$B$193,L$43)</f>
        <v>10045.6515332</v>
      </c>
      <c r="M45" s="68">
        <f>SUMIFS(input_districts!$C$124:$C$193,input_districts!$A$124:$A$193,$A45,input_districts!$B$124:$B$193,M$43)</f>
        <v>2339.1578290100001</v>
      </c>
      <c r="N45" s="68">
        <f>SUMIFS(input_districts!$C$124:$C$193,input_districts!$A$124:$A$193,$A45,input_districts!$B$124:$B$193,N$43)</f>
        <v>0</v>
      </c>
      <c r="O45" s="68">
        <f>SUMIFS(input_districts!$C$124:$C$193,input_districts!$A$124:$A$193,$A45,input_districts!$B$124:$B$193,O$43)</f>
        <v>125.66939618830001</v>
      </c>
      <c r="P45" s="69">
        <f>SUM(L45:O45)</f>
        <v>12510.4787583983</v>
      </c>
      <c r="Q45" s="69"/>
      <c r="R45" s="9" t="s">
        <v>3</v>
      </c>
      <c r="S45" s="44">
        <f t="shared" si="33"/>
        <v>-2.6026901850000002</v>
      </c>
      <c r="T45" s="44">
        <f t="shared" si="34"/>
        <v>-0.45676292000000002</v>
      </c>
      <c r="U45" s="44">
        <f t="shared" si="35"/>
        <v>-1.160280357</v>
      </c>
      <c r="V45" s="44">
        <f t="shared" si="36"/>
        <v>-1.911034796</v>
      </c>
      <c r="W45" s="44">
        <f t="shared" si="37"/>
        <v>-5.9141281000000001</v>
      </c>
      <c r="Y45" s="12"/>
      <c r="Z45" s="57"/>
      <c r="AA45" s="57"/>
      <c r="AB45" s="57"/>
      <c r="AC45" s="57"/>
      <c r="AD45" s="57"/>
      <c r="AE45" s="45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91">
        <f t="shared" si="0"/>
        <v>-2</v>
      </c>
      <c r="AL45" s="59">
        <f>SchoolCoeffcients!B53</f>
        <v>202</v>
      </c>
      <c r="AM45" t="str">
        <f>SchoolCoeffcients!C53</f>
        <v>odistcont2-tr</v>
      </c>
      <c r="AN45" s="55">
        <f>SchoolCoeffcients!E53</f>
        <v>0</v>
      </c>
      <c r="AO45" s="62">
        <f t="shared" si="1"/>
        <v>0</v>
      </c>
      <c r="AV45" s="59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62">
        <f t="shared" si="3"/>
        <v>1.3793900000000001E-4</v>
      </c>
    </row>
    <row r="46" spans="1:51" x14ac:dyDescent="0.25">
      <c r="A46">
        <v>2</v>
      </c>
      <c r="C46" s="68">
        <f>SUMIFS(input_districts!$C$1:$C$63,input_districts!$A$1:$A$63,$A46,input_districts!$B$1:$B$63,C$43)</f>
        <v>11810.610632</v>
      </c>
      <c r="D46" s="68">
        <f>SUMIFS(input_districts!$C$1:$C$63,input_districts!$A$1:$A$63,$A46,input_districts!$B$1:$B$63,D$43)</f>
        <v>3130.50245442</v>
      </c>
      <c r="E46" s="68">
        <f>SUMIFS(input_districts!$C$1:$C$63,input_districts!$A$1:$A$63,$A46,input_districts!$B$1:$B$63,E$43)</f>
        <v>0</v>
      </c>
      <c r="F46" s="68">
        <f>SUMIFS(input_districts!$C$1:$C$63,input_districts!$A$1:$A$63,$A46,input_districts!$B$1:$B$63,F$43)</f>
        <v>9998.3733069400005</v>
      </c>
      <c r="G46" s="69">
        <f t="shared" ref="G46:G55" si="38">SUM(C46:F46)</f>
        <v>24939.486393359999</v>
      </c>
      <c r="J46">
        <v>2</v>
      </c>
      <c r="L46" s="68">
        <f>SUMIFS(input_districts!$C$124:$C$193,input_districts!$A$124:$A$193,$A46,input_districts!$B$124:$B$193,L$43)</f>
        <v>8237.8627684700004</v>
      </c>
      <c r="M46" s="68">
        <f>SUMIFS(input_districts!$C$124:$C$193,input_districts!$A$124:$A$193,$A46,input_districts!$B$124:$B$193,M$43)</f>
        <v>1359.8293462300001</v>
      </c>
      <c r="N46" s="68">
        <f>SUMIFS(input_districts!$C$124:$C$193,input_districts!$A$124:$A$193,$A46,input_districts!$B$124:$B$193,N$43)</f>
        <v>0</v>
      </c>
      <c r="O46" s="68">
        <f>SUMIFS(input_districts!$C$124:$C$193,input_districts!$A$124:$A$193,$A46,input_districts!$B$124:$B$193,O$43)</f>
        <v>141.98457434919999</v>
      </c>
      <c r="P46" s="69">
        <f t="shared" ref="P46:P55" si="39">SUM(L46:O46)</f>
        <v>9739.6766890492017</v>
      </c>
      <c r="Q46" s="69"/>
      <c r="R46" s="9" t="s">
        <v>4</v>
      </c>
      <c r="S46" s="44">
        <f>VLOOKUP(Z21,$AG$3:$AI$38,3,FALSE)</f>
        <v>-4.1251959730000003</v>
      </c>
      <c r="T46" s="44"/>
      <c r="U46" s="44"/>
      <c r="V46" s="44"/>
      <c r="W46" s="44"/>
      <c r="Y46" s="12"/>
      <c r="Z46" s="57"/>
      <c r="AA46" s="57"/>
      <c r="AB46" s="57"/>
      <c r="AC46" s="57"/>
      <c r="AD46" s="57"/>
      <c r="AE46" s="45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91">
        <f t="shared" si="0"/>
        <v>-1</v>
      </c>
      <c r="AL46" s="59">
        <f>SchoolCoeffcients!B54</f>
        <v>203</v>
      </c>
      <c r="AM46" t="str">
        <f>SchoolCoeffcients!C54</f>
        <v>odistcont3-tr</v>
      </c>
      <c r="AN46" s="55">
        <f>SchoolCoeffcients!E54</f>
        <v>0</v>
      </c>
      <c r="AO46" s="62">
        <f t="shared" si="1"/>
        <v>0</v>
      </c>
      <c r="AV46" s="59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62">
        <f t="shared" si="3"/>
        <v>-6.1957300000000002E-6</v>
      </c>
    </row>
    <row r="47" spans="1:51" x14ac:dyDescent="0.25">
      <c r="A47">
        <v>3</v>
      </c>
      <c r="C47" s="68">
        <f>SUMIFS(input_districts!$C$1:$C$63,input_districts!$A$1:$A$63,$A47,input_districts!$B$1:$B$63,C$43)</f>
        <v>44736.176008199996</v>
      </c>
      <c r="D47" s="68">
        <f>SUMIFS(input_districts!$C$1:$C$63,input_districts!$A$1:$A$63,$A47,input_districts!$B$1:$B$63,D$43)</f>
        <v>11191.9942933</v>
      </c>
      <c r="E47" s="68">
        <f>SUMIFS(input_districts!$C$1:$C$63,input_districts!$A$1:$A$63,$A47,input_districts!$B$1:$B$63,E$43)</f>
        <v>180.394379313</v>
      </c>
      <c r="F47" s="68">
        <f>SUMIFS(input_districts!$C$1:$C$63,input_districts!$A$1:$A$63,$A47,input_districts!$B$1:$B$63,F$43)</f>
        <v>16502.50919922</v>
      </c>
      <c r="G47" s="69">
        <f t="shared" si="38"/>
        <v>72611.073880033</v>
      </c>
      <c r="J47">
        <v>3</v>
      </c>
      <c r="L47" s="68">
        <f>SUMIFS(input_districts!$C$124:$C$193,input_districts!$A$124:$A$193,$A47,input_districts!$B$124:$B$193,L$43)</f>
        <v>36698.312102199998</v>
      </c>
      <c r="M47" s="68">
        <f>SUMIFS(input_districts!$C$124:$C$193,input_districts!$A$124:$A$193,$A47,input_districts!$B$124:$B$193,M$43)</f>
        <v>7022.9334504400003</v>
      </c>
      <c r="N47" s="68">
        <f>SUMIFS(input_districts!$C$124:$C$193,input_districts!$A$124:$A$193,$A47,input_districts!$B$124:$B$193,N$43)</f>
        <v>2.5</v>
      </c>
      <c r="O47" s="68">
        <f>SUMIFS(input_districts!$C$124:$C$193,input_districts!$A$124:$A$193,$A47,input_districts!$B$124:$B$193,O$43)</f>
        <v>9578.5738737499996</v>
      </c>
      <c r="P47" s="69">
        <f t="shared" si="39"/>
        <v>53302.31942639</v>
      </c>
      <c r="Q47" s="69"/>
      <c r="R47" s="9" t="s">
        <v>5</v>
      </c>
      <c r="S47" s="44">
        <f t="shared" si="33"/>
        <v>-3.0344243999999998</v>
      </c>
      <c r="T47" s="44">
        <f t="shared" si="34"/>
        <v>-4.4278629379999996</v>
      </c>
      <c r="U47" s="44"/>
      <c r="V47" s="44">
        <f t="shared" si="36"/>
        <v>-3.2974451419999999</v>
      </c>
      <c r="W47" s="44">
        <f t="shared" si="37"/>
        <v>-5.6403108</v>
      </c>
      <c r="Y47" s="12"/>
      <c r="Z47" s="57"/>
      <c r="AA47" s="57"/>
      <c r="AB47" s="57"/>
      <c r="AC47" s="57"/>
      <c r="AD47" s="57"/>
      <c r="AE47" s="45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91">
        <f t="shared" si="0"/>
        <v>-2</v>
      </c>
      <c r="AL47" s="59">
        <f>SchoolCoeffcients!B55</f>
        <v>204</v>
      </c>
      <c r="AM47" t="str">
        <f>SchoolCoeffcients!C55</f>
        <v>odistcont4-tr</v>
      </c>
      <c r="AN47" s="55">
        <f>SchoolCoeffcients!E55</f>
        <v>0</v>
      </c>
      <c r="AO47" s="62">
        <f t="shared" si="1"/>
        <v>0</v>
      </c>
      <c r="AV47" s="59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62">
        <f t="shared" si="3"/>
        <v>-4.5</v>
      </c>
    </row>
    <row r="48" spans="1:51" x14ac:dyDescent="0.25">
      <c r="A48">
        <v>4</v>
      </c>
      <c r="C48" s="68">
        <f>SUMIFS(input_districts!$C$1:$C$63,input_districts!$A$1:$A$63,$A48,input_districts!$B$1:$B$63,C$43)</f>
        <v>32174.416863400002</v>
      </c>
      <c r="D48" s="68">
        <f>SUMIFS(input_districts!$C$1:$C$63,input_districts!$A$1:$A$63,$A48,input_districts!$B$1:$B$63,D$43)</f>
        <v>4795.1704180799998</v>
      </c>
      <c r="E48" s="68">
        <f>SUMIFS(input_districts!$C$1:$C$63,input_districts!$A$1:$A$63,$A48,input_districts!$B$1:$B$63,E$43)</f>
        <v>201.681665009</v>
      </c>
      <c r="F48" s="68">
        <f>SUMIFS(input_districts!$C$1:$C$63,input_districts!$A$1:$A$63,$A48,input_districts!$B$1:$B$63,F$43)</f>
        <v>22413.444286260001</v>
      </c>
      <c r="G48" s="69">
        <f t="shared" si="38"/>
        <v>59584.713232748996</v>
      </c>
      <c r="J48">
        <v>4</v>
      </c>
      <c r="L48" s="68">
        <f>SUMIFS(input_districts!$C$124:$C$193,input_districts!$A$124:$A$193,$A48,input_districts!$B$124:$B$193,L$43)</f>
        <v>25483.242793099998</v>
      </c>
      <c r="M48" s="68">
        <f>SUMIFS(input_districts!$C$124:$C$193,input_districts!$A$124:$A$193,$A48,input_districts!$B$124:$B$193,M$43)</f>
        <v>3360.9737871900002</v>
      </c>
      <c r="N48" s="68">
        <f>SUMIFS(input_districts!$C$124:$C$193,input_districts!$A$124:$A$193,$A48,input_districts!$B$124:$B$193,N$43)</f>
        <v>5.4957586427700003</v>
      </c>
      <c r="O48" s="68">
        <f>SUMIFS(input_districts!$C$124:$C$193,input_districts!$A$124:$A$193,$A48,input_districts!$B$124:$B$193,O$43)</f>
        <v>10658.285572703</v>
      </c>
      <c r="P48" s="69">
        <f t="shared" si="39"/>
        <v>39507.997911635772</v>
      </c>
      <c r="Q48" s="69"/>
      <c r="R48" s="9" t="s">
        <v>6</v>
      </c>
      <c r="S48" s="44">
        <f t="shared" si="33"/>
        <v>-3.7193614820000001</v>
      </c>
      <c r="T48" s="44">
        <f t="shared" si="34"/>
        <v>-3.8530967860000001</v>
      </c>
      <c r="U48" s="44">
        <f t="shared" si="35"/>
        <v>-10.566358470000001</v>
      </c>
      <c r="V48" s="44">
        <f t="shared" si="36"/>
        <v>-4.5539641590000004</v>
      </c>
      <c r="W48" s="44">
        <f t="shared" si="37"/>
        <v>-7.2848658999999998</v>
      </c>
      <c r="Y48" s="12"/>
      <c r="Z48" s="57"/>
      <c r="AA48" s="57"/>
      <c r="AB48" s="57"/>
      <c r="AC48" s="57"/>
      <c r="AD48" s="57"/>
      <c r="AE48" s="45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91">
        <f t="shared" si="0"/>
        <v>0</v>
      </c>
      <c r="AL48" s="59">
        <f>SchoolCoeffcients!B56</f>
        <v>205</v>
      </c>
      <c r="AM48" t="str">
        <f>SchoolCoeffcients!C56</f>
        <v>odistcont5-tr</v>
      </c>
      <c r="AN48" s="55">
        <f>SchoolCoeffcients!E56</f>
        <v>0</v>
      </c>
      <c r="AO48" s="62">
        <f t="shared" si="1"/>
        <v>0</v>
      </c>
      <c r="AV48" s="59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62">
        <f t="shared" si="3"/>
        <v>-4.5</v>
      </c>
    </row>
    <row r="49" spans="1:51" x14ac:dyDescent="0.25">
      <c r="A49">
        <v>5</v>
      </c>
      <c r="C49" s="68">
        <f>SUMIFS(input_districts!$C$1:$C$63,input_districts!$A$1:$A$63,$A49,input_districts!$B$1:$B$63,C$43)</f>
        <v>33189.342943800002</v>
      </c>
      <c r="D49" s="68">
        <f>SUMIFS(input_districts!$C$1:$C$63,input_districts!$A$1:$A$63,$A49,input_districts!$B$1:$B$63,D$43)</f>
        <v>4867.4797089599997</v>
      </c>
      <c r="E49" s="68">
        <f>SUMIFS(input_districts!$C$1:$C$63,input_districts!$A$1:$A$63,$A49,input_districts!$B$1:$B$63,E$43)</f>
        <v>186.53392827799999</v>
      </c>
      <c r="F49" s="68">
        <f>SUMIFS(input_districts!$C$1:$C$63,input_districts!$A$1:$A$63,$A49,input_districts!$B$1:$B$63,F$43)</f>
        <v>13289.053137669001</v>
      </c>
      <c r="G49" s="69">
        <f t="shared" si="38"/>
        <v>51532.409718707</v>
      </c>
      <c r="J49">
        <v>5</v>
      </c>
      <c r="L49" s="68">
        <f>SUMIFS(input_districts!$C$124:$C$193,input_districts!$A$124:$A$193,$A49,input_districts!$B$124:$B$193,L$43)</f>
        <v>22599.042759600001</v>
      </c>
      <c r="M49" s="68">
        <f>SUMIFS(input_districts!$C$124:$C$193,input_districts!$A$124:$A$193,$A49,input_districts!$B$124:$B$193,M$43)</f>
        <v>3417.4375741700001</v>
      </c>
      <c r="N49" s="68">
        <f>SUMIFS(input_districts!$C$124:$C$193,input_districts!$A$124:$A$193,$A49,input_districts!$B$124:$B$193,N$43)</f>
        <v>0</v>
      </c>
      <c r="O49" s="68">
        <f>SUMIFS(input_districts!$C$124:$C$193,input_districts!$A$124:$A$193,$A49,input_districts!$B$124:$B$193,O$43)</f>
        <v>8469.80280924</v>
      </c>
      <c r="P49" s="69">
        <f t="shared" si="39"/>
        <v>34486.283143009998</v>
      </c>
      <c r="Q49" s="69"/>
      <c r="R49" s="9" t="s">
        <v>7</v>
      </c>
      <c r="S49" s="44"/>
      <c r="T49" s="44"/>
      <c r="U49" s="44"/>
      <c r="V49" s="44"/>
      <c r="W49" s="44"/>
      <c r="Y49" s="12"/>
      <c r="Z49" s="57"/>
      <c r="AA49" s="57"/>
      <c r="AB49" s="57"/>
      <c r="AC49" s="57"/>
      <c r="AD49" s="57"/>
      <c r="AE49" s="45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91">
        <f t="shared" si="0"/>
        <v>0</v>
      </c>
      <c r="AL49" s="59">
        <f>SchoolCoeffcients!B57</f>
        <v>206</v>
      </c>
      <c r="AM49" t="str">
        <f>SchoolCoeffcients!C57</f>
        <v>odistcont6-tr</v>
      </c>
      <c r="AN49" s="55">
        <f>SchoolCoeffcients!E57</f>
        <v>0</v>
      </c>
      <c r="AO49" s="62">
        <f t="shared" si="1"/>
        <v>0</v>
      </c>
      <c r="AV49" s="5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62">
        <f t="shared" si="3"/>
        <v>0</v>
      </c>
    </row>
    <row r="50" spans="1:51" x14ac:dyDescent="0.25">
      <c r="A50">
        <v>6</v>
      </c>
      <c r="C50" s="68">
        <f>SUMIFS(input_districts!$C$1:$C$63,input_districts!$A$1:$A$63,$A50,input_districts!$B$1:$B$63,C$43)</f>
        <v>40607.1357059</v>
      </c>
      <c r="D50" s="68">
        <f>SUMIFS(input_districts!$C$1:$C$63,input_districts!$A$1:$A$63,$A50,input_districts!$B$1:$B$63,D$43)</f>
        <v>9582.5688740000005</v>
      </c>
      <c r="E50" s="68">
        <f>SUMIFS(input_districts!$C$1:$C$63,input_districts!$A$1:$A$63,$A50,input_districts!$B$1:$B$63,E$43)</f>
        <v>224.93159591400001</v>
      </c>
      <c r="F50" s="68">
        <f>SUMIFS(input_districts!$C$1:$C$63,input_districts!$A$1:$A$63,$A50,input_districts!$B$1:$B$63,F$43)</f>
        <v>15024.742136270001</v>
      </c>
      <c r="G50" s="69">
        <f t="shared" si="38"/>
        <v>65439.378312084009</v>
      </c>
      <c r="J50">
        <v>6</v>
      </c>
      <c r="L50" s="68">
        <f>SUMIFS(input_districts!$C$124:$C$193,input_districts!$A$124:$A$193,$A50,input_districts!$B$124:$B$193,L$43)</f>
        <v>19453.3351798</v>
      </c>
      <c r="M50" s="68">
        <f>SUMIFS(input_districts!$C$124:$C$193,input_districts!$A$124:$A$193,$A50,input_districts!$B$124:$B$193,M$43)</f>
        <v>2678.9584780999999</v>
      </c>
      <c r="N50" s="68">
        <f>SUMIFS(input_districts!$C$124:$C$193,input_districts!$A$124:$A$193,$A50,input_districts!$B$124:$B$193,N$43)</f>
        <v>6.5</v>
      </c>
      <c r="O50" s="68">
        <f>SUMIFS(input_districts!$C$124:$C$193,input_districts!$A$124:$A$193,$A50,input_districts!$B$124:$B$193,O$43)</f>
        <v>5131.0179329759994</v>
      </c>
      <c r="P50" s="69">
        <f t="shared" si="39"/>
        <v>27269.811590876001</v>
      </c>
      <c r="Q50" s="69"/>
      <c r="R50" s="14" t="s">
        <v>8</v>
      </c>
      <c r="S50" s="46"/>
      <c r="T50" s="46">
        <f t="shared" si="34"/>
        <v>-0.27978488299999998</v>
      </c>
      <c r="U50" s="46"/>
      <c r="V50" s="46"/>
      <c r="W50" s="46"/>
      <c r="Y50" s="12"/>
      <c r="Z50" s="57"/>
      <c r="AA50" s="57"/>
      <c r="AB50" s="57"/>
      <c r="AC50" s="57"/>
      <c r="AD50" s="57"/>
      <c r="AE50" s="45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91">
        <f t="shared" si="0"/>
        <v>0</v>
      </c>
      <c r="AL50" s="59">
        <f>SchoolCoeffcients!B58</f>
        <v>207</v>
      </c>
      <c r="AM50" t="str">
        <f>SchoolCoeffcients!C58</f>
        <v>odistcont7-tr</v>
      </c>
      <c r="AN50" s="55">
        <f>SchoolCoeffcients!E58</f>
        <v>0</v>
      </c>
      <c r="AO50" s="62">
        <f t="shared" si="1"/>
        <v>0</v>
      </c>
      <c r="AV50" s="59">
        <f>OtherCoefficients!B58</f>
        <v>204</v>
      </c>
      <c r="AW50" t="str">
        <f>OtherCoefficients!C58</f>
        <v>odistcont4-tr</v>
      </c>
      <c r="AX50">
        <f>OtherCoefficients!E58</f>
        <v>0</v>
      </c>
      <c r="AY50" s="62">
        <f t="shared" si="3"/>
        <v>0</v>
      </c>
    </row>
    <row r="51" spans="1:51" x14ac:dyDescent="0.25">
      <c r="A51">
        <v>7</v>
      </c>
      <c r="C51" s="68">
        <f>SUMIFS(input_districts!$C$1:$C$63,input_districts!$A$1:$A$63,$A51,input_districts!$B$1:$B$63,C$43)</f>
        <v>20117.007764400001</v>
      </c>
      <c r="D51" s="68">
        <f>SUMIFS(input_districts!$C$1:$C$63,input_districts!$A$1:$A$63,$A51,input_districts!$B$1:$B$63,D$43)</f>
        <v>7745.5075523200003</v>
      </c>
      <c r="E51" s="68">
        <f>SUMIFS(input_districts!$C$1:$C$63,input_districts!$A$1:$A$63,$A51,input_districts!$B$1:$B$63,E$43)</f>
        <v>2136.0939062100001</v>
      </c>
      <c r="F51" s="68">
        <f>SUMIFS(input_districts!$C$1:$C$63,input_districts!$A$1:$A$63,$A51,input_districts!$B$1:$B$63,F$43)</f>
        <v>16275.10507215</v>
      </c>
      <c r="G51" s="69">
        <f t="shared" si="38"/>
        <v>46273.714295080004</v>
      </c>
      <c r="J51">
        <v>7</v>
      </c>
      <c r="L51" s="68">
        <f>SUMIFS(input_districts!$C$124:$C$193,input_districts!$A$124:$A$193,$A51,input_districts!$B$124:$B$193,L$43)</f>
        <v>19462.981760999999</v>
      </c>
      <c r="M51" s="68">
        <f>SUMIFS(input_districts!$C$124:$C$193,input_districts!$A$124:$A$193,$A51,input_districts!$B$124:$B$193,M$43)</f>
        <v>3723.6588247700001</v>
      </c>
      <c r="N51" s="68">
        <f>SUMIFS(input_districts!$C$124:$C$193,input_districts!$A$124:$A$193,$A51,input_districts!$B$124:$B$193,N$43)</f>
        <v>3.9987531172100002</v>
      </c>
      <c r="O51" s="68">
        <f>SUMIFS(input_districts!$C$124:$C$193,input_districts!$A$124:$A$193,$A51,input_districts!$B$124:$B$193,O$43)</f>
        <v>6722.9009890880006</v>
      </c>
      <c r="P51" s="69">
        <f t="shared" si="39"/>
        <v>29913.54032797521</v>
      </c>
      <c r="Q51" s="69"/>
      <c r="Y51" s="45"/>
      <c r="Z51" s="45"/>
      <c r="AA51" s="45"/>
      <c r="AB51" s="45"/>
      <c r="AC51" s="45"/>
      <c r="AD51" s="45"/>
      <c r="AE51" s="45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91">
        <f t="shared" si="0"/>
        <v>1.0448111037377017</v>
      </c>
      <c r="AL51" s="59">
        <f>SchoolCoeffcients!B59</f>
        <v>208</v>
      </c>
      <c r="AM51" t="str">
        <f>SchoolCoeffcients!C59</f>
        <v>odistcont8-tr</v>
      </c>
      <c r="AN51" s="55">
        <f>SchoolCoeffcients!E59</f>
        <v>0</v>
      </c>
      <c r="AO51" s="62">
        <f t="shared" si="1"/>
        <v>0</v>
      </c>
      <c r="AV51" s="59">
        <f>OtherCoefficients!B59</f>
        <v>205</v>
      </c>
      <c r="AW51" t="str">
        <f>OtherCoefficients!C59</f>
        <v>odistcont5-tr</v>
      </c>
      <c r="AX51">
        <f>OtherCoefficients!E59</f>
        <v>0</v>
      </c>
      <c r="AY51" s="62">
        <f t="shared" si="3"/>
        <v>0</v>
      </c>
    </row>
    <row r="52" spans="1:51" x14ac:dyDescent="0.25">
      <c r="A52">
        <v>8</v>
      </c>
      <c r="C52" s="68">
        <f>SUMIFS(input_districts!$C$1:$C$63,input_districts!$A$1:$A$63,$A52,input_districts!$B$1:$B$63,C$43)</f>
        <v>8561.3824606599992</v>
      </c>
      <c r="D52" s="68">
        <f>SUMIFS(input_districts!$C$1:$C$63,input_districts!$A$1:$A$63,$A52,input_districts!$B$1:$B$63,D$43)</f>
        <v>2601.8531054499999</v>
      </c>
      <c r="E52" s="68">
        <f>SUMIFS(input_districts!$C$1:$C$63,input_districts!$A$1:$A$63,$A52,input_districts!$B$1:$B$63,E$43)</f>
        <v>0</v>
      </c>
      <c r="F52" s="68">
        <f>SUMIFS(input_districts!$C$1:$C$63,input_districts!$A$1:$A$63,$A52,input_districts!$B$1:$B$63,F$43)</f>
        <v>5491.8836875269999</v>
      </c>
      <c r="G52" s="69">
        <f t="shared" si="38"/>
        <v>16655.119253637</v>
      </c>
      <c r="J52">
        <v>8</v>
      </c>
      <c r="L52" s="68">
        <f>SUMIFS(input_districts!$C$124:$C$193,input_districts!$A$124:$A$193,$A52,input_districts!$B$124:$B$193,L$43)</f>
        <v>2664.4649429800002</v>
      </c>
      <c r="M52" s="68">
        <f>SUMIFS(input_districts!$C$124:$C$193,input_districts!$A$124:$A$193,$A52,input_districts!$B$124:$B$193,M$43)</f>
        <v>1049.3107092400001</v>
      </c>
      <c r="N52" s="68">
        <f>SUMIFS(input_districts!$C$124:$C$193,input_districts!$A$124:$A$193,$A52,input_districts!$B$124:$B$193,N$43)</f>
        <v>0.25</v>
      </c>
      <c r="O52" s="68">
        <f>SUMIFS(input_districts!$C$124:$C$193,input_districts!$A$124:$A$193,$A52,input_districts!$B$124:$B$193,O$43)</f>
        <v>2221.3229650439998</v>
      </c>
      <c r="P52" s="69">
        <f t="shared" si="39"/>
        <v>5935.3486172640005</v>
      </c>
      <c r="Q52" s="69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91">
        <f t="shared" si="0"/>
        <v>8.714288799859482E-2</v>
      </c>
      <c r="AL52" s="59">
        <f>SchoolCoeffcients!B60</f>
        <v>209</v>
      </c>
      <c r="AM52" t="str">
        <f>SchoolCoeffcients!C60</f>
        <v>odistcont9-tr</v>
      </c>
      <c r="AN52" s="55">
        <f>SchoolCoeffcients!E60</f>
        <v>0</v>
      </c>
      <c r="AO52" s="62">
        <f t="shared" si="1"/>
        <v>0</v>
      </c>
      <c r="AV52" s="54">
        <f>OtherCoefficients!B60</f>
        <v>206</v>
      </c>
      <c r="AW52" s="54" t="str">
        <f>OtherCoefficients!C60</f>
        <v>odistcont6-tr</v>
      </c>
      <c r="AX52" s="54">
        <f>OtherCoefficients!E60</f>
        <v>-0.74473319999999998</v>
      </c>
      <c r="AY52" s="62">
        <f t="shared" si="3"/>
        <v>-0.74473319999999998</v>
      </c>
    </row>
    <row r="53" spans="1:51" ht="15.75" thickBot="1" x14ac:dyDescent="0.3">
      <c r="A53">
        <v>9</v>
      </c>
      <c r="C53" s="68">
        <f>SUMIFS(input_districts!$C$1:$C$63,input_districts!$A$1:$A$63,$A53,input_districts!$B$1:$B$63,C$43)</f>
        <v>14555.650593</v>
      </c>
      <c r="D53" s="68">
        <f>SUMIFS(input_districts!$C$1:$C$63,input_districts!$A$1:$A$63,$A53,input_districts!$B$1:$B$63,D$43)</f>
        <v>930.40771095100001</v>
      </c>
      <c r="E53" s="68">
        <f>SUMIFS(input_districts!$C$1:$C$63,input_districts!$A$1:$A$63,$A53,input_districts!$B$1:$B$63,E$43)</f>
        <v>0</v>
      </c>
      <c r="F53" s="68">
        <f>SUMIFS(input_districts!$C$1:$C$63,input_districts!$A$1:$A$63,$A53,input_districts!$B$1:$B$63,F$43)</f>
        <v>7248.2863306449999</v>
      </c>
      <c r="G53" s="69">
        <f t="shared" si="38"/>
        <v>22734.344634596</v>
      </c>
      <c r="J53">
        <v>9</v>
      </c>
      <c r="L53" s="68">
        <f>SUMIFS(input_districts!$C$124:$C$193,input_districts!$A$124:$A$193,$A53,input_districts!$B$124:$B$193,L$43)</f>
        <v>4279.6509991599996</v>
      </c>
      <c r="M53" s="68">
        <f>SUMIFS(input_districts!$C$124:$C$193,input_districts!$A$124:$A$193,$A53,input_districts!$B$124:$B$193,M$43)</f>
        <v>349.58644166800002</v>
      </c>
      <c r="N53" s="68">
        <f>SUMIFS(input_districts!$C$124:$C$193,input_districts!$A$124:$A$193,$A53,input_districts!$B$124:$B$193,N$43)</f>
        <v>0</v>
      </c>
      <c r="O53" s="68">
        <f>SUMIFS(input_districts!$C$124:$C$193,input_districts!$A$124:$A$193,$A53,input_districts!$B$124:$B$193,O$43)</f>
        <v>719.816688043</v>
      </c>
      <c r="P53" s="69">
        <f t="shared" si="39"/>
        <v>5349.0541288709992</v>
      </c>
      <c r="Q53" s="69"/>
      <c r="R53" t="s">
        <v>244</v>
      </c>
      <c r="Y53" s="39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91">
        <f t="shared" si="0"/>
        <v>0.76667653723253992</v>
      </c>
      <c r="AL53" s="59">
        <f>SchoolCoeffcients!B61</f>
        <v>210</v>
      </c>
      <c r="AM53" t="str">
        <f>SchoolCoeffcients!C61</f>
        <v>odistcon10-tr</v>
      </c>
      <c r="AN53" s="55">
        <f>SchoolCoeffcients!E61</f>
        <v>0</v>
      </c>
      <c r="AO53" s="62">
        <f t="shared" si="1"/>
        <v>0</v>
      </c>
      <c r="AV53" s="59">
        <f>OtherCoefficients!B61</f>
        <v>207</v>
      </c>
      <c r="AW53" t="str">
        <f>OtherCoefficients!C61</f>
        <v>odistcont7-tr</v>
      </c>
      <c r="AX53">
        <f>OtherCoefficients!E61</f>
        <v>0</v>
      </c>
      <c r="AY53" s="62">
        <f t="shared" si="3"/>
        <v>0</v>
      </c>
    </row>
    <row r="54" spans="1:51" x14ac:dyDescent="0.25">
      <c r="A54">
        <v>10</v>
      </c>
      <c r="C54" s="68">
        <f>SUMIFS(input_districts!$C$1:$C$63,input_districts!$A$1:$A$63,$A54,input_districts!$B$1:$B$63,C$43)</f>
        <v>18678.826978699999</v>
      </c>
      <c r="D54" s="68">
        <f>SUMIFS(input_districts!$C$1:$C$63,input_districts!$A$1:$A$63,$A54,input_districts!$B$1:$B$63,D$43)</f>
        <v>2267.3765274500001</v>
      </c>
      <c r="E54" s="68">
        <f>SUMIFS(input_districts!$C$1:$C$63,input_districts!$A$1:$A$63,$A54,input_districts!$B$1:$B$63,E$43)</f>
        <v>0</v>
      </c>
      <c r="F54" s="68">
        <f>SUMIFS(input_districts!$C$1:$C$63,input_districts!$A$1:$A$63,$A54,input_districts!$B$1:$B$63,F$43)</f>
        <v>2823.488865239</v>
      </c>
      <c r="G54" s="69">
        <f t="shared" si="38"/>
        <v>23769.692371388999</v>
      </c>
      <c r="J54">
        <v>10</v>
      </c>
      <c r="L54" s="68">
        <f>SUMIFS(input_districts!$C$124:$C$193,input_districts!$A$124:$A$193,$A54,input_districts!$B$124:$B$193,L$43)</f>
        <v>6359.39924531</v>
      </c>
      <c r="M54" s="68">
        <f>SUMIFS(input_districts!$C$124:$C$193,input_districts!$A$124:$A$193,$A54,input_districts!$B$124:$B$193,M$43)</f>
        <v>1630.58235012</v>
      </c>
      <c r="N54" s="68">
        <f>SUMIFS(input_districts!$C$124:$C$193,input_districts!$A$124:$A$193,$A54,input_districts!$B$124:$B$193,N$43)</f>
        <v>0</v>
      </c>
      <c r="O54" s="68">
        <f>SUMIFS(input_districts!$C$124:$C$193,input_districts!$A$124:$A$193,$A54,input_districts!$B$124:$B$193,O$43)</f>
        <v>3716.7012120211998</v>
      </c>
      <c r="P54" s="69">
        <f t="shared" si="39"/>
        <v>11706.6828074512</v>
      </c>
      <c r="Q54" s="69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4" t="s">
        <v>195</v>
      </c>
      <c r="AA54" s="84" t="s">
        <v>196</v>
      </c>
      <c r="AB54" s="84" t="s">
        <v>197</v>
      </c>
      <c r="AC54" s="84" t="s">
        <v>198</v>
      </c>
      <c r="AD54" s="84" t="s">
        <v>216</v>
      </c>
      <c r="AG54" s="54">
        <f>WorkCoefficients!B62</f>
        <v>306</v>
      </c>
      <c r="AH54" s="54" t="str">
        <f>WorkCoefficients!C62</f>
        <v>ddistcont6-tr</v>
      </c>
      <c r="AI54" s="54">
        <f>WorkCoefficients!E62</f>
        <v>-1.4978495999999999</v>
      </c>
      <c r="AJ54" s="92">
        <f t="shared" si="0"/>
        <v>-1.3968886705967776</v>
      </c>
      <c r="AL54" s="59">
        <f>SchoolCoeffcients!B62</f>
        <v>211</v>
      </c>
      <c r="AM54" t="str">
        <f>SchoolCoeffcients!C62</f>
        <v>odistcon11-tr</v>
      </c>
      <c r="AN54" s="55">
        <f>SchoolCoeffcients!E62</f>
        <v>0</v>
      </c>
      <c r="AO54" s="62">
        <f t="shared" si="1"/>
        <v>0</v>
      </c>
      <c r="AV54" s="59">
        <f>OtherCoefficients!B62</f>
        <v>208</v>
      </c>
      <c r="AW54" t="str">
        <f>OtherCoefficients!C62</f>
        <v>odistcont8-tr</v>
      </c>
      <c r="AX54">
        <f>OtherCoefficients!E62</f>
        <v>0</v>
      </c>
      <c r="AY54" s="62">
        <f t="shared" si="3"/>
        <v>0</v>
      </c>
    </row>
    <row r="55" spans="1:51" x14ac:dyDescent="0.25">
      <c r="A55">
        <v>11</v>
      </c>
      <c r="B55" s="6"/>
      <c r="C55" s="71">
        <f>SUMIFS(input_districts!$C$1:$C$63,input_districts!$A$1:$A$63,$A55,input_districts!$B$1:$B$63,C$43)</f>
        <v>0</v>
      </c>
      <c r="D55" s="71">
        <f>SUMIFS(input_districts!$C$1:$C$63,input_districts!$A$1:$A$63,$A55,input_districts!$B$1:$B$63,D$43)</f>
        <v>2926.54498509</v>
      </c>
      <c r="E55" s="71">
        <f>SUMIFS(input_districts!$C$1:$C$63,input_districts!$A$1:$A$63,$A55,input_districts!$B$1:$B$63,E$43)</f>
        <v>0</v>
      </c>
      <c r="F55" s="71">
        <f>SUMIFS(input_districts!$C$1:$C$63,input_districts!$A$1:$A$63,$A55,input_districts!$B$1:$B$63,F$43)</f>
        <v>0</v>
      </c>
      <c r="G55" s="72">
        <f t="shared" si="38"/>
        <v>2926.54498509</v>
      </c>
      <c r="J55">
        <v>11</v>
      </c>
      <c r="K55" s="6"/>
      <c r="L55" s="71">
        <f>SUMIFS(input_districts!$C$124:$C$193,input_districts!$A$124:$A$193,$A55,input_districts!$B$124:$B$193,L$43)</f>
        <v>5672.0980216799999</v>
      </c>
      <c r="M55" s="71">
        <f>SUMIFS(input_districts!$C$124:$C$193,input_districts!$A$124:$A$193,$A55,input_districts!$B$124:$B$193,M$43)</f>
        <v>540.55358688700005</v>
      </c>
      <c r="N55" s="71">
        <f>SUMIFS(input_districts!$C$124:$C$193,input_districts!$A$124:$A$193,$A55,input_districts!$B$124:$B$193,N$43)</f>
        <v>0</v>
      </c>
      <c r="O55" s="71">
        <f>SUMIFS(input_districts!$C$124:$C$193,input_districts!$A$124:$A$193,$A55,input_districts!$B$124:$B$193,O$43)</f>
        <v>1066.495052196</v>
      </c>
      <c r="P55" s="72">
        <f t="shared" si="39"/>
        <v>7279.146660763</v>
      </c>
      <c r="Q55" s="69"/>
      <c r="R55" s="9" t="s">
        <v>1</v>
      </c>
      <c r="S55" s="52">
        <f>Z18</f>
        <v>50</v>
      </c>
      <c r="T55" s="52">
        <f t="shared" ref="T55:W62" si="40">AA18</f>
        <v>50</v>
      </c>
      <c r="U55" s="52">
        <f t="shared" si="40"/>
        <v>50</v>
      </c>
      <c r="V55" s="52">
        <f t="shared" si="40"/>
        <v>50</v>
      </c>
      <c r="W55" s="52">
        <f t="shared" si="40"/>
        <v>50</v>
      </c>
      <c r="Y55" s="9" t="s">
        <v>1</v>
      </c>
      <c r="Z55" s="81">
        <f>IF(S55&gt;0,(S43+Z31),"-")</f>
        <v>1.6043954984940632</v>
      </c>
      <c r="AA55" s="81">
        <f t="shared" ref="AA55:AD55" si="41">IF(T55&gt;0,(T43+AA31),"-")</f>
        <v>2.4824554361143525</v>
      </c>
      <c r="AB55" s="81">
        <f t="shared" si="41"/>
        <v>-3.8167525092846031</v>
      </c>
      <c r="AC55" s="81">
        <f t="shared" si="41"/>
        <v>-0.23088528557330634</v>
      </c>
      <c r="AD55" s="81">
        <f t="shared" si="41"/>
        <v>-5.04694443573631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91">
        <f t="shared" si="0"/>
        <v>0</v>
      </c>
      <c r="AL55" s="59">
        <f>SchoolCoeffcients!B63</f>
        <v>301</v>
      </c>
      <c r="AM55" t="str">
        <f>SchoolCoeffcients!C63</f>
        <v>ddistcont1-tr</v>
      </c>
      <c r="AN55" s="55">
        <f>SchoolCoeffcients!E63</f>
        <v>0</v>
      </c>
      <c r="AO55" s="62">
        <f t="shared" si="1"/>
        <v>0</v>
      </c>
      <c r="AV55" s="59">
        <f>OtherCoefficients!B63</f>
        <v>209</v>
      </c>
      <c r="AW55" t="str">
        <f>OtherCoefficients!C63</f>
        <v>odistcont9-tr</v>
      </c>
      <c r="AX55">
        <f>OtherCoefficients!E63</f>
        <v>0</v>
      </c>
      <c r="AY55" s="62">
        <f t="shared" si="3"/>
        <v>0</v>
      </c>
    </row>
    <row r="56" spans="1:51" ht="15.75" thickBot="1" x14ac:dyDescent="0.3">
      <c r="B56" s="1" t="s">
        <v>19</v>
      </c>
      <c r="C56" s="70">
        <f>SUM(C45:C55)</f>
        <v>240987.69507806003</v>
      </c>
      <c r="D56" s="70">
        <f t="shared" ref="D56:G56" si="42">SUM(D45:D55)</f>
        <v>55519.655209921002</v>
      </c>
      <c r="E56" s="70">
        <f t="shared" si="42"/>
        <v>2929.6354747240002</v>
      </c>
      <c r="F56" s="70">
        <f t="shared" si="42"/>
        <v>110723.017727492</v>
      </c>
      <c r="G56" s="70">
        <f t="shared" si="42"/>
        <v>410160.00349019695</v>
      </c>
      <c r="K56" s="1" t="s">
        <v>19</v>
      </c>
      <c r="L56" s="70">
        <f>SUM(L45:L55)</f>
        <v>160956.04210649998</v>
      </c>
      <c r="M56" s="70">
        <f t="shared" ref="M56" si="43">SUM(M45:M55)</f>
        <v>27472.982377824999</v>
      </c>
      <c r="N56" s="70">
        <f t="shared" ref="N56" si="44">SUM(N45:N55)</f>
        <v>18.74451175998</v>
      </c>
      <c r="O56" s="70">
        <f t="shared" ref="O56" si="45">SUM(O45:O55)</f>
        <v>48552.571065598691</v>
      </c>
      <c r="P56" s="70">
        <f t="shared" ref="P56" si="46">SUM(P45:P55)</f>
        <v>237000.3400616837</v>
      </c>
      <c r="Q56" s="69"/>
      <c r="R56" s="9" t="s">
        <v>2</v>
      </c>
      <c r="S56" s="52">
        <f t="shared" ref="S56:S60" si="47">Z19</f>
        <v>40</v>
      </c>
      <c r="T56" s="52">
        <f t="shared" si="40"/>
        <v>40</v>
      </c>
      <c r="U56" s="52">
        <f t="shared" si="40"/>
        <v>40</v>
      </c>
      <c r="V56" s="52">
        <f t="shared" si="40"/>
        <v>40</v>
      </c>
      <c r="W56" s="52">
        <f t="shared" si="40"/>
        <v>40</v>
      </c>
      <c r="Y56" s="9" t="s">
        <v>2</v>
      </c>
      <c r="Z56" s="82">
        <f t="shared" ref="Z56:Z62" si="48">IF(S56&gt;0,(S44+Z32),"-")</f>
        <v>-2.2666576066103614</v>
      </c>
      <c r="AA56" s="82">
        <f t="shared" ref="AA56:AA62" si="49">IF(T56&gt;0,(T44+AA32),"-")</f>
        <v>-0.97987167927436847</v>
      </c>
      <c r="AB56" s="82">
        <f t="shared" ref="AB56:AB62" si="50">IF(U56&gt;0,(U44+AB32),"-")</f>
        <v>-0.22067974982506616</v>
      </c>
      <c r="AC56" s="82">
        <f t="shared" ref="AC56:AC62" si="51">IF(V56&gt;0,(V44+AC32),"-")</f>
        <v>-2.2225054196700147</v>
      </c>
      <c r="AD56" s="82">
        <f t="shared" ref="AD56:AD62" si="52">IF(W56&gt;0,(W44+AD32),"-")</f>
        <v>-5.8531886617939941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91">
        <f t="shared" si="0"/>
        <v>0</v>
      </c>
      <c r="AL56" s="59">
        <f>SchoolCoeffcients!B64</f>
        <v>302</v>
      </c>
      <c r="AM56" t="str">
        <f>SchoolCoeffcients!C64</f>
        <v>ddistcont2-tr</v>
      </c>
      <c r="AN56" s="55">
        <f>SchoolCoeffcients!E64</f>
        <v>0</v>
      </c>
      <c r="AO56" s="62">
        <f t="shared" si="1"/>
        <v>0</v>
      </c>
      <c r="AV56" s="59">
        <f>OtherCoefficients!B64</f>
        <v>210</v>
      </c>
      <c r="AW56" t="str">
        <f>OtherCoefficients!C64</f>
        <v>odistcon10-tr</v>
      </c>
      <c r="AX56">
        <f>OtherCoefficients!E64</f>
        <v>0</v>
      </c>
      <c r="AY56" s="62">
        <f t="shared" si="3"/>
        <v>0</v>
      </c>
    </row>
    <row r="57" spans="1:51" x14ac:dyDescent="0.25">
      <c r="R57" s="9" t="s">
        <v>3</v>
      </c>
      <c r="S57" s="52">
        <f t="shared" si="47"/>
        <v>30</v>
      </c>
      <c r="T57" s="52">
        <f t="shared" si="40"/>
        <v>30</v>
      </c>
      <c r="U57" s="52">
        <f t="shared" si="40"/>
        <v>30</v>
      </c>
      <c r="V57" s="52">
        <f t="shared" si="40"/>
        <v>30</v>
      </c>
      <c r="W57" s="52">
        <f t="shared" si="40"/>
        <v>30</v>
      </c>
      <c r="Y57" s="9" t="s">
        <v>3</v>
      </c>
      <c r="Z57" s="82">
        <f t="shared" si="48"/>
        <v>-2.7765686020070017</v>
      </c>
      <c r="AA57" s="82">
        <f t="shared" si="49"/>
        <v>-0.43654743548094627</v>
      </c>
      <c r="AB57" s="82">
        <f t="shared" si="50"/>
        <v>-1.1318816750842642</v>
      </c>
      <c r="AC57" s="82">
        <f t="shared" si="51"/>
        <v>-2.1560278301860327</v>
      </c>
      <c r="AD57" s="82">
        <f t="shared" si="52"/>
        <v>-6.8999827380555789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91">
        <f t="shared" si="0"/>
        <v>0</v>
      </c>
      <c r="AL57" s="59">
        <f>SchoolCoeffcients!B65</f>
        <v>303</v>
      </c>
      <c r="AM57" t="str">
        <f>SchoolCoeffcients!C65</f>
        <v>ddistcont3-tr</v>
      </c>
      <c r="AN57" s="55">
        <f>SchoolCoeffcients!E65</f>
        <v>0</v>
      </c>
      <c r="AO57" s="62">
        <f t="shared" si="1"/>
        <v>0</v>
      </c>
      <c r="AV57" s="59">
        <f>OtherCoefficients!B65</f>
        <v>211</v>
      </c>
      <c r="AW57" t="str">
        <f>OtherCoefficients!C65</f>
        <v>odistcon11-tr</v>
      </c>
      <c r="AX57">
        <f>OtherCoefficients!E65</f>
        <v>0</v>
      </c>
      <c r="AY57" s="62">
        <f t="shared" si="3"/>
        <v>0</v>
      </c>
    </row>
    <row r="58" spans="1:51" ht="15.75" thickBot="1" x14ac:dyDescent="0.3">
      <c r="B58" t="s">
        <v>217</v>
      </c>
      <c r="K58" t="s">
        <v>293</v>
      </c>
      <c r="R58" s="9" t="s">
        <v>4</v>
      </c>
      <c r="S58" s="52">
        <f t="shared" si="47"/>
        <v>10</v>
      </c>
      <c r="T58" s="52"/>
      <c r="U58" s="52"/>
      <c r="V58" s="52"/>
      <c r="W58" s="52"/>
      <c r="Y58" s="9" t="s">
        <v>4</v>
      </c>
      <c r="Z58" s="82">
        <f t="shared" si="48"/>
        <v>-4.425021539530638</v>
      </c>
      <c r="AA58" s="82" t="str">
        <f t="shared" si="49"/>
        <v>-</v>
      </c>
      <c r="AB58" s="82" t="str">
        <f t="shared" si="50"/>
        <v>-</v>
      </c>
      <c r="AC58" s="82" t="str">
        <f t="shared" si="51"/>
        <v>-</v>
      </c>
      <c r="AD58" s="82" t="str">
        <f t="shared" si="52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91">
        <f t="shared" si="0"/>
        <v>0</v>
      </c>
      <c r="AL58" s="59">
        <f>SchoolCoeffcients!B66</f>
        <v>304</v>
      </c>
      <c r="AM58" t="str">
        <f>SchoolCoeffcients!C66</f>
        <v>ddistcont4-tr</v>
      </c>
      <c r="AN58" s="55">
        <f>SchoolCoeffcients!E66</f>
        <v>0</v>
      </c>
      <c r="AO58" s="62">
        <f t="shared" si="1"/>
        <v>0</v>
      </c>
      <c r="AV58" s="59">
        <f>OtherCoefficients!B66</f>
        <v>301</v>
      </c>
      <c r="AW58" t="str">
        <f>OtherCoefficients!C66</f>
        <v>ddistcont1-tr</v>
      </c>
      <c r="AX58">
        <f>OtherCoefficients!E66</f>
        <v>0</v>
      </c>
      <c r="AY58" s="62">
        <f t="shared" si="3"/>
        <v>0</v>
      </c>
    </row>
    <row r="59" spans="1:51" x14ac:dyDescent="0.2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52">
        <f t="shared" si="47"/>
        <v>20</v>
      </c>
      <c r="T59" s="52">
        <f t="shared" si="40"/>
        <v>20</v>
      </c>
      <c r="U59" s="52"/>
      <c r="V59" s="52">
        <f t="shared" si="40"/>
        <v>20</v>
      </c>
      <c r="W59" s="52">
        <f t="shared" si="40"/>
        <v>20</v>
      </c>
      <c r="Y59" s="9" t="s">
        <v>5</v>
      </c>
      <c r="Z59" s="82">
        <f t="shared" si="48"/>
        <v>-3.0404596864321238</v>
      </c>
      <c r="AA59" s="82">
        <f t="shared" si="49"/>
        <v>-4.5759588461505034</v>
      </c>
      <c r="AB59" s="82" t="str">
        <f t="shared" si="50"/>
        <v>-</v>
      </c>
      <c r="AC59" s="82">
        <f t="shared" si="51"/>
        <v>-2.9384149669835247</v>
      </c>
      <c r="AD59" s="82">
        <f t="shared" si="52"/>
        <v>-6.527323915703402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91">
        <f t="shared" si="0"/>
        <v>0</v>
      </c>
      <c r="AL59" s="59">
        <f>SchoolCoeffcients!B67</f>
        <v>305</v>
      </c>
      <c r="AM59" t="str">
        <f>SchoolCoeffcients!C67</f>
        <v>ddistcont5-tr</v>
      </c>
      <c r="AN59" s="55">
        <f>SchoolCoeffcients!E67</f>
        <v>0</v>
      </c>
      <c r="AO59" s="62">
        <f t="shared" si="1"/>
        <v>0</v>
      </c>
      <c r="AV59" s="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62">
        <f t="shared" si="3"/>
        <v>0</v>
      </c>
    </row>
    <row r="60" spans="1:51" x14ac:dyDescent="0.25">
      <c r="A60">
        <f>A45</f>
        <v>1</v>
      </c>
      <c r="C60" s="73">
        <f>C45/C$56</f>
        <v>6.870535494618038E-2</v>
      </c>
      <c r="D60" s="73">
        <f t="shared" ref="D60:G60" si="53">D45/D$56</f>
        <v>9.8708278341770303E-2</v>
      </c>
      <c r="E60" s="73">
        <f t="shared" si="53"/>
        <v>0</v>
      </c>
      <c r="F60" s="73">
        <f t="shared" si="53"/>
        <v>1.4957429264148302E-2</v>
      </c>
      <c r="G60" s="73">
        <f t="shared" si="53"/>
        <v>5.7766545279538173E-2</v>
      </c>
      <c r="J60">
        <v>1</v>
      </c>
      <c r="L60" s="73">
        <f>L45/L$56</f>
        <v>6.241239161778768E-2</v>
      </c>
      <c r="M60" s="73">
        <f t="shared" ref="M60:P60" si="54">M45/M$56</f>
        <v>8.5143935115616243E-2</v>
      </c>
      <c r="N60" s="73">
        <f t="shared" si="54"/>
        <v>0</v>
      </c>
      <c r="O60" s="73">
        <f t="shared" si="54"/>
        <v>2.5883159929576101E-3</v>
      </c>
      <c r="P60" s="73">
        <f t="shared" si="54"/>
        <v>5.2786754462640084E-2</v>
      </c>
      <c r="R60" s="9" t="s">
        <v>6</v>
      </c>
      <c r="S60" s="52">
        <f t="shared" si="47"/>
        <v>60</v>
      </c>
      <c r="T60" s="52">
        <f t="shared" si="40"/>
        <v>60</v>
      </c>
      <c r="U60" s="52">
        <f t="shared" si="40"/>
        <v>60</v>
      </c>
      <c r="V60" s="52">
        <f t="shared" si="40"/>
        <v>60</v>
      </c>
      <c r="W60" s="52">
        <f t="shared" si="40"/>
        <v>60</v>
      </c>
      <c r="Y60" s="9" t="s">
        <v>6</v>
      </c>
      <c r="Z60" s="82">
        <f t="shared" si="48"/>
        <v>-3.3560066997024687</v>
      </c>
      <c r="AA60" s="82">
        <f t="shared" si="49"/>
        <v>-3.9185338093451585</v>
      </c>
      <c r="AB60" s="82">
        <f t="shared" si="50"/>
        <v>-10.602547396430406</v>
      </c>
      <c r="AC60" s="82">
        <f t="shared" si="51"/>
        <v>-5.0381722146977488</v>
      </c>
      <c r="AD60" s="82">
        <f t="shared" si="52"/>
        <v>-7.8327799217744509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91">
        <f t="shared" si="0"/>
        <v>0.53642515987899997</v>
      </c>
      <c r="AL60" s="54">
        <f>SchoolCoeffcients!B68</f>
        <v>306</v>
      </c>
      <c r="AM60" s="54" t="str">
        <f>SchoolCoeffcients!C68</f>
        <v>ddistcont6-tr</v>
      </c>
      <c r="AN60" s="56">
        <f>SchoolCoeffcients!E68</f>
        <v>-1.063796</v>
      </c>
      <c r="AO60" s="56">
        <f t="shared" si="1"/>
        <v>-1.063796</v>
      </c>
      <c r="AV60" s="59">
        <f>OtherCoefficients!B68</f>
        <v>303</v>
      </c>
      <c r="AW60" t="str">
        <f>OtherCoefficients!C68</f>
        <v>ddistcont3-tr</v>
      </c>
      <c r="AX60">
        <f>OtherCoefficients!E68</f>
        <v>0</v>
      </c>
      <c r="AY60" s="62">
        <f t="shared" si="3"/>
        <v>0</v>
      </c>
    </row>
    <row r="61" spans="1:51" x14ac:dyDescent="0.25">
      <c r="A61">
        <f t="shared" ref="A61:A70" si="55">A46</f>
        <v>2</v>
      </c>
      <c r="C61" s="73">
        <f t="shared" ref="C61:G61" si="56">C46/C$56</f>
        <v>4.9009185419920887E-2</v>
      </c>
      <c r="D61" s="73">
        <f t="shared" si="56"/>
        <v>5.6385480828068969E-2</v>
      </c>
      <c r="E61" s="73">
        <f t="shared" si="56"/>
        <v>0</v>
      </c>
      <c r="F61" s="73">
        <f t="shared" si="56"/>
        <v>9.0300765930600643E-2</v>
      </c>
      <c r="G61" s="73">
        <f t="shared" si="56"/>
        <v>6.0804286573876203E-2</v>
      </c>
      <c r="J61">
        <v>2</v>
      </c>
      <c r="L61" s="73">
        <f t="shared" ref="L61:P61" si="57">L46/L$56</f>
        <v>5.1180823414005441E-2</v>
      </c>
      <c r="M61" s="73">
        <f t="shared" si="57"/>
        <v>4.949696860460244E-2</v>
      </c>
      <c r="N61" s="73">
        <f t="shared" si="57"/>
        <v>0</v>
      </c>
      <c r="O61" s="73">
        <f t="shared" si="57"/>
        <v>2.9243471814781267E-3</v>
      </c>
      <c r="P61" s="73">
        <f t="shared" si="57"/>
        <v>4.1095623265832749E-2</v>
      </c>
      <c r="R61" s="9" t="s">
        <v>7</v>
      </c>
      <c r="S61" s="52"/>
      <c r="T61" s="52"/>
      <c r="U61" s="52"/>
      <c r="V61" s="52"/>
      <c r="W61" s="52"/>
      <c r="Y61" s="9" t="s">
        <v>7</v>
      </c>
      <c r="Z61" s="82" t="str">
        <f t="shared" si="48"/>
        <v>-</v>
      </c>
      <c r="AA61" s="82" t="str">
        <f t="shared" si="49"/>
        <v>-</v>
      </c>
      <c r="AB61" s="82" t="str">
        <f t="shared" si="50"/>
        <v>-</v>
      </c>
      <c r="AC61" s="82" t="str">
        <f t="shared" si="51"/>
        <v>-</v>
      </c>
      <c r="AD61" s="82" t="str">
        <f t="shared" si="52"/>
        <v>-</v>
      </c>
      <c r="AL61" s="59">
        <f>SchoolCoeffcients!B69</f>
        <v>307</v>
      </c>
      <c r="AM61" t="str">
        <f>SchoolCoeffcients!C69</f>
        <v>ddistcont7-tr</v>
      </c>
      <c r="AN61" s="55">
        <f>SchoolCoeffcients!E69</f>
        <v>0</v>
      </c>
      <c r="AO61" s="62">
        <f t="shared" si="1"/>
        <v>0</v>
      </c>
      <c r="AV61" s="59">
        <f>OtherCoefficients!B69</f>
        <v>304</v>
      </c>
      <c r="AW61" t="str">
        <f>OtherCoefficients!C69</f>
        <v>ddistcont4-tr</v>
      </c>
      <c r="AX61">
        <f>OtherCoefficients!E69</f>
        <v>0</v>
      </c>
      <c r="AY61" s="62">
        <f t="shared" si="3"/>
        <v>0</v>
      </c>
    </row>
    <row r="62" spans="1:51" x14ac:dyDescent="0.25">
      <c r="A62">
        <f t="shared" si="55"/>
        <v>3</v>
      </c>
      <c r="C62" s="73">
        <f t="shared" ref="C62:G62" si="58">C47/C$56</f>
        <v>0.18563676453982095</v>
      </c>
      <c r="D62" s="73">
        <f t="shared" si="58"/>
        <v>0.20158616351241432</v>
      </c>
      <c r="E62" s="73">
        <f t="shared" si="58"/>
        <v>6.1575708264522189E-2</v>
      </c>
      <c r="F62" s="73">
        <f t="shared" si="58"/>
        <v>0.14904316679514151</v>
      </c>
      <c r="G62" s="73">
        <f t="shared" si="58"/>
        <v>0.17703109338345918</v>
      </c>
      <c r="J62">
        <v>3</v>
      </c>
      <c r="L62" s="73">
        <f t="shared" ref="L62:P62" si="59">L47/L$56</f>
        <v>0.22800207821908158</v>
      </c>
      <c r="M62" s="73">
        <f t="shared" si="59"/>
        <v>0.25563054472413627</v>
      </c>
      <c r="N62" s="73">
        <f t="shared" si="59"/>
        <v>0.13337237224484888</v>
      </c>
      <c r="O62" s="73">
        <f t="shared" si="59"/>
        <v>0.19728252620872588</v>
      </c>
      <c r="P62" s="73">
        <f t="shared" si="59"/>
        <v>0.22490397867157949</v>
      </c>
      <c r="R62" s="14" t="s">
        <v>8</v>
      </c>
      <c r="S62" s="53"/>
      <c r="T62" s="53">
        <f t="shared" si="40"/>
        <v>10</v>
      </c>
      <c r="U62" s="53"/>
      <c r="V62" s="53"/>
      <c r="W62" s="53"/>
      <c r="Y62" s="14" t="s">
        <v>8</v>
      </c>
      <c r="Z62" s="83" t="str">
        <f t="shared" si="48"/>
        <v>-</v>
      </c>
      <c r="AA62" s="83">
        <f t="shared" si="49"/>
        <v>-0.38738748366347281</v>
      </c>
      <c r="AB62" s="83" t="str">
        <f t="shared" si="50"/>
        <v>-</v>
      </c>
      <c r="AC62" s="83" t="str">
        <f t="shared" si="51"/>
        <v>-</v>
      </c>
      <c r="AD62" s="83" t="str">
        <f t="shared" si="52"/>
        <v>-</v>
      </c>
      <c r="AL62" s="59">
        <f>SchoolCoeffcients!B70</f>
        <v>308</v>
      </c>
      <c r="AM62" t="str">
        <f>SchoolCoeffcients!C70</f>
        <v>ddistcont8-tr</v>
      </c>
      <c r="AN62" s="55">
        <f>SchoolCoeffcients!E70</f>
        <v>0</v>
      </c>
      <c r="AO62" s="62">
        <f t="shared" si="1"/>
        <v>0</v>
      </c>
      <c r="AV62" s="59">
        <f>OtherCoefficients!B70</f>
        <v>305</v>
      </c>
      <c r="AW62" t="str">
        <f>OtherCoefficients!C70</f>
        <v>ddistcont5-tr</v>
      </c>
      <c r="AX62">
        <f>OtherCoefficients!E70</f>
        <v>0</v>
      </c>
      <c r="AY62" s="62">
        <f t="shared" si="3"/>
        <v>0</v>
      </c>
    </row>
    <row r="63" spans="1:51" x14ac:dyDescent="0.25">
      <c r="A63">
        <f t="shared" si="55"/>
        <v>4</v>
      </c>
      <c r="C63" s="73">
        <f t="shared" ref="C63:G63" si="60">C48/C$56</f>
        <v>0.13351062116668719</v>
      </c>
      <c r="D63" s="73">
        <f t="shared" si="60"/>
        <v>8.636887963279595E-2</v>
      </c>
      <c r="E63" s="73">
        <f t="shared" si="60"/>
        <v>6.8841897481460676E-2</v>
      </c>
      <c r="F63" s="73">
        <f t="shared" si="60"/>
        <v>0.20242804744920576</v>
      </c>
      <c r="G63" s="73">
        <f t="shared" si="60"/>
        <v>0.1452718761598438</v>
      </c>
      <c r="J63">
        <v>4</v>
      </c>
      <c r="L63" s="73">
        <f t="shared" ref="L63:P63" si="61">L48/L$56</f>
        <v>0.15832423846654026</v>
      </c>
      <c r="M63" s="73">
        <f t="shared" si="61"/>
        <v>0.12233742012308181</v>
      </c>
      <c r="N63" s="73">
        <f t="shared" si="61"/>
        <v>0.29319294698854637</v>
      </c>
      <c r="O63" s="73">
        <f t="shared" si="61"/>
        <v>0.21952051845622636</v>
      </c>
      <c r="P63" s="73">
        <f t="shared" si="61"/>
        <v>0.16670017393794914</v>
      </c>
      <c r="AL63" s="59">
        <f>SchoolCoeffcients!B71</f>
        <v>309</v>
      </c>
      <c r="AM63" t="str">
        <f>SchoolCoeffcients!C71</f>
        <v>ddistcont9-tr</v>
      </c>
      <c r="AN63" s="55">
        <f>SchoolCoeffcients!E71</f>
        <v>0</v>
      </c>
      <c r="AO63" s="62">
        <f t="shared" si="1"/>
        <v>0</v>
      </c>
      <c r="AV63" s="54">
        <f>OtherCoefficients!B71</f>
        <v>306</v>
      </c>
      <c r="AW63" s="54" t="str">
        <f>OtherCoefficients!C71</f>
        <v>ddistcont6-tr</v>
      </c>
      <c r="AX63" s="54">
        <f>OtherCoefficients!E71</f>
        <v>-0.255216</v>
      </c>
      <c r="AY63" s="56">
        <f t="shared" si="3"/>
        <v>-0.255216</v>
      </c>
    </row>
    <row r="64" spans="1:51" x14ac:dyDescent="0.25">
      <c r="A64">
        <f t="shared" si="55"/>
        <v>5</v>
      </c>
      <c r="C64" s="73">
        <f t="shared" ref="C64:G64" si="62">C49/C$56</f>
        <v>0.13772214773476052</v>
      </c>
      <c r="D64" s="73">
        <f t="shared" si="62"/>
        <v>8.7671288493344476E-2</v>
      </c>
      <c r="E64" s="73">
        <f t="shared" si="62"/>
        <v>6.3671378192733441E-2</v>
      </c>
      <c r="F64" s="73">
        <f t="shared" si="62"/>
        <v>0.12002069136496622</v>
      </c>
      <c r="G64" s="73">
        <f t="shared" si="62"/>
        <v>0.12563977296713344</v>
      </c>
      <c r="J64">
        <v>5</v>
      </c>
      <c r="L64" s="73">
        <f t="shared" ref="L64:P64" si="63">L49/L$56</f>
        <v>0.14040506006383324</v>
      </c>
      <c r="M64" s="73">
        <f t="shared" si="63"/>
        <v>0.1243926679372243</v>
      </c>
      <c r="N64" s="73">
        <f t="shared" si="63"/>
        <v>0</v>
      </c>
      <c r="O64" s="73">
        <f t="shared" si="63"/>
        <v>0.17444602053713221</v>
      </c>
      <c r="P64" s="73">
        <f t="shared" si="63"/>
        <v>0.14551153443085485</v>
      </c>
      <c r="AL64" s="59">
        <f>SchoolCoeffcients!B72</f>
        <v>310</v>
      </c>
      <c r="AM64" t="str">
        <f>SchoolCoeffcients!C72</f>
        <v>ddistcon10-tr</v>
      </c>
      <c r="AN64" s="55">
        <f>SchoolCoeffcients!E72</f>
        <v>0</v>
      </c>
      <c r="AO64" s="62">
        <f t="shared" si="1"/>
        <v>0</v>
      </c>
      <c r="AV64" s="59">
        <f>OtherCoefficients!B72</f>
        <v>307</v>
      </c>
      <c r="AW64" t="str">
        <f>OtherCoefficients!C72</f>
        <v>ddistcont7-tr</v>
      </c>
      <c r="AX64">
        <f>OtherCoefficients!E72</f>
        <v>0</v>
      </c>
      <c r="AY64" s="62">
        <f t="shared" si="3"/>
        <v>0</v>
      </c>
    </row>
    <row r="65" spans="1:51" x14ac:dyDescent="0.25">
      <c r="A65">
        <f t="shared" si="55"/>
        <v>6</v>
      </c>
      <c r="C65" s="73">
        <f t="shared" ref="C65:G65" si="64">C50/C$56</f>
        <v>0.16850294241266822</v>
      </c>
      <c r="D65" s="73">
        <f t="shared" si="64"/>
        <v>0.1725977734870309</v>
      </c>
      <c r="E65" s="73">
        <f t="shared" si="64"/>
        <v>7.6778014826295315E-2</v>
      </c>
      <c r="F65" s="73">
        <f t="shared" si="64"/>
        <v>0.13569664596071995</v>
      </c>
      <c r="G65" s="73">
        <f t="shared" si="64"/>
        <v>0.15954597658288747</v>
      </c>
      <c r="J65">
        <v>6</v>
      </c>
      <c r="L65" s="73">
        <f t="shared" ref="L65:P65" si="65">L50/L$56</f>
        <v>0.12086116759088975</v>
      </c>
      <c r="M65" s="73">
        <f t="shared" si="65"/>
        <v>9.7512473937388724E-2</v>
      </c>
      <c r="N65" s="73">
        <f t="shared" si="65"/>
        <v>0.34676816783660708</v>
      </c>
      <c r="O65" s="73">
        <f t="shared" si="65"/>
        <v>0.10567963385591989</v>
      </c>
      <c r="P65" s="73">
        <f t="shared" si="65"/>
        <v>0.11506233106576358</v>
      </c>
      <c r="AL65" s="59">
        <f>SchoolCoeffcients!B73</f>
        <v>311</v>
      </c>
      <c r="AM65" t="str">
        <f>SchoolCoeffcients!C73</f>
        <v>ddistcon11-tr</v>
      </c>
      <c r="AN65" s="55">
        <f>SchoolCoeffcients!E73</f>
        <v>0</v>
      </c>
      <c r="AO65" s="62">
        <f t="shared" si="1"/>
        <v>0</v>
      </c>
      <c r="AV65" s="59">
        <f>OtherCoefficients!B73</f>
        <v>308</v>
      </c>
      <c r="AW65" t="str">
        <f>OtherCoefficients!C73</f>
        <v>ddistcont8-tr</v>
      </c>
      <c r="AX65">
        <f>OtherCoefficients!E73</f>
        <v>0</v>
      </c>
      <c r="AY65" s="62">
        <f t="shared" si="3"/>
        <v>0</v>
      </c>
    </row>
    <row r="66" spans="1:51" x14ac:dyDescent="0.25">
      <c r="A66">
        <f t="shared" si="55"/>
        <v>7</v>
      </c>
      <c r="C66" s="73">
        <f t="shared" ref="C66:G66" si="66">C51/C$56</f>
        <v>8.3477323428832156E-2</v>
      </c>
      <c r="D66" s="73">
        <f t="shared" si="66"/>
        <v>0.13950928771142526</v>
      </c>
      <c r="E66" s="73">
        <f t="shared" si="66"/>
        <v>0.72913300123498836</v>
      </c>
      <c r="F66" s="73">
        <f t="shared" si="66"/>
        <v>0.14698935601814769</v>
      </c>
      <c r="G66" s="73">
        <f t="shared" si="66"/>
        <v>0.11281869002662512</v>
      </c>
      <c r="J66">
        <v>7</v>
      </c>
      <c r="L66" s="73">
        <f t="shared" ref="L66:P66" si="67">L51/L$56</f>
        <v>0.12092110060784114</v>
      </c>
      <c r="M66" s="73">
        <f t="shared" si="67"/>
        <v>0.13553893689298094</v>
      </c>
      <c r="N66" s="73">
        <f t="shared" si="67"/>
        <v>0.2133292757055128</v>
      </c>
      <c r="O66" s="73">
        <f t="shared" si="67"/>
        <v>0.13846642601078291</v>
      </c>
      <c r="P66" s="73">
        <f t="shared" si="67"/>
        <v>0.12621728863422585</v>
      </c>
      <c r="AL66" s="59">
        <f>SchoolCoeffcients!B74</f>
        <v>99</v>
      </c>
      <c r="AM66" t="str">
        <f>SchoolCoeffcients!C74</f>
        <v>modenest</v>
      </c>
      <c r="AN66" s="55">
        <f>SchoolCoeffcients!E74</f>
        <v>0.78311080353600004</v>
      </c>
      <c r="AO66" s="62">
        <f t="shared" si="1"/>
        <v>0.78311080353600004</v>
      </c>
      <c r="AV66" s="59">
        <f>OtherCoefficients!B74</f>
        <v>309</v>
      </c>
      <c r="AW66" t="str">
        <f>OtherCoefficients!C74</f>
        <v>ddistcont9-tr</v>
      </c>
      <c r="AX66">
        <f>OtherCoefficients!E74</f>
        <v>0</v>
      </c>
      <c r="AY66" s="62">
        <f t="shared" si="3"/>
        <v>0</v>
      </c>
    </row>
    <row r="67" spans="1:51" x14ac:dyDescent="0.25">
      <c r="A67">
        <f t="shared" si="55"/>
        <v>8</v>
      </c>
      <c r="C67" s="73">
        <f t="shared" ref="C67:G67" si="68">C52/C$56</f>
        <v>3.5526222440057868E-2</v>
      </c>
      <c r="D67" s="73">
        <f t="shared" si="68"/>
        <v>4.6863639473486242E-2</v>
      </c>
      <c r="E67" s="73">
        <f t="shared" si="68"/>
        <v>0</v>
      </c>
      <c r="F67" s="73">
        <f t="shared" si="68"/>
        <v>4.9600198768457081E-2</v>
      </c>
      <c r="G67" s="73">
        <f t="shared" si="68"/>
        <v>4.0606395338191638E-2</v>
      </c>
      <c r="J67">
        <v>8</v>
      </c>
      <c r="L67" s="73">
        <f t="shared" ref="L67:P67" si="69">L52/L$56</f>
        <v>1.6553991438339421E-2</v>
      </c>
      <c r="M67" s="73">
        <f t="shared" si="69"/>
        <v>3.8194277374376293E-2</v>
      </c>
      <c r="N67" s="73">
        <f t="shared" si="69"/>
        <v>1.3337237224484887E-2</v>
      </c>
      <c r="O67" s="73">
        <f t="shared" si="69"/>
        <v>4.5750882317700574E-2</v>
      </c>
      <c r="P67" s="73">
        <f t="shared" si="69"/>
        <v>2.5043629117659564E-2</v>
      </c>
      <c r="AV67" s="59">
        <f>OtherCoefficients!B75</f>
        <v>310</v>
      </c>
      <c r="AW67" t="str">
        <f>OtherCoefficients!C75</f>
        <v>ddistcon10-tr</v>
      </c>
      <c r="AX67">
        <f>OtherCoefficients!E75</f>
        <v>0</v>
      </c>
      <c r="AY67" s="62">
        <f t="shared" si="3"/>
        <v>0</v>
      </c>
    </row>
    <row r="68" spans="1:51" x14ac:dyDescent="0.25">
      <c r="A68">
        <f t="shared" si="55"/>
        <v>9</v>
      </c>
      <c r="C68" s="73">
        <f t="shared" ref="C68:G68" si="70">C53/C$56</f>
        <v>6.0399974315224585E-2</v>
      </c>
      <c r="D68" s="73">
        <f t="shared" si="70"/>
        <v>1.6758168029558335E-2</v>
      </c>
      <c r="E68" s="73">
        <f t="shared" si="70"/>
        <v>0</v>
      </c>
      <c r="F68" s="73">
        <f t="shared" si="70"/>
        <v>6.546322959228093E-2</v>
      </c>
      <c r="G68" s="73">
        <f t="shared" si="70"/>
        <v>5.5427990152968107E-2</v>
      </c>
      <c r="J68">
        <v>9</v>
      </c>
      <c r="L68" s="73">
        <f t="shared" ref="L68:P68" si="71">L53/L$56</f>
        <v>2.6588942814139763E-2</v>
      </c>
      <c r="M68" s="73">
        <f t="shared" si="71"/>
        <v>1.2724735773505648E-2</v>
      </c>
      <c r="N68" s="73">
        <f t="shared" si="71"/>
        <v>0</v>
      </c>
      <c r="O68" s="73">
        <f t="shared" si="71"/>
        <v>1.4825511239568876E-2</v>
      </c>
      <c r="P68" s="73">
        <f t="shared" si="71"/>
        <v>2.2569816260511733E-2</v>
      </c>
      <c r="AV68" s="59">
        <f>OtherCoefficients!B76</f>
        <v>311</v>
      </c>
      <c r="AW68" t="str">
        <f>OtherCoefficients!C76</f>
        <v>ddistcon11-tr</v>
      </c>
      <c r="AX68">
        <f>OtherCoefficients!E76</f>
        <v>0</v>
      </c>
      <c r="AY68" s="62">
        <f t="shared" ref="AY68:AY69" si="72">_xlfn.IFNA(VLOOKUP(AV68,$V$55:$AD$62,8,FALSE),_xlfn.IFNA(VLOOKUP(AV68, $Z$106:$AC$130,4,FALSE),AX68))</f>
        <v>0</v>
      </c>
    </row>
    <row r="69" spans="1:51" x14ac:dyDescent="0.25">
      <c r="A69">
        <f t="shared" si="55"/>
        <v>10</v>
      </c>
      <c r="C69" s="73">
        <f t="shared" ref="C69:G69" si="73">C54/C$56</f>
        <v>7.7509463595847108E-2</v>
      </c>
      <c r="D69" s="73">
        <f t="shared" si="73"/>
        <v>4.0839168018551288E-2</v>
      </c>
      <c r="E69" s="73">
        <f t="shared" si="73"/>
        <v>0</v>
      </c>
      <c r="F69" s="73">
        <f t="shared" si="73"/>
        <v>2.5500468856331948E-2</v>
      </c>
      <c r="G69" s="73">
        <f t="shared" si="73"/>
        <v>5.7952243439448645E-2</v>
      </c>
      <c r="J69">
        <v>10</v>
      </c>
      <c r="L69" s="73">
        <f t="shared" ref="L69:P69" si="74">L54/L$56</f>
        <v>3.9510161669495877E-2</v>
      </c>
      <c r="M69" s="73">
        <f t="shared" si="74"/>
        <v>5.9352214757584364E-2</v>
      </c>
      <c r="N69" s="73">
        <f t="shared" si="74"/>
        <v>0</v>
      </c>
      <c r="O69" s="73">
        <f t="shared" si="74"/>
        <v>7.6550039070013773E-2</v>
      </c>
      <c r="P69" s="73">
        <f t="shared" si="74"/>
        <v>4.9395215232198905E-2</v>
      </c>
      <c r="AV69" s="59">
        <f>OtherCoefficients!B77</f>
        <v>0</v>
      </c>
      <c r="AW69">
        <f>OtherCoefficients!C77</f>
        <v>0</v>
      </c>
      <c r="AX69">
        <f>OtherCoefficients!E77</f>
        <v>0</v>
      </c>
      <c r="AY69" s="62">
        <f t="shared" si="72"/>
        <v>0</v>
      </c>
    </row>
    <row r="70" spans="1:51" x14ac:dyDescent="0.25">
      <c r="A70">
        <f t="shared" si="55"/>
        <v>11</v>
      </c>
      <c r="B70" s="6"/>
      <c r="C70" s="74">
        <f t="shared" ref="C70:G70" si="75">C55/C$56</f>
        <v>0</v>
      </c>
      <c r="D70" s="74">
        <f t="shared" si="75"/>
        <v>5.2711872471553921E-2</v>
      </c>
      <c r="E70" s="74">
        <f t="shared" si="75"/>
        <v>0</v>
      </c>
      <c r="F70" s="74">
        <f t="shared" si="75"/>
        <v>0</v>
      </c>
      <c r="G70" s="74">
        <f t="shared" si="75"/>
        <v>7.1351300960283562E-3</v>
      </c>
      <c r="J70">
        <v>11</v>
      </c>
      <c r="K70" s="6"/>
      <c r="L70" s="73">
        <f t="shared" ref="L70:P70" si="76">L55/L$56</f>
        <v>3.5240044098045951E-2</v>
      </c>
      <c r="M70" s="73">
        <f t="shared" si="76"/>
        <v>1.9675824759503049E-2</v>
      </c>
      <c r="N70" s="73">
        <f t="shared" si="76"/>
        <v>0</v>
      </c>
      <c r="O70" s="73">
        <f t="shared" si="76"/>
        <v>2.1965779129493958E-2</v>
      </c>
      <c r="P70" s="73">
        <f t="shared" si="76"/>
        <v>3.0713654920783946E-2</v>
      </c>
    </row>
    <row r="71" spans="1:51" ht="15.75" thickBot="1" x14ac:dyDescent="0.3">
      <c r="B71" s="75" t="s">
        <v>19</v>
      </c>
      <c r="C71" s="76">
        <f t="shared" ref="C71:G71" si="77">C56/C$56</f>
        <v>1</v>
      </c>
      <c r="D71" s="76">
        <f t="shared" si="77"/>
        <v>1</v>
      </c>
      <c r="E71" s="76">
        <f t="shared" si="77"/>
        <v>1</v>
      </c>
      <c r="F71" s="76">
        <f t="shared" si="77"/>
        <v>1</v>
      </c>
      <c r="G71" s="76">
        <f t="shared" si="77"/>
        <v>1</v>
      </c>
      <c r="K71" s="75" t="s">
        <v>19</v>
      </c>
      <c r="L71" s="76">
        <f t="shared" ref="L71:P71" si="78">L56/L$56</f>
        <v>1</v>
      </c>
      <c r="M71" s="76">
        <f t="shared" si="78"/>
        <v>1</v>
      </c>
      <c r="N71" s="76">
        <f t="shared" si="78"/>
        <v>1</v>
      </c>
      <c r="O71" s="76">
        <f t="shared" si="78"/>
        <v>1</v>
      </c>
      <c r="P71" s="76">
        <f t="shared" si="78"/>
        <v>1</v>
      </c>
    </row>
    <row r="73" spans="1:51" x14ac:dyDescent="0.25">
      <c r="B73" s="36" t="s">
        <v>292</v>
      </c>
    </row>
    <row r="74" spans="1:51" ht="15.75" thickBot="1" x14ac:dyDescent="0.3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2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25">
      <c r="A76">
        <v>1</v>
      </c>
      <c r="C76" s="68">
        <f>SUMIFS(input_districts!$C$64:$C$123,input_districts!$A$64:$A$123,$A76,input_districts!$B$64:$B$123,C$43)</f>
        <v>3022.4558590199999</v>
      </c>
      <c r="D76" s="68">
        <f>SUMIFS(input_districts!$C$64:$C$123,input_districts!$A$64:$A$123,$A76,input_districts!$B$64:$B$123,D$43)</f>
        <v>666.65062499999999</v>
      </c>
      <c r="E76" s="68">
        <f>SUMIFS(input_districts!$C$64:$C$123,input_districts!$A$64:$A$123,$A76,input_districts!$B$64:$B$123,E$43)</f>
        <v>0</v>
      </c>
      <c r="F76" s="68">
        <f>SUMIFS(input_districts!$C$64:$C$123,input_districts!$A$64:$A$123,$A76,input_districts!$B$64:$B$123,F$43)</f>
        <v>2104.8525547149998</v>
      </c>
      <c r="G76" s="69">
        <f>SUM(C76:F76)</f>
        <v>5793.9590387349999</v>
      </c>
      <c r="J76">
        <v>1</v>
      </c>
      <c r="L76" s="68">
        <f>SUMIFS(input_districts!$C$194:$C$263,input_districts!$A$194:$A$263,$A76,input_districts!$B$194:$B$263,L$43)</f>
        <v>2964.8853006300001</v>
      </c>
      <c r="M76" s="68">
        <f>SUMIFS(input_districts!$C$194:$C$263,input_districts!$A$194:$A$263,$A76,input_districts!$B$194:$B$263,M$43)</f>
        <v>116.562266855</v>
      </c>
      <c r="N76" s="68">
        <f>SUMIFS(input_districts!$C$194:$C$263,input_districts!$A$194:$A$263,$A76,input_districts!$B$194:$B$263,N$43)</f>
        <v>0</v>
      </c>
      <c r="O76" s="68">
        <f>SUMIFS(input_districts!$C$194:$C$263,input_districts!$A$194:$A$263,$A76,input_districts!$B$194:$B$263,O$43)</f>
        <v>546.58107412050003</v>
      </c>
      <c r="P76" s="69">
        <f>SUM(L76:O76)</f>
        <v>3628.0286416055001</v>
      </c>
    </row>
    <row r="77" spans="1:51" x14ac:dyDescent="0.25">
      <c r="A77">
        <v>2</v>
      </c>
      <c r="C77" s="68">
        <f>SUMIFS(input_districts!$C$64:$C$123,input_districts!$A$64:$A$123,$A77,input_districts!$B$64:$B$123,C$43)</f>
        <v>3641.9021312</v>
      </c>
      <c r="D77" s="68">
        <f>SUMIFS(input_districts!$C$64:$C$123,input_districts!$A$64:$A$123,$A77,input_districts!$B$64:$B$123,D$43)</f>
        <v>4921.6077376100002</v>
      </c>
      <c r="E77" s="68">
        <f>SUMIFS(input_districts!$C$64:$C$123,input_districts!$A$64:$A$123,$A77,input_districts!$B$64:$B$123,E$43)</f>
        <v>0</v>
      </c>
      <c r="F77" s="68">
        <f>SUMIFS(input_districts!$C$64:$C$123,input_districts!$A$64:$A$123,$A77,input_districts!$B$64:$B$123,F$43)</f>
        <v>8142.7112350999996</v>
      </c>
      <c r="G77" s="69">
        <f t="shared" ref="G77:G86" si="79">SUM(C77:F77)</f>
        <v>16706.22110391</v>
      </c>
      <c r="J77">
        <v>2</v>
      </c>
      <c r="L77" s="68">
        <f>SUMIFS(input_districts!$C$194:$C$263,input_districts!$A$194:$A$263,$A77,input_districts!$B$194:$B$263,L$43)</f>
        <v>7107.2075447200004</v>
      </c>
      <c r="M77" s="68">
        <f>SUMIFS(input_districts!$C$194:$C$263,input_districts!$A$194:$A$263,$A77,input_districts!$B$194:$B$263,M$43)</f>
        <v>4109.3702739</v>
      </c>
      <c r="N77" s="68">
        <f>SUMIFS(input_districts!$C$194:$C$263,input_districts!$A$194:$A$263,$A77,input_districts!$B$194:$B$263,N$43)</f>
        <v>0</v>
      </c>
      <c r="O77" s="68">
        <f>SUMIFS(input_districts!$C$194:$C$263,input_districts!$A$194:$A$263,$A77,input_districts!$B$194:$B$263,O$43)</f>
        <v>717.50397505160004</v>
      </c>
      <c r="P77" s="69">
        <f t="shared" ref="P77:P86" si="80">SUM(L77:O77)</f>
        <v>11934.081793671601</v>
      </c>
    </row>
    <row r="78" spans="1:51" x14ac:dyDescent="0.25">
      <c r="A78">
        <v>3</v>
      </c>
      <c r="C78" s="68">
        <f>SUMIFS(input_districts!$C$64:$C$123,input_districts!$A$64:$A$123,$A78,input_districts!$B$64:$B$123,C$43)</f>
        <v>35267.829458100001</v>
      </c>
      <c r="D78" s="68">
        <f>SUMIFS(input_districts!$C$64:$C$123,input_districts!$A$64:$A$123,$A78,input_districts!$B$64:$B$123,D$43)</f>
        <v>19593.196648500001</v>
      </c>
      <c r="E78" s="68">
        <f>SUMIFS(input_districts!$C$64:$C$123,input_districts!$A$64:$A$123,$A78,input_districts!$B$64:$B$123,E$43)</f>
        <v>180.394379313</v>
      </c>
      <c r="F78" s="68">
        <f>SUMIFS(input_districts!$C$64:$C$123,input_districts!$A$64:$A$123,$A78,input_districts!$B$64:$B$123,F$43)</f>
        <v>16352.9212095</v>
      </c>
      <c r="G78" s="69">
        <f t="shared" si="79"/>
        <v>71394.341695413008</v>
      </c>
      <c r="J78">
        <v>3</v>
      </c>
      <c r="L78" s="68">
        <f>SUMIFS(input_districts!$C$194:$C$263,input_districts!$A$194:$A$263,$A78,input_districts!$B$194:$B$263,L$43)</f>
        <v>13970.543434699999</v>
      </c>
      <c r="M78" s="68">
        <f>SUMIFS(input_districts!$C$194:$C$263,input_districts!$A$194:$A$263,$A78,input_districts!$B$194:$B$263,M$43)</f>
        <v>8234.3613654000001</v>
      </c>
      <c r="N78" s="68">
        <f>SUMIFS(input_districts!$C$194:$C$263,input_districts!$A$194:$A$263,$A78,input_districts!$B$194:$B$263,N$43)</f>
        <v>3</v>
      </c>
      <c r="O78" s="68">
        <f>SUMIFS(input_districts!$C$194:$C$263,input_districts!$A$194:$A$263,$A78,input_districts!$B$194:$B$263,O$43)</f>
        <v>6057.561083261</v>
      </c>
      <c r="P78" s="69">
        <f t="shared" si="80"/>
        <v>28265.465883360997</v>
      </c>
    </row>
    <row r="79" spans="1:51" x14ac:dyDescent="0.25">
      <c r="A79">
        <v>4</v>
      </c>
      <c r="C79" s="68">
        <f>SUMIFS(input_districts!$C$64:$C$123,input_districts!$A$64:$A$123,$A79,input_districts!$B$64:$B$123,C$43)</f>
        <v>115408.967137</v>
      </c>
      <c r="D79" s="68">
        <f>SUMIFS(input_districts!$C$64:$C$123,input_districts!$A$64:$A$123,$A79,input_districts!$B$64:$B$123,D$43)</f>
        <v>7879.54351056</v>
      </c>
      <c r="E79" s="68">
        <f>SUMIFS(input_districts!$C$64:$C$123,input_districts!$A$64:$A$123,$A79,input_districts!$B$64:$B$123,E$43)</f>
        <v>0</v>
      </c>
      <c r="F79" s="68">
        <f>SUMIFS(input_districts!$C$64:$C$123,input_districts!$A$64:$A$123,$A79,input_districts!$B$64:$B$123,F$43)</f>
        <v>35918.575729960001</v>
      </c>
      <c r="G79" s="69">
        <f t="shared" si="79"/>
        <v>159207.08637752</v>
      </c>
      <c r="J79">
        <v>4</v>
      </c>
      <c r="L79" s="68">
        <f>SUMIFS(input_districts!$C$194:$C$263,input_districts!$A$194:$A$263,$A79,input_districts!$B$194:$B$263,L$43)</f>
        <v>73795.373118599993</v>
      </c>
      <c r="M79" s="68">
        <f>SUMIFS(input_districts!$C$194:$C$263,input_districts!$A$194:$A$263,$A79,input_districts!$B$194:$B$263,M$43)</f>
        <v>4412.0528975200004</v>
      </c>
      <c r="N79" s="68">
        <f>SUMIFS(input_districts!$C$194:$C$263,input_districts!$A$194:$A$263,$A79,input_districts!$B$194:$B$263,N$43)</f>
        <v>4.7476525821599997</v>
      </c>
      <c r="O79" s="68">
        <f>SUMIFS(input_districts!$C$194:$C$263,input_districts!$A$194:$A$263,$A79,input_districts!$B$194:$B$263,O$43)</f>
        <v>17922.761106009999</v>
      </c>
      <c r="P79" s="69">
        <f t="shared" si="80"/>
        <v>96134.93477471215</v>
      </c>
    </row>
    <row r="80" spans="1:51" x14ac:dyDescent="0.25">
      <c r="A80">
        <v>5</v>
      </c>
      <c r="C80" s="68">
        <f>SUMIFS(input_districts!$C$64:$C$123,input_districts!$A$64:$A$123,$A80,input_districts!$B$64:$B$123,C$43)</f>
        <v>22411.700393200001</v>
      </c>
      <c r="D80" s="68">
        <f>SUMIFS(input_districts!$C$64:$C$123,input_districts!$A$64:$A$123,$A80,input_districts!$B$64:$B$123,D$43)</f>
        <v>2273.2592833799999</v>
      </c>
      <c r="E80" s="68">
        <f>SUMIFS(input_districts!$C$64:$C$123,input_districts!$A$64:$A$123,$A80,input_districts!$B$64:$B$123,E$43)</f>
        <v>2414.6046225499999</v>
      </c>
      <c r="F80" s="68">
        <f>SUMIFS(input_districts!$C$64:$C$123,input_districts!$A$64:$A$123,$A80,input_districts!$B$64:$B$123,F$43)</f>
        <v>10800.589925709999</v>
      </c>
      <c r="G80" s="69">
        <f t="shared" si="79"/>
        <v>37900.15422484</v>
      </c>
      <c r="J80">
        <v>5</v>
      </c>
      <c r="L80" s="68">
        <f>SUMIFS(input_districts!$C$194:$C$263,input_districts!$A$194:$A$263,$A80,input_districts!$B$194:$B$263,L$43)</f>
        <v>10202.474773800001</v>
      </c>
      <c r="M80" s="68">
        <f>SUMIFS(input_districts!$C$194:$C$263,input_districts!$A$194:$A$263,$A80,input_districts!$B$194:$B$263,M$43)</f>
        <v>887.72582548699995</v>
      </c>
      <c r="N80" s="68">
        <f>SUMIFS(input_districts!$C$194:$C$263,input_districts!$A$194:$A$263,$A80,input_districts!$B$194:$B$263,N$43)</f>
        <v>4.4981060606099996</v>
      </c>
      <c r="O80" s="68">
        <f>SUMIFS(input_districts!$C$194:$C$263,input_districts!$A$194:$A$263,$A80,input_districts!$B$194:$B$263,O$43)</f>
        <v>4596.8184432560001</v>
      </c>
      <c r="P80" s="69">
        <f t="shared" si="80"/>
        <v>15691.517148603609</v>
      </c>
    </row>
    <row r="81" spans="1:32" x14ac:dyDescent="0.25">
      <c r="A81">
        <v>6</v>
      </c>
      <c r="C81" s="68">
        <f>SUMIFS(input_districts!$C$64:$C$123,input_districts!$A$64:$A$123,$A81,input_districts!$B$64:$B$123,C$43)</f>
        <v>34386.837718499999</v>
      </c>
      <c r="D81" s="68">
        <f>SUMIFS(input_districts!$C$64:$C$123,input_districts!$A$64:$A$123,$A81,input_districts!$B$64:$B$123,D$43)</f>
        <v>5679.9718636199996</v>
      </c>
      <c r="E81" s="68">
        <f>SUMIFS(input_districts!$C$64:$C$123,input_districts!$A$64:$A$123,$A81,input_districts!$B$64:$B$123,E$43)</f>
        <v>224.93159591400001</v>
      </c>
      <c r="F81" s="68">
        <f>SUMIFS(input_districts!$C$64:$C$123,input_districts!$A$64:$A$123,$A81,input_districts!$B$64:$B$123,F$43)</f>
        <v>11339.397291331999</v>
      </c>
      <c r="G81" s="69">
        <f t="shared" si="79"/>
        <v>51631.138469365993</v>
      </c>
      <c r="J81">
        <v>6</v>
      </c>
      <c r="L81" s="68">
        <f>SUMIFS(input_districts!$C$194:$C$263,input_districts!$A$194:$A$263,$A81,input_districts!$B$194:$B$263,L$43)</f>
        <v>22507.9167686</v>
      </c>
      <c r="M81" s="68">
        <f>SUMIFS(input_districts!$C$194:$C$263,input_districts!$A$194:$A$263,$A81,input_districts!$B$194:$B$263,M$43)</f>
        <v>3072.2479792099998</v>
      </c>
      <c r="N81" s="68">
        <f>SUMIFS(input_districts!$C$194:$C$263,input_districts!$A$194:$A$263,$A81,input_districts!$B$194:$B$263,N$43)</f>
        <v>2.25</v>
      </c>
      <c r="O81" s="68">
        <f>SUMIFS(input_districts!$C$194:$C$263,input_districts!$A$194:$A$263,$A81,input_districts!$B$194:$B$263,O$43)</f>
        <v>4908.6629169939997</v>
      </c>
      <c r="P81" s="69">
        <f t="shared" si="80"/>
        <v>30491.077664803997</v>
      </c>
    </row>
    <row r="82" spans="1:32" x14ac:dyDescent="0.25">
      <c r="A82">
        <v>7</v>
      </c>
      <c r="C82" s="68">
        <f>SUMIFS(input_districts!$C$64:$C$123,input_districts!$A$64:$A$123,$A82,input_districts!$B$64:$B$123,C$43)</f>
        <v>14148.001643400001</v>
      </c>
      <c r="D82" s="68">
        <f>SUMIFS(input_districts!$C$64:$C$123,input_districts!$A$64:$A$123,$A82,input_districts!$B$64:$B$123,D$43)</f>
        <v>7375.1267244999999</v>
      </c>
      <c r="E82" s="68">
        <f>SUMIFS(input_districts!$C$64:$C$123,input_districts!$A$64:$A$123,$A82,input_districts!$B$64:$B$123,E$43)</f>
        <v>109.70487695</v>
      </c>
      <c r="F82" s="68">
        <f>SUMIFS(input_districts!$C$64:$C$123,input_districts!$A$64:$A$123,$A82,input_districts!$B$64:$B$123,F$43)</f>
        <v>11903.540527924</v>
      </c>
      <c r="G82" s="69">
        <f t="shared" si="79"/>
        <v>33536.373772774001</v>
      </c>
      <c r="J82">
        <v>7</v>
      </c>
      <c r="L82" s="68">
        <f>SUMIFS(input_districts!$C$194:$C$263,input_districts!$A$194:$A$263,$A82,input_districts!$B$194:$B$263,L$43)</f>
        <v>15784.0795602</v>
      </c>
      <c r="M82" s="68">
        <f>SUMIFS(input_districts!$C$194:$C$263,input_districts!$A$194:$A$263,$A82,input_districts!$B$194:$B$263,M$43)</f>
        <v>2219.9521363899999</v>
      </c>
      <c r="N82" s="68">
        <f>SUMIFS(input_districts!$C$194:$C$263,input_districts!$A$194:$A$263,$A82,input_districts!$B$194:$B$263,N$43)</f>
        <v>3.9987531172100002</v>
      </c>
      <c r="O82" s="68">
        <f>SUMIFS(input_districts!$C$194:$C$263,input_districts!$A$194:$A$263,$A82,input_districts!$B$194:$B$263,O$43)</f>
        <v>5643.9529973230001</v>
      </c>
      <c r="P82" s="69">
        <f t="shared" si="80"/>
        <v>23651.983447030208</v>
      </c>
    </row>
    <row r="83" spans="1:32" x14ac:dyDescent="0.25">
      <c r="A83">
        <v>8</v>
      </c>
      <c r="C83" s="68">
        <f>SUMIFS(input_districts!$C$64:$C$123,input_districts!$A$64:$A$123,$A83,input_districts!$B$64:$B$123,C$43)</f>
        <v>4441.6721790000001</v>
      </c>
      <c r="D83" s="68">
        <f>SUMIFS(input_districts!$C$64:$C$123,input_districts!$A$64:$A$123,$A83,input_districts!$B$64:$B$123,D$43)</f>
        <v>4337.4319655400004</v>
      </c>
      <c r="E83" s="68">
        <f>SUMIFS(input_districts!$C$64:$C$123,input_districts!$A$64:$A$123,$A83,input_districts!$B$64:$B$123,E$43)</f>
        <v>0</v>
      </c>
      <c r="F83" s="68">
        <f>SUMIFS(input_districts!$C$64:$C$123,input_districts!$A$64:$A$123,$A83,input_districts!$B$64:$B$123,F$43)</f>
        <v>3561.2565511409998</v>
      </c>
      <c r="G83" s="69">
        <f t="shared" si="79"/>
        <v>12340.360695681</v>
      </c>
      <c r="J83">
        <v>8</v>
      </c>
      <c r="L83" s="68">
        <f>SUMIFS(input_districts!$C$194:$C$263,input_districts!$A$194:$A$263,$A83,input_districts!$B$194:$B$263,L$43)</f>
        <v>4472.6855118100002</v>
      </c>
      <c r="M83" s="68">
        <f>SUMIFS(input_districts!$C$194:$C$263,input_districts!$A$194:$A$263,$A83,input_districts!$B$194:$B$263,M$43)</f>
        <v>2452.4660772100001</v>
      </c>
      <c r="N83" s="68">
        <f>SUMIFS(input_districts!$C$194:$C$263,input_districts!$A$194:$A$263,$A83,input_districts!$B$194:$B$263,N$43)</f>
        <v>0.25</v>
      </c>
      <c r="O83" s="68">
        <f>SUMIFS(input_districts!$C$194:$C$263,input_districts!$A$194:$A$263,$A83,input_districts!$B$194:$B$263,O$43)</f>
        <v>2448.0126140560001</v>
      </c>
      <c r="P83" s="69">
        <f t="shared" si="80"/>
        <v>9373.4142030760013</v>
      </c>
    </row>
    <row r="84" spans="1:32" x14ac:dyDescent="0.25">
      <c r="A84">
        <v>9</v>
      </c>
      <c r="C84" s="68">
        <f>SUMIFS(input_districts!$C$64:$C$123,input_districts!$A$64:$A$123,$A84,input_districts!$B$64:$B$123,C$43)</f>
        <v>5661.3926351199998</v>
      </c>
      <c r="D84" s="68">
        <f>SUMIFS(input_districts!$C$64:$C$123,input_districts!$A$64:$A$123,$A84,input_districts!$B$64:$B$123,D$43)</f>
        <v>441.02087499999999</v>
      </c>
      <c r="E84" s="68">
        <f>SUMIFS(input_districts!$C$64:$C$123,input_districts!$A$64:$A$123,$A84,input_districts!$B$64:$B$123,E$43)</f>
        <v>0</v>
      </c>
      <c r="F84" s="68">
        <f>SUMIFS(input_districts!$C$64:$C$123,input_districts!$A$64:$A$123,$A84,input_districts!$B$64:$B$123,F$43)</f>
        <v>6422.8295302770002</v>
      </c>
      <c r="G84" s="69">
        <f t="shared" si="79"/>
        <v>12525.243040396999</v>
      </c>
      <c r="J84">
        <v>9</v>
      </c>
      <c r="L84" s="68">
        <f>SUMIFS(input_districts!$C$194:$C$263,input_districts!$A$194:$A$263,$A84,input_districts!$B$194:$B$263,L$43)</f>
        <v>4285.8611361100002</v>
      </c>
      <c r="M84" s="68">
        <f>SUMIFS(input_districts!$C$194:$C$263,input_districts!$A$194:$A$263,$A84,input_districts!$B$194:$B$263,M$43)</f>
        <v>79.735493621200007</v>
      </c>
      <c r="N84" s="68">
        <f>SUMIFS(input_districts!$C$194:$C$263,input_districts!$A$194:$A$263,$A84,input_districts!$B$194:$B$263,N$43)</f>
        <v>0</v>
      </c>
      <c r="O84" s="68">
        <f>SUMIFS(input_districts!$C$194:$C$263,input_districts!$A$194:$A$263,$A84,input_districts!$B$194:$B$263,O$43)</f>
        <v>840.42960019387999</v>
      </c>
      <c r="P84" s="69">
        <f t="shared" si="80"/>
        <v>5206.0262299250799</v>
      </c>
    </row>
    <row r="85" spans="1:32" x14ac:dyDescent="0.25">
      <c r="A85">
        <v>10</v>
      </c>
      <c r="C85" s="68">
        <f>SUMIFS(input_districts!$C$64:$C$123,input_districts!$A$64:$A$123,$A85,input_districts!$B$64:$B$123,C$43)</f>
        <v>2596.9359239599999</v>
      </c>
      <c r="D85" s="68">
        <f>SUMIFS(input_districts!$C$64:$C$123,input_districts!$A$64:$A$123,$A85,input_districts!$B$64:$B$123,D$43)</f>
        <v>2351.8459761899999</v>
      </c>
      <c r="E85" s="68">
        <f>SUMIFS(input_districts!$C$64:$C$123,input_districts!$A$64:$A$123,$A85,input_districts!$B$64:$B$123,E$43)</f>
        <v>0</v>
      </c>
      <c r="F85" s="68">
        <f>SUMIFS(input_districts!$C$64:$C$123,input_districts!$A$64:$A$123,$A85,input_districts!$B$64:$B$123,F$43)</f>
        <v>4176.3431718299998</v>
      </c>
      <c r="G85" s="69">
        <f t="shared" si="79"/>
        <v>9125.1250719799991</v>
      </c>
      <c r="J85">
        <v>10</v>
      </c>
      <c r="L85" s="68">
        <f>SUMIFS(input_districts!$C$194:$C$263,input_districts!$A$194:$A$263,$A85,input_districts!$B$194:$B$263,L$43)</f>
        <v>5069.5348162500004</v>
      </c>
      <c r="M85" s="68">
        <f>SUMIFS(input_districts!$C$194:$C$263,input_districts!$A$194:$A$263,$A85,input_districts!$B$194:$B$263,M$43)</f>
        <v>1888.5080622400001</v>
      </c>
      <c r="N85" s="68">
        <f>SUMIFS(input_districts!$C$194:$C$263,input_districts!$A$194:$A$263,$A85,input_districts!$B$194:$B$263,N$43)</f>
        <v>0</v>
      </c>
      <c r="O85" s="68">
        <f>SUMIFS(input_districts!$C$194:$C$263,input_districts!$A$194:$A$263,$A85,input_districts!$B$194:$B$263,O$43)</f>
        <v>4085.240657288</v>
      </c>
      <c r="P85" s="69">
        <f t="shared" si="80"/>
        <v>11043.283535778</v>
      </c>
    </row>
    <row r="86" spans="1:32" x14ac:dyDescent="0.25">
      <c r="A86">
        <v>11</v>
      </c>
      <c r="B86" s="6"/>
      <c r="C86" s="71">
        <f>SUMIFS(input_districts!$C$64:$C$123,input_districts!$A$64:$A$123,$A86,input_districts!$B$64:$B$123,C$43)</f>
        <v>0</v>
      </c>
      <c r="D86" s="71">
        <f>SUMIFS(input_districts!$C$64:$C$123,input_districts!$A$64:$A$123,$A86,input_districts!$B$64:$B$123,D$43)</f>
        <v>0</v>
      </c>
      <c r="E86" s="71">
        <f>SUMIFS(input_districts!$C$64:$C$123,input_districts!$A$64:$A$123,$A86,input_districts!$B$64:$B$123,E$43)</f>
        <v>0</v>
      </c>
      <c r="F86" s="71">
        <f>SUMIFS(input_districts!$C$64:$C$123,input_districts!$A$64:$A$123,$A86,input_districts!$B$64:$B$123,F$43)</f>
        <v>0</v>
      </c>
      <c r="G86" s="72">
        <f t="shared" si="79"/>
        <v>0</v>
      </c>
      <c r="J86">
        <v>11</v>
      </c>
      <c r="K86" s="6"/>
      <c r="L86" s="71">
        <f>SUMIFS(input_districts!$C$194:$C$263,input_districts!$A$194:$A$263,$A86,input_districts!$B$194:$B$263,L$43)</f>
        <v>795.480141033</v>
      </c>
      <c r="M86" s="71">
        <f>SUMIFS(input_districts!$C$194:$C$263,input_districts!$A$194:$A$263,$A86,input_districts!$B$194:$B$263,M$43)</f>
        <v>0</v>
      </c>
      <c r="N86" s="71">
        <f>SUMIFS(input_districts!$C$194:$C$263,input_districts!$A$194:$A$263,$A86,input_districts!$B$194:$B$263,N$43)</f>
        <v>0</v>
      </c>
      <c r="O86" s="71">
        <f>SUMIFS(input_districts!$C$194:$C$263,input_districts!$A$194:$A$263,$A86,input_districts!$B$194:$B$263,O$43)</f>
        <v>247.22442020809999</v>
      </c>
      <c r="P86" s="72">
        <f t="shared" si="80"/>
        <v>1042.7045612411</v>
      </c>
    </row>
    <row r="87" spans="1:32" ht="15.75" thickBot="1" x14ac:dyDescent="0.3">
      <c r="B87" s="1" t="s">
        <v>19</v>
      </c>
      <c r="C87" s="70">
        <f>SUM(C76:C86)</f>
        <v>240987.69507849999</v>
      </c>
      <c r="D87" s="70">
        <f t="shared" ref="D87" si="81">SUM(D76:D86)</f>
        <v>55519.655209900004</v>
      </c>
      <c r="E87" s="70">
        <f t="shared" ref="E87" si="82">SUM(E76:E86)</f>
        <v>2929.6354747270002</v>
      </c>
      <c r="F87" s="70">
        <f t="shared" ref="F87" si="83">SUM(F76:F86)</f>
        <v>110723.017727489</v>
      </c>
      <c r="G87" s="70">
        <f t="shared" ref="G87" si="84">SUM(G76:G86)</f>
        <v>410160.00349061604</v>
      </c>
      <c r="K87" s="1" t="s">
        <v>19</v>
      </c>
      <c r="L87" s="70">
        <f>SUM(L76:L86)</f>
        <v>160956.04210645304</v>
      </c>
      <c r="M87" s="70">
        <f t="shared" ref="M87" si="85">SUM(M76:M86)</f>
        <v>27472.982377833199</v>
      </c>
      <c r="N87" s="70">
        <f t="shared" ref="N87" si="86">SUM(N76:N86)</f>
        <v>18.74451175998</v>
      </c>
      <c r="O87" s="70">
        <f t="shared" ref="O87" si="87">SUM(O76:O86)</f>
        <v>48014.748887762078</v>
      </c>
      <c r="P87" s="70">
        <f t="shared" ref="P87" si="88">SUM(P76:P86)</f>
        <v>236462.51788380824</v>
      </c>
      <c r="X87" s="59"/>
      <c r="Y87" s="59"/>
      <c r="Z87" s="59"/>
      <c r="AA87" s="59"/>
    </row>
    <row r="88" spans="1:32" x14ac:dyDescent="0.25">
      <c r="Z88" t="s">
        <v>295</v>
      </c>
      <c r="AA88" s="80">
        <v>0</v>
      </c>
      <c r="AD88" s="80">
        <v>1</v>
      </c>
      <c r="AE88" s="80">
        <v>0</v>
      </c>
      <c r="AF88" s="80">
        <v>0</v>
      </c>
    </row>
    <row r="89" spans="1:32" ht="15.75" thickBot="1" x14ac:dyDescent="0.3">
      <c r="B89" t="s">
        <v>217</v>
      </c>
      <c r="K89" t="s">
        <v>293</v>
      </c>
      <c r="R89" s="36" t="s">
        <v>218</v>
      </c>
      <c r="S89" s="86" t="s">
        <v>287</v>
      </c>
      <c r="T89" s="86"/>
      <c r="V89" s="86" t="s">
        <v>288</v>
      </c>
      <c r="W89" s="86"/>
      <c r="Z89" t="s">
        <v>219</v>
      </c>
      <c r="AA89" s="86" t="s">
        <v>284</v>
      </c>
      <c r="AB89" s="86"/>
      <c r="AD89" s="86" t="s">
        <v>285</v>
      </c>
      <c r="AE89" s="86"/>
    </row>
    <row r="90" spans="1:32" x14ac:dyDescent="0.2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8" t="s">
        <v>196</v>
      </c>
      <c r="U90" s="6" t="s">
        <v>286</v>
      </c>
      <c r="V90" s="6" t="s">
        <v>195</v>
      </c>
      <c r="W90" s="88" t="s">
        <v>196</v>
      </c>
      <c r="X90" s="6" t="s">
        <v>286</v>
      </c>
      <c r="Z90" s="6" t="s">
        <v>278</v>
      </c>
      <c r="AA90" s="79" t="s">
        <v>195</v>
      </c>
      <c r="AB90" s="88" t="s">
        <v>196</v>
      </c>
      <c r="AC90" s="79" t="s">
        <v>286</v>
      </c>
      <c r="AD90" s="79" t="s">
        <v>195</v>
      </c>
      <c r="AE90" s="88" t="s">
        <v>196</v>
      </c>
      <c r="AF90" s="79" t="s">
        <v>286</v>
      </c>
    </row>
    <row r="91" spans="1:32" x14ac:dyDescent="0.25">
      <c r="A91">
        <f>A76</f>
        <v>1</v>
      </c>
      <c r="C91" s="73">
        <f>C76/C$87</f>
        <v>1.2541950982333173E-2</v>
      </c>
      <c r="D91" s="73">
        <f t="shared" ref="D91:G91" si="89">D76/D$87</f>
        <v>1.2007470552178897E-2</v>
      </c>
      <c r="E91" s="73">
        <f t="shared" si="89"/>
        <v>0</v>
      </c>
      <c r="F91" s="73">
        <f t="shared" si="89"/>
        <v>1.9010072141417367E-2</v>
      </c>
      <c r="G91" s="73">
        <f t="shared" si="89"/>
        <v>1.4126094668973637E-2</v>
      </c>
      <c r="J91">
        <v>1</v>
      </c>
      <c r="L91" s="73">
        <f>L76/L$87</f>
        <v>1.8420465996977518E-2</v>
      </c>
      <c r="M91" s="73">
        <f t="shared" ref="M91:P91" si="90">M76/M$87</f>
        <v>4.2427962589547327E-3</v>
      </c>
      <c r="N91" s="73">
        <f t="shared" si="90"/>
        <v>0</v>
      </c>
      <c r="O91" s="73">
        <f t="shared" si="90"/>
        <v>1.1383607886780217E-2</v>
      </c>
      <c r="P91" s="73">
        <f t="shared" si="90"/>
        <v>1.5342933307460688E-2</v>
      </c>
      <c r="R91">
        <v>1</v>
      </c>
      <c r="S91" s="44">
        <f t="shared" ref="S91:T91" si="91">C60/L60</f>
        <v>1.1008287483506591</v>
      </c>
      <c r="T91" s="44">
        <f t="shared" si="91"/>
        <v>1.159310739017819</v>
      </c>
      <c r="U91" s="44">
        <f t="shared" ref="U91:U101" si="92">F60/O60</f>
        <v>5.7788265825521501</v>
      </c>
      <c r="V91" s="44">
        <f>C91/L91</f>
        <v>0.68087045052992101</v>
      </c>
      <c r="W91" s="44">
        <f>D91/M91</f>
        <v>2.8300841754624089</v>
      </c>
      <c r="X91" s="44">
        <f t="shared" ref="X91:X101" si="93">F91/O91</f>
        <v>1.6699514187847038</v>
      </c>
      <c r="Z91">
        <f t="shared" ref="Z91:Z101" si="94">R91</f>
        <v>1</v>
      </c>
      <c r="AA91" s="77">
        <f>$AA$88*IF(S91&gt;0,LN(S91),0)</f>
        <v>0</v>
      </c>
      <c r="AB91" s="77">
        <f>$AA$88*IF(T91&gt;0,LN(T91),0)</f>
        <v>0</v>
      </c>
      <c r="AC91" s="77">
        <f>$AA$88*IF(U91&gt;0,LN(U91),0)</f>
        <v>0</v>
      </c>
      <c r="AD91" s="55">
        <f>$AD$88*IF(V91&gt;0,LN(V91),0)</f>
        <v>-0.38438322509989337</v>
      </c>
      <c r="AE91" s="55">
        <f>$AD$88*IF(W91&gt;0,LN(W91),0)</f>
        <v>1.0403064551924526</v>
      </c>
      <c r="AF91" s="55">
        <f>$AD$88*IF(X91&gt;0,LN(X91),0)</f>
        <v>0.51279453545744391</v>
      </c>
    </row>
    <row r="92" spans="1:32" x14ac:dyDescent="0.25">
      <c r="A92">
        <f t="shared" ref="A92:A101" si="95">A77</f>
        <v>2</v>
      </c>
      <c r="C92" s="73">
        <f t="shared" ref="C92:G92" si="96">C77/C$87</f>
        <v>1.5112398705725106E-2</v>
      </c>
      <c r="D92" s="73">
        <f t="shared" si="96"/>
        <v>8.8646223017833189E-2</v>
      </c>
      <c r="E92" s="73">
        <f t="shared" si="96"/>
        <v>0</v>
      </c>
      <c r="F92" s="73">
        <f t="shared" si="96"/>
        <v>7.3541269035322029E-2</v>
      </c>
      <c r="G92" s="73">
        <f t="shared" si="96"/>
        <v>4.0730985375789376E-2</v>
      </c>
      <c r="J92">
        <v>2</v>
      </c>
      <c r="L92" s="73">
        <f t="shared" ref="L92:P92" si="97">L77/L$87</f>
        <v>4.415620222581914E-2</v>
      </c>
      <c r="M92" s="73">
        <f t="shared" si="97"/>
        <v>0.14957860116474572</v>
      </c>
      <c r="N92" s="73">
        <f t="shared" si="97"/>
        <v>0</v>
      </c>
      <c r="O92" s="73">
        <f t="shared" si="97"/>
        <v>1.4943407841803298E-2</v>
      </c>
      <c r="P92" s="73">
        <f t="shared" si="97"/>
        <v>5.0469232504475443E-2</v>
      </c>
      <c r="R92">
        <v>2</v>
      </c>
      <c r="S92" s="44">
        <f t="shared" ref="S92:S101" si="98">C61/L61</f>
        <v>0.95756930332054224</v>
      </c>
      <c r="T92" s="44">
        <f t="shared" ref="T92:T101" si="99">D61/M61</f>
        <v>1.1391703859380593</v>
      </c>
      <c r="U92" s="44">
        <f t="shared" si="92"/>
        <v>30.878948471828725</v>
      </c>
      <c r="V92" s="44">
        <f t="shared" ref="V92:V101" si="100">C92/L92</f>
        <v>0.34224860707990284</v>
      </c>
      <c r="W92" s="44">
        <f t="shared" ref="W92:W101" si="101">D92/M92</f>
        <v>0.59263973808792558</v>
      </c>
      <c r="X92" s="44">
        <f t="shared" si="93"/>
        <v>4.9213184712522322</v>
      </c>
      <c r="Z92">
        <f t="shared" si="94"/>
        <v>2</v>
      </c>
      <c r="AA92" s="77">
        <f t="shared" ref="AA92:AA101" si="102">$AA$88*IF(S92&gt;0,LN(S92),0)</f>
        <v>0</v>
      </c>
      <c r="AB92" s="77">
        <f t="shared" ref="AB92:AB101" si="103">$AA$88*IF(T92&gt;0,LN(T92),0)</f>
        <v>0</v>
      </c>
      <c r="AC92" s="77">
        <f t="shared" ref="AC92:AC101" si="104">$AA$88*IF(U92&gt;0,LN(U92),0)</f>
        <v>0</v>
      </c>
      <c r="AD92" s="55">
        <f t="shared" ref="AD92:AD101" si="105">$AD$88*IF(V92&gt;0,LN(V92),0)</f>
        <v>-1.0722178847125756</v>
      </c>
      <c r="AE92" s="55">
        <f t="shared" ref="AE92:AE101" si="106">$AD$88*IF(W92&gt;0,LN(W92),0)</f>
        <v>-0.52316858890574514</v>
      </c>
      <c r="AF92" s="55">
        <f t="shared" ref="AF92:AF101" si="107">$AD$88*IF(X92&gt;0,LN(X92),0)</f>
        <v>1.5935764765653002</v>
      </c>
    </row>
    <row r="93" spans="1:32" x14ac:dyDescent="0.25">
      <c r="A93">
        <f t="shared" si="95"/>
        <v>3</v>
      </c>
      <c r="C93" s="73">
        <f t="shared" ref="C93:G93" si="108">C78/C$87</f>
        <v>0.14634701347142126</v>
      </c>
      <c r="D93" s="73">
        <f t="shared" si="108"/>
        <v>0.35290558946061745</v>
      </c>
      <c r="E93" s="73">
        <f t="shared" si="108"/>
        <v>6.1575708264459135E-2</v>
      </c>
      <c r="F93" s="73">
        <f t="shared" si="108"/>
        <v>0.14769215602258726</v>
      </c>
      <c r="G93" s="73">
        <f t="shared" si="108"/>
        <v>0.17406461158528447</v>
      </c>
      <c r="J93">
        <v>3</v>
      </c>
      <c r="L93" s="73">
        <f t="shared" ref="L93:P93" si="109">L78/L$87</f>
        <v>8.6797259996367004E-2</v>
      </c>
      <c r="M93" s="73">
        <f t="shared" si="109"/>
        <v>0.29972579067513117</v>
      </c>
      <c r="N93" s="73">
        <f t="shared" si="109"/>
        <v>0.16004684669381866</v>
      </c>
      <c r="O93" s="73">
        <f t="shared" si="109"/>
        <v>0.12616042411095357</v>
      </c>
      <c r="P93" s="73">
        <f t="shared" si="109"/>
        <v>0.11953465663953532</v>
      </c>
      <c r="R93">
        <v>3</v>
      </c>
      <c r="S93" s="44">
        <f t="shared" si="98"/>
        <v>0.81418891437229424</v>
      </c>
      <c r="T93" s="44">
        <f t="shared" si="99"/>
        <v>0.7885840235952869</v>
      </c>
      <c r="U93" s="44">
        <f t="shared" si="92"/>
        <v>0.75548083076274641</v>
      </c>
      <c r="V93" s="44">
        <f t="shared" si="100"/>
        <v>1.6860787250374814</v>
      </c>
      <c r="W93" s="44">
        <f t="shared" si="101"/>
        <v>1.1774281708147269</v>
      </c>
      <c r="X93" s="44">
        <f t="shared" si="93"/>
        <v>1.1706694636084711</v>
      </c>
      <c r="Z93">
        <f t="shared" si="94"/>
        <v>3</v>
      </c>
      <c r="AA93" s="77">
        <f t="shared" si="102"/>
        <v>0</v>
      </c>
      <c r="AB93" s="77">
        <f t="shared" si="103"/>
        <v>0</v>
      </c>
      <c r="AC93" s="77">
        <f t="shared" si="104"/>
        <v>0</v>
      </c>
      <c r="AD93" s="55">
        <f t="shared" si="105"/>
        <v>0.52240555186885085</v>
      </c>
      <c r="AE93" s="55">
        <f t="shared" si="106"/>
        <v>0.16333254361654301</v>
      </c>
      <c r="AF93" s="55">
        <f t="shared" si="107"/>
        <v>0.15757577628909702</v>
      </c>
    </row>
    <row r="94" spans="1:32" x14ac:dyDescent="0.25">
      <c r="A94">
        <f t="shared" si="95"/>
        <v>4</v>
      </c>
      <c r="C94" s="73">
        <f t="shared" ref="C94:G94" si="110">C79/C$87</f>
        <v>0.4788998338666477</v>
      </c>
      <c r="D94" s="73">
        <f t="shared" si="110"/>
        <v>0.1419234950355916</v>
      </c>
      <c r="E94" s="73">
        <f t="shared" si="110"/>
        <v>0</v>
      </c>
      <c r="F94" s="73">
        <f t="shared" si="110"/>
        <v>0.32440025992032334</v>
      </c>
      <c r="G94" s="73">
        <f t="shared" si="110"/>
        <v>0.38815848698704836</v>
      </c>
      <c r="J94">
        <v>4</v>
      </c>
      <c r="L94" s="73">
        <f t="shared" ref="L94:P94" si="111">L79/L$87</f>
        <v>0.45848153416815035</v>
      </c>
      <c r="M94" s="73">
        <f t="shared" si="111"/>
        <v>0.1605960662312331</v>
      </c>
      <c r="N94" s="73">
        <f t="shared" si="111"/>
        <v>0.25328227499082456</v>
      </c>
      <c r="O94" s="73">
        <f t="shared" si="111"/>
        <v>0.3732761603711755</v>
      </c>
      <c r="P94" s="73">
        <f t="shared" si="111"/>
        <v>0.40655464398780722</v>
      </c>
      <c r="R94">
        <v>4</v>
      </c>
      <c r="S94" s="44">
        <f t="shared" si="98"/>
        <v>0.84327341448039173</v>
      </c>
      <c r="T94" s="44">
        <f t="shared" si="99"/>
        <v>0.70598905507326815</v>
      </c>
      <c r="U94" s="44">
        <f t="shared" si="92"/>
        <v>0.92213725109970102</v>
      </c>
      <c r="V94" s="44">
        <f t="shared" si="100"/>
        <v>1.0445346173767793</v>
      </c>
      <c r="W94" s="44">
        <f t="shared" si="101"/>
        <v>0.88372958545101643</v>
      </c>
      <c r="X94" s="44">
        <f t="shared" si="93"/>
        <v>0.86906235747214255</v>
      </c>
      <c r="Z94">
        <f t="shared" si="94"/>
        <v>4</v>
      </c>
      <c r="AA94" s="77">
        <f t="shared" si="102"/>
        <v>0</v>
      </c>
      <c r="AB94" s="77">
        <f t="shared" si="103"/>
        <v>0</v>
      </c>
      <c r="AC94" s="77">
        <f t="shared" si="104"/>
        <v>0</v>
      </c>
      <c r="AD94" s="55">
        <f t="shared" si="105"/>
        <v>4.357144399929741E-2</v>
      </c>
      <c r="AE94" s="55">
        <f t="shared" si="106"/>
        <v>-0.12360416195214589</v>
      </c>
      <c r="AF94" s="55">
        <f t="shared" si="107"/>
        <v>-0.14034039855571614</v>
      </c>
    </row>
    <row r="95" spans="1:32" x14ac:dyDescent="0.25">
      <c r="A95">
        <f t="shared" si="95"/>
        <v>5</v>
      </c>
      <c r="C95" s="73">
        <f t="shared" ref="C95:G95" si="112">C80/C$87</f>
        <v>9.2999355779968568E-2</v>
      </c>
      <c r="D95" s="73">
        <f t="shared" si="112"/>
        <v>4.0945126096075667E-2</v>
      </c>
      <c r="E95" s="73">
        <f t="shared" si="112"/>
        <v>0.82419968060190363</v>
      </c>
      <c r="F95" s="73">
        <f t="shared" si="112"/>
        <v>9.7546022023102391E-2</v>
      </c>
      <c r="G95" s="73">
        <f t="shared" si="112"/>
        <v>9.2403339921726696E-2</v>
      </c>
      <c r="J95">
        <v>5</v>
      </c>
      <c r="L95" s="73">
        <f t="shared" ref="L95:P95" si="113">L80/L$87</f>
        <v>6.3386715032743485E-2</v>
      </c>
      <c r="M95" s="73">
        <f t="shared" si="113"/>
        <v>3.2312684996415562E-2</v>
      </c>
      <c r="N95" s="73">
        <f t="shared" si="113"/>
        <v>0.23996923036499507</v>
      </c>
      <c r="O95" s="73">
        <f t="shared" si="113"/>
        <v>9.5737633742527598E-2</v>
      </c>
      <c r="P95" s="73">
        <f t="shared" si="113"/>
        <v>6.6359426809089586E-2</v>
      </c>
      <c r="R95">
        <v>5</v>
      </c>
      <c r="S95" s="44">
        <f t="shared" si="98"/>
        <v>0.98089162649940842</v>
      </c>
      <c r="T95" s="44">
        <f t="shared" si="99"/>
        <v>0.70479466311944095</v>
      </c>
      <c r="U95" s="44">
        <f t="shared" si="92"/>
        <v>0.68801048596817305</v>
      </c>
      <c r="V95" s="44">
        <f t="shared" si="100"/>
        <v>1.4671742451384042</v>
      </c>
      <c r="W95" s="44">
        <f t="shared" si="101"/>
        <v>1.2671533207660612</v>
      </c>
      <c r="X95" s="44">
        <f t="shared" si="93"/>
        <v>1.0188890012201282</v>
      </c>
      <c r="Z95">
        <f t="shared" si="94"/>
        <v>5</v>
      </c>
      <c r="AA95" s="77">
        <f t="shared" si="102"/>
        <v>0</v>
      </c>
      <c r="AB95" s="77">
        <f t="shared" si="103"/>
        <v>0</v>
      </c>
      <c r="AC95" s="77">
        <f t="shared" si="104"/>
        <v>0</v>
      </c>
      <c r="AD95" s="55">
        <f t="shared" si="105"/>
        <v>0.38333826861626996</v>
      </c>
      <c r="AE95" s="55">
        <f t="shared" si="106"/>
        <v>0.23677290488286173</v>
      </c>
      <c r="AF95" s="55">
        <f t="shared" si="107"/>
        <v>1.871281918091066E-2</v>
      </c>
    </row>
    <row r="96" spans="1:32" x14ac:dyDescent="0.25">
      <c r="A96">
        <f t="shared" si="95"/>
        <v>6</v>
      </c>
      <c r="C96" s="73">
        <f t="shared" ref="C96:G96" si="114">C81/C$87</f>
        <v>0.14269125943255623</v>
      </c>
      <c r="D96" s="73">
        <f t="shared" si="114"/>
        <v>0.10230560406303052</v>
      </c>
      <c r="E96" s="73">
        <f t="shared" si="114"/>
        <v>7.6778014826216698E-2</v>
      </c>
      <c r="F96" s="73">
        <f t="shared" si="114"/>
        <v>0.10241228539525966</v>
      </c>
      <c r="G96" s="73">
        <f t="shared" si="114"/>
        <v>0.12588048086104342</v>
      </c>
      <c r="J96">
        <v>6</v>
      </c>
      <c r="L96" s="73">
        <f t="shared" ref="L96:P96" si="115">L81/L$87</f>
        <v>0.13983890554238235</v>
      </c>
      <c r="M96" s="73">
        <f t="shared" si="115"/>
        <v>0.11182797473378311</v>
      </c>
      <c r="N96" s="73">
        <f t="shared" si="115"/>
        <v>0.12003513502036399</v>
      </c>
      <c r="O96" s="73">
        <f t="shared" si="115"/>
        <v>0.10223239797563768</v>
      </c>
      <c r="P96" s="73">
        <f t="shared" si="115"/>
        <v>0.12894676897497365</v>
      </c>
      <c r="R96">
        <v>6</v>
      </c>
      <c r="S96" s="44">
        <f t="shared" si="98"/>
        <v>1.3941859554347844</v>
      </c>
      <c r="T96" s="44">
        <f t="shared" si="99"/>
        <v>1.7700071233743213</v>
      </c>
      <c r="U96" s="44">
        <f t="shared" si="92"/>
        <v>1.2840378132434134</v>
      </c>
      <c r="V96" s="44">
        <f t="shared" si="100"/>
        <v>1.0203974271617093</v>
      </c>
      <c r="W96" s="44">
        <f t="shared" si="101"/>
        <v>0.91484804501358907</v>
      </c>
      <c r="X96" s="44">
        <f t="shared" si="93"/>
        <v>1.0017595930760115</v>
      </c>
      <c r="Z96">
        <f t="shared" si="94"/>
        <v>6</v>
      </c>
      <c r="AA96" s="77">
        <f t="shared" si="102"/>
        <v>0</v>
      </c>
      <c r="AB96" s="77">
        <f t="shared" si="103"/>
        <v>0</v>
      </c>
      <c r="AC96" s="77">
        <f t="shared" si="104"/>
        <v>0</v>
      </c>
      <c r="AD96" s="55">
        <f t="shared" si="105"/>
        <v>2.0192185880644475E-2</v>
      </c>
      <c r="AE96" s="55">
        <f t="shared" si="106"/>
        <v>-8.8997298521334978E-2</v>
      </c>
      <c r="AF96" s="55">
        <f t="shared" si="107"/>
        <v>1.7580468057201801E-3</v>
      </c>
    </row>
    <row r="97" spans="1:32" x14ac:dyDescent="0.25">
      <c r="A97">
        <f t="shared" si="95"/>
        <v>7</v>
      </c>
      <c r="C97" s="73">
        <f t="shared" ref="C97:G97" si="116">C82/C$87</f>
        <v>5.8708398529607048E-2</v>
      </c>
      <c r="D97" s="73">
        <f t="shared" si="116"/>
        <v>0.13283812186183933</v>
      </c>
      <c r="E97" s="73">
        <f t="shared" si="116"/>
        <v>3.7446596307420435E-2</v>
      </c>
      <c r="F97" s="73">
        <f t="shared" si="116"/>
        <v>0.10750737084515653</v>
      </c>
      <c r="G97" s="73">
        <f t="shared" si="116"/>
        <v>8.1764124944818689E-2</v>
      </c>
      <c r="J97">
        <v>7</v>
      </c>
      <c r="L97" s="73">
        <f t="shared" ref="L97:P97" si="117">L82/L$87</f>
        <v>9.8064535842405542E-2</v>
      </c>
      <c r="M97" s="73">
        <f t="shared" si="117"/>
        <v>8.0804919752039239E-2</v>
      </c>
      <c r="N97" s="73">
        <f t="shared" si="117"/>
        <v>0.2133292757055128</v>
      </c>
      <c r="O97" s="73">
        <f t="shared" si="117"/>
        <v>0.11754623585590639</v>
      </c>
      <c r="P97" s="73">
        <f t="shared" si="117"/>
        <v>0.10002423918471595</v>
      </c>
      <c r="R97">
        <v>7</v>
      </c>
      <c r="S97" s="44">
        <f t="shared" si="98"/>
        <v>0.69034538231302756</v>
      </c>
      <c r="T97" s="44">
        <f t="shared" si="99"/>
        <v>1.0292930644835974</v>
      </c>
      <c r="U97" s="44">
        <f t="shared" si="92"/>
        <v>1.0615523217642744</v>
      </c>
      <c r="V97" s="44">
        <f t="shared" si="100"/>
        <v>0.59867104886882128</v>
      </c>
      <c r="W97" s="44">
        <f t="shared" si="101"/>
        <v>1.6439360656439108</v>
      </c>
      <c r="X97" s="44">
        <f t="shared" si="93"/>
        <v>0.91459645698007752</v>
      </c>
      <c r="Z97">
        <f t="shared" si="94"/>
        <v>7</v>
      </c>
      <c r="AA97" s="77">
        <f t="shared" si="102"/>
        <v>0</v>
      </c>
      <c r="AB97" s="77">
        <f t="shared" si="103"/>
        <v>0</v>
      </c>
      <c r="AC97" s="77">
        <f t="shared" si="104"/>
        <v>0</v>
      </c>
      <c r="AD97" s="55">
        <f t="shared" si="105"/>
        <v>-0.51304299887810856</v>
      </c>
      <c r="AE97" s="55">
        <f t="shared" si="106"/>
        <v>0.49709340636676835</v>
      </c>
      <c r="AF97" s="55">
        <f t="shared" si="107"/>
        <v>-8.9272341612091105E-2</v>
      </c>
    </row>
    <row r="98" spans="1:32" x14ac:dyDescent="0.25">
      <c r="A98">
        <f t="shared" si="95"/>
        <v>8</v>
      </c>
      <c r="C98" s="73">
        <f t="shared" ref="C98:G98" si="118">C83/C$87</f>
        <v>1.8431116068200734E-2</v>
      </c>
      <c r="D98" s="73">
        <f t="shared" si="118"/>
        <v>7.812425976245202E-2</v>
      </c>
      <c r="E98" s="73">
        <f t="shared" si="118"/>
        <v>0</v>
      </c>
      <c r="F98" s="73">
        <f t="shared" si="118"/>
        <v>3.216365146320297E-2</v>
      </c>
      <c r="G98" s="73">
        <f t="shared" si="118"/>
        <v>3.0086699314072277E-2</v>
      </c>
      <c r="J98">
        <v>8</v>
      </c>
      <c r="L98" s="73">
        <f t="shared" ref="L98:P98" si="119">L83/L$87</f>
        <v>2.7788242387644307E-2</v>
      </c>
      <c r="M98" s="73">
        <f t="shared" si="119"/>
        <v>8.926828705677009E-2</v>
      </c>
      <c r="N98" s="73">
        <f t="shared" si="119"/>
        <v>1.3337237224484887E-2</v>
      </c>
      <c r="O98" s="73">
        <f t="shared" si="119"/>
        <v>5.0984596832494226E-2</v>
      </c>
      <c r="P98" s="73">
        <f t="shared" si="119"/>
        <v>3.9640169135312438E-2</v>
      </c>
      <c r="R98">
        <v>8</v>
      </c>
      <c r="S98" s="44">
        <f t="shared" si="98"/>
        <v>2.1460819629142933</v>
      </c>
      <c r="T98" s="44">
        <f t="shared" si="99"/>
        <v>1.2269806550896034</v>
      </c>
      <c r="U98" s="44">
        <f t="shared" si="92"/>
        <v>1.0841364418728869</v>
      </c>
      <c r="V98" s="44">
        <f t="shared" si="100"/>
        <v>0.66327030731515058</v>
      </c>
      <c r="W98" s="44">
        <f t="shared" si="101"/>
        <v>0.87516252790611926</v>
      </c>
      <c r="X98" s="44">
        <f t="shared" si="93"/>
        <v>0.63085036386330662</v>
      </c>
      <c r="Z98">
        <f t="shared" si="94"/>
        <v>8</v>
      </c>
      <c r="AA98" s="77">
        <f t="shared" si="102"/>
        <v>0</v>
      </c>
      <c r="AB98" s="77">
        <f t="shared" si="103"/>
        <v>0</v>
      </c>
      <c r="AC98" s="77">
        <f t="shared" si="104"/>
        <v>0</v>
      </c>
      <c r="AD98" s="55">
        <f t="shared" si="105"/>
        <v>-0.41057266854359692</v>
      </c>
      <c r="AE98" s="55">
        <f t="shared" si="106"/>
        <v>-0.13334566369478612</v>
      </c>
      <c r="AF98" s="55">
        <f t="shared" si="107"/>
        <v>-0.46068658582594774</v>
      </c>
    </row>
    <row r="99" spans="1:32" x14ac:dyDescent="0.25">
      <c r="A99">
        <f t="shared" si="95"/>
        <v>9</v>
      </c>
      <c r="C99" s="73">
        <f t="shared" ref="C99:G99" si="120">C84/C$87</f>
        <v>2.349245521965693E-2</v>
      </c>
      <c r="D99" s="73">
        <f t="shared" si="120"/>
        <v>7.9435088948707887E-3</v>
      </c>
      <c r="E99" s="73">
        <f t="shared" si="120"/>
        <v>0</v>
      </c>
      <c r="F99" s="73">
        <f t="shared" si="120"/>
        <v>5.8008078736481332E-2</v>
      </c>
      <c r="G99" s="73">
        <f t="shared" si="120"/>
        <v>3.0537455953292533E-2</v>
      </c>
      <c r="J99">
        <v>9</v>
      </c>
      <c r="L99" s="73">
        <f t="shared" ref="L99:P99" si="121">L84/L$87</f>
        <v>2.6627525627620857E-2</v>
      </c>
      <c r="M99" s="73">
        <f t="shared" si="121"/>
        <v>2.9023239095270284E-3</v>
      </c>
      <c r="N99" s="73">
        <f t="shared" si="121"/>
        <v>0</v>
      </c>
      <c r="O99" s="73">
        <f t="shared" si="121"/>
        <v>1.7503571707902597E-2</v>
      </c>
      <c r="P99" s="73">
        <f t="shared" si="121"/>
        <v>2.2016285187672707E-2</v>
      </c>
      <c r="R99">
        <v>9</v>
      </c>
      <c r="S99" s="44">
        <f t="shared" si="98"/>
        <v>2.2716200014956751</v>
      </c>
      <c r="T99" s="44">
        <f t="shared" si="99"/>
        <v>1.3169757178338237</v>
      </c>
      <c r="U99" s="44">
        <f t="shared" si="92"/>
        <v>4.4155799104965361</v>
      </c>
      <c r="V99" s="44">
        <f t="shared" si="100"/>
        <v>0.88226204523067275</v>
      </c>
      <c r="W99" s="44">
        <f t="shared" si="101"/>
        <v>2.7369477503168445</v>
      </c>
      <c r="X99" s="44">
        <f t="shared" si="93"/>
        <v>3.31407096245914</v>
      </c>
      <c r="Z99">
        <f t="shared" si="94"/>
        <v>9</v>
      </c>
      <c r="AA99" s="77">
        <f t="shared" si="102"/>
        <v>0</v>
      </c>
      <c r="AB99" s="77">
        <f t="shared" si="103"/>
        <v>0</v>
      </c>
      <c r="AC99" s="77">
        <f t="shared" si="104"/>
        <v>0</v>
      </c>
      <c r="AD99" s="55">
        <f t="shared" si="105"/>
        <v>-0.12526616366569485</v>
      </c>
      <c r="AE99" s="55">
        <f t="shared" si="106"/>
        <v>1.0068433397472931</v>
      </c>
      <c r="AF99" s="55">
        <f t="shared" si="107"/>
        <v>1.1981773317078697</v>
      </c>
    </row>
    <row r="100" spans="1:32" x14ac:dyDescent="0.25">
      <c r="A100">
        <f t="shared" si="95"/>
        <v>10</v>
      </c>
      <c r="C100" s="73">
        <f t="shared" ref="C100:G100" si="122">C85/C$87</f>
        <v>1.0776217943883263E-2</v>
      </c>
      <c r="D100" s="73">
        <f t="shared" si="122"/>
        <v>4.2360601255510492E-2</v>
      </c>
      <c r="E100" s="73">
        <f t="shared" si="122"/>
        <v>0</v>
      </c>
      <c r="F100" s="73">
        <f t="shared" si="122"/>
        <v>3.7718834417147094E-2</v>
      </c>
      <c r="G100" s="73">
        <f t="shared" si="122"/>
        <v>2.2247720387950431E-2</v>
      </c>
      <c r="J100">
        <v>10</v>
      </c>
      <c r="L100" s="73">
        <f t="shared" ref="L100:P100" si="123">L85/L$87</f>
        <v>3.1496393362462988E-2</v>
      </c>
      <c r="M100" s="73">
        <f t="shared" si="123"/>
        <v>6.8740555221400296E-2</v>
      </c>
      <c r="N100" s="73">
        <f t="shared" si="123"/>
        <v>0</v>
      </c>
      <c r="O100" s="73">
        <f t="shared" si="123"/>
        <v>8.5083037023426761E-2</v>
      </c>
      <c r="P100" s="73">
        <f t="shared" si="123"/>
        <v>4.6702046627129269E-2</v>
      </c>
      <c r="R100">
        <v>10</v>
      </c>
      <c r="S100" s="44">
        <f t="shared" si="98"/>
        <v>1.9617602237170515</v>
      </c>
      <c r="T100" s="44">
        <f t="shared" si="99"/>
        <v>0.68808161894805497</v>
      </c>
      <c r="U100" s="44">
        <f t="shared" si="92"/>
        <v>0.33312156552929845</v>
      </c>
      <c r="V100" s="44">
        <f t="shared" si="100"/>
        <v>0.34214133090953286</v>
      </c>
      <c r="W100" s="44">
        <f t="shared" si="101"/>
        <v>0.61623885811039825</v>
      </c>
      <c r="X100" s="44">
        <f t="shared" si="93"/>
        <v>0.44331791314362218</v>
      </c>
      <c r="Z100">
        <f t="shared" si="94"/>
        <v>10</v>
      </c>
      <c r="AA100" s="77">
        <f t="shared" si="102"/>
        <v>0</v>
      </c>
      <c r="AB100" s="77">
        <f t="shared" si="103"/>
        <v>0</v>
      </c>
      <c r="AC100" s="77">
        <f t="shared" si="104"/>
        <v>0</v>
      </c>
      <c r="AD100" s="55">
        <f t="shared" si="105"/>
        <v>-1.0725313790095949</v>
      </c>
      <c r="AE100" s="55">
        <f t="shared" si="106"/>
        <v>-0.48412063393408339</v>
      </c>
      <c r="AF100" s="55">
        <f t="shared" si="107"/>
        <v>-0.8134681294221755</v>
      </c>
    </row>
    <row r="101" spans="1:32" x14ac:dyDescent="0.25">
      <c r="A101">
        <f t="shared" si="95"/>
        <v>11</v>
      </c>
      <c r="B101" s="6"/>
      <c r="C101" s="74">
        <f t="shared" ref="C101:G101" si="124">C86/C$87</f>
        <v>0</v>
      </c>
      <c r="D101" s="74">
        <f t="shared" si="124"/>
        <v>0</v>
      </c>
      <c r="E101" s="74">
        <f t="shared" si="124"/>
        <v>0</v>
      </c>
      <c r="F101" s="74">
        <f t="shared" si="124"/>
        <v>0</v>
      </c>
      <c r="G101" s="74">
        <f t="shared" si="124"/>
        <v>0</v>
      </c>
      <c r="J101">
        <v>11</v>
      </c>
      <c r="K101" s="6"/>
      <c r="L101" s="74">
        <f t="shared" ref="L101:P101" si="125">L86/L$87</f>
        <v>4.9422198174262121E-3</v>
      </c>
      <c r="M101" s="74">
        <f t="shared" si="125"/>
        <v>0</v>
      </c>
      <c r="N101" s="74">
        <f t="shared" si="125"/>
        <v>0</v>
      </c>
      <c r="O101" s="74">
        <f t="shared" si="125"/>
        <v>5.1489266513921545E-3</v>
      </c>
      <c r="P101" s="74">
        <f t="shared" si="125"/>
        <v>4.4095976418277796E-3</v>
      </c>
      <c r="R101" s="6">
        <v>11</v>
      </c>
      <c r="S101" s="46">
        <f t="shared" si="98"/>
        <v>0</v>
      </c>
      <c r="T101" s="46">
        <f t="shared" si="99"/>
        <v>2.6790171754347978</v>
      </c>
      <c r="U101" s="46">
        <f t="shared" si="92"/>
        <v>0</v>
      </c>
      <c r="V101" s="46">
        <f t="shared" si="100"/>
        <v>0</v>
      </c>
      <c r="W101" s="46" t="e">
        <f t="shared" si="101"/>
        <v>#DIV/0!</v>
      </c>
      <c r="X101" s="46">
        <f t="shared" si="93"/>
        <v>0</v>
      </c>
      <c r="Z101" s="6">
        <f t="shared" si="94"/>
        <v>11</v>
      </c>
      <c r="AA101" s="78">
        <f t="shared" si="102"/>
        <v>0</v>
      </c>
      <c r="AB101" s="78">
        <f t="shared" si="103"/>
        <v>0</v>
      </c>
      <c r="AC101" s="78">
        <f t="shared" si="104"/>
        <v>0</v>
      </c>
      <c r="AD101" s="87">
        <f t="shared" si="105"/>
        <v>0</v>
      </c>
      <c r="AE101" s="87" t="e">
        <f t="shared" si="106"/>
        <v>#DIV/0!</v>
      </c>
      <c r="AF101" s="87">
        <f t="shared" si="107"/>
        <v>0</v>
      </c>
    </row>
    <row r="102" spans="1:32" ht="15.75" thickBot="1" x14ac:dyDescent="0.3">
      <c r="B102" s="75" t="s">
        <v>19</v>
      </c>
      <c r="C102" s="76">
        <f t="shared" ref="C102:G102" si="126">C87/C$87</f>
        <v>1</v>
      </c>
      <c r="D102" s="76">
        <f t="shared" si="126"/>
        <v>1</v>
      </c>
      <c r="E102" s="76">
        <f t="shared" si="126"/>
        <v>1</v>
      </c>
      <c r="F102" s="76">
        <f t="shared" si="126"/>
        <v>1</v>
      </c>
      <c r="G102" s="76">
        <f t="shared" si="126"/>
        <v>1</v>
      </c>
      <c r="K102" s="75" t="s">
        <v>19</v>
      </c>
      <c r="L102" s="76">
        <f t="shared" ref="L102:P102" si="127">L87/L$87</f>
        <v>1</v>
      </c>
      <c r="M102" s="76">
        <f t="shared" si="127"/>
        <v>1</v>
      </c>
      <c r="N102" s="76">
        <f t="shared" si="127"/>
        <v>1</v>
      </c>
      <c r="O102" s="76">
        <f t="shared" si="127"/>
        <v>1</v>
      </c>
      <c r="P102" s="76">
        <f t="shared" si="127"/>
        <v>1</v>
      </c>
    </row>
    <row r="104" spans="1:32" x14ac:dyDescent="0.25">
      <c r="R104" t="s">
        <v>220</v>
      </c>
      <c r="S104" t="s">
        <v>296</v>
      </c>
      <c r="Z104" t="s">
        <v>221</v>
      </c>
    </row>
    <row r="105" spans="1:32" x14ac:dyDescent="0.25">
      <c r="R105" s="6" t="s">
        <v>278</v>
      </c>
      <c r="S105" s="79" t="s">
        <v>195</v>
      </c>
      <c r="T105" s="79" t="s">
        <v>196</v>
      </c>
      <c r="U105" s="79" t="s">
        <v>286</v>
      </c>
      <c r="V105" s="6" t="s">
        <v>289</v>
      </c>
      <c r="Z105" s="6" t="s">
        <v>278</v>
      </c>
      <c r="AA105" s="79" t="s">
        <v>195</v>
      </c>
      <c r="AB105" s="88" t="s">
        <v>196</v>
      </c>
      <c r="AC105" s="79" t="s">
        <v>286</v>
      </c>
    </row>
    <row r="106" spans="1:32" x14ac:dyDescent="0.25">
      <c r="R106">
        <v>201</v>
      </c>
      <c r="S106" s="55">
        <f>VLOOKUP($R106,$AG:$AJ, 3, FALSE)</f>
        <v>-0.8</v>
      </c>
      <c r="T106" s="89">
        <f>VLOOKUP($R106,$AL:$AO, 3, FALSE)</f>
        <v>0</v>
      </c>
      <c r="U106" s="89">
        <f>VLOOKUP($R106,$AV:$AY, 3, FALSE)</f>
        <v>-4.5</v>
      </c>
      <c r="V106">
        <v>0</v>
      </c>
      <c r="Z106">
        <f t="shared" ref="Z106:Z116" si="128">R106</f>
        <v>201</v>
      </c>
      <c r="AA106" s="77">
        <f t="shared" ref="AA106:AA116" si="129">IF(V106=1,S106+AA91,S106)</f>
        <v>-0.8</v>
      </c>
      <c r="AB106" s="77">
        <f>IF(V106=1,T106+AB91,T106)</f>
        <v>0</v>
      </c>
      <c r="AC106" s="77">
        <f t="shared" ref="AC106:AC116" si="130">IF(V106=1,U106+AC91,U106)</f>
        <v>-4.5</v>
      </c>
    </row>
    <row r="107" spans="1:32" x14ac:dyDescent="0.25">
      <c r="R107">
        <v>202</v>
      </c>
      <c r="S107" s="55">
        <f t="shared" ref="S107:S116" si="131">VLOOKUP($R107,$AG$3:$AJ$49, 3, FALSE)</f>
        <v>-0.8</v>
      </c>
      <c r="T107" s="90">
        <f t="shared" ref="T107:T116" si="132">VLOOKUP($R107,$AL:$AO, 3, FALSE)</f>
        <v>0</v>
      </c>
      <c r="U107" s="90">
        <f t="shared" ref="U107:U116" si="133">VLOOKUP($R107,$AV:$AY, 3, FALSE)</f>
        <v>-4.5</v>
      </c>
      <c r="V107">
        <v>0</v>
      </c>
      <c r="Z107">
        <f t="shared" si="128"/>
        <v>202</v>
      </c>
      <c r="AA107" s="77">
        <f t="shared" si="129"/>
        <v>-0.8</v>
      </c>
      <c r="AB107" s="77">
        <f t="shared" ref="AB107:AB116" si="134">IF(V107=1,T107+AB92,T107)</f>
        <v>0</v>
      </c>
      <c r="AC107" s="77">
        <f t="shared" si="130"/>
        <v>-4.5</v>
      </c>
    </row>
    <row r="108" spans="1:32" x14ac:dyDescent="0.25">
      <c r="R108">
        <v>203</v>
      </c>
      <c r="S108" s="55">
        <f t="shared" si="131"/>
        <v>0</v>
      </c>
      <c r="T108" s="90">
        <f t="shared" si="132"/>
        <v>0</v>
      </c>
      <c r="U108" s="90">
        <f t="shared" si="133"/>
        <v>0</v>
      </c>
      <c r="V108">
        <v>0</v>
      </c>
      <c r="Z108">
        <f t="shared" si="128"/>
        <v>203</v>
      </c>
      <c r="AA108" s="77">
        <f t="shared" si="129"/>
        <v>0</v>
      </c>
      <c r="AB108" s="77">
        <f t="shared" si="134"/>
        <v>0</v>
      </c>
      <c r="AC108" s="77">
        <f t="shared" si="130"/>
        <v>0</v>
      </c>
    </row>
    <row r="109" spans="1:32" x14ac:dyDescent="0.25">
      <c r="R109">
        <v>204</v>
      </c>
      <c r="S109" s="55">
        <f t="shared" si="131"/>
        <v>0</v>
      </c>
      <c r="T109" s="90">
        <f t="shared" si="132"/>
        <v>0</v>
      </c>
      <c r="U109" s="90">
        <f t="shared" si="133"/>
        <v>0</v>
      </c>
      <c r="V109">
        <v>0</v>
      </c>
      <c r="Z109">
        <f t="shared" si="128"/>
        <v>204</v>
      </c>
      <c r="AA109" s="77">
        <f t="shared" si="129"/>
        <v>0</v>
      </c>
      <c r="AB109" s="77">
        <f t="shared" si="134"/>
        <v>0</v>
      </c>
      <c r="AC109" s="77">
        <f t="shared" si="130"/>
        <v>0</v>
      </c>
    </row>
    <row r="110" spans="1:32" x14ac:dyDescent="0.25">
      <c r="R110">
        <v>205</v>
      </c>
      <c r="S110" s="55">
        <f t="shared" si="131"/>
        <v>0</v>
      </c>
      <c r="T110" s="90">
        <f t="shared" si="132"/>
        <v>0</v>
      </c>
      <c r="U110" s="90">
        <f t="shared" si="133"/>
        <v>0</v>
      </c>
      <c r="V110">
        <v>0</v>
      </c>
      <c r="Z110">
        <f t="shared" si="128"/>
        <v>205</v>
      </c>
      <c r="AA110" s="77">
        <f t="shared" si="129"/>
        <v>0</v>
      </c>
      <c r="AB110" s="77">
        <f t="shared" si="134"/>
        <v>0</v>
      </c>
      <c r="AC110" s="77">
        <f t="shared" si="130"/>
        <v>0</v>
      </c>
    </row>
    <row r="111" spans="1:32" x14ac:dyDescent="0.25">
      <c r="Q111" t="s">
        <v>290</v>
      </c>
      <c r="R111">
        <v>206</v>
      </c>
      <c r="S111" s="55">
        <f t="shared" si="131"/>
        <v>-1.2715533000000001</v>
      </c>
      <c r="T111" s="90">
        <f t="shared" si="132"/>
        <v>0</v>
      </c>
      <c r="U111" s="90">
        <f t="shared" si="133"/>
        <v>-0.74473319999999998</v>
      </c>
      <c r="V111">
        <v>1</v>
      </c>
      <c r="Z111">
        <f t="shared" si="128"/>
        <v>206</v>
      </c>
      <c r="AA111" s="77">
        <f t="shared" si="129"/>
        <v>-1.2715533000000001</v>
      </c>
      <c r="AB111" s="77">
        <f t="shared" si="134"/>
        <v>0</v>
      </c>
      <c r="AC111" s="77">
        <f t="shared" si="130"/>
        <v>-0.74473319999999998</v>
      </c>
    </row>
    <row r="112" spans="1:32" x14ac:dyDescent="0.25">
      <c r="R112">
        <v>207</v>
      </c>
      <c r="S112" s="55">
        <f t="shared" si="131"/>
        <v>0</v>
      </c>
      <c r="T112" s="90">
        <f t="shared" si="132"/>
        <v>0</v>
      </c>
      <c r="U112" s="90">
        <f t="shared" si="133"/>
        <v>0</v>
      </c>
      <c r="V112">
        <v>0</v>
      </c>
      <c r="Z112">
        <f t="shared" si="128"/>
        <v>207</v>
      </c>
      <c r="AA112" s="77">
        <f t="shared" si="129"/>
        <v>0</v>
      </c>
      <c r="AB112" s="77">
        <f t="shared" si="134"/>
        <v>0</v>
      </c>
      <c r="AC112" s="77">
        <f t="shared" si="130"/>
        <v>0</v>
      </c>
    </row>
    <row r="113" spans="18:29" x14ac:dyDescent="0.25">
      <c r="R113">
        <v>208</v>
      </c>
      <c r="S113" s="55">
        <f t="shared" si="131"/>
        <v>-2</v>
      </c>
      <c r="T113" s="90">
        <f t="shared" si="132"/>
        <v>0</v>
      </c>
      <c r="U113" s="90">
        <f t="shared" si="133"/>
        <v>0</v>
      </c>
      <c r="V113">
        <v>0</v>
      </c>
      <c r="Z113">
        <f t="shared" si="128"/>
        <v>208</v>
      </c>
      <c r="AA113" s="77">
        <f t="shared" si="129"/>
        <v>-2</v>
      </c>
      <c r="AB113" s="77">
        <f t="shared" si="134"/>
        <v>0</v>
      </c>
      <c r="AC113" s="77">
        <f t="shared" si="130"/>
        <v>0</v>
      </c>
    </row>
    <row r="114" spans="18:29" x14ac:dyDescent="0.25">
      <c r="R114">
        <v>209</v>
      </c>
      <c r="S114" s="55">
        <f t="shared" si="131"/>
        <v>-1</v>
      </c>
      <c r="T114" s="90">
        <f t="shared" si="132"/>
        <v>0</v>
      </c>
      <c r="U114" s="90">
        <f t="shared" si="133"/>
        <v>0</v>
      </c>
      <c r="V114">
        <v>0</v>
      </c>
      <c r="Z114">
        <f t="shared" si="128"/>
        <v>209</v>
      </c>
      <c r="AA114" s="77">
        <f t="shared" si="129"/>
        <v>-1</v>
      </c>
      <c r="AB114" s="77">
        <f t="shared" si="134"/>
        <v>0</v>
      </c>
      <c r="AC114" s="77">
        <f t="shared" si="130"/>
        <v>0</v>
      </c>
    </row>
    <row r="115" spans="18:29" x14ac:dyDescent="0.25">
      <c r="R115">
        <v>210</v>
      </c>
      <c r="S115" s="55">
        <f t="shared" si="131"/>
        <v>-2</v>
      </c>
      <c r="T115" s="90">
        <f t="shared" si="132"/>
        <v>0</v>
      </c>
      <c r="U115" s="90">
        <f t="shared" si="133"/>
        <v>0</v>
      </c>
      <c r="V115">
        <v>0</v>
      </c>
      <c r="Z115">
        <f t="shared" si="128"/>
        <v>210</v>
      </c>
      <c r="AA115" s="77">
        <f t="shared" si="129"/>
        <v>-2</v>
      </c>
      <c r="AB115" s="77">
        <f t="shared" si="134"/>
        <v>0</v>
      </c>
      <c r="AC115" s="77">
        <f t="shared" si="130"/>
        <v>0</v>
      </c>
    </row>
    <row r="116" spans="18:29" x14ac:dyDescent="0.25">
      <c r="R116" s="6">
        <v>211</v>
      </c>
      <c r="S116" s="87">
        <f t="shared" si="131"/>
        <v>0</v>
      </c>
      <c r="T116" s="87">
        <f t="shared" si="132"/>
        <v>0</v>
      </c>
      <c r="U116" s="87">
        <f t="shared" si="133"/>
        <v>0</v>
      </c>
      <c r="V116" s="6">
        <v>0</v>
      </c>
      <c r="Z116" s="6">
        <f t="shared" si="128"/>
        <v>211</v>
      </c>
      <c r="AA116" s="78">
        <f t="shared" si="129"/>
        <v>0</v>
      </c>
      <c r="AB116" s="78">
        <f t="shared" si="134"/>
        <v>0</v>
      </c>
      <c r="AC116" s="78">
        <f t="shared" si="130"/>
        <v>0</v>
      </c>
    </row>
    <row r="118" spans="18:29" x14ac:dyDescent="0.25">
      <c r="R118" t="s">
        <v>220</v>
      </c>
      <c r="S118" t="s">
        <v>297</v>
      </c>
      <c r="Z118" t="s">
        <v>221</v>
      </c>
    </row>
    <row r="119" spans="18:29" x14ac:dyDescent="0.25">
      <c r="R119" s="6" t="s">
        <v>278</v>
      </c>
      <c r="S119" s="79" t="s">
        <v>195</v>
      </c>
      <c r="T119" s="79" t="str">
        <f>T105</f>
        <v>school</v>
      </c>
      <c r="U119" s="79" t="s">
        <v>286</v>
      </c>
      <c r="V119" s="6" t="s">
        <v>289</v>
      </c>
      <c r="Z119" s="6" t="s">
        <v>278</v>
      </c>
      <c r="AA119" s="79" t="s">
        <v>195</v>
      </c>
      <c r="AB119" s="88" t="str">
        <f>AB105</f>
        <v>school</v>
      </c>
      <c r="AC119" s="79" t="s">
        <v>286</v>
      </c>
    </row>
    <row r="120" spans="18:29" x14ac:dyDescent="0.25">
      <c r="R120">
        <v>301</v>
      </c>
      <c r="S120" s="77">
        <f>VLOOKUP($R120,$AG:$AJ, 3, FALSE)</f>
        <v>0</v>
      </c>
      <c r="T120" s="85">
        <f>VLOOKUP($R120,$AL:$AO, 3, FALSE)</f>
        <v>0</v>
      </c>
      <c r="U120" s="77">
        <f>VLOOKUP($R120,$AV:$AY, 3, FALSE)</f>
        <v>0</v>
      </c>
      <c r="V120">
        <v>0</v>
      </c>
      <c r="Z120">
        <f t="shared" ref="Z120:Z130" si="135">R120</f>
        <v>301</v>
      </c>
      <c r="AA120" s="77">
        <f>IF(AND($V120&gt;0,AD$88&gt;0),S120+($V120*AD91),S120)</f>
        <v>0</v>
      </c>
      <c r="AB120" s="77">
        <f t="shared" ref="AB120:AC120" si="136">IF(AND($V120&gt;0,AE$88&gt;0),T120+($V120*AE91),T120)</f>
        <v>0</v>
      </c>
      <c r="AC120" s="77">
        <f t="shared" si="136"/>
        <v>0</v>
      </c>
    </row>
    <row r="121" spans="18:29" x14ac:dyDescent="0.25">
      <c r="R121">
        <v>302</v>
      </c>
      <c r="S121" s="77">
        <f t="shared" ref="S121:S130" si="137">VLOOKUP($R121,$AG:$AJ, 3, FALSE)</f>
        <v>0</v>
      </c>
      <c r="T121" s="85">
        <f t="shared" ref="T121:T130" si="138">VLOOKUP($R121,$AL:$AO, 3, FALSE)</f>
        <v>0</v>
      </c>
      <c r="U121" s="77">
        <f t="shared" ref="U121:U130" si="139">VLOOKUP($R121,$AV:$AY, 3, FALSE)</f>
        <v>0</v>
      </c>
      <c r="V121">
        <v>0</v>
      </c>
      <c r="Z121">
        <f t="shared" si="135"/>
        <v>302</v>
      </c>
      <c r="AA121" s="77">
        <f t="shared" ref="AA121:AA130" si="140">IF(AND($V121&gt;0,AD$88&gt;0),S121+($V121*AD92),S121)</f>
        <v>0</v>
      </c>
      <c r="AB121" s="77">
        <f t="shared" ref="AB121:AB130" si="141">IF(AND($V121&gt;0,AE$88&gt;0),T121+($V121*AE92),T121)</f>
        <v>0</v>
      </c>
      <c r="AC121" s="77">
        <f t="shared" ref="AC121:AC130" si="142">IF(AND($V121&gt;0,AF$88&gt;0),U121+($V121*AF92),U121)</f>
        <v>0</v>
      </c>
    </row>
    <row r="122" spans="18:29" x14ac:dyDescent="0.25">
      <c r="R122">
        <v>303</v>
      </c>
      <c r="S122" s="77">
        <f t="shared" si="137"/>
        <v>0</v>
      </c>
      <c r="T122" s="85">
        <f t="shared" si="138"/>
        <v>0</v>
      </c>
      <c r="U122" s="77">
        <f t="shared" si="139"/>
        <v>0</v>
      </c>
      <c r="V122">
        <v>2</v>
      </c>
      <c r="Z122">
        <f t="shared" si="135"/>
        <v>303</v>
      </c>
      <c r="AA122" s="77">
        <f t="shared" si="140"/>
        <v>1.0448111037377017</v>
      </c>
      <c r="AB122" s="77">
        <f t="shared" si="141"/>
        <v>0</v>
      </c>
      <c r="AC122" s="77">
        <f t="shared" si="142"/>
        <v>0</v>
      </c>
    </row>
    <row r="123" spans="18:29" x14ac:dyDescent="0.25">
      <c r="R123">
        <v>304</v>
      </c>
      <c r="S123" s="77">
        <f t="shared" si="137"/>
        <v>0</v>
      </c>
      <c r="T123" s="85">
        <f t="shared" si="138"/>
        <v>0</v>
      </c>
      <c r="U123" s="77">
        <f t="shared" si="139"/>
        <v>0</v>
      </c>
      <c r="V123">
        <v>2</v>
      </c>
      <c r="Z123">
        <f t="shared" si="135"/>
        <v>304</v>
      </c>
      <c r="AA123" s="77">
        <f t="shared" si="140"/>
        <v>8.714288799859482E-2</v>
      </c>
      <c r="AB123" s="77">
        <f t="shared" si="141"/>
        <v>0</v>
      </c>
      <c r="AC123" s="77">
        <f t="shared" si="142"/>
        <v>0</v>
      </c>
    </row>
    <row r="124" spans="18:29" x14ac:dyDescent="0.25">
      <c r="R124">
        <v>305</v>
      </c>
      <c r="S124" s="77">
        <f t="shared" si="137"/>
        <v>0</v>
      </c>
      <c r="T124" s="85">
        <f t="shared" si="138"/>
        <v>0</v>
      </c>
      <c r="U124" s="77">
        <f t="shared" si="139"/>
        <v>0</v>
      </c>
      <c r="V124">
        <v>2</v>
      </c>
      <c r="Z124">
        <f t="shared" si="135"/>
        <v>305</v>
      </c>
      <c r="AA124" s="77">
        <f t="shared" si="140"/>
        <v>0.76667653723253992</v>
      </c>
      <c r="AB124" s="77">
        <f t="shared" si="141"/>
        <v>0</v>
      </c>
      <c r="AC124" s="77">
        <f t="shared" si="142"/>
        <v>0</v>
      </c>
    </row>
    <row r="125" spans="18:29" x14ac:dyDescent="0.25">
      <c r="R125">
        <v>306</v>
      </c>
      <c r="S125" s="77">
        <f t="shared" si="137"/>
        <v>-1.4978495999999999</v>
      </c>
      <c r="T125" s="85">
        <f t="shared" si="138"/>
        <v>-1.063796</v>
      </c>
      <c r="U125" s="77">
        <f t="shared" si="139"/>
        <v>-0.255216</v>
      </c>
      <c r="V125">
        <v>5</v>
      </c>
      <c r="Z125">
        <f t="shared" si="135"/>
        <v>306</v>
      </c>
      <c r="AA125" s="77">
        <f t="shared" si="140"/>
        <v>-1.3968886705967776</v>
      </c>
      <c r="AB125" s="77">
        <f t="shared" si="141"/>
        <v>-1.063796</v>
      </c>
      <c r="AC125" s="77">
        <f t="shared" si="142"/>
        <v>-0.255216</v>
      </c>
    </row>
    <row r="126" spans="18:29" x14ac:dyDescent="0.25">
      <c r="R126">
        <v>307</v>
      </c>
      <c r="S126" s="77">
        <f t="shared" si="137"/>
        <v>0</v>
      </c>
      <c r="T126" s="85">
        <f t="shared" si="138"/>
        <v>0</v>
      </c>
      <c r="U126" s="77">
        <f t="shared" si="139"/>
        <v>0</v>
      </c>
      <c r="V126">
        <v>0</v>
      </c>
      <c r="Z126">
        <f t="shared" si="135"/>
        <v>307</v>
      </c>
      <c r="AA126" s="77">
        <f t="shared" si="140"/>
        <v>0</v>
      </c>
      <c r="AB126" s="77">
        <f t="shared" si="141"/>
        <v>0</v>
      </c>
      <c r="AC126" s="77">
        <f t="shared" si="142"/>
        <v>0</v>
      </c>
    </row>
    <row r="127" spans="18:29" x14ac:dyDescent="0.25">
      <c r="R127">
        <v>308</v>
      </c>
      <c r="S127" s="77">
        <f t="shared" si="137"/>
        <v>0</v>
      </c>
      <c r="T127" s="85">
        <f t="shared" si="138"/>
        <v>0</v>
      </c>
      <c r="U127" s="77">
        <f t="shared" si="139"/>
        <v>0</v>
      </c>
      <c r="V127">
        <v>0</v>
      </c>
      <c r="Z127">
        <f t="shared" si="135"/>
        <v>308</v>
      </c>
      <c r="AA127" s="77">
        <f t="shared" si="140"/>
        <v>0</v>
      </c>
      <c r="AB127" s="77">
        <f t="shared" si="141"/>
        <v>0</v>
      </c>
      <c r="AC127" s="77">
        <f t="shared" si="142"/>
        <v>0</v>
      </c>
    </row>
    <row r="128" spans="18:29" x14ac:dyDescent="0.25">
      <c r="R128">
        <v>309</v>
      </c>
      <c r="S128" s="77">
        <f t="shared" si="137"/>
        <v>0</v>
      </c>
      <c r="T128" s="85">
        <f t="shared" si="138"/>
        <v>0</v>
      </c>
      <c r="U128" s="77">
        <f t="shared" si="139"/>
        <v>0</v>
      </c>
      <c r="V128">
        <v>0</v>
      </c>
      <c r="Z128">
        <f t="shared" si="135"/>
        <v>309</v>
      </c>
      <c r="AA128" s="77">
        <f t="shared" si="140"/>
        <v>0</v>
      </c>
      <c r="AB128" s="77">
        <f t="shared" si="141"/>
        <v>0</v>
      </c>
      <c r="AC128" s="77">
        <f t="shared" si="142"/>
        <v>0</v>
      </c>
    </row>
    <row r="129" spans="18:29" x14ac:dyDescent="0.25">
      <c r="R129">
        <v>310</v>
      </c>
      <c r="S129" s="77">
        <f t="shared" si="137"/>
        <v>0</v>
      </c>
      <c r="T129" s="85">
        <f t="shared" si="138"/>
        <v>0</v>
      </c>
      <c r="U129" s="77">
        <f t="shared" si="139"/>
        <v>0</v>
      </c>
      <c r="V129">
        <v>0</v>
      </c>
      <c r="Z129">
        <f t="shared" si="135"/>
        <v>310</v>
      </c>
      <c r="AA129" s="77">
        <f t="shared" si="140"/>
        <v>0</v>
      </c>
      <c r="AB129" s="77">
        <f t="shared" si="141"/>
        <v>0</v>
      </c>
      <c r="AC129" s="77">
        <f t="shared" si="142"/>
        <v>0</v>
      </c>
    </row>
    <row r="130" spans="18:29" x14ac:dyDescent="0.25">
      <c r="R130" s="6">
        <v>311</v>
      </c>
      <c r="S130" s="78">
        <f t="shared" si="137"/>
        <v>0</v>
      </c>
      <c r="T130" s="78">
        <f t="shared" si="138"/>
        <v>0</v>
      </c>
      <c r="U130" s="78">
        <f t="shared" si="139"/>
        <v>0</v>
      </c>
      <c r="V130" s="6">
        <v>0</v>
      </c>
      <c r="Z130" s="6">
        <f t="shared" si="135"/>
        <v>311</v>
      </c>
      <c r="AA130" s="78">
        <f t="shared" si="140"/>
        <v>0</v>
      </c>
      <c r="AB130" s="78">
        <f t="shared" si="141"/>
        <v>0</v>
      </c>
      <c r="AC130" s="78">
        <f t="shared" si="142"/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279</v>
      </c>
      <c r="B1" t="s">
        <v>280</v>
      </c>
      <c r="C1" t="s">
        <v>281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282</v>
      </c>
      <c r="B64" t="s">
        <v>280</v>
      </c>
      <c r="C64" t="s">
        <v>281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279</v>
      </c>
      <c r="B124" t="s">
        <v>280</v>
      </c>
      <c r="C124" t="s">
        <v>281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282</v>
      </c>
      <c r="B194" t="s">
        <v>280</v>
      </c>
      <c r="C194" t="s">
        <v>281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40</vt:i4>
      </vt:variant>
    </vt:vector>
  </HeadingPairs>
  <TitlesOfParts>
    <vt:vector size="58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2011-03-29T15:31:17Z</dcterms:created>
  <dcterms:modified xsi:type="dcterms:W3CDTF">2019-10-07T21:08:34Z</dcterms:modified>
</cp:coreProperties>
</file>