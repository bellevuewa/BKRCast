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16" firstSheet="13"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" r:id="rId17" sheetId="15"/>
    <sheet name="input_districts" r:id="rId18" sheetId="20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71027"/>
</workbook>
</file>

<file path=xl/calcChain.xml><?xml version="1.0" encoding="utf-8"?>
<calcChain xmlns="http://schemas.openxmlformats.org/spreadsheetml/2006/main">
  <c i="15" l="1" r="T119"/>
  <c i="15" r="AB119"/>
  <c i="15" r="AV69"/>
  <c i="15" r="AW69"/>
  <c i="15" r="AX69"/>
  <c i="15" r="AV66"/>
  <c i="15" r="AW66"/>
  <c i="15" r="AX66"/>
  <c i="15" r="AV67"/>
  <c i="15" r="AW67"/>
  <c i="15" r="AX67"/>
  <c i="15" r="AV68"/>
  <c i="15" r="AW68"/>
  <c i="15" r="AX68"/>
  <c i="15" r="AV59"/>
  <c i="15" r="AW59"/>
  <c i="15" r="AX59"/>
  <c i="15" r="AV60"/>
  <c i="15" r="AW60"/>
  <c i="15" r="AX60"/>
  <c i="15" r="AV61"/>
  <c i="15" r="AW61"/>
  <c i="15" r="AX61"/>
  <c i="15" r="AV62"/>
  <c i="15" r="AW62"/>
  <c i="15" r="AX62"/>
  <c i="15" r="AV63"/>
  <c i="15" r="AW63"/>
  <c i="15" r="AX63"/>
  <c i="15" r="AV64"/>
  <c i="15" r="AW64"/>
  <c i="15" r="AX64"/>
  <c i="15" r="AV65"/>
  <c i="15" r="AW65"/>
  <c i="15" r="AX65"/>
  <c i="15" r="AL66"/>
  <c i="15" r="AM66"/>
  <c i="15" r="AN66"/>
  <c i="15" r="AL45"/>
  <c i="15" r="AM45"/>
  <c i="15" r="AN45"/>
  <c i="15" r="AL46"/>
  <c i="15" r="AM46"/>
  <c i="15" r="AN46"/>
  <c i="15" r="AL47"/>
  <c i="15" r="AM47"/>
  <c i="15" r="AN47"/>
  <c i="15" r="AL48"/>
  <c i="15" r="AM48"/>
  <c i="15" r="AN48"/>
  <c i="15" r="AL49"/>
  <c i="15" r="AM49"/>
  <c i="15" r="AN49"/>
  <c i="15" r="AL50"/>
  <c i="15" r="AM50"/>
  <c i="15" r="AN50"/>
  <c i="15" r="AL51"/>
  <c i="15" r="AM51"/>
  <c i="15" r="AN51"/>
  <c i="15" r="AL52"/>
  <c i="15" r="AM52"/>
  <c i="15" r="AN52"/>
  <c i="15" r="AL53"/>
  <c i="15" r="AM53"/>
  <c i="15" r="AN53"/>
  <c i="15" r="AL54"/>
  <c i="15" r="AM54"/>
  <c i="15" r="AN54"/>
  <c i="15" r="AL55"/>
  <c i="15" r="AM55"/>
  <c i="15" r="AN55"/>
  <c i="15" r="AL56"/>
  <c i="15" r="AM56"/>
  <c i="15" r="AN56"/>
  <c i="15" r="AL57"/>
  <c i="15" r="AM57"/>
  <c i="15" r="AN57"/>
  <c i="15" r="AL58"/>
  <c i="15" r="AM58"/>
  <c i="15" r="AN58"/>
  <c i="15" r="AL59"/>
  <c i="15" r="AM59"/>
  <c i="15" r="AN59"/>
  <c i="15" r="AL60"/>
  <c i="15" r="AM60"/>
  <c i="15" r="AN60"/>
  <c i="15" r="AL61"/>
  <c i="15" r="AM61"/>
  <c i="15" r="AN61"/>
  <c i="15" r="AL62"/>
  <c i="15" r="AM62"/>
  <c i="15" r="AN62"/>
  <c i="15" r="AL63"/>
  <c i="15" r="AM63"/>
  <c i="15" r="AN63"/>
  <c i="15" r="AL64"/>
  <c i="15" r="AM64"/>
  <c i="15" r="AN64"/>
  <c i="15" r="AL65"/>
  <c i="15" r="AM65"/>
  <c i="15" r="AN65"/>
  <c i="15" r="AG60"/>
  <c i="15" r="AH60"/>
  <c i="15" r="AI60"/>
  <c i="15" r="AG50"/>
  <c i="15" r="AH50"/>
  <c i="15" r="AI50"/>
  <c i="15" r="AG51"/>
  <c i="15" r="AH51"/>
  <c i="15" r="AI51"/>
  <c i="15" r="AG52"/>
  <c i="15" r="AH52"/>
  <c i="15" r="AI52"/>
  <c i="15" r="AG53"/>
  <c i="15" r="AH53"/>
  <c i="15" r="AI53"/>
  <c i="15" r="AG54"/>
  <c i="15" r="AH54"/>
  <c i="15" r="AI54"/>
  <c i="15" r="AG55"/>
  <c i="15" r="AH55"/>
  <c i="15" r="AI55"/>
  <c i="15" r="AG56"/>
  <c i="15" r="AH56"/>
  <c i="15" r="AI56"/>
  <c i="15" r="AG57"/>
  <c i="15" r="AH57"/>
  <c i="15" r="AI57"/>
  <c i="15" r="AG58"/>
  <c i="15" r="AH58"/>
  <c i="15" r="AI58"/>
  <c i="15" r="AG59"/>
  <c i="15" r="AH59"/>
  <c i="15" r="AI59"/>
  <c i="15" r="Z92"/>
  <c i="15" r="Z93"/>
  <c i="15" r="Z94"/>
  <c i="15" r="Z95"/>
  <c i="15" r="Z96"/>
  <c i="15" r="Z97"/>
  <c i="15" r="Z98"/>
  <c i="15" r="Z99"/>
  <c i="15" r="Z100"/>
  <c i="15" r="Z101"/>
  <c i="15" r="Z91"/>
  <c i="15" r="Z120"/>
  <c i="15" l="1" r="A92"/>
  <c i="15" r="A93"/>
  <c i="15" r="A94"/>
  <c i="15" r="A95"/>
  <c i="15" r="A96"/>
  <c i="15" r="A97"/>
  <c i="15" r="A98"/>
  <c i="15" r="A99"/>
  <c i="15" r="A100"/>
  <c i="15" r="A101"/>
  <c i="15" r="A91"/>
  <c i="15" l="1" r="AA58"/>
  <c i="15" r="AB58"/>
  <c i="15" r="AC58"/>
  <c i="15" r="AD58"/>
  <c i="15" r="AB59"/>
  <c i="15" r="Z61"/>
  <c i="15" r="AA61"/>
  <c i="15" r="AB61"/>
  <c i="15" r="AC61"/>
  <c i="15" r="AD61"/>
  <c i="15" r="Z62"/>
  <c i="15" r="AB62"/>
  <c i="15" r="AC62"/>
  <c i="15" r="AD62"/>
  <c i="15" r="Z106"/>
  <c i="15" r="K90"/>
  <c i="15" r="A61"/>
  <c i="15" r="A62"/>
  <c i="15" r="A63"/>
  <c i="15" r="A64"/>
  <c i="15" r="A65"/>
  <c i="15" r="A66"/>
  <c i="15" r="A67"/>
  <c i="15" r="A68"/>
  <c i="15" r="A69"/>
  <c i="15" r="A70"/>
  <c i="15" r="A60"/>
  <c i="15" r="L77"/>
  <c i="15" r="M77"/>
  <c i="15" r="N77"/>
  <c i="15" r="O77"/>
  <c i="15" r="L78"/>
  <c i="15" r="M78"/>
  <c i="15" r="N78"/>
  <c i="15" r="O78"/>
  <c i="15" r="L79"/>
  <c i="15" r="M79"/>
  <c i="15" r="N79"/>
  <c i="15" r="O79"/>
  <c i="15" r="L80"/>
  <c i="15" r="M80"/>
  <c i="15" r="N80"/>
  <c i="15" r="O80"/>
  <c i="15" r="L81"/>
  <c i="15" r="M81"/>
  <c i="15" r="N81"/>
  <c i="15" r="O81"/>
  <c i="15" r="L82"/>
  <c i="15" r="M82"/>
  <c i="15" r="N82"/>
  <c i="15" r="O82"/>
  <c i="15" r="L83"/>
  <c i="15" r="M83"/>
  <c i="15" r="N83"/>
  <c i="15" r="O83"/>
  <c i="15" r="L84"/>
  <c i="15" r="M84"/>
  <c i="15" r="N84"/>
  <c i="15" r="O84"/>
  <c i="15" r="L85"/>
  <c i="15" r="M85"/>
  <c i="15" r="N85"/>
  <c i="15" r="O85"/>
  <c i="15" r="L86"/>
  <c i="15" r="M86"/>
  <c i="15" r="N86"/>
  <c i="15" r="O86"/>
  <c i="15" r="M76"/>
  <c i="15" r="N76"/>
  <c i="15" r="O76"/>
  <c i="15" r="L76"/>
  <c i="15" r="L46"/>
  <c i="15" r="M46"/>
  <c i="15" r="N46"/>
  <c i="15" r="O46"/>
  <c i="15" r="L47"/>
  <c i="15" r="M47"/>
  <c i="15" r="N47"/>
  <c i="15" r="O47"/>
  <c i="15" r="L48"/>
  <c i="15" r="M48"/>
  <c i="15" r="N48"/>
  <c i="15" r="O48"/>
  <c i="15" r="L49"/>
  <c i="15" r="M49"/>
  <c i="15" r="N49"/>
  <c i="15" r="O49"/>
  <c i="15" r="L50"/>
  <c i="15" r="M50"/>
  <c i="15" r="N50"/>
  <c i="15" r="O50"/>
  <c i="15" r="L51"/>
  <c i="15" r="M51"/>
  <c i="15" r="N51"/>
  <c i="15" r="O51"/>
  <c i="15" r="L52"/>
  <c i="15" r="M52"/>
  <c i="15" r="N52"/>
  <c i="15" r="O52"/>
  <c i="15" r="L53"/>
  <c i="15" r="M53"/>
  <c i="15" r="N53"/>
  <c i="15" r="O53"/>
  <c i="15" r="L54"/>
  <c i="15" r="M54"/>
  <c i="15" r="N54"/>
  <c i="15" r="O54"/>
  <c i="15" r="L55"/>
  <c i="15" r="M55"/>
  <c i="15" r="N55"/>
  <c i="15" r="O55"/>
  <c i="15" r="M45"/>
  <c i="15" r="N45"/>
  <c i="15" r="O45"/>
  <c i="15" r="L45"/>
  <c i="15" r="C77"/>
  <c i="15" r="D77"/>
  <c i="15" r="E77"/>
  <c i="15" r="F77"/>
  <c i="15" r="C78"/>
  <c i="15" r="D78"/>
  <c i="15" r="E78"/>
  <c i="15" r="F78"/>
  <c i="15" r="C79"/>
  <c i="15" r="D79"/>
  <c i="15" r="E79"/>
  <c i="15" r="F79"/>
  <c i="15" r="C80"/>
  <c i="15" r="D80"/>
  <c i="15" r="E80"/>
  <c i="15" r="F80"/>
  <c i="15" r="C81"/>
  <c i="15" r="D81"/>
  <c i="15" r="E81"/>
  <c i="15" r="F81"/>
  <c i="15" r="C82"/>
  <c i="15" r="D82"/>
  <c i="15" r="E82"/>
  <c i="15" r="F82"/>
  <c i="15" r="C83"/>
  <c i="15" r="D83"/>
  <c i="15" r="E83"/>
  <c i="15" r="F83"/>
  <c i="15" r="C84"/>
  <c i="15" r="D84"/>
  <c i="15" r="E84"/>
  <c i="15" r="F84"/>
  <c i="15" r="C85"/>
  <c i="15" r="D85"/>
  <c i="15" r="E85"/>
  <c i="15" r="F85"/>
  <c i="15" r="C86"/>
  <c i="15" r="D86"/>
  <c i="15" r="E86"/>
  <c i="15" r="F86"/>
  <c i="15" r="D76"/>
  <c i="15" r="E76"/>
  <c i="15" r="F76"/>
  <c i="15" r="C76"/>
  <c i="15" r="F46"/>
  <c i="15" r="F47"/>
  <c i="15" r="F48"/>
  <c i="15" r="F49"/>
  <c i="15" r="F50"/>
  <c i="15" r="F51"/>
  <c i="15" r="F52"/>
  <c i="15" r="F53"/>
  <c i="15" r="F54"/>
  <c i="15" r="F55"/>
  <c i="15" r="F45"/>
  <c i="15" r="C46"/>
  <c i="15" r="D46"/>
  <c i="15" r="E46"/>
  <c i="15" r="C47"/>
  <c i="15" r="D47"/>
  <c i="15" r="E47"/>
  <c i="15" r="C48"/>
  <c i="15" r="D48"/>
  <c i="15" r="E48"/>
  <c i="15" r="C49"/>
  <c i="15" r="D49"/>
  <c i="15" r="E49"/>
  <c i="15" r="C50"/>
  <c i="15" r="D50"/>
  <c i="15" r="E50"/>
  <c i="15" r="C51"/>
  <c i="15" r="D51"/>
  <c i="15" r="E51"/>
  <c i="15" r="C52"/>
  <c i="15" r="D52"/>
  <c i="15" r="E52"/>
  <c i="15" r="C53"/>
  <c i="15" r="D53"/>
  <c i="15" r="E53"/>
  <c i="15" r="C54"/>
  <c i="15" r="D54"/>
  <c i="15" r="E54"/>
  <c i="15" r="C55"/>
  <c i="15" r="D55"/>
  <c i="15" r="E55"/>
  <c i="15" r="D45"/>
  <c i="15" r="E45"/>
  <c i="15" r="C45"/>
  <c i="15" l="1" r="Z110"/>
  <c i="15" r="Z109"/>
  <c i="15" r="Z107"/>
  <c i="15" r="Z115"/>
  <c i="15" r="Z112"/>
  <c i="15" r="Z108"/>
  <c i="15" r="Z113"/>
  <c i="15" r="Z116"/>
  <c i="15" r="Z111"/>
  <c i="15" r="Z114"/>
  <c i="15" r="P77"/>
  <c i="15" r="P79"/>
  <c i="15" r="P78"/>
  <c i="15" r="G85"/>
  <c i="15" r="G83"/>
  <c i="15" r="G77"/>
  <c i="15" r="P80"/>
  <c i="15" r="P83"/>
  <c i="15" r="G47"/>
  <c i="15" r="P49"/>
  <c i="15" r="P53"/>
  <c i="15" r="P84"/>
  <c i="15" r="P48"/>
  <c i="15" r="G49"/>
  <c i="15" r="G78"/>
  <c i="15" r="P81"/>
  <c i="15" r="G55"/>
  <c i="15" r="E56"/>
  <c i="15" r="E71" s="1"/>
  <c i="15" r="D56"/>
  <c i="15" r="D71" s="1"/>
  <c i="15" r="G79"/>
  <c i="15" r="G81"/>
  <c i="15" r="P55"/>
  <c i="15" r="P86"/>
  <c i="15" r="G80"/>
  <c i="15" r="P54"/>
  <c i="15" r="P85"/>
  <c i="15" r="G53"/>
  <c i="15" r="G84"/>
  <c i="15" r="G52"/>
  <c i="15" r="F56"/>
  <c i="15" r="F71" s="1"/>
  <c i="15" r="P82"/>
  <c i="15" r="G82"/>
  <c i="15" r="G86"/>
  <c i="15" r="O87"/>
  <c i="15" r="O91" s="1"/>
  <c i="15" r="N87"/>
  <c i="15" r="N102" s="1"/>
  <c i="15" r="M87"/>
  <c i="15" r="M94" s="1"/>
  <c i="15" r="P76"/>
  <c i="15" r="L87"/>
  <c i="15" r="F87"/>
  <c i="15" r="F102" s="1"/>
  <c i="15" r="E87"/>
  <c i="15" r="E102" s="1"/>
  <c i="15" r="D87"/>
  <c i="15" r="D100" s="1"/>
  <c i="15" r="G76"/>
  <c i="15" r="C87"/>
  <c i="15" r="C102" s="1"/>
  <c i="15" r="O56"/>
  <c i="15" r="O71" s="1"/>
  <c i="15" r="N56"/>
  <c i="15" r="N71" s="1"/>
  <c i="15" r="P50"/>
  <c i="15" r="G50"/>
  <c i="15" r="P45"/>
  <c i="15" r="P51"/>
  <c i="15" r="C56"/>
  <c i="15" r="C71" s="1"/>
  <c i="15" r="M56"/>
  <c i="15" r="M63" s="1"/>
  <c i="15" r="G48"/>
  <c i="15" r="P46"/>
  <c i="15" r="P52"/>
  <c i="15" r="G54"/>
  <c i="15" r="G46"/>
  <c i="15" r="P47"/>
  <c i="15" r="G51"/>
  <c i="15" r="L56"/>
  <c i="15" r="L65" s="1"/>
  <c i="15" r="G45"/>
  <c i="15" l="1" r="Z130"/>
  <c i="15" r="Z125"/>
  <c i="15" r="Z127"/>
  <c i="15" r="Z123"/>
  <c i="15" r="Z126"/>
  <c i="15" r="Z122"/>
  <c i="15" r="Z124"/>
  <c i="15" r="Z128"/>
  <c i="15" r="Z129"/>
  <c i="15" r="Z121"/>
  <c i="15" r="D70"/>
  <c i="15" r="F99"/>
  <c i="15" r="D67"/>
  <c i="15" r="E62"/>
  <c i="15" r="N98"/>
  <c i="15" r="N91"/>
  <c i="15" r="N93"/>
  <c i="15" r="L63"/>
  <c i="15" r="M67"/>
  <c i="15" r="O93"/>
  <c i="15" r="N97"/>
  <c i="15" r="O95"/>
  <c i="15" r="M69"/>
  <c i="15" r="M66"/>
  <c i="15" r="C61"/>
  <c i="15" r="F64"/>
  <c i="15" r="C63"/>
  <c i="15" r="E101"/>
  <c i="15" r="M97"/>
  <c i="15" r="M93"/>
  <c i="15" r="L62"/>
  <c i="15" r="O99"/>
  <c i="15" r="M68"/>
  <c i="15" r="L61"/>
  <c i="15" r="C98"/>
  <c i="15" r="F94"/>
  <c i="15" r="F60"/>
  <c i="15" r="M99"/>
  <c i="15" r="C69"/>
  <c i="15" r="O94"/>
  <c i="15" r="O100"/>
  <c i="15" r="M95"/>
  <c i="15" r="D61"/>
  <c i="15" r="E63"/>
  <c i="15" r="E61"/>
  <c i="15" r="P87"/>
  <c i="15" r="P101" s="1"/>
  <c i="15" r="M101"/>
  <c i="15" r="M61"/>
  <c i="15" r="F98"/>
  <c i="15" r="O92"/>
  <c i="15" r="F69"/>
  <c i="15" r="C70"/>
  <c i="15" r="E66"/>
  <c i="15" r="M65"/>
  <c i="15" r="D69"/>
  <c i="15" r="M96"/>
  <c i="15" r="D64"/>
  <c i="15" r="F62"/>
  <c i="15" r="D92"/>
  <c i="15" r="F100"/>
  <c i="15" r="C67"/>
  <c i="15" r="F63"/>
  <c i="15" r="M70"/>
  <c i="15" r="O101"/>
  <c i="15" r="E67"/>
  <c i="15" r="F65"/>
  <c i="15" r="O68"/>
  <c i="15" r="D98"/>
  <c i="15" r="W98" s="1"/>
  <c i="15" r="AE98" s="1"/>
  <c i="15" r="N61"/>
  <c i="15" r="L97"/>
  <c i="15" r="L102"/>
  <c i="15" r="E100"/>
  <c i="15" r="E94"/>
  <c i="15" r="L100"/>
  <c i="15" r="N63"/>
  <c i="15" r="L98"/>
  <c i="15" r="G87"/>
  <c i="15" r="G91" s="1"/>
  <c i="15" r="D102"/>
  <c i="15" r="D94"/>
  <c i="15" r="W94" s="1"/>
  <c i="15" r="AE94" s="1"/>
  <c i="15" r="D97"/>
  <c i="15" r="W97" s="1"/>
  <c i="15" r="AE97" s="1"/>
  <c i="15" r="O65"/>
  <c i="15" r="N96"/>
  <c i="15" r="N68"/>
  <c i="15" r="D99"/>
  <c i="15" r="G56"/>
  <c i="15" r="G71" s="1"/>
  <c i="15" r="L60"/>
  <c i="15" r="C101"/>
  <c i="15" r="V101" s="1"/>
  <c i="15" r="AD101" s="1"/>
  <c i="15" r="C93"/>
  <c i="15" r="L99"/>
  <c i="15" r="L95"/>
  <c i="15" r="F97"/>
  <c i="15" r="N66"/>
  <c i="15" r="E93"/>
  <c i="15" r="F92"/>
  <c i="15" r="D91"/>
  <c i="15" r="W91" s="1"/>
  <c i="15" r="AE91" s="1"/>
  <c i="15" r="N64"/>
  <c i="15" r="L101"/>
  <c i="15" r="L96"/>
  <c i="15" r="F66"/>
  <c i="15" r="E92"/>
  <c i="15" r="M98"/>
  <c i="15" r="O61"/>
  <c i="15" r="N69"/>
  <c i="15" r="O70"/>
  <c i="15" r="N70"/>
  <c i="15" r="C99"/>
  <c i="15" r="E68"/>
  <c i="15" r="N67"/>
  <c i="15" r="D62"/>
  <c i="15" r="C91"/>
  <c i="15" r="L71"/>
  <c i="15" r="L69"/>
  <c i="15" r="N92"/>
  <c i="15" r="E96"/>
  <c i="15" r="M60"/>
  <c i="15" r="D68"/>
  <c i="15" r="T99" s="1"/>
  <c i="15" r="AB99" s="1"/>
  <c i="15" r="C100"/>
  <c i="15" r="V100" s="1"/>
  <c i="15" r="AD100" s="1"/>
  <c i="15" r="L92"/>
  <c i="15" r="E70"/>
  <c i="15" r="C96"/>
  <c i="15" r="V96" s="1"/>
  <c i="15" r="AD96" s="1"/>
  <c i="15" r="L67"/>
  <c i="15" r="F91"/>
  <c i="15" r="X91" s="1"/>
  <c i="15" r="AF91" s="1"/>
  <c i="15" r="C97"/>
  <c i="15" r="C94"/>
  <c i="15" r="D95"/>
  <c i="15" r="L64"/>
  <c i="15" r="O96"/>
  <c i="15" r="O102"/>
  <c i="15" r="E99"/>
  <c i="15" r="E64"/>
  <c i="15" r="F61"/>
  <c i="15" r="C95"/>
  <c i="15" r="O63"/>
  <c i="15" r="D63"/>
  <c i="15" r="T94" s="1"/>
  <c i="15" r="AB94" s="1"/>
  <c i="15" r="N60"/>
  <c i="15" r="L70"/>
  <c i="15" r="L68"/>
  <c i="15" r="F96"/>
  <c i="15" r="D65"/>
  <c i="15" r="T96" s="1"/>
  <c i="15" r="AB96" s="1"/>
  <c i="15" r="N99"/>
  <c i="15" r="L91"/>
  <c i="15" r="C60"/>
  <c i="15" r="O64"/>
  <c i="15" r="C62"/>
  <c i="15" r="S93" s="1"/>
  <c i="15" r="AA93" s="1"/>
  <c i="15" r="N62"/>
  <c i="15" r="C65"/>
  <c i="15" r="S96" s="1"/>
  <c i="15" r="AA96" s="1"/>
  <c i="15" r="E65"/>
  <c i="15" r="N95"/>
  <c i="15" r="E69"/>
  <c i="15" r="O66"/>
  <c i="15" r="F93"/>
  <c i="15" r="L94"/>
  <c i="15" r="M92"/>
  <c i="15" r="M102"/>
  <c i="15" r="C68"/>
  <c i="15" r="M91"/>
  <c i="15" r="C66"/>
  <c i="15" r="S97" s="1"/>
  <c i="15" r="AA97" s="1"/>
  <c i="15" r="N101"/>
  <c i="15" r="O98"/>
  <c i="15" r="F68"/>
  <c i="15" r="O62"/>
  <c i="15" r="N94"/>
  <c i="15" r="C92"/>
  <c i="15" r="L93"/>
  <c i="15" r="E98"/>
  <c i="15" r="D66"/>
  <c i="15" r="N65"/>
  <c i="15" r="D60"/>
  <c i="15" r="F70"/>
  <c i="15" r="F95"/>
  <c i="15" r="O69"/>
  <c i="15" r="N100"/>
  <c i="15" r="C64"/>
  <c i="15" r="M100"/>
  <c i="15" r="W100" s="1"/>
  <c i="15" r="AE100" s="1"/>
  <c i="15" r="D93"/>
  <c i="15" r="W93" s="1"/>
  <c i="15" r="AE93" s="1"/>
  <c i="15" r="L66"/>
  <c i="15" r="O60"/>
  <c i="15" r="E60"/>
  <c i="15" r="O97"/>
  <c i="15" r="E95"/>
  <c i="15" r="D96"/>
  <c i="15" r="W96" s="1"/>
  <c i="15" r="AE96" s="1"/>
  <c i="15" r="M71"/>
  <c i="15" r="M64"/>
  <c i="15" r="E91"/>
  <c i="15" r="O67"/>
  <c i="15" r="F67"/>
  <c i="15" r="E97"/>
  <c i="15" r="F101"/>
  <c i="15" r="M62"/>
  <c i="15" r="D101"/>
  <c i="15" r="P56"/>
  <c i="15" r="P71" s="1"/>
  <c i="15" l="1" r="S95"/>
  <c i="15" r="AA95" s="1"/>
  <c i="15" r="S98"/>
  <c i="15" r="AA98" s="1"/>
  <c i="15" r="T97"/>
  <c i="15" r="AB97" s="1"/>
  <c i="15" r="S100"/>
  <c i="15" r="AA100" s="1"/>
  <c i="15" r="T92"/>
  <c i="15" r="AB92" s="1"/>
  <c i="15" r="V98"/>
  <c i="15" r="AD98" s="1"/>
  <c i="15" r="V93"/>
  <c i="15" r="AD93" s="1"/>
  <c i="15" r="T93"/>
  <c i="15" r="AB93" s="1"/>
  <c i="15" r="T98"/>
  <c i="15" r="AB98" s="1"/>
  <c i="15" r="W92"/>
  <c i="15" r="AE92" s="1"/>
  <c i="15" r="T101"/>
  <c i="15" r="AB101" s="1"/>
  <c i="15" r="W99"/>
  <c i="15" r="AE99" s="1"/>
  <c i="15" r="S99"/>
  <c i="15" r="AA99" s="1"/>
  <c i="15" r="V99"/>
  <c i="15" r="AD99" s="1"/>
  <c i="15" r="V95"/>
  <c i="15" r="AD95" s="1"/>
  <c i="15" r="T100"/>
  <c i="15" r="AB100" s="1"/>
  <c i="15" r="V92"/>
  <c i="15" r="AD92" s="1"/>
  <c i="15" r="W95"/>
  <c i="15" r="AE95" s="1"/>
  <c i="15" r="V94"/>
  <c i="15" r="AD94" s="1"/>
  <c i="15" r="S101"/>
  <c i="15" r="AA101" s="1"/>
  <c i="15" r="T95"/>
  <c i="15" r="AB95" s="1"/>
  <c i="15" r="V97"/>
  <c i="15" r="AD97" s="1"/>
  <c i="15" r="S94"/>
  <c i="15" r="AA94" s="1"/>
  <c i="15" r="X95"/>
  <c i="15" r="AF95" s="1"/>
  <c i="15" r="S92"/>
  <c i="15" r="AA92" s="1"/>
  <c i="15" r="W101"/>
  <c i="15" r="AE101" s="1"/>
  <c i="15" r="T91"/>
  <c i="15" r="AB91" s="1"/>
  <c i="15" r="P99"/>
  <c i="15" r="X99"/>
  <c i="15" r="AF99" s="1"/>
  <c i="15" r="X93"/>
  <c i="15" r="AF93" s="1"/>
  <c i="15" r="U100"/>
  <c i="15" r="AC100" s="1"/>
  <c i="15" r="U95"/>
  <c i="15" r="AC95" s="1"/>
  <c i="15" r="P91"/>
  <c i="15" r="P92"/>
  <c i="15" r="U96"/>
  <c i="15" r="AC96" s="1"/>
  <c i="15" r="U91"/>
  <c i="15" r="AC91" s="1"/>
  <c i="15" r="P61"/>
  <c i="15" r="P67"/>
  <c i="15" r="P64"/>
  <c i="15" r="U93"/>
  <c i="15" r="AC93" s="1"/>
  <c i="15" r="P60"/>
  <c i="15" r="P66"/>
  <c i="15" r="P93"/>
  <c i="15" r="P94"/>
  <c i="15" r="P102"/>
  <c i="15" r="P95"/>
  <c i="15" r="P100"/>
  <c i="15" r="S91"/>
  <c i="15" r="AA91" s="1"/>
  <c i="15" r="G63"/>
  <c i="15" r="X100"/>
  <c i="15" r="AF100" s="1"/>
  <c i="15" r="X94"/>
  <c i="15" r="AF94" s="1"/>
  <c i="15" r="P70"/>
  <c i="15" r="G66"/>
  <c i="15" r="G62"/>
  <c i="15" r="P98"/>
  <c i="15" r="X92"/>
  <c i="15" r="AF92" s="1"/>
  <c i="15" r="P96"/>
  <c i="15" r="P68"/>
  <c i="15" r="G61"/>
  <c i="15" r="X98"/>
  <c i="15" r="AF98" s="1"/>
  <c i="15" r="U99"/>
  <c i="15" r="AC99" s="1"/>
  <c i="15" r="G65"/>
  <c i="15" r="U94"/>
  <c i="15" r="AC94" s="1"/>
  <c i="15" r="V91"/>
  <c i="15" r="AD91" s="1"/>
  <c i="15" r="G69"/>
  <c i="15" r="P97"/>
  <c i="15" r="X101"/>
  <c i="15" r="AF101" s="1"/>
  <c i="15" r="U98"/>
  <c i="15" r="AC98" s="1"/>
  <c i="15" r="U92"/>
  <c i="15" r="AC92" s="1"/>
  <c i="15" r="G102"/>
  <c i="15" r="G92"/>
  <c i="15" r="G98"/>
  <c i="15" r="G100"/>
  <c i="15" r="X97"/>
  <c i="15" r="AF97" s="1"/>
  <c i="15" r="G94"/>
  <c i="15" r="G93"/>
  <c i="15" r="G96"/>
  <c i="15" r="G68"/>
  <c i="15" r="G60"/>
  <c i="15" r="G97"/>
  <c i="15" r="P63"/>
  <c i="15" r="G67"/>
  <c i="15" r="X96"/>
  <c i="15" r="AF96" s="1"/>
  <c i="15" r="G95"/>
  <c i="15" r="U97"/>
  <c i="15" r="AC97" s="1"/>
  <c i="15" r="P62"/>
  <c i="15" r="G70"/>
  <c i="15" r="P69"/>
  <c i="15" r="P65"/>
  <c i="15" r="U101"/>
  <c i="15" r="AC101" s="1"/>
  <c i="15" r="G101"/>
  <c i="15" r="G64"/>
  <c i="15" r="G99"/>
  <c i="15" r="AQ18"/>
  <c i="15" r="AR18"/>
  <c i="15" r="AS18"/>
  <c i="15" r="AV58"/>
  <c i="15" r="AW58"/>
  <c i="15" r="AX58"/>
  <c i="15" r="AV55"/>
  <c i="15" r="AW55"/>
  <c i="15" r="AX55"/>
  <c i="15" r="AV56"/>
  <c i="15" r="AW56"/>
  <c i="15" r="AX56"/>
  <c i="15" r="AV57"/>
  <c i="15" r="AW57"/>
  <c i="15" r="AX57"/>
  <c i="15" r="AV48"/>
  <c i="15" r="AW48"/>
  <c i="15" r="AX48"/>
  <c i="15" r="AV49"/>
  <c i="15" r="AW49"/>
  <c i="15" r="AX49"/>
  <c i="15" r="AV50"/>
  <c i="15" r="AW50"/>
  <c i="15" r="AX50"/>
  <c i="15" r="AV51"/>
  <c i="15" r="AW51"/>
  <c i="15" r="AX51"/>
  <c i="15" r="AV52"/>
  <c i="15" r="AW52"/>
  <c i="15" r="AX52"/>
  <c i="15" r="AV53"/>
  <c i="15" r="AW53"/>
  <c i="15" r="AX53"/>
  <c i="15" r="AV54"/>
  <c i="15" r="AW54"/>
  <c i="15" r="AX54"/>
  <c i="15" r="AG39"/>
  <c i="15" r="AH39"/>
  <c i="15" r="AI39"/>
  <c i="15" r="AG40"/>
  <c i="15" r="AH40"/>
  <c i="15" r="AI40"/>
  <c i="15" r="AG41"/>
  <c i="15" r="AH41"/>
  <c i="15" r="AI41"/>
  <c i="15" r="AG42"/>
  <c i="15" r="AH42"/>
  <c i="15" r="AI42"/>
  <c i="15" r="AG43"/>
  <c i="15" r="AH43"/>
  <c i="15" r="AI43"/>
  <c i="15" r="AG44"/>
  <c i="15" r="AH44"/>
  <c i="15" r="AI44"/>
  <c i="15" r="AG45"/>
  <c i="15" r="AH45"/>
  <c i="15" r="AI45"/>
  <c i="15" r="AG46"/>
  <c i="15" r="AH46"/>
  <c i="15" r="AI46"/>
  <c i="15" r="AG47"/>
  <c i="15" r="AH47"/>
  <c i="15" r="AI47"/>
  <c i="15" r="AG48"/>
  <c i="15" r="AH48"/>
  <c i="15" r="AI48"/>
  <c i="15" r="AG49"/>
  <c i="15" r="AH49"/>
  <c i="15" r="AI49"/>
  <c i="15" l="1" r="AS11"/>
  <c i="15" l="1" r="W60"/>
  <c i="15" r="W59"/>
  <c i="15" r="V60"/>
  <c i="15" r="V59"/>
  <c i="15" r="U60"/>
  <c i="15" r="T62"/>
  <c i="15" r="T60"/>
  <c i="15" r="T59"/>
  <c i="15" r="W56"/>
  <c i="15" r="W57"/>
  <c i="15" r="V56"/>
  <c i="15" r="V57"/>
  <c i="15" r="U56"/>
  <c i="15" r="U57"/>
  <c i="15" r="T56"/>
  <c i="15" r="T57"/>
  <c i="15" r="T55"/>
  <c i="15" r="U55"/>
  <c i="15" r="V55"/>
  <c i="15" r="AY69" s="1"/>
  <c i="15" r="W55"/>
  <c i="15" r="S56"/>
  <c i="15" r="S57"/>
  <c i="15" r="S58"/>
  <c i="15" r="S59"/>
  <c i="15" r="S60"/>
  <c i="15" r="S55"/>
  <c i="15" r="BC4"/>
  <c i="15" r="BC5"/>
  <c i="15" r="BC6"/>
  <c i="15" r="BC7"/>
  <c i="15" r="BC8"/>
  <c i="15" r="BC9"/>
  <c i="15" r="BC10"/>
  <c i="15" r="BC11"/>
  <c i="15" r="BC12"/>
  <c i="15" r="BC13"/>
  <c i="15" r="BC14"/>
  <c i="15" r="BC15"/>
  <c i="15" r="BC16"/>
  <c i="15" r="BC17"/>
  <c i="15" r="BC18"/>
  <c i="15" r="BC19"/>
  <c i="15" r="BC3"/>
  <c i="15" r="BB4"/>
  <c i="15" r="BB5"/>
  <c i="15" r="BB6"/>
  <c i="15" r="BB7"/>
  <c i="15" r="BB8"/>
  <c i="15" r="BB9"/>
  <c i="15" r="BB10"/>
  <c i="15" r="BB11"/>
  <c i="15" r="BB12"/>
  <c i="15" r="BB13"/>
  <c i="15" r="BB14"/>
  <c i="15" r="BB15"/>
  <c i="15" r="BB16"/>
  <c i="15" r="BB17"/>
  <c i="15" r="BB18"/>
  <c i="15" r="BB19"/>
  <c i="15" r="BB3"/>
  <c i="15" r="BA4"/>
  <c i="15" r="BA5"/>
  <c i="15" r="BA6"/>
  <c i="15" r="BA7"/>
  <c i="15" r="BA8"/>
  <c i="15" r="BA9"/>
  <c i="15" r="BA10"/>
  <c i="15" r="BA11"/>
  <c i="15" r="BA12"/>
  <c i="15" r="BA13"/>
  <c i="15" r="BA14"/>
  <c i="15" r="BA15"/>
  <c i="15" r="BA16"/>
  <c i="15" r="BA17"/>
  <c i="15" r="BA18"/>
  <c i="15" r="BA19"/>
  <c i="15" r="BA3"/>
  <c i="15" r="AX4"/>
  <c i="15" r="AX5"/>
  <c i="15" r="AX6"/>
  <c i="15" r="AX7"/>
  <c i="15" r="AX8"/>
  <c i="15" r="AX9"/>
  <c i="15" r="AX10"/>
  <c i="15" r="AX11"/>
  <c i="15" r="AX12"/>
  <c i="15" r="AX13"/>
  <c i="15" r="AX14"/>
  <c i="15" r="AX15"/>
  <c i="15" r="AX16"/>
  <c i="15" r="AX17"/>
  <c i="15" r="AX18"/>
  <c i="15" r="AX19"/>
  <c i="15" r="AX20"/>
  <c i="15" r="AX21"/>
  <c i="15" r="AX22"/>
  <c i="15" r="AX23"/>
  <c i="15" r="AX24"/>
  <c i="15" r="AX25"/>
  <c i="15" r="AX26"/>
  <c i="15" r="AX27"/>
  <c i="15" r="AX28"/>
  <c i="15" r="AX29"/>
  <c i="15" r="AX30"/>
  <c i="15" r="AX31"/>
  <c i="15" r="AX32"/>
  <c i="15" r="AX33"/>
  <c i="15" r="AX34"/>
  <c i="15" r="AX35"/>
  <c i="15" r="AX36"/>
  <c i="15" r="AX37"/>
  <c i="15" r="AX38"/>
  <c i="15" r="AX39"/>
  <c i="15" r="AX40"/>
  <c i="15" r="AX41"/>
  <c i="15" r="AX42"/>
  <c i="15" r="AX43"/>
  <c i="15" r="AX44"/>
  <c i="15" r="AX45"/>
  <c i="15" r="AX46"/>
  <c i="15" r="AX47"/>
  <c i="15" r="AX3"/>
  <c i="15" r="AW4"/>
  <c i="15" r="AW5"/>
  <c i="15" r="AW6"/>
  <c i="15" r="AW7"/>
  <c i="15" r="AW8"/>
  <c i="15" r="AW9"/>
  <c i="15" r="AW10"/>
  <c i="15" r="AW11"/>
  <c i="15" r="AW12"/>
  <c i="15" r="AW13"/>
  <c i="15" r="AW14"/>
  <c i="15" r="AW15"/>
  <c i="15" r="AW16"/>
  <c i="15" r="AW17"/>
  <c i="15" r="AW18"/>
  <c i="15" r="AW19"/>
  <c i="15" r="AW20"/>
  <c i="15" r="AW21"/>
  <c i="15" r="AW22"/>
  <c i="15" r="AW23"/>
  <c i="15" r="AW24"/>
  <c i="15" r="AW25"/>
  <c i="15" r="AW26"/>
  <c i="15" r="AW27"/>
  <c i="15" r="AW28"/>
  <c i="15" r="AW29"/>
  <c i="15" r="AW30"/>
  <c i="15" r="AW31"/>
  <c i="15" r="AW32"/>
  <c i="15" r="AW33"/>
  <c i="15" r="AW34"/>
  <c i="15" r="AW35"/>
  <c i="15" r="AW36"/>
  <c i="15" r="AW37"/>
  <c i="15" r="AW38"/>
  <c i="15" r="AW39"/>
  <c i="15" r="AW40"/>
  <c i="15" r="AW41"/>
  <c i="15" r="AW42"/>
  <c i="15" r="AW43"/>
  <c i="15" r="AW44"/>
  <c i="15" r="AW45"/>
  <c i="15" r="AW46"/>
  <c i="15" r="AW47"/>
  <c i="15" r="AW3"/>
  <c i="15" r="AV4"/>
  <c i="15" r="AV5"/>
  <c i="15" r="AV6"/>
  <c i="15" r="AV7"/>
  <c i="15" r="AV8"/>
  <c i="15" r="AV9"/>
  <c i="15" r="AV10"/>
  <c i="15" r="AV11"/>
  <c i="15" r="AV12"/>
  <c i="15" r="AV13"/>
  <c i="15" r="AV14"/>
  <c i="15" r="AV15"/>
  <c i="15" r="AV16"/>
  <c i="15" r="AV17"/>
  <c i="15" r="AV18"/>
  <c i="15" r="AV19"/>
  <c i="15" r="AV20"/>
  <c i="15" r="AV21"/>
  <c i="15" r="AV22"/>
  <c i="15" r="AV23"/>
  <c i="15" r="AV24"/>
  <c i="15" r="AV25"/>
  <c i="15" r="AV26"/>
  <c i="15" r="AV27"/>
  <c i="15" r="AV28"/>
  <c i="15" r="AV29"/>
  <c i="15" r="AV30"/>
  <c i="15" r="AV31"/>
  <c i="15" r="AV32"/>
  <c i="15" r="AV33"/>
  <c i="15" r="AV34"/>
  <c i="15" r="AV35"/>
  <c i="15" r="AV36"/>
  <c i="15" r="AV37"/>
  <c i="15" r="AV38"/>
  <c i="15" r="AV39"/>
  <c i="15" r="AV40"/>
  <c i="15" r="AV41"/>
  <c i="15" r="AV42"/>
  <c i="15" r="AV43"/>
  <c i="15" r="AV44"/>
  <c i="15" r="AV45"/>
  <c i="15" r="AV46"/>
  <c i="15" r="AV47"/>
  <c i="15" r="AV3"/>
  <c i="15" r="AS4"/>
  <c i="15" r="AS5"/>
  <c i="15" r="AS6"/>
  <c i="15" r="AS7"/>
  <c i="15" r="AS8"/>
  <c i="15" r="AS9"/>
  <c i="15" r="AS10"/>
  <c i="15" r="AS12"/>
  <c i="15" r="AS13"/>
  <c i="15" r="AS14"/>
  <c i="15" r="AS15"/>
  <c i="15" r="AS16"/>
  <c i="15" r="AS17"/>
  <c i="15" r="AS3"/>
  <c i="15" r="AR4"/>
  <c i="15" r="AR5"/>
  <c i="15" r="AR6"/>
  <c i="15" r="AR7"/>
  <c i="15" r="AR8"/>
  <c i="15" r="AR9"/>
  <c i="15" r="AR10"/>
  <c i="15" r="AR11"/>
  <c i="15" r="AR12"/>
  <c i="15" r="AR13"/>
  <c i="15" r="AR14"/>
  <c i="15" r="AR15"/>
  <c i="15" r="AR16"/>
  <c i="15" r="AR17"/>
  <c i="15" r="AR3"/>
  <c i="15" r="AQ17"/>
  <c i="15" r="AQ4"/>
  <c i="15" r="AQ5"/>
  <c i="15" r="AQ6"/>
  <c i="15" r="AQ7"/>
  <c i="15" r="AQ8"/>
  <c i="15" r="AQ9"/>
  <c i="15" r="AQ10"/>
  <c i="15" r="AQ11"/>
  <c i="15" r="AQ12"/>
  <c i="15" r="AQ13"/>
  <c i="15" r="AQ14"/>
  <c i="15" r="AQ15"/>
  <c i="15" r="AQ16"/>
  <c i="15" r="AQ3"/>
  <c i="15" r="AN4"/>
  <c i="15" r="AN5"/>
  <c i="15" r="AN6"/>
  <c i="15" r="AN7"/>
  <c i="15" r="AN8"/>
  <c i="15" r="AN9"/>
  <c i="15" r="AN10"/>
  <c i="15" r="AN11"/>
  <c i="15" r="AN12"/>
  <c i="15" r="AN13"/>
  <c i="15" r="AN14"/>
  <c i="15" r="AN15"/>
  <c i="15" r="AN16"/>
  <c i="15" r="AN17"/>
  <c i="15" r="AN18"/>
  <c i="15" r="AN19"/>
  <c i="15" r="AN20"/>
  <c i="15" r="AN21"/>
  <c i="15" r="AN22"/>
  <c i="15" r="AN23"/>
  <c i="15" r="AN24"/>
  <c i="15" r="AN25"/>
  <c i="15" r="AN26"/>
  <c i="15" r="AN27"/>
  <c i="15" r="AN28"/>
  <c i="15" r="AN29"/>
  <c i="15" r="AN30"/>
  <c i="15" r="AN31"/>
  <c i="15" r="AN32"/>
  <c i="15" r="AN33"/>
  <c i="15" r="AN34"/>
  <c i="15" r="AN35"/>
  <c i="15" r="AN36"/>
  <c i="15" r="AN37"/>
  <c i="15" r="AN38"/>
  <c i="15" r="AN39"/>
  <c i="15" r="AN40"/>
  <c i="15" r="AN41"/>
  <c i="15" r="AN42"/>
  <c i="15" r="AN43"/>
  <c i="15" r="AN44"/>
  <c i="15" r="AN3"/>
  <c i="15" r="AM4"/>
  <c i="15" r="AM5"/>
  <c i="15" r="AM6"/>
  <c i="15" r="AM7"/>
  <c i="15" r="AM8"/>
  <c i="15" r="AM9"/>
  <c i="15" r="AM10"/>
  <c i="15" r="AM11"/>
  <c i="15" r="AM12"/>
  <c i="15" r="AM13"/>
  <c i="15" r="AM14"/>
  <c i="15" r="AM15"/>
  <c i="15" r="AM16"/>
  <c i="15" r="AM17"/>
  <c i="15" r="AM18"/>
  <c i="15" r="AM19"/>
  <c i="15" r="AM20"/>
  <c i="15" r="AM21"/>
  <c i="15" r="AM22"/>
  <c i="15" r="AM23"/>
  <c i="15" r="AM24"/>
  <c i="15" r="AM25"/>
  <c i="15" r="AM26"/>
  <c i="15" r="AM27"/>
  <c i="15" r="AM28"/>
  <c i="15" r="AM29"/>
  <c i="15" r="AM30"/>
  <c i="15" r="AM31"/>
  <c i="15" r="AM32"/>
  <c i="15" r="AM33"/>
  <c i="15" r="AM34"/>
  <c i="15" r="AM35"/>
  <c i="15" r="AM36"/>
  <c i="15" r="AM37"/>
  <c i="15" r="AM38"/>
  <c i="15" r="AM39"/>
  <c i="15" r="AM40"/>
  <c i="15" r="AM41"/>
  <c i="15" r="AM42"/>
  <c i="15" r="AM43"/>
  <c i="15" r="AM44"/>
  <c i="15" r="AM3"/>
  <c i="15" r="AL4"/>
  <c i="15" r="AL5"/>
  <c i="15" r="AL6"/>
  <c i="15" r="AL7"/>
  <c i="15" r="AL8"/>
  <c i="15" r="AL9"/>
  <c i="15" r="AL10"/>
  <c i="15" r="AL11"/>
  <c i="15" r="AL12"/>
  <c i="15" r="AL13"/>
  <c i="15" r="AL14"/>
  <c i="15" r="AL15"/>
  <c i="15" r="AL16"/>
  <c i="15" r="AL17"/>
  <c i="15" r="AL18"/>
  <c i="15" r="AL19"/>
  <c i="15" r="AL20"/>
  <c i="15" r="AO20" s="1"/>
  <c i="15" r="AL21"/>
  <c i="15" r="AL22"/>
  <c i="15" r="AL23"/>
  <c i="15" r="AO23" s="1"/>
  <c i="15" r="AL24"/>
  <c i="15" r="AL25"/>
  <c i="15" r="AL26"/>
  <c i="15" r="AL27"/>
  <c i="15" r="AL28"/>
  <c i="15" r="AL29"/>
  <c i="15" r="AL30"/>
  <c i="15" r="AL31"/>
  <c i="15" r="AL32"/>
  <c i="15" r="AL33"/>
  <c i="15" r="AL34"/>
  <c i="15" r="AL35"/>
  <c i="15" r="AL36"/>
  <c i="15" r="AL37"/>
  <c i="15" r="AL38"/>
  <c i="15" r="AL39"/>
  <c i="15" r="AL40"/>
  <c i="15" r="AL41"/>
  <c i="15" r="AL42"/>
  <c i="15" r="AL43"/>
  <c i="15" r="AL44"/>
  <c i="15" r="AL3"/>
  <c i="15" r="AI4"/>
  <c i="15" r="AI5"/>
  <c i="15" r="AI6"/>
  <c i="15" r="AI7"/>
  <c i="15" r="AI8"/>
  <c i="15" r="AI9"/>
  <c i="15" r="AI10"/>
  <c i="15" r="AI11"/>
  <c i="15" r="AI12"/>
  <c i="15" r="AI13"/>
  <c i="15" r="AI14"/>
  <c i="15" r="AI15"/>
  <c i="15" r="AI16"/>
  <c i="15" r="AI17"/>
  <c i="15" r="AI18"/>
  <c i="15" r="AI19"/>
  <c i="15" r="AI20"/>
  <c i="15" r="AI21"/>
  <c i="15" r="AI22"/>
  <c i="15" r="AI23"/>
  <c i="15" r="AI24"/>
  <c i="15" r="AI25"/>
  <c i="15" r="AI26"/>
  <c i="15" r="AI27"/>
  <c i="15" r="AI28"/>
  <c i="15" r="AI29"/>
  <c i="15" r="AI30"/>
  <c i="15" r="AI31"/>
  <c i="15" r="AI32"/>
  <c i="15" r="AI33"/>
  <c i="15" r="AI34"/>
  <c i="15" r="AI35"/>
  <c i="15" r="AI36"/>
  <c i="15" r="AI37"/>
  <c i="15" r="AI38"/>
  <c i="15" r="AI3"/>
  <c i="15" r="AH4"/>
  <c i="15" r="AH5"/>
  <c i="15" r="AH6"/>
  <c i="15" r="AH7"/>
  <c i="15" r="AH8"/>
  <c i="15" r="AH9"/>
  <c i="15" r="AH10"/>
  <c i="15" r="AH11"/>
  <c i="15" r="AH12"/>
  <c i="15" r="AH13"/>
  <c i="15" r="AH14"/>
  <c i="15" r="AH15"/>
  <c i="15" r="AH16"/>
  <c i="15" r="AH17"/>
  <c i="15" r="AH18"/>
  <c i="15" r="AH19"/>
  <c i="15" r="AH20"/>
  <c i="15" r="AH21"/>
  <c i="15" r="AH22"/>
  <c i="15" r="AH23"/>
  <c i="15" r="AH24"/>
  <c i="15" r="AH25"/>
  <c i="15" r="AH26"/>
  <c i="15" r="AH27"/>
  <c i="15" r="AH28"/>
  <c i="15" r="AH29"/>
  <c i="15" r="AH30"/>
  <c i="15" r="AH31"/>
  <c i="15" r="AH32"/>
  <c i="15" r="AH33"/>
  <c i="15" r="AH34"/>
  <c i="15" r="AH35"/>
  <c i="15" r="AH36"/>
  <c i="15" r="AH37"/>
  <c i="15" r="AH38"/>
  <c i="15" r="AH3"/>
  <c i="15" r="AG4"/>
  <c i="15" r="AG5"/>
  <c i="15" r="AG6"/>
  <c i="15" r="AG7"/>
  <c i="15" r="AG8"/>
  <c i="15" r="AG9"/>
  <c i="15" r="AG10"/>
  <c i="15" r="AG11"/>
  <c i="15" r="AG12"/>
  <c i="15" r="AG13"/>
  <c i="15" r="AG14"/>
  <c i="15" r="AG15"/>
  <c i="15" r="AG16"/>
  <c i="15" r="AG17"/>
  <c i="15" r="AG18"/>
  <c i="15" r="AG19"/>
  <c i="15" r="AG20"/>
  <c i="15" r="AG21"/>
  <c i="15" r="AG22"/>
  <c i="15" r="AG23"/>
  <c i="15" r="AG24"/>
  <c i="15" r="AG25"/>
  <c i="15" r="AG26"/>
  <c i="15" r="AG27"/>
  <c i="15" r="AG28"/>
  <c i="15" r="AG29"/>
  <c i="15" r="AG30"/>
  <c i="15" r="AG31"/>
  <c i="15" r="AG32"/>
  <c i="15" r="AG33"/>
  <c i="15" r="AG34"/>
  <c i="15" r="AG35"/>
  <c i="15" r="AG36"/>
  <c i="15" r="AG37"/>
  <c i="15" r="AG38"/>
  <c i="15" r="AG3"/>
  <c i="15" l="1" r="AY27"/>
  <c i="15" r="AY25"/>
  <c i="15" r="AY24"/>
  <c i="15" r="AY23"/>
  <c i="15" r="AO15"/>
  <c i="15" r="AO39"/>
  <c i="15" r="AJ29"/>
  <c i="15" r="AY28"/>
  <c i="15" r="AY4"/>
  <c i="15" r="BD14"/>
  <c i="15" r="AO21"/>
  <c i="15" r="AY26"/>
  <c i="15" r="AY41"/>
  <c i="15" r="AY39"/>
  <c i="15" r="AY15"/>
  <c i="15" r="AY36"/>
  <c i="15" r="AY12"/>
  <c i="15" r="AY34"/>
  <c i="15" r="AY10"/>
  <c i="15" r="AY33"/>
  <c i="15" r="AY9"/>
  <c i="15" r="AY32"/>
  <c i="15" r="AY8"/>
  <c i="15" r="AY31"/>
  <c i="15" r="AY30"/>
  <c i="15" r="AY6"/>
  <c i="15" r="AY29"/>
  <c i="15" r="AY17"/>
  <c i="15" r="AY40"/>
  <c i="15" r="AY16"/>
  <c i="15" r="AJ24"/>
  <c i="15" r="AO42"/>
  <c i="15" r="AO18"/>
  <c i="15" r="AJ27"/>
  <c i="15" r="AJ26"/>
  <c i="15" r="AJ25"/>
  <c i="15" r="AO43"/>
  <c i="15" r="AJ23"/>
  <c i="15" r="AO41"/>
  <c i="15" r="AY46"/>
  <c i="15" r="AY22"/>
  <c i="15" r="AO19"/>
  <c i="15" r="U107"/>
  <c i="15" r="AC107" s="1"/>
  <c i="15" r="AY48" s="1"/>
  <c i="15" r="U108"/>
  <c i="15" r="AC108" s="1"/>
  <c i="15" r="AY49" s="1"/>
  <c i="15" r="U122"/>
  <c i="15" r="AC122" s="1"/>
  <c i="15" r="U109"/>
  <c i="15" r="AC109" s="1"/>
  <c i="15" r="AY50" s="1"/>
  <c i="15" r="U110"/>
  <c i="15" r="AC110" s="1"/>
  <c i="15" r="AY51" s="1"/>
  <c i="15" r="U125"/>
  <c i="15" r="AC125" s="1"/>
  <c i="15" r="U111"/>
  <c i="15" r="AC111" s="1"/>
  <c i="15" r="AY52" s="1"/>
  <c i="15" r="U114"/>
  <c i="15" r="AC114" s="1"/>
  <c i="15" r="AY55" s="1"/>
  <c i="15" r="U112"/>
  <c i="15" r="AC112" s="1"/>
  <c i="15" r="AY53" s="1"/>
  <c i="15" r="U113"/>
  <c i="15" r="AC113" s="1"/>
  <c i="15" r="AY54" s="1"/>
  <c i="15" r="U121"/>
  <c i="15" r="AC121" s="1"/>
  <c i="15" r="U115"/>
  <c i="15" r="U123"/>
  <c i="15" r="AC123" s="1"/>
  <c i="15" r="U126"/>
  <c i="15" r="AC126" s="1"/>
  <c i="15" r="U116"/>
  <c i="15" r="U124"/>
  <c i="15" r="AC124" s="1"/>
  <c i="15" r="U106"/>
  <c i="15" r="U130"/>
  <c i="15" r="AC130" s="1"/>
  <c i="15" r="U127"/>
  <c i="15" r="AC127" s="1"/>
  <c i="15" r="U129"/>
  <c i="15" r="AC129" s="1"/>
  <c i="15" r="U128"/>
  <c i="15" r="AC128" s="1"/>
  <c i="15" r="U120"/>
  <c i="15" r="AC120" s="1"/>
  <c i="15" r="AY3"/>
  <c i="15" r="AO40"/>
  <c i="15" r="AO16"/>
  <c i="15" r="AY45"/>
  <c i="15" r="AO66"/>
  <c i="15" r="AO37"/>
  <c i="15" r="AY42"/>
  <c i="15" r="AY43"/>
  <c i="15" r="AJ17"/>
  <c i="15" r="AO35"/>
  <c i="15" r="AO11"/>
  <c i="15" r="AY19"/>
  <c i="15" r="AJ16"/>
  <c i="15" r="AO34"/>
  <c i="15" r="AO10"/>
  <c i="15" r="AO36"/>
  <c i="15" r="S127"/>
  <c i="15" r="AA127" s="1"/>
  <c i="15" r="S124"/>
  <c i="15" r="AA124" s="1"/>
  <c i="15" r="AJ3"/>
  <c i="15" r="S129"/>
  <c i="15" r="AA129" s="1"/>
  <c i="15" r="S130"/>
  <c i="15" r="AA130" s="1"/>
  <c i="15" r="S120"/>
  <c i="15" r="AA120" s="1"/>
  <c i="15" r="S106"/>
  <c i="15" r="S121"/>
  <c i="15" r="AA121" s="1"/>
  <c i="15" r="S122"/>
  <c i="15" r="AA122" s="1"/>
  <c i="15" r="S123"/>
  <c i="15" r="AA123" s="1"/>
  <c i="15" r="S125"/>
  <c i="15" r="AA125" s="1"/>
  <c i="15" r="S128"/>
  <c i="15" r="AA128" s="1"/>
  <c i="15" r="S126"/>
  <c i="15" r="AA126" s="1"/>
  <c i="15" r="AO33"/>
  <c i="15" r="AO9"/>
  <c i="15" r="AY38"/>
  <c i="15" r="AY44"/>
  <c i="15" r="AJ20"/>
  <c i="15" r="AJ14"/>
  <c i="15" r="AO32"/>
  <c i="15" r="AY37"/>
  <c i="15" r="AY13"/>
  <c i="15" r="AO38"/>
  <c i="15" r="AO12"/>
  <c i="15" r="AJ37"/>
  <c i="15" r="AJ13"/>
  <c i="15" r="AO31"/>
  <c i="15" r="AJ4"/>
  <c i="15" r="AJ36"/>
  <c i="15" r="AJ12"/>
  <c i="15" r="AO30"/>
  <c i="15" r="AY35"/>
  <c i="15" r="AY11"/>
  <c i="15" r="T106"/>
  <c i="15" r="AB106" s="1"/>
  <c i="15" r="AO44" s="1"/>
  <c i="15" r="T109"/>
  <c i="15" r="AB109" s="1"/>
  <c i="15" r="AO47" s="1"/>
  <c i="15" r="T126"/>
  <c i="15" r="AB126" s="1"/>
  <c i="15" r="T130"/>
  <c i="15" r="AB130" s="1"/>
  <c i="15" r="T121"/>
  <c i="15" r="AB121" s="1"/>
  <c i="15" r="T122"/>
  <c i="15" r="AB122" s="1"/>
  <c i="15" r="T123"/>
  <c i="15" r="AB123" s="1"/>
  <c i="15" r="T124"/>
  <c i="15" r="AB124" s="1"/>
  <c i="15" r="T125"/>
  <c i="15" r="AB125" s="1"/>
  <c i="15" r="T127"/>
  <c i="15" r="AB127" s="1"/>
  <c i="15" r="T129"/>
  <c i="15" r="AB129" s="1"/>
  <c i="15" r="T128"/>
  <c i="15" r="AB128" s="1"/>
  <c i="15" r="T120"/>
  <c i="15" r="AB120" s="1"/>
  <c i="15" r="T108"/>
  <c i="15" r="AB108" s="1"/>
  <c i="15" r="AO46" s="1"/>
  <c i="15" r="AO3"/>
  <c i="15" r="T107"/>
  <c i="15" r="AB107" s="1"/>
  <c i="15" r="AO45" s="1"/>
  <c i="15" r="T110"/>
  <c i="15" r="AB110" s="1"/>
  <c i="15" r="AO48" s="1"/>
  <c i="15" r="T112"/>
  <c i="15" r="AB112" s="1"/>
  <c i="15" r="AO50" s="1"/>
  <c i="15" r="T113"/>
  <c i="15" r="AB113" s="1"/>
  <c i="15" r="AO51" s="1"/>
  <c i="15" r="T111"/>
  <c i="15" r="AB111" s="1"/>
  <c i="15" r="AO49" s="1"/>
  <c i="15" r="T115"/>
  <c i="15" r="AB115" s="1"/>
  <c i="15" r="AO53" s="1"/>
  <c i="15" r="T116"/>
  <c i="15" r="AB116" s="1"/>
  <c i="15" r="AO54" s="1"/>
  <c i="15" r="T114"/>
  <c i="15" r="AB114" s="1"/>
  <c i="15" r="AO52" s="1"/>
  <c i="15" r="AJ18"/>
  <c i="15" r="AJ35"/>
  <c i="15" r="AJ11"/>
  <c i="15" r="AO29"/>
  <c i="15" r="AJ28"/>
  <c i="15" r="AY20"/>
  <c i="15" r="AJ34"/>
  <c i="15" r="AO4"/>
  <c i="15" r="AJ33"/>
  <c i="15" r="AJ21"/>
  <c i="15" r="AJ32"/>
  <c i="15" r="AO26"/>
  <c i="15" r="AJ31"/>
  <c i="15" r="AJ7"/>
  <c i="15" r="AO25"/>
  <c i="15" r="AJ60"/>
  <c i="15" r="AJ10"/>
  <c i="15" r="AO28"/>
  <c i="15" r="AJ30"/>
  <c i="15" r="AJ6"/>
  <c i="15" r="AO24"/>
  <c i="15" r="AC115"/>
  <c i="15" r="AY56" s="1"/>
  <c i="15" r="AC116"/>
  <c i="15" r="AY57" s="1"/>
  <c i="15" r="AC106"/>
  <c i="15" r="AY47" s="1"/>
  <c i="15" r="S109"/>
  <c i="15" r="S107"/>
  <c i="15" r="S110"/>
  <c i="15" r="S111"/>
  <c i="15" r="S112"/>
  <c i="15" r="S113"/>
  <c i="15" r="S114"/>
  <c i="15" r="S116"/>
  <c i="15" r="S115"/>
  <c i="15" r="S108"/>
  <c i="15" r="BD15"/>
  <c i="15" r="BD12"/>
  <c i="15" r="BD11"/>
  <c i="15" r="BD10"/>
  <c i="15" r="BD9"/>
  <c i="15" r="AT18"/>
  <c i="15" r="AT10"/>
  <c i="15" r="AT3"/>
  <c i="15" r="AT16"/>
  <c i="15" r="AT14"/>
  <c i="15" r="AT15"/>
  <c i="15" r="AT13"/>
  <c i="15" r="AT9"/>
  <c i="15" r="BD4"/>
  <c i="15" r="AT7"/>
  <c i="15" r="AT6"/>
  <c i="15" r="BD3"/>
  <c i="15" r="AT5"/>
  <c i="15" r="BD19"/>
  <c i="15" r="BD18"/>
  <c i="15" r="AT17"/>
  <c i="15" r="BD17"/>
  <c i="15" r="BD16"/>
  <c i="15" r="S46"/>
  <c i="15" r="V48"/>
  <c i="15" r="T44"/>
  <c i="15" r="S43"/>
  <c i="15" r="W48"/>
  <c i="15" r="U43"/>
  <c i="15" r="U48"/>
  <c i="15" r="U45"/>
  <c i="15" r="U44"/>
  <c i="15" r="V43"/>
  <c i="15" r="V45"/>
  <c i="15" r="V44"/>
  <c i="15" r="V47"/>
  <c i="15" r="W43"/>
  <c i="15" r="W45"/>
  <c i="15" r="W44"/>
  <c i="15" r="W47"/>
  <c i="15" r="S45"/>
  <c i="15" r="S44"/>
  <c i="15" r="S48"/>
  <c i="15" r="S47"/>
  <c i="15" r="T43"/>
  <c i="15" r="T50"/>
  <c i="15" r="T48"/>
  <c i="15" r="T47"/>
  <c i="15" r="T45"/>
  <c i="15" l="1" r="AO58"/>
  <c i="15" r="AY63"/>
  <c i="15" r="AO65"/>
  <c i="15" r="AJ55"/>
  <c i="15" r="AY60"/>
  <c i="15" r="AJ57"/>
  <c i="15" r="AJ54"/>
  <c i="15" r="AJ52"/>
  <c i="15" r="AJ51"/>
  <c i="15" r="AJ50"/>
  <c i="15" r="AY66"/>
  <c i="15" r="AY67"/>
  <c i="15" r="AJ59"/>
  <c i="15" r="AY65"/>
  <c i="15" r="AJ58"/>
  <c i="15" r="AY68"/>
  <c i="15" r="AJ53"/>
  <c i="15" r="AY62"/>
  <c i="15" r="AO61"/>
  <c i="15" r="AJ56"/>
  <c i="15" r="AY64"/>
  <c i="15" r="AO57"/>
  <c i="15" r="AY61"/>
  <c i="15" r="AO63"/>
  <c i="15" r="AY59"/>
  <c i="15" r="AO64"/>
  <c i="15" r="AO62"/>
  <c i="15" r="AO60"/>
  <c i="15" r="AO56"/>
  <c i="15" r="AO59"/>
  <c i="15" r="AY58"/>
  <c i="15" r="AO55"/>
  <c i="15" r="AJ49"/>
  <c i="7" r="R12"/>
  <c i="7" r="Q12"/>
  <c i="7" r="P12"/>
  <c i="7" r="O12"/>
  <c i="7" r="N12"/>
  <c i="7" r="M12"/>
  <c i="7" r="L12"/>
  <c i="1" r="H12"/>
  <c i="1" r="G12"/>
  <c i="5" r="H12"/>
  <c i="5" r="G12"/>
  <c i="10" r="H12"/>
  <c i="10" r="G12"/>
  <c i="8" r="H12"/>
  <c i="8" r="G12"/>
  <c i="6" r="H12"/>
  <c i="6" r="G12"/>
  <c i="9" r="H12"/>
  <c i="9" r="G12"/>
  <c i="4" r="H12"/>
  <c i="4" r="G12"/>
  <c i="5" l="1" r="I12"/>
  <c i="8" r="I12"/>
  <c i="10" r="I12"/>
  <c i="9" r="I12"/>
  <c i="6" r="I12"/>
  <c i="4" r="I12"/>
  <c i="7" r="S11"/>
  <c i="15" r="O24" s="1"/>
  <c i="7" r="S10"/>
  <c i="15" r="O23" s="1"/>
  <c i="7" r="S9"/>
  <c i="15" r="O22" s="1"/>
  <c i="7" r="S8"/>
  <c i="15" r="O21" s="1"/>
  <c i="7" r="S7"/>
  <c i="15" r="O20" s="1"/>
  <c i="7" r="S6"/>
  <c i="15" r="O19" s="1"/>
  <c i="7" r="S5"/>
  <c i="15" r="O18" s="1"/>
  <c i="15" l="1" r="O26"/>
  <c i="15" r="O38" s="1"/>
  <c i="15" r="W38" s="1"/>
  <c i="15" r="AD38" s="1"/>
  <c i="7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4" r="D10"/>
  <c i="4" r="D9"/>
  <c i="4" r="D8"/>
  <c i="4" r="D7"/>
  <c i="4" r="D6"/>
  <c i="4" r="D5"/>
  <c i="4" r="D4"/>
  <c i="15" r="D26" s="1"/>
  <c i="4" r="I11"/>
  <c i="15" r="L25" s="1"/>
  <c i="4" r="I10"/>
  <c i="15" r="L24" s="1"/>
  <c i="4" r="I9"/>
  <c i="15" r="L23" s="1"/>
  <c i="4" r="I8"/>
  <c i="15" r="L22" s="1"/>
  <c i="4" r="I7"/>
  <c i="15" r="L21" s="1"/>
  <c i="4" r="I6"/>
  <c i="15" r="L20" s="1"/>
  <c i="4" r="I5"/>
  <c i="15" r="L19" s="1"/>
  <c i="4" r="I4"/>
  <c i="15" r="L18" s="1"/>
  <c i="5" r="I11"/>
  <c i="15" r="M25" s="1"/>
  <c i="5" r="I10"/>
  <c i="15" r="M24" s="1"/>
  <c i="5" r="I9"/>
  <c i="15" r="M23" s="1"/>
  <c i="5" r="I8"/>
  <c i="15" r="M22" s="1"/>
  <c i="5" r="I7"/>
  <c i="15" r="M21" s="1"/>
  <c i="5" r="I6"/>
  <c i="15" r="M20" s="1"/>
  <c i="5" r="I5"/>
  <c i="15" r="M19" s="1"/>
  <c i="5" r="I4"/>
  <c i="15" r="M18" s="1"/>
  <c i="5" r="D11"/>
  <c i="5" r="D10"/>
  <c i="5" r="D9"/>
  <c i="5" r="D8"/>
  <c i="5" r="D7"/>
  <c i="5" r="D6"/>
  <c i="5" r="D5"/>
  <c i="5" r="D4"/>
  <c i="15" r="E26" s="1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7" r="I10"/>
  <c i="7" r="I9"/>
  <c i="7" r="I8"/>
  <c i="7" r="I7"/>
  <c i="7" r="I6"/>
  <c i="7" r="I5"/>
  <c i="7" r="H12"/>
  <c i="7" r="G12"/>
  <c i="7" r="F12"/>
  <c i="7" r="E12"/>
  <c i="7" r="D12"/>
  <c i="7" r="C12"/>
  <c i="7" r="B12"/>
  <c i="1" r="I11"/>
  <c i="1" r="I10"/>
  <c i="15" r="K24" s="1"/>
  <c i="1" r="I9"/>
  <c i="1" r="I8"/>
  <c i="15" r="K22" s="1"/>
  <c i="1" r="I7"/>
  <c i="15" r="K21" s="1"/>
  <c i="1" r="I6"/>
  <c i="15" r="K20" s="1"/>
  <c i="1" r="I5"/>
  <c i="15" r="K19" s="1"/>
  <c i="1" r="I4"/>
  <c i="15" r="K18" s="1"/>
  <c i="1" r="D11"/>
  <c i="1" r="D10"/>
  <c i="1" r="D9"/>
  <c i="1" r="D8"/>
  <c i="1" r="D7"/>
  <c i="1" r="D6"/>
  <c i="1" r="D5"/>
  <c i="1" r="D4"/>
  <c i="1" r="C12"/>
  <c i="1" r="B12"/>
  <c i="15" l="1" r="C26"/>
  <c i="15" r="O37"/>
  <c i="15" r="O31"/>
  <c i="15" r="N18"/>
  <c i="15" r="P18" s="1"/>
  <c i="15" r="N19"/>
  <c i="15" r="P19" s="1"/>
  <c i="15" r="N20"/>
  <c i="15" r="P20" s="1"/>
  <c i="15" r="N21"/>
  <c i="15" r="P21" s="1"/>
  <c i="15" r="N22"/>
  <c i="15" r="P22" s="1"/>
  <c i="15" r="N23"/>
  <c i="15" r="N24"/>
  <c i="15" r="P24" s="1"/>
  <c i="15" r="N25"/>
  <c i="15" r="C35"/>
  <c i="15" r="C31"/>
  <c i="15" r="L26"/>
  <c i="15" r="L37" s="1"/>
  <c i="15" r="O36"/>
  <c i="15" r="D38"/>
  <c i="15" r="E37"/>
  <c i="11" r="E9"/>
  <c i="15" r="K23"/>
  <c i="15" r="O33"/>
  <c i="15" r="M26"/>
  <c i="15" r="M36" s="1"/>
  <c i="11" r="E11"/>
  <c i="15" r="K25"/>
  <c i="15" r="O35"/>
  <c i="15" r="O34"/>
  <c i="15" r="O32"/>
  <c i="1" r="I12"/>
  <c i="11" r="E5"/>
  <c i="11" r="E10"/>
  <c i="11" r="E6"/>
  <c i="11" r="E8"/>
  <c i="11" r="E7"/>
  <c i="11" r="B10"/>
  <c i="4" r="D12"/>
  <c i="4" r="B17" s="1"/>
  <c i="11" r="B5"/>
  <c i="11" r="B7"/>
  <c i="11" r="B9"/>
  <c i="11" r="B4"/>
  <c i="11" r="B6"/>
  <c i="11" r="B8"/>
  <c i="6" r="H24"/>
  <c i="9" r="D12"/>
  <c i="9" r="C19" s="1"/>
  <c i="10" r="D12"/>
  <c i="10" r="C23" s="1"/>
  <c i="6" r="D12"/>
  <c i="6" r="B25" s="1"/>
  <c i="5" r="D12"/>
  <c i="5" r="D23" s="1"/>
  <c i="11" r="E4"/>
  <c i="8" r="I18"/>
  <c i="8" r="M31" s="1"/>
  <c i="7" r="I12"/>
  <c i="11" r="B11" s="1"/>
  <c i="8" r="D12"/>
  <c i="8" r="D24" s="1"/>
  <c i="1" r="D12"/>
  <c i="1" r="B25" s="1"/>
  <c i="7" l="1" r="I22"/>
  <c i="15" r="F26"/>
  <c i="15" r="F34" s="1"/>
  <c i="15" r="M33"/>
  <c i="15" r="O39"/>
  <c i="15" r="D34"/>
  <c i="15" r="E35"/>
  <c i="15" r="M31"/>
  <c i="15" r="D36"/>
  <c i="15" r="E34"/>
  <c i="15" r="E33"/>
  <c i="15" r="U33" s="1"/>
  <c i="15" r="AB33" s="1"/>
  <c i="15" r="AB57" s="1"/>
  <c i="15" r="E38"/>
  <c i="15" r="D33"/>
  <c i="15" r="T33" s="1"/>
  <c i="15" r="AA33" s="1"/>
  <c i="15" r="AA57" s="1"/>
  <c i="15" r="D32"/>
  <c i="15" r="D37"/>
  <c i="15" r="C34"/>
  <c i="15" r="K26"/>
  <c i="15" r="K38" s="1"/>
  <c i="15" r="M38"/>
  <c i="15" r="D31"/>
  <c i="10" r="C17"/>
  <c i="15" r="N26"/>
  <c i="15" r="C36"/>
  <c i="15" r="M32"/>
  <c i="15" r="D35"/>
  <c i="15" r="L32"/>
  <c i="15" r="E36"/>
  <c i="15" r="U36" s="1"/>
  <c i="15" r="AB36" s="1"/>
  <c i="15" r="AB60" s="1"/>
  <c i="15" r="L31"/>
  <c i="15" r="M35"/>
  <c i="15" r="M37"/>
  <c i="15" r="L33"/>
  <c i="15" r="M34"/>
  <c i="15" r="C38"/>
  <c i="15" r="C32"/>
  <c i="15" r="E31"/>
  <c i="15" r="E32"/>
  <c i="15" r="C37"/>
  <c i="15" r="P23"/>
  <c i="15" r="L35"/>
  <c i="15" r="C33"/>
  <c i="15" r="L34"/>
  <c i="15" r="L38"/>
  <c i="15" r="T38" s="1"/>
  <c i="15" r="AA38" s="1"/>
  <c i="15" r="AA62" s="1"/>
  <c i="15" r="L36"/>
  <c i="15" r="P25"/>
  <c i="6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H19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G18"/>
  <c i="9" r="G25"/>
  <c i="9" r="I21"/>
  <c i="9" r="H21"/>
  <c i="9" r="G21"/>
  <c i="9" r="I19"/>
  <c i="9" r="I24"/>
  <c i="9" r="G23"/>
  <c i="9" r="G22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15" l="1" r="AO14"/>
  <c i="15" r="AO6"/>
  <c i="9" r="G35"/>
  <c i="15" r="T36"/>
  <c i="15" r="AA36" s="1"/>
  <c i="15" r="AA60" s="1"/>
  <c i="15" r="K35"/>
  <c i="15" r="S35" s="1"/>
  <c i="15" r="Z35" s="1"/>
  <c i="15" r="Z59" s="1"/>
  <c i="15" r="AJ8" s="1"/>
  <c i="15" r="H26"/>
  <c i="15" r="G26"/>
  <c i="15" r="K37"/>
  <c i="15" r="K31"/>
  <c i="15" r="S31" s="1"/>
  <c i="15" r="Z31" s="1"/>
  <c i="15" r="Z55" s="1"/>
  <c i="15" r="AJ19" s="1"/>
  <c i="15" r="K34"/>
  <c i="15" r="S34" s="1"/>
  <c i="15" r="Z34" s="1"/>
  <c i="15" r="Z58" s="1"/>
  <c i="15" r="AJ5" s="1"/>
  <c i="15" r="K32"/>
  <c i="15" r="P26"/>
  <c i="7" r="S36"/>
  <c i="9" r="H36"/>
  <c i="5" r="G34"/>
  <c i="6" r="G35"/>
  <c i="15" r="K36"/>
  <c i="15" r="S36" s="1"/>
  <c i="15" r="Z36" s="1"/>
  <c i="15" r="Z60" s="1"/>
  <c i="15" r="AJ22" s="1"/>
  <c i="10" r="N38"/>
  <c i="5" r="H32"/>
  <c i="9" r="N35"/>
  <c i="4" r="N38"/>
  <c i="15" r="K33"/>
  <c i="15" r="S33" s="1"/>
  <c i="15" r="Z33" s="1"/>
  <c i="15" r="Z57" s="1"/>
  <c i="15" r="AJ9" s="1"/>
  <c i="9" r="H38"/>
  <c i="15" r="T35"/>
  <c i="15" r="AA35" s="1"/>
  <c i="15" r="AA59" s="1"/>
  <c i="15" r="F33"/>
  <c i="10" r="G35"/>
  <c i="10" r="H30"/>
  <c i="15" r="F31"/>
  <c i="15" r="F38"/>
  <c i="15" r="F32"/>
  <c i="15" r="T32"/>
  <c i="15" r="AA32" s="1"/>
  <c i="15" r="AA56" s="1"/>
  <c i="15" r="M39"/>
  <c i="15" r="N31"/>
  <c i="15" r="N32"/>
  <c i="15" r="N35"/>
  <c i="15" r="N33"/>
  <c i="15" r="N34"/>
  <c i="15" r="N38"/>
  <c i="15" r="N36"/>
  <c i="15" r="S32"/>
  <c i="15" r="Z32" s="1"/>
  <c i="15" r="Z56" s="1"/>
  <c i="15" r="AJ15" s="1"/>
  <c i="15" r="N37"/>
  <c i="15" r="L39"/>
  <c i="15" r="C39"/>
  <c i="15" r="F37"/>
  <c i="15" r="D39"/>
  <c i="15" r="T31"/>
  <c i="15" r="AA31" s="1"/>
  <c i="15" r="AA55" s="1"/>
  <c i="15" r="AO22" s="1"/>
  <c i="15" r="F35"/>
  <c i="15" r="F36"/>
  <c i="15" r="U32"/>
  <c i="15" r="AB32" s="1"/>
  <c i="15" r="AB56" s="1"/>
  <c i="15" r="E39"/>
  <c i="15" r="U31"/>
  <c i="15" r="AB31" s="1"/>
  <c i="15" r="AB55" s="1"/>
  <c i="6" r="N37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5" l="1" r="AO17"/>
  <c i="15" r="AO7"/>
  <c i="15" r="AO27"/>
  <c i="15" r="AO13"/>
  <c i="15" r="AO8"/>
  <c i="15" r="AO5"/>
  <c i="15" r="G36"/>
  <c i="15" r="W36" s="1"/>
  <c i="15" r="G37"/>
  <c i="15" r="G31"/>
  <c i="15" r="G34"/>
  <c i="15" r="G32"/>
  <c i="15" r="W32" s="1"/>
  <c i="15" r="G35"/>
  <c i="15" r="W35" s="1"/>
  <c i="15" r="G33"/>
  <c i="15" r="W33" s="1"/>
  <c i="15" r="G38"/>
  <c i="15" r="K39"/>
  <c i="15" r="V32"/>
  <c i="15" r="AC32" s="1"/>
  <c i="15" r="AC56" s="1"/>
  <c i="15" r="AY14" s="1"/>
  <c i="15" r="V33"/>
  <c i="15" r="AC33" s="1"/>
  <c i="15" r="AC57" s="1"/>
  <c i="15" r="AY7" s="1"/>
  <c i="15" r="V31"/>
  <c i="15" r="AC31" s="1"/>
  <c i="15" r="AC55" s="1"/>
  <c i="15" r="AY18" s="1"/>
  <c i="15" r="AT11"/>
  <c i="15" r="V36"/>
  <c i="15" r="AC36" s="1"/>
  <c i="15" r="AC60" s="1"/>
  <c i="15" r="AY21" s="1"/>
  <c i="15" r="V35"/>
  <c i="15" r="AC35" s="1"/>
  <c i="15" r="AC59" s="1"/>
  <c i="15" r="AY5" s="1"/>
  <c i="15" r="N39"/>
  <c i="15" r="AT8"/>
  <c i="15" r="F39"/>
  <c i="15" r="AT12"/>
  <c i="15" r="AT4"/>
  <c i="11" r="E33"/>
  <c i="11" r="E36"/>
  <c i="11" r="E34"/>
  <c i="11" r="E32"/>
  <c i="11" r="E35"/>
  <c i="11" r="E30"/>
  <c i="11" r="E38"/>
  <c i="11" r="E37"/>
  <c i="15" l="1" r="AD33"/>
  <c i="15" r="AD57" s="1"/>
  <c i="15" r="BD6" s="1"/>
  <c i="15" r="AD35"/>
  <c i="15" r="AD59" s="1"/>
  <c i="15" r="BD5" s="1"/>
  <c i="15" r="AD32"/>
  <c i="15" r="AD56" s="1"/>
  <c i="15" r="BD7" s="1"/>
  <c i="15" r="AD36"/>
  <c i="15" r="AD60" s="1"/>
  <c i="15" r="BD13" s="1"/>
  <c i="15" r="W31"/>
  <c i="15" r="G39"/>
  <c i="15" r="AA106"/>
  <c i="15" r="AA108"/>
  <c i="15" r="AA113"/>
  <c i="15" r="AA109"/>
  <c i="15" r="AA107"/>
  <c i="15" r="AA110"/>
  <c i="15" r="AA116"/>
  <c i="15" r="AA114"/>
  <c i="15" r="AA112"/>
  <c i="15" r="AA115"/>
  <c i="15" r="AA111"/>
  <c i="15" l="1" r="AJ43"/>
  <c i="15" r="AJ46"/>
  <c i="15" r="AJ44"/>
  <c i="15" r="AJ45"/>
  <c i="15" r="AJ48"/>
  <c i="15" r="AJ41"/>
  <c i="15" r="AJ40"/>
  <c i="15" r="AJ47"/>
  <c i="15" r="AJ42"/>
  <c i="15" r="AJ39"/>
  <c i="15" r="AJ38"/>
  <c i="15" r="AD31"/>
  <c i="15" r="AD55" s="1"/>
  <c i="15" r="BD8" s="1"/>
</calcChain>
</file>

<file path=xl/sharedStrings.xml><?xml version="1.0" encoding="utf-8"?>
<sst xmlns="http://schemas.openxmlformats.org/spreadsheetml/2006/main" count="2114" uniqueCount="320">
  <si>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</si>
  <si>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</si>
  <si>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</si>
  <si>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</si>
  <si>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</si>
  <si>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</si>
  <si>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</si>
  <si>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</si>
  <si>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</si>
  <si>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</si>
  <si>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</si>
  <si>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</si>
  <si>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</si>
  <si>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</si>
  <si>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</si>
  <si>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</si>
  <si>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</si>
  <si>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</si>
  <si>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</si>
  <si>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</si>
  <si>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</si>
  <si>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</si>
  <si>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</si>
  <si>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</si>
  <si>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</si>
  <si>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</si>
  <si>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</si>
  <si>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</si>
  <si>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</si>
  <si>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</si>
  <si>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</si>
  <si>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</si>
  <si>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</si>
  <si>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</si>
  <si>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</si>
  <si>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</si>
  <si>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</si>
  <si>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</si>
  <si>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</si>
  <si>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</si>
  <si>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</si>
  <si>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</si>
  <si>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</si>
  <si>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</si>
  <si>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</si>
  <si>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</si>
  <si>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</si>
  <si>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</si>
  <si>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</si>
  <si>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</si>
  <si>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</si>
  <si>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</si>
  <si>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</si>
  <si>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</si>
  <si>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</si>
  <si>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</si>
  <si>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</si>
  <si>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</si>
  <si>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</si>
  <si>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</si>
  <si>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</si>
  <si>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</si>
  <si>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</si>
  <si>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</si>
  <si>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</si>
  <si>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</si>
  <si>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</si>
  <si>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</si>
  <si>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</si>
  <si>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</si>
  <si>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</si>
  <si>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</si>
  <si>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</si>
  <si>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</si>
  <si>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</si>
  <si>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</si>
  <si>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</si>
  <si>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</si>
  <si>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</si>
  <si>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</si>
  <si>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</si>
  <si>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</si>
  <si>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</si>
  <si>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</si>
  <si>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</si>
  <si>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</si>
  <si>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</si>
  <si>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</si>
  <si>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</si>
  <si>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</si>
  <si>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</si>
  <si>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</si>
  <si>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</si>
  <si>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</si>
  <si>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</si>
  <si>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</si>
  <si>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</si>
  <si>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</si>
  <si>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</si>
  <si>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</si>
  <si>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</si>
  <si>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</si>
  <si>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</si>
  <si>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</si>
  <si>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</si>
  <si>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</si>
  <si>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</si>
  <si>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</si>
  <si>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</si>
  <si>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</si>
  <si>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</si>
  <si>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</si>
  <si>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</si>
  <si>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</si>
  <si>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</si>
  <si>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</si>
  <si>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</si>
  <si>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</si>
  <si>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</si>
  <si>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</si>
  <si>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</si>
  <si>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</si>
  <si>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</si>
  <si>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</si>
  <si>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</si>
  <si>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</si>
  <si>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</si>
  <si>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</si>
  <si>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</si>
  <si>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</si>
  <si>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</si>
  <si>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</si>
  <si>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</si>
  <si>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</si>
  <si>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</si>
  <si>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</si>
  <si>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</si>
  <si>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</si>
  <si>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</si>
  <si>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</si>
  <si>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</si>
  <si>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</si>
  <si>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</si>
  <si>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</si>
  <si>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</si>
  <si>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</si>
  <si>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</si>
  <si>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</si>
  <si>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</si>
  <si>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</si>
  <si>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</si>
  <si>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</si>
  <si>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</si>
  <si>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</si>
  <si>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</si>
  <si>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</si>
  <si>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</si>
  <si>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</si>
  <si>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</si>
  <si>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</si>
  <si>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</si>
  <si>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</si>
  <si>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</si>
  <si>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</si>
  <si>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</si>
  <si>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</si>
  <si>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</si>
  <si>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</si>
  <si>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</si>
  <si>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</si>
  <si>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</si>
  <si>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</si>
  <si>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</si>
  <si>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</si>
  <si>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</si>
  <si>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</si>
  <si>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</si>
  <si>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</si>
  <si>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</si>
  <si>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</si>
  <si>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</si>
  <si>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</si>
  <si>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</si>
  <si>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</si>
  <si>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</si>
  <si>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</si>
  <si>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</si>
  <si>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</si>
  <si>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</si>
  <si>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</si>
  <si>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</si>
  <si>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</si>
  <si>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</si>
  <si>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</si>
  <si>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</si>
  <si>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</si>
  <si>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</si>
  <si>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</si>
  <si>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</si>
  <si>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</si>
  <si>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</si>
  <si>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</si>
  <si>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</si>
  <si>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</si>
  <si>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</si>
  <si>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</si>
  <si>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</si>
  <si>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</si>
  <si>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</si>
  <si>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</si>
  <si>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</si>
  <si>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</si>
  <si>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</si>
  <si>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</si>
  <si>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</si>
  <si>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</si>
  <si>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</si>
  <si>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</si>
  <si>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</si>
  <si>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</si>
  <si>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</si>
  <si>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</si>
  <si>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</si>
  <si>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</si>
  <si>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</si>
  <si>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</si>
  <si>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</si>
  <si>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</si>
  <si>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</si>
  <si>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</si>
  <si>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</si>
  <si>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</si>
  <si>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</si>
  <si>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</si>
  <si>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</si>
  <si>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</si>
  <si>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</si>
  <si>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</si>
  <si>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</si>
  <si>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</si>
  <si>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</si>
  <si>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</si>
  <si>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</si>
  <si>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</si>
  <si>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</si>
  <si>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</si>
  <si>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</si>
  <si>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</si>
  <si>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</si>
  <si>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</si>
  <si>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</si>
  <si>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</si>
  <si>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</si>
  <si>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</si>
  <si>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</si>
  <si>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</si>
  <si>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</si>
  <si>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</si>
  <si>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</si>
  <si>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</si>
  <si>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</si>
  <si>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</si>
  <si>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</si>
  <si>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</si>
  <si>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</si>
  <si>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</si>
  <si>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</si>
  <si>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</si>
  <si>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</si>
  <si>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</si>
  <si>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</si>
  <si>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</si>
  <si>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</si>
  <si>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</si>
  <si>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</si>
  <si>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</si>
  <si>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</si>
  <si>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</si>
  <si>
    <t>District</t>
  </si>
  <si>
    <t>o_district</t>
  </si>
  <si>
    <t>pdpurp</t>
  </si>
  <si>
    <t>toexpfac</t>
  </si>
  <si>
    <t>d_district</t>
  </si>
  <si>
    <t>&gt;3</t>
  </si>
  <si>
    <t>Origin District</t>
  </si>
  <si>
    <t>Destination District</t>
  </si>
  <si>
    <t>other</t>
  </si>
  <si>
    <t>origin district</t>
  </si>
  <si>
    <t>destination district</t>
  </si>
  <si>
    <t>flag</t>
  </si>
  <si>
    <t>BKR</t>
  </si>
  <si>
    <t>Transit Tours by Origin District</t>
  </si>
  <si>
    <t>Transit Tours by Destination District</t>
  </si>
  <si>
    <t>share</t>
  </si>
  <si>
    <t>Damp</t>
  </si>
  <si>
    <t>damp</t>
  </si>
  <si>
    <t>Origin</t>
  </si>
  <si>
    <t>Destination</t>
  </si>
  <si>
    <t>odistcont1-tr</t>
  </si>
  <si>
    <t>odistcont2-tr</t>
  </si>
  <si>
    <t>odistcont3-tr</t>
  </si>
  <si>
    <t>odistcont4-tr</t>
  </si>
  <si>
    <t>odistcont5-tr</t>
  </si>
  <si>
    <t>odistcont6-tr</t>
  </si>
  <si>
    <t>odistcont7-tr</t>
  </si>
  <si>
    <t>odistcont8-tr</t>
  </si>
  <si>
    <t>odistcont9-tr</t>
  </si>
  <si>
    <t>odistcon10-tr</t>
  </si>
  <si>
    <t>odistcon11-tr</t>
  </si>
  <si>
    <t>ddistcont1-tr</t>
  </si>
  <si>
    <t>ddistcont2-tr</t>
  </si>
  <si>
    <t>ddistcont3-tr</t>
  </si>
  <si>
    <t>ddistcont4-tr</t>
  </si>
  <si>
    <t>ddistcont5-tr</t>
  </si>
  <si>
    <t>ddistcont6-tr</t>
  </si>
  <si>
    <t>ddistcont7-tr</t>
  </si>
  <si>
    <t>ddistcont8-tr</t>
  </si>
  <si>
    <t>ddistcont9-tr</t>
  </si>
  <si>
    <t>ddistcon10-tr</t>
  </si>
  <si>
    <t>ddistcon11-tr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</si>
</sst>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_(* #,##0_);_(* \(#,##0\);_(* &quot;-&quot;??_);_(@_)"/>
    <numFmt numFmtId="168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  <xf applyAlignment="0" applyBorder="0" applyFill="0" applyFont="0" applyProtection="0" borderId="0" fillId="0" fontId="4" numFmtId="9"/>
  </cellStyleXfs>
  <cellXfs count="95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Border="1" applyFill="1" applyNumberFormat="1" borderId="4" fillId="0" fontId="0" numFmtId="3" xfId="0"/>
    <xf applyAlignment="1" applyNumberFormat="1" borderId="0" fillId="0" fontId="0" numFmtId="3" quotePrefix="1" xfId="0">
      <alignment horizontal="right"/>
    </xf>
    <xf applyNumberFormat="1" borderId="0" fillId="0" fontId="0" numFmtId="9" xfId="0"/>
    <xf applyBorder="1" applyNumberFormat="1" borderId="4" fillId="0" fontId="0" numFmtId="9" xfId="0"/>
    <xf applyNumberFormat="1" borderId="0" fillId="0" fontId="0" numFmtId="2" xfId="0"/>
    <xf applyBorder="1" borderId="0" fillId="0" fontId="0" numFmtId="0" xfId="0"/>
    <xf applyBorder="1" applyNumberFormat="1" borderId="3" fillId="0" fontId="0" numFmtId="2" xfId="0"/>
    <xf applyBorder="1" applyNumberFormat="1" borderId="0" fillId="0" fontId="0" numFmtId="9" xfId="0"/>
    <xf applyBorder="1" applyFill="1" applyNumberFormat="1" borderId="5" fillId="0" fontId="0" numFmtId="3" xfId="0"/>
    <xf applyBorder="1" applyNumberFormat="1" borderId="5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NumberFormat="1" borderId="0" fillId="0" fontId="0" numFmtId="0" xfId="0"/>
    <xf applyBorder="1" applyNumberFormat="1" borderId="3" fillId="0" fontId="0" numFmtId="0" xfId="0"/>
    <xf applyFill="1" borderId="0" fillId="6" fontId="0" numFmtId="0" xfId="0"/>
    <xf applyNumberFormat="1" borderId="0" fillId="0" fontId="0" numFmtId="166" xfId="0"/>
    <xf applyFill="1" applyNumberFormat="1" borderId="0" fillId="6" fontId="0" numFmtId="166" xfId="0"/>
    <xf applyBorder="1" applyNumberFormat="1" borderId="0" fillId="0" fontId="0" numFmtId="2" xfId="0"/>
    <xf applyBorder="1" applyFill="1" applyFont="1" applyNumberFormat="1" borderId="0" fillId="0" fontId="6" numFmtId="3" xfId="0"/>
    <xf applyFill="1" borderId="0" fillId="0" fontId="0" numFmtId="0" xfId="0"/>
    <xf applyFill="1" applyNumberFormat="1" borderId="0" fillId="0" fontId="0" numFmtId="2" xfId="0"/>
    <xf applyFill="1" applyFont="1" borderId="0" fillId="6" fontId="6" numFmtId="0" xfId="0"/>
    <xf applyFill="1" borderId="0" fillId="7" fontId="0" numFmtId="0" xfId="0"/>
    <xf applyFill="1" applyFont="1" borderId="0" fillId="0" fontId="6" numFmtId="0" xfId="0"/>
    <xf applyFont="1" borderId="0" fillId="0" fontId="7" numFmtId="0" xfId="0"/>
    <xf applyFont="1" borderId="0" fillId="0" fontId="0" numFmtId="0" xfId="0"/>
    <xf applyFont="1" borderId="0" fillId="0" fontId="8" numFmtId="0" xfId="0"/>
    <xf applyFont="1" borderId="0" fillId="0" fontId="9" numFmtId="0" xfId="0"/>
    <xf applyFont="1" applyNumberFormat="1" borderId="0" fillId="0" fontId="0" numFmtId="167" xfId="8"/>
    <xf applyNumberFormat="1" borderId="0" fillId="0" fontId="0" numFmtId="167" xfId="0"/>
    <xf applyBorder="1" applyFont="1" applyNumberFormat="1" borderId="1" fillId="0" fontId="1" numFmtId="167" xfId="0"/>
    <xf applyBorder="1" applyFont="1" applyNumberFormat="1" borderId="3" fillId="0" fontId="0" numFmtId="167" xfId="8"/>
    <xf applyBorder="1" applyNumberFormat="1" borderId="3" fillId="0" fontId="0" numFmtId="167" xfId="0"/>
    <xf applyFont="1" borderId="0" fillId="0" fontId="0" numFmtId="9" xfId="9"/>
    <xf applyBorder="1" applyFont="1" borderId="3" fillId="0" fontId="0" numFmtId="9" xfId="9"/>
    <xf applyBorder="1" applyFont="1" borderId="4" fillId="0" fontId="1" numFmtId="0" xfId="0"/>
    <xf applyBorder="1" applyFont="1" borderId="4" fillId="0" fontId="0" numFmtId="9" xfId="9"/>
    <xf applyNumberFormat="1" borderId="0" fillId="0" fontId="0" numFmtId="168" xfId="0"/>
    <xf applyBorder="1" applyNumberFormat="1" borderId="3" fillId="0" fontId="0" numFmtId="168" xfId="0"/>
    <xf applyAlignment="1" applyBorder="1" borderId="3" fillId="0" fontId="0" numFmtId="0" xfId="0">
      <alignment horizontal="right"/>
    </xf>
    <xf applyFill="1" borderId="0" fillId="8" fontId="0" numFmtId="0" xfId="0"/>
    <xf applyAlignment="1" applyBorder="1" applyNumberFormat="1" borderId="5" fillId="0" fontId="0" numFmtId="2" xfId="0">
      <alignment horizontal="right"/>
    </xf>
    <xf applyAlignment="1" applyBorder="1" applyNumberFormat="1" borderId="0" fillId="0" fontId="0" numFmtId="2" xfId="0">
      <alignment horizontal="right"/>
    </xf>
    <xf applyAlignment="1" applyBorder="1" applyNumberFormat="1" borderId="3" fillId="0" fontId="0" numFmtId="2" xfId="0">
      <alignment horizontal="right"/>
    </xf>
    <xf applyBorder="1" borderId="6" fillId="0" fontId="0" numFmtId="0" xfId="0"/>
    <xf applyBorder="1" applyNumberFormat="1" borderId="0" fillId="0" fontId="0" numFmtId="168" xfId="0"/>
    <xf applyAlignment="1" borderId="0" fillId="0" fontId="0" numFmtId="0" xfId="0">
      <alignment horizontal="center"/>
    </xf>
    <xf applyBorder="1" applyNumberFormat="1" borderId="3" fillId="0" fontId="0" numFmtId="166" xfId="0"/>
    <xf applyAlignment="1" applyBorder="1" applyFill="1" borderId="3" fillId="0" fontId="0" numFmtId="0" xfId="0">
      <alignment horizontal="right"/>
    </xf>
    <xf applyBorder="1" applyNumberFormat="1" borderId="5" fillId="0" fontId="0" numFmtId="166" xfId="0"/>
    <xf applyBorder="1" applyNumberFormat="1" borderId="0" fillId="0" fontId="0" numFmtId="166" xfId="0"/>
    <xf applyFill="1" applyNumberFormat="1" borderId="0" fillId="7" fontId="0" numFmtId="168" xfId="0"/>
    <xf applyFill="1" applyNumberFormat="1" borderId="0" fillId="6" fontId="0" numFmtId="168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theme/theme1.xml" Type="http://schemas.openxmlformats.org/officeDocument/2006/relationships/theme"/>
<Relationship Id="rId2" Target="worksheets/sheet2.xml" Type="http://schemas.openxmlformats.org/officeDocument/2006/relationships/worksheet"/>
<Relationship Id="rId20" Target="styles.xml" Type="http://schemas.openxmlformats.org/officeDocument/2006/relationships/styles"/>
<Relationship Id="rId21" Target="sharedStrings.xml" Type="http://schemas.openxmlformats.org/officeDocument/2006/relationships/sharedStrings"/>
<Relationship Id="rId22" Target="calcChain.xml" Type="http://schemas.openxmlformats.org/officeDocument/2006/relationships/calcChain"/>
<Relationship Id="rId23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E38"/>
  <sheetViews>
    <sheetView workbookViewId="0">
      <selection activeCell="H23" sqref="H23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ht="15.75" r="2" spans="1: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2059001.0613659136</v>
      </c>
      <c r="D4" s="9" t="s">
        <v>1</v>
      </c>
      <c r="E4" s="9">
        <f>SUM(Work!I4,Workbased!S5,School!I4,Escort!I4,Personal_Business!I4,Shop!I4,Meal!I4,SocRec!I4)</f>
        <v>2121653</v>
      </c>
    </row>
    <row r="5" spans="1:5" x14ac:dyDescent="0.25">
      <c r="A5" s="9" t="s">
        <v>2</v>
      </c>
      <c r="B5" s="9">
        <f>SUM(Work!D5,Workbased!I6,School!D5,Escort!D5,Personal_Business!D5,Shop!D5,Meal!D5,SocRec!D5)</f>
        <v>1339891.9101259436</v>
      </c>
      <c r="D5" s="9" t="s">
        <v>2</v>
      </c>
      <c r="E5" s="9">
        <f>SUM(Work!I5,Workbased!S6,School!I5,Escort!I5,Personal_Business!I5,Shop!I5,Meal!I5,SocRec!I5)</f>
        <v>1421357</v>
      </c>
    </row>
    <row r="6" spans="1:5" x14ac:dyDescent="0.25">
      <c r="A6" s="9" t="s">
        <v>3</v>
      </c>
      <c r="B6" s="9">
        <f>SUM(Work!D6,Workbased!I7,School!D6,Escort!D6,Personal_Business!D6,Shop!D6,Meal!D6,SocRec!D6)</f>
        <v>1196740.2737835275</v>
      </c>
      <c r="D6" s="9" t="s">
        <v>3</v>
      </c>
      <c r="E6" s="9">
        <f>SUM(Work!I6,Workbased!S7,School!I6,Escort!I6,Personal_Business!I6,Shop!I6,Meal!I6,SocRec!I6)</f>
        <v>1251213</v>
      </c>
    </row>
    <row r="7" spans="1:5" x14ac:dyDescent="0.25">
      <c r="A7" s="9" t="s">
        <v>4</v>
      </c>
      <c r="B7" s="9">
        <f>SUM(Work!D7,Workbased!I8,School!D7,Escort!D7,Personal_Business!D7,Shop!D7,Meal!D7,SocRec!D7)</f>
        <v>55903.157568867289</v>
      </c>
      <c r="D7" s="9" t="s">
        <v>4</v>
      </c>
      <c r="E7" s="9">
        <f>SUM(Work!I7,Workbased!S8,School!I7,Escort!I7,Personal_Business!I7,Shop!I7,Meal!I7,SocRec!I7)</f>
        <v>50462</v>
      </c>
    </row>
    <row r="8" spans="1:5" x14ac:dyDescent="0.25">
      <c r="A8" s="9" t="s">
        <v>5</v>
      </c>
      <c r="B8" s="9">
        <f>SUM(Work!D8,Workbased!I9,School!D8,Escort!D8,Personal_Business!D8,Shop!D8,Meal!D8,SocRec!D8)</f>
        <v>354256.8459214177</v>
      </c>
      <c r="D8" s="9" t="s">
        <v>5</v>
      </c>
      <c r="E8" s="9">
        <f>SUM(Work!I8,Workbased!S9,School!I8,Escort!I8,Personal_Business!I8,Shop!I8,Meal!I8,SocRec!I8)</f>
        <v>186167</v>
      </c>
    </row>
    <row r="9" spans="1:5" x14ac:dyDescent="0.25">
      <c r="A9" s="9" t="s">
        <v>6</v>
      </c>
      <c r="B9" s="9">
        <f>SUM(Work!D9,Workbased!I10,School!D9,Escort!D9,Personal_Business!D9,Shop!D9,Meal!D9,SocRec!D9)</f>
        <v>81898.282414967602</v>
      </c>
      <c r="D9" s="9" t="s">
        <v>6</v>
      </c>
      <c r="E9" s="9">
        <f>SUM(Work!I9,Workbased!S10,School!I9,Escort!I9,Personal_Business!I9,Shop!I9,Meal!I9,SocRec!I9)</f>
        <v>87412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738869.64401924715</v>
      </c>
      <c r="D10" s="9" t="s">
        <v>7</v>
      </c>
      <c r="E10" s="9">
        <f>SUM(Work!I10,Workbased!S11,School!I10,Escort!I10,Personal_Business!I10,Shop!I10,Meal!I10,SocRec!I10)</f>
        <v>659141</v>
      </c>
    </row>
    <row r="11" spans="1:5" x14ac:dyDescent="0.25">
      <c r="A11" s="14" t="s">
        <v>8</v>
      </c>
      <c r="B11" s="14">
        <f>SUM(Work!D11,Workbased!I12,School!D11,Escort!D11,Personal_Business!D11,Shop!D11,Meal!D11,SocRec!D11)</f>
        <v>389300.92202213482</v>
      </c>
      <c r="D11" s="14" t="s">
        <v>8</v>
      </c>
      <c r="E11" s="14">
        <f>SUM(Work!I11,School!I11,Escort!I11,Personal_Business!I11,Shop!I11,Meal!I11,SocRec!I11)</f>
        <v>204818</v>
      </c>
    </row>
    <row ht="15.75" r="12" spans="1:5" thickBot="1" x14ac:dyDescent="0.3">
      <c r="A12" s="13" t="s">
        <v>19</v>
      </c>
      <c r="B12" s="10">
        <f>SUM(B4:B11)</f>
        <v>6215862.097222019</v>
      </c>
      <c r="D12" s="13" t="s">
        <v>19</v>
      </c>
      <c r="E12" s="10">
        <f>SUM(E4:E11)</f>
        <v>5982223</v>
      </c>
    </row>
    <row r="14" spans="1:5" x14ac:dyDescent="0.25">
      <c r="E14" s="8"/>
    </row>
    <row ht="15.75" r="15" spans="1: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0" t="shared">B4/$B$12</f>
        <v>0.33124947580257907</v>
      </c>
      <c r="D17" s="9" t="s">
        <v>1</v>
      </c>
      <c r="E17" s="16">
        <f ref="E17:E25" si="1" t="shared">E4/$E$12</f>
        <v>0.35465963070918621</v>
      </c>
    </row>
    <row r="18" spans="1:5" x14ac:dyDescent="0.25">
      <c r="A18" s="9" t="s">
        <v>2</v>
      </c>
      <c r="B18" s="16">
        <f si="0" t="shared"/>
        <v>0.21556010882621826</v>
      </c>
      <c r="D18" s="9" t="s">
        <v>2</v>
      </c>
      <c r="E18" s="16">
        <f si="1" t="shared"/>
        <v>0.23759679303162051</v>
      </c>
    </row>
    <row r="19" spans="1:5" x14ac:dyDescent="0.25">
      <c r="A19" s="9" t="s">
        <v>3</v>
      </c>
      <c r="B19" s="16">
        <f si="0" t="shared"/>
        <v>0.19253005537532314</v>
      </c>
      <c r="D19" s="9" t="s">
        <v>3</v>
      </c>
      <c r="E19" s="16">
        <f si="1" t="shared"/>
        <v>0.20915519197462215</v>
      </c>
    </row>
    <row r="20" spans="1:5" x14ac:dyDescent="0.25">
      <c r="A20" s="9" t="s">
        <v>4</v>
      </c>
      <c r="B20" s="16">
        <f si="0" t="shared"/>
        <v>8.9936289921636811E-3</v>
      </c>
      <c r="D20" s="9" t="s">
        <v>4</v>
      </c>
      <c r="E20" s="16">
        <f si="1" t="shared"/>
        <v>8.4353257977845368E-3</v>
      </c>
    </row>
    <row r="21" spans="1:5" x14ac:dyDescent="0.25">
      <c r="A21" s="9" t="s">
        <v>5</v>
      </c>
      <c r="B21" s="16">
        <f si="0" t="shared"/>
        <v>5.6992391462439534E-2</v>
      </c>
      <c r="D21" s="9" t="s">
        <v>5</v>
      </c>
      <c r="E21" s="16">
        <f si="1" t="shared"/>
        <v>3.1120036815745586E-2</v>
      </c>
    </row>
    <row r="22" spans="1:5" x14ac:dyDescent="0.25">
      <c r="A22" s="9" t="s">
        <v>6</v>
      </c>
      <c r="B22" s="16">
        <f si="0" t="shared"/>
        <v>1.3175691663360649E-2</v>
      </c>
      <c r="D22" s="9" t="s">
        <v>6</v>
      </c>
      <c r="E22" s="16">
        <f si="1" t="shared"/>
        <v>1.4611959467241526E-2</v>
      </c>
    </row>
    <row r="23" spans="1:5" x14ac:dyDescent="0.25">
      <c r="A23" s="9" t="s">
        <v>7</v>
      </c>
      <c r="B23" s="16">
        <f si="0" t="shared"/>
        <v>0.1188684099586864</v>
      </c>
      <c r="D23" s="9" t="s">
        <v>7</v>
      </c>
      <c r="E23" s="16">
        <f si="1" t="shared"/>
        <v>0.11018328805194992</v>
      </c>
    </row>
    <row r="24" spans="1:5" x14ac:dyDescent="0.25">
      <c r="A24" s="14" t="s">
        <v>8</v>
      </c>
      <c r="B24" s="17">
        <f si="0" t="shared"/>
        <v>6.2630237919229323E-2</v>
      </c>
      <c r="D24" s="14" t="s">
        <v>8</v>
      </c>
      <c r="E24" s="17">
        <f si="1" t="shared"/>
        <v>3.4237774151849573E-2</v>
      </c>
    </row>
    <row ht="15.75" r="25" spans="1:5" thickBot="1" x14ac:dyDescent="0.3">
      <c r="A25" s="13" t="s">
        <v>19</v>
      </c>
      <c r="B25" s="18">
        <f si="0" t="shared"/>
        <v>1</v>
      </c>
      <c r="D25" s="13" t="s">
        <v>19</v>
      </c>
      <c r="E25" s="18">
        <f si="1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2.3410154906607139E-2</v>
      </c>
    </row>
    <row r="31" spans="1:5" x14ac:dyDescent="0.25">
      <c r="D31" s="9" t="s">
        <v>2</v>
      </c>
      <c r="E31" s="16">
        <f ref="E31:E36" si="2" t="shared">E18-B18</f>
        <v>2.2036684205402252E-2</v>
      </c>
    </row>
    <row r="32" spans="1:5" x14ac:dyDescent="0.25">
      <c r="D32" s="9" t="s">
        <v>3</v>
      </c>
      <c r="E32" s="16">
        <f si="2" t="shared"/>
        <v>1.6625136599299012E-2</v>
      </c>
    </row>
    <row r="33" spans="4:5" x14ac:dyDescent="0.25">
      <c r="D33" s="9" t="s">
        <v>4</v>
      </c>
      <c r="E33" s="16">
        <f si="2" t="shared"/>
        <v>-5.583031943791443E-4</v>
      </c>
    </row>
    <row r="34" spans="4:5" x14ac:dyDescent="0.25">
      <c r="D34" s="9" t="s">
        <v>5</v>
      </c>
      <c r="E34" s="16">
        <f si="2" t="shared"/>
        <v>-2.5872354646693949E-2</v>
      </c>
    </row>
    <row r="35" spans="4:5" x14ac:dyDescent="0.25">
      <c r="D35" s="9" t="s">
        <v>6</v>
      </c>
      <c r="E35" s="16">
        <f si="2" t="shared"/>
        <v>1.4362678038808765E-3</v>
      </c>
    </row>
    <row r="36" spans="4:5" x14ac:dyDescent="0.25">
      <c r="D36" s="9" t="s">
        <v>7</v>
      </c>
      <c r="E36" s="16">
        <f si="2" t="shared"/>
        <v>-8.6851219067364815E-3</v>
      </c>
    </row>
    <row r="37" spans="4:5" x14ac:dyDescent="0.25">
      <c r="D37" s="14" t="s">
        <v>8</v>
      </c>
      <c r="E37" s="17">
        <f>E24-B24</f>
        <v>-2.839246376737975E-2</v>
      </c>
    </row>
    <row ht="15.75" r="38" spans="4:5" thickBot="1" x14ac:dyDescent="0.3">
      <c r="D38" s="13" t="s">
        <v>19</v>
      </c>
      <c r="E38" s="18">
        <f>E25-B25</f>
        <v>0</v>
      </c>
    </row>
  </sheetData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755.4986639172</v>
      </c>
      <c r="C4" s="9" t="n">
        <v>1034246.8449067186</v>
      </c>
      <c r="D4" s="9">
        <f>SUM(B4:C4)</f>
        <v>1035002.3435706358</v>
      </c>
      <c r="F4" s="9" t="s">
        <v>1</v>
      </c>
      <c r="G4" s="9" t="n">
        <v>0.0</v>
      </c>
      <c r="H4" s="9" t="n">
        <v>1088085.0</v>
      </c>
      <c r="I4" s="9">
        <f>SUM(G4:H4)</f>
        <v>1088376</v>
      </c>
    </row>
    <row r="5" spans="1:9" x14ac:dyDescent="0.25">
      <c r="A5" s="9" t="s">
        <v>2</v>
      </c>
      <c r="B5" s="9" t="n">
        <v>2607.3955390933997</v>
      </c>
      <c r="C5" s="9" t="n">
        <v>228412.4809898665</v>
      </c>
      <c r="D5" s="9">
        <f ref="D5:D11" si="0" t="shared">SUM(B5:C5)</f>
        <v>231019.87652895993</v>
      </c>
      <c r="F5" s="9" t="s">
        <v>2</v>
      </c>
      <c r="G5" s="9" t="n">
        <v>7554.0</v>
      </c>
      <c r="H5" s="9" t="n">
        <v>298257.0</v>
      </c>
      <c r="I5" s="9">
        <f ref="I5:I11" si="1" t="shared">SUM(G5:H5)</f>
        <v>303185</v>
      </c>
    </row>
    <row r="6" spans="1:9" x14ac:dyDescent="0.25">
      <c r="A6" s="9" t="s">
        <v>3</v>
      </c>
      <c r="B6" s="9" t="n">
        <v>785.8655753408</v>
      </c>
      <c r="C6" s="9" t="n">
        <v>120696.7259558001</v>
      </c>
      <c r="D6" s="9">
        <f si="0" t="shared"/>
        <v>121482.59153114089</v>
      </c>
      <c r="F6" s="9" t="s">
        <v>3</v>
      </c>
      <c r="G6" s="9" t="n">
        <v>3894.0</v>
      </c>
      <c r="H6" s="9" t="n">
        <v>159483.0</v>
      </c>
      <c r="I6" s="9">
        <f si="1" t="shared"/>
        <v>164881</v>
      </c>
    </row>
    <row r="7" spans="1:9" x14ac:dyDescent="0.25">
      <c r="A7" s="9" t="s">
        <v>4</v>
      </c>
      <c r="B7" s="9" t="n">
        <v>10.4025</v>
      </c>
      <c r="C7" s="9" t="n">
        <v>46623.9482949004</v>
      </c>
      <c r="D7" s="9">
        <f si="0" t="shared"/>
        <v>46634.350794900398</v>
      </c>
      <c r="F7" s="9" t="s">
        <v>4</v>
      </c>
      <c r="G7" s="9" t="n">
        <v>1911.0</v>
      </c>
      <c r="H7" s="9" t="n">
        <v>43781.0</v>
      </c>
      <c r="I7" s="9">
        <f si="1" t="shared"/>
        <v>50462</v>
      </c>
    </row>
    <row r="8" spans="1:9" x14ac:dyDescent="0.25">
      <c r="A8" s="9" t="s">
        <v>5</v>
      </c>
      <c r="B8" s="9" t="n">
        <v>41650.9023656249</v>
      </c>
      <c r="C8" s="9" t="n">
        <v>152407.3949883271</v>
      </c>
      <c r="D8" s="9">
        <f si="0" t="shared"/>
        <v>194058.29735395202</v>
      </c>
      <c r="F8" s="9" t="s">
        <v>5</v>
      </c>
      <c r="G8" s="9" t="n">
        <v>22442.0</v>
      </c>
      <c r="H8" s="9" t="n">
        <v>90969.0</v>
      </c>
      <c r="I8" s="9">
        <f si="1" t="shared"/>
        <v>111334</v>
      </c>
    </row>
    <row r="9" spans="1:9" x14ac:dyDescent="0.25">
      <c r="A9" s="9" t="s">
        <v>6</v>
      </c>
      <c r="B9" s="9" t="n">
        <v>3006.0014558363</v>
      </c>
      <c r="C9" s="9" t="n">
        <v>37719.7003750393</v>
      </c>
      <c r="D9" s="9">
        <f si="0" t="shared"/>
        <v>40725.701830875594</v>
      </c>
      <c r="F9" s="9" t="s">
        <v>6</v>
      </c>
      <c r="G9" s="9" t="n">
        <v>10040.0</v>
      </c>
      <c r="H9" s="9" t="n">
        <v>36101.0</v>
      </c>
      <c r="I9" s="9">
        <f si="1" t="shared"/>
        <v>42967</v>
      </c>
    </row>
    <row r="10" spans="1:9" x14ac:dyDescent="0.25">
      <c r="A10" s="9" t="s">
        <v>7</v>
      </c>
      <c r="B10" s="9" t="n">
        <v>9410.6356553829</v>
      </c>
      <c r="C10" s="9" t="n">
        <v>31355.6566637735</v>
      </c>
      <c r="D10" s="9">
        <f si="0" t="shared"/>
        <v>40766.292319156404</v>
      </c>
      <c r="F10" s="9" t="s">
        <v>7</v>
      </c>
      <c r="G10" s="9" t="n">
        <v>15745.0</v>
      </c>
      <c r="H10" s="9" t="n">
        <v>87488.0</v>
      </c>
      <c r="I10" s="9">
        <f si="1" t="shared"/>
        <v>98783</v>
      </c>
    </row>
    <row r="11" spans="1:9" x14ac:dyDescent="0.25">
      <c r="A11" s="14" t="s">
        <v>8</v>
      </c>
      <c r="B11" s="14" t="n">
        <v>0.0</v>
      </c>
      <c r="C11" s="14" t="n">
        <v>932.807800909</v>
      </c>
      <c r="D11" s="14">
        <f si="0" t="shared"/>
        <v>932.80780090899998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58226.701755195492</v>
      </c>
      <c r="C12" s="10">
        <f>SUM(C4:C11)</f>
        <v>1652395.5599753347</v>
      </c>
      <c r="D12" s="10">
        <f>SUM(D4:D11)</f>
        <v>1710622.2617305301</v>
      </c>
      <c r="F12" s="13" t="s">
        <v>19</v>
      </c>
      <c r="G12" s="10">
        <f>SUM(G4:G11)</f>
        <v>61388</v>
      </c>
      <c r="H12" s="10">
        <f>SUM(H4:H11)</f>
        <v>1798600</v>
      </c>
      <c r="I12" s="10">
        <f>SUM(I4:I11)</f>
        <v>1859988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4.4165136910641453E-4</v>
      </c>
      <c r="C17" s="16">
        <f ref="C17:D17" si="2" t="shared">C4/$D$12</f>
        <v>0.60460270396600324</v>
      </c>
      <c r="D17" s="16">
        <f si="2" t="shared"/>
        <v>0.6050443553351097</v>
      </c>
      <c r="F17" s="9" t="s">
        <v>1</v>
      </c>
      <c r="G17" s="16">
        <f ref="G17:I25" si="3" t="shared">G4/$I$12</f>
        <v>0</v>
      </c>
      <c r="H17" s="16">
        <f si="3" t="shared"/>
        <v>0.58515216227201461</v>
      </c>
      <c r="I17" s="16">
        <f si="3" t="shared"/>
        <v>0.58515216227201461</v>
      </c>
    </row>
    <row r="18" spans="1:14" x14ac:dyDescent="0.25">
      <c r="A18" s="9" t="s">
        <v>2</v>
      </c>
      <c r="B18" s="16">
        <f ref="B18:D18" si="4" t="shared">B5/$D$12</f>
        <v>1.5242380491737901E-3</v>
      </c>
      <c r="C18" s="16">
        <f si="4" t="shared"/>
        <v>0.13352596075699133</v>
      </c>
      <c r="D18" s="16">
        <f si="4" t="shared"/>
        <v>0.13505019880616512</v>
      </c>
      <c r="F18" s="9" t="s">
        <v>2</v>
      </c>
      <c r="G18" s="16">
        <f si="3" t="shared"/>
        <v>4.223145525670058E-3</v>
      </c>
      <c r="H18" s="16">
        <f si="3" t="shared"/>
        <v>0.15878059428340399</v>
      </c>
      <c r="I18" s="16">
        <f si="3" t="shared"/>
        <v>0.16300373980907404</v>
      </c>
    </row>
    <row r="19" spans="1:14" x14ac:dyDescent="0.25">
      <c r="A19" s="9" t="s">
        <v>3</v>
      </c>
      <c r="B19" s="16">
        <f ref="B19:D19" si="5" t="shared">B6/$D$12</f>
        <v>4.5940333697387328E-4</v>
      </c>
      <c r="C19" s="16">
        <f si="5" t="shared"/>
        <v>7.0557205208880383E-2</v>
      </c>
      <c r="D19" s="16">
        <f si="5" t="shared"/>
        <v>7.1016608545854246E-2</v>
      </c>
      <c r="F19" s="9" t="s">
        <v>3</v>
      </c>
      <c r="G19" s="16">
        <f si="3" t="shared"/>
        <v>2.2096916754301642E-3</v>
      </c>
      <c r="H19" s="16">
        <f si="3" t="shared"/>
        <v>8.6436579160725766E-2</v>
      </c>
      <c r="I19" s="16">
        <f si="3" t="shared"/>
        <v>8.8646270836155935E-2</v>
      </c>
    </row>
    <row r="20" spans="1:14" x14ac:dyDescent="0.25">
      <c r="A20" s="9" t="s">
        <v>4</v>
      </c>
      <c r="B20" s="16">
        <f ref="B20:D20" si="6" t="shared">B7/$D$12</f>
        <v>6.081120439457182E-6</v>
      </c>
      <c r="C20" s="16">
        <f si="6" t="shared"/>
        <v>2.7255548660832844E-2</v>
      </c>
      <c r="D20" s="16">
        <f si="6" t="shared"/>
        <v>2.7261629781272299E-2</v>
      </c>
      <c r="F20" s="9" t="s">
        <v>4</v>
      </c>
      <c r="G20" s="16">
        <f si="3" t="shared"/>
        <v>1.0994694589427458E-3</v>
      </c>
      <c r="H20" s="16">
        <f si="3" t="shared"/>
        <v>2.6030813102020014E-2</v>
      </c>
      <c r="I20" s="16">
        <f si="3" t="shared"/>
        <v>2.7130282560962758E-2</v>
      </c>
    </row>
    <row r="21" spans="1:14" x14ac:dyDescent="0.25">
      <c r="A21" s="9" t="s">
        <v>5</v>
      </c>
      <c r="B21" s="16">
        <f ref="B21:D21" si="7" t="shared">B8/$D$12</f>
        <v>2.4348392568847591E-2</v>
      </c>
      <c r="C21" s="16">
        <f si="7" t="shared"/>
        <v>8.9094710385766898E-2</v>
      </c>
      <c r="D21" s="16">
        <f si="7" t="shared"/>
        <v>0.11344310295461449</v>
      </c>
      <c r="F21" s="9" t="s">
        <v>5</v>
      </c>
      <c r="G21" s="16">
        <f si="3" t="shared"/>
        <v>1.22124443813616E-2</v>
      </c>
      <c r="H21" s="16">
        <f si="3" t="shared"/>
        <v>4.7644931042565869E-2</v>
      </c>
      <c r="I21" s="16">
        <f si="3" t="shared"/>
        <v>5.9857375423927467E-2</v>
      </c>
    </row>
    <row r="22" spans="1:14" x14ac:dyDescent="0.25">
      <c r="A22" s="9" t="s">
        <v>6</v>
      </c>
      <c r="B22" s="16">
        <f ref="B22:D22" si="8" t="shared">B9/$D$12</f>
        <v>1.7572561301729555E-3</v>
      </c>
      <c r="C22" s="16">
        <f si="8" t="shared"/>
        <v>2.2050280309622899E-2</v>
      </c>
      <c r="D22" s="16">
        <f si="8" t="shared"/>
        <v>2.3807536439795853E-2</v>
      </c>
      <c r="F22" s="9" t="s">
        <v>6</v>
      </c>
      <c r="G22" s="16">
        <f si="3" t="shared"/>
        <v>5.0489573051008931E-3</v>
      </c>
      <c r="H22" s="16">
        <f si="3" t="shared"/>
        <v>1.805172936599591E-2</v>
      </c>
      <c r="I22" s="16">
        <f si="3" t="shared"/>
        <v>2.3100686671096802E-2</v>
      </c>
    </row>
    <row r="23" spans="1:14" x14ac:dyDescent="0.25">
      <c r="A23" s="9" t="s">
        <v>7</v>
      </c>
      <c r="B23" s="16">
        <f ref="B23:D23" si="9" t="shared">B10/$D$12</f>
        <v>5.5012938074725775E-3</v>
      </c>
      <c r="C23" s="16">
        <f si="9" t="shared"/>
        <v>1.8329971125275159E-2</v>
      </c>
      <c r="D23" s="16">
        <f si="9" t="shared"/>
        <v>2.3831264932747738E-2</v>
      </c>
      <c r="F23" s="9" t="s">
        <v>7</v>
      </c>
      <c r="G23" s="16">
        <f si="3" t="shared"/>
        <v>8.2108056611117919E-3</v>
      </c>
      <c r="H23" s="16">
        <f si="3" t="shared"/>
        <v>4.4898676765656551E-2</v>
      </c>
      <c r="I23" s="16">
        <f si="3" t="shared"/>
        <v>5.3109482426768342E-2</v>
      </c>
    </row>
    <row r="24" spans="1:14" x14ac:dyDescent="0.25">
      <c r="A24" s="14" t="s">
        <v>8</v>
      </c>
      <c r="B24" s="17">
        <f ref="B24:D24" si="10" t="shared">B11/$D$12</f>
        <v>0</v>
      </c>
      <c r="C24" s="17">
        <f si="10" t="shared"/>
        <v>5.4530320444055045E-4</v>
      </c>
      <c r="D24" s="17">
        <f si="10" t="shared"/>
        <v>5.4530320444055045E-4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3.4038316382186656E-2</v>
      </c>
      <c r="C25" s="18">
        <f si="11" t="shared"/>
        <v>0.96596168361781343</v>
      </c>
      <c r="D25" s="18">
        <f si="11" t="shared"/>
        <v>1</v>
      </c>
      <c r="F25" s="13" t="s">
        <v>19</v>
      </c>
      <c r="G25" s="18">
        <f si="3" t="shared"/>
        <v>3.3004514007617253E-2</v>
      </c>
      <c r="H25" s="18">
        <f si="3" t="shared"/>
        <v>0.96699548599238272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-4.4165136910641453E-4</v>
      </c>
      <c r="H30" s="16">
        <f ref="H30:H38" si="13" t="shared">H17-C17</f>
        <v>-1.9450541693988632E-2</v>
      </c>
      <c r="I30" s="16">
        <f ref="I30:I38" si="14" t="shared">I17-D17</f>
        <v>-1.9892193063095087E-2</v>
      </c>
      <c r="K30" s="23" t="s">
        <v>1</v>
      </c>
      <c r="L30" s="24">
        <f>D17</f>
        <v>0.6050443553351097</v>
      </c>
      <c r="M30" s="24">
        <f ref="M30:M38" si="15" t="shared">I17</f>
        <v>0.58515216227201461</v>
      </c>
      <c r="N30" s="24">
        <f>M30-L30</f>
        <v>-1.9892193063095087E-2</v>
      </c>
    </row>
    <row r="31" spans="1:14" x14ac:dyDescent="0.25">
      <c r="F31" s="9" t="s">
        <v>2</v>
      </c>
      <c r="G31" s="16">
        <f si="12" t="shared"/>
        <v>2.6989074764962682E-3</v>
      </c>
      <c r="H31" s="16">
        <f si="13" t="shared"/>
        <v>2.5254633526412662E-2</v>
      </c>
      <c r="I31" s="16">
        <f si="14" t="shared"/>
        <v>2.7953541002908922E-2</v>
      </c>
      <c r="K31" s="30" t="s">
        <v>2</v>
      </c>
      <c r="L31" s="31">
        <f ref="L31:L38" si="16" t="shared">D18</f>
        <v>0.13505019880616512</v>
      </c>
      <c r="M31" s="31">
        <f si="15" t="shared"/>
        <v>0.16300373980907404</v>
      </c>
      <c r="N31" s="31">
        <f ref="N31:N38" si="17" t="shared">M31-L31</f>
        <v>2.7953541002908922E-2</v>
      </c>
    </row>
    <row r="32" spans="1:14" x14ac:dyDescent="0.25">
      <c r="F32" s="9" t="s">
        <v>3</v>
      </c>
      <c r="G32" s="16">
        <f si="12" t="shared"/>
        <v>1.750288338456291E-3</v>
      </c>
      <c r="H32" s="16">
        <f si="13" t="shared"/>
        <v>1.5879373951845382E-2</v>
      </c>
      <c r="I32" s="16">
        <f si="14" t="shared"/>
        <v>1.762966229030169E-2</v>
      </c>
      <c r="K32" s="23" t="s">
        <v>3</v>
      </c>
      <c r="L32" s="24">
        <f si="16" t="shared"/>
        <v>7.1016608545854246E-2</v>
      </c>
      <c r="M32" s="24">
        <f si="15" t="shared"/>
        <v>8.8646270836155935E-2</v>
      </c>
      <c r="N32" s="24">
        <f si="17" t="shared"/>
        <v>1.762966229030169E-2</v>
      </c>
    </row>
    <row r="33" spans="6:14" x14ac:dyDescent="0.25">
      <c r="F33" s="9" t="s">
        <v>4</v>
      </c>
      <c r="G33" s="16">
        <f si="12" t="shared"/>
        <v>1.0933883385032886E-3</v>
      </c>
      <c r="H33" s="16">
        <f si="13" t="shared"/>
        <v>-1.2247355588128304E-3</v>
      </c>
      <c r="I33" s="16">
        <f si="14" t="shared"/>
        <v>-1.3134722030954185E-4</v>
      </c>
      <c r="K33" s="30" t="s">
        <v>4</v>
      </c>
      <c r="L33" s="31">
        <f si="16" t="shared"/>
        <v>2.7261629781272299E-2</v>
      </c>
      <c r="M33" s="31">
        <f si="15" t="shared"/>
        <v>2.7130282560962758E-2</v>
      </c>
      <c r="N33" s="31">
        <f si="17" t="shared"/>
        <v>-1.3134722030954185E-4</v>
      </c>
    </row>
    <row r="34" spans="6:14" x14ac:dyDescent="0.25">
      <c r="F34" s="9" t="s">
        <v>5</v>
      </c>
      <c r="G34" s="16">
        <f si="12" t="shared"/>
        <v>-1.2135948187485991E-2</v>
      </c>
      <c r="H34" s="16">
        <f si="13" t="shared"/>
        <v>-4.1449779343201029E-2</v>
      </c>
      <c r="I34" s="16">
        <f si="14" t="shared"/>
        <v>-5.3585727530687022E-2</v>
      </c>
      <c r="K34" s="23" t="s">
        <v>5</v>
      </c>
      <c r="L34" s="24">
        <f si="16" t="shared"/>
        <v>0.11344310295461449</v>
      </c>
      <c r="M34" s="24">
        <f si="15" t="shared"/>
        <v>5.9857375423927467E-2</v>
      </c>
      <c r="N34" s="24">
        <f si="17" t="shared"/>
        <v>-5.3585727530687022E-2</v>
      </c>
    </row>
    <row r="35" spans="6:14" x14ac:dyDescent="0.25">
      <c r="F35" s="9" t="s">
        <v>6</v>
      </c>
      <c r="G35" s="16">
        <f si="12" t="shared"/>
        <v>3.2917011749279378E-3</v>
      </c>
      <c r="H35" s="16">
        <f si="13" t="shared"/>
        <v>-3.9985509436269891E-3</v>
      </c>
      <c r="I35" s="16">
        <f si="14" t="shared"/>
        <v>-7.0684976869905131E-4</v>
      </c>
      <c r="K35" s="30" t="s">
        <v>6</v>
      </c>
      <c r="L35" s="31">
        <f si="16" t="shared"/>
        <v>2.3807536439795853E-2</v>
      </c>
      <c r="M35" s="31">
        <f si="15" t="shared"/>
        <v>2.3100686671096802E-2</v>
      </c>
      <c r="N35" s="31">
        <f si="17" t="shared"/>
        <v>-7.0684976869905131E-4</v>
      </c>
    </row>
    <row r="36" spans="6:14" x14ac:dyDescent="0.25">
      <c r="F36" s="9" t="s">
        <v>7</v>
      </c>
      <c r="G36" s="16">
        <f si="12" t="shared"/>
        <v>2.7095118536392144E-3</v>
      </c>
      <c r="H36" s="16">
        <f si="13" t="shared"/>
        <v>2.6568705640381392E-2</v>
      </c>
      <c r="I36" s="16">
        <f si="14" t="shared"/>
        <v>2.9278217494020604E-2</v>
      </c>
      <c r="K36" s="23" t="s">
        <v>7</v>
      </c>
      <c r="L36" s="24">
        <f si="16" t="shared"/>
        <v>2.3831264932747738E-2</v>
      </c>
      <c r="M36" s="24">
        <f si="15" t="shared"/>
        <v>5.3109482426768342E-2</v>
      </c>
      <c r="N36" s="24">
        <f si="17" t="shared"/>
        <v>2.9278217494020604E-2</v>
      </c>
    </row>
    <row r="37" spans="6:14" x14ac:dyDescent="0.25">
      <c r="F37" s="14" t="s">
        <v>8</v>
      </c>
      <c r="G37" s="17">
        <f si="12" t="shared"/>
        <v>0</v>
      </c>
      <c r="H37" s="17">
        <f si="13" t="shared"/>
        <v>-5.4530320444055045E-4</v>
      </c>
      <c r="I37" s="17">
        <f si="14" t="shared"/>
        <v>-5.4530320444055045E-4</v>
      </c>
      <c r="K37" s="32" t="s">
        <v>8</v>
      </c>
      <c r="L37" s="33">
        <f si="16" t="shared"/>
        <v>5.4530320444055045E-4</v>
      </c>
      <c r="M37" s="33">
        <f si="15" t="shared"/>
        <v>0</v>
      </c>
      <c r="N37" s="33">
        <f si="17" t="shared"/>
        <v>-5.4530320444055045E-4</v>
      </c>
    </row>
    <row ht="15.75" r="38" spans="6:14" thickBot="1" x14ac:dyDescent="0.3">
      <c r="F38" s="13" t="s">
        <v>19</v>
      </c>
      <c r="G38" s="18">
        <f si="12" t="shared"/>
        <v>-1.0338023745694036E-3</v>
      </c>
      <c r="H38" s="18">
        <f si="13" t="shared"/>
        <v>1.0338023745692926E-3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5.20125</v>
      </c>
      <c r="C4" s="9" t="n">
        <v>89495.4295819898</v>
      </c>
      <c r="D4" s="9">
        <f>SUM(B4:C4)</f>
        <v>89500.630831989794</v>
      </c>
      <c r="E4" s="9"/>
      <c r="F4" s="9" t="s">
        <v>1</v>
      </c>
      <c r="G4" s="9" t="n">
        <v>0.0</v>
      </c>
      <c r="H4" s="9" t="n">
        <v>74574.0</v>
      </c>
      <c r="I4" s="9">
        <f>SUM(G4:H4)</f>
        <v>74452</v>
      </c>
    </row>
    <row r="5" spans="1:9" x14ac:dyDescent="0.25">
      <c r="A5" s="9" t="s">
        <v>2</v>
      </c>
      <c r="B5" s="9" t="n">
        <v>221.8325</v>
      </c>
      <c r="C5" s="9" t="n">
        <v>134080.4655055166</v>
      </c>
      <c r="D5" s="9">
        <f ref="D5:D12" si="0" t="shared">SUM(B5:C5)</f>
        <v>134302.29800551658</v>
      </c>
      <c r="E5" s="9"/>
      <c r="F5" s="9" t="s">
        <v>2</v>
      </c>
      <c r="G5" s="9" t="n">
        <v>3701.0</v>
      </c>
      <c r="H5" s="9" t="n">
        <v>128738.0</v>
      </c>
      <c r="I5" s="9">
        <f ref="I5:I12" si="1" t="shared">SUM(G5:H5)</f>
        <v>132162</v>
      </c>
    </row>
    <row r="6" spans="1:9" x14ac:dyDescent="0.25">
      <c r="A6" s="9" t="s">
        <v>3</v>
      </c>
      <c r="B6" s="9" t="n">
        <v>1143.620625</v>
      </c>
      <c r="C6" s="9" t="n">
        <v>225205.346835896</v>
      </c>
      <c r="D6" s="9">
        <f si="0" t="shared"/>
        <v>226348.967460896</v>
      </c>
      <c r="E6" s="9"/>
      <c r="F6" s="9" t="s">
        <v>3</v>
      </c>
      <c r="G6" s="9" t="n">
        <v>4677.0</v>
      </c>
      <c r="H6" s="9" t="n">
        <v>217792.0</v>
      </c>
      <c r="I6" s="9">
        <f si="1" t="shared"/>
        <v>221824</v>
      </c>
    </row>
    <row r="7" spans="1:9" x14ac:dyDescent="0.25">
      <c r="A7" s="9" t="s">
        <v>4</v>
      </c>
      <c r="B7" s="9" t="n">
        <v>14.49375</v>
      </c>
      <c r="C7" s="9" t="n">
        <v>5717.342207688</v>
      </c>
      <c r="D7" s="9">
        <f si="0" t="shared"/>
        <v>5731.8359576879993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10945.5037813178</v>
      </c>
      <c r="C8" s="9" t="n">
        <v>38251.2832503583</v>
      </c>
      <c r="D8" s="9">
        <f si="0" t="shared"/>
        <v>49196.787031676096</v>
      </c>
      <c r="E8" s="9"/>
      <c r="F8" s="9" t="s">
        <v>5</v>
      </c>
      <c r="G8" s="9" t="n">
        <v>5078.0</v>
      </c>
      <c r="H8" s="9" t="n">
        <v>24180.0</v>
      </c>
      <c r="I8" s="9">
        <f si="1" t="shared"/>
        <v>29301</v>
      </c>
    </row>
    <row r="9" spans="1:9" x14ac:dyDescent="0.25">
      <c r="A9" s="9" t="s">
        <v>6</v>
      </c>
      <c r="B9" s="9" t="n">
        <v>659.070115641</v>
      </c>
      <c r="C9" s="9" t="n">
        <v>8922.158501594</v>
      </c>
      <c r="D9" s="9">
        <f si="0" t="shared"/>
        <v>9581.2286172349995</v>
      </c>
      <c r="E9" s="9"/>
      <c r="F9" s="9" t="s">
        <v>6</v>
      </c>
      <c r="G9" s="9" t="n">
        <v>1236.0</v>
      </c>
      <c r="H9" s="9" t="n">
        <v>8078.0</v>
      </c>
      <c r="I9" s="9">
        <f si="1" t="shared"/>
        <v>9360</v>
      </c>
    </row>
    <row r="10" spans="1:9" x14ac:dyDescent="0.25">
      <c r="A10" s="9" t="s">
        <v>7</v>
      </c>
      <c r="B10" s="9" t="n">
        <v>12917.9071079409</v>
      </c>
      <c r="C10" s="9" t="n">
        <v>44282.0526502195</v>
      </c>
      <c r="D10" s="9">
        <f si="0" t="shared"/>
        <v>57199.959758160403</v>
      </c>
      <c r="E10" s="9"/>
      <c r="F10" s="9" t="s">
        <v>7</v>
      </c>
      <c r="G10" s="9" t="n">
        <v>9019.0</v>
      </c>
      <c r="H10" s="9" t="n">
        <v>77012.0</v>
      </c>
      <c r="I10" s="9">
        <f si="1" t="shared"/>
        <v>85894</v>
      </c>
    </row>
    <row r="11" spans="1:9" x14ac:dyDescent="0.25">
      <c r="A11" s="14" t="s">
        <v>8</v>
      </c>
      <c r="B11" s="14" t="n">
        <v>3907.507943768</v>
      </c>
      <c r="C11" s="14" t="n">
        <v>202624.666599454</v>
      </c>
      <c r="D11" s="14">
        <f si="0" t="shared"/>
        <v>206532.17454322201</v>
      </c>
      <c r="E11" s="9"/>
      <c r="F11" s="14" t="s">
        <v>8</v>
      </c>
      <c r="G11" s="14" t="n">
        <v>9138.0</v>
      </c>
      <c r="H11" s="14" t="n">
        <v>196387.0</v>
      </c>
      <c r="I11" s="14">
        <f si="1" t="shared"/>
        <v>204818</v>
      </c>
    </row>
    <row ht="15.75" r="12" spans="1:9" thickBot="1" x14ac:dyDescent="0.3">
      <c r="A12" s="13" t="s">
        <v>19</v>
      </c>
      <c r="B12" s="10">
        <f>SUM(B4:B11)</f>
        <v>29815.137073667702</v>
      </c>
      <c r="C12" s="10">
        <f>SUM(C4:C11)</f>
        <v>748578.74513271626</v>
      </c>
      <c r="D12" s="10">
        <f si="0" t="shared"/>
        <v>778393.88220638398</v>
      </c>
      <c r="E12" s="9"/>
      <c r="F12" s="13" t="s">
        <v>19</v>
      </c>
      <c r="G12" s="10">
        <f>SUM(G4:G11)</f>
        <v>32913</v>
      </c>
      <c r="H12" s="10">
        <f>SUM(H4:H11)</f>
        <v>724898</v>
      </c>
      <c r="I12" s="10">
        <f si="1" t="shared"/>
        <v>757811</v>
      </c>
    </row>
    <row ht="15.75" r="15" spans="1:9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6.6820283649415124E-6</v>
      </c>
      <c r="C17" s="16">
        <f ref="C17:D17" si="2" t="shared">C4/$D$12</f>
        <v>0.11497447709675203</v>
      </c>
      <c r="D17" s="16">
        <f si="2" t="shared"/>
        <v>0.11498115912511697</v>
      </c>
      <c r="F17" s="9" t="s">
        <v>1</v>
      </c>
      <c r="G17" s="16">
        <f ref="G17:I25" si="3" t="shared">G4/$I$12</f>
        <v>0</v>
      </c>
      <c r="H17" s="16">
        <f si="3" t="shared"/>
        <v>9.8246132610901662E-2</v>
      </c>
      <c r="I17" s="16">
        <f si="3" t="shared"/>
        <v>9.8246132610901662E-2</v>
      </c>
    </row>
    <row r="18" spans="1:14" x14ac:dyDescent="0.25">
      <c r="A18" s="9" t="s">
        <v>2</v>
      </c>
      <c r="B18" s="16">
        <f ref="B18:D25" si="4" t="shared">B5/$D$12</f>
        <v>2.849874659487408E-4</v>
      </c>
      <c r="C18" s="16">
        <f si="4" t="shared"/>
        <v>0.17225272265175176</v>
      </c>
      <c r="D18" s="16">
        <f si="4" t="shared"/>
        <v>0.1725377101177005</v>
      </c>
      <c r="F18" s="9" t="s">
        <v>2</v>
      </c>
      <c r="G18" s="16">
        <f si="3" t="shared"/>
        <v>4.9339479104948333E-3</v>
      </c>
      <c r="H18" s="16">
        <f si="3" t="shared"/>
        <v>0.16946573749919175</v>
      </c>
      <c r="I18" s="16">
        <f si="3" t="shared"/>
        <v>0.17439968540968659</v>
      </c>
    </row>
    <row r="19" spans="1:14" x14ac:dyDescent="0.25">
      <c r="A19" s="9" t="s">
        <v>3</v>
      </c>
      <c r="B19" s="16">
        <f si="4" t="shared"/>
        <v>1.4692055669275924E-3</v>
      </c>
      <c r="C19" s="16">
        <f si="4" t="shared"/>
        <v>0.28932055092409487</v>
      </c>
      <c r="D19" s="16">
        <f si="4" t="shared"/>
        <v>0.29078975649102246</v>
      </c>
      <c r="F19" s="9" t="s">
        <v>3</v>
      </c>
      <c r="G19" s="16">
        <f si="3" t="shared"/>
        <v>6.2205483953122875E-3</v>
      </c>
      <c r="H19" s="16">
        <f si="3" t="shared"/>
        <v>0.28649623718842826</v>
      </c>
      <c r="I19" s="16">
        <f si="3" t="shared"/>
        <v>0.29271678558374054</v>
      </c>
    </row>
    <row r="20" spans="1:14" x14ac:dyDescent="0.25">
      <c r="A20" s="9" t="s">
        <v>4</v>
      </c>
      <c r="B20" s="16">
        <f si="4" t="shared"/>
        <v>1.8620071831650286E-5</v>
      </c>
      <c r="C20" s="16">
        <f si="4" t="shared"/>
        <v>7.3450502867288712E-3</v>
      </c>
      <c r="D20" s="16">
        <f si="4" t="shared"/>
        <v>7.3636703585605208E-3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1.4061651859714515E-2</v>
      </c>
      <c r="C21" s="16">
        <f si="4" t="shared"/>
        <v>4.9141294818419862E-2</v>
      </c>
      <c r="D21" s="16">
        <f si="4" t="shared"/>
        <v>6.3202946678134378E-2</v>
      </c>
      <c r="F21" s="9" t="s">
        <v>5</v>
      </c>
      <c r="G21" s="16">
        <f si="3" t="shared"/>
        <v>6.7140751453858552E-3</v>
      </c>
      <c r="H21" s="16">
        <f si="3" t="shared"/>
        <v>3.1951238501420537E-2</v>
      </c>
      <c r="I21" s="16">
        <f si="3" t="shared"/>
        <v>3.8665313646806393E-2</v>
      </c>
    </row>
    <row r="22" spans="1:14" x14ac:dyDescent="0.25">
      <c r="A22" s="9" t="s">
        <v>6</v>
      </c>
      <c r="B22" s="16">
        <f si="4" t="shared"/>
        <v>8.4670515879806682E-4</v>
      </c>
      <c r="C22" s="16">
        <f si="4" t="shared"/>
        <v>1.1462266990464825E-2</v>
      </c>
      <c r="D22" s="16">
        <f si="4" t="shared"/>
        <v>1.230897214926289E-2</v>
      </c>
      <c r="F22" s="9" t="s">
        <v>6</v>
      </c>
      <c r="G22" s="16">
        <f si="3" t="shared"/>
        <v>1.6362918986396345E-3</v>
      </c>
      <c r="H22" s="16">
        <f si="3" t="shared"/>
        <v>1.0715072755607929E-2</v>
      </c>
      <c r="I22" s="16">
        <f si="3" t="shared"/>
        <v>1.2351364654247562E-2</v>
      </c>
    </row>
    <row r="23" spans="1:14" x14ac:dyDescent="0.25">
      <c r="A23" s="9" t="s">
        <v>7</v>
      </c>
      <c r="B23" s="16">
        <f si="4" t="shared"/>
        <v>1.6595591773312313E-2</v>
      </c>
      <c r="C23" s="16">
        <f si="4" t="shared"/>
        <v>5.6889003963777968E-2</v>
      </c>
      <c r="D23" s="16">
        <f si="4" t="shared"/>
        <v>7.3484595737090291E-2</v>
      </c>
      <c r="F23" s="9" t="s">
        <v>7</v>
      </c>
      <c r="G23" s="16">
        <f si="3" t="shared"/>
        <v>1.1907982333325856E-2</v>
      </c>
      <c r="H23" s="16">
        <f si="3" t="shared"/>
        <v>0.10143690181324895</v>
      </c>
      <c r="I23" s="16">
        <f si="3" t="shared"/>
        <v>0.1133448841465748</v>
      </c>
    </row>
    <row r="24" spans="1:14" x14ac:dyDescent="0.25">
      <c r="A24" s="14" t="s">
        <v>8</v>
      </c>
      <c r="B24" s="17">
        <f si="4" t="shared"/>
        <v>5.019962300695421E-3</v>
      </c>
      <c r="C24" s="17">
        <f si="4" t="shared"/>
        <v>0.26031122704241649</v>
      </c>
      <c r="D24" s="17">
        <f si="4" t="shared"/>
        <v>0.2653311893431119</v>
      </c>
      <c r="F24" s="14" t="s">
        <v>8</v>
      </c>
      <c r="G24" s="17">
        <f si="3" t="shared"/>
        <v>1.2018827913556282E-2</v>
      </c>
      <c r="H24" s="17">
        <f si="3" t="shared"/>
        <v>0.25825700603448615</v>
      </c>
      <c r="I24" s="17">
        <f si="3" t="shared"/>
        <v>0.27027583394804244</v>
      </c>
    </row>
    <row ht="15.75" r="25" spans="1:14" thickBot="1" x14ac:dyDescent="0.3">
      <c r="A25" s="13" t="s">
        <v>19</v>
      </c>
      <c r="B25" s="18">
        <f si="4" t="shared"/>
        <v>3.8303406225593244E-2</v>
      </c>
      <c r="C25" s="18">
        <f si="4" t="shared"/>
        <v>0.96169659377440675</v>
      </c>
      <c r="D25" s="18">
        <f si="4" t="shared"/>
        <v>1</v>
      </c>
      <c r="F25" s="13" t="s">
        <v>19</v>
      </c>
      <c r="G25" s="18">
        <f si="3" t="shared"/>
        <v>4.3431673596714751E-2</v>
      </c>
      <c r="H25" s="18">
        <f si="3" t="shared"/>
        <v>0.95656832640328526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-6.6820283649415124E-6</v>
      </c>
      <c r="H30" s="16">
        <f ref="H30:H38" si="6" t="shared">H17-C17</f>
        <v>-1.6728344485850366E-2</v>
      </c>
      <c r="I30" s="16">
        <f ref="I30:I38" si="7" t="shared">I17-D17</f>
        <v>-1.6735026514215309E-2</v>
      </c>
      <c r="K30" s="23" t="s">
        <v>1</v>
      </c>
      <c r="L30" s="24">
        <f>D17</f>
        <v>0.11498115912511697</v>
      </c>
      <c r="M30" s="24">
        <f ref="M30:M38" si="8" t="shared">I17</f>
        <v>9.8246132610901662E-2</v>
      </c>
      <c r="N30" s="24">
        <f>M30-L30</f>
        <v>-1.6735026514215309E-2</v>
      </c>
    </row>
    <row r="31" spans="1:14" x14ac:dyDescent="0.25">
      <c r="F31" s="9" t="s">
        <v>2</v>
      </c>
      <c r="G31" s="16">
        <f si="5" t="shared"/>
        <v>4.6489604445460924E-3</v>
      </c>
      <c r="H31" s="16">
        <f si="6" t="shared"/>
        <v>-2.786985152560012E-3</v>
      </c>
      <c r="I31" s="16">
        <f si="7" t="shared"/>
        <v>1.8619752919860899E-3</v>
      </c>
      <c r="K31" s="30" t="s">
        <v>2</v>
      </c>
      <c r="L31" s="31">
        <f ref="L31:L38" si="9" t="shared">D18</f>
        <v>0.1725377101177005</v>
      </c>
      <c r="M31" s="31">
        <f si="8" t="shared"/>
        <v>0.17439968540968659</v>
      </c>
      <c r="N31" s="31">
        <f ref="N31:N38" si="10" t="shared">M31-L31</f>
        <v>1.8619752919860899E-3</v>
      </c>
    </row>
    <row r="32" spans="1:14" x14ac:dyDescent="0.25">
      <c r="F32" s="9" t="s">
        <v>3</v>
      </c>
      <c r="G32" s="16">
        <f si="5" t="shared"/>
        <v>4.7513428283846946E-3</v>
      </c>
      <c r="H32" s="16">
        <f si="6" t="shared"/>
        <v>-2.8243137356666059E-3</v>
      </c>
      <c r="I32" s="16">
        <f si="7" t="shared"/>
        <v>1.92702909271808E-3</v>
      </c>
      <c r="K32" s="23" t="s">
        <v>3</v>
      </c>
      <c r="L32" s="24">
        <f si="9" t="shared"/>
        <v>0.29078975649102246</v>
      </c>
      <c r="M32" s="24">
        <f si="8" t="shared"/>
        <v>0.29271678558374054</v>
      </c>
      <c r="N32" s="24">
        <f si="10" t="shared"/>
        <v>1.92702909271808E-3</v>
      </c>
    </row>
    <row r="33" spans="6:14" x14ac:dyDescent="0.25">
      <c r="F33" s="9" t="s">
        <v>4</v>
      </c>
      <c r="G33" s="16">
        <f si="5" t="shared"/>
        <v>-1.8620071831650286E-5</v>
      </c>
      <c r="H33" s="16">
        <f si="6" t="shared"/>
        <v>-7.3450502867288712E-3</v>
      </c>
      <c r="I33" s="16">
        <f si="7" t="shared"/>
        <v>-7.3636703585605208E-3</v>
      </c>
      <c r="K33" s="30" t="s">
        <v>4</v>
      </c>
      <c r="L33" s="31">
        <f si="9" t="shared"/>
        <v>7.3636703585605208E-3</v>
      </c>
      <c r="M33" s="31">
        <f si="8" t="shared"/>
        <v>0</v>
      </c>
      <c r="N33" s="31">
        <f si="10" t="shared"/>
        <v>-7.3636703585605208E-3</v>
      </c>
    </row>
    <row r="34" spans="6:14" x14ac:dyDescent="0.25">
      <c r="F34" s="9" t="s">
        <v>5</v>
      </c>
      <c r="G34" s="16">
        <f si="5" t="shared"/>
        <v>-7.3475767143286594E-3</v>
      </c>
      <c r="H34" s="16">
        <f si="6" t="shared"/>
        <v>-1.7190056316999325E-2</v>
      </c>
      <c r="I34" s="16">
        <f si="7" t="shared"/>
        <v>-2.4537633031327985E-2</v>
      </c>
      <c r="K34" s="23" t="s">
        <v>5</v>
      </c>
      <c r="L34" s="24">
        <f si="9" t="shared"/>
        <v>6.3202946678134378E-2</v>
      </c>
      <c r="M34" s="24">
        <f si="8" t="shared"/>
        <v>3.8665313646806393E-2</v>
      </c>
      <c r="N34" s="24">
        <f si="10" t="shared"/>
        <v>-2.4537633031327985E-2</v>
      </c>
    </row>
    <row r="35" spans="6:14" x14ac:dyDescent="0.25">
      <c r="F35" s="9" t="s">
        <v>6</v>
      </c>
      <c r="G35" s="16">
        <f si="5" t="shared"/>
        <v>7.8958673984156767E-4</v>
      </c>
      <c r="H35" s="16">
        <f si="6" t="shared"/>
        <v>-7.4719423485689572E-4</v>
      </c>
      <c r="I35" s="16">
        <f si="7" t="shared"/>
        <v>4.2392504984672605E-5</v>
      </c>
      <c r="K35" s="30" t="s">
        <v>6</v>
      </c>
      <c r="L35" s="31">
        <f si="9" t="shared"/>
        <v>1.230897214926289E-2</v>
      </c>
      <c r="M35" s="31">
        <f si="8" t="shared"/>
        <v>1.2351364654247562E-2</v>
      </c>
      <c r="N35" s="31">
        <f si="10" t="shared"/>
        <v>4.2392504984672605E-5</v>
      </c>
    </row>
    <row r="36" spans="6:14" x14ac:dyDescent="0.25">
      <c r="F36" s="9" t="s">
        <v>7</v>
      </c>
      <c r="G36" s="16">
        <f si="5" t="shared"/>
        <v>-4.6876094399864576E-3</v>
      </c>
      <c r="H36" s="16">
        <f si="6" t="shared"/>
        <v>4.4547897849470983E-2</v>
      </c>
      <c r="I36" s="16">
        <f si="7" t="shared"/>
        <v>3.9860288409484509E-2</v>
      </c>
      <c r="K36" s="23" t="s">
        <v>7</v>
      </c>
      <c r="L36" s="24">
        <f si="9" t="shared"/>
        <v>7.3484595737090291E-2</v>
      </c>
      <c r="M36" s="24">
        <f si="8" t="shared"/>
        <v>0.1133448841465748</v>
      </c>
      <c r="N36" s="24">
        <f si="10" t="shared"/>
        <v>3.9860288409484509E-2</v>
      </c>
    </row>
    <row r="37" spans="6:14" x14ac:dyDescent="0.25">
      <c r="F37" s="14" t="s">
        <v>8</v>
      </c>
      <c r="G37" s="17">
        <f si="5" t="shared"/>
        <v>6.998865612860861E-3</v>
      </c>
      <c r="H37" s="17">
        <f si="6" t="shared"/>
        <v>-2.0542210079303458E-3</v>
      </c>
      <c r="I37" s="17">
        <f si="7" t="shared"/>
        <v>4.9446446049305481E-3</v>
      </c>
      <c r="K37" s="32" t="s">
        <v>8</v>
      </c>
      <c r="L37" s="33">
        <f si="9" t="shared"/>
        <v>0.2653311893431119</v>
      </c>
      <c r="M37" s="33">
        <f si="8" t="shared"/>
        <v>0.27027583394804244</v>
      </c>
      <c r="N37" s="33">
        <f si="10" t="shared"/>
        <v>4.9446446049305481E-3</v>
      </c>
    </row>
    <row ht="15.75" r="38" spans="6:14" thickBot="1" x14ac:dyDescent="0.3">
      <c r="F38" s="13" t="s">
        <v>19</v>
      </c>
      <c r="G38" s="18">
        <f si="5" t="shared"/>
        <v>5.1282673711215074E-3</v>
      </c>
      <c r="H38" s="18">
        <f si="6" t="shared"/>
        <v>-5.1282673711214866E-3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19748.0083972162</v>
      </c>
      <c r="D4" s="9">
        <f>SUM(B4:C4)</f>
        <v>19748.008397216199</v>
      </c>
      <c r="F4" s="9" t="s">
        <v>1</v>
      </c>
      <c r="G4" s="9" t="n">
        <v>0.0</v>
      </c>
      <c r="H4" s="9" t="n">
        <v>6799.0</v>
      </c>
      <c r="I4" s="9">
        <f>SUM(G4:H4)</f>
        <v>6778</v>
      </c>
    </row>
    <row r="5" spans="1:9" x14ac:dyDescent="0.25">
      <c r="A5" s="9" t="s">
        <v>2</v>
      </c>
      <c r="B5" s="9" t="n">
        <v>902.868622613</v>
      </c>
      <c r="C5" s="9" t="n">
        <v>289271.9947490941</v>
      </c>
      <c r="D5" s="9">
        <f ref="D5:D12" si="0" t="shared">SUM(B5:C5)</f>
        <v>290174.86337170715</v>
      </c>
      <c r="F5" s="9" t="s">
        <v>2</v>
      </c>
      <c r="G5" s="9" t="n">
        <v>5025.0</v>
      </c>
      <c r="H5" s="9" t="n">
        <v>261519.0</v>
      </c>
      <c r="I5" s="9">
        <f ref="I5:I12" si="1" t="shared">SUM(G5:H5)</f>
        <v>265362</v>
      </c>
    </row>
    <row r="6" spans="1:9" x14ac:dyDescent="0.25">
      <c r="A6" s="9" t="s">
        <v>3</v>
      </c>
      <c r="B6" s="9" t="n">
        <v>624.485452184</v>
      </c>
      <c r="C6" s="9" t="n">
        <v>297482.6691670557</v>
      </c>
      <c r="D6" s="9">
        <f si="0" t="shared"/>
        <v>298107.15461923968</v>
      </c>
      <c r="F6" s="9" t="s">
        <v>3</v>
      </c>
      <c r="G6" s="9" t="n">
        <v>4978.0</v>
      </c>
      <c r="H6" s="9" t="n">
        <v>281674.0</v>
      </c>
      <c r="I6" s="9">
        <f si="1" t="shared"/>
        <v>285515</v>
      </c>
    </row>
    <row r="7" spans="1:9" x14ac:dyDescent="0.25">
      <c r="A7" s="9" t="s">
        <v>4</v>
      </c>
      <c r="B7" s="9" t="n">
        <v>0.0</v>
      </c>
      <c r="C7" s="9" t="n">
        <v>186.533928278</v>
      </c>
      <c r="D7" s="9">
        <f si="0" t="shared"/>
        <v>186.53392827799999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102.3610283245</v>
      </c>
      <c r="C8" s="9" t="n">
        <v>2640.7405181216</v>
      </c>
      <c r="D8" s="9">
        <f si="0" t="shared"/>
        <v>2743.1015464460997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2729.0206641394</v>
      </c>
      <c r="D9" s="9">
        <f si="0" t="shared"/>
        <v>2729.0206641394002</v>
      </c>
      <c r="F9" s="9" t="s">
        <v>6</v>
      </c>
      <c r="G9" s="9" t="n">
        <v>1089.0</v>
      </c>
      <c r="H9" s="9" t="n">
        <v>1363.0</v>
      </c>
      <c r="I9" s="9">
        <f si="1" t="shared"/>
        <v>2430</v>
      </c>
    </row>
    <row r="10" spans="1:9" x14ac:dyDescent="0.25">
      <c r="A10" s="9" t="s">
        <v>7</v>
      </c>
      <c r="B10" s="9" t="n">
        <v>265.0081224095</v>
      </c>
      <c r="C10" s="9" t="n">
        <v>33956.8940534351</v>
      </c>
      <c r="D10" s="9">
        <f si="0" t="shared"/>
        <v>34221.902175844596</v>
      </c>
      <c r="F10" s="9" t="s">
        <v>7</v>
      </c>
      <c r="G10" s="9" t="n">
        <v>8418.0</v>
      </c>
      <c r="H10" s="9" t="n">
        <v>12654.0</v>
      </c>
      <c r="I10" s="9">
        <f si="1" t="shared"/>
        <v>21240</v>
      </c>
    </row>
    <row r="11" spans="1:9" x14ac:dyDescent="0.25">
      <c r="A11" s="14" t="s">
        <v>8</v>
      </c>
      <c r="B11" s="14" t="n">
        <v>0.0</v>
      </c>
      <c r="C11" s="14" t="n">
        <v>659.6315</v>
      </c>
      <c r="D11" s="14">
        <f si="0" t="shared"/>
        <v>659.63149999999996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1894.723225531</v>
      </c>
      <c r="C12" s="10">
        <f>SUM(C4:C11)</f>
        <v>646675.49297734024</v>
      </c>
      <c r="D12" s="10">
        <f si="0" t="shared"/>
        <v>648570.21620287129</v>
      </c>
      <c r="F12" s="13" t="s">
        <v>19</v>
      </c>
      <c r="G12" s="10">
        <f>SUM(G4:G11)</f>
        <v>19486</v>
      </c>
      <c r="H12" s="10">
        <f>SUM(H4:H11)</f>
        <v>561839</v>
      </c>
      <c r="I12" s="10">
        <f si="1" t="shared"/>
        <v>581325</v>
      </c>
    </row>
    <row ht="15.75" r="15" spans="1:9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3.0448528014180451E-2</v>
      </c>
      <c r="D17" s="16">
        <f si="2" t="shared"/>
        <v>3.0448528014180451E-2</v>
      </c>
      <c r="F17" s="9" t="s">
        <v>1</v>
      </c>
      <c r="G17" s="16">
        <f ref="G17:I25" si="3" t="shared">G4/$I$12</f>
        <v>0</v>
      </c>
      <c r="H17" s="16">
        <f si="3" t="shared"/>
        <v>1.1659570808067777E-2</v>
      </c>
      <c r="I17" s="16">
        <f si="3" t="shared"/>
        <v>1.1659570808067777E-2</v>
      </c>
    </row>
    <row r="18" spans="1:14" x14ac:dyDescent="0.25">
      <c r="A18" s="9" t="s">
        <v>2</v>
      </c>
      <c r="B18" s="16">
        <f ref="B18:D25" si="4" t="shared">B5/$D$12</f>
        <v>1.3920907868679938E-3</v>
      </c>
      <c r="C18" s="16">
        <f si="4" t="shared"/>
        <v>0.44601492255174807</v>
      </c>
      <c r="D18" s="16">
        <f si="4" t="shared"/>
        <v>0.4474070133386161</v>
      </c>
      <c r="F18" s="9" t="s">
        <v>2</v>
      </c>
      <c r="G18" s="16">
        <f si="3" t="shared"/>
        <v>8.5752376037500546E-3</v>
      </c>
      <c r="H18" s="16">
        <f si="3" t="shared"/>
        <v>0.44790263621898252</v>
      </c>
      <c r="I18" s="16">
        <f si="3" t="shared"/>
        <v>0.45647787382273253</v>
      </c>
    </row>
    <row r="19" spans="1:14" x14ac:dyDescent="0.25">
      <c r="A19" s="9" t="s">
        <v>3</v>
      </c>
      <c r="B19" s="16">
        <f si="4" t="shared"/>
        <v>9.6286483187606382E-4</v>
      </c>
      <c r="C19" s="16">
        <f si="4" t="shared"/>
        <v>0.4586745763761742</v>
      </c>
      <c r="D19" s="16">
        <f si="4" t="shared"/>
        <v>0.45963744120805022</v>
      </c>
      <c r="F19" s="9" t="s">
        <v>3</v>
      </c>
      <c r="G19" s="16">
        <f si="3" t="shared"/>
        <v>8.480626155764847E-3</v>
      </c>
      <c r="H19" s="16">
        <f si="3" t="shared"/>
        <v>0.48266460241689246</v>
      </c>
      <c r="I19" s="16">
        <f si="3" t="shared"/>
        <v>0.4911452285726573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2.8760791602501311E-4</v>
      </c>
      <c r="D20" s="16">
        <f si="4" t="shared"/>
        <v>2.8760791602501311E-4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1.5782566909067206E-4</v>
      </c>
      <c r="C21" s="16">
        <f si="4" t="shared"/>
        <v>4.0716339605943027E-3</v>
      </c>
      <c r="D21" s="16">
        <f si="4" t="shared"/>
        <v>4.229459629684974E-3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4.2077489776153531E-3</v>
      </c>
      <c r="D22" s="16">
        <f si="4" t="shared"/>
        <v>4.2077489776153531E-3</v>
      </c>
      <c r="F22" s="9" t="s">
        <v>6</v>
      </c>
      <c r="G22" s="16">
        <f si="3" t="shared"/>
        <v>1.849223756074485E-3</v>
      </c>
      <c r="H22" s="16">
        <f si="3" t="shared"/>
        <v>2.3308820367264438E-3</v>
      </c>
      <c r="I22" s="16">
        <f si="3" t="shared"/>
        <v>4.180105792800929E-3</v>
      </c>
    </row>
    <row r="23" spans="1:14" x14ac:dyDescent="0.25">
      <c r="A23" s="9" t="s">
        <v>7</v>
      </c>
      <c r="B23" s="16">
        <f si="4" t="shared"/>
        <v>4.0860359570783322E-4</v>
      </c>
      <c r="C23" s="16">
        <f si="4" t="shared"/>
        <v>5.2356542445380287E-2</v>
      </c>
      <c r="D23" s="16">
        <f si="4" t="shared"/>
        <v>5.2765146041088111E-2</v>
      </c>
      <c r="F23" s="9" t="s">
        <v>7</v>
      </c>
      <c r="G23" s="16">
        <f si="3" t="shared"/>
        <v>1.461488840149658E-2</v>
      </c>
      <c r="H23" s="16">
        <f si="3" t="shared"/>
        <v>2.1922332602244871E-2</v>
      </c>
      <c r="I23" s="16">
        <f si="3" t="shared"/>
        <v>3.6537221003741453E-2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1.0170548747395281E-3</v>
      </c>
      <c r="D24" s="17">
        <f si="4" t="shared"/>
        <v>1.0170548747395281E-3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2.9213848835425629E-3</v>
      </c>
      <c r="C25" s="18">
        <f si="4" t="shared"/>
        <v>0.99707861511645735</v>
      </c>
      <c r="D25" s="18">
        <f si="4" t="shared"/>
        <v>1</v>
      </c>
      <c r="F25" s="13" t="s">
        <v>19</v>
      </c>
      <c r="G25" s="18">
        <f si="3" t="shared"/>
        <v>3.351997591708597E-2</v>
      </c>
      <c r="H25" s="18">
        <f si="3" t="shared"/>
        <v>0.966480024082914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-1.8788957206112674E-2</v>
      </c>
      <c r="I30" s="16">
        <f ref="I30:I38" si="7" t="shared">I17-D17</f>
        <v>-1.8788957206112674E-2</v>
      </c>
      <c r="K30" s="23" t="s">
        <v>1</v>
      </c>
      <c r="L30" s="24">
        <f>D17</f>
        <v>3.0448528014180451E-2</v>
      </c>
      <c r="M30" s="24">
        <f ref="M30:M38" si="8" t="shared">I17</f>
        <v>1.1659570808067777E-2</v>
      </c>
      <c r="N30" s="24">
        <f>M30-L30</f>
        <v>-1.8788957206112674E-2</v>
      </c>
    </row>
    <row r="31" spans="1:14" x14ac:dyDescent="0.25">
      <c r="F31" s="9" t="s">
        <v>2</v>
      </c>
      <c r="G31" s="16">
        <f si="5" t="shared"/>
        <v>7.1831468168820608E-3</v>
      </c>
      <c r="H31" s="16">
        <f si="6" t="shared"/>
        <v>1.8877136672344474E-3</v>
      </c>
      <c r="I31" s="16">
        <f si="7" t="shared"/>
        <v>9.0708604841164275E-3</v>
      </c>
      <c r="K31" s="30" t="s">
        <v>2</v>
      </c>
      <c r="L31" s="31">
        <f ref="L31:L38" si="9" t="shared">D18</f>
        <v>0.4474070133386161</v>
      </c>
      <c r="M31" s="31">
        <f si="8" t="shared"/>
        <v>0.45647787382273253</v>
      </c>
      <c r="N31" s="31">
        <f ref="N31:N38" si="10" t="shared">M31-L31</f>
        <v>9.0708604841164275E-3</v>
      </c>
    </row>
    <row r="32" spans="1:14" x14ac:dyDescent="0.25">
      <c r="F32" s="9" t="s">
        <v>3</v>
      </c>
      <c r="G32" s="16">
        <f si="5" t="shared"/>
        <v>7.5177613238887834E-3</v>
      </c>
      <c r="H32" s="16">
        <f si="6" t="shared"/>
        <v>2.399002604071826E-2</v>
      </c>
      <c r="I32" s="16">
        <f si="7" t="shared"/>
        <v>3.1507787364607076E-2</v>
      </c>
      <c r="K32" s="23" t="s">
        <v>3</v>
      </c>
      <c r="L32" s="24">
        <f si="9" t="shared"/>
        <v>0.45963744120805022</v>
      </c>
      <c r="M32" s="24">
        <f si="8" t="shared"/>
        <v>0.4911452285726573</v>
      </c>
      <c r="N32" s="24">
        <f si="10" t="shared"/>
        <v>3.1507787364607076E-2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-2.8760791602501311E-4</v>
      </c>
      <c r="I33" s="16">
        <f si="7" t="shared"/>
        <v>-2.8760791602501311E-4</v>
      </c>
      <c r="K33" s="30" t="s">
        <v>4</v>
      </c>
      <c r="L33" s="31">
        <f si="9" t="shared"/>
        <v>2.8760791602501311E-4</v>
      </c>
      <c r="M33" s="31">
        <f si="8" t="shared"/>
        <v>0</v>
      </c>
      <c r="N33" s="31">
        <f si="10" t="shared"/>
        <v>-2.8760791602501311E-4</v>
      </c>
    </row>
    <row r="34" spans="6:14" x14ac:dyDescent="0.25">
      <c r="F34" s="9" t="s">
        <v>5</v>
      </c>
      <c r="G34" s="16">
        <f si="5" t="shared"/>
        <v>-1.5782566909067206E-4</v>
      </c>
      <c r="H34" s="16">
        <f si="6" t="shared"/>
        <v>-4.0716339605943027E-3</v>
      </c>
      <c r="I34" s="16">
        <f si="7" t="shared"/>
        <v>-4.229459629684974E-3</v>
      </c>
      <c r="K34" s="23" t="s">
        <v>5</v>
      </c>
      <c r="L34" s="24">
        <f si="9" t="shared"/>
        <v>4.229459629684974E-3</v>
      </c>
      <c r="M34" s="24">
        <f si="8" t="shared"/>
        <v>0</v>
      </c>
      <c r="N34" s="24">
        <f si="10" t="shared"/>
        <v>-4.229459629684974E-3</v>
      </c>
    </row>
    <row r="35" spans="6:14" x14ac:dyDescent="0.25">
      <c r="F35" s="9" t="s">
        <v>6</v>
      </c>
      <c r="G35" s="16">
        <f si="5" t="shared"/>
        <v>1.849223756074485E-3</v>
      </c>
      <c r="H35" s="16">
        <f si="6" t="shared"/>
        <v>-1.8768669408889094E-3</v>
      </c>
      <c r="I35" s="16">
        <f si="7" t="shared"/>
        <v>-2.764318481442412E-5</v>
      </c>
      <c r="K35" s="30" t="s">
        <v>6</v>
      </c>
      <c r="L35" s="31">
        <f si="9" t="shared"/>
        <v>4.2077489776153531E-3</v>
      </c>
      <c r="M35" s="31">
        <f si="8" t="shared"/>
        <v>4.180105792800929E-3</v>
      </c>
      <c r="N35" s="31">
        <f si="10" t="shared"/>
        <v>-2.764318481442412E-5</v>
      </c>
    </row>
    <row r="36" spans="6:14" x14ac:dyDescent="0.25">
      <c r="F36" s="9" t="s">
        <v>7</v>
      </c>
      <c r="G36" s="16">
        <f si="5" t="shared"/>
        <v>1.4206284805788748E-2</v>
      </c>
      <c r="H36" s="16">
        <f si="6" t="shared"/>
        <v>-3.0434209843135416E-2</v>
      </c>
      <c r="I36" s="16">
        <f si="7" t="shared"/>
        <v>-1.6227925037346658E-2</v>
      </c>
      <c r="K36" s="23" t="s">
        <v>7</v>
      </c>
      <c r="L36" s="24">
        <f si="9" t="shared"/>
        <v>5.2765146041088111E-2</v>
      </c>
      <c r="M36" s="24">
        <f si="8" t="shared"/>
        <v>3.6537221003741453E-2</v>
      </c>
      <c r="N36" s="24">
        <f si="10" t="shared"/>
        <v>-1.6227925037346658E-2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-1.0170548747395281E-3</v>
      </c>
      <c r="I37" s="17">
        <f si="7" t="shared"/>
        <v>-1.0170548747395281E-3</v>
      </c>
      <c r="K37" s="32" t="s">
        <v>8</v>
      </c>
      <c r="L37" s="33">
        <f si="9" t="shared"/>
        <v>1.0170548747395281E-3</v>
      </c>
      <c r="M37" s="33">
        <f si="8" t="shared"/>
        <v>0</v>
      </c>
      <c r="N37" s="33">
        <f si="10" t="shared"/>
        <v>-1.0170548747395281E-3</v>
      </c>
    </row>
    <row ht="15.75" r="38" spans="6:14" thickBot="1" x14ac:dyDescent="0.3">
      <c r="F38" s="13" t="s">
        <v>19</v>
      </c>
      <c r="G38" s="18">
        <f si="5" t="shared"/>
        <v>3.0598591033543406E-2</v>
      </c>
      <c r="H38" s="18">
        <f si="6" t="shared"/>
        <v>-3.0598591033543343E-2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1544.198767938</v>
      </c>
      <c r="C4" s="9" t="n">
        <v>267399.9676719379</v>
      </c>
      <c r="D4" s="9">
        <f>SUM(B4:C4)</f>
        <v>268944.1664398759</v>
      </c>
      <c r="E4" s="9"/>
      <c r="F4" s="9" t="s">
        <v>1</v>
      </c>
      <c r="G4" s="9" t="n">
        <v>0.0</v>
      </c>
      <c r="H4" s="9" t="n">
        <v>258799.0</v>
      </c>
      <c r="I4" s="9">
        <f>SUM(G4:H4)</f>
        <v>257944</v>
      </c>
    </row>
    <row r="5" spans="1:9" x14ac:dyDescent="0.25">
      <c r="A5" s="9" t="s">
        <v>2</v>
      </c>
      <c r="B5" s="9" t="n">
        <v>3142.104887806</v>
      </c>
      <c r="C5" s="9" t="n">
        <v>170647.9847534758</v>
      </c>
      <c r="D5" s="9">
        <f ref="D5:D12" si="0" t="shared">SUM(B5:C5)</f>
        <v>173790.08964128178</v>
      </c>
      <c r="E5" s="9"/>
      <c r="F5" s="9" t="s">
        <v>2</v>
      </c>
      <c r="G5" s="9" t="n">
        <v>11021.0</v>
      </c>
      <c r="H5" s="9" t="n">
        <v>160914.0</v>
      </c>
      <c r="I5" s="9">
        <f ref="I5:I12" si="1" t="shared">SUM(G5:H5)</f>
        <v>171431</v>
      </c>
    </row>
    <row r="6" spans="1:9" x14ac:dyDescent="0.25">
      <c r="A6" s="9" t="s">
        <v>3</v>
      </c>
      <c r="B6" s="9" t="n">
        <v>1184.4207664</v>
      </c>
      <c r="C6" s="9" t="n">
        <v>151482.947816031</v>
      </c>
      <c r="D6" s="9">
        <f si="0" t="shared"/>
        <v>152667.36858243099</v>
      </c>
      <c r="E6" s="9"/>
      <c r="F6" s="9" t="s">
        <v>3</v>
      </c>
      <c r="G6" s="9" t="n">
        <v>5470.0</v>
      </c>
      <c r="H6" s="9" t="n">
        <v>133596.0</v>
      </c>
      <c r="I6" s="9">
        <f si="1" t="shared"/>
        <v>138509</v>
      </c>
    </row>
    <row r="7" spans="1:9" x14ac:dyDescent="0.25">
      <c r="A7" s="9" t="s">
        <v>4</v>
      </c>
      <c r="B7" s="9" t="n">
        <v>0.0</v>
      </c>
      <c r="C7" s="9" t="n">
        <v>1584.9143703309999</v>
      </c>
      <c r="D7" s="9">
        <f si="0" t="shared"/>
        <v>1584.9143703309999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21327.6288165966</v>
      </c>
      <c r="C8" s="9" t="n">
        <v>16148.8638673532</v>
      </c>
      <c r="D8" s="9">
        <f si="0" t="shared"/>
        <v>37476.4926839498</v>
      </c>
      <c r="E8" s="9"/>
      <c r="F8" s="9" t="s">
        <v>5</v>
      </c>
      <c r="G8" s="9" t="n">
        <v>9228.0</v>
      </c>
      <c r="H8" s="9" t="n">
        <v>6956.0</v>
      </c>
      <c r="I8" s="9">
        <f si="1" t="shared"/>
        <v>16090</v>
      </c>
    </row>
    <row r="9" spans="1:9" x14ac:dyDescent="0.25">
      <c r="A9" s="9" t="s">
        <v>6</v>
      </c>
      <c r="B9" s="9" t="n">
        <v>1918.0589257462</v>
      </c>
      <c r="C9" s="9" t="n">
        <v>4369.2265788014</v>
      </c>
      <c r="D9" s="9">
        <f si="0" t="shared"/>
        <v>6287.2855045475999</v>
      </c>
      <c r="E9" s="9"/>
      <c r="F9" s="9" t="s">
        <v>6</v>
      </c>
      <c r="G9" s="9" t="n">
        <v>1234.0</v>
      </c>
      <c r="H9" s="9" t="n">
        <v>4009.0</v>
      </c>
      <c r="I9" s="9">
        <f si="1" t="shared"/>
        <v>5332</v>
      </c>
    </row>
    <row r="10" spans="1:9" x14ac:dyDescent="0.25">
      <c r="A10" s="9" t="s">
        <v>7</v>
      </c>
      <c r="B10" s="9" t="n">
        <v>12439.2888154929</v>
      </c>
      <c r="C10" s="9" t="n">
        <v>57707.610610026</v>
      </c>
      <c r="D10" s="9">
        <f si="0" t="shared"/>
        <v>70146.899425518903</v>
      </c>
      <c r="E10" s="9"/>
      <c r="F10" s="9" t="s">
        <v>7</v>
      </c>
      <c r="G10" s="9" t="n">
        <v>16014.0</v>
      </c>
      <c r="H10" s="9" t="n">
        <v>55215.0</v>
      </c>
      <c r="I10" s="9">
        <f si="1" t="shared"/>
        <v>71058</v>
      </c>
    </row>
    <row r="11" spans="1:9" x14ac:dyDescent="0.25">
      <c r="A11" s="14" t="s">
        <v>8</v>
      </c>
      <c r="B11" s="14" t="n">
        <v>0.0</v>
      </c>
      <c r="C11" s="14" t="n">
        <v>2859.93925</v>
      </c>
      <c r="D11" s="14">
        <f si="0" t="shared"/>
        <v>2859.9392499999999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41555.700979979702</v>
      </c>
      <c r="C12" s="10">
        <f>SUM(C4:C11)</f>
        <v>672201.45491795626</v>
      </c>
      <c r="D12" s="10">
        <f si="0" t="shared"/>
        <v>713757.15589793597</v>
      </c>
      <c r="F12" s="13" t="s">
        <v>19</v>
      </c>
      <c r="G12" s="10">
        <f>SUM(G4:G11)</f>
        <v>43037</v>
      </c>
      <c r="H12" s="10">
        <f>SUM(H4:H11)</f>
        <v>617327</v>
      </c>
      <c r="I12" s="10">
        <f si="1" t="shared"/>
        <v>660364</v>
      </c>
    </row>
    <row ht="15.75" r="15" spans="1:9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2.1634792102298915E-3</v>
      </c>
      <c r="C17" s="16">
        <f ref="C17:D17" si="2" t="shared">C4/$D$12</f>
        <v>0.37463717941368685</v>
      </c>
      <c r="D17" s="16">
        <f si="2" t="shared"/>
        <v>0.37680065862391676</v>
      </c>
      <c r="F17" s="9" t="s">
        <v>1</v>
      </c>
      <c r="G17" s="16">
        <f ref="G17:I25" si="3" t="shared">G4/$I$12</f>
        <v>0</v>
      </c>
      <c r="H17" s="16">
        <f si="3" t="shared"/>
        <v>0.39060881574404421</v>
      </c>
      <c r="I17" s="16">
        <f si="3" t="shared"/>
        <v>0.39060881574404421</v>
      </c>
    </row>
    <row r="18" spans="1:14" x14ac:dyDescent="0.25">
      <c r="A18" s="9" t="s">
        <v>2</v>
      </c>
      <c r="B18" s="16">
        <f ref="B18:D25" si="4" t="shared">B5/$D$12</f>
        <v>4.402204393808287E-3</v>
      </c>
      <c r="C18" s="16">
        <f si="4" t="shared"/>
        <v>0.23908409652130713</v>
      </c>
      <c r="D18" s="16">
        <f si="4" t="shared"/>
        <v>0.24348630091511542</v>
      </c>
      <c r="F18" s="9" t="s">
        <v>2</v>
      </c>
      <c r="G18" s="16">
        <f si="3" t="shared"/>
        <v>1.6727138366113236E-2</v>
      </c>
      <c r="H18" s="16">
        <f si="3" t="shared"/>
        <v>0.24287362727223169</v>
      </c>
      <c r="I18" s="16">
        <f si="3" t="shared"/>
        <v>0.25960076563834489</v>
      </c>
    </row>
    <row r="19" spans="1:14" x14ac:dyDescent="0.25">
      <c r="A19" s="9" t="s">
        <v>3</v>
      </c>
      <c r="B19" s="16">
        <f si="4" t="shared"/>
        <v>1.6594170112521672E-3</v>
      </c>
      <c r="C19" s="16">
        <f si="4" t="shared"/>
        <v>0.21223317561763594</v>
      </c>
      <c r="D19" s="16">
        <f si="4" t="shared"/>
        <v>0.2138925926288881</v>
      </c>
      <c r="F19" s="9" t="s">
        <v>3</v>
      </c>
      <c r="G19" s="16">
        <f si="3" t="shared"/>
        <v>8.3045108455336754E-3</v>
      </c>
      <c r="H19" s="16">
        <f si="3" t="shared"/>
        <v>0.20144193202536784</v>
      </c>
      <c r="I19" s="16">
        <f si="3" t="shared"/>
        <v>0.20974644287090149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2.2205232651392646E-3</v>
      </c>
      <c r="D20" s="16">
        <f si="4" t="shared"/>
        <v>2.2205232651392646E-3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2.9880791583470099E-2</v>
      </c>
      <c r="C21" s="16">
        <f si="4" t="shared"/>
        <v>2.262515161341852E-2</v>
      </c>
      <c r="D21" s="16">
        <f si="4" t="shared"/>
        <v>5.2505943196888616E-2</v>
      </c>
      <c r="F21" s="9" t="s">
        <v>5</v>
      </c>
      <c r="G21" s="16">
        <f si="3" t="shared"/>
        <v>1.4039226850646007E-2</v>
      </c>
      <c r="H21" s="16">
        <f si="3" t="shared"/>
        <v>1.0326123168434379E-2</v>
      </c>
      <c r="I21" s="16">
        <f si="3" t="shared"/>
        <v>2.4365350019080387E-2</v>
      </c>
    </row>
    <row r="22" spans="1:14" x14ac:dyDescent="0.25">
      <c r="A22" s="9" t="s">
        <v>6</v>
      </c>
      <c r="B22" s="16">
        <f si="4" t="shared"/>
        <v>2.6872710275432582E-3</v>
      </c>
      <c r="C22" s="16">
        <f si="4" t="shared"/>
        <v>6.1214469693193236E-3</v>
      </c>
      <c r="D22" s="16">
        <f si="4" t="shared"/>
        <v>8.808717996862581E-3</v>
      </c>
      <c r="F22" s="9" t="s">
        <v>6</v>
      </c>
      <c r="G22" s="16">
        <f si="3" t="shared"/>
        <v>1.8550375247590723E-3</v>
      </c>
      <c r="H22" s="16">
        <f si="3" t="shared"/>
        <v>6.2192972360698038E-3</v>
      </c>
      <c r="I22" s="16">
        <f si="3" t="shared"/>
        <v>8.0743347608288763E-3</v>
      </c>
    </row>
    <row r="23" spans="1:14" x14ac:dyDescent="0.25">
      <c r="A23" s="9" t="s">
        <v>7</v>
      </c>
      <c r="B23" s="16">
        <f si="4" t="shared"/>
        <v>1.7427900670002758E-2</v>
      </c>
      <c r="C23" s="16">
        <f si="4" t="shared"/>
        <v>8.0850482735164236E-2</v>
      </c>
      <c r="D23" s="16">
        <f si="4" t="shared"/>
        <v>9.8278383405166994E-2</v>
      </c>
      <c r="F23" s="9" t="s">
        <v>7</v>
      </c>
      <c r="G23" s="16">
        <f si="3" t="shared"/>
        <v>2.4245719027687761E-2</v>
      </c>
      <c r="H23" s="16">
        <f si="3" t="shared"/>
        <v>8.3358571939112364E-2</v>
      </c>
      <c r="I23" s="16">
        <f si="3" t="shared"/>
        <v>0.10760429096680013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4.006879968022287E-3</v>
      </c>
      <c r="D24" s="17">
        <f si="4" t="shared"/>
        <v>4.006879968022287E-3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5.8221063896306463E-2</v>
      </c>
      <c r="C25" s="18">
        <f si="4" t="shared"/>
        <v>0.94177893610369356</v>
      </c>
      <c r="D25" s="18">
        <f si="4" t="shared"/>
        <v>1</v>
      </c>
      <c r="F25" s="13" t="s">
        <v>19</v>
      </c>
      <c r="G25" s="18">
        <f si="3" t="shared"/>
        <v>6.5171632614739752E-2</v>
      </c>
      <c r="H25" s="18">
        <f si="3" t="shared"/>
        <v>0.93482836738526021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-2.1634792102298915E-3</v>
      </c>
      <c r="H30" s="16">
        <f ref="H30:H38" si="6" t="shared">H17-C17</f>
        <v>1.5971636330357364E-2</v>
      </c>
      <c r="I30" s="16">
        <f ref="I30:I38" si="7" t="shared">I17-D17</f>
        <v>1.3808157120127451E-2</v>
      </c>
      <c r="K30" s="23" t="s">
        <v>1</v>
      </c>
      <c r="L30" s="24">
        <f>D17</f>
        <v>0.37680065862391676</v>
      </c>
      <c r="M30" s="24">
        <f ref="M30:M38" si="8" t="shared">I17</f>
        <v>0.39060881574404421</v>
      </c>
      <c r="N30" s="24">
        <f>M30-L30</f>
        <v>1.3808157120127451E-2</v>
      </c>
    </row>
    <row r="31" spans="1:14" x14ac:dyDescent="0.25">
      <c r="F31" s="9" t="s">
        <v>2</v>
      </c>
      <c r="G31" s="16">
        <f si="5" t="shared"/>
        <v>1.2324933972304948E-2</v>
      </c>
      <c r="H31" s="16">
        <f si="6" t="shared"/>
        <v>3.7895307509245579E-3</v>
      </c>
      <c r="I31" s="16">
        <f si="7" t="shared"/>
        <v>1.6114464723229471E-2</v>
      </c>
      <c r="K31" s="30" t="s">
        <v>2</v>
      </c>
      <c r="L31" s="31">
        <f ref="L31:L38" si="9" t="shared">D18</f>
        <v>0.24348630091511542</v>
      </c>
      <c r="M31" s="31">
        <f si="8" t="shared"/>
        <v>0.25960076563834489</v>
      </c>
      <c r="N31" s="31">
        <f ref="N31:N38" si="10" t="shared">M31-L31</f>
        <v>1.6114464723229471E-2</v>
      </c>
    </row>
    <row r="32" spans="1:14" x14ac:dyDescent="0.25">
      <c r="F32" s="9" t="s">
        <v>3</v>
      </c>
      <c r="G32" s="16">
        <f si="5" t="shared"/>
        <v>6.6450938342815079E-3</v>
      </c>
      <c r="H32" s="16">
        <f si="6" t="shared"/>
        <v>-1.0791243592268102E-2</v>
      </c>
      <c r="I32" s="16">
        <f si="7" t="shared"/>
        <v>-4.1461497579866058E-3</v>
      </c>
      <c r="K32" s="23" t="s">
        <v>3</v>
      </c>
      <c r="L32" s="24">
        <f si="9" t="shared"/>
        <v>0.2138925926288881</v>
      </c>
      <c r="M32" s="24">
        <f si="8" t="shared"/>
        <v>0.20974644287090149</v>
      </c>
      <c r="N32" s="24">
        <f si="10" t="shared"/>
        <v>-4.1461497579866058E-3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-2.2205232651392646E-3</v>
      </c>
      <c r="I33" s="16">
        <f si="7" t="shared"/>
        <v>-2.2205232651392646E-3</v>
      </c>
      <c r="K33" s="30" t="s">
        <v>4</v>
      </c>
      <c r="L33" s="31">
        <f si="9" t="shared"/>
        <v>2.2205232651392646E-3</v>
      </c>
      <c r="M33" s="31">
        <f si="8" t="shared"/>
        <v>0</v>
      </c>
      <c r="N33" s="31">
        <f si="10" t="shared"/>
        <v>-2.2205232651392646E-3</v>
      </c>
    </row>
    <row r="34" spans="6:14" x14ac:dyDescent="0.25">
      <c r="F34" s="9" t="s">
        <v>5</v>
      </c>
      <c r="G34" s="16">
        <f si="5" t="shared"/>
        <v>-1.5841564732824092E-2</v>
      </c>
      <c r="H34" s="16">
        <f si="6" t="shared"/>
        <v>-1.2299028444984142E-2</v>
      </c>
      <c r="I34" s="16">
        <f si="7" t="shared"/>
        <v>-2.8140593177808228E-2</v>
      </c>
      <c r="K34" s="23" t="s">
        <v>5</v>
      </c>
      <c r="L34" s="24">
        <f si="9" t="shared"/>
        <v>5.2505943196888616E-2</v>
      </c>
      <c r="M34" s="24">
        <f si="8" t="shared"/>
        <v>2.4365350019080387E-2</v>
      </c>
      <c r="N34" s="24">
        <f si="10" t="shared"/>
        <v>-2.8140593177808228E-2</v>
      </c>
    </row>
    <row r="35" spans="6:14" x14ac:dyDescent="0.25">
      <c r="F35" s="9" t="s">
        <v>6</v>
      </c>
      <c r="G35" s="16">
        <f si="5" t="shared"/>
        <v>-8.3223350278418596E-4</v>
      </c>
      <c r="H35" s="16">
        <f si="6" t="shared"/>
        <v>9.7850266750480232E-5</v>
      </c>
      <c r="I35" s="16">
        <f si="7" t="shared"/>
        <v>-7.3438323603370464E-4</v>
      </c>
      <c r="K35" s="30" t="s">
        <v>6</v>
      </c>
      <c r="L35" s="31">
        <f si="9" t="shared"/>
        <v>8.808717996862581E-3</v>
      </c>
      <c r="M35" s="31">
        <f si="8" t="shared"/>
        <v>8.0743347608288763E-3</v>
      </c>
      <c r="N35" s="31">
        <f si="10" t="shared"/>
        <v>-7.3438323603370464E-4</v>
      </c>
    </row>
    <row r="36" spans="6:14" x14ac:dyDescent="0.25">
      <c r="F36" s="9" t="s">
        <v>7</v>
      </c>
      <c r="G36" s="16">
        <f si="5" t="shared"/>
        <v>6.8178183576850029E-3</v>
      </c>
      <c r="H36" s="16">
        <f si="6" t="shared"/>
        <v>2.5080892039481273E-3</v>
      </c>
      <c r="I36" s="16">
        <f si="7" t="shared"/>
        <v>9.3259075616331372E-3</v>
      </c>
      <c r="K36" s="23" t="s">
        <v>7</v>
      </c>
      <c r="L36" s="24">
        <f si="9" t="shared"/>
        <v>9.8278383405166994E-2</v>
      </c>
      <c r="M36" s="24">
        <f si="8" t="shared"/>
        <v>0.10760429096680013</v>
      </c>
      <c r="N36" s="24">
        <f si="10" t="shared"/>
        <v>9.3259075616331372E-3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-4.006879968022287E-3</v>
      </c>
      <c r="I37" s="17">
        <f si="7" t="shared"/>
        <v>-4.006879968022287E-3</v>
      </c>
      <c r="K37" s="32" t="s">
        <v>8</v>
      </c>
      <c r="L37" s="33">
        <f si="9" t="shared"/>
        <v>4.006879968022287E-3</v>
      </c>
      <c r="M37" s="33">
        <f si="8" t="shared"/>
        <v>0</v>
      </c>
      <c r="N37" s="33">
        <f si="10" t="shared"/>
        <v>-4.006879968022287E-3</v>
      </c>
    </row>
    <row ht="15.75" r="38" spans="6:14" thickBot="1" x14ac:dyDescent="0.3">
      <c r="F38" s="13" t="s">
        <v>19</v>
      </c>
      <c r="G38" s="18">
        <f si="5" t="shared"/>
        <v>6.9505687184332893E-3</v>
      </c>
      <c r="H38" s="18">
        <f si="6" t="shared"/>
        <v>-6.9505687184333587E-3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2047.0027573749999</v>
      </c>
      <c r="C4" s="9" t="n">
        <v>269597.0456286449</v>
      </c>
      <c r="D4" s="9">
        <f>SUM(B4:C4)</f>
        <v>271644.04838601989</v>
      </c>
      <c r="E4" s="9"/>
      <c r="F4" s="9" t="s">
        <v>1</v>
      </c>
      <c r="G4" s="9" t="n">
        <v>0.0</v>
      </c>
      <c r="H4" s="9" t="n">
        <v>244008.0</v>
      </c>
      <c r="I4" s="9">
        <f>SUM(G4:H4)</f>
        <v>243540</v>
      </c>
    </row>
    <row r="5" spans="1:9" x14ac:dyDescent="0.25">
      <c r="A5" s="9" t="s">
        <v>2</v>
      </c>
      <c r="B5" s="9" t="n">
        <v>5471.1925544225</v>
      </c>
      <c r="C5" s="9" t="n">
        <v>167832.2870554703</v>
      </c>
      <c r="D5" s="9">
        <f ref="D5:D12" si="0" t="shared">SUM(B5:C5)</f>
        <v>173303.47960989282</v>
      </c>
      <c r="E5" s="9"/>
      <c r="F5" s="9" t="s">
        <v>2</v>
      </c>
      <c r="G5" s="9" t="n">
        <v>14413.0</v>
      </c>
      <c r="H5" s="9" t="n">
        <v>151405.0</v>
      </c>
      <c r="I5" s="9">
        <f ref="I5:I12" si="1" t="shared">SUM(G5:H5)</f>
        <v>162720</v>
      </c>
    </row>
    <row r="6" spans="1:9" x14ac:dyDescent="0.25">
      <c r="A6" s="9" t="s">
        <v>3</v>
      </c>
      <c r="B6" s="9" t="n">
        <v>2068.327236208</v>
      </c>
      <c r="C6" s="9" t="n">
        <v>132195.9684167077</v>
      </c>
      <c r="D6" s="9">
        <f si="0" t="shared"/>
        <v>134264.29565291569</v>
      </c>
      <c r="E6" s="9"/>
      <c r="F6" s="9" t="s">
        <v>3</v>
      </c>
      <c r="G6" s="9" t="n">
        <v>7116.0</v>
      </c>
      <c r="H6" s="9" t="n">
        <v>133327.0</v>
      </c>
      <c r="I6" s="9">
        <f si="1" t="shared"/>
        <v>136940</v>
      </c>
    </row>
    <row r="7" spans="1:9" x14ac:dyDescent="0.25">
      <c r="A7" s="9" t="s">
        <v>4</v>
      </c>
      <c r="B7" s="9" t="n">
        <v>24.97125</v>
      </c>
      <c r="C7" s="9" t="n">
        <v>381.95556960199997</v>
      </c>
      <c r="D7" s="9">
        <f si="0" t="shared"/>
        <v>406.92681960199997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21884.947940288</v>
      </c>
      <c r="C8" s="9" t="n">
        <v>12665.691935528499</v>
      </c>
      <c r="D8" s="9">
        <f si="0" t="shared"/>
        <v>34550.639875816501</v>
      </c>
      <c r="E8" s="9"/>
      <c r="F8" s="9" t="s">
        <v>5</v>
      </c>
      <c r="G8" s="9" t="n">
        <v>6784.0</v>
      </c>
      <c r="H8" s="9" t="n">
        <v>4324.0</v>
      </c>
      <c r="I8" s="9">
        <f si="1" t="shared"/>
        <v>11023</v>
      </c>
    </row>
    <row r="9" spans="1:9" x14ac:dyDescent="0.25">
      <c r="A9" s="9" t="s">
        <v>6</v>
      </c>
      <c r="B9" s="9" t="n">
        <v>1196.8745161056</v>
      </c>
      <c r="C9" s="9" t="n">
        <v>2093.4175745485</v>
      </c>
      <c r="D9" s="9">
        <f si="0" t="shared"/>
        <v>3290.2920906540999</v>
      </c>
      <c r="E9" s="9"/>
      <c r="F9" s="9" t="s">
        <v>6</v>
      </c>
      <c r="G9" s="9" t="n">
        <v>1753.0</v>
      </c>
      <c r="H9" s="9" t="n">
        <v>4080.0</v>
      </c>
      <c r="I9" s="9">
        <f si="1" t="shared"/>
        <v>5483</v>
      </c>
    </row>
    <row r="10" spans="1:9" x14ac:dyDescent="0.25">
      <c r="A10" s="9" t="s">
        <v>7</v>
      </c>
      <c r="B10" s="9" t="n">
        <v>34536.5524863696</v>
      </c>
      <c r="C10" s="9" t="n">
        <v>47184.2769456946</v>
      </c>
      <c r="D10" s="9">
        <f si="0" t="shared"/>
        <v>81720.829432064202</v>
      </c>
      <c r="E10" s="9"/>
      <c r="F10" s="9" t="s">
        <v>7</v>
      </c>
      <c r="G10" s="9" t="n">
        <v>26396.0</v>
      </c>
      <c r="H10" s="9" t="n">
        <v>65403.0</v>
      </c>
      <c r="I10" s="9">
        <f si="1" t="shared"/>
        <v>91084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67229.868740768696</v>
      </c>
      <c r="C12" s="10">
        <f>SUM(C4:C11)</f>
        <v>631950.64312619646</v>
      </c>
      <c r="D12" s="10">
        <f si="0" t="shared"/>
        <v>699180.5118669651</v>
      </c>
      <c r="F12" s="13" t="s">
        <v>19</v>
      </c>
      <c r="G12" s="10">
        <f>SUM(G4:G11)</f>
        <v>56424</v>
      </c>
      <c r="H12" s="10">
        <f>SUM(H4:H11)</f>
        <v>594366</v>
      </c>
      <c r="I12" s="10">
        <f si="1" t="shared"/>
        <v>650790</v>
      </c>
    </row>
    <row ht="15.75" r="15" spans="1:9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2.9277171240214553E-3</v>
      </c>
      <c r="C17" s="16">
        <f ref="C17:D17" si="2" t="shared">C4/$D$12</f>
        <v>0.38559004585062262</v>
      </c>
      <c r="D17" s="16">
        <f si="2" t="shared"/>
        <v>0.38851776297464413</v>
      </c>
      <c r="F17" s="9" t="s">
        <v>1</v>
      </c>
      <c r="G17" s="16">
        <f ref="G17:I25" si="3" t="shared">G4/$I$12</f>
        <v>0</v>
      </c>
      <c r="H17" s="16">
        <f si="3" t="shared"/>
        <v>0.37422209929470335</v>
      </c>
      <c r="I17" s="16">
        <f si="3" t="shared"/>
        <v>0.37422209929470335</v>
      </c>
    </row>
    <row r="18" spans="1:14" x14ac:dyDescent="0.25">
      <c r="A18" s="9" t="s">
        <v>2</v>
      </c>
      <c r="B18" s="16">
        <f ref="B18:D25" si="4" t="shared">B5/$D$12</f>
        <v>7.8251502459832836E-3</v>
      </c>
      <c r="C18" s="16">
        <f si="4" t="shared"/>
        <v>0.2400414259363742</v>
      </c>
      <c r="D18" s="16">
        <f si="4" t="shared"/>
        <v>0.2478665761823575</v>
      </c>
      <c r="F18" s="9" t="s">
        <v>2</v>
      </c>
      <c r="G18" s="16">
        <f si="3" t="shared"/>
        <v>2.2091611733431674E-2</v>
      </c>
      <c r="H18" s="16">
        <f si="3" t="shared"/>
        <v>0.22794296163124816</v>
      </c>
      <c r="I18" s="16">
        <f si="3" t="shared"/>
        <v>0.25003457336467982</v>
      </c>
    </row>
    <row r="19" spans="1:14" x14ac:dyDescent="0.25">
      <c r="A19" s="9" t="s">
        <v>3</v>
      </c>
      <c r="B19" s="16">
        <f si="4" t="shared"/>
        <v>2.9582163705980783E-3</v>
      </c>
      <c r="C19" s="16">
        <f si="4" t="shared"/>
        <v>0.18907273039363687</v>
      </c>
      <c r="D19" s="16">
        <f si="4" t="shared"/>
        <v>0.19203094676423491</v>
      </c>
      <c r="F19" s="9" t="s">
        <v>3</v>
      </c>
      <c r="G19" s="16">
        <f si="3" t="shared"/>
        <v>1.0891378171145839E-2</v>
      </c>
      <c r="H19" s="16">
        <f si="3" t="shared"/>
        <v>0.19952980224035402</v>
      </c>
      <c r="I19" s="16">
        <f si="3" t="shared"/>
        <v>0.21042118041149988</v>
      </c>
    </row>
    <row r="20" spans="1:14" x14ac:dyDescent="0.25">
      <c r="A20" s="9" t="s">
        <v>4</v>
      </c>
      <c r="B20" s="16">
        <f si="4" t="shared"/>
        <v>3.5715025771129255E-5</v>
      </c>
      <c r="C20" s="16">
        <f si="4" t="shared"/>
        <v>5.4629035437800595E-4</v>
      </c>
      <c r="D20" s="16">
        <f si="4" t="shared"/>
        <v>5.8200538014913517E-4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3.1300855170934894E-2</v>
      </c>
      <c r="C21" s="16">
        <f si="4" t="shared"/>
        <v>1.8115052866259571E-2</v>
      </c>
      <c r="D21" s="16">
        <f si="4" t="shared"/>
        <v>4.9415908037194464E-2</v>
      </c>
      <c r="F21" s="9" t="s">
        <v>5</v>
      </c>
      <c r="G21" s="16">
        <f si="3" t="shared"/>
        <v>1.0476497794987631E-2</v>
      </c>
      <c r="H21" s="16">
        <f si="3" t="shared"/>
        <v>6.4613777101676425E-3</v>
      </c>
      <c r="I21" s="16">
        <f si="3" t="shared"/>
        <v>1.6937875505155273E-2</v>
      </c>
    </row>
    <row r="22" spans="1:14" x14ac:dyDescent="0.25">
      <c r="A22" s="9" t="s">
        <v>6</v>
      </c>
      <c r="B22" s="16">
        <f si="4" t="shared"/>
        <v>1.7118247659816531E-3</v>
      </c>
      <c r="C22" s="16">
        <f si="4" t="shared"/>
        <v>2.9941017219696476E-3</v>
      </c>
      <c r="D22" s="16">
        <f si="4" t="shared"/>
        <v>4.7059264879513009E-3</v>
      </c>
      <c r="F22" s="9" t="s">
        <v>6</v>
      </c>
      <c r="G22" s="16">
        <f si="3" t="shared"/>
        <v>2.6828930991564101E-3</v>
      </c>
      <c r="H22" s="16">
        <f si="3" t="shared"/>
        <v>5.7422517248267493E-3</v>
      </c>
      <c r="I22" s="16">
        <f si="3" t="shared"/>
        <v>8.4251448239831585E-3</v>
      </c>
    </row>
    <row r="23" spans="1:14" x14ac:dyDescent="0.25">
      <c r="A23" s="9" t="s">
        <v>7</v>
      </c>
      <c r="B23" s="16">
        <f si="4" t="shared"/>
        <v>4.9395759607414456E-2</v>
      </c>
      <c r="C23" s="16">
        <f si="4" t="shared"/>
        <v>6.7485114566054258E-2</v>
      </c>
      <c r="D23" s="16">
        <f si="4" t="shared"/>
        <v>0.11688087417346872</v>
      </c>
      <c r="F23" s="9" t="s">
        <v>7</v>
      </c>
      <c r="G23" s="16">
        <f si="3" t="shared"/>
        <v>4.055839825442923E-2</v>
      </c>
      <c r="H23" s="16">
        <f si="3" t="shared"/>
        <v>9.940072834554925E-2</v>
      </c>
      <c r="I23" s="16">
        <f si="3" t="shared"/>
        <v>0.1399591265999785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9.6155238310704938E-2</v>
      </c>
      <c r="C25" s="18">
        <f si="4" t="shared"/>
        <v>0.90384476168929517</v>
      </c>
      <c r="D25" s="18">
        <f si="4" t="shared"/>
        <v>1</v>
      </c>
      <c r="F25" s="13" t="s">
        <v>19</v>
      </c>
      <c r="G25" s="18">
        <f si="3" t="shared"/>
        <v>8.6700779053150781E-2</v>
      </c>
      <c r="H25" s="18">
        <f si="3" t="shared"/>
        <v>0.91329922094684923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-2.9277171240214553E-3</v>
      </c>
      <c r="H30" s="16">
        <f ref="H30:H38" si="6" t="shared">H17-C17</f>
        <v>-1.1367946555919273E-2</v>
      </c>
      <c r="I30" s="16">
        <f ref="I30:I38" si="7" t="shared">I17-D17</f>
        <v>-1.4295663679940784E-2</v>
      </c>
      <c r="K30" s="23" t="s">
        <v>1</v>
      </c>
      <c r="L30" s="24">
        <f>D17</f>
        <v>0.38851776297464413</v>
      </c>
      <c r="M30" s="24">
        <f ref="M30:M38" si="8" t="shared">I17</f>
        <v>0.37422209929470335</v>
      </c>
      <c r="N30" s="24">
        <f>M30-L30</f>
        <v>-1.4295663679940784E-2</v>
      </c>
    </row>
    <row r="31" spans="1:14" x14ac:dyDescent="0.25">
      <c r="F31" s="9" t="s">
        <v>2</v>
      </c>
      <c r="G31" s="16">
        <f si="5" t="shared"/>
        <v>1.426646148744839E-2</v>
      </c>
      <c r="H31" s="16">
        <f si="6" t="shared"/>
        <v>-1.2098464305126039E-2</v>
      </c>
      <c r="I31" s="16">
        <f si="7" t="shared"/>
        <v>2.1679971823223287E-3</v>
      </c>
      <c r="K31" s="30" t="s">
        <v>2</v>
      </c>
      <c r="L31" s="31">
        <f ref="L31:L38" si="9" t="shared">D18</f>
        <v>0.2478665761823575</v>
      </c>
      <c r="M31" s="31">
        <f si="8" t="shared"/>
        <v>0.25003457336467982</v>
      </c>
      <c r="N31" s="31">
        <f ref="N31:N38" si="10" t="shared">M31-L31</f>
        <v>2.1679971823223287E-3</v>
      </c>
    </row>
    <row r="32" spans="1:14" x14ac:dyDescent="0.25">
      <c r="F32" s="9" t="s">
        <v>3</v>
      </c>
      <c r="G32" s="16">
        <f si="5" t="shared"/>
        <v>7.9331618005477611E-3</v>
      </c>
      <c r="H32" s="16">
        <f si="6" t="shared"/>
        <v>1.0457071846717153E-2</v>
      </c>
      <c r="I32" s="16">
        <f si="7" t="shared"/>
        <v>1.839023364726497E-2</v>
      </c>
      <c r="K32" s="23" t="s">
        <v>3</v>
      </c>
      <c r="L32" s="24">
        <f si="9" t="shared"/>
        <v>0.19203094676423491</v>
      </c>
      <c r="M32" s="24">
        <f si="8" t="shared"/>
        <v>0.21042118041149988</v>
      </c>
      <c r="N32" s="24">
        <f si="10" t="shared"/>
        <v>1.839023364726497E-2</v>
      </c>
    </row>
    <row r="33" spans="6:14" x14ac:dyDescent="0.25">
      <c r="F33" s="9" t="s">
        <v>4</v>
      </c>
      <c r="G33" s="16">
        <f si="5" t="shared"/>
        <v>-3.5715025771129255E-5</v>
      </c>
      <c r="H33" s="16">
        <f si="6" t="shared"/>
        <v>-5.4629035437800595E-4</v>
      </c>
      <c r="I33" s="16">
        <f si="7" t="shared"/>
        <v>-5.8200538014913517E-4</v>
      </c>
      <c r="K33" s="30" t="s">
        <v>4</v>
      </c>
      <c r="L33" s="31">
        <f si="9" t="shared"/>
        <v>5.8200538014913517E-4</v>
      </c>
      <c r="M33" s="31">
        <f si="8" t="shared"/>
        <v>0</v>
      </c>
      <c r="N33" s="31">
        <f si="10" t="shared"/>
        <v>-5.8200538014913517E-4</v>
      </c>
    </row>
    <row r="34" spans="6:14" x14ac:dyDescent="0.25">
      <c r="F34" s="9" t="s">
        <v>5</v>
      </c>
      <c r="G34" s="16">
        <f si="5" t="shared"/>
        <v>-2.0824357375947261E-2</v>
      </c>
      <c r="H34" s="16">
        <f si="6" t="shared"/>
        <v>-1.1653675156091928E-2</v>
      </c>
      <c r="I34" s="16">
        <f si="7" t="shared"/>
        <v>-3.2478032532039194E-2</v>
      </c>
      <c r="K34" s="23" t="s">
        <v>5</v>
      </c>
      <c r="L34" s="24">
        <f si="9" t="shared"/>
        <v>4.9415908037194464E-2</v>
      </c>
      <c r="M34" s="24">
        <f si="8" t="shared"/>
        <v>1.6937875505155273E-2</v>
      </c>
      <c r="N34" s="24">
        <f si="10" t="shared"/>
        <v>-3.2478032532039194E-2</v>
      </c>
    </row>
    <row r="35" spans="6:14" x14ac:dyDescent="0.25">
      <c r="F35" s="9" t="s">
        <v>6</v>
      </c>
      <c r="G35" s="16">
        <f si="5" t="shared"/>
        <v>9.7106833317475694E-4</v>
      </c>
      <c r="H35" s="16">
        <f si="6" t="shared"/>
        <v>2.7481500028571017E-3</v>
      </c>
      <c r="I35" s="16">
        <f si="7" t="shared"/>
        <v>3.7192183360318576E-3</v>
      </c>
      <c r="K35" s="30" t="s">
        <v>6</v>
      </c>
      <c r="L35" s="31">
        <f si="9" t="shared"/>
        <v>4.7059264879513009E-3</v>
      </c>
      <c r="M35" s="31">
        <f si="8" t="shared"/>
        <v>8.4251448239831585E-3</v>
      </c>
      <c r="N35" s="31">
        <f si="10" t="shared"/>
        <v>3.7192183360318576E-3</v>
      </c>
    </row>
    <row r="36" spans="6:14" x14ac:dyDescent="0.25">
      <c r="F36" s="9" t="s">
        <v>7</v>
      </c>
      <c r="G36" s="16">
        <f si="5" t="shared"/>
        <v>-8.8373613529852263E-3</v>
      </c>
      <c r="H36" s="16">
        <f si="6" t="shared"/>
        <v>3.1915613779494992E-2</v>
      </c>
      <c r="I36" s="16">
        <f si="7" t="shared"/>
        <v>2.3078252426509779E-2</v>
      </c>
      <c r="K36" s="23" t="s">
        <v>7</v>
      </c>
      <c r="L36" s="24">
        <f si="9" t="shared"/>
        <v>0.11688087417346872</v>
      </c>
      <c r="M36" s="24">
        <f si="8" t="shared"/>
        <v>0.1399591265999785</v>
      </c>
      <c r="N36" s="24">
        <f si="10" t="shared"/>
        <v>2.3078252426509779E-2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-9.4544592575541569E-3</v>
      </c>
      <c r="H38" s="18">
        <f si="6" t="shared"/>
        <v>9.4544592575540598E-3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78.7797765685</v>
      </c>
      <c r="C4" s="9" t="n">
        <v>51509.2631929766</v>
      </c>
      <c r="D4" s="9">
        <f>SUM(B4:C4)</f>
        <v>51588.042969545102</v>
      </c>
      <c r="E4" s="9"/>
      <c r="F4" s="9" t="s">
        <v>1</v>
      </c>
      <c r="G4" s="9" t="n">
        <v>0.0</v>
      </c>
      <c r="H4" s="9" t="n">
        <v>48947.0</v>
      </c>
      <c r="I4" s="9">
        <f>SUM(G4:H4)</f>
        <v>48878</v>
      </c>
    </row>
    <row r="5" spans="1:9" x14ac:dyDescent="0.25">
      <c r="A5" s="9" t="s">
        <v>2</v>
      </c>
      <c r="B5" s="9" t="n">
        <v>2199.8988636568</v>
      </c>
      <c r="C5" s="9" t="n">
        <v>81415.9448419675</v>
      </c>
      <c r="D5" s="9">
        <f ref="D5:D12" si="0" t="shared">SUM(B5:C5)</f>
        <v>83615.843705624298</v>
      </c>
      <c r="E5" s="9"/>
      <c r="F5" s="9" t="s">
        <v>2</v>
      </c>
      <c r="G5" s="9" t="n">
        <v>2370.0</v>
      </c>
      <c r="H5" s="9" t="n">
        <v>74166.0</v>
      </c>
      <c r="I5" s="9">
        <f ref="I5:I12" si="1" t="shared">SUM(G5:H5)</f>
        <v>76334</v>
      </c>
    </row>
    <row r="6" spans="1:9" x14ac:dyDescent="0.25">
      <c r="A6" s="9" t="s">
        <v>3</v>
      </c>
      <c r="B6" s="9" t="n">
        <v>474.295056466</v>
      </c>
      <c r="C6" s="9" t="n">
        <v>38605.907319714</v>
      </c>
      <c r="D6" s="9">
        <f si="0" t="shared"/>
        <v>39080.202376180001</v>
      </c>
      <c r="E6" s="9"/>
      <c r="F6" s="9" t="s">
        <v>3</v>
      </c>
      <c r="G6" s="9" t="n">
        <v>1173.0</v>
      </c>
      <c r="H6" s="9" t="n">
        <v>54652.0</v>
      </c>
      <c r="I6" s="9">
        <f si="1" t="shared"/>
        <v>55861</v>
      </c>
    </row>
    <row r="7" spans="1:9" x14ac:dyDescent="0.25">
      <c r="A7" s="9" t="s">
        <v>4</v>
      </c>
      <c r="B7" s="9" t="n">
        <v>0.0</v>
      </c>
      <c r="C7" s="9" t="n">
        <v>288.324112389</v>
      </c>
      <c r="D7" s="9">
        <f si="0" t="shared"/>
        <v>288.32411238899999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8765.4207695241</v>
      </c>
      <c r="C8" s="9" t="n">
        <v>2701.3162036348</v>
      </c>
      <c r="D8" s="9">
        <f si="0" t="shared"/>
        <v>11466.736973158901</v>
      </c>
      <c r="E8" s="9"/>
      <c r="F8" s="9" t="s">
        <v>5</v>
      </c>
      <c r="G8" s="9" t="n">
        <v>1340.0</v>
      </c>
      <c r="H8" s="9" t="n">
        <v>1979.0</v>
      </c>
      <c r="I8" s="9">
        <f si="1" t="shared"/>
        <v>3274</v>
      </c>
    </row>
    <row r="9" spans="1:9" x14ac:dyDescent="0.25">
      <c r="A9" s="9" t="s">
        <v>6</v>
      </c>
      <c r="B9" s="9" t="n">
        <v>1903.3855107507</v>
      </c>
      <c r="C9" s="9" t="n">
        <v>1409.4001897420999</v>
      </c>
      <c r="D9" s="9">
        <f si="0" t="shared"/>
        <v>3312.7857004928001</v>
      </c>
      <c r="E9" s="9"/>
      <c r="F9" s="9" t="s">
        <v>6</v>
      </c>
      <c r="G9" s="9" t="n">
        <v>98.0</v>
      </c>
      <c r="H9" s="9" t="n">
        <v>689.0</v>
      </c>
      <c r="I9" s="9">
        <f si="1" t="shared"/>
        <v>777</v>
      </c>
    </row>
    <row r="10" spans="1:9" x14ac:dyDescent="0.25">
      <c r="A10" s="9" t="s">
        <v>7</v>
      </c>
      <c r="B10" s="9" t="n">
        <v>10106.5037902775</v>
      </c>
      <c r="C10" s="9" t="n">
        <v>24909.918295759</v>
      </c>
      <c r="D10" s="9">
        <f si="0" t="shared"/>
        <v>35016.422086036502</v>
      </c>
      <c r="E10" s="9"/>
      <c r="F10" s="9" t="s">
        <v>7</v>
      </c>
      <c r="G10" s="9" t="n">
        <v>6112.0</v>
      </c>
      <c r="H10" s="9" t="n">
        <v>31510.0</v>
      </c>
      <c r="I10" s="9">
        <f si="1" t="shared"/>
        <v>37753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23528.2837672436</v>
      </c>
      <c r="C12" s="10">
        <f>SUM(C4:C11)</f>
        <v>200840.07415618302</v>
      </c>
      <c r="D12" s="10">
        <f si="0" t="shared"/>
        <v>224368.35792342661</v>
      </c>
      <c r="F12" s="13" t="s">
        <v>19</v>
      </c>
      <c r="G12" s="10">
        <f>SUM(G4:G11)</f>
        <v>11065</v>
      </c>
      <c r="H12" s="10">
        <f>SUM(H4:H11)</f>
        <v>211812</v>
      </c>
      <c r="I12" s="10">
        <f si="1" t="shared"/>
        <v>222877</v>
      </c>
    </row>
    <row ht="15.75" r="15" spans="1:9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3.5111803329855584E-4</v>
      </c>
      <c r="C17" s="16">
        <f ref="C17:D17" si="2" t="shared">C4/$D$12</f>
        <v>0.22957454281746761</v>
      </c>
      <c r="D17" s="16">
        <f si="2" t="shared"/>
        <v>0.22992566085076618</v>
      </c>
      <c r="F17" s="9" t="s">
        <v>1</v>
      </c>
      <c r="G17" s="16">
        <f ref="G17:I25" si="3" t="shared">G4/$I$12</f>
        <v>0</v>
      </c>
      <c r="H17" s="16">
        <f si="3" t="shared"/>
        <v>0.2193048183527237</v>
      </c>
      <c r="I17" s="16">
        <f si="3" t="shared"/>
        <v>0.2193048183527237</v>
      </c>
    </row>
    <row r="18" spans="1:14" x14ac:dyDescent="0.25">
      <c r="A18" s="9" t="s">
        <v>2</v>
      </c>
      <c r="B18" s="16">
        <f ref="B18:D25" si="4" t="shared">B5/$D$12</f>
        <v>9.8048534295000316E-3</v>
      </c>
      <c r="C18" s="16">
        <f si="4" t="shared"/>
        <v>0.36286732048800519</v>
      </c>
      <c r="D18" s="16">
        <f si="4" t="shared"/>
        <v>0.37267217391750523</v>
      </c>
      <c r="F18" s="9" t="s">
        <v>2</v>
      </c>
      <c r="G18" s="16">
        <f si="3" t="shared"/>
        <v>1.0593286880207468E-2</v>
      </c>
      <c r="H18" s="16">
        <f si="3" t="shared"/>
        <v>0.33190055501464932</v>
      </c>
      <c r="I18" s="16">
        <f si="3" t="shared"/>
        <v>0.34249384189485682</v>
      </c>
    </row>
    <row r="19" spans="1:14" x14ac:dyDescent="0.25">
      <c r="A19" s="9" t="s">
        <v>3</v>
      </c>
      <c r="B19" s="16">
        <f si="4" t="shared"/>
        <v>2.1139124110712147E-3</v>
      </c>
      <c r="C19" s="16">
        <f si="4" t="shared"/>
        <v>0.1720648476327914</v>
      </c>
      <c r="D19" s="16">
        <f si="4" t="shared"/>
        <v>0.1741787600438626</v>
      </c>
      <c r="F19" s="9" t="s">
        <v>3</v>
      </c>
      <c r="G19" s="16">
        <f si="3" t="shared"/>
        <v>5.231585134401486E-3</v>
      </c>
      <c r="H19" s="16">
        <f si="3" t="shared"/>
        <v>0.24540441588858428</v>
      </c>
      <c r="I19" s="16">
        <f si="3" t="shared"/>
        <v>0.25063600102298578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1.2850480123734759E-3</v>
      </c>
      <c r="D20" s="16">
        <f si="4" t="shared"/>
        <v>1.2850480123734759E-3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3.9067098634806612E-2</v>
      </c>
      <c r="C21" s="16">
        <f si="4" t="shared"/>
        <v>1.2039648677006036E-2</v>
      </c>
      <c r="D21" s="16">
        <f si="4" t="shared"/>
        <v>5.1106747311812646E-2</v>
      </c>
      <c r="F21" s="9" t="s">
        <v>5</v>
      </c>
      <c r="G21" s="16">
        <f si="3" t="shared"/>
        <v>6.0077980231248622E-3</v>
      </c>
      <c r="H21" s="16">
        <f si="3" t="shared"/>
        <v>8.6819187264724484E-3</v>
      </c>
      <c r="I21" s="16">
        <f si="3" t="shared"/>
        <v>1.4689716749597312E-2</v>
      </c>
    </row>
    <row r="22" spans="1:14" x14ac:dyDescent="0.25">
      <c r="A22" s="9" t="s">
        <v>6</v>
      </c>
      <c r="B22" s="16">
        <f si="4" t="shared"/>
        <v>8.4833063287840949E-3</v>
      </c>
      <c r="C22" s="16">
        <f si="4" t="shared"/>
        <v>6.2816352661595265E-3</v>
      </c>
      <c r="D22" s="16">
        <f si="4" t="shared"/>
        <v>1.4764941594943622E-2</v>
      </c>
      <c r="F22" s="9" t="s">
        <v>6</v>
      </c>
      <c r="G22" s="16">
        <f si="3" t="shared"/>
        <v>4.7559864858195326E-4</v>
      </c>
      <c r="H22" s="16">
        <f si="3" t="shared"/>
        <v>3.0106291811178363E-3</v>
      </c>
      <c r="I22" s="16">
        <f si="3" t="shared"/>
        <v>3.4862278296997895E-3</v>
      </c>
    </row>
    <row r="23" spans="1:14" x14ac:dyDescent="0.25">
      <c r="A23" s="9" t="s">
        <v>7</v>
      </c>
      <c r="B23" s="16">
        <f si="4" t="shared"/>
        <v>4.5044247254003127E-2</v>
      </c>
      <c r="C23" s="16">
        <f si="4" t="shared"/>
        <v>0.11102242101473311</v>
      </c>
      <c r="D23" s="16">
        <f si="4" t="shared"/>
        <v>0.15606666826873625</v>
      </c>
      <c r="F23" s="9" t="s">
        <v>7</v>
      </c>
      <c r="G23" s="16">
        <f si="3" t="shared"/>
        <v>2.7337948734055106E-2</v>
      </c>
      <c r="H23" s="16">
        <f si="3" t="shared"/>
        <v>0.14205144541608153</v>
      </c>
      <c r="I23" s="16">
        <f si="3" t="shared"/>
        <v>0.16938939415013662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0.10486453609146364</v>
      </c>
      <c r="C25" s="18">
        <f si="4" t="shared"/>
        <v>0.89513546390853638</v>
      </c>
      <c r="D25" s="18">
        <f si="4" t="shared"/>
        <v>1</v>
      </c>
      <c r="F25" s="13" t="s">
        <v>19</v>
      </c>
      <c r="G25" s="18">
        <f si="3" t="shared"/>
        <v>4.9646217420370876E-2</v>
      </c>
      <c r="H25" s="18">
        <f si="3" t="shared"/>
        <v>0.9503537825796291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-3.5111803329855584E-4</v>
      </c>
      <c r="H30" s="16">
        <f ref="H30:H38" si="6" t="shared">H17-C17</f>
        <v>-1.0269724464743918E-2</v>
      </c>
      <c r="I30" s="16">
        <f ref="I30:I38" si="7" t="shared">I17-D17</f>
        <v>-1.0620842498042488E-2</v>
      </c>
      <c r="K30" s="23" t="s">
        <v>1</v>
      </c>
      <c r="L30" s="24">
        <f>D17</f>
        <v>0.22992566085076618</v>
      </c>
      <c r="M30" s="24">
        <f ref="M30:M38" si="8" t="shared">I17</f>
        <v>0.2193048183527237</v>
      </c>
      <c r="N30" s="24">
        <f>M30-L30</f>
        <v>-1.0620842498042488E-2</v>
      </c>
    </row>
    <row r="31" spans="1:14" x14ac:dyDescent="0.25">
      <c r="F31" s="9" t="s">
        <v>2</v>
      </c>
      <c r="G31" s="16">
        <f si="5" t="shared"/>
        <v>7.8843345070743649E-4</v>
      </c>
      <c r="H31" s="16">
        <f si="6" t="shared"/>
        <v>-3.0966765473355862E-2</v>
      </c>
      <c r="I31" s="16">
        <f si="7" t="shared"/>
        <v>-3.0178332022648413E-2</v>
      </c>
      <c r="K31" s="30" t="s">
        <v>2</v>
      </c>
      <c r="L31" s="31">
        <f ref="L31:L38" si="9" t="shared">D18</f>
        <v>0.37267217391750523</v>
      </c>
      <c r="M31" s="31">
        <f si="8" t="shared"/>
        <v>0.34249384189485682</v>
      </c>
      <c r="N31" s="31">
        <f ref="N31:N38" si="10" t="shared">M31-L31</f>
        <v>-3.0178332022648413E-2</v>
      </c>
    </row>
    <row r="32" spans="1:14" x14ac:dyDescent="0.25">
      <c r="F32" s="9" t="s">
        <v>3</v>
      </c>
      <c r="G32" s="16">
        <f si="5" t="shared"/>
        <v>3.1176727233302713E-3</v>
      </c>
      <c r="H32" s="16">
        <f si="6" t="shared"/>
        <v>7.3339568255792881E-2</v>
      </c>
      <c r="I32" s="16">
        <f si="7" t="shared"/>
        <v>7.6457240979123181E-2</v>
      </c>
      <c r="K32" s="23" t="s">
        <v>3</v>
      </c>
      <c r="L32" s="24">
        <f si="9" t="shared"/>
        <v>0.1741787600438626</v>
      </c>
      <c r="M32" s="24">
        <f si="8" t="shared"/>
        <v>0.25063600102298578</v>
      </c>
      <c r="N32" s="24">
        <f si="10" t="shared"/>
        <v>7.6457240979123181E-2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-1.2850480123734759E-3</v>
      </c>
      <c r="I33" s="16">
        <f si="7" t="shared"/>
        <v>-1.2850480123734759E-3</v>
      </c>
      <c r="K33" s="30" t="s">
        <v>4</v>
      </c>
      <c r="L33" s="31">
        <f si="9" t="shared"/>
        <v>1.2850480123734759E-3</v>
      </c>
      <c r="M33" s="31">
        <f si="8" t="shared"/>
        <v>0</v>
      </c>
      <c r="N33" s="31">
        <f si="10" t="shared"/>
        <v>-1.2850480123734759E-3</v>
      </c>
    </row>
    <row r="34" spans="6:14" x14ac:dyDescent="0.25">
      <c r="F34" s="9" t="s">
        <v>5</v>
      </c>
      <c r="G34" s="16">
        <f si="5" t="shared"/>
        <v>-3.3059300611681747E-2</v>
      </c>
      <c r="H34" s="16">
        <f si="6" t="shared"/>
        <v>-3.3577299505335879E-3</v>
      </c>
      <c r="I34" s="16">
        <f si="7" t="shared"/>
        <v>-3.6417030562215333E-2</v>
      </c>
      <c r="K34" s="23" t="s">
        <v>5</v>
      </c>
      <c r="L34" s="24">
        <f si="9" t="shared"/>
        <v>5.1106747311812646E-2</v>
      </c>
      <c r="M34" s="24">
        <f si="8" t="shared"/>
        <v>1.4689716749597312E-2</v>
      </c>
      <c r="N34" s="24">
        <f si="10" t="shared"/>
        <v>-3.6417030562215333E-2</v>
      </c>
    </row>
    <row r="35" spans="6:14" x14ac:dyDescent="0.25">
      <c r="F35" s="9" t="s">
        <v>6</v>
      </c>
      <c r="G35" s="16">
        <f si="5" t="shared"/>
        <v>-8.0077076802021422E-3</v>
      </c>
      <c r="H35" s="16">
        <f si="6" t="shared"/>
        <v>-3.2710060850416902E-3</v>
      </c>
      <c r="I35" s="16">
        <f si="7" t="shared"/>
        <v>-1.1278713765243833E-2</v>
      </c>
      <c r="K35" s="30" t="s">
        <v>6</v>
      </c>
      <c r="L35" s="31">
        <f si="9" t="shared"/>
        <v>1.4764941594943622E-2</v>
      </c>
      <c r="M35" s="31">
        <f si="8" t="shared"/>
        <v>3.4862278296997895E-3</v>
      </c>
      <c r="N35" s="31">
        <f si="10" t="shared"/>
        <v>-1.1278713765243833E-2</v>
      </c>
    </row>
    <row r="36" spans="6:14" x14ac:dyDescent="0.25">
      <c r="F36" s="9" t="s">
        <v>7</v>
      </c>
      <c r="G36" s="16">
        <f si="5" t="shared"/>
        <v>-1.7706298519948021E-2</v>
      </c>
      <c r="H36" s="16">
        <f si="6" t="shared"/>
        <v>3.1029024401348415E-2</v>
      </c>
      <c r="I36" s="16">
        <f si="7" t="shared"/>
        <v>1.3322725881400377E-2</v>
      </c>
      <c r="K36" s="23" t="s">
        <v>7</v>
      </c>
      <c r="L36" s="24">
        <f si="9" t="shared"/>
        <v>0.15606666826873625</v>
      </c>
      <c r="M36" s="24">
        <f si="8" t="shared"/>
        <v>0.16938939415013662</v>
      </c>
      <c r="N36" s="24">
        <f si="10" t="shared"/>
        <v>1.3322725881400377E-2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-5.521831867109276E-2</v>
      </c>
      <c r="H38" s="18">
        <f si="6" t="shared"/>
        <v>5.5218318671092725E-2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99.3565974342</v>
      </c>
      <c r="C4" s="9" t="n">
        <v>249602.6047632973</v>
      </c>
      <c r="D4" s="9">
        <f>SUM(B4:C4)</f>
        <v>249701.96136073151</v>
      </c>
      <c r="E4" s="9"/>
      <c r="F4" s="9" t="s">
        <v>1</v>
      </c>
      <c r="G4" s="9" t="n">
        <v>0.0</v>
      </c>
      <c r="H4" s="9" t="n">
        <v>314566.0</v>
      </c>
      <c r="I4" s="9">
        <f>SUM(G4:H4)</f>
        <v>313508</v>
      </c>
    </row>
    <row r="5" spans="1:9" x14ac:dyDescent="0.25">
      <c r="A5" s="9" t="s">
        <v>2</v>
      </c>
      <c r="B5" s="9" t="n">
        <v>1712.3968538774</v>
      </c>
      <c r="C5" s="9" t="n">
        <v>235939.4688266852</v>
      </c>
      <c r="D5" s="9">
        <f ref="D5:D12" si="0" t="shared">SUM(B5:C5)</f>
        <v>237651.86568056259</v>
      </c>
      <c r="E5" s="9"/>
      <c r="F5" s="9" t="s">
        <v>2</v>
      </c>
      <c r="G5" s="9" t="n">
        <v>11940.0</v>
      </c>
      <c r="H5" s="9" t="n">
        <v>276757.0</v>
      </c>
      <c r="I5" s="9">
        <f ref="I5:I12" si="1" t="shared">SUM(G5:H5)</f>
        <v>288587</v>
      </c>
    </row>
    <row r="6" spans="1:9" x14ac:dyDescent="0.25">
      <c r="A6" s="9" t="s">
        <v>3</v>
      </c>
      <c r="B6" s="9" t="n">
        <v>842.0799996000001</v>
      </c>
      <c r="C6" s="9" t="n">
        <v>217705.3317151326</v>
      </c>
      <c r="D6" s="9">
        <f si="0" t="shared"/>
        <v>218547.41171473262</v>
      </c>
      <c r="E6" s="9"/>
      <c r="F6" s="9" t="s">
        <v>3</v>
      </c>
      <c r="G6" s="9" t="n">
        <v>6292.0</v>
      </c>
      <c r="H6" s="9" t="n">
        <v>233121.0</v>
      </c>
      <c r="I6" s="9">
        <f si="1" t="shared"/>
        <v>239448</v>
      </c>
    </row>
    <row r="7" spans="1:9" x14ac:dyDescent="0.25">
      <c r="A7" s="9" t="s">
        <v>4</v>
      </c>
      <c r="B7" s="9" t="n">
        <v>240.321304484</v>
      </c>
      <c r="C7" s="9" t="n">
        <v>829.9502811949</v>
      </c>
      <c r="D7" s="9">
        <f si="0" t="shared"/>
        <v>1070.2715856789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8867.862935132</v>
      </c>
      <c r="C8" s="9" t="n">
        <v>11266.9006143776</v>
      </c>
      <c r="D8" s="9">
        <f si="0" t="shared"/>
        <v>20134.7635495096</v>
      </c>
      <c r="E8" s="9"/>
      <c r="F8" s="9" t="s">
        <v>5</v>
      </c>
      <c r="G8" s="9" t="n">
        <v>6995.0</v>
      </c>
      <c r="H8" s="9" t="n">
        <v>6316.0</v>
      </c>
      <c r="I8" s="9">
        <f si="1" t="shared"/>
        <v>13374</v>
      </c>
    </row>
    <row r="9" spans="1:9" x14ac:dyDescent="0.25">
      <c r="A9" s="9" t="s">
        <v>6</v>
      </c>
      <c r="B9" s="9" t="n">
        <v>1103.2478982475</v>
      </c>
      <c r="C9" s="9" t="n">
        <v>14377.2789599386</v>
      </c>
      <c r="D9" s="9">
        <f si="0" t="shared"/>
        <v>15480.5268581861</v>
      </c>
      <c r="E9" s="9"/>
      <c r="F9" s="9" t="s">
        <v>6</v>
      </c>
      <c r="G9" s="9" t="n">
        <v>2656.0</v>
      </c>
      <c r="H9" s="9" t="n">
        <v>17844.0</v>
      </c>
      <c r="I9" s="9">
        <f si="1" t="shared"/>
        <v>20605</v>
      </c>
    </row>
    <row r="10" spans="1:9" x14ac:dyDescent="0.25">
      <c r="A10" s="9" t="s">
        <v>7</v>
      </c>
      <c r="B10" s="9" t="n">
        <v>20510.7393618303</v>
      </c>
      <c r="C10" s="9" t="n">
        <v>321984.6974320853</v>
      </c>
      <c r="D10" s="9">
        <f si="0" t="shared"/>
        <v>342495.43679391558</v>
      </c>
      <c r="E10" s="9"/>
      <c r="F10" s="9" t="s">
        <v>7</v>
      </c>
      <c r="G10" s="9" t="n">
        <v>10550.0</v>
      </c>
      <c r="H10" s="9" t="n">
        <v>164207.0</v>
      </c>
      <c r="I10" s="9">
        <f si="1" t="shared"/>
        <v>174589</v>
      </c>
    </row>
    <row r="11" spans="1:9" x14ac:dyDescent="0.25">
      <c r="A11" s="14" t="s">
        <v>8</v>
      </c>
      <c r="B11" s="14" t="n">
        <v>745.264005418</v>
      </c>
      <c r="C11" s="14" t="n">
        <v>0.0</v>
      </c>
      <c r="D11" s="14">
        <f si="0" t="shared"/>
        <v>745.26400541800001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34121.268956023399</v>
      </c>
      <c r="C12" s="10">
        <f>SUM(C4:C11)</f>
        <v>1051706.2325927112</v>
      </c>
      <c r="D12" s="10">
        <f si="0" t="shared"/>
        <v>1085827.5015487347</v>
      </c>
      <c r="F12" s="13" t="s">
        <v>19</v>
      </c>
      <c r="G12" s="10">
        <f>SUM(G4:G11)</f>
        <v>38511</v>
      </c>
      <c r="H12" s="10">
        <f>SUM(H4:H11)</f>
        <v>1011600</v>
      </c>
      <c r="I12" s="10">
        <f si="1" t="shared"/>
        <v>1050111</v>
      </c>
    </row>
    <row ht="15.75" r="15" spans="1:9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9.1503113793384256E-5</v>
      </c>
      <c r="C17" s="16">
        <f ref="C17:D17" si="2" t="shared">C4/$D$12</f>
        <v>0.22987316531151103</v>
      </c>
      <c r="D17" s="16">
        <f si="2" t="shared"/>
        <v>0.22996466842530444</v>
      </c>
      <c r="F17" s="9" t="s">
        <v>1</v>
      </c>
      <c r="G17" s="16">
        <f ref="G17:I25" si="3" t="shared">G4/$I$12</f>
        <v>0</v>
      </c>
      <c r="H17" s="16">
        <f si="3" t="shared"/>
        <v>0.29854748688471983</v>
      </c>
      <c r="I17" s="16">
        <f si="3" t="shared"/>
        <v>0.29854748688471983</v>
      </c>
    </row>
    <row r="18" spans="1:14" x14ac:dyDescent="0.25">
      <c r="A18" s="9" t="s">
        <v>2</v>
      </c>
      <c r="B18" s="16">
        <f ref="B18:D25" si="4" t="shared">B5/$D$12</f>
        <v>1.5770431780692408E-3</v>
      </c>
      <c r="C18" s="16">
        <f si="4" t="shared"/>
        <v>0.21729001014448482</v>
      </c>
      <c r="D18" s="16">
        <f si="4" t="shared"/>
        <v>0.21886705332255407</v>
      </c>
      <c r="F18" s="9" t="s">
        <v>2</v>
      </c>
      <c r="G18" s="16">
        <f si="3" t="shared"/>
        <v>1.1399747264812958E-2</v>
      </c>
      <c r="H18" s="16">
        <f si="3" t="shared"/>
        <v>0.26341596269346762</v>
      </c>
      <c r="I18" s="16">
        <f si="3" t="shared"/>
        <v>0.27481570995828059</v>
      </c>
    </row>
    <row r="19" spans="1:14" x14ac:dyDescent="0.25">
      <c r="A19" s="9" t="s">
        <v>3</v>
      </c>
      <c r="B19" s="16">
        <f si="4" t="shared"/>
        <v>7.755191302476007E-4</v>
      </c>
      <c r="C19" s="16">
        <f si="4" t="shared"/>
        <v>0.20049716129368217</v>
      </c>
      <c r="D19" s="16">
        <f si="4" t="shared"/>
        <v>0.20127268042392979</v>
      </c>
      <c r="F19" s="9" t="s">
        <v>3</v>
      </c>
      <c r="G19" s="16">
        <f si="3" t="shared"/>
        <v>5.9765110545456626E-3</v>
      </c>
      <c r="H19" s="16">
        <f si="3" t="shared"/>
        <v>0.22204509808963052</v>
      </c>
      <c r="I19" s="16">
        <f si="3" t="shared"/>
        <v>0.22802160914417618</v>
      </c>
    </row>
    <row r="20" spans="1:14" x14ac:dyDescent="0.25">
      <c r="A20" s="9" t="s">
        <v>4</v>
      </c>
      <c r="B20" s="16">
        <f si="4" t="shared"/>
        <v>2.2132549059701061E-4</v>
      </c>
      <c r="C20" s="16">
        <f si="4" t="shared"/>
        <v>7.6434818607110924E-4</v>
      </c>
      <c r="D20" s="16">
        <f si="4" t="shared"/>
        <v>9.8567367666811982E-4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8.16691686523284E-3</v>
      </c>
      <c r="C21" s="16">
        <f si="4" t="shared"/>
        <v>1.0376326440716802E-2</v>
      </c>
      <c r="D21" s="16">
        <f si="4" t="shared"/>
        <v>1.8543243305949642E-2</v>
      </c>
      <c r="F21" s="9" t="s">
        <v>5</v>
      </c>
      <c r="G21" s="16">
        <f si="3" t="shared"/>
        <v>6.6935781074572119E-3</v>
      </c>
      <c r="H21" s="16">
        <f si="3" t="shared"/>
        <v>6.0422183940554855E-3</v>
      </c>
      <c r="I21" s="16">
        <f si="3" t="shared"/>
        <v>1.2735796501512697E-2</v>
      </c>
    </row>
    <row r="22" spans="1:14" x14ac:dyDescent="0.25">
      <c r="A22" s="9" t="s">
        <v>6</v>
      </c>
      <c r="B22" s="16">
        <f si="4" t="shared"/>
        <v>1.0160434292499666E-3</v>
      </c>
      <c r="C22" s="16">
        <f si="4" t="shared"/>
        <v>1.3240849895063475E-2</v>
      </c>
      <c r="D22" s="16">
        <f si="4" t="shared"/>
        <v>1.4256893324313442E-2</v>
      </c>
      <c r="F22" s="9" t="s">
        <v>6</v>
      </c>
      <c r="G22" s="16">
        <f si="3" t="shared"/>
        <v>2.5149722267455536E-3</v>
      </c>
      <c r="H22" s="16">
        <f si="3" t="shared"/>
        <v>1.710676299934007E-2</v>
      </c>
      <c r="I22" s="16">
        <f si="3" t="shared"/>
        <v>1.9621735226085624E-2</v>
      </c>
    </row>
    <row r="23" spans="1:14" x14ac:dyDescent="0.25">
      <c r="A23" s="9" t="s">
        <v>7</v>
      </c>
      <c r="B23" s="16">
        <f si="4" t="shared"/>
        <v>1.8889500710357283E-2</v>
      </c>
      <c r="C23" s="16">
        <f si="4" t="shared"/>
        <v>0.29653393100914544</v>
      </c>
      <c r="D23" s="16">
        <f si="4" t="shared"/>
        <v>0.31542343171950271</v>
      </c>
      <c r="F23" s="9" t="s">
        <v>7</v>
      </c>
      <c r="G23" s="16">
        <f si="3" t="shared"/>
        <v>1.0088457315464747E-2</v>
      </c>
      <c r="H23" s="16">
        <f si="3" t="shared"/>
        <v>0.15616920496976033</v>
      </c>
      <c r="I23" s="16">
        <f si="3" t="shared"/>
        <v>0.16625766228522509</v>
      </c>
    </row>
    <row r="24" spans="1:14" x14ac:dyDescent="0.25">
      <c r="A24" s="14" t="s">
        <v>8</v>
      </c>
      <c r="B24" s="17">
        <f si="4" t="shared"/>
        <v>6.863558017779223E-4</v>
      </c>
      <c r="C24" s="17">
        <f si="4" t="shared"/>
        <v>0</v>
      </c>
      <c r="D24" s="17">
        <f si="4" t="shared"/>
        <v>6.863558017779223E-4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3.1424207719325248E-2</v>
      </c>
      <c r="C25" s="18">
        <f si="4" t="shared"/>
        <v>0.9685757922806747</v>
      </c>
      <c r="D25" s="18">
        <f si="4" t="shared"/>
        <v>1</v>
      </c>
      <c r="F25" s="13" t="s">
        <v>19</v>
      </c>
      <c r="G25" s="18">
        <f si="3" t="shared"/>
        <v>3.6673265969026134E-2</v>
      </c>
      <c r="H25" s="18">
        <f si="3" t="shared"/>
        <v>0.96332673403097391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-9.1503113793384256E-5</v>
      </c>
      <c r="H30" s="16">
        <f ref="H30:H38" si="6" t="shared">H17-C17</f>
        <v>6.8674321573208796E-2</v>
      </c>
      <c r="I30" s="16">
        <f ref="I30:I38" si="7" t="shared">I17-D17</f>
        <v>6.8582818459415384E-2</v>
      </c>
      <c r="K30" s="23" t="s">
        <v>1</v>
      </c>
      <c r="L30" s="24">
        <f>D17</f>
        <v>0.22996466842530444</v>
      </c>
      <c r="M30" s="24">
        <f ref="M30:M38" si="8" t="shared">I17</f>
        <v>0.29854748688471983</v>
      </c>
      <c r="N30" s="24">
        <f>M30-L30</f>
        <v>6.8582818459415384E-2</v>
      </c>
    </row>
    <row r="31" spans="1:14" x14ac:dyDescent="0.25">
      <c r="F31" s="9" t="s">
        <v>2</v>
      </c>
      <c r="G31" s="16">
        <f si="5" t="shared"/>
        <v>9.8227040867437179E-3</v>
      </c>
      <c r="H31" s="16">
        <f si="6" t="shared"/>
        <v>4.6125952548982802E-2</v>
      </c>
      <c r="I31" s="16">
        <f si="7" t="shared"/>
        <v>5.5948656635726512E-2</v>
      </c>
      <c r="K31" s="30" t="s">
        <v>2</v>
      </c>
      <c r="L31" s="31">
        <f ref="L31:L38" si="9" t="shared">D18</f>
        <v>0.21886705332255407</v>
      </c>
      <c r="M31" s="31">
        <f si="8" t="shared"/>
        <v>0.27481570995828059</v>
      </c>
      <c r="N31" s="31">
        <f ref="N31:N38" si="10" t="shared">M31-L31</f>
        <v>5.5948656635726512E-2</v>
      </c>
    </row>
    <row r="32" spans="1:14" x14ac:dyDescent="0.25">
      <c r="F32" s="9" t="s">
        <v>3</v>
      </c>
      <c r="G32" s="16">
        <f si="5" t="shared"/>
        <v>5.200991924298062E-3</v>
      </c>
      <c r="H32" s="16">
        <f si="6" t="shared"/>
        <v>2.1547936795948353E-2</v>
      </c>
      <c r="I32" s="16">
        <f si="7" t="shared"/>
        <v>2.6748928720246395E-2</v>
      </c>
      <c r="K32" s="23" t="s">
        <v>3</v>
      </c>
      <c r="L32" s="24">
        <f si="9" t="shared"/>
        <v>0.20127268042392979</v>
      </c>
      <c r="M32" s="24">
        <f si="8" t="shared"/>
        <v>0.22802160914417618</v>
      </c>
      <c r="N32" s="24">
        <f si="10" t="shared"/>
        <v>2.6748928720246395E-2</v>
      </c>
    </row>
    <row r="33" spans="6:14" x14ac:dyDescent="0.25">
      <c r="F33" s="9" t="s">
        <v>4</v>
      </c>
      <c r="G33" s="16">
        <f si="5" t="shared"/>
        <v>-2.2132549059701061E-4</v>
      </c>
      <c r="H33" s="16">
        <f si="6" t="shared"/>
        <v>-7.6434818607110924E-4</v>
      </c>
      <c r="I33" s="16">
        <f si="7" t="shared"/>
        <v>-9.8567367666811982E-4</v>
      </c>
      <c r="K33" s="30" t="s">
        <v>4</v>
      </c>
      <c r="L33" s="31">
        <f si="9" t="shared"/>
        <v>9.8567367666811982E-4</v>
      </c>
      <c r="M33" s="31">
        <f si="8" t="shared"/>
        <v>0</v>
      </c>
      <c r="N33" s="31">
        <f si="10" t="shared"/>
        <v>-9.8567367666811982E-4</v>
      </c>
    </row>
    <row r="34" spans="6:14" x14ac:dyDescent="0.25">
      <c r="F34" s="9" t="s">
        <v>5</v>
      </c>
      <c r="G34" s="16">
        <f si="5" t="shared"/>
        <v>-1.4733387577756281E-3</v>
      </c>
      <c r="H34" s="16">
        <f si="6" t="shared"/>
        <v>-4.334108046661316E-3</v>
      </c>
      <c r="I34" s="16">
        <f si="7" t="shared"/>
        <v>-5.807446804436945E-3</v>
      </c>
      <c r="K34" s="23" t="s">
        <v>5</v>
      </c>
      <c r="L34" s="24">
        <f si="9" t="shared"/>
        <v>1.8543243305949642E-2</v>
      </c>
      <c r="M34" s="24">
        <f si="8" t="shared"/>
        <v>1.2735796501512697E-2</v>
      </c>
      <c r="N34" s="24">
        <f si="10" t="shared"/>
        <v>-5.807446804436945E-3</v>
      </c>
    </row>
    <row r="35" spans="6:14" x14ac:dyDescent="0.25">
      <c r="F35" s="9" t="s">
        <v>6</v>
      </c>
      <c r="G35" s="16">
        <f si="5" t="shared"/>
        <v>1.498928797495587E-3</v>
      </c>
      <c r="H35" s="16">
        <f si="6" t="shared"/>
        <v>3.8659131042765946E-3</v>
      </c>
      <c r="I35" s="16">
        <f si="7" t="shared"/>
        <v>5.3648419017721816E-3</v>
      </c>
      <c r="K35" s="30" t="s">
        <v>6</v>
      </c>
      <c r="L35" s="31">
        <f si="9" t="shared"/>
        <v>1.4256893324313442E-2</v>
      </c>
      <c r="M35" s="31">
        <f si="8" t="shared"/>
        <v>1.9621735226085624E-2</v>
      </c>
      <c r="N35" s="31">
        <f si="10" t="shared"/>
        <v>5.3648419017721816E-3</v>
      </c>
    </row>
    <row r="36" spans="6:14" x14ac:dyDescent="0.25">
      <c r="F36" s="9" t="s">
        <v>7</v>
      </c>
      <c r="G36" s="16">
        <f si="5" t="shared"/>
        <v>-8.8010433948925368E-3</v>
      </c>
      <c r="H36" s="16">
        <f si="6" t="shared"/>
        <v>-0.1403647260393851</v>
      </c>
      <c r="I36" s="16">
        <f si="7" t="shared"/>
        <v>-0.14916576943427762</v>
      </c>
      <c r="K36" s="23" t="s">
        <v>7</v>
      </c>
      <c r="L36" s="24">
        <f si="9" t="shared"/>
        <v>0.31542343171950271</v>
      </c>
      <c r="M36" s="24">
        <f si="8" t="shared"/>
        <v>0.16625766228522509</v>
      </c>
      <c r="N36" s="24">
        <f si="10" t="shared"/>
        <v>-0.14916576943427762</v>
      </c>
    </row>
    <row r="37" spans="6:14" x14ac:dyDescent="0.25">
      <c r="F37" s="14" t="s">
        <v>8</v>
      </c>
      <c r="G37" s="17">
        <f si="5" t="shared"/>
        <v>-6.863558017779223E-4</v>
      </c>
      <c r="H37" s="17">
        <f si="6" t="shared"/>
        <v>0</v>
      </c>
      <c r="I37" s="17">
        <f si="7" t="shared"/>
        <v>-6.863558017779223E-4</v>
      </c>
      <c r="K37" s="32" t="s">
        <v>8</v>
      </c>
      <c r="L37" s="33">
        <f si="9" t="shared"/>
        <v>6.863558017779223E-4</v>
      </c>
      <c r="M37" s="33">
        <f si="8" t="shared"/>
        <v>0</v>
      </c>
      <c r="N37" s="33">
        <f si="10" t="shared"/>
        <v>-6.863558017779223E-4</v>
      </c>
    </row>
    <row ht="15.75" r="38" spans="6:14" thickBot="1" x14ac:dyDescent="0.3">
      <c r="F38" s="13" t="s">
        <v>19</v>
      </c>
      <c r="G38" s="18">
        <f si="5" t="shared"/>
        <v>5.2490582497008859E-3</v>
      </c>
      <c r="H38" s="18">
        <f si="6" t="shared"/>
        <v>-5.2490582497007887E-3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workbookViewId="0">
      <selection activeCell="L5" sqref="L5:R11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93" t="s">
        <v>18</v>
      </c>
      <c r="C3" s="93"/>
      <c r="D3" s="93"/>
      <c r="E3" s="93"/>
      <c r="F3" s="93"/>
      <c r="G3" s="93"/>
      <c r="H3" s="93"/>
      <c r="I3" s="11"/>
      <c r="K3" s="5"/>
      <c r="L3" s="94" t="s">
        <v>18</v>
      </c>
      <c r="M3" s="94"/>
      <c r="N3" s="94"/>
      <c r="O3" s="94"/>
      <c r="P3" s="94"/>
      <c r="Q3" s="94"/>
      <c r="R3" s="94"/>
      <c r="S3" s="94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51001.9679722314</v>
      </c>
      <c r="C5" s="9" t="n">
        <v>13917.4737817184</v>
      </c>
      <c r="D5" s="9" t="n">
        <v>6765.1863573211</v>
      </c>
      <c r="E5" s="9" t="n">
        <v>0.0</v>
      </c>
      <c r="F5" s="9" t="n">
        <v>242.3506523824</v>
      </c>
      <c r="G5" s="9" t="n">
        <v>944.880646246</v>
      </c>
      <c r="H5" s="9" t="n">
        <v>0.0</v>
      </c>
      <c r="I5" s="9">
        <f>SUM(B5:H5)</f>
        <v>72871.859409899305</v>
      </c>
      <c r="J5" s="9"/>
      <c r="K5" s="9" t="s">
        <v>1</v>
      </c>
      <c r="L5" s="9" t="n">
        <v>62828.0</v>
      </c>
      <c r="M5" s="9" t="n">
        <v>15957.0</v>
      </c>
      <c r="N5" s="9" t="n">
        <v>5310.0</v>
      </c>
      <c r="O5" s="9" t="n">
        <v>749.0</v>
      </c>
      <c r="P5" s="9" t="n">
        <v>2051.0</v>
      </c>
      <c r="Q5" s="9" t="n">
        <v>938.0</v>
      </c>
      <c r="R5" s="9" t="n">
        <v>1273.0</v>
      </c>
      <c r="S5" s="9">
        <f>SUM(L5:R5)</f>
        <v>88177</v>
      </c>
    </row>
    <row r="6" spans="1:19" x14ac:dyDescent="0.25">
      <c r="A6" t="s">
        <v>2</v>
      </c>
      <c r="B6" s="9" t="n">
        <v>9306.250593147</v>
      </c>
      <c r="C6" s="9" t="n">
        <v>3363.3165183850997</v>
      </c>
      <c r="D6" s="9" t="n">
        <v>976.17787462</v>
      </c>
      <c r="E6" s="9" t="n">
        <v>0.0</v>
      </c>
      <c r="F6" s="9" t="n">
        <v>692.5524733264</v>
      </c>
      <c r="G6" s="9" t="n">
        <v>1472.875643972</v>
      </c>
      <c r="H6" s="9" t="n">
        <v>222.420478948</v>
      </c>
      <c r="I6" s="9">
        <f ref="I6:I11" si="0" t="shared">SUM(B6:H6)</f>
        <v>16033.5935823985</v>
      </c>
      <c r="J6" s="9"/>
      <c r="K6" s="9" t="s">
        <v>2</v>
      </c>
      <c r="L6" s="9" t="n">
        <v>8462.0</v>
      </c>
      <c r="M6" s="9" t="n">
        <v>5605.0</v>
      </c>
      <c r="N6" s="9" t="n">
        <v>3159.0</v>
      </c>
      <c r="O6" s="9" t="n">
        <v>482.0</v>
      </c>
      <c r="P6" s="9" t="n">
        <v>1938.0</v>
      </c>
      <c r="Q6" s="9" t="n">
        <v>830.0</v>
      </c>
      <c r="R6" s="9" t="n">
        <v>1015.0</v>
      </c>
      <c r="S6" s="9">
        <f ref="S6:S11" si="1" t="shared">SUM(L6:R6)</f>
        <v>21576</v>
      </c>
    </row>
    <row r="7" spans="1:19" x14ac:dyDescent="0.25">
      <c r="A7" t="s">
        <v>3</v>
      </c>
      <c r="B7" s="9" t="n">
        <v>2766.3874999508</v>
      </c>
      <c r="C7" s="9" t="n">
        <v>1137.0213935023999</v>
      </c>
      <c r="D7" s="9" t="n">
        <v>633.5890298532</v>
      </c>
      <c r="E7" s="9" t="n">
        <v>174.354369882</v>
      </c>
      <c r="F7" s="9" t="n">
        <v>1009.6352257102001</v>
      </c>
      <c r="G7" s="9" t="n">
        <v>521.2943270932001</v>
      </c>
      <c r="H7" s="9" t="n">
        <v>0.0</v>
      </c>
      <c r="I7" s="9">
        <f si="0" t="shared"/>
        <v>6242.2818459917999</v>
      </c>
      <c r="J7" s="9"/>
      <c r="K7" s="9" t="s">
        <v>3</v>
      </c>
      <c r="L7" s="9" t="n">
        <v>3394.0</v>
      </c>
      <c r="M7" s="9" t="n">
        <v>2185.0</v>
      </c>
      <c r="N7" s="9" t="n">
        <v>1218.0</v>
      </c>
      <c r="O7" s="9" t="n">
        <v>194.0</v>
      </c>
      <c r="P7" s="9" t="n">
        <v>772.0</v>
      </c>
      <c r="Q7" s="9" t="n">
        <v>308.0</v>
      </c>
      <c r="R7" s="9" t="n">
        <v>393.0</v>
      </c>
      <c r="S7" s="9">
        <f si="1" t="shared"/>
        <v>8235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1345.57431748</v>
      </c>
      <c r="C9" s="9" t="n">
        <v>0.0</v>
      </c>
      <c r="D9" s="9" t="n">
        <v>408.197592432</v>
      </c>
      <c r="E9" s="9" t="n">
        <v>174.354369882</v>
      </c>
      <c r="F9" s="9" t="n">
        <v>2701.9006271147</v>
      </c>
      <c r="G9" s="9" t="n">
        <v>0.0</v>
      </c>
      <c r="H9" s="9" t="n">
        <v>0.0</v>
      </c>
      <c r="I9" s="9">
        <f si="0" t="shared"/>
        <v>4630.0269069086999</v>
      </c>
      <c r="J9" s="9"/>
      <c r="K9" s="9" t="s">
        <v>5</v>
      </c>
      <c r="L9" s="9" t="n">
        <v>638.0</v>
      </c>
      <c r="M9" s="9" t="n">
        <v>231.0</v>
      </c>
      <c r="N9" s="9" t="n">
        <v>297.0</v>
      </c>
      <c r="O9" s="9" t="n">
        <v>64.0</v>
      </c>
      <c r="P9" s="9" t="n">
        <v>374.0</v>
      </c>
      <c r="Q9" s="9" t="n">
        <v>96.0</v>
      </c>
      <c r="R9" s="9" t="n">
        <v>145.0</v>
      </c>
      <c r="S9" s="9">
        <f si="1" t="shared"/>
        <v>1771</v>
      </c>
    </row>
    <row r="10" spans="1:19" x14ac:dyDescent="0.25">
      <c r="A10" t="s">
        <v>6</v>
      </c>
      <c r="B10" s="9" t="n">
        <v>135.968692975</v>
      </c>
      <c r="C10" s="9" t="n">
        <v>87.5112846175</v>
      </c>
      <c r="D10" s="9" t="n">
        <v>0.0</v>
      </c>
      <c r="E10" s="9" t="n">
        <v>0.0</v>
      </c>
      <c r="F10" s="9" t="n">
        <v>0.0</v>
      </c>
      <c r="G10" s="9" t="n">
        <v>267.9611712445</v>
      </c>
      <c r="H10" s="9" t="n">
        <v>0.0</v>
      </c>
      <c r="I10" s="9">
        <f si="0" t="shared"/>
        <v>491.44114883700001</v>
      </c>
      <c r="J10" s="9"/>
      <c r="K10" s="9" t="s">
        <v>6</v>
      </c>
      <c r="L10" s="9" t="n">
        <v>173.0</v>
      </c>
      <c r="M10" s="9" t="n">
        <v>58.0</v>
      </c>
      <c r="N10" s="9" t="n">
        <v>46.0</v>
      </c>
      <c r="O10" s="9" t="n">
        <v>5.0</v>
      </c>
      <c r="P10" s="9" t="n">
        <v>27.0</v>
      </c>
      <c r="Q10" s="9" t="n">
        <v>150.0</v>
      </c>
      <c r="R10" s="9" t="n">
        <v>13.0</v>
      </c>
      <c r="S10" s="9">
        <f si="1" t="shared"/>
        <v>458</v>
      </c>
    </row>
    <row r="11" spans="1:19" x14ac:dyDescent="0.25">
      <c r="A11" s="6" t="s">
        <v>7</v>
      </c>
      <c r="B11" s="14" t="n">
        <v>33534.5104241878</v>
      </c>
      <c r="C11" s="14" t="n">
        <v>7213.8167689377</v>
      </c>
      <c r="D11" s="14" t="n">
        <v>2934.0662348025</v>
      </c>
      <c r="E11" s="14" t="n">
        <v>4085.8621526686</v>
      </c>
      <c r="F11" s="14" t="n">
        <v>18271.770157482</v>
      </c>
      <c r="G11" s="14" t="n">
        <v>6203.4239979817</v>
      </c>
      <c r="H11" s="14" t="n">
        <v>5058.4522924902</v>
      </c>
      <c r="I11" s="9">
        <f si="0" t="shared"/>
        <v>77301.902028550496</v>
      </c>
      <c r="J11" s="9"/>
      <c r="K11" s="6" t="s">
        <v>7</v>
      </c>
      <c r="L11" s="12" t="n">
        <v>37319.0</v>
      </c>
      <c r="M11" s="12" t="n">
        <v>13114.0</v>
      </c>
      <c r="N11" s="12" t="n">
        <v>8719.0</v>
      </c>
      <c r="O11" s="12" t="n">
        <v>1769.0</v>
      </c>
      <c r="P11" s="12" t="n">
        <v>8479.0</v>
      </c>
      <c r="Q11" s="12" t="n">
        <v>2237.0</v>
      </c>
      <c r="R11" s="12" t="n">
        <v>8302.0</v>
      </c>
      <c r="S11" s="9">
        <f si="1" t="shared"/>
        <v>78740</v>
      </c>
    </row>
    <row ht="15.75" r="12" spans="1:19" thickBot="1" x14ac:dyDescent="0.3">
      <c r="A12" s="15" t="s">
        <v>19</v>
      </c>
      <c r="B12" s="19">
        <f>SUM(B5:B11)</f>
        <v>98090.659499972011</v>
      </c>
      <c r="C12" s="19">
        <f ref="C12:I12" si="2" t="shared">SUM(C5:C11)</f>
        <v>25719.139747161102</v>
      </c>
      <c r="D12" s="19">
        <f si="2" t="shared"/>
        <v>11717.2170890288</v>
      </c>
      <c r="E12" s="19">
        <f si="2" t="shared"/>
        <v>4434.5708924326</v>
      </c>
      <c r="F12" s="19">
        <f si="2" t="shared"/>
        <v>22918.209136015699</v>
      </c>
      <c r="G12" s="19">
        <f si="2" t="shared"/>
        <v>9410.4357865374004</v>
      </c>
      <c r="H12" s="19">
        <f si="2" t="shared"/>
        <v>5280.8727714382003</v>
      </c>
      <c r="I12" s="19">
        <f si="2" t="shared"/>
        <v>177571.1049225858</v>
      </c>
      <c r="K12" s="13" t="s">
        <v>19</v>
      </c>
      <c r="L12" s="19">
        <f>SUM(L5:L11)</f>
        <v>112617</v>
      </c>
      <c r="M12" s="19">
        <f ref="M12:S12" si="3" t="shared">SUM(M5:M11)</f>
        <v>36687</v>
      </c>
      <c r="N12" s="19">
        <f si="3" t="shared"/>
        <v>18490</v>
      </c>
      <c r="O12" s="19">
        <f si="3" t="shared"/>
        <v>3295</v>
      </c>
      <c r="P12" s="19">
        <f si="3" t="shared"/>
        <v>13176</v>
      </c>
      <c r="Q12" s="19">
        <f si="3" t="shared"/>
        <v>4060</v>
      </c>
      <c r="R12" s="19">
        <f si="3" t="shared"/>
        <v>10632</v>
      </c>
      <c r="S12" s="19">
        <f si="3" t="shared"/>
        <v>198957</v>
      </c>
    </row>
    <row ht="15.75" r="15" spans="1:19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93" t="s">
        <v>18</v>
      </c>
      <c r="C16" s="93"/>
      <c r="D16" s="93"/>
      <c r="E16" s="93"/>
      <c r="F16" s="93"/>
      <c r="G16" s="93"/>
      <c r="H16" s="93"/>
      <c r="I16" s="11"/>
      <c r="K16" s="5"/>
      <c r="L16" s="94" t="s">
        <v>18</v>
      </c>
      <c r="M16" s="94"/>
      <c r="N16" s="94"/>
      <c r="O16" s="94"/>
      <c r="P16" s="94"/>
      <c r="Q16" s="94"/>
      <c r="R16" s="94"/>
      <c r="S16" s="94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0.28721997306074265</v>
      </c>
      <c r="C18" s="16">
        <f ref="C18:I18" si="4" t="shared">C5/$I$12</f>
        <v>7.8376905903614694E-2</v>
      </c>
      <c r="D18" s="16">
        <f si="4" t="shared"/>
        <v>3.8098464050614893E-2</v>
      </c>
      <c r="E18" s="16">
        <f si="4" t="shared"/>
        <v>0</v>
      </c>
      <c r="F18" s="16">
        <f si="4" t="shared"/>
        <v>1.364809057690189E-3</v>
      </c>
      <c r="G18" s="16">
        <f si="4" t="shared"/>
        <v>5.3211396452025892E-3</v>
      </c>
      <c r="H18" s="16">
        <f si="4" t="shared"/>
        <v>0</v>
      </c>
      <c r="I18" s="16">
        <f si="4" t="shared"/>
        <v>0.41038129171786503</v>
      </c>
      <c r="J18" s="9"/>
      <c r="K18" s="9" t="s">
        <v>1</v>
      </c>
      <c r="L18" s="16">
        <f ref="L18:S25" si="5" t="shared">L5/$S$12</f>
        <v>0.31529425956362428</v>
      </c>
      <c r="M18" s="16">
        <f si="5" t="shared"/>
        <v>7.7820835657956236E-2</v>
      </c>
      <c r="N18" s="16">
        <f si="5" t="shared"/>
        <v>2.6352427911558778E-2</v>
      </c>
      <c r="O18" s="16">
        <f si="5" t="shared"/>
        <v>3.9606548148594925E-3</v>
      </c>
      <c r="P18" s="16">
        <f si="5" t="shared"/>
        <v>9.9016370371487299E-3</v>
      </c>
      <c r="Q18" s="16">
        <f si="5" t="shared"/>
        <v>3.9556286031655081E-3</v>
      </c>
      <c r="R18" s="16">
        <f si="5" t="shared"/>
        <v>5.9108249521253337E-3</v>
      </c>
      <c r="S18" s="16">
        <f si="5" t="shared"/>
        <v>0.44319626854043837</v>
      </c>
    </row>
    <row r="19" spans="1:19" x14ac:dyDescent="0.25">
      <c r="A19" t="s">
        <v>2</v>
      </c>
      <c r="B19" s="16">
        <f ref="B19:I19" si="6" t="shared">B6/$I$12</f>
        <v>5.2408586392499894E-2</v>
      </c>
      <c r="C19" s="16">
        <f si="6" t="shared"/>
        <v>1.8940674609483208E-2</v>
      </c>
      <c r="D19" s="16">
        <f si="6" t="shared"/>
        <v>5.4973914536690874E-3</v>
      </c>
      <c r="E19" s="16">
        <f si="6" t="shared"/>
        <v>0</v>
      </c>
      <c r="F19" s="16">
        <f si="6" t="shared"/>
        <v>3.9001417129680325E-3</v>
      </c>
      <c r="G19" s="16">
        <f si="6" t="shared"/>
        <v>8.2945682216378474E-3</v>
      </c>
      <c r="H19" s="16">
        <f si="6" t="shared"/>
        <v>1.2525713518816411E-3</v>
      </c>
      <c r="I19" s="16">
        <f si="6" t="shared"/>
        <v>9.0293933742139704E-2</v>
      </c>
      <c r="J19" s="9"/>
      <c r="K19" s="9" t="s">
        <v>2</v>
      </c>
      <c r="L19" s="16">
        <f si="5" t="shared"/>
        <v>4.3094739064219907E-2</v>
      </c>
      <c r="M19" s="16">
        <f si="5" t="shared"/>
        <v>2.8523751363359922E-2</v>
      </c>
      <c r="N19" s="16">
        <f si="5" t="shared"/>
        <v>1.568680669692446E-2</v>
      </c>
      <c r="O19" s="16">
        <f si="5" t="shared"/>
        <v>2.608603869177762E-3</v>
      </c>
      <c r="P19" s="16">
        <f si="5" t="shared"/>
        <v>9.7307458395532696E-3</v>
      </c>
      <c r="Q19" s="16">
        <f si="5" t="shared"/>
        <v>3.9154189096136348E-3</v>
      </c>
      <c r="R19" s="16">
        <f si="5" t="shared"/>
        <v>4.8854777665525715E-3</v>
      </c>
      <c r="S19" s="16">
        <f si="5" t="shared"/>
        <v>0.10844554350940153</v>
      </c>
    </row>
    <row r="20" spans="1:19" x14ac:dyDescent="0.25">
      <c r="A20" t="s">
        <v>3</v>
      </c>
      <c r="B20" s="16">
        <f ref="B20:I20" si="7" t="shared">B7/$I$12</f>
        <v>1.5579040864541777E-2</v>
      </c>
      <c r="C20" s="16">
        <f si="7" t="shared"/>
        <v>6.4031892688739961E-3</v>
      </c>
      <c r="D20" s="16">
        <f si="7" t="shared"/>
        <v>3.5680863174750227E-3</v>
      </c>
      <c r="E20" s="16">
        <f si="7" t="shared"/>
        <v>9.8188480585291059E-4</v>
      </c>
      <c r="F20" s="16">
        <f si="7" t="shared"/>
        <v>5.6858080944552454E-3</v>
      </c>
      <c r="G20" s="16">
        <f si="7" t="shared"/>
        <v>2.9356934357110884E-3</v>
      </c>
      <c r="H20" s="16">
        <f si="7" t="shared"/>
        <v>0</v>
      </c>
      <c r="I20" s="16">
        <f si="7" t="shared"/>
        <v>3.5153702786910039E-2</v>
      </c>
      <c r="J20" s="9"/>
      <c r="K20" s="9" t="s">
        <v>3</v>
      </c>
      <c r="L20" s="16">
        <f si="5" t="shared"/>
        <v>1.6591524801841603E-2</v>
      </c>
      <c r="M20" s="16">
        <f si="5" t="shared"/>
        <v>1.0921958011027508E-2</v>
      </c>
      <c r="N20" s="16">
        <f si="5" t="shared"/>
        <v>5.8103007182456513E-3</v>
      </c>
      <c r="O20" s="16">
        <f si="5" t="shared"/>
        <v>9.6000643355096825E-4</v>
      </c>
      <c r="P20" s="16">
        <f si="5" t="shared"/>
        <v>3.8048422523459845E-3</v>
      </c>
      <c r="Q20" s="16">
        <f si="5" t="shared"/>
        <v>1.3671295807636825E-3</v>
      </c>
      <c r="R20" s="16">
        <f si="5" t="shared"/>
        <v>1.935091502183889E-3</v>
      </c>
      <c r="S20" s="16">
        <f si="5" t="shared"/>
        <v>4.1390853299959285E-2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7.5776648349776213E-3</v>
      </c>
      <c r="C22" s="16">
        <f si="9" t="shared"/>
        <v>0</v>
      </c>
      <c r="D22" s="16">
        <f si="9" t="shared"/>
        <v>2.2987838737048944E-3</v>
      </c>
      <c r="E22" s="16">
        <f si="9" t="shared"/>
        <v>9.8188480585291059E-4</v>
      </c>
      <c r="F22" s="16">
        <f si="9" t="shared"/>
        <v>1.5215880017712484E-2</v>
      </c>
      <c r="G22" s="16">
        <f si="9" t="shared"/>
        <v>0</v>
      </c>
      <c r="H22" s="16">
        <f si="9" t="shared"/>
        <v>0</v>
      </c>
      <c r="I22" s="16">
        <f si="9" t="shared"/>
        <v>2.6074213532247908E-2</v>
      </c>
      <c r="J22" s="9"/>
      <c r="K22" s="9" t="s">
        <v>5</v>
      </c>
      <c r="L22" s="16">
        <f si="5" t="shared"/>
        <v>3.2770900244776511E-3</v>
      </c>
      <c r="M22" s="16">
        <f si="5" t="shared"/>
        <v>1.0806355142065874E-3</v>
      </c>
      <c r="N22" s="16">
        <f si="5" t="shared"/>
        <v>1.5882828952989841E-3</v>
      </c>
      <c r="O22" s="16">
        <f si="5" t="shared"/>
        <v>2.8146785486311111E-4</v>
      </c>
      <c r="P22" s="16">
        <f si="5" t="shared"/>
        <v>1.6536236473207778E-3</v>
      </c>
      <c r="Q22" s="16">
        <f si="5" t="shared"/>
        <v>4.2220178229466669E-4</v>
      </c>
      <c r="R22" s="16">
        <f si="5" t="shared"/>
        <v>5.9811919158411114E-4</v>
      </c>
      <c r="S22" s="16">
        <f si="5" t="shared"/>
        <v>8.9014209100458895E-3</v>
      </c>
    </row>
    <row r="23" spans="1:19" x14ac:dyDescent="0.25">
      <c r="A23" t="s">
        <v>6</v>
      </c>
      <c r="B23" s="16">
        <f ref="B23:I23" si="10" t="shared">B10/$I$12</f>
        <v>7.6571406724239928E-4</v>
      </c>
      <c r="C23" s="16">
        <f si="10" t="shared"/>
        <v>4.9282390091367383E-4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1.5090358950084859E-3</v>
      </c>
      <c r="H23" s="16">
        <f si="10" t="shared"/>
        <v>0</v>
      </c>
      <c r="I23" s="16">
        <f si="10" t="shared"/>
        <v>2.7675738631645591E-3</v>
      </c>
      <c r="J23" s="9"/>
      <c r="K23" s="9" t="s">
        <v>6</v>
      </c>
      <c r="L23" s="16">
        <f si="5" t="shared"/>
        <v>8.041938710374604E-4</v>
      </c>
      <c r="M23" s="16">
        <f si="5" t="shared"/>
        <v>3.0157270163904765E-4</v>
      </c>
      <c r="N23" s="16">
        <f si="5" t="shared"/>
        <v>2.010484677593651E-4</v>
      </c>
      <c r="O23" s="16">
        <f si="5" t="shared"/>
        <v>2.5131058469920637E-5</v>
      </c>
      <c r="P23" s="16">
        <f si="5" t="shared"/>
        <v>1.3068150404358731E-4</v>
      </c>
      <c r="Q23" s="16">
        <f si="5" t="shared"/>
        <v>7.7403660087355564E-4</v>
      </c>
      <c r="R23" s="16">
        <f si="5" t="shared"/>
        <v>6.5340752021793655E-5</v>
      </c>
      <c r="S23" s="16">
        <f si="5" t="shared"/>
        <v>2.3020049558447305E-3</v>
      </c>
    </row>
    <row r="24" spans="1:19" x14ac:dyDescent="0.25">
      <c r="A24" s="6" t="s">
        <v>7</v>
      </c>
      <c r="B24" s="17">
        <f ref="B24:I24" si="11" t="shared">B11/$I$12</f>
        <v>0.188851167191912</v>
      </c>
      <c r="C24" s="17">
        <f si="11" t="shared"/>
        <v>4.0624947240614669E-2</v>
      </c>
      <c r="D24" s="17">
        <f si="11" t="shared"/>
        <v>1.6523331518839397E-2</v>
      </c>
      <c r="E24" s="17">
        <f si="11" t="shared"/>
        <v>2.3009724214138778E-2</v>
      </c>
      <c r="F24" s="17">
        <f si="11" t="shared"/>
        <v>0.10289833002642965</v>
      </c>
      <c r="G24" s="17">
        <f si="11" t="shared"/>
        <v>3.4934872994602108E-2</v>
      </c>
      <c r="H24" s="17">
        <f si="11" t="shared"/>
        <v>2.8486911171136158E-2</v>
      </c>
      <c r="I24" s="16">
        <f si="11" t="shared"/>
        <v>0.43532928435767276</v>
      </c>
      <c r="J24" s="9"/>
      <c r="K24" s="6" t="s">
        <v>7</v>
      </c>
      <c r="L24" s="20">
        <f si="5" t="shared"/>
        <v>0.18697507501620952</v>
      </c>
      <c r="M24" s="20">
        <f si="5" t="shared"/>
        <v>6.5747875169006362E-2</v>
      </c>
      <c r="N24" s="20">
        <f si="5" t="shared"/>
        <v>4.3295787531979268E-2</v>
      </c>
      <c r="O24" s="20">
        <f si="5" t="shared"/>
        <v>8.725503500756444E-3</v>
      </c>
      <c r="P24" s="20">
        <f si="5" t="shared"/>
        <v>4.1003834999522509E-2</v>
      </c>
      <c r="Q24" s="20">
        <f si="5" t="shared"/>
        <v>9.9720040008645077E-3</v>
      </c>
      <c r="R24" s="20">
        <f si="5" t="shared"/>
        <v>4.0043828565971544E-2</v>
      </c>
      <c r="S24" s="16">
        <f si="5" t="shared"/>
        <v>0.39576390878431017</v>
      </c>
    </row>
    <row ht="15.75" r="25" spans="1:19" thickBot="1" x14ac:dyDescent="0.3">
      <c r="A25" s="15" t="s">
        <v>19</v>
      </c>
      <c r="B25" s="18">
        <f ref="B25:I25" si="12" t="shared">B12/$I$12</f>
        <v>0.55240214641191643</v>
      </c>
      <c r="C25" s="18">
        <f si="12" t="shared"/>
        <v>0.14483854092350026</v>
      </c>
      <c r="D25" s="18">
        <f si="12" t="shared"/>
        <v>6.5986057214303298E-2</v>
      </c>
      <c r="E25" s="18">
        <f si="12" t="shared"/>
        <v>2.49734938258446E-2</v>
      </c>
      <c r="F25" s="18">
        <f si="12" t="shared"/>
        <v>0.12906496890925559</v>
      </c>
      <c r="G25" s="18">
        <f si="12" t="shared"/>
        <v>5.2995310192162116E-2</v>
      </c>
      <c r="H25" s="18">
        <f si="12" t="shared"/>
        <v>2.97394825230178E-2</v>
      </c>
      <c r="I25" s="18">
        <f si="12" t="shared"/>
        <v>1</v>
      </c>
      <c r="K25" s="13" t="s">
        <v>19</v>
      </c>
      <c r="L25" s="18">
        <f si="5" t="shared"/>
        <v>0.56603688234141047</v>
      </c>
      <c r="M25" s="18">
        <f si="5" t="shared"/>
        <v>0.18439662841719567</v>
      </c>
      <c r="N25" s="18">
        <f si="5" t="shared"/>
        <v>9.2934654221766513E-2</v>
      </c>
      <c r="O25" s="18">
        <f si="5" t="shared"/>
        <v>1.6561367531677699E-2</v>
      </c>
      <c r="P25" s="18">
        <f si="5" t="shared"/>
        <v>6.6225365279934861E-2</v>
      </c>
      <c r="Q25" s="18">
        <f si="5" t="shared"/>
        <v>2.0406419477575558E-2</v>
      </c>
      <c r="R25" s="18">
        <f si="5" t="shared"/>
        <v>5.3438682730439238E-2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94" t="s">
        <v>18</v>
      </c>
      <c r="M29" s="94"/>
      <c r="N29" s="94"/>
      <c r="O29" s="94"/>
      <c r="P29" s="94"/>
      <c r="Q29" s="94"/>
      <c r="R29" s="94"/>
      <c r="S29" s="94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2.8074286502881629E-2</v>
      </c>
      <c r="M31" s="16">
        <f si="13" t="shared"/>
        <v>-5.5607024565845764E-4</v>
      </c>
      <c r="N31" s="16">
        <f si="13" t="shared"/>
        <v>-1.1746036139056115E-2</v>
      </c>
      <c r="O31" s="16">
        <f si="13" t="shared"/>
        <v>3.9606548148594925E-3</v>
      </c>
      <c r="P31" s="16">
        <f si="13" t="shared"/>
        <v>8.5368279794585406E-3</v>
      </c>
      <c r="Q31" s="16">
        <f si="13" t="shared"/>
        <v>-1.3655110420370811E-3</v>
      </c>
      <c r="R31" s="16">
        <f si="13" t="shared"/>
        <v>5.9108249521253337E-3</v>
      </c>
      <c r="S31" s="16">
        <f si="13" t="shared"/>
        <v>3.2814976822573338E-2</v>
      </c>
    </row>
    <row r="32" spans="1:19" x14ac:dyDescent="0.25">
      <c r="K32" s="9" t="s">
        <v>2</v>
      </c>
      <c r="L32" s="16">
        <f si="13" t="shared"/>
        <v>-9.3138473282799866E-3</v>
      </c>
      <c r="M32" s="16">
        <f si="13" t="shared"/>
        <v>9.5830767538767139E-3</v>
      </c>
      <c r="N32" s="16">
        <f si="13" t="shared"/>
        <v>1.0189415243255373E-2</v>
      </c>
      <c r="O32" s="16">
        <f si="13" t="shared"/>
        <v>2.608603869177762E-3</v>
      </c>
      <c r="P32" s="16">
        <f si="13" t="shared"/>
        <v>5.8306041265852367E-3</v>
      </c>
      <c r="Q32" s="16">
        <f si="13" t="shared"/>
        <v>-4.3791493120242126E-3</v>
      </c>
      <c r="R32" s="16">
        <f si="13" t="shared"/>
        <v>3.6329064146709304E-3</v>
      </c>
      <c r="S32" s="16">
        <f si="13" t="shared"/>
        <v>1.8151609767261823E-2</v>
      </c>
    </row>
    <row r="33" spans="11:19" x14ac:dyDescent="0.25">
      <c r="K33" s="9" t="s">
        <v>3</v>
      </c>
      <c r="L33" s="16">
        <f si="13" t="shared"/>
        <v>1.0124839372998261E-3</v>
      </c>
      <c r="M33" s="16">
        <f si="13" t="shared"/>
        <v>4.5187687421535117E-3</v>
      </c>
      <c r="N33" s="16">
        <f si="13" t="shared"/>
        <v>2.2422144007706287E-3</v>
      </c>
      <c r="O33" s="16">
        <f si="13" t="shared"/>
        <v>-2.1878372301942337E-5</v>
      </c>
      <c r="P33" s="16">
        <f si="13" t="shared"/>
        <v>-1.8809658421092609E-3</v>
      </c>
      <c r="Q33" s="16">
        <f si="13" t="shared"/>
        <v>-1.5685638549474059E-3</v>
      </c>
      <c r="R33" s="16">
        <f si="13" t="shared"/>
        <v>1.935091502183889E-3</v>
      </c>
      <c r="S33" s="16">
        <f si="13" t="shared"/>
        <v>6.2371505130492458E-3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-4.3005748104999707E-3</v>
      </c>
      <c r="M35" s="16">
        <f ref="M35:S38" si="15" t="shared">M22-C22</f>
        <v>1.0806355142065874E-3</v>
      </c>
      <c r="N35" s="16">
        <f si="15" t="shared"/>
        <v>-7.105009784059103E-4</v>
      </c>
      <c r="O35" s="16">
        <f si="15" t="shared"/>
        <v>-7.0041695098979942E-4</v>
      </c>
      <c r="P35" s="16">
        <f si="15" t="shared"/>
        <v>-1.3562256370391705E-2</v>
      </c>
      <c r="Q35" s="16">
        <f si="15" t="shared"/>
        <v>4.2220178229466669E-4</v>
      </c>
      <c r="R35" s="16">
        <f si="15" t="shared"/>
        <v>5.9811919158411114E-4</v>
      </c>
      <c r="S35" s="16">
        <f si="15" t="shared"/>
        <v>-1.7172792622202018E-2</v>
      </c>
    </row>
    <row r="36" spans="11:19" x14ac:dyDescent="0.25">
      <c r="K36" s="9" t="s">
        <v>6</v>
      </c>
      <c r="L36" s="16">
        <f>L23-B23</f>
        <v>3.8479803795061118E-5</v>
      </c>
      <c r="M36" s="16">
        <f si="15" t="shared"/>
        <v>-1.9125119927462618E-4</v>
      </c>
      <c r="N36" s="16">
        <f si="15" t="shared"/>
        <v>2.010484677593651E-4</v>
      </c>
      <c r="O36" s="16">
        <f si="15" t="shared"/>
        <v>2.5131058469920637E-5</v>
      </c>
      <c r="P36" s="16">
        <f si="15" t="shared"/>
        <v>1.3068150404358731E-4</v>
      </c>
      <c r="Q36" s="16">
        <f si="15" t="shared"/>
        <v>-7.3499929413493024E-4</v>
      </c>
      <c r="R36" s="16">
        <f si="15" t="shared"/>
        <v>6.5340752021793655E-5</v>
      </c>
      <c r="S36" s="16">
        <f si="15" t="shared"/>
        <v>-4.6556890731982862E-4</v>
      </c>
    </row>
    <row r="37" spans="11:19" x14ac:dyDescent="0.25">
      <c r="K37" s="6" t="s">
        <v>7</v>
      </c>
      <c r="L37" s="20">
        <f>L24-B24</f>
        <v>-1.8760921757024762E-3</v>
      </c>
      <c r="M37" s="20">
        <f si="15" t="shared"/>
        <v>2.5122927928391693E-2</v>
      </c>
      <c r="N37" s="20">
        <f si="15" t="shared"/>
        <v>2.6772456013139871E-2</v>
      </c>
      <c r="O37" s="20">
        <f si="15" t="shared"/>
        <v>-1.4284220713382334E-2</v>
      </c>
      <c r="P37" s="20">
        <f si="15" t="shared"/>
        <v>-6.1894495026907137E-2</v>
      </c>
      <c r="Q37" s="20">
        <f si="15" t="shared"/>
        <v>-2.4962868993737598E-2</v>
      </c>
      <c r="R37" s="20">
        <f si="15" t="shared"/>
        <v>1.1556917394835386E-2</v>
      </c>
      <c r="S37" s="16">
        <f si="15" t="shared"/>
        <v>-3.9565375573362593E-2</v>
      </c>
    </row>
    <row ht="15.75" r="38" spans="11:19" thickBot="1" x14ac:dyDescent="0.3">
      <c r="K38" s="13" t="s">
        <v>19</v>
      </c>
      <c r="L38" s="18">
        <f>L25-B25</f>
        <v>1.3634735929494046E-2</v>
      </c>
      <c r="M38" s="18">
        <f si="15" t="shared"/>
        <v>3.955808749369541E-2</v>
      </c>
      <c r="N38" s="18">
        <f si="15" t="shared"/>
        <v>2.6948597007463215E-2</v>
      </c>
      <c r="O38" s="18">
        <f si="15" t="shared"/>
        <v>-8.4121262941669016E-3</v>
      </c>
      <c r="P38" s="18">
        <f si="15" t="shared"/>
        <v>-6.2839603629320728E-2</v>
      </c>
      <c r="Q38" s="18">
        <f si="15" t="shared"/>
        <v>-3.2588890714586559E-2</v>
      </c>
      <c r="R38" s="18">
        <f si="15" t="shared"/>
        <v>2.3699200207421438E-2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F47"/>
  <sheetViews>
    <sheetView topLeftCell="A34" workbookViewId="0">
      <selection activeCell="I32" sqref="I31:I3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34"/>
  <sheetViews>
    <sheetView topLeftCell="A4" workbookViewId="0">
      <selection activeCell="A8" sqref="A8:K13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0.98306756399999995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0.51430888699999999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-4.1251959730000003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-2.5630624740000001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-3.0344243999999998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-2.6026901850000002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0.44708751299999999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-0.35387644200000001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-2.0693221340000001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-1.1541206639999999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-2.14205632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-3.5522207300000002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0.417219746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-1.9493286999999999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1.577637277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-2.5141990239999998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0.761602102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-3.7193614820000001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1.7828694030000001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-1.1592853190000001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0.93477131499999999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1.3254575719999999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9.2856180000000007E-3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4.4706600000000003E-5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-4.5175524459999998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0.19300757900000001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5.5028395569999997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0.42372318599999997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1.336185706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-6.5359500000000005E-7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1.3874495019999999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</v>
      </c>
      <c r="F45">
        <v>0.40505155627599998</v>
      </c>
    </row>
    <row r="46" spans="2:6" x14ac:dyDescent="0.25">
      <c r="B46">
        <v>201</v>
      </c>
      <c r="C46" t="s">
        <v>298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299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300</v>
      </c>
      <c r="D48" s="35" t="s">
        <v>73</v>
      </c>
      <c r="E48" s="35">
        <v>0</v>
      </c>
      <c r="F48">
        <v>0</v>
      </c>
    </row>
    <row r="49" spans="2:6" x14ac:dyDescent="0.25">
      <c r="B49">
        <v>204</v>
      </c>
      <c r="C49" t="s">
        <v>301</v>
      </c>
      <c r="D49" t="s">
        <v>73</v>
      </c>
      <c r="E49">
        <v>0</v>
      </c>
      <c r="F49">
        <v>0</v>
      </c>
    </row>
    <row r="50" spans="2:6" x14ac:dyDescent="0.25">
      <c r="B50">
        <v>205</v>
      </c>
      <c r="C50" t="s">
        <v>302</v>
      </c>
      <c r="D50" t="s">
        <v>73</v>
      </c>
      <c r="E50">
        <v>0</v>
      </c>
      <c r="F50">
        <v>0</v>
      </c>
    </row>
    <row r="51" spans="2:6" x14ac:dyDescent="0.25">
      <c r="B51">
        <v>206</v>
      </c>
      <c r="C51" t="s">
        <v>303</v>
      </c>
      <c r="D51" t="s">
        <v>73</v>
      </c>
      <c r="E51">
        <v>-1.2715533000000001</v>
      </c>
      <c r="F51">
        <v>0</v>
      </c>
    </row>
    <row r="52" spans="2:6" x14ac:dyDescent="0.25">
      <c r="B52">
        <v>207</v>
      </c>
      <c r="C52" t="s">
        <v>304</v>
      </c>
      <c r="D52" t="s">
        <v>73</v>
      </c>
      <c r="E52">
        <v>0</v>
      </c>
      <c r="F52">
        <v>0</v>
      </c>
    </row>
    <row r="53" spans="2:6" x14ac:dyDescent="0.25">
      <c r="B53">
        <v>208</v>
      </c>
      <c r="C53" t="s">
        <v>305</v>
      </c>
      <c r="D53" t="s">
        <v>73</v>
      </c>
      <c r="E53">
        <v>-2</v>
      </c>
      <c r="F53">
        <v>0</v>
      </c>
    </row>
    <row r="54" spans="2:6" x14ac:dyDescent="0.25">
      <c r="B54">
        <v>209</v>
      </c>
      <c r="C54" t="s">
        <v>306</v>
      </c>
      <c r="D54" t="s">
        <v>73</v>
      </c>
      <c r="E54">
        <v>-1</v>
      </c>
      <c r="F54">
        <v>0</v>
      </c>
    </row>
    <row r="55" spans="2:6" x14ac:dyDescent="0.25">
      <c r="B55">
        <v>210</v>
      </c>
      <c r="C55" t="s">
        <v>307</v>
      </c>
      <c r="D55" t="s">
        <v>73</v>
      </c>
      <c r="E55">
        <v>-2</v>
      </c>
      <c r="F55">
        <v>0</v>
      </c>
    </row>
    <row r="56" spans="2:6" x14ac:dyDescent="0.25">
      <c r="B56">
        <v>211</v>
      </c>
      <c r="C56" t="s">
        <v>308</v>
      </c>
      <c r="D56" t="s">
        <v>73</v>
      </c>
      <c r="E56">
        <v>0</v>
      </c>
      <c r="F56">
        <v>0</v>
      </c>
    </row>
    <row r="57" spans="2:6" x14ac:dyDescent="0.25">
      <c r="B57">
        <v>301</v>
      </c>
      <c r="C57" t="s">
        <v>309</v>
      </c>
      <c r="D57" t="s">
        <v>73</v>
      </c>
      <c r="E57">
        <v>0</v>
      </c>
      <c r="F57" s="35">
        <v>0</v>
      </c>
    </row>
    <row r="58" spans="2:6" x14ac:dyDescent="0.25">
      <c r="B58">
        <v>302</v>
      </c>
      <c r="C58" t="s">
        <v>310</v>
      </c>
      <c r="D58" t="s">
        <v>73</v>
      </c>
      <c r="E58">
        <v>0</v>
      </c>
      <c r="F58">
        <v>0</v>
      </c>
    </row>
    <row r="59" spans="2:6" x14ac:dyDescent="0.25">
      <c r="B59">
        <v>303</v>
      </c>
      <c r="C59" s="35" t="s">
        <v>311</v>
      </c>
      <c r="D59" s="35" t="s">
        <v>73</v>
      </c>
      <c r="E59" s="35">
        <v>0</v>
      </c>
      <c r="F59">
        <v>0</v>
      </c>
    </row>
    <row r="60" spans="2:6" x14ac:dyDescent="0.25">
      <c r="B60">
        <v>304</v>
      </c>
      <c r="C60" t="s">
        <v>312</v>
      </c>
      <c r="D60" t="s">
        <v>73</v>
      </c>
      <c r="E60">
        <v>0</v>
      </c>
      <c r="F60">
        <v>0</v>
      </c>
    </row>
    <row r="61" spans="2:6" x14ac:dyDescent="0.25">
      <c r="B61">
        <v>305</v>
      </c>
      <c r="C61" t="s">
        <v>313</v>
      </c>
      <c r="D61" t="s">
        <v>73</v>
      </c>
      <c r="E61">
        <v>0</v>
      </c>
      <c r="F61">
        <v>0</v>
      </c>
    </row>
    <row r="62" spans="2:6" x14ac:dyDescent="0.25">
      <c r="B62">
        <v>306</v>
      </c>
      <c r="C62" t="s">
        <v>314</v>
      </c>
      <c r="D62" t="s">
        <v>73</v>
      </c>
      <c r="E62">
        <v>-1.4978495999999999</v>
      </c>
      <c r="F62">
        <v>0</v>
      </c>
    </row>
    <row r="63" spans="2:6" x14ac:dyDescent="0.25">
      <c r="B63">
        <v>307</v>
      </c>
      <c r="C63" t="s">
        <v>315</v>
      </c>
      <c r="D63" t="s">
        <v>73</v>
      </c>
      <c r="E63">
        <v>0</v>
      </c>
      <c r="F63">
        <v>0</v>
      </c>
    </row>
    <row r="64" spans="2:6" x14ac:dyDescent="0.25">
      <c r="B64">
        <v>308</v>
      </c>
      <c r="C64" t="s">
        <v>316</v>
      </c>
      <c r="D64" t="s">
        <v>73</v>
      </c>
      <c r="E64">
        <v>0</v>
      </c>
      <c r="F64">
        <v>0</v>
      </c>
    </row>
    <row r="65" spans="2:11" x14ac:dyDescent="0.25">
      <c r="B65">
        <v>309</v>
      </c>
      <c r="C65" t="s">
        <v>317</v>
      </c>
      <c r="D65" t="s">
        <v>73</v>
      </c>
      <c r="E65">
        <v>0</v>
      </c>
      <c r="F65">
        <v>0</v>
      </c>
    </row>
    <row r="66" spans="2:11" x14ac:dyDescent="0.25">
      <c r="B66">
        <v>310</v>
      </c>
      <c r="C66" t="s">
        <v>318</v>
      </c>
      <c r="D66" t="s">
        <v>73</v>
      </c>
      <c r="E66">
        <v>0</v>
      </c>
      <c r="F66">
        <v>0</v>
      </c>
    </row>
    <row r="67" spans="2:11" x14ac:dyDescent="0.25">
      <c r="B67">
        <v>311</v>
      </c>
      <c r="C67" t="s">
        <v>319</v>
      </c>
      <c r="D67" t="s">
        <v>73</v>
      </c>
      <c r="E67">
        <v>0</v>
      </c>
      <c r="F67">
        <v>0</v>
      </c>
    </row>
    <row r="68" spans="2:11" x14ac:dyDescent="0.25">
      <c r="B68">
        <v>99</v>
      </c>
      <c r="C68" t="s">
        <v>106</v>
      </c>
      <c r="D68" t="s">
        <v>64</v>
      </c>
      <c r="E68">
        <v>0.53642515987899997</v>
      </c>
      <c r="F68" s="35">
        <v>3.9633220910000003E-2</v>
      </c>
    </row>
    <row r="69" spans="2:11" x14ac:dyDescent="0.25">
      <c r="B69">
        <v>-1</v>
      </c>
    </row>
    <row r="70" spans="2:11" x14ac:dyDescent="0.25">
      <c r="B70">
        <v>5421</v>
      </c>
      <c r="C70" s="35">
        <v>-7038.2122773399997</v>
      </c>
      <c r="D70" s="35">
        <v>-9577.4811960099996</v>
      </c>
      <c r="E70" s="35">
        <v>-4910.39365825</v>
      </c>
    </row>
    <row r="71" spans="2:11" x14ac:dyDescent="0.25">
      <c r="B71">
        <v>15</v>
      </c>
      <c r="C71" t="s">
        <v>246</v>
      </c>
      <c r="D71" t="s">
        <v>235</v>
      </c>
      <c r="E71">
        <v>6</v>
      </c>
      <c r="F71" t="s">
        <v>236</v>
      </c>
      <c r="G71">
        <v>17</v>
      </c>
    </row>
    <row r="72" spans="2:11" x14ac:dyDescent="0.25">
      <c r="B72">
        <v>42848</v>
      </c>
      <c r="C72">
        <v>-18163</v>
      </c>
      <c r="D72">
        <v>-31275</v>
      </c>
      <c r="E72">
        <v>3054</v>
      </c>
      <c r="F72">
        <v>6272</v>
      </c>
      <c r="G72">
        <v>-4564</v>
      </c>
      <c r="H72">
        <v>438</v>
      </c>
      <c r="I72">
        <v>1153</v>
      </c>
      <c r="J72">
        <v>-5503</v>
      </c>
      <c r="K72">
        <v>5491</v>
      </c>
    </row>
    <row r="73" spans="2:11" x14ac:dyDescent="0.25">
      <c r="B73">
        <v>-17263</v>
      </c>
      <c r="C73">
        <v>-26021</v>
      </c>
      <c r="D73">
        <v>87948</v>
      </c>
      <c r="E73">
        <v>-1445</v>
      </c>
      <c r="F73">
        <v>-1357</v>
      </c>
      <c r="G73">
        <v>-14800</v>
      </c>
      <c r="H73">
        <v>-27427</v>
      </c>
      <c r="I73">
        <v>86635</v>
      </c>
      <c r="J73">
        <v>-1522</v>
      </c>
      <c r="K73">
        <v>-370</v>
      </c>
    </row>
    <row r="74" spans="2:11" x14ac:dyDescent="0.25">
      <c r="B74">
        <v>76889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15521</v>
      </c>
      <c r="K74">
        <v>19780</v>
      </c>
    </row>
    <row r="75" spans="2:11" x14ac:dyDescent="0.25">
      <c r="B75">
        <v>-8220</v>
      </c>
      <c r="C75">
        <v>1257</v>
      </c>
      <c r="D75">
        <v>-683</v>
      </c>
      <c r="E75">
        <v>-7524</v>
      </c>
      <c r="F75">
        <v>-12107</v>
      </c>
      <c r="G75">
        <v>0</v>
      </c>
      <c r="H75">
        <v>-8337</v>
      </c>
      <c r="I75">
        <v>-26807</v>
      </c>
      <c r="J75">
        <v>12707</v>
      </c>
      <c r="K75">
        <v>-2144</v>
      </c>
    </row>
    <row r="76" spans="2:11" x14ac:dyDescent="0.25">
      <c r="B76">
        <v>-171</v>
      </c>
      <c r="C76">
        <v>10949</v>
      </c>
      <c r="D76">
        <v>-20909</v>
      </c>
      <c r="E76">
        <v>0</v>
      </c>
      <c r="F76">
        <v>-8066</v>
      </c>
      <c r="G76">
        <v>-22037</v>
      </c>
      <c r="H76">
        <v>-29253</v>
      </c>
      <c r="I76">
        <v>9826</v>
      </c>
      <c r="J76">
        <v>-2056</v>
      </c>
      <c r="K76">
        <v>-151</v>
      </c>
    </row>
    <row r="77" spans="2:11" x14ac:dyDescent="0.25">
      <c r="B77">
        <v>9916</v>
      </c>
      <c r="C77">
        <v>-2626</v>
      </c>
      <c r="D77">
        <v>0</v>
      </c>
      <c r="E77">
        <v>2520</v>
      </c>
      <c r="F77">
        <v>13843</v>
      </c>
      <c r="G77">
        <v>-3494</v>
      </c>
      <c r="H77">
        <v>-2313</v>
      </c>
      <c r="I77">
        <v>1163</v>
      </c>
      <c r="J77">
        <v>-110</v>
      </c>
      <c r="K77">
        <v>261</v>
      </c>
    </row>
    <row r="78" spans="2:11" x14ac:dyDescent="0.25">
      <c r="B78">
        <v>1065</v>
      </c>
      <c r="C78">
        <v>-7327</v>
      </c>
      <c r="D78">
        <v>0</v>
      </c>
      <c r="E78">
        <v>7310</v>
      </c>
      <c r="F78">
        <v>1677</v>
      </c>
      <c r="G78">
        <v>16097</v>
      </c>
      <c r="H78">
        <v>-14141</v>
      </c>
      <c r="I78">
        <v>-27101</v>
      </c>
      <c r="J78">
        <v>87188</v>
      </c>
      <c r="K78">
        <v>-1492</v>
      </c>
    </row>
    <row r="79" spans="2:11" x14ac:dyDescent="0.25">
      <c r="B79">
        <v>-333</v>
      </c>
      <c r="C79">
        <v>77378</v>
      </c>
      <c r="D79">
        <v>99139</v>
      </c>
      <c r="E79">
        <v>0</v>
      </c>
      <c r="F79">
        <v>-11109</v>
      </c>
      <c r="G79">
        <v>-21035</v>
      </c>
      <c r="H79">
        <v>-59</v>
      </c>
      <c r="I79">
        <v>-442</v>
      </c>
      <c r="J79">
        <v>-26773</v>
      </c>
      <c r="K79">
        <v>-32589</v>
      </c>
    </row>
    <row r="80" spans="2:11" x14ac:dyDescent="0.25">
      <c r="B80">
        <v>12980</v>
      </c>
      <c r="C80">
        <v>-1120</v>
      </c>
      <c r="D80">
        <v>454</v>
      </c>
      <c r="E80">
        <v>12999</v>
      </c>
      <c r="F80">
        <v>4330</v>
      </c>
      <c r="G80">
        <v>0</v>
      </c>
      <c r="H80">
        <v>-8389</v>
      </c>
      <c r="I80">
        <v>12422</v>
      </c>
      <c r="J80">
        <v>6204</v>
      </c>
      <c r="K80">
        <v>1243</v>
      </c>
    </row>
    <row r="81" spans="2:11" x14ac:dyDescent="0.25">
      <c r="B81">
        <v>4114</v>
      </c>
      <c r="C81">
        <v>8036</v>
      </c>
      <c r="D81">
        <v>14360</v>
      </c>
      <c r="E81">
        <v>-2464</v>
      </c>
      <c r="F81">
        <v>1732</v>
      </c>
      <c r="G81">
        <v>4548</v>
      </c>
      <c r="H81">
        <v>-2849</v>
      </c>
      <c r="I81">
        <v>-17956</v>
      </c>
      <c r="J81">
        <v>0</v>
      </c>
      <c r="K81">
        <v>9299</v>
      </c>
    </row>
    <row r="82" spans="2:11" x14ac:dyDescent="0.25">
      <c r="B82">
        <v>8220</v>
      </c>
      <c r="C82">
        <v>14090</v>
      </c>
      <c r="D82">
        <v>2542</v>
      </c>
      <c r="E82">
        <v>-17640</v>
      </c>
      <c r="F82">
        <v>2360</v>
      </c>
      <c r="G82">
        <v>-21486</v>
      </c>
      <c r="H82">
        <v>-30375</v>
      </c>
      <c r="I82">
        <v>10049</v>
      </c>
      <c r="J82">
        <v>-2148</v>
      </c>
      <c r="K82">
        <v>-218</v>
      </c>
    </row>
    <row r="83" spans="2:11" x14ac:dyDescent="0.25">
      <c r="B83">
        <v>10191</v>
      </c>
      <c r="C83">
        <v>-266</v>
      </c>
      <c r="D83">
        <v>0</v>
      </c>
      <c r="E83">
        <v>1355</v>
      </c>
      <c r="F83">
        <v>14299</v>
      </c>
      <c r="G83">
        <v>74379</v>
      </c>
      <c r="H83">
        <v>3427</v>
      </c>
      <c r="I83">
        <v>-916</v>
      </c>
      <c r="J83">
        <v>5905</v>
      </c>
      <c r="K83">
        <v>14864</v>
      </c>
    </row>
    <row r="84" spans="2:11" x14ac:dyDescent="0.25">
      <c r="B84">
        <v>11269</v>
      </c>
      <c r="C84">
        <v>-1292</v>
      </c>
      <c r="D84">
        <v>84044</v>
      </c>
      <c r="E84">
        <v>294</v>
      </c>
      <c r="F84">
        <v>-97</v>
      </c>
      <c r="G84">
        <v>73373</v>
      </c>
      <c r="H84">
        <v>83338</v>
      </c>
      <c r="I84">
        <v>0</v>
      </c>
      <c r="J84">
        <v>3316</v>
      </c>
      <c r="K84">
        <v>4657</v>
      </c>
    </row>
    <row r="85" spans="2:11" x14ac:dyDescent="0.25">
      <c r="B85">
        <v>-7500</v>
      </c>
      <c r="C85">
        <v>-418</v>
      </c>
      <c r="D85">
        <v>84094</v>
      </c>
      <c r="E85">
        <v>-8567</v>
      </c>
      <c r="F85">
        <v>4589</v>
      </c>
      <c r="G85">
        <v>-7868</v>
      </c>
      <c r="H85">
        <v>-43246</v>
      </c>
      <c r="I85">
        <v>-51936</v>
      </c>
      <c r="J85">
        <v>18693</v>
      </c>
      <c r="K85">
        <v>-2941</v>
      </c>
    </row>
    <row r="86" spans="2:11" x14ac:dyDescent="0.25">
      <c r="B86">
        <v>4542</v>
      </c>
      <c r="C86">
        <v>17835</v>
      </c>
      <c r="D86">
        <v>12136</v>
      </c>
      <c r="E86">
        <v>0</v>
      </c>
      <c r="F86">
        <v>-20428</v>
      </c>
      <c r="G86">
        <v>14648</v>
      </c>
      <c r="H86">
        <v>25477</v>
      </c>
      <c r="I86">
        <v>3335</v>
      </c>
      <c r="J86">
        <v>11991</v>
      </c>
      <c r="K86">
        <v>31351</v>
      </c>
    </row>
    <row r="87" spans="2:11" x14ac:dyDescent="0.25">
      <c r="B87">
        <v>9558</v>
      </c>
      <c r="C87">
        <v>26040</v>
      </c>
      <c r="D87">
        <v>-14865</v>
      </c>
      <c r="E87">
        <v>9942</v>
      </c>
      <c r="F87">
        <v>12830</v>
      </c>
      <c r="G87">
        <v>-5865</v>
      </c>
      <c r="H87">
        <v>1019</v>
      </c>
      <c r="I87">
        <v>327</v>
      </c>
      <c r="J87">
        <v>-5261</v>
      </c>
      <c r="K87">
        <v>-5321</v>
      </c>
    </row>
    <row r="88" spans="2:11" x14ac:dyDescent="0.25">
      <c r="B88">
        <v>0</v>
      </c>
      <c r="C88">
        <v>7257</v>
      </c>
      <c r="D88">
        <v>-5804</v>
      </c>
      <c r="E88">
        <v>-1494</v>
      </c>
      <c r="F88">
        <v>-327</v>
      </c>
      <c r="G88">
        <v>-5254</v>
      </c>
      <c r="H88">
        <v>-5864</v>
      </c>
      <c r="I88">
        <v>7197</v>
      </c>
      <c r="J88">
        <v>-1332</v>
      </c>
      <c r="K88">
        <v>-1568</v>
      </c>
    </row>
    <row r="89" spans="2:11" x14ac:dyDescent="0.25">
      <c r="B89">
        <v>-12743</v>
      </c>
      <c r="C89">
        <v>-25706</v>
      </c>
      <c r="D89">
        <v>-41789</v>
      </c>
      <c r="E89">
        <v>61047</v>
      </c>
      <c r="F89">
        <v>-2860</v>
      </c>
      <c r="G89">
        <v>-448</v>
      </c>
      <c r="H89">
        <v>55601</v>
      </c>
      <c r="I89">
        <v>56423</v>
      </c>
      <c r="J89">
        <v>0</v>
      </c>
      <c r="K89">
        <v>-11513</v>
      </c>
    </row>
    <row r="90" spans="2:11" x14ac:dyDescent="0.25">
      <c r="B90">
        <v>13139</v>
      </c>
      <c r="C90">
        <v>16368</v>
      </c>
      <c r="D90">
        <v>1349</v>
      </c>
      <c r="E90">
        <v>56627</v>
      </c>
      <c r="F90">
        <v>18494</v>
      </c>
      <c r="G90">
        <v>-7778</v>
      </c>
      <c r="H90">
        <v>16971</v>
      </c>
      <c r="I90">
        <v>43522</v>
      </c>
      <c r="J90">
        <v>29568</v>
      </c>
      <c r="K90">
        <v>-7474</v>
      </c>
    </row>
    <row r="91" spans="2:11" x14ac:dyDescent="0.25">
      <c r="B91">
        <v>23194</v>
      </c>
      <c r="C91">
        <v>36921</v>
      </c>
      <c r="D91">
        <v>-2544</v>
      </c>
      <c r="E91">
        <v>2425</v>
      </c>
      <c r="F91">
        <v>387</v>
      </c>
      <c r="G91">
        <v>-2659</v>
      </c>
      <c r="H91">
        <v>223</v>
      </c>
      <c r="I91">
        <v>0</v>
      </c>
      <c r="J91">
        <v>10683</v>
      </c>
      <c r="K91">
        <v>-9296</v>
      </c>
    </row>
    <row r="92" spans="2:11" x14ac:dyDescent="0.25">
      <c r="B92">
        <v>-15493</v>
      </c>
      <c r="C92">
        <v>-1261</v>
      </c>
      <c r="D92">
        <v>459</v>
      </c>
      <c r="E92">
        <v>-18068</v>
      </c>
      <c r="F92">
        <v>8222</v>
      </c>
      <c r="G92">
        <v>-16100</v>
      </c>
      <c r="H92">
        <v>16426</v>
      </c>
      <c r="I92">
        <v>-27298</v>
      </c>
      <c r="J92">
        <v>6189</v>
      </c>
      <c r="K92">
        <v>-35311</v>
      </c>
    </row>
    <row r="93" spans="2:11" x14ac:dyDescent="0.25">
      <c r="B93">
        <v>-6355</v>
      </c>
      <c r="C93">
        <v>-10712</v>
      </c>
      <c r="D93">
        <v>4242</v>
      </c>
      <c r="E93">
        <v>-820</v>
      </c>
      <c r="F93">
        <v>-260</v>
      </c>
      <c r="G93">
        <v>3820</v>
      </c>
      <c r="H93">
        <v>3082</v>
      </c>
      <c r="I93">
        <v>0</v>
      </c>
      <c r="J93">
        <v>-3743</v>
      </c>
      <c r="K93">
        <v>3503</v>
      </c>
    </row>
    <row r="94" spans="2:11" x14ac:dyDescent="0.25">
      <c r="B94">
        <v>4723</v>
      </c>
      <c r="C94">
        <v>411</v>
      </c>
      <c r="D94">
        <v>3049</v>
      </c>
      <c r="E94">
        <v>4828</v>
      </c>
      <c r="F94">
        <v>-3320</v>
      </c>
      <c r="G94">
        <v>4916</v>
      </c>
      <c r="H94">
        <v>-1437</v>
      </c>
      <c r="I94">
        <v>7380</v>
      </c>
      <c r="J94">
        <v>-2139</v>
      </c>
      <c r="K94">
        <v>-2116</v>
      </c>
    </row>
    <row r="95" spans="2:11" x14ac:dyDescent="0.25">
      <c r="B95">
        <v>-5035</v>
      </c>
      <c r="C95">
        <v>10699</v>
      </c>
      <c r="D95">
        <v>20993</v>
      </c>
      <c r="E95">
        <v>15257</v>
      </c>
      <c r="F95">
        <v>1409</v>
      </c>
      <c r="G95">
        <v>345</v>
      </c>
      <c r="H95">
        <v>13478</v>
      </c>
      <c r="I95">
        <v>16448</v>
      </c>
      <c r="J95">
        <v>0</v>
      </c>
      <c r="K95">
        <v>6299</v>
      </c>
    </row>
    <row r="96" spans="2:11" x14ac:dyDescent="0.25">
      <c r="B96">
        <v>-4988</v>
      </c>
      <c r="C96">
        <v>-8844</v>
      </c>
      <c r="D96">
        <v>-584</v>
      </c>
      <c r="E96">
        <v>16707</v>
      </c>
      <c r="F96">
        <v>-10317</v>
      </c>
      <c r="G96">
        <v>5730</v>
      </c>
      <c r="H96">
        <v>-9267</v>
      </c>
      <c r="I96">
        <v>26740</v>
      </c>
      <c r="J96">
        <v>-14860</v>
      </c>
      <c r="K96">
        <v>3814</v>
      </c>
    </row>
    <row r="97" spans="2:11" x14ac:dyDescent="0.25">
      <c r="B97">
        <v>-2577</v>
      </c>
      <c r="C97">
        <v>49833</v>
      </c>
      <c r="D97">
        <v>-2629</v>
      </c>
      <c r="E97">
        <v>5992</v>
      </c>
      <c r="F97">
        <v>2193</v>
      </c>
      <c r="G97">
        <v>-1038</v>
      </c>
      <c r="H97">
        <v>730</v>
      </c>
      <c r="I97">
        <v>3939</v>
      </c>
      <c r="J97">
        <v>-45446</v>
      </c>
      <c r="K97">
        <v>2851</v>
      </c>
    </row>
    <row r="98" spans="2:11" x14ac:dyDescent="0.25">
      <c r="B98">
        <v>0</v>
      </c>
      <c r="C98">
        <v>1772</v>
      </c>
      <c r="D98">
        <v>-1556</v>
      </c>
      <c r="E98">
        <v>-5054</v>
      </c>
      <c r="F98">
        <v>-130</v>
      </c>
      <c r="G98">
        <v>2930</v>
      </c>
      <c r="H98">
        <v>-5006</v>
      </c>
      <c r="I98">
        <v>4371</v>
      </c>
      <c r="J98">
        <v>-5356</v>
      </c>
      <c r="K98">
        <v>8112</v>
      </c>
    </row>
    <row r="99" spans="2:11" x14ac:dyDescent="0.25">
      <c r="B99">
        <v>-5454</v>
      </c>
      <c r="C99">
        <v>1271</v>
      </c>
      <c r="D99">
        <v>-3897</v>
      </c>
      <c r="E99">
        <v>4190</v>
      </c>
      <c r="F99">
        <v>-1059</v>
      </c>
      <c r="G99">
        <v>2953</v>
      </c>
      <c r="H99">
        <v>17688</v>
      </c>
      <c r="I99">
        <v>34017</v>
      </c>
      <c r="J99">
        <v>-25342</v>
      </c>
      <c r="K99">
        <v>2216</v>
      </c>
    </row>
    <row r="100" spans="2:11" x14ac:dyDescent="0.25">
      <c r="B100">
        <v>-45</v>
      </c>
      <c r="C100">
        <v>-24783</v>
      </c>
      <c r="D100">
        <v>-5218</v>
      </c>
      <c r="E100">
        <v>0</v>
      </c>
      <c r="F100">
        <v>11275</v>
      </c>
      <c r="G100">
        <v>-10471</v>
      </c>
      <c r="H100">
        <v>-17845</v>
      </c>
      <c r="I100">
        <v>-1209</v>
      </c>
      <c r="J100">
        <v>-5095</v>
      </c>
      <c r="K100">
        <v>-22770</v>
      </c>
    </row>
    <row r="101" spans="2:11" x14ac:dyDescent="0.25">
      <c r="B101">
        <v>10637</v>
      </c>
      <c r="C101">
        <v>-18755</v>
      </c>
      <c r="D101">
        <v>12491</v>
      </c>
      <c r="E101">
        <v>-29437</v>
      </c>
      <c r="F101">
        <v>5717</v>
      </c>
      <c r="G101">
        <v>-20244</v>
      </c>
      <c r="H101">
        <v>20112</v>
      </c>
      <c r="I101">
        <v>-7232</v>
      </c>
      <c r="J101">
        <v>11534</v>
      </c>
      <c r="K101">
        <v>6931</v>
      </c>
    </row>
    <row r="102" spans="2:11" x14ac:dyDescent="0.25">
      <c r="B102">
        <v>1814</v>
      </c>
      <c r="C102">
        <v>34239</v>
      </c>
      <c r="D102">
        <v>-9495</v>
      </c>
      <c r="E102">
        <v>2781</v>
      </c>
      <c r="F102">
        <v>404</v>
      </c>
      <c r="G102">
        <v>-11136</v>
      </c>
      <c r="H102">
        <v>-3868</v>
      </c>
      <c r="I102">
        <v>0</v>
      </c>
      <c r="J102">
        <v>11763</v>
      </c>
      <c r="K102">
        <v>-10601</v>
      </c>
    </row>
    <row r="103" spans="2:11" x14ac:dyDescent="0.25">
      <c r="B103">
        <v>-18525</v>
      </c>
      <c r="C103">
        <v>-782</v>
      </c>
      <c r="D103">
        <v>-3865</v>
      </c>
      <c r="E103">
        <v>-23052</v>
      </c>
      <c r="F103">
        <v>8734</v>
      </c>
      <c r="G103">
        <v>-19833</v>
      </c>
      <c r="H103">
        <v>14445</v>
      </c>
      <c r="I103">
        <v>-33641</v>
      </c>
      <c r="J103">
        <v>3585</v>
      </c>
      <c r="K103">
        <v>-20061</v>
      </c>
    </row>
    <row r="104" spans="2:11" x14ac:dyDescent="0.25">
      <c r="B104">
        <v>20598</v>
      </c>
      <c r="C104">
        <v>-5586</v>
      </c>
      <c r="D104">
        <v>15084</v>
      </c>
      <c r="E104">
        <v>9529</v>
      </c>
      <c r="F104">
        <v>-1745</v>
      </c>
      <c r="G104">
        <v>-35128</v>
      </c>
      <c r="H104">
        <v>-40445</v>
      </c>
      <c r="I104">
        <v>14083</v>
      </c>
      <c r="J104">
        <v>-2962</v>
      </c>
      <c r="K104">
        <v>-345</v>
      </c>
    </row>
    <row r="105" spans="2:11" x14ac:dyDescent="0.25">
      <c r="B105">
        <v>13295</v>
      </c>
      <c r="C105">
        <v>7532</v>
      </c>
      <c r="D105">
        <v>0</v>
      </c>
      <c r="E105">
        <v>-8775</v>
      </c>
      <c r="F105">
        <v>15880</v>
      </c>
      <c r="G105">
        <v>19608</v>
      </c>
      <c r="H105">
        <v>1539</v>
      </c>
      <c r="I105">
        <v>7269</v>
      </c>
      <c r="J105">
        <v>22055</v>
      </c>
      <c r="K105">
        <v>-7749</v>
      </c>
    </row>
    <row r="106" spans="2:11" x14ac:dyDescent="0.25">
      <c r="B106">
        <v>20317</v>
      </c>
      <c r="C106">
        <v>-11414</v>
      </c>
      <c r="D106">
        <v>37891</v>
      </c>
      <c r="E106">
        <v>-9422</v>
      </c>
      <c r="F106">
        <v>22999</v>
      </c>
      <c r="G106">
        <v>-21334</v>
      </c>
      <c r="H106">
        <v>5683</v>
      </c>
      <c r="I106">
        <v>-11511</v>
      </c>
      <c r="J106">
        <v>-5289</v>
      </c>
      <c r="K106">
        <v>-23244</v>
      </c>
    </row>
    <row r="107" spans="2:11" x14ac:dyDescent="0.25">
      <c r="B107">
        <v>-23013</v>
      </c>
      <c r="C107">
        <v>16302</v>
      </c>
      <c r="D107">
        <v>14201</v>
      </c>
      <c r="E107">
        <v>-3255</v>
      </c>
      <c r="F107">
        <v>1121</v>
      </c>
      <c r="G107">
        <v>576</v>
      </c>
      <c r="H107">
        <v>-4034</v>
      </c>
      <c r="I107">
        <v>-7344</v>
      </c>
      <c r="J107">
        <v>0</v>
      </c>
      <c r="K107">
        <v>4146</v>
      </c>
    </row>
    <row r="108" spans="2:11" x14ac:dyDescent="0.25">
      <c r="B108">
        <v>-2011</v>
      </c>
      <c r="C108">
        <v>-7920</v>
      </c>
      <c r="D108">
        <v>-932</v>
      </c>
      <c r="E108">
        <v>-7281</v>
      </c>
      <c r="F108">
        <v>-11140</v>
      </c>
      <c r="G108">
        <v>1893</v>
      </c>
      <c r="H108">
        <v>-8069</v>
      </c>
      <c r="I108">
        <v>-2252</v>
      </c>
      <c r="J108">
        <v>-13145</v>
      </c>
      <c r="K108">
        <v>1693</v>
      </c>
    </row>
    <row r="109" spans="2:11" x14ac:dyDescent="0.25">
      <c r="B109">
        <v>-8651</v>
      </c>
      <c r="C109">
        <v>6528</v>
      </c>
      <c r="D109">
        <v>-1391</v>
      </c>
      <c r="E109">
        <v>2784</v>
      </c>
      <c r="F109">
        <v>4124</v>
      </c>
      <c r="G109">
        <v>9884</v>
      </c>
      <c r="H109">
        <v>8412</v>
      </c>
      <c r="I109">
        <v>-16186</v>
      </c>
      <c r="J109">
        <v>37719</v>
      </c>
      <c r="K109">
        <v>54827</v>
      </c>
    </row>
    <row r="110" spans="2:11" x14ac:dyDescent="0.25">
      <c r="B110">
        <v>-16445</v>
      </c>
      <c r="C110">
        <v>3861</v>
      </c>
      <c r="D110">
        <v>172</v>
      </c>
      <c r="E110">
        <v>-16937</v>
      </c>
      <c r="F110">
        <v>-16022</v>
      </c>
      <c r="G110">
        <v>0</v>
      </c>
      <c r="H110">
        <v>13535</v>
      </c>
      <c r="I110">
        <v>-12247</v>
      </c>
      <c r="J110">
        <v>-26683</v>
      </c>
      <c r="K110">
        <v>-768</v>
      </c>
    </row>
    <row r="111" spans="2:11" x14ac:dyDescent="0.25">
      <c r="B111">
        <v>-15638</v>
      </c>
      <c r="C111">
        <v>-27123</v>
      </c>
      <c r="D111">
        <v>16456</v>
      </c>
      <c r="E111">
        <v>-28071</v>
      </c>
      <c r="F111">
        <v>14797</v>
      </c>
      <c r="G111">
        <v>-47371</v>
      </c>
      <c r="H111">
        <v>9662</v>
      </c>
      <c r="I111">
        <v>-30566</v>
      </c>
      <c r="J111">
        <v>28956</v>
      </c>
      <c r="K111">
        <v>-9582</v>
      </c>
    </row>
    <row r="112" spans="2:11" x14ac:dyDescent="0.25">
      <c r="B112">
        <v>17310</v>
      </c>
      <c r="C112">
        <v>9928</v>
      </c>
      <c r="D112">
        <v>34016</v>
      </c>
      <c r="E112">
        <v>37572</v>
      </c>
      <c r="F112">
        <v>-2603</v>
      </c>
      <c r="G112">
        <v>8849</v>
      </c>
      <c r="H112">
        <v>23527</v>
      </c>
      <c r="I112">
        <v>26288</v>
      </c>
      <c r="J112">
        <v>-7701</v>
      </c>
      <c r="K112">
        <v>1957</v>
      </c>
    </row>
    <row r="113" spans="2:11" x14ac:dyDescent="0.25">
      <c r="B113">
        <v>683</v>
      </c>
      <c r="C113">
        <v>-8281</v>
      </c>
      <c r="D113">
        <v>-14684</v>
      </c>
      <c r="E113">
        <v>0</v>
      </c>
      <c r="F113">
        <v>11076</v>
      </c>
      <c r="G113">
        <v>-6627</v>
      </c>
      <c r="H113">
        <v>-19901</v>
      </c>
      <c r="I113">
        <v>-2539</v>
      </c>
      <c r="J113">
        <v>-14740</v>
      </c>
      <c r="K113">
        <v>-16210</v>
      </c>
    </row>
    <row r="114" spans="2:11" x14ac:dyDescent="0.25">
      <c r="B114">
        <v>6165</v>
      </c>
      <c r="C114">
        <v>-20630</v>
      </c>
      <c r="D114">
        <v>3862</v>
      </c>
      <c r="E114">
        <v>-23550</v>
      </c>
      <c r="F114">
        <v>5336</v>
      </c>
      <c r="G114">
        <v>-15412</v>
      </c>
      <c r="H114">
        <v>12946</v>
      </c>
      <c r="I114">
        <v>-3681</v>
      </c>
      <c r="J114">
        <v>6573</v>
      </c>
      <c r="K114">
        <v>5745</v>
      </c>
    </row>
    <row r="115" spans="2:11" x14ac:dyDescent="0.25">
      <c r="B115">
        <v>17130</v>
      </c>
      <c r="C115">
        <v>16501</v>
      </c>
      <c r="D115">
        <v>-20976</v>
      </c>
      <c r="E115">
        <v>62229</v>
      </c>
      <c r="F115">
        <v>17921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11524</v>
      </c>
      <c r="H118">
        <v>18403</v>
      </c>
      <c r="I118">
        <v>13501</v>
      </c>
      <c r="J118">
        <v>1953</v>
      </c>
      <c r="K118">
        <v>853</v>
      </c>
    </row>
    <row r="119" spans="2:11" x14ac:dyDescent="0.25">
      <c r="B119">
        <v>10626</v>
      </c>
      <c r="C119">
        <v>14483</v>
      </c>
      <c r="D119">
        <v>0</v>
      </c>
      <c r="E119">
        <v>5501</v>
      </c>
      <c r="F119">
        <v>-5513</v>
      </c>
      <c r="G119">
        <v>-9857</v>
      </c>
      <c r="H119">
        <v>-361</v>
      </c>
      <c r="I119">
        <v>14750</v>
      </c>
      <c r="J119">
        <v>-9473</v>
      </c>
      <c r="K119">
        <v>7884</v>
      </c>
    </row>
    <row r="120" spans="2:11" x14ac:dyDescent="0.25">
      <c r="B120">
        <v>-10397</v>
      </c>
      <c r="C120">
        <v>26487</v>
      </c>
      <c r="D120">
        <v>-15970</v>
      </c>
      <c r="E120">
        <v>3686</v>
      </c>
      <c r="F120">
        <v>-43442</v>
      </c>
      <c r="G120">
        <v>16151</v>
      </c>
      <c r="H120">
        <v>794</v>
      </c>
      <c r="I120">
        <v>10730</v>
      </c>
      <c r="J120">
        <v>6615</v>
      </c>
      <c r="K120">
        <v>14583</v>
      </c>
    </row>
    <row r="121" spans="2:11" x14ac:dyDescent="0.25">
      <c r="B121">
        <v>15697</v>
      </c>
      <c r="C121">
        <v>-13847</v>
      </c>
      <c r="D121">
        <v>6653</v>
      </c>
      <c r="E121">
        <v>20697</v>
      </c>
      <c r="F121">
        <v>10754</v>
      </c>
      <c r="G121">
        <v>0</v>
      </c>
      <c r="H121">
        <v>-15193</v>
      </c>
      <c r="I121">
        <v>-1466</v>
      </c>
      <c r="J121">
        <v>767</v>
      </c>
      <c r="K121">
        <v>-78</v>
      </c>
    </row>
    <row r="122" spans="2:11" x14ac:dyDescent="0.25">
      <c r="B122">
        <v>44</v>
      </c>
      <c r="C122">
        <v>-177</v>
      </c>
      <c r="D122">
        <v>2377</v>
      </c>
      <c r="E122">
        <v>0</v>
      </c>
      <c r="F122">
        <v>-380</v>
      </c>
      <c r="G122">
        <v>-433</v>
      </c>
      <c r="H122">
        <v>144</v>
      </c>
      <c r="I122">
        <v>512</v>
      </c>
      <c r="J122">
        <v>2280</v>
      </c>
      <c r="K122">
        <v>-1556</v>
      </c>
    </row>
    <row r="123" spans="2:11" x14ac:dyDescent="0.25">
      <c r="B123">
        <v>83</v>
      </c>
      <c r="C123">
        <v>-228</v>
      </c>
      <c r="D123">
        <v>1898</v>
      </c>
      <c r="E123">
        <v>-131</v>
      </c>
      <c r="F123">
        <v>-2093</v>
      </c>
      <c r="G123">
        <v>2724</v>
      </c>
      <c r="H123">
        <v>-5943</v>
      </c>
      <c r="I123">
        <v>4376</v>
      </c>
      <c r="J123">
        <v>4259</v>
      </c>
      <c r="K123">
        <v>2088</v>
      </c>
    </row>
    <row r="124" spans="2:11" x14ac:dyDescent="0.25">
      <c r="B124">
        <v>1342</v>
      </c>
      <c r="C124">
        <v>20337</v>
      </c>
      <c r="D124">
        <v>1435</v>
      </c>
      <c r="E124">
        <v>-638</v>
      </c>
      <c r="F124">
        <v>1665</v>
      </c>
      <c r="G124">
        <v>-334</v>
      </c>
      <c r="H124">
        <v>0</v>
      </c>
      <c r="I124">
        <v>-12490</v>
      </c>
      <c r="J124">
        <v>9639</v>
      </c>
      <c r="K124">
        <v>19669</v>
      </c>
    </row>
    <row r="125" spans="2:11" x14ac:dyDescent="0.25">
      <c r="B125">
        <v>15186</v>
      </c>
      <c r="C125">
        <v>1596</v>
      </c>
      <c r="D125">
        <v>530</v>
      </c>
      <c r="E125">
        <v>12645</v>
      </c>
      <c r="F125">
        <v>16939</v>
      </c>
      <c r="G125">
        <v>0</v>
      </c>
      <c r="H125">
        <v>5852</v>
      </c>
      <c r="I125">
        <v>-5548</v>
      </c>
      <c r="J125">
        <v>-10264</v>
      </c>
      <c r="K125">
        <v>-514</v>
      </c>
    </row>
    <row r="126" spans="2:11" x14ac:dyDescent="0.25">
      <c r="B126">
        <v>17193</v>
      </c>
      <c r="C126">
        <v>-10983</v>
      </c>
      <c r="D126">
        <v>7110</v>
      </c>
      <c r="E126">
        <v>-10840</v>
      </c>
      <c r="F126">
        <v>28629</v>
      </c>
      <c r="G126">
        <v>-16338</v>
      </c>
      <c r="H126">
        <v>3079</v>
      </c>
      <c r="I126">
        <v>-37424</v>
      </c>
      <c r="J126">
        <v>18527</v>
      </c>
      <c r="K126">
        <v>-2903</v>
      </c>
    </row>
    <row r="127" spans="2:11" x14ac:dyDescent="0.25">
      <c r="B127">
        <v>8299</v>
      </c>
      <c r="C127">
        <v>5079</v>
      </c>
      <c r="D127">
        <v>17585</v>
      </c>
      <c r="E127">
        <v>15608</v>
      </c>
      <c r="F127">
        <v>-13627</v>
      </c>
      <c r="G127">
        <v>7598</v>
      </c>
      <c r="H127">
        <v>19933</v>
      </c>
      <c r="I127">
        <v>11291</v>
      </c>
      <c r="J127">
        <v>0</v>
      </c>
      <c r="K127">
        <v>3093</v>
      </c>
    </row>
    <row r="128" spans="2:11" x14ac:dyDescent="0.25">
      <c r="B128">
        <v>-6325</v>
      </c>
      <c r="C128">
        <v>4073</v>
      </c>
      <c r="D128">
        <v>18037</v>
      </c>
      <c r="E128">
        <v>77107</v>
      </c>
      <c r="F128">
        <v>1766</v>
      </c>
      <c r="G128">
        <v>810</v>
      </c>
      <c r="H128">
        <v>68689</v>
      </c>
      <c r="I128">
        <v>76594</v>
      </c>
      <c r="J128">
        <v>0</v>
      </c>
      <c r="K128">
        <v>4104</v>
      </c>
    </row>
    <row r="129" spans="2:11" x14ac:dyDescent="0.25">
      <c r="B129">
        <v>-4137</v>
      </c>
      <c r="C129">
        <v>-9279</v>
      </c>
      <c r="D129">
        <v>-136</v>
      </c>
      <c r="E129">
        <v>77325</v>
      </c>
      <c r="F129">
        <v>-9318</v>
      </c>
      <c r="G129">
        <v>8121</v>
      </c>
      <c r="H129">
        <v>-9953</v>
      </c>
      <c r="I129">
        <v>91381</v>
      </c>
      <c r="J129">
        <v>-14049</v>
      </c>
      <c r="K129">
        <v>1644</v>
      </c>
    </row>
    <row r="130" spans="2:11" x14ac:dyDescent="0.25">
      <c r="B130">
        <v>37020</v>
      </c>
      <c r="C130">
        <v>12388</v>
      </c>
      <c r="D130">
        <v>-3066</v>
      </c>
      <c r="E130">
        <v>11060</v>
      </c>
      <c r="F130">
        <v>6085</v>
      </c>
      <c r="G130">
        <v>16587</v>
      </c>
      <c r="H130">
        <v>19703</v>
      </c>
      <c r="I130">
        <v>-12081</v>
      </c>
      <c r="J130">
        <v>6840</v>
      </c>
      <c r="K130">
        <v>19883</v>
      </c>
    </row>
    <row r="131" spans="2:11" x14ac:dyDescent="0.25">
      <c r="B131">
        <v>10342</v>
      </c>
      <c r="C131">
        <v>0</v>
      </c>
      <c r="D131">
        <v>30389</v>
      </c>
      <c r="E131">
        <v>4468</v>
      </c>
      <c r="F131">
        <v>32919</v>
      </c>
      <c r="G131">
        <v>-58701</v>
      </c>
      <c r="H131">
        <v>-77567</v>
      </c>
      <c r="I131">
        <v>24941</v>
      </c>
      <c r="J131">
        <v>-5599</v>
      </c>
      <c r="K131">
        <v>-713</v>
      </c>
    </row>
    <row r="132" spans="2:11" x14ac:dyDescent="0.25">
      <c r="B132">
        <v>24748</v>
      </c>
      <c r="C132">
        <v>18110</v>
      </c>
      <c r="D132">
        <v>0</v>
      </c>
      <c r="E132">
        <v>-25222</v>
      </c>
      <c r="F132">
        <v>20479</v>
      </c>
      <c r="G132">
        <v>37484</v>
      </c>
      <c r="H132">
        <v>3136</v>
      </c>
      <c r="I132">
        <v>17724</v>
      </c>
      <c r="J132">
        <v>42166</v>
      </c>
      <c r="K132">
        <v>-18621</v>
      </c>
    </row>
    <row r="133" spans="2:11" x14ac:dyDescent="0.25">
      <c r="B133">
        <v>38872</v>
      </c>
      <c r="C133">
        <v>-20831</v>
      </c>
      <c r="D133">
        <v>67166</v>
      </c>
      <c r="E133">
        <v>-14050</v>
      </c>
      <c r="F133">
        <v>43735</v>
      </c>
      <c r="G133">
        <v>-41111</v>
      </c>
      <c r="H133">
        <v>12545</v>
      </c>
      <c r="I133">
        <v>-23628</v>
      </c>
      <c r="J133">
        <v>-12609</v>
      </c>
      <c r="K133">
        <v>-46837</v>
      </c>
    </row>
    <row r="134" spans="2:11" x14ac:dyDescent="0.25">
      <c r="B134">
        <v>-49497</v>
      </c>
      <c r="C134">
        <v>50734</v>
      </c>
      <c r="D134">
        <v>-19668</v>
      </c>
      <c r="E134">
        <v>-71781</v>
      </c>
      <c r="F134">
        <v>-34765</v>
      </c>
      <c r="G134">
        <v>0</v>
      </c>
      <c r="H134">
        <v>-28190</v>
      </c>
      <c r="I134">
        <v>-288</v>
      </c>
      <c r="J134">
        <v>-27425</v>
      </c>
      <c r="K134">
        <v>-26001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64"/>
  <sheetViews>
    <sheetView workbookViewId="0">
      <selection activeCell="A8" sqref="A8:K16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1.6366214969999999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0.91289459500000003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-0.27978488299999998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-5.2693623949999999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-4.4278629379999996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-5.0045351000000002E-2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-5.0746489999999998E-2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5.2955199730000002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3.2469681079999999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-0.45676292000000002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-2.1066630989999999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-1.003425644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-1.3307406129999999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0.22708982699999999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-0.52505228900000001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2.3671031779999998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-2.1575125929999999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0.30919284200000002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-3.2597140630000001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-3.8530967860000001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1.044595197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3.1769310329999998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-0.24379659300000001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0.77462376499999996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6" x14ac:dyDescent="0.25">
      <c r="B49">
        <v>168</v>
      </c>
      <c r="C49" t="s">
        <v>103</v>
      </c>
      <c r="D49" t="s">
        <v>64</v>
      </c>
      <c r="E49" s="35">
        <v>1.1363600000000001E-5</v>
      </c>
      <c r="F49" s="35">
        <v>1.31537878938E-5</v>
      </c>
    </row>
    <row r="50" spans="2:6" x14ac:dyDescent="0.25">
      <c r="B50">
        <v>169</v>
      </c>
      <c r="C50" t="s">
        <v>104</v>
      </c>
      <c r="D50" t="s">
        <v>64</v>
      </c>
      <c r="E50">
        <v>-0.36651267700000001</v>
      </c>
      <c r="F50">
        <v>0.81267331412900001</v>
      </c>
    </row>
    <row r="51" spans="2:6" x14ac:dyDescent="0.25">
      <c r="B51">
        <v>179</v>
      </c>
      <c r="C51" t="s">
        <v>105</v>
      </c>
      <c r="D51" t="s">
        <v>64</v>
      </c>
      <c r="E51">
        <v>0.502373344</v>
      </c>
      <c r="F51">
        <v>0.27871621834499999</v>
      </c>
    </row>
    <row r="52" spans="2:6" x14ac:dyDescent="0.25">
      <c r="B52">
        <v>201</v>
      </c>
      <c r="C52" t="s">
        <v>298</v>
      </c>
      <c r="D52" t="s">
        <v>73</v>
      </c>
      <c r="E52">
        <v>0</v>
      </c>
      <c r="F52" s="35">
        <v>0</v>
      </c>
    </row>
    <row r="53" spans="2:6" x14ac:dyDescent="0.25">
      <c r="B53">
        <v>202</v>
      </c>
      <c r="C53" t="s">
        <v>299</v>
      </c>
      <c r="D53" t="s">
        <v>73</v>
      </c>
      <c r="E53">
        <v>0</v>
      </c>
      <c r="F53">
        <v>0</v>
      </c>
    </row>
    <row r="54" spans="2:6" x14ac:dyDescent="0.25">
      <c r="B54">
        <v>203</v>
      </c>
      <c r="C54" s="35" t="s">
        <v>300</v>
      </c>
      <c r="D54" s="35" t="s">
        <v>73</v>
      </c>
      <c r="E54" s="35">
        <v>0</v>
      </c>
      <c r="F54">
        <v>0</v>
      </c>
    </row>
    <row r="55" spans="2:6" x14ac:dyDescent="0.25">
      <c r="B55">
        <v>204</v>
      </c>
      <c r="C55" t="s">
        <v>301</v>
      </c>
      <c r="D55" t="s">
        <v>73</v>
      </c>
      <c r="E55">
        <v>0</v>
      </c>
      <c r="F55">
        <v>0</v>
      </c>
    </row>
    <row r="56" spans="2:6" x14ac:dyDescent="0.25">
      <c r="B56">
        <v>205</v>
      </c>
      <c r="C56" t="s">
        <v>302</v>
      </c>
      <c r="D56" t="s">
        <v>73</v>
      </c>
      <c r="E56">
        <v>0</v>
      </c>
      <c r="F56">
        <v>0</v>
      </c>
    </row>
    <row r="57" spans="2:6" x14ac:dyDescent="0.25">
      <c r="B57">
        <v>206</v>
      </c>
      <c r="C57" t="s">
        <v>303</v>
      </c>
      <c r="D57" t="s">
        <v>73</v>
      </c>
      <c r="E57">
        <v>0</v>
      </c>
      <c r="F57">
        <v>0</v>
      </c>
    </row>
    <row r="58" spans="2:6" x14ac:dyDescent="0.25">
      <c r="B58">
        <v>207</v>
      </c>
      <c r="C58" t="s">
        <v>304</v>
      </c>
      <c r="D58" t="s">
        <v>73</v>
      </c>
      <c r="E58">
        <v>0</v>
      </c>
      <c r="F58">
        <v>0</v>
      </c>
    </row>
    <row r="59" spans="2:6" x14ac:dyDescent="0.25">
      <c r="B59">
        <v>208</v>
      </c>
      <c r="C59" t="s">
        <v>305</v>
      </c>
      <c r="D59" t="s">
        <v>73</v>
      </c>
      <c r="E59">
        <v>0</v>
      </c>
      <c r="F59">
        <v>0</v>
      </c>
    </row>
    <row r="60" spans="2:6" x14ac:dyDescent="0.25">
      <c r="B60">
        <v>209</v>
      </c>
      <c r="C60" t="s">
        <v>306</v>
      </c>
      <c r="D60" t="s">
        <v>73</v>
      </c>
      <c r="E60">
        <v>0</v>
      </c>
      <c r="F60">
        <v>0</v>
      </c>
    </row>
    <row r="61" spans="2:6" x14ac:dyDescent="0.25">
      <c r="B61">
        <v>210</v>
      </c>
      <c r="C61" t="s">
        <v>307</v>
      </c>
      <c r="D61" t="s">
        <v>73</v>
      </c>
      <c r="E61">
        <v>0</v>
      </c>
      <c r="F61">
        <v>0</v>
      </c>
    </row>
    <row r="62" spans="2:6" x14ac:dyDescent="0.25">
      <c r="B62">
        <v>211</v>
      </c>
      <c r="C62" t="s">
        <v>308</v>
      </c>
      <c r="D62" t="s">
        <v>73</v>
      </c>
      <c r="E62">
        <v>0</v>
      </c>
      <c r="F62">
        <v>0</v>
      </c>
    </row>
    <row r="63" spans="2:6" x14ac:dyDescent="0.25">
      <c r="B63">
        <v>301</v>
      </c>
      <c r="C63" t="s">
        <v>309</v>
      </c>
      <c r="D63" t="s">
        <v>73</v>
      </c>
      <c r="E63">
        <v>0</v>
      </c>
      <c r="F63">
        <v>0</v>
      </c>
    </row>
    <row r="64" spans="2:6" x14ac:dyDescent="0.25">
      <c r="B64">
        <v>302</v>
      </c>
      <c r="C64" t="s">
        <v>310</v>
      </c>
      <c r="D64" t="s">
        <v>73</v>
      </c>
      <c r="E64">
        <v>0</v>
      </c>
      <c r="F64">
        <v>0</v>
      </c>
    </row>
    <row r="65" spans="2:11" x14ac:dyDescent="0.25">
      <c r="B65">
        <v>303</v>
      </c>
      <c r="C65" t="s">
        <v>311</v>
      </c>
      <c r="D65" t="s">
        <v>73</v>
      </c>
      <c r="E65">
        <v>0</v>
      </c>
      <c r="F65">
        <v>0</v>
      </c>
    </row>
    <row r="66" spans="2:11" x14ac:dyDescent="0.25">
      <c r="B66">
        <v>304</v>
      </c>
      <c r="C66" t="s">
        <v>312</v>
      </c>
      <c r="D66" t="s">
        <v>73</v>
      </c>
      <c r="E66">
        <v>0</v>
      </c>
      <c r="F66">
        <v>0</v>
      </c>
    </row>
    <row r="67" spans="2:11" x14ac:dyDescent="0.25">
      <c r="B67">
        <v>305</v>
      </c>
      <c r="C67" t="s">
        <v>313</v>
      </c>
      <c r="D67" t="s">
        <v>73</v>
      </c>
      <c r="E67">
        <v>0</v>
      </c>
      <c r="F67">
        <v>0</v>
      </c>
    </row>
    <row r="68" spans="2:11" x14ac:dyDescent="0.25">
      <c r="B68">
        <v>306</v>
      </c>
      <c r="C68" t="s">
        <v>314</v>
      </c>
      <c r="D68" t="s">
        <v>73</v>
      </c>
      <c r="E68">
        <v>-1.063796</v>
      </c>
      <c r="F68">
        <v>0</v>
      </c>
    </row>
    <row r="69" spans="2:11" x14ac:dyDescent="0.25">
      <c r="B69">
        <v>307</v>
      </c>
      <c r="C69" t="s">
        <v>315</v>
      </c>
      <c r="D69" t="s">
        <v>73</v>
      </c>
      <c r="E69">
        <v>0</v>
      </c>
      <c r="F69">
        <v>0</v>
      </c>
    </row>
    <row r="70" spans="2:11" x14ac:dyDescent="0.25">
      <c r="B70">
        <v>308</v>
      </c>
      <c r="C70" t="s">
        <v>316</v>
      </c>
      <c r="D70" t="s">
        <v>73</v>
      </c>
      <c r="E70">
        <v>0</v>
      </c>
      <c r="F70">
        <v>0</v>
      </c>
    </row>
    <row r="71" spans="2:11" x14ac:dyDescent="0.25">
      <c r="B71">
        <v>309</v>
      </c>
      <c r="C71" t="s">
        <v>317</v>
      </c>
      <c r="D71" t="s">
        <v>73</v>
      </c>
      <c r="E71">
        <v>0</v>
      </c>
      <c r="F71">
        <v>0</v>
      </c>
    </row>
    <row r="72" spans="2:11" x14ac:dyDescent="0.25">
      <c r="B72">
        <v>310</v>
      </c>
      <c r="C72" t="s">
        <v>318</v>
      </c>
      <c r="D72" t="s">
        <v>73</v>
      </c>
      <c r="E72">
        <v>0</v>
      </c>
      <c r="F72">
        <v>0</v>
      </c>
    </row>
    <row r="73" spans="2:11" x14ac:dyDescent="0.25">
      <c r="B73">
        <v>311</v>
      </c>
      <c r="C73" t="s">
        <v>319</v>
      </c>
      <c r="D73" t="s">
        <v>73</v>
      </c>
      <c r="E73">
        <v>0</v>
      </c>
      <c r="F73">
        <v>0</v>
      </c>
    </row>
    <row r="74" spans="2:11" x14ac:dyDescent="0.25">
      <c r="B74">
        <v>99</v>
      </c>
      <c r="C74" t="s">
        <v>106</v>
      </c>
      <c r="D74" t="s">
        <v>64</v>
      </c>
      <c r="E74">
        <v>0.78311080353600004</v>
      </c>
      <c r="F74" s="35">
        <v>6.7494321499999996E-2</v>
      </c>
    </row>
    <row r="75" spans="2:11" x14ac:dyDescent="0.25">
      <c r="B75">
        <v>-1</v>
      </c>
    </row>
    <row r="76" spans="2:11" x14ac:dyDescent="0.25">
      <c r="B76">
        <v>2988</v>
      </c>
      <c r="C76" s="35">
        <v>-4862.5542158400003</v>
      </c>
      <c r="D76" s="35">
        <v>-5385.7599593000004</v>
      </c>
      <c r="E76" s="35">
        <v>-3079.5241074099999</v>
      </c>
    </row>
    <row r="77" spans="2:11" x14ac:dyDescent="0.25">
      <c r="B77">
        <v>11</v>
      </c>
      <c r="C77" t="s">
        <v>247</v>
      </c>
      <c r="D77" t="s">
        <v>235</v>
      </c>
      <c r="E77">
        <v>6</v>
      </c>
      <c r="F77" t="s">
        <v>236</v>
      </c>
      <c r="G77">
        <v>17</v>
      </c>
    </row>
    <row r="78" spans="2:11" x14ac:dyDescent="0.25">
      <c r="B78">
        <v>57952</v>
      </c>
      <c r="C78">
        <v>-7620</v>
      </c>
      <c r="D78">
        <v>-21641</v>
      </c>
      <c r="E78">
        <v>0</v>
      </c>
      <c r="F78">
        <v>0</v>
      </c>
      <c r="G78">
        <v>0</v>
      </c>
      <c r="H78">
        <v>-54301</v>
      </c>
      <c r="I78">
        <v>-51114</v>
      </c>
      <c r="J78">
        <v>4975</v>
      </c>
      <c r="K78">
        <v>0</v>
      </c>
    </row>
    <row r="79" spans="2:11" x14ac:dyDescent="0.25">
      <c r="B79">
        <v>-33925</v>
      </c>
      <c r="C79">
        <v>-34266</v>
      </c>
      <c r="D79">
        <v>33256</v>
      </c>
      <c r="E79">
        <v>0</v>
      </c>
      <c r="F79">
        <v>28331</v>
      </c>
      <c r="G79">
        <v>-3871</v>
      </c>
      <c r="H79">
        <v>-2854</v>
      </c>
      <c r="I79">
        <v>-1743</v>
      </c>
      <c r="J79">
        <v>0</v>
      </c>
      <c r="K79">
        <v>9710</v>
      </c>
    </row>
    <row r="80" spans="2:11" x14ac:dyDescent="0.25">
      <c r="B80">
        <v>837</v>
      </c>
      <c r="C80">
        <v>756</v>
      </c>
      <c r="D80">
        <v>-4274</v>
      </c>
      <c r="E80">
        <v>-1715</v>
      </c>
      <c r="F80">
        <v>0</v>
      </c>
      <c r="G80">
        <v>-8710</v>
      </c>
      <c r="H80">
        <v>-6587</v>
      </c>
      <c r="I80">
        <v>22274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35111</v>
      </c>
      <c r="I81">
        <v>43921</v>
      </c>
      <c r="J81">
        <v>-3961</v>
      </c>
      <c r="K81">
        <v>0</v>
      </c>
    </row>
    <row r="82" spans="2:11" x14ac:dyDescent="0.25">
      <c r="B82">
        <v>-24832</v>
      </c>
      <c r="C82">
        <v>-86641</v>
      </c>
      <c r="D82">
        <v>-6973</v>
      </c>
      <c r="E82">
        <v>-7225</v>
      </c>
      <c r="F82">
        <v>0</v>
      </c>
      <c r="G82">
        <v>23723</v>
      </c>
      <c r="H82">
        <v>27648</v>
      </c>
      <c r="I82">
        <v>-2208</v>
      </c>
      <c r="J82">
        <v>0</v>
      </c>
      <c r="K82">
        <v>-19656</v>
      </c>
    </row>
    <row r="83" spans="2:11" x14ac:dyDescent="0.25">
      <c r="B83">
        <v>-82417</v>
      </c>
      <c r="C83">
        <v>-6944</v>
      </c>
      <c r="D83">
        <v>-18288</v>
      </c>
      <c r="E83">
        <v>0</v>
      </c>
      <c r="F83">
        <v>88465</v>
      </c>
      <c r="G83">
        <v>-693</v>
      </c>
      <c r="H83">
        <v>-13462</v>
      </c>
      <c r="I83">
        <v>94663</v>
      </c>
      <c r="J83">
        <v>0</v>
      </c>
      <c r="K83">
        <v>1404</v>
      </c>
    </row>
    <row r="84" spans="2:11" x14ac:dyDescent="0.25">
      <c r="B84">
        <v>29091</v>
      </c>
      <c r="C84">
        <v>-2714</v>
      </c>
      <c r="D84">
        <v>-2182</v>
      </c>
      <c r="E84">
        <v>0</v>
      </c>
      <c r="F84">
        <v>1817</v>
      </c>
      <c r="G84">
        <v>1155</v>
      </c>
      <c r="H84">
        <v>-26941</v>
      </c>
      <c r="I84">
        <v>-28984</v>
      </c>
      <c r="J84">
        <v>5247</v>
      </c>
      <c r="K84">
        <v>0</v>
      </c>
    </row>
    <row r="85" spans="2:11" x14ac:dyDescent="0.25">
      <c r="B85">
        <v>44288</v>
      </c>
      <c r="C85">
        <v>17989</v>
      </c>
      <c r="D85">
        <v>-1517</v>
      </c>
      <c r="E85">
        <v>-20378</v>
      </c>
      <c r="F85">
        <v>0</v>
      </c>
      <c r="G85">
        <v>-5184</v>
      </c>
      <c r="H85">
        <v>-8322</v>
      </c>
      <c r="I85">
        <v>-289</v>
      </c>
      <c r="J85">
        <v>-9371</v>
      </c>
      <c r="K85">
        <v>-18569</v>
      </c>
    </row>
    <row r="86" spans="2:11" x14ac:dyDescent="0.25">
      <c r="B86">
        <v>3861</v>
      </c>
      <c r="C86">
        <v>0</v>
      </c>
      <c r="D86">
        <v>35453</v>
      </c>
      <c r="E86">
        <v>12035</v>
      </c>
      <c r="F86">
        <v>-2305</v>
      </c>
      <c r="G86">
        <v>-21913</v>
      </c>
      <c r="H86">
        <v>0</v>
      </c>
      <c r="I86">
        <v>1629</v>
      </c>
      <c r="J86">
        <v>-3848</v>
      </c>
      <c r="K86">
        <v>1988</v>
      </c>
    </row>
    <row r="87" spans="2:11" x14ac:dyDescent="0.25">
      <c r="B87">
        <v>71658</v>
      </c>
      <c r="C87">
        <v>-803</v>
      </c>
      <c r="D87">
        <v>-13726</v>
      </c>
      <c r="E87">
        <v>94183</v>
      </c>
      <c r="F87">
        <v>0</v>
      </c>
      <c r="G87">
        <v>2240</v>
      </c>
      <c r="H87">
        <v>29193</v>
      </c>
      <c r="I87">
        <v>-2703</v>
      </c>
      <c r="J87">
        <v>-2491</v>
      </c>
      <c r="K87">
        <v>0</v>
      </c>
    </row>
    <row r="88" spans="2:11" x14ac:dyDescent="0.25">
      <c r="B88">
        <v>1823</v>
      </c>
      <c r="C88">
        <v>1016</v>
      </c>
      <c r="D88">
        <v>97226</v>
      </c>
      <c r="E88">
        <v>3889</v>
      </c>
      <c r="F88">
        <v>92</v>
      </c>
      <c r="G88">
        <v>-33193</v>
      </c>
      <c r="H88">
        <v>-30650</v>
      </c>
      <c r="I88">
        <v>3915</v>
      </c>
      <c r="J88">
        <v>0</v>
      </c>
      <c r="K88">
        <v>31111</v>
      </c>
    </row>
    <row r="89" spans="2:11" x14ac:dyDescent="0.25">
      <c r="B89">
        <v>15535</v>
      </c>
      <c r="C89">
        <v>29975</v>
      </c>
      <c r="D89">
        <v>-320</v>
      </c>
      <c r="E89">
        <v>0</v>
      </c>
      <c r="F89">
        <v>-18487</v>
      </c>
      <c r="G89">
        <v>-12772</v>
      </c>
      <c r="H89">
        <v>296</v>
      </c>
      <c r="I89">
        <v>-4227</v>
      </c>
      <c r="J89">
        <v>-12207</v>
      </c>
      <c r="K89">
        <v>288</v>
      </c>
    </row>
    <row r="90" spans="2:11" x14ac:dyDescent="0.25">
      <c r="B90">
        <v>6941</v>
      </c>
      <c r="C90">
        <v>4764</v>
      </c>
      <c r="D90">
        <v>786</v>
      </c>
      <c r="E90">
        <v>0</v>
      </c>
      <c r="F90">
        <v>-2187</v>
      </c>
      <c r="G90">
        <v>-3129</v>
      </c>
      <c r="H90">
        <v>-1756</v>
      </c>
      <c r="I90">
        <v>4931</v>
      </c>
      <c r="J90">
        <v>0</v>
      </c>
      <c r="K90">
        <v>5641</v>
      </c>
    </row>
    <row r="91" spans="2:11" x14ac:dyDescent="0.25">
      <c r="B91">
        <v>1674</v>
      </c>
      <c r="C91">
        <v>-4827</v>
      </c>
      <c r="D91">
        <v>6165</v>
      </c>
      <c r="E91">
        <v>9653</v>
      </c>
      <c r="F91">
        <v>-5274</v>
      </c>
      <c r="G91">
        <v>-9391</v>
      </c>
      <c r="H91">
        <v>-11913</v>
      </c>
      <c r="I91">
        <v>-14163</v>
      </c>
      <c r="J91">
        <v>202</v>
      </c>
      <c r="K91">
        <v>0</v>
      </c>
    </row>
    <row r="92" spans="2:11" x14ac:dyDescent="0.25">
      <c r="B92">
        <v>11851</v>
      </c>
      <c r="C92">
        <v>5937</v>
      </c>
      <c r="D92">
        <v>2266</v>
      </c>
      <c r="E92">
        <v>6656</v>
      </c>
      <c r="F92">
        <v>0</v>
      </c>
      <c r="G92">
        <v>-8013</v>
      </c>
      <c r="H92">
        <v>-6978</v>
      </c>
      <c r="I92">
        <v>-8674</v>
      </c>
      <c r="J92">
        <v>13260</v>
      </c>
      <c r="K92">
        <v>12907</v>
      </c>
    </row>
    <row r="93" spans="2:11" x14ac:dyDescent="0.25">
      <c r="B93">
        <v>-8916</v>
      </c>
      <c r="C93">
        <v>8746</v>
      </c>
      <c r="D93">
        <v>9010</v>
      </c>
      <c r="E93">
        <v>22681</v>
      </c>
      <c r="F93">
        <v>25927</v>
      </c>
      <c r="G93">
        <v>-2180</v>
      </c>
      <c r="H93">
        <v>0</v>
      </c>
      <c r="I93">
        <v>-20050</v>
      </c>
      <c r="J93">
        <v>-12782</v>
      </c>
      <c r="K93">
        <v>-2233</v>
      </c>
    </row>
    <row r="94" spans="2:11" x14ac:dyDescent="0.25">
      <c r="B94">
        <v>-1444</v>
      </c>
      <c r="C94">
        <v>0</v>
      </c>
      <c r="D94">
        <v>15439</v>
      </c>
      <c r="E94">
        <v>10033</v>
      </c>
      <c r="F94">
        <v>-1935</v>
      </c>
      <c r="G94">
        <v>-9857</v>
      </c>
      <c r="H94">
        <v>-5823</v>
      </c>
      <c r="I94">
        <v>-2030</v>
      </c>
      <c r="J94">
        <v>-11541</v>
      </c>
      <c r="K94">
        <v>6169</v>
      </c>
    </row>
    <row r="95" spans="2:11" x14ac:dyDescent="0.25">
      <c r="B95">
        <v>-1192</v>
      </c>
      <c r="C95">
        <v>42743</v>
      </c>
      <c r="D95">
        <v>26487</v>
      </c>
      <c r="E95">
        <v>61811</v>
      </c>
      <c r="F95">
        <v>0</v>
      </c>
      <c r="G95">
        <v>-11704</v>
      </c>
      <c r="H95">
        <v>3467</v>
      </c>
      <c r="I95">
        <v>-7843</v>
      </c>
      <c r="J95">
        <v>-19631</v>
      </c>
      <c r="K95">
        <v>0</v>
      </c>
    </row>
    <row r="96" spans="2:11" x14ac:dyDescent="0.25">
      <c r="B96">
        <v>33548</v>
      </c>
      <c r="C96">
        <v>17872</v>
      </c>
      <c r="D96">
        <v>67032</v>
      </c>
      <c r="E96">
        <v>15544</v>
      </c>
      <c r="F96">
        <v>24261</v>
      </c>
      <c r="G96">
        <v>67212</v>
      </c>
      <c r="H96">
        <v>-14992</v>
      </c>
      <c r="I96">
        <v>7994</v>
      </c>
      <c r="J96">
        <v>-6398</v>
      </c>
      <c r="K96">
        <v>12886</v>
      </c>
    </row>
    <row r="97" spans="2:11" x14ac:dyDescent="0.25">
      <c r="B97">
        <v>-50920</v>
      </c>
      <c r="C97">
        <v>-43868</v>
      </c>
      <c r="D97">
        <v>3817</v>
      </c>
      <c r="E97">
        <v>0</v>
      </c>
      <c r="F97">
        <v>27296</v>
      </c>
      <c r="G97">
        <v>19510</v>
      </c>
      <c r="H97">
        <v>9079</v>
      </c>
      <c r="I97">
        <v>29218</v>
      </c>
      <c r="J97">
        <v>0</v>
      </c>
      <c r="K97">
        <v>-31636</v>
      </c>
    </row>
    <row r="98" spans="2:11" x14ac:dyDescent="0.25">
      <c r="B98">
        <v>-22524</v>
      </c>
      <c r="C98">
        <v>-1739</v>
      </c>
      <c r="D98">
        <v>1881</v>
      </c>
      <c r="E98">
        <v>-8170</v>
      </c>
      <c r="F98">
        <v>-1845</v>
      </c>
      <c r="G98">
        <v>20871</v>
      </c>
      <c r="H98">
        <v>1815</v>
      </c>
      <c r="I98">
        <v>14118</v>
      </c>
      <c r="J98">
        <v>-16327</v>
      </c>
      <c r="K98">
        <v>-46710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-6989</v>
      </c>
      <c r="D101">
        <v>6004</v>
      </c>
      <c r="E101">
        <v>-3731</v>
      </c>
      <c r="F101">
        <v>0</v>
      </c>
      <c r="G101">
        <v>-9944</v>
      </c>
      <c r="H101">
        <v>-3424</v>
      </c>
      <c r="I101">
        <v>564</v>
      </c>
      <c r="J101">
        <v>7015</v>
      </c>
      <c r="K101">
        <v>0</v>
      </c>
    </row>
    <row r="102" spans="2:11" x14ac:dyDescent="0.25">
      <c r="B102">
        <v>-545</v>
      </c>
      <c r="C102">
        <v>1040</v>
      </c>
      <c r="D102">
        <v>-1596</v>
      </c>
      <c r="E102">
        <v>-19162</v>
      </c>
      <c r="F102">
        <v>-21551</v>
      </c>
      <c r="G102">
        <v>-1987</v>
      </c>
      <c r="H102">
        <v>-1963</v>
      </c>
      <c r="I102">
        <v>-8943</v>
      </c>
      <c r="J102">
        <v>-9983</v>
      </c>
      <c r="K102">
        <v>385</v>
      </c>
    </row>
    <row r="103" spans="2:11" x14ac:dyDescent="0.25">
      <c r="B103">
        <v>-22707</v>
      </c>
      <c r="C103">
        <v>-3831</v>
      </c>
      <c r="D103">
        <v>0</v>
      </c>
      <c r="E103">
        <v>-48620</v>
      </c>
      <c r="F103">
        <v>-52725</v>
      </c>
      <c r="G103">
        <v>7263</v>
      </c>
      <c r="H103">
        <v>0</v>
      </c>
      <c r="I103">
        <v>29859</v>
      </c>
      <c r="J103">
        <v>26126</v>
      </c>
      <c r="K103">
        <v>4988</v>
      </c>
    </row>
    <row r="104" spans="2:11" x14ac:dyDescent="0.25">
      <c r="B104">
        <v>4860</v>
      </c>
      <c r="C104">
        <v>0</v>
      </c>
      <c r="D104">
        <v>-40635</v>
      </c>
      <c r="E104">
        <v>-20781</v>
      </c>
      <c r="F104">
        <v>-552</v>
      </c>
      <c r="G104">
        <v>6027</v>
      </c>
      <c r="H104">
        <v>-2983</v>
      </c>
      <c r="I104">
        <v>-672</v>
      </c>
      <c r="J104">
        <v>22999</v>
      </c>
      <c r="K104">
        <v>-7472</v>
      </c>
    </row>
    <row r="105" spans="2:11" x14ac:dyDescent="0.25">
      <c r="B105">
        <v>10462</v>
      </c>
      <c r="C105">
        <v>-18330</v>
      </c>
      <c r="D105">
        <v>-43223</v>
      </c>
      <c r="E105">
        <v>29061</v>
      </c>
      <c r="F105">
        <v>0</v>
      </c>
      <c r="G105">
        <v>-25970</v>
      </c>
      <c r="H105">
        <v>-27661</v>
      </c>
      <c r="I105">
        <v>-37157</v>
      </c>
      <c r="J105">
        <v>45360</v>
      </c>
      <c r="K105">
        <v>0</v>
      </c>
    </row>
    <row r="106" spans="2:11" x14ac:dyDescent="0.25">
      <c r="B106">
        <v>24233</v>
      </c>
      <c r="C106">
        <v>29510</v>
      </c>
      <c r="D106">
        <v>2511</v>
      </c>
      <c r="E106">
        <v>1780</v>
      </c>
      <c r="F106">
        <v>0</v>
      </c>
      <c r="G106">
        <v>-20242</v>
      </c>
      <c r="H106">
        <v>-12708</v>
      </c>
      <c r="I106">
        <v>41567</v>
      </c>
      <c r="J106">
        <v>13831</v>
      </c>
      <c r="K106">
        <v>8897</v>
      </c>
    </row>
    <row r="107" spans="2:11" x14ac:dyDescent="0.25">
      <c r="B107">
        <v>41546</v>
      </c>
      <c r="C107">
        <v>15249</v>
      </c>
      <c r="D107">
        <v>-1929</v>
      </c>
      <c r="E107">
        <v>5928</v>
      </c>
      <c r="F107">
        <v>-9169</v>
      </c>
      <c r="G107">
        <v>12269</v>
      </c>
      <c r="H107">
        <v>20431</v>
      </c>
      <c r="I107">
        <v>0</v>
      </c>
      <c r="J107">
        <v>-3337</v>
      </c>
      <c r="K107">
        <v>24469</v>
      </c>
    </row>
    <row r="108" spans="2:11" x14ac:dyDescent="0.25">
      <c r="B108">
        <v>7216</v>
      </c>
      <c r="C108">
        <v>8491</v>
      </c>
      <c r="D108">
        <v>-924</v>
      </c>
      <c r="E108">
        <v>0</v>
      </c>
      <c r="F108">
        <v>-6355</v>
      </c>
      <c r="G108">
        <v>-3918</v>
      </c>
      <c r="H108">
        <v>-1897</v>
      </c>
      <c r="I108">
        <v>-309</v>
      </c>
      <c r="J108">
        <v>0</v>
      </c>
      <c r="K108">
        <v>4966</v>
      </c>
    </row>
    <row r="109" spans="2:11" x14ac:dyDescent="0.25">
      <c r="B109">
        <v>3248</v>
      </c>
      <c r="C109">
        <v>76</v>
      </c>
      <c r="D109">
        <v>-3617</v>
      </c>
      <c r="E109">
        <v>-2292</v>
      </c>
      <c r="F109">
        <v>7</v>
      </c>
      <c r="G109">
        <v>-4103</v>
      </c>
      <c r="H109">
        <v>391</v>
      </c>
      <c r="I109">
        <v>-1719</v>
      </c>
      <c r="J109">
        <v>3065</v>
      </c>
      <c r="K109">
        <v>4362</v>
      </c>
    </row>
    <row r="110" spans="2:11" x14ac:dyDescent="0.25">
      <c r="B110">
        <v>-5400</v>
      </c>
      <c r="C110">
        <v>0</v>
      </c>
      <c r="D110">
        <v>516</v>
      </c>
      <c r="E110">
        <v>-6171</v>
      </c>
      <c r="F110">
        <v>-30047</v>
      </c>
      <c r="G110">
        <v>23370</v>
      </c>
      <c r="H110">
        <v>43843</v>
      </c>
      <c r="I110">
        <v>-2306</v>
      </c>
      <c r="J110">
        <v>0</v>
      </c>
      <c r="K110">
        <v>-11448</v>
      </c>
    </row>
    <row r="111" spans="2:11" x14ac:dyDescent="0.25">
      <c r="B111">
        <v>-16172</v>
      </c>
      <c r="C111">
        <v>4248</v>
      </c>
      <c r="D111">
        <v>-16688</v>
      </c>
      <c r="E111">
        <v>0</v>
      </c>
      <c r="F111">
        <v>37002</v>
      </c>
      <c r="G111">
        <v>19405</v>
      </c>
      <c r="H111">
        <v>3506</v>
      </c>
      <c r="I111">
        <v>10333</v>
      </c>
      <c r="J111">
        <v>15576</v>
      </c>
      <c r="K111">
        <v>3778</v>
      </c>
    </row>
    <row r="112" spans="2:11" x14ac:dyDescent="0.25">
      <c r="B112">
        <v>-10540</v>
      </c>
      <c r="C112">
        <v>5450</v>
      </c>
      <c r="D112">
        <v>-7735</v>
      </c>
      <c r="E112">
        <v>6075</v>
      </c>
      <c r="F112">
        <v>41182</v>
      </c>
      <c r="G112">
        <v>-34166</v>
      </c>
      <c r="H112">
        <v>0</v>
      </c>
      <c r="I112">
        <v>-3916</v>
      </c>
      <c r="J112">
        <v>-44284</v>
      </c>
      <c r="K112">
        <v>-35043</v>
      </c>
    </row>
    <row r="113" spans="2:11" x14ac:dyDescent="0.25">
      <c r="B113">
        <v>9790</v>
      </c>
      <c r="C113">
        <v>26874</v>
      </c>
      <c r="D113">
        <v>61053</v>
      </c>
      <c r="E113">
        <v>-11409</v>
      </c>
      <c r="F113">
        <v>0</v>
      </c>
      <c r="G113">
        <v>-12680</v>
      </c>
      <c r="H113">
        <v>-20756</v>
      </c>
      <c r="I113">
        <v>7094</v>
      </c>
      <c r="J113">
        <v>-20686</v>
      </c>
      <c r="K113">
        <v>0</v>
      </c>
    </row>
    <row r="114" spans="2:11" x14ac:dyDescent="0.25">
      <c r="B114">
        <v>44280</v>
      </c>
      <c r="C114">
        <v>23084</v>
      </c>
      <c r="D114">
        <v>-4476</v>
      </c>
      <c r="E114">
        <v>13092</v>
      </c>
      <c r="F114">
        <v>19184</v>
      </c>
      <c r="G114">
        <v>-4056</v>
      </c>
      <c r="H114">
        <v>-11686</v>
      </c>
      <c r="I114">
        <v>5918</v>
      </c>
      <c r="J114">
        <v>-9228</v>
      </c>
      <c r="K114">
        <v>3838</v>
      </c>
    </row>
    <row r="115" spans="2:11" x14ac:dyDescent="0.25">
      <c r="B115">
        <v>43466</v>
      </c>
      <c r="C115">
        <v>-41063</v>
      </c>
      <c r="D115">
        <v>0</v>
      </c>
      <c r="E115">
        <v>-4153</v>
      </c>
      <c r="F115">
        <v>-52760</v>
      </c>
      <c r="G115">
        <v>-25992</v>
      </c>
      <c r="H115">
        <v>5600</v>
      </c>
      <c r="I115">
        <v>67924</v>
      </c>
      <c r="J115">
        <v>-20878</v>
      </c>
      <c r="K115">
        <v>-28011</v>
      </c>
    </row>
    <row r="116" spans="2:11" x14ac:dyDescent="0.25">
      <c r="B116">
        <v>19300</v>
      </c>
      <c r="C116">
        <v>0</v>
      </c>
      <c r="D116">
        <v>16876</v>
      </c>
      <c r="E116">
        <v>-4663</v>
      </c>
      <c r="F116">
        <v>-9688</v>
      </c>
      <c r="G116">
        <v>2962</v>
      </c>
      <c r="H116">
        <v>0</v>
      </c>
      <c r="I116">
        <v>-13446</v>
      </c>
      <c r="J116">
        <v>-5926</v>
      </c>
      <c r="K116">
        <v>17059</v>
      </c>
    </row>
    <row r="117" spans="2:11" x14ac:dyDescent="0.25">
      <c r="B117">
        <v>11256</v>
      </c>
      <c r="C117">
        <v>7441</v>
      </c>
      <c r="D117">
        <v>17082</v>
      </c>
      <c r="E117">
        <v>9131</v>
      </c>
      <c r="F117">
        <v>-861</v>
      </c>
      <c r="G117">
        <v>3498</v>
      </c>
      <c r="H117">
        <v>-4188</v>
      </c>
      <c r="I117">
        <v>3071</v>
      </c>
      <c r="J117">
        <v>11394</v>
      </c>
      <c r="K117">
        <v>0</v>
      </c>
    </row>
    <row r="118" spans="2:11" x14ac:dyDescent="0.25">
      <c r="B118">
        <v>-4226</v>
      </c>
      <c r="C118">
        <v>14221</v>
      </c>
      <c r="D118">
        <v>14470</v>
      </c>
      <c r="E118">
        <v>-1842</v>
      </c>
      <c r="F118">
        <v>-6114</v>
      </c>
      <c r="G118">
        <v>-11161</v>
      </c>
      <c r="H118">
        <v>34598</v>
      </c>
      <c r="I118">
        <v>23552</v>
      </c>
      <c r="J118">
        <v>4728</v>
      </c>
      <c r="K118">
        <v>0</v>
      </c>
    </row>
    <row r="119" spans="2:11" x14ac:dyDescent="0.25">
      <c r="B119">
        <v>-20254</v>
      </c>
      <c r="C119">
        <v>-34433</v>
      </c>
      <c r="D119">
        <v>290</v>
      </c>
      <c r="E119">
        <v>-14258</v>
      </c>
      <c r="F119">
        <v>0</v>
      </c>
      <c r="G119">
        <v>26205</v>
      </c>
      <c r="H119">
        <v>11762</v>
      </c>
      <c r="I119">
        <v>7328</v>
      </c>
      <c r="J119">
        <v>-12151</v>
      </c>
      <c r="K119">
        <v>-5646</v>
      </c>
    </row>
    <row r="120" spans="2:11" x14ac:dyDescent="0.25">
      <c r="B120">
        <v>7269</v>
      </c>
      <c r="C120">
        <v>-7734</v>
      </c>
      <c r="D120">
        <v>2881</v>
      </c>
      <c r="E120">
        <v>-4059</v>
      </c>
      <c r="F120">
        <v>10350</v>
      </c>
      <c r="G120">
        <v>21039</v>
      </c>
      <c r="H120">
        <v>-17996</v>
      </c>
      <c r="I120">
        <v>0</v>
      </c>
      <c r="J120">
        <v>-1116</v>
      </c>
      <c r="K120">
        <v>-18646</v>
      </c>
    </row>
    <row r="121" spans="2:11" x14ac:dyDescent="0.25">
      <c r="B121">
        <v>-10349</v>
      </c>
      <c r="C121">
        <v>2447</v>
      </c>
      <c r="D121">
        <v>4827</v>
      </c>
      <c r="E121">
        <v>5702</v>
      </c>
      <c r="F121">
        <v>10266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5799</v>
      </c>
      <c r="H124">
        <v>742</v>
      </c>
      <c r="I124">
        <v>1089</v>
      </c>
      <c r="J124">
        <v>0</v>
      </c>
      <c r="K124">
        <v>232</v>
      </c>
    </row>
    <row r="125" spans="2:11" x14ac:dyDescent="0.25">
      <c r="B125">
        <v>913</v>
      </c>
      <c r="C125">
        <v>-1124</v>
      </c>
      <c r="D125">
        <v>-1502</v>
      </c>
      <c r="E125">
        <v>0</v>
      </c>
      <c r="F125">
        <v>959</v>
      </c>
      <c r="G125">
        <v>437</v>
      </c>
      <c r="H125">
        <v>-558</v>
      </c>
      <c r="I125">
        <v>1809</v>
      </c>
      <c r="J125">
        <v>3819</v>
      </c>
      <c r="K125">
        <v>-512</v>
      </c>
    </row>
    <row r="126" spans="2:11" x14ac:dyDescent="0.25">
      <c r="B126">
        <v>-9350</v>
      </c>
      <c r="C126">
        <v>1748</v>
      </c>
      <c r="D126">
        <v>-1547</v>
      </c>
      <c r="E126">
        <v>727</v>
      </c>
      <c r="F126">
        <v>-15797</v>
      </c>
      <c r="G126">
        <v>7153</v>
      </c>
      <c r="H126">
        <v>0</v>
      </c>
      <c r="I126">
        <v>10785</v>
      </c>
      <c r="J126">
        <v>3897</v>
      </c>
      <c r="K126">
        <v>311</v>
      </c>
    </row>
    <row r="127" spans="2:11" x14ac:dyDescent="0.25">
      <c r="B127">
        <v>-571</v>
      </c>
      <c r="C127">
        <v>1733</v>
      </c>
      <c r="D127">
        <v>1751</v>
      </c>
      <c r="E127">
        <v>-1122</v>
      </c>
      <c r="F127">
        <v>-1629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37363</v>
      </c>
      <c r="K130">
        <v>40110</v>
      </c>
    </row>
    <row r="131" spans="2:11" x14ac:dyDescent="0.25">
      <c r="B131">
        <v>-2947</v>
      </c>
      <c r="C131">
        <v>0</v>
      </c>
      <c r="D131">
        <v>-26678</v>
      </c>
      <c r="E131">
        <v>-18165</v>
      </c>
      <c r="F131">
        <v>-3959</v>
      </c>
      <c r="G131">
        <v>-4551</v>
      </c>
      <c r="H131">
        <v>0</v>
      </c>
      <c r="I131">
        <v>27929</v>
      </c>
      <c r="J131">
        <v>16408</v>
      </c>
      <c r="K131">
        <v>-3839</v>
      </c>
    </row>
    <row r="132" spans="2:11" x14ac:dyDescent="0.25">
      <c r="B132">
        <v>-31848</v>
      </c>
      <c r="C132">
        <v>-25543</v>
      </c>
      <c r="D132">
        <v>-4391</v>
      </c>
      <c r="E132">
        <v>-27747</v>
      </c>
      <c r="F132">
        <v>5791</v>
      </c>
      <c r="G132">
        <v>-11269</v>
      </c>
      <c r="H132">
        <v>15621</v>
      </c>
      <c r="I132">
        <v>23864</v>
      </c>
      <c r="J132">
        <v>-26714</v>
      </c>
      <c r="K132">
        <v>0</v>
      </c>
    </row>
    <row r="133" spans="2:11" x14ac:dyDescent="0.25">
      <c r="B133">
        <v>3027</v>
      </c>
      <c r="C133">
        <v>-33847</v>
      </c>
      <c r="D133">
        <v>-17981</v>
      </c>
      <c r="E133">
        <v>4593</v>
      </c>
      <c r="F133">
        <v>29344</v>
      </c>
      <c r="G133">
        <v>34462</v>
      </c>
      <c r="H133">
        <v>-11013</v>
      </c>
      <c r="I133">
        <v>11352</v>
      </c>
      <c r="J133">
        <v>0</v>
      </c>
      <c r="K133">
        <v>24360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-1033</v>
      </c>
      <c r="F148">
        <v>1925</v>
      </c>
      <c r="G148">
        <v>236</v>
      </c>
      <c r="H148">
        <v>0</v>
      </c>
      <c r="I148">
        <v>923</v>
      </c>
      <c r="J148">
        <v>1448</v>
      </c>
      <c r="K148">
        <v>-54</v>
      </c>
    </row>
    <row r="149" spans="2:11" x14ac:dyDescent="0.25">
      <c r="B149">
        <v>-481</v>
      </c>
      <c r="C149">
        <v>0</v>
      </c>
      <c r="D149">
        <v>-761</v>
      </c>
      <c r="E149">
        <v>-502</v>
      </c>
      <c r="F149">
        <v>47</v>
      </c>
      <c r="G149">
        <v>599</v>
      </c>
      <c r="H149">
        <v>528</v>
      </c>
      <c r="I149">
        <v>67</v>
      </c>
      <c r="J149">
        <v>624</v>
      </c>
      <c r="K149">
        <v>-254</v>
      </c>
    </row>
    <row r="150" spans="2:11" x14ac:dyDescent="0.25">
      <c r="B150">
        <v>82</v>
      </c>
      <c r="C150">
        <v>-1182</v>
      </c>
      <c r="D150">
        <v>-481</v>
      </c>
      <c r="E150">
        <v>665</v>
      </c>
      <c r="F150">
        <v>0</v>
      </c>
      <c r="G150">
        <v>-122</v>
      </c>
      <c r="H150">
        <v>918</v>
      </c>
      <c r="I150">
        <v>25861</v>
      </c>
      <c r="J150">
        <v>3316</v>
      </c>
      <c r="K150">
        <v>4698</v>
      </c>
    </row>
    <row r="151" spans="2:11" x14ac:dyDescent="0.25">
      <c r="B151">
        <v>-299</v>
      </c>
      <c r="C151">
        <v>-1922</v>
      </c>
      <c r="D151">
        <v>-760</v>
      </c>
      <c r="E151">
        <v>0</v>
      </c>
      <c r="F151">
        <v>1066</v>
      </c>
      <c r="G151">
        <v>0</v>
      </c>
      <c r="H151">
        <v>2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5971</v>
      </c>
      <c r="D152">
        <v>6958</v>
      </c>
      <c r="E152">
        <v>10184</v>
      </c>
      <c r="F152">
        <v>0</v>
      </c>
      <c r="G152">
        <v>-4713</v>
      </c>
      <c r="H152">
        <v>-1888</v>
      </c>
      <c r="I152">
        <v>-1636</v>
      </c>
      <c r="J152">
        <v>-2609</v>
      </c>
      <c r="K152">
        <v>0</v>
      </c>
    </row>
    <row r="153" spans="2:11" x14ac:dyDescent="0.25">
      <c r="B153">
        <v>5960</v>
      </c>
      <c r="C153">
        <v>3405</v>
      </c>
      <c r="D153">
        <v>10895</v>
      </c>
      <c r="E153">
        <v>-1742</v>
      </c>
      <c r="F153">
        <v>-697</v>
      </c>
      <c r="G153">
        <v>10820</v>
      </c>
      <c r="H153">
        <v>-3682</v>
      </c>
      <c r="I153">
        <v>1115</v>
      </c>
      <c r="J153">
        <v>-1406</v>
      </c>
      <c r="K153">
        <v>8832</v>
      </c>
    </row>
    <row r="154" spans="2:11" x14ac:dyDescent="0.25">
      <c r="B154">
        <v>12448</v>
      </c>
      <c r="C154">
        <v>-6177</v>
      </c>
      <c r="D154">
        <v>0</v>
      </c>
      <c r="E154">
        <v>-884</v>
      </c>
      <c r="F154">
        <v>-5497</v>
      </c>
      <c r="G154">
        <v>-55455</v>
      </c>
      <c r="H154">
        <v>1159</v>
      </c>
      <c r="I154">
        <v>-21048</v>
      </c>
      <c r="J154">
        <v>2160</v>
      </c>
      <c r="K154">
        <v>2951</v>
      </c>
    </row>
    <row r="155" spans="2:11" x14ac:dyDescent="0.25">
      <c r="B155">
        <v>10043</v>
      </c>
      <c r="C155">
        <v>0</v>
      </c>
      <c r="D155">
        <v>156</v>
      </c>
      <c r="E155">
        <v>0</v>
      </c>
      <c r="F155">
        <v>5012</v>
      </c>
      <c r="G155">
        <v>0</v>
      </c>
      <c r="H155">
        <v>0</v>
      </c>
      <c r="I155">
        <v>0</v>
      </c>
      <c r="J155">
        <v>0</v>
      </c>
      <c r="K155">
        <v>-46600</v>
      </c>
    </row>
    <row r="156" spans="2:11" x14ac:dyDescent="0.25">
      <c r="B156">
        <v>9385</v>
      </c>
      <c r="C156">
        <v>10491</v>
      </c>
      <c r="D156">
        <v>80301</v>
      </c>
      <c r="E156">
        <v>0</v>
      </c>
      <c r="F156">
        <v>-7825</v>
      </c>
      <c r="G156">
        <v>19407</v>
      </c>
      <c r="H156">
        <v>-2626</v>
      </c>
      <c r="I156">
        <v>-3274</v>
      </c>
      <c r="J156">
        <v>0</v>
      </c>
      <c r="K156">
        <v>9216</v>
      </c>
    </row>
    <row r="157" spans="2:11" x14ac:dyDescent="0.25">
      <c r="B157">
        <v>5778</v>
      </c>
      <c r="C157">
        <v>81526</v>
      </c>
      <c r="D157">
        <v>-3046</v>
      </c>
      <c r="E157">
        <v>-1340</v>
      </c>
      <c r="F157">
        <v>81039</v>
      </c>
      <c r="G157">
        <v>-4970</v>
      </c>
      <c r="H157">
        <v>2660</v>
      </c>
      <c r="I157">
        <v>-3397</v>
      </c>
      <c r="J157">
        <v>20499</v>
      </c>
      <c r="K157">
        <v>63896</v>
      </c>
    </row>
    <row r="158" spans="2:11" x14ac:dyDescent="0.25">
      <c r="B158">
        <v>-9355</v>
      </c>
      <c r="C158">
        <v>0</v>
      </c>
      <c r="D158">
        <v>-2670</v>
      </c>
      <c r="E158">
        <v>-8968</v>
      </c>
      <c r="F158">
        <v>31247</v>
      </c>
      <c r="G158">
        <v>1623</v>
      </c>
      <c r="H158">
        <v>6031</v>
      </c>
      <c r="I158">
        <v>-12830</v>
      </c>
      <c r="J158">
        <v>13211</v>
      </c>
      <c r="K158">
        <v>13759</v>
      </c>
    </row>
    <row r="159" spans="2:11" x14ac:dyDescent="0.25">
      <c r="B159">
        <v>0</v>
      </c>
      <c r="C159">
        <v>1562</v>
      </c>
      <c r="D159">
        <v>0</v>
      </c>
      <c r="E159">
        <v>9556</v>
      </c>
      <c r="F159">
        <v>0</v>
      </c>
      <c r="G159">
        <v>0</v>
      </c>
      <c r="H159">
        <v>0</v>
      </c>
      <c r="I159">
        <v>0</v>
      </c>
      <c r="J159">
        <v>936</v>
      </c>
      <c r="K159">
        <v>15543</v>
      </c>
    </row>
    <row r="160" spans="2:11" x14ac:dyDescent="0.25">
      <c r="B160">
        <v>-71926</v>
      </c>
      <c r="C160">
        <v>-82067</v>
      </c>
      <c r="D160">
        <v>9365</v>
      </c>
      <c r="E160">
        <v>0</v>
      </c>
      <c r="F160">
        <v>63439</v>
      </c>
      <c r="G160">
        <v>41003</v>
      </c>
      <c r="H160">
        <v>7400</v>
      </c>
      <c r="I160">
        <v>4257</v>
      </c>
      <c r="J160">
        <v>0</v>
      </c>
      <c r="K160">
        <v>-52777</v>
      </c>
    </row>
    <row r="161" spans="2:11" x14ac:dyDescent="0.25">
      <c r="B161">
        <v>-33991</v>
      </c>
      <c r="C161">
        <v>-668</v>
      </c>
      <c r="D161">
        <v>35795</v>
      </c>
      <c r="E161">
        <v>22954</v>
      </c>
      <c r="F161">
        <v>-52</v>
      </c>
      <c r="G161">
        <v>39007</v>
      </c>
      <c r="H161">
        <v>-6602</v>
      </c>
      <c r="I161">
        <v>17263</v>
      </c>
      <c r="J161">
        <v>-30573</v>
      </c>
      <c r="K161">
        <v>-42524</v>
      </c>
    </row>
    <row r="162" spans="2:11" x14ac:dyDescent="0.25">
      <c r="B162">
        <v>52939</v>
      </c>
      <c r="C162">
        <v>0</v>
      </c>
      <c r="D162">
        <v>-6668</v>
      </c>
      <c r="E162">
        <v>63181</v>
      </c>
      <c r="F162">
        <v>37708</v>
      </c>
      <c r="G162">
        <v>-9660</v>
      </c>
      <c r="H162">
        <v>-49519</v>
      </c>
      <c r="I162">
        <v>-58501</v>
      </c>
      <c r="J162">
        <v>21824</v>
      </c>
      <c r="K162">
        <v>-26186</v>
      </c>
    </row>
    <row r="163" spans="2:11" x14ac:dyDescent="0.25">
      <c r="B163">
        <v>0</v>
      </c>
      <c r="C163">
        <v>-1063</v>
      </c>
      <c r="D163">
        <v>0</v>
      </c>
      <c r="E163">
        <v>-48243</v>
      </c>
      <c r="F163">
        <v>0</v>
      </c>
      <c r="G163">
        <v>0</v>
      </c>
      <c r="H163">
        <v>0</v>
      </c>
      <c r="I163">
        <v>0</v>
      </c>
      <c r="J163">
        <v>1490</v>
      </c>
      <c r="K163">
        <v>-8597</v>
      </c>
    </row>
    <row r="164" spans="2:11" x14ac:dyDescent="0.25">
      <c r="B164">
        <v>-15228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1"/>
  <sheetViews>
    <sheetView workbookViewId="0">
      <selection activeCell="A8" sqref="A8:K41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248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2.5944321850000001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-1.160280357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1.335394824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0.52987540499999997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-2.5111504E-2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1.7160893999999999E-2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-8.5658758939999995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-10.566358470000001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0.55040750800000005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0.55327396100000004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-3.0048826470000001</v>
      </c>
      <c r="F25">
        <v>0.93082185257600003</v>
      </c>
    </row>
    <row r="26" spans="2:11" x14ac:dyDescent="0.25">
      <c r="B26">
        <v>999</v>
      </c>
      <c r="C26" t="s">
        <v>249</v>
      </c>
      <c r="D26" t="s">
        <v>64</v>
      </c>
      <c r="E26">
        <v>0.541504192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250</v>
      </c>
      <c r="D29" t="s">
        <v>235</v>
      </c>
      <c r="E29">
        <v>1</v>
      </c>
      <c r="F29" t="s">
        <v>248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80"/>
  <sheetViews>
    <sheetView workbookViewId="0">
      <selection activeCell="A8" sqref="A8:K18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0.46184606099999997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0.65961163700000003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-3.2974451419999999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-1.911034796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0.51412339799999995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0.22481870400000001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0.15232257399999999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-2.7924179320000002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-2.8161782519999998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-2.144795593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-1.480121056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-8.9289955000000004E-2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-1.4328025129999999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-0.40342066599999998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-0.79057828100000005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-4.5539641590000004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0.61466384799999996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-0.87809104500000001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-8.2669199999999998E-2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-0.40759393700000002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0.22849027299999999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4.0664499999999997E-5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0.20969220399999999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-4.3232317999999999E-2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1.3197710739999999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0.46798410400000001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2.09633E-4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-2.9531000000000002E-6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1.108747989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2.0996029740000002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1.3793900000000001E-4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-6.1957300000000002E-6</v>
      </c>
      <c r="F54" s="35">
        <v>4.64771480534E-5</v>
      </c>
    </row>
    <row r="55" spans="2:6" x14ac:dyDescent="0.25">
      <c r="B55">
        <v>201</v>
      </c>
      <c r="C55" t="s">
        <v>298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299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300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301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302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303</v>
      </c>
      <c r="D60" t="s">
        <v>73</v>
      </c>
      <c r="E60">
        <v>-0.74473319999999998</v>
      </c>
      <c r="F60">
        <v>0</v>
      </c>
    </row>
    <row r="61" spans="2:6" x14ac:dyDescent="0.25">
      <c r="B61">
        <v>207</v>
      </c>
      <c r="C61" t="s">
        <v>304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305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306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307</v>
      </c>
      <c r="D64" t="s">
        <v>73</v>
      </c>
      <c r="E64">
        <v>0</v>
      </c>
      <c r="F64">
        <v>0</v>
      </c>
    </row>
    <row r="65" spans="2:6" x14ac:dyDescent="0.25">
      <c r="B65">
        <v>211</v>
      </c>
      <c r="C65" t="s">
        <v>308</v>
      </c>
      <c r="D65" t="s">
        <v>73</v>
      </c>
      <c r="E65">
        <v>0</v>
      </c>
      <c r="F65">
        <v>0</v>
      </c>
    </row>
    <row r="66" spans="2:6" x14ac:dyDescent="0.25">
      <c r="B66">
        <v>301</v>
      </c>
      <c r="C66" t="s">
        <v>309</v>
      </c>
      <c r="D66" t="s">
        <v>73</v>
      </c>
      <c r="E66">
        <v>0</v>
      </c>
      <c r="F66" s="35">
        <v>0</v>
      </c>
    </row>
    <row r="67" spans="2:6" x14ac:dyDescent="0.25">
      <c r="B67">
        <v>302</v>
      </c>
      <c r="C67" t="s">
        <v>310</v>
      </c>
      <c r="D67" t="s">
        <v>73</v>
      </c>
      <c r="E67">
        <v>0</v>
      </c>
      <c r="F67">
        <v>0</v>
      </c>
    </row>
    <row r="68" spans="2:6" x14ac:dyDescent="0.25">
      <c r="B68">
        <v>303</v>
      </c>
      <c r="C68" s="35" t="s">
        <v>311</v>
      </c>
      <c r="D68" s="35" t="s">
        <v>73</v>
      </c>
      <c r="E68" s="35">
        <v>0</v>
      </c>
      <c r="F68">
        <v>0</v>
      </c>
    </row>
    <row r="69" spans="2:6" x14ac:dyDescent="0.25">
      <c r="B69">
        <v>304</v>
      </c>
      <c r="C69" t="s">
        <v>312</v>
      </c>
      <c r="D69" t="s">
        <v>73</v>
      </c>
      <c r="E69">
        <v>0</v>
      </c>
      <c r="F69">
        <v>0</v>
      </c>
    </row>
    <row r="70" spans="2:6" x14ac:dyDescent="0.25">
      <c r="B70">
        <v>305</v>
      </c>
      <c r="C70" t="s">
        <v>313</v>
      </c>
      <c r="D70" t="s">
        <v>73</v>
      </c>
      <c r="E70">
        <v>0</v>
      </c>
      <c r="F70">
        <v>0</v>
      </c>
    </row>
    <row r="71" spans="2:6" x14ac:dyDescent="0.25">
      <c r="B71">
        <v>306</v>
      </c>
      <c r="C71" t="s">
        <v>314</v>
      </c>
      <c r="D71" t="s">
        <v>73</v>
      </c>
      <c r="E71">
        <v>-0.255216</v>
      </c>
      <c r="F71">
        <v>0</v>
      </c>
    </row>
    <row r="72" spans="2:6" x14ac:dyDescent="0.25">
      <c r="B72">
        <v>307</v>
      </c>
      <c r="C72" t="s">
        <v>315</v>
      </c>
      <c r="D72" t="s">
        <v>73</v>
      </c>
      <c r="E72">
        <v>0</v>
      </c>
      <c r="F72">
        <v>0</v>
      </c>
    </row>
    <row r="73" spans="2:6" x14ac:dyDescent="0.25">
      <c r="B73">
        <v>308</v>
      </c>
      <c r="C73" t="s">
        <v>316</v>
      </c>
      <c r="D73" t="s">
        <v>73</v>
      </c>
      <c r="E73">
        <v>0</v>
      </c>
      <c r="F73">
        <v>0</v>
      </c>
    </row>
    <row r="74" spans="2:6" x14ac:dyDescent="0.25">
      <c r="B74">
        <v>309</v>
      </c>
      <c r="C74" t="s">
        <v>317</v>
      </c>
      <c r="D74" t="s">
        <v>73</v>
      </c>
      <c r="E74">
        <v>0</v>
      </c>
      <c r="F74">
        <v>0</v>
      </c>
    </row>
    <row r="75" spans="2:6" x14ac:dyDescent="0.25">
      <c r="B75">
        <v>310</v>
      </c>
      <c r="C75" t="s">
        <v>318</v>
      </c>
      <c r="D75" t="s">
        <v>73</v>
      </c>
      <c r="E75">
        <v>0</v>
      </c>
      <c r="F75">
        <v>0</v>
      </c>
    </row>
    <row r="76" spans="2:6" x14ac:dyDescent="0.25">
      <c r="B76">
        <v>311</v>
      </c>
      <c r="C76" t="s">
        <v>319</v>
      </c>
      <c r="D76" t="s">
        <v>73</v>
      </c>
      <c r="E76">
        <v>0</v>
      </c>
      <c r="F76">
        <v>0</v>
      </c>
    </row>
    <row r="77" spans="2:6" x14ac:dyDescent="0.25">
      <c r="F77" s="35"/>
    </row>
    <row r="78" spans="2:6" x14ac:dyDescent="0.25">
      <c r="B78">
        <v>99</v>
      </c>
      <c r="C78" t="s">
        <v>106</v>
      </c>
      <c r="D78" t="s">
        <v>64</v>
      </c>
      <c r="E78">
        <v>0.87615014565899996</v>
      </c>
      <c r="F78" s="35">
        <v>4.6027559906999999E-2</v>
      </c>
    </row>
    <row r="79" spans="2:6" x14ac:dyDescent="0.25">
      <c r="B79">
        <v>-1</v>
      </c>
      <c r="C79" s="35"/>
      <c r="D79" s="35"/>
      <c r="E79" s="35"/>
    </row>
    <row r="80" spans="2:6" x14ac:dyDescent="0.25">
      <c r="B80">
        <v>8060</v>
      </c>
      <c r="C80" s="35">
        <v>-10930.082431500001</v>
      </c>
      <c r="D80" s="35">
        <v>-13318.5283795</v>
      </c>
      <c r="E80" s="35">
        <v>-7668.86425667</v>
      </c>
    </row>
    <row r="81" spans="2:11" x14ac:dyDescent="0.25">
      <c r="B81">
        <v>8</v>
      </c>
      <c r="C81" t="s">
        <v>251</v>
      </c>
      <c r="D81" t="s">
        <v>235</v>
      </c>
      <c r="E81">
        <v>6</v>
      </c>
      <c r="F81" t="s">
        <v>236</v>
      </c>
      <c r="G81">
        <v>17</v>
      </c>
    </row>
    <row r="82" spans="2:11" x14ac:dyDescent="0.25">
      <c r="B82">
        <v>28140</v>
      </c>
      <c r="C82">
        <v>-15227</v>
      </c>
      <c r="D82">
        <v>-40220</v>
      </c>
      <c r="E82">
        <v>21470</v>
      </c>
      <c r="F82">
        <v>36603</v>
      </c>
      <c r="G82">
        <v>-41982</v>
      </c>
      <c r="H82">
        <v>-21064</v>
      </c>
      <c r="I82">
        <v>-51250</v>
      </c>
      <c r="J82">
        <v>34768</v>
      </c>
      <c r="K82">
        <v>-25411</v>
      </c>
    </row>
    <row r="83" spans="2:11" x14ac:dyDescent="0.25">
      <c r="B83">
        <v>16035</v>
      </c>
      <c r="C83">
        <v>39482</v>
      </c>
      <c r="D83">
        <v>-23241</v>
      </c>
      <c r="E83">
        <v>22761</v>
      </c>
      <c r="F83">
        <v>-44693</v>
      </c>
      <c r="G83">
        <v>11356</v>
      </c>
      <c r="H83">
        <v>24776</v>
      </c>
      <c r="I83">
        <v>-15547</v>
      </c>
      <c r="J83">
        <v>15512</v>
      </c>
      <c r="K83">
        <v>-35264</v>
      </c>
    </row>
    <row r="84" spans="2:11" x14ac:dyDescent="0.25">
      <c r="B84">
        <v>7082</v>
      </c>
      <c r="C84">
        <v>4644</v>
      </c>
      <c r="D84">
        <v>7842</v>
      </c>
      <c r="E84">
        <v>-2919</v>
      </c>
      <c r="F84">
        <v>4071</v>
      </c>
      <c r="G84">
        <v>-32729</v>
      </c>
      <c r="H84">
        <v>11307</v>
      </c>
      <c r="I84">
        <v>12219</v>
      </c>
      <c r="J84">
        <v>10946</v>
      </c>
      <c r="K84">
        <v>11455</v>
      </c>
    </row>
    <row r="85" spans="2:11" x14ac:dyDescent="0.25">
      <c r="B85">
        <v>-10323</v>
      </c>
      <c r="C85">
        <v>13051</v>
      </c>
      <c r="D85">
        <v>-32039</v>
      </c>
      <c r="E85">
        <v>24641</v>
      </c>
      <c r="F85">
        <v>17909</v>
      </c>
      <c r="G85">
        <v>-5481</v>
      </c>
      <c r="H85">
        <v>-18684</v>
      </c>
      <c r="I85">
        <v>-37660</v>
      </c>
      <c r="J85">
        <v>22496</v>
      </c>
      <c r="K85">
        <v>-22084</v>
      </c>
    </row>
    <row r="86" spans="2:11" x14ac:dyDescent="0.25">
      <c r="B86">
        <v>8329</v>
      </c>
      <c r="C86">
        <v>-12534</v>
      </c>
      <c r="D86">
        <v>-5821</v>
      </c>
      <c r="E86">
        <v>10265</v>
      </c>
      <c r="F86">
        <v>-18346</v>
      </c>
      <c r="G86">
        <v>-5860</v>
      </c>
      <c r="H86">
        <v>-10265</v>
      </c>
      <c r="I86">
        <v>6084</v>
      </c>
      <c r="J86">
        <v>-6247</v>
      </c>
      <c r="K86">
        <v>-5135</v>
      </c>
    </row>
    <row r="87" spans="2:11" x14ac:dyDescent="0.25">
      <c r="B87">
        <v>2022</v>
      </c>
      <c r="C87">
        <v>2825</v>
      </c>
      <c r="D87">
        <v>-3200</v>
      </c>
      <c r="E87">
        <v>-4801</v>
      </c>
      <c r="F87">
        <v>17531</v>
      </c>
      <c r="G87">
        <v>-21978</v>
      </c>
      <c r="H87">
        <v>-55084</v>
      </c>
      <c r="I87">
        <v>37237</v>
      </c>
      <c r="J87">
        <v>-27836</v>
      </c>
      <c r="K87">
        <v>94896</v>
      </c>
    </row>
    <row r="88" spans="2:11" x14ac:dyDescent="0.25">
      <c r="B88">
        <v>-43186</v>
      </c>
      <c r="C88">
        <v>-33549</v>
      </c>
      <c r="D88">
        <v>-34207</v>
      </c>
      <c r="E88">
        <v>-34047</v>
      </c>
      <c r="F88">
        <v>17979</v>
      </c>
      <c r="G88">
        <v>6703</v>
      </c>
      <c r="H88">
        <v>-9746</v>
      </c>
      <c r="I88">
        <v>-31676</v>
      </c>
      <c r="J88">
        <v>12375</v>
      </c>
      <c r="K88">
        <v>12408</v>
      </c>
    </row>
    <row r="89" spans="2:11" x14ac:dyDescent="0.25">
      <c r="B89">
        <v>11695</v>
      </c>
      <c r="C89">
        <v>-14701</v>
      </c>
      <c r="D89">
        <v>-9163</v>
      </c>
      <c r="E89">
        <v>-4164</v>
      </c>
      <c r="F89">
        <v>-8763</v>
      </c>
      <c r="G89">
        <v>5694</v>
      </c>
      <c r="H89">
        <v>3813</v>
      </c>
      <c r="I89">
        <v>13185</v>
      </c>
      <c r="J89">
        <v>-4289</v>
      </c>
      <c r="K89">
        <v>-4538</v>
      </c>
    </row>
    <row r="90" spans="2:11" x14ac:dyDescent="0.25">
      <c r="B90">
        <v>2688</v>
      </c>
      <c r="C90">
        <v>-1920</v>
      </c>
      <c r="D90">
        <v>-15075</v>
      </c>
      <c r="E90">
        <v>967</v>
      </c>
      <c r="F90">
        <v>9930</v>
      </c>
      <c r="G90">
        <v>32107</v>
      </c>
      <c r="H90">
        <v>466</v>
      </c>
      <c r="I90">
        <v>11239</v>
      </c>
      <c r="J90">
        <v>-730</v>
      </c>
      <c r="K90">
        <v>-15544</v>
      </c>
    </row>
    <row r="91" spans="2:11" x14ac:dyDescent="0.25">
      <c r="B91">
        <v>7303</v>
      </c>
      <c r="C91">
        <v>-18427</v>
      </c>
      <c r="D91">
        <v>-43719</v>
      </c>
      <c r="E91">
        <v>26281</v>
      </c>
      <c r="F91">
        <v>-25384</v>
      </c>
      <c r="G91">
        <v>15408</v>
      </c>
      <c r="H91">
        <v>-17299</v>
      </c>
      <c r="I91">
        <v>-8898</v>
      </c>
      <c r="J91">
        <v>16090</v>
      </c>
      <c r="K91">
        <v>-21480</v>
      </c>
    </row>
    <row r="92" spans="2:11" x14ac:dyDescent="0.25">
      <c r="B92">
        <v>50073</v>
      </c>
      <c r="C92">
        <v>9352</v>
      </c>
      <c r="D92">
        <v>16330</v>
      </c>
      <c r="E92">
        <v>5156</v>
      </c>
      <c r="F92">
        <v>15543</v>
      </c>
      <c r="G92">
        <v>-4926</v>
      </c>
      <c r="H92">
        <v>-33805</v>
      </c>
      <c r="I92">
        <v>27088</v>
      </c>
      <c r="J92">
        <v>-10292</v>
      </c>
      <c r="K92">
        <v>56185</v>
      </c>
    </row>
    <row r="93" spans="2:11" x14ac:dyDescent="0.25">
      <c r="B93">
        <v>-12315</v>
      </c>
      <c r="C93">
        <v>-9995</v>
      </c>
      <c r="D93">
        <v>-585</v>
      </c>
      <c r="E93">
        <v>21735</v>
      </c>
      <c r="F93">
        <v>7915</v>
      </c>
      <c r="G93">
        <v>3018</v>
      </c>
      <c r="H93">
        <v>57397</v>
      </c>
      <c r="I93">
        <v>-668</v>
      </c>
      <c r="J93">
        <v>-5757</v>
      </c>
      <c r="K93">
        <v>8708</v>
      </c>
    </row>
    <row r="94" spans="2:11" x14ac:dyDescent="0.25">
      <c r="B94">
        <v>-17998</v>
      </c>
      <c r="C94">
        <v>-40901</v>
      </c>
      <c r="D94">
        <v>22721</v>
      </c>
      <c r="E94">
        <v>-24067</v>
      </c>
      <c r="F94">
        <v>24464</v>
      </c>
      <c r="G94">
        <v>-29170</v>
      </c>
      <c r="H94">
        <v>-14298</v>
      </c>
      <c r="I94">
        <v>-7</v>
      </c>
      <c r="J94">
        <v>-19261</v>
      </c>
      <c r="K94">
        <v>16018</v>
      </c>
    </row>
    <row r="95" spans="2:11" x14ac:dyDescent="0.25">
      <c r="B95">
        <v>3401</v>
      </c>
      <c r="C95">
        <v>25534</v>
      </c>
      <c r="D95">
        <v>21737</v>
      </c>
      <c r="E95">
        <v>24255</v>
      </c>
      <c r="F95">
        <v>18810</v>
      </c>
      <c r="G95">
        <v>-13556</v>
      </c>
      <c r="H95">
        <v>1682</v>
      </c>
      <c r="I95">
        <v>2020</v>
      </c>
      <c r="J95">
        <v>-968</v>
      </c>
      <c r="K95">
        <v>940</v>
      </c>
    </row>
    <row r="96" spans="2:11" x14ac:dyDescent="0.25">
      <c r="B96">
        <v>-3895</v>
      </c>
      <c r="C96">
        <v>436</v>
      </c>
      <c r="D96">
        <v>14</v>
      </c>
      <c r="E96">
        <v>5619</v>
      </c>
      <c r="F96">
        <v>-2105</v>
      </c>
      <c r="G96">
        <v>6832</v>
      </c>
      <c r="H96">
        <v>372</v>
      </c>
      <c r="I96">
        <v>-3704</v>
      </c>
      <c r="J96">
        <v>-2215</v>
      </c>
      <c r="K96">
        <v>3458</v>
      </c>
    </row>
    <row r="97" spans="2:11" x14ac:dyDescent="0.25">
      <c r="B97">
        <v>9230</v>
      </c>
      <c r="C97">
        <v>-9179</v>
      </c>
      <c r="D97">
        <v>-4211</v>
      </c>
      <c r="E97">
        <v>-11951</v>
      </c>
      <c r="F97">
        <v>-31767</v>
      </c>
      <c r="G97">
        <v>20592</v>
      </c>
      <c r="H97">
        <v>-16727</v>
      </c>
      <c r="I97">
        <v>26120</v>
      </c>
      <c r="J97">
        <v>-15875</v>
      </c>
      <c r="K97">
        <v>-8997</v>
      </c>
    </row>
    <row r="98" spans="2:11" x14ac:dyDescent="0.25">
      <c r="B98">
        <v>-3599</v>
      </c>
      <c r="C98">
        <v>-5920</v>
      </c>
      <c r="D98">
        <v>15169</v>
      </c>
      <c r="E98">
        <v>4190</v>
      </c>
      <c r="F98">
        <v>27758</v>
      </c>
      <c r="G98">
        <v>11452</v>
      </c>
      <c r="H98">
        <v>1333</v>
      </c>
      <c r="I98">
        <v>17590</v>
      </c>
      <c r="J98">
        <v>20481</v>
      </c>
      <c r="K98">
        <v>16902</v>
      </c>
    </row>
    <row r="99" spans="2:11" x14ac:dyDescent="0.25">
      <c r="B99">
        <v>-857</v>
      </c>
      <c r="C99">
        <v>167</v>
      </c>
      <c r="D99">
        <v>826</v>
      </c>
      <c r="E99">
        <v>57</v>
      </c>
      <c r="F99">
        <v>276</v>
      </c>
      <c r="G99">
        <v>-223</v>
      </c>
      <c r="H99">
        <v>335</v>
      </c>
      <c r="I99">
        <v>730</v>
      </c>
      <c r="J99">
        <v>264</v>
      </c>
      <c r="K99">
        <v>111</v>
      </c>
    </row>
    <row r="100" spans="2:11" x14ac:dyDescent="0.25">
      <c r="B100">
        <v>-418</v>
      </c>
      <c r="C100">
        <v>-72</v>
      </c>
      <c r="D100">
        <v>-249</v>
      </c>
      <c r="E100">
        <v>-70</v>
      </c>
      <c r="F100">
        <v>183</v>
      </c>
      <c r="G100">
        <v>-525</v>
      </c>
      <c r="H100">
        <v>220</v>
      </c>
      <c r="I100">
        <v>-290</v>
      </c>
      <c r="J100">
        <v>-551</v>
      </c>
      <c r="K100">
        <v>-32883</v>
      </c>
    </row>
    <row r="101" spans="2:11" x14ac:dyDescent="0.25">
      <c r="B101">
        <v>-4860</v>
      </c>
      <c r="C101">
        <v>-10950</v>
      </c>
      <c r="D101">
        <v>8201</v>
      </c>
      <c r="E101">
        <v>-7354</v>
      </c>
      <c r="F101">
        <v>9755</v>
      </c>
      <c r="G101">
        <v>-9735</v>
      </c>
      <c r="H101">
        <v>-7803</v>
      </c>
      <c r="I101">
        <v>2320</v>
      </c>
      <c r="J101">
        <v>-3940</v>
      </c>
      <c r="K101">
        <v>7380</v>
      </c>
    </row>
    <row r="102" spans="2:11" x14ac:dyDescent="0.25">
      <c r="B102">
        <v>2313</v>
      </c>
      <c r="C102">
        <v>10732</v>
      </c>
      <c r="D102">
        <v>3208</v>
      </c>
      <c r="E102">
        <v>-108</v>
      </c>
      <c r="F102">
        <v>8488</v>
      </c>
      <c r="G102">
        <v>8336</v>
      </c>
      <c r="H102">
        <v>5526</v>
      </c>
      <c r="I102">
        <v>859</v>
      </c>
      <c r="J102">
        <v>-17792</v>
      </c>
      <c r="K102">
        <v>317</v>
      </c>
    </row>
    <row r="103" spans="2:11" x14ac:dyDescent="0.25">
      <c r="B103">
        <v>-2271</v>
      </c>
      <c r="C103">
        <v>-835</v>
      </c>
      <c r="D103">
        <v>12860</v>
      </c>
      <c r="E103">
        <v>-4787</v>
      </c>
      <c r="F103">
        <v>23822</v>
      </c>
      <c r="G103">
        <v>-11169</v>
      </c>
      <c r="H103">
        <v>-9640</v>
      </c>
      <c r="I103">
        <v>8190</v>
      </c>
      <c r="J103">
        <v>1631</v>
      </c>
      <c r="K103">
        <v>4059</v>
      </c>
    </row>
    <row r="104" spans="2:11" x14ac:dyDescent="0.25">
      <c r="B104">
        <v>1878</v>
      </c>
      <c r="C104">
        <v>24732</v>
      </c>
      <c r="D104">
        <v>-3890</v>
      </c>
      <c r="E104">
        <v>-2739</v>
      </c>
      <c r="F104">
        <v>4429</v>
      </c>
      <c r="G104">
        <v>37966</v>
      </c>
      <c r="H104">
        <v>-2753</v>
      </c>
      <c r="I104">
        <v>3468</v>
      </c>
      <c r="J104">
        <v>7473</v>
      </c>
      <c r="K104">
        <v>-208</v>
      </c>
    </row>
    <row r="105" spans="2:11" x14ac:dyDescent="0.25">
      <c r="B105">
        <v>17023</v>
      </c>
      <c r="C105">
        <v>-2888</v>
      </c>
      <c r="D105">
        <v>-9803</v>
      </c>
      <c r="E105">
        <v>-8130</v>
      </c>
      <c r="F105">
        <v>-14617</v>
      </c>
      <c r="G105">
        <v>-317</v>
      </c>
      <c r="H105">
        <v>-6386</v>
      </c>
      <c r="I105">
        <v>-4567</v>
      </c>
      <c r="J105">
        <v>-792</v>
      </c>
      <c r="K105">
        <v>-5082</v>
      </c>
    </row>
    <row r="106" spans="2:11" x14ac:dyDescent="0.25">
      <c r="B106">
        <v>5620</v>
      </c>
      <c r="C106">
        <v>1621</v>
      </c>
      <c r="D106">
        <v>347</v>
      </c>
      <c r="E106">
        <v>3537</v>
      </c>
      <c r="F106">
        <v>952</v>
      </c>
      <c r="G106">
        <v>6550</v>
      </c>
      <c r="H106">
        <v>-5830</v>
      </c>
      <c r="I106">
        <v>7810</v>
      </c>
      <c r="J106">
        <v>1096</v>
      </c>
      <c r="K106">
        <v>3712</v>
      </c>
    </row>
    <row r="107" spans="2:11" x14ac:dyDescent="0.25">
      <c r="B107">
        <v>-79</v>
      </c>
      <c r="C107">
        <v>1939</v>
      </c>
      <c r="D107">
        <v>106</v>
      </c>
      <c r="E107">
        <v>-5508</v>
      </c>
      <c r="F107">
        <v>2392</v>
      </c>
      <c r="G107">
        <v>-81451</v>
      </c>
      <c r="H107">
        <v>11565</v>
      </c>
      <c r="I107">
        <v>-994</v>
      </c>
      <c r="J107">
        <v>2290</v>
      </c>
      <c r="K107">
        <v>1311</v>
      </c>
    </row>
    <row r="108" spans="2:11" x14ac:dyDescent="0.25">
      <c r="B108">
        <v>-485</v>
      </c>
      <c r="C108">
        <v>3489</v>
      </c>
      <c r="D108">
        <v>-2924</v>
      </c>
      <c r="E108">
        <v>-457</v>
      </c>
      <c r="F108">
        <v>-1324</v>
      </c>
      <c r="G108">
        <v>2099</v>
      </c>
      <c r="H108">
        <v>250</v>
      </c>
      <c r="I108">
        <v>-3878</v>
      </c>
      <c r="J108">
        <v>1306</v>
      </c>
      <c r="K108">
        <v>-2838</v>
      </c>
    </row>
    <row r="109" spans="2:11" x14ac:dyDescent="0.25">
      <c r="B109">
        <v>-173</v>
      </c>
      <c r="C109">
        <v>-2327</v>
      </c>
      <c r="D109">
        <v>-431</v>
      </c>
      <c r="E109">
        <v>-663</v>
      </c>
      <c r="F109">
        <v>-533</v>
      </c>
      <c r="G109">
        <v>-175</v>
      </c>
      <c r="H109">
        <v>-17843</v>
      </c>
      <c r="I109">
        <v>26977</v>
      </c>
      <c r="J109">
        <v>-38939</v>
      </c>
      <c r="K109">
        <v>11294</v>
      </c>
    </row>
    <row r="110" spans="2:11" x14ac:dyDescent="0.25">
      <c r="B110">
        <v>-10938</v>
      </c>
      <c r="C110">
        <v>16699</v>
      </c>
      <c r="D110">
        <v>9550</v>
      </c>
      <c r="E110">
        <v>2702</v>
      </c>
      <c r="F110">
        <v>13165</v>
      </c>
      <c r="G110">
        <v>-15347</v>
      </c>
      <c r="H110">
        <v>-3630</v>
      </c>
      <c r="I110">
        <v>-12929</v>
      </c>
      <c r="J110">
        <v>-20391</v>
      </c>
      <c r="K110">
        <v>-1147</v>
      </c>
    </row>
    <row r="111" spans="2:11" x14ac:dyDescent="0.25">
      <c r="B111">
        <v>-19380</v>
      </c>
      <c r="C111">
        <v>3297</v>
      </c>
      <c r="D111">
        <v>-19064</v>
      </c>
      <c r="E111">
        <v>-84</v>
      </c>
      <c r="F111">
        <v>-11000</v>
      </c>
      <c r="G111">
        <v>262</v>
      </c>
      <c r="H111">
        <v>-4164</v>
      </c>
      <c r="I111">
        <v>2791</v>
      </c>
      <c r="J111">
        <v>2402</v>
      </c>
      <c r="K111">
        <v>21747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10425</v>
      </c>
      <c r="H114">
        <v>18433</v>
      </c>
      <c r="I114">
        <v>-10139</v>
      </c>
      <c r="J114">
        <v>10228</v>
      </c>
      <c r="K114">
        <v>-22400</v>
      </c>
    </row>
    <row r="115" spans="2:11" x14ac:dyDescent="0.25">
      <c r="B115">
        <v>13085</v>
      </c>
      <c r="C115">
        <v>9111</v>
      </c>
      <c r="D115">
        <v>3263</v>
      </c>
      <c r="E115">
        <v>9178</v>
      </c>
      <c r="F115">
        <v>-10684</v>
      </c>
      <c r="G115">
        <v>-2705</v>
      </c>
      <c r="H115">
        <v>-23434</v>
      </c>
      <c r="I115">
        <v>-14300</v>
      </c>
      <c r="J115">
        <v>-1173</v>
      </c>
      <c r="K115">
        <v>-12392</v>
      </c>
    </row>
    <row r="116" spans="2:11" x14ac:dyDescent="0.25">
      <c r="B116">
        <v>-24960</v>
      </c>
      <c r="C116">
        <v>-9555</v>
      </c>
      <c r="D116">
        <v>-2146</v>
      </c>
      <c r="E116">
        <v>-7034</v>
      </c>
      <c r="F116">
        <v>-821</v>
      </c>
      <c r="G116">
        <v>-2229</v>
      </c>
      <c r="H116">
        <v>1230</v>
      </c>
      <c r="I116">
        <v>-2859</v>
      </c>
      <c r="J116">
        <v>2272</v>
      </c>
      <c r="K116">
        <v>10647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12405</v>
      </c>
      <c r="K119">
        <v>24713</v>
      </c>
    </row>
    <row r="120" spans="2:11" x14ac:dyDescent="0.25">
      <c r="B120">
        <v>-13750</v>
      </c>
      <c r="C120">
        <v>13796</v>
      </c>
      <c r="D120">
        <v>-29515</v>
      </c>
      <c r="E120">
        <v>18183</v>
      </c>
      <c r="F120">
        <v>12603</v>
      </c>
      <c r="G120">
        <v>3658</v>
      </c>
      <c r="H120">
        <v>5792</v>
      </c>
      <c r="I120">
        <v>-16536</v>
      </c>
      <c r="J120">
        <v>-4139</v>
      </c>
      <c r="K120">
        <v>-31170</v>
      </c>
    </row>
    <row r="121" spans="2:11" x14ac:dyDescent="0.25">
      <c r="B121">
        <v>-15814</v>
      </c>
      <c r="C121">
        <v>-1802</v>
      </c>
      <c r="D121">
        <v>-19445</v>
      </c>
      <c r="E121">
        <v>-19736</v>
      </c>
      <c r="F121">
        <v>-14332</v>
      </c>
      <c r="G121">
        <v>-595</v>
      </c>
      <c r="H121">
        <v>-9731</v>
      </c>
      <c r="I121">
        <v>-778</v>
      </c>
      <c r="J121">
        <v>-3190</v>
      </c>
      <c r="K121">
        <v>783</v>
      </c>
    </row>
    <row r="122" spans="2:11" x14ac:dyDescent="0.25">
      <c r="B122">
        <v>-3440</v>
      </c>
      <c r="C122">
        <v>2559</v>
      </c>
      <c r="D122">
        <v>13286</v>
      </c>
      <c r="E122">
        <v>0</v>
      </c>
      <c r="F122">
        <v>78489</v>
      </c>
      <c r="G122">
        <v>0</v>
      </c>
      <c r="H122">
        <v>759</v>
      </c>
      <c r="I122">
        <v>-2477</v>
      </c>
      <c r="J122">
        <v>-753</v>
      </c>
      <c r="K122">
        <v>-1215</v>
      </c>
    </row>
    <row r="123" spans="2:11" x14ac:dyDescent="0.25">
      <c r="B123">
        <v>-30539</v>
      </c>
      <c r="C123">
        <v>-1391</v>
      </c>
      <c r="D123">
        <v>1478</v>
      </c>
      <c r="E123">
        <v>463</v>
      </c>
      <c r="F123">
        <v>9135</v>
      </c>
      <c r="G123">
        <v>1957</v>
      </c>
      <c r="H123">
        <v>143</v>
      </c>
      <c r="I123">
        <v>-30564</v>
      </c>
      <c r="J123">
        <v>-1220</v>
      </c>
      <c r="K123">
        <v>-1179</v>
      </c>
    </row>
    <row r="124" spans="2:11" x14ac:dyDescent="0.25">
      <c r="B124">
        <v>2605</v>
      </c>
      <c r="C124">
        <v>-58</v>
      </c>
      <c r="D124">
        <v>-295</v>
      </c>
      <c r="E124">
        <v>933</v>
      </c>
      <c r="F124">
        <v>819</v>
      </c>
      <c r="G124">
        <v>70</v>
      </c>
      <c r="H124">
        <v>197</v>
      </c>
      <c r="I124">
        <v>-146</v>
      </c>
      <c r="J124">
        <v>13191</v>
      </c>
      <c r="K124">
        <v>-892</v>
      </c>
    </row>
    <row r="125" spans="2:11" x14ac:dyDescent="0.25">
      <c r="B125">
        <v>-1457</v>
      </c>
      <c r="C125">
        <v>0</v>
      </c>
      <c r="D125">
        <v>-548</v>
      </c>
      <c r="E125">
        <v>0</v>
      </c>
      <c r="F125">
        <v>-2401</v>
      </c>
      <c r="G125">
        <v>14199</v>
      </c>
      <c r="H125">
        <v>36859</v>
      </c>
      <c r="I125">
        <v>-19408</v>
      </c>
      <c r="J125">
        <v>22664</v>
      </c>
      <c r="K125">
        <v>-40784</v>
      </c>
    </row>
    <row r="126" spans="2:11" x14ac:dyDescent="0.25">
      <c r="B126">
        <v>26062</v>
      </c>
      <c r="C126">
        <v>17898</v>
      </c>
      <c r="D126">
        <v>10646</v>
      </c>
      <c r="E126">
        <v>21046</v>
      </c>
      <c r="F126">
        <v>-21913</v>
      </c>
      <c r="G126">
        <v>-6832</v>
      </c>
      <c r="H126">
        <v>-43664</v>
      </c>
      <c r="I126">
        <v>-16700</v>
      </c>
      <c r="J126">
        <v>-4242</v>
      </c>
      <c r="K126">
        <v>-25014</v>
      </c>
    </row>
    <row r="127" spans="2:11" x14ac:dyDescent="0.25">
      <c r="B127">
        <v>1029</v>
      </c>
      <c r="C127">
        <v>-27821</v>
      </c>
      <c r="D127">
        <v>-957</v>
      </c>
      <c r="E127">
        <v>-14270</v>
      </c>
      <c r="F127">
        <v>708</v>
      </c>
      <c r="G127">
        <v>-6410</v>
      </c>
      <c r="H127">
        <v>-630</v>
      </c>
      <c r="I127">
        <v>-8663</v>
      </c>
      <c r="J127">
        <v>2400</v>
      </c>
      <c r="K127">
        <v>18417</v>
      </c>
    </row>
    <row r="128" spans="2:11" x14ac:dyDescent="0.25">
      <c r="B128">
        <v>0</v>
      </c>
      <c r="C128">
        <v>9936</v>
      </c>
      <c r="D128">
        <v>0</v>
      </c>
      <c r="E128">
        <v>12910</v>
      </c>
      <c r="F128">
        <v>30423</v>
      </c>
      <c r="G128">
        <v>9225</v>
      </c>
      <c r="H128">
        <v>20932</v>
      </c>
      <c r="I128">
        <v>-9938</v>
      </c>
      <c r="J128">
        <v>12291</v>
      </c>
      <c r="K128">
        <v>-39154</v>
      </c>
    </row>
    <row r="129" spans="2:11" x14ac:dyDescent="0.25">
      <c r="B129">
        <v>12201</v>
      </c>
      <c r="C129">
        <v>6455</v>
      </c>
      <c r="D129">
        <v>12735</v>
      </c>
      <c r="E129">
        <v>10363</v>
      </c>
      <c r="F129">
        <v>-11448</v>
      </c>
      <c r="G129">
        <v>-3390</v>
      </c>
      <c r="H129">
        <v>-40574</v>
      </c>
      <c r="I129">
        <v>-7351</v>
      </c>
      <c r="J129">
        <v>-3026</v>
      </c>
      <c r="K129">
        <v>-13124</v>
      </c>
    </row>
    <row r="130" spans="2:11" x14ac:dyDescent="0.25">
      <c r="B130">
        <v>4972</v>
      </c>
      <c r="C130">
        <v>-17511</v>
      </c>
      <c r="D130">
        <v>-1630</v>
      </c>
      <c r="E130">
        <v>-8490</v>
      </c>
      <c r="F130">
        <v>468</v>
      </c>
      <c r="G130">
        <v>-3569</v>
      </c>
      <c r="H130">
        <v>-777</v>
      </c>
      <c r="I130">
        <v>-5066</v>
      </c>
      <c r="J130">
        <v>1179</v>
      </c>
      <c r="K130">
        <v>8467</v>
      </c>
    </row>
    <row r="131" spans="2:11" x14ac:dyDescent="0.25">
      <c r="B131">
        <v>0</v>
      </c>
      <c r="C131">
        <v>6314</v>
      </c>
      <c r="D131">
        <v>0</v>
      </c>
      <c r="E131">
        <v>7689</v>
      </c>
      <c r="F131">
        <v>46291</v>
      </c>
      <c r="G131">
        <v>45042</v>
      </c>
      <c r="H131">
        <v>9969</v>
      </c>
      <c r="I131">
        <v>23453</v>
      </c>
      <c r="J131">
        <v>-10623</v>
      </c>
      <c r="K131">
        <v>10147</v>
      </c>
    </row>
    <row r="132" spans="2:11" x14ac:dyDescent="0.25">
      <c r="B132">
        <v>-9194</v>
      </c>
      <c r="C132">
        <v>13386</v>
      </c>
      <c r="D132">
        <v>9183</v>
      </c>
      <c r="E132">
        <v>2620</v>
      </c>
      <c r="F132">
        <v>8761</v>
      </c>
      <c r="G132">
        <v>-13091</v>
      </c>
      <c r="H132">
        <v>-3565</v>
      </c>
      <c r="I132">
        <v>-10594</v>
      </c>
      <c r="J132">
        <v>-13368</v>
      </c>
      <c r="K132">
        <v>-2390</v>
      </c>
    </row>
    <row r="133" spans="2:11" x14ac:dyDescent="0.25">
      <c r="B133">
        <v>-15234</v>
      </c>
      <c r="C133">
        <v>5649</v>
      </c>
      <c r="D133">
        <v>-16129</v>
      </c>
      <c r="E133">
        <v>-1544</v>
      </c>
      <c r="F133">
        <v>-43393</v>
      </c>
      <c r="G133">
        <v>1483</v>
      </c>
      <c r="H133">
        <v>4426</v>
      </c>
      <c r="I133">
        <v>383</v>
      </c>
      <c r="J133">
        <v>-9523</v>
      </c>
      <c r="K133">
        <v>2557</v>
      </c>
    </row>
    <row r="134" spans="2:11" x14ac:dyDescent="0.25">
      <c r="B134">
        <v>10526</v>
      </c>
      <c r="C134">
        <v>0</v>
      </c>
      <c r="D134">
        <v>8109</v>
      </c>
      <c r="E134">
        <v>0</v>
      </c>
      <c r="F134">
        <v>9876</v>
      </c>
      <c r="G134">
        <v>-2167</v>
      </c>
      <c r="H134">
        <v>13254</v>
      </c>
      <c r="I134">
        <v>19174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2338</v>
      </c>
      <c r="C145">
        <v>6520</v>
      </c>
      <c r="D145">
        <v>-5236</v>
      </c>
      <c r="E145">
        <v>6099</v>
      </c>
      <c r="F145">
        <v>-5034</v>
      </c>
      <c r="G145">
        <v>3792</v>
      </c>
      <c r="H145">
        <v>882</v>
      </c>
      <c r="I145">
        <v>1115</v>
      </c>
      <c r="J145">
        <v>2200</v>
      </c>
      <c r="K145">
        <v>-3778</v>
      </c>
    </row>
    <row r="146" spans="2:11" x14ac:dyDescent="0.25">
      <c r="B146">
        <v>-1038</v>
      </c>
      <c r="C146">
        <v>-5461</v>
      </c>
      <c r="D146">
        <v>-1379</v>
      </c>
      <c r="E146">
        <v>402</v>
      </c>
      <c r="F146">
        <v>-4400</v>
      </c>
      <c r="G146">
        <v>-2233</v>
      </c>
      <c r="H146">
        <v>-4676</v>
      </c>
      <c r="I146">
        <v>454</v>
      </c>
      <c r="J146">
        <v>-70938</v>
      </c>
      <c r="K146">
        <v>749</v>
      </c>
    </row>
    <row r="147" spans="2:11" x14ac:dyDescent="0.25">
      <c r="B147">
        <v>5635</v>
      </c>
      <c r="C147">
        <v>-830</v>
      </c>
      <c r="D147">
        <v>-1159</v>
      </c>
      <c r="E147">
        <v>1465</v>
      </c>
      <c r="F147">
        <v>2742</v>
      </c>
      <c r="G147">
        <v>0</v>
      </c>
      <c r="H147">
        <v>1810</v>
      </c>
      <c r="I147">
        <v>0</v>
      </c>
      <c r="J147">
        <v>2562</v>
      </c>
      <c r="K147">
        <v>-104</v>
      </c>
    </row>
    <row r="148" spans="2:11" x14ac:dyDescent="0.25">
      <c r="B148">
        <v>4268</v>
      </c>
      <c r="C148">
        <v>2113</v>
      </c>
      <c r="D148">
        <v>7150</v>
      </c>
      <c r="E148">
        <v>0</v>
      </c>
      <c r="F148">
        <v>0</v>
      </c>
      <c r="G148">
        <v>0</v>
      </c>
      <c r="H148">
        <v>-1356</v>
      </c>
      <c r="I148">
        <v>14309</v>
      </c>
      <c r="J148">
        <v>-7673</v>
      </c>
      <c r="K148">
        <v>16076</v>
      </c>
    </row>
    <row r="149" spans="2:11" x14ac:dyDescent="0.25">
      <c r="B149">
        <v>-3262</v>
      </c>
      <c r="C149">
        <v>7816</v>
      </c>
      <c r="D149">
        <v>4256</v>
      </c>
      <c r="E149">
        <v>1370</v>
      </c>
      <c r="F149">
        <v>6597</v>
      </c>
      <c r="G149">
        <v>-7331</v>
      </c>
      <c r="H149">
        <v>-1834</v>
      </c>
      <c r="I149">
        <v>-4094</v>
      </c>
      <c r="J149">
        <v>-1065</v>
      </c>
      <c r="K149">
        <v>790</v>
      </c>
    </row>
    <row r="150" spans="2:11" x14ac:dyDescent="0.25">
      <c r="B150">
        <v>-8868</v>
      </c>
      <c r="C150">
        <v>5638</v>
      </c>
      <c r="D150">
        <v>-9107</v>
      </c>
      <c r="E150">
        <v>669</v>
      </c>
      <c r="F150">
        <v>1464</v>
      </c>
      <c r="G150">
        <v>-3008</v>
      </c>
      <c r="H150">
        <v>4556</v>
      </c>
      <c r="I150">
        <v>888</v>
      </c>
      <c r="J150">
        <v>-2676</v>
      </c>
      <c r="K150">
        <v>3741</v>
      </c>
    </row>
    <row r="151" spans="2:11" x14ac:dyDescent="0.25">
      <c r="B151">
        <v>11745</v>
      </c>
      <c r="C151">
        <v>0</v>
      </c>
      <c r="D151">
        <v>5532</v>
      </c>
      <c r="E151">
        <v>0</v>
      </c>
      <c r="F151">
        <v>6792</v>
      </c>
      <c r="G151">
        <v>-869</v>
      </c>
      <c r="H151">
        <v>8637</v>
      </c>
      <c r="I151">
        <v>4351</v>
      </c>
      <c r="J151">
        <v>5220</v>
      </c>
      <c r="K151">
        <v>0</v>
      </c>
    </row>
    <row r="152" spans="2:11" x14ac:dyDescent="0.25">
      <c r="B152">
        <v>0</v>
      </c>
      <c r="C152">
        <v>0</v>
      </c>
      <c r="D152">
        <v>-38461</v>
      </c>
      <c r="E152">
        <v>-11075</v>
      </c>
      <c r="F152">
        <v>-481</v>
      </c>
      <c r="G152">
        <v>319</v>
      </c>
      <c r="H152">
        <v>-1503</v>
      </c>
      <c r="I152">
        <v>2268</v>
      </c>
      <c r="J152">
        <v>-323</v>
      </c>
      <c r="K152">
        <v>-551</v>
      </c>
    </row>
    <row r="153" spans="2:11" x14ac:dyDescent="0.25">
      <c r="B153">
        <v>-494</v>
      </c>
      <c r="C153">
        <v>-67</v>
      </c>
      <c r="D153">
        <v>738</v>
      </c>
      <c r="E153">
        <v>341</v>
      </c>
      <c r="F153">
        <v>2213</v>
      </c>
      <c r="G153">
        <v>-980</v>
      </c>
      <c r="H153">
        <v>67</v>
      </c>
      <c r="I153">
        <v>321</v>
      </c>
      <c r="J153">
        <v>2254</v>
      </c>
      <c r="K153">
        <v>-5</v>
      </c>
    </row>
    <row r="154" spans="2:11" x14ac:dyDescent="0.25">
      <c r="B154">
        <v>-582</v>
      </c>
      <c r="C154">
        <v>-302</v>
      </c>
      <c r="D154">
        <v>1683</v>
      </c>
      <c r="E154">
        <v>-4897</v>
      </c>
      <c r="F154">
        <v>391</v>
      </c>
      <c r="G154">
        <v>325</v>
      </c>
      <c r="H154">
        <v>781</v>
      </c>
      <c r="I154">
        <v>10675</v>
      </c>
      <c r="J154">
        <v>0</v>
      </c>
      <c r="K154">
        <v>96</v>
      </c>
    </row>
    <row r="155" spans="2:11" x14ac:dyDescent="0.25">
      <c r="B155">
        <v>0</v>
      </c>
      <c r="C155">
        <v>40</v>
      </c>
      <c r="D155">
        <v>-352</v>
      </c>
      <c r="E155">
        <v>1102</v>
      </c>
      <c r="F155">
        <v>-141</v>
      </c>
      <c r="G155">
        <v>5454</v>
      </c>
      <c r="H155">
        <v>0</v>
      </c>
      <c r="I155">
        <v>0</v>
      </c>
      <c r="J155">
        <v>0</v>
      </c>
      <c r="K155">
        <v>-6368</v>
      </c>
    </row>
    <row r="156" spans="2:11" x14ac:dyDescent="0.25">
      <c r="B156">
        <v>-26948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6007</v>
      </c>
      <c r="C160">
        <v>24898</v>
      </c>
      <c r="D160">
        <v>-3816</v>
      </c>
      <c r="E160">
        <v>13113</v>
      </c>
      <c r="F160">
        <v>1809</v>
      </c>
      <c r="G160">
        <v>13020</v>
      </c>
      <c r="H160">
        <v>7565</v>
      </c>
      <c r="I160">
        <v>2273</v>
      </c>
      <c r="J160">
        <v>5975</v>
      </c>
      <c r="K160">
        <v>-12897</v>
      </c>
    </row>
    <row r="161" spans="2:11" x14ac:dyDescent="0.25">
      <c r="B161">
        <v>-3322</v>
      </c>
      <c r="C161">
        <v>486</v>
      </c>
      <c r="D161">
        <v>-10873</v>
      </c>
      <c r="E161">
        <v>-2817</v>
      </c>
      <c r="F161">
        <v>-15280</v>
      </c>
      <c r="G161">
        <v>19856</v>
      </c>
      <c r="H161">
        <v>-17786</v>
      </c>
      <c r="I161">
        <v>-1696</v>
      </c>
      <c r="J161">
        <v>-3523</v>
      </c>
      <c r="K161">
        <v>619</v>
      </c>
    </row>
    <row r="162" spans="2:11" x14ac:dyDescent="0.25">
      <c r="B162">
        <v>-3628</v>
      </c>
      <c r="C162">
        <v>5020</v>
      </c>
      <c r="D162">
        <v>-16145</v>
      </c>
      <c r="E162">
        <v>712</v>
      </c>
      <c r="F162">
        <v>11550</v>
      </c>
      <c r="G162">
        <v>0</v>
      </c>
      <c r="H162">
        <v>7318</v>
      </c>
      <c r="I162">
        <v>0</v>
      </c>
      <c r="J162">
        <v>9257</v>
      </c>
      <c r="K162">
        <v>-4065</v>
      </c>
    </row>
    <row r="163" spans="2:11" x14ac:dyDescent="0.25">
      <c r="B163">
        <v>38602</v>
      </c>
      <c r="C163">
        <v>11690</v>
      </c>
      <c r="D163">
        <v>10477</v>
      </c>
      <c r="E163">
        <v>0</v>
      </c>
      <c r="F163">
        <v>0</v>
      </c>
      <c r="G163">
        <v>0</v>
      </c>
      <c r="H163">
        <v>2319</v>
      </c>
      <c r="I163">
        <v>4769</v>
      </c>
      <c r="J163">
        <v>1545</v>
      </c>
      <c r="K163">
        <v>0</v>
      </c>
    </row>
    <row r="164" spans="2:11" x14ac:dyDescent="0.25">
      <c r="B164">
        <v>24182</v>
      </c>
      <c r="C164">
        <v>64555</v>
      </c>
      <c r="D164">
        <v>-22685</v>
      </c>
      <c r="E164">
        <v>29071</v>
      </c>
      <c r="F164">
        <v>-15404</v>
      </c>
      <c r="G164">
        <v>35007</v>
      </c>
      <c r="H164">
        <v>23528</v>
      </c>
      <c r="I164">
        <v>6748</v>
      </c>
      <c r="J164">
        <v>19896</v>
      </c>
      <c r="K164">
        <v>-33563</v>
      </c>
    </row>
    <row r="165" spans="2:11" x14ac:dyDescent="0.25">
      <c r="B165">
        <v>-9023</v>
      </c>
      <c r="C165">
        <v>-18915</v>
      </c>
      <c r="D165">
        <v>-30618</v>
      </c>
      <c r="E165">
        <v>-5520</v>
      </c>
      <c r="F165">
        <v>-39173</v>
      </c>
      <c r="G165">
        <v>21374</v>
      </c>
      <c r="H165">
        <v>-39705</v>
      </c>
      <c r="I165">
        <v>-2180</v>
      </c>
      <c r="J165">
        <v>-18208</v>
      </c>
      <c r="K165">
        <v>582</v>
      </c>
    </row>
    <row r="166" spans="2:11" x14ac:dyDescent="0.25">
      <c r="B166">
        <v>-9374</v>
      </c>
      <c r="C166">
        <v>4674</v>
      </c>
      <c r="D166">
        <v>-19141</v>
      </c>
      <c r="E166">
        <v>3967</v>
      </c>
      <c r="F166">
        <v>26444</v>
      </c>
      <c r="G166">
        <v>0</v>
      </c>
      <c r="H166">
        <v>19435</v>
      </c>
      <c r="I166">
        <v>0</v>
      </c>
      <c r="J166">
        <v>24074</v>
      </c>
      <c r="K166">
        <v>-4575</v>
      </c>
    </row>
    <row r="167" spans="2:11" x14ac:dyDescent="0.25">
      <c r="B167">
        <v>36453</v>
      </c>
      <c r="C167">
        <v>36244</v>
      </c>
      <c r="D167">
        <v>36427</v>
      </c>
      <c r="E167">
        <v>0</v>
      </c>
      <c r="F167">
        <v>0</v>
      </c>
      <c r="G167">
        <v>0</v>
      </c>
      <c r="H167">
        <v>5595</v>
      </c>
      <c r="I167">
        <v>13818</v>
      </c>
      <c r="J167">
        <v>812</v>
      </c>
      <c r="K167">
        <v>0</v>
      </c>
    </row>
    <row r="168" spans="2:11" x14ac:dyDescent="0.25">
      <c r="B168">
        <v>40470</v>
      </c>
      <c r="C168">
        <v>-7659</v>
      </c>
      <c r="D168">
        <v>16297</v>
      </c>
      <c r="E168">
        <v>-8561</v>
      </c>
      <c r="F168">
        <v>20403</v>
      </c>
      <c r="G168">
        <v>1877</v>
      </c>
      <c r="H168">
        <v>6386</v>
      </c>
      <c r="I168">
        <v>2766</v>
      </c>
      <c r="J168">
        <v>1541</v>
      </c>
      <c r="K168">
        <v>7864</v>
      </c>
    </row>
    <row r="169" spans="2:11" x14ac:dyDescent="0.25">
      <c r="B169">
        <v>-6125</v>
      </c>
      <c r="C169">
        <v>-1271</v>
      </c>
      <c r="D169">
        <v>1221</v>
      </c>
      <c r="E169">
        <v>2324</v>
      </c>
      <c r="F169">
        <v>2507</v>
      </c>
      <c r="G169">
        <v>-7776</v>
      </c>
      <c r="H169">
        <v>13309</v>
      </c>
      <c r="I169">
        <v>-8060</v>
      </c>
      <c r="J169">
        <v>884</v>
      </c>
      <c r="K169">
        <v>-4543</v>
      </c>
    </row>
    <row r="170" spans="2:11" x14ac:dyDescent="0.25">
      <c r="B170">
        <v>354</v>
      </c>
      <c r="C170">
        <v>-1708</v>
      </c>
      <c r="D170">
        <v>7365</v>
      </c>
      <c r="E170">
        <v>-1702</v>
      </c>
      <c r="F170">
        <v>8774</v>
      </c>
      <c r="G170">
        <v>18021</v>
      </c>
      <c r="H170">
        <v>0</v>
      </c>
      <c r="I170">
        <v>6268</v>
      </c>
      <c r="J170">
        <v>0</v>
      </c>
      <c r="K170">
        <v>7468</v>
      </c>
    </row>
    <row r="171" spans="2:11" x14ac:dyDescent="0.25">
      <c r="B171">
        <v>-1032</v>
      </c>
      <c r="C171">
        <v>8416</v>
      </c>
      <c r="D171">
        <v>3703</v>
      </c>
      <c r="E171">
        <v>6402</v>
      </c>
      <c r="F171">
        <v>0</v>
      </c>
      <c r="G171">
        <v>0</v>
      </c>
      <c r="H171">
        <v>0</v>
      </c>
      <c r="I171">
        <v>768</v>
      </c>
      <c r="J171">
        <v>25832</v>
      </c>
      <c r="K171">
        <v>-402</v>
      </c>
    </row>
    <row r="172" spans="2:11" x14ac:dyDescent="0.25">
      <c r="B172">
        <v>0</v>
      </c>
      <c r="C172">
        <v>5541</v>
      </c>
      <c r="D172">
        <v>11082</v>
      </c>
      <c r="E172">
        <v>-11949</v>
      </c>
      <c r="F172">
        <v>-8804</v>
      </c>
      <c r="G172">
        <v>10295</v>
      </c>
      <c r="H172">
        <v>-3095</v>
      </c>
      <c r="I172">
        <v>14183</v>
      </c>
      <c r="J172">
        <v>-2243</v>
      </c>
      <c r="K172">
        <v>-1926</v>
      </c>
    </row>
    <row r="173" spans="2:11" x14ac:dyDescent="0.25">
      <c r="B173">
        <v>-1336</v>
      </c>
      <c r="C173">
        <v>1123</v>
      </c>
      <c r="D173">
        <v>1656</v>
      </c>
      <c r="E173">
        <v>557</v>
      </c>
      <c r="F173">
        <v>14170</v>
      </c>
      <c r="G173">
        <v>191</v>
      </c>
      <c r="H173">
        <v>776</v>
      </c>
      <c r="I173">
        <v>1440</v>
      </c>
      <c r="J173">
        <v>18231</v>
      </c>
      <c r="K173">
        <v>1383</v>
      </c>
    </row>
    <row r="174" spans="2:11" x14ac:dyDescent="0.25">
      <c r="B174">
        <v>-800</v>
      </c>
      <c r="C174">
        <v>6729</v>
      </c>
      <c r="D174">
        <v>305</v>
      </c>
      <c r="E174">
        <v>698</v>
      </c>
      <c r="F174">
        <v>-2035</v>
      </c>
      <c r="G174">
        <v>1232</v>
      </c>
      <c r="H174">
        <v>-4847</v>
      </c>
      <c r="I174">
        <v>6803</v>
      </c>
      <c r="J174">
        <v>0</v>
      </c>
      <c r="K174">
        <v>-1116</v>
      </c>
    </row>
    <row r="175" spans="2:11" x14ac:dyDescent="0.25">
      <c r="B175">
        <v>0</v>
      </c>
      <c r="C175">
        <v>-1575</v>
      </c>
      <c r="D175">
        <v>849</v>
      </c>
      <c r="E175">
        <v>-1031</v>
      </c>
      <c r="F175">
        <v>-423</v>
      </c>
      <c r="G175">
        <v>-2550</v>
      </c>
      <c r="H175">
        <v>0</v>
      </c>
      <c r="I175">
        <v>0</v>
      </c>
      <c r="J175">
        <v>0</v>
      </c>
      <c r="K175">
        <v>212</v>
      </c>
    </row>
    <row r="176" spans="2:11" x14ac:dyDescent="0.25">
      <c r="B176">
        <v>-4535</v>
      </c>
      <c r="C176">
        <v>7193</v>
      </c>
      <c r="D176">
        <v>0</v>
      </c>
      <c r="E176">
        <v>-4162</v>
      </c>
      <c r="F176">
        <v>4609</v>
      </c>
      <c r="G176">
        <v>-67872</v>
      </c>
      <c r="H176">
        <v>-33844</v>
      </c>
      <c r="I176">
        <v>-80602</v>
      </c>
      <c r="J176">
        <v>46284</v>
      </c>
      <c r="K176">
        <v>-48229</v>
      </c>
    </row>
    <row r="177" spans="2:11" x14ac:dyDescent="0.25">
      <c r="B177">
        <v>46995</v>
      </c>
      <c r="C177">
        <v>-47720</v>
      </c>
      <c r="D177">
        <v>-31903</v>
      </c>
      <c r="E177">
        <v>-8740</v>
      </c>
      <c r="F177">
        <v>-32601</v>
      </c>
      <c r="G177">
        <v>46361</v>
      </c>
      <c r="H177">
        <v>12723</v>
      </c>
      <c r="I177">
        <v>52079</v>
      </c>
      <c r="J177">
        <v>35193</v>
      </c>
      <c r="K177">
        <v>5786</v>
      </c>
    </row>
    <row r="178" spans="2:11" x14ac:dyDescent="0.25">
      <c r="B178">
        <v>53957</v>
      </c>
      <c r="C178">
        <v>11049</v>
      </c>
      <c r="D178">
        <v>51534</v>
      </c>
      <c r="E178">
        <v>-1536</v>
      </c>
      <c r="F178">
        <v>33344</v>
      </c>
      <c r="G178">
        <v>-704</v>
      </c>
      <c r="H178">
        <v>13851</v>
      </c>
      <c r="I178">
        <v>3374</v>
      </c>
      <c r="J178">
        <v>13007</v>
      </c>
      <c r="K178">
        <v>-5635</v>
      </c>
    </row>
    <row r="179" spans="2:11" x14ac:dyDescent="0.25">
      <c r="B179">
        <v>-36657</v>
      </c>
      <c r="C179">
        <v>0</v>
      </c>
      <c r="D179">
        <v>-23150</v>
      </c>
      <c r="E179">
        <v>0</v>
      </c>
      <c r="F179">
        <v>-29906</v>
      </c>
      <c r="G179">
        <v>2081</v>
      </c>
      <c r="H179">
        <v>-46017</v>
      </c>
      <c r="I179">
        <v>-25909</v>
      </c>
      <c r="J179">
        <v>-28292</v>
      </c>
      <c r="K179">
        <v>0</v>
      </c>
    </row>
    <row r="180" spans="2:11" x14ac:dyDescent="0.25">
      <c r="B180">
        <v>0</v>
      </c>
      <c r="C180">
        <v>0</v>
      </c>
      <c r="D180">
        <v>-9155</v>
      </c>
      <c r="E180">
        <v>-18609</v>
      </c>
      <c r="F180">
        <v>398</v>
      </c>
      <c r="G180">
        <v>0</v>
      </c>
      <c r="H180">
        <v>-28733</v>
      </c>
      <c r="I180">
        <v>-72155</v>
      </c>
      <c r="J180">
        <v>-17712</v>
      </c>
      <c r="K180">
        <v>2817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4"/>
  <sheetViews>
    <sheetView workbookViewId="0">
      <selection activeCell="M13" sqref="M1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254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252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1.1237337000000001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0.86183609999999999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-5.6403108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-5.9141281000000001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-4.8747011999999996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-4.1573700000000002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0.97510620000000003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2.1275970000000002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1.7497597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-7.2848658999999998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-0.40221770000000001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2.9044382999999998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0.53543289999999999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1.1826209000000001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0.88959319999999997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253</v>
      </c>
      <c r="D30" t="s">
        <v>235</v>
      </c>
      <c r="E30">
        <v>25</v>
      </c>
      <c r="F30" t="s">
        <v>252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BD130"/>
  <sheetViews>
    <sheetView tabSelected="1" topLeftCell="V40" workbookViewId="0">
      <selection activeCell="AK56" sqref="AK56"/>
    </sheetView>
  </sheetViews>
  <sheetFormatPr defaultRowHeight="15" x14ac:dyDescent="0.25"/>
  <cols>
    <col min="2" max="2" bestFit="true" customWidth="true" width="14.140625" collapsed="true"/>
    <col min="3" max="3" bestFit="true" customWidth="true" width="10.5703125" collapsed="true"/>
    <col min="18" max="18" customWidth="true" width="13.85546875" collapsed="true"/>
    <col min="19" max="19" customWidth="true" width="11.7109375" collapsed="true"/>
    <col min="20" max="20" customWidth="true" width="10.140625" collapsed="true"/>
    <col min="21" max="21" customWidth="true" width="10.42578125" collapsed="true"/>
    <col min="25" max="25" bestFit="true" customWidth="true" width="17.0" collapsed="true"/>
    <col min="26" max="28" bestFit="true" customWidth="true" width="10.28515625" collapsed="true"/>
    <col min="29" max="29" customWidth="true" width="10.85546875" collapsed="true"/>
    <col min="34" max="34" bestFit="true" customWidth="true" width="11.0" collapsed="true"/>
    <col min="36" max="36" bestFit="true" customWidth="true" width="10.28515625" collapsed="true"/>
    <col min="38" max="38" style="59" width="9.140625" collapsed="true"/>
    <col min="39" max="39" bestFit="true" customWidth="true" width="11.0" collapsed="true"/>
    <col min="40" max="41" bestFit="true" customWidth="true" width="9.28515625" collapsed="true"/>
    <col min="43" max="43" style="59" width="9.140625" collapsed="true"/>
    <col min="48" max="48" style="59" width="9.140625" collapsed="true"/>
    <col min="49" max="49" bestFit="true" customWidth="true" width="11.7109375" collapsed="true"/>
    <col min="50" max="51" bestFit="true" customWidth="true" width="12.7109375" collapsed="true"/>
    <col min="53" max="53" style="59" width="9.140625" collapsed="true"/>
  </cols>
  <sheetData>
    <row r="1" spans="2:56" x14ac:dyDescent="0.25">
      <c r="R1" s="36" t="s">
        <v>272</v>
      </c>
      <c r="S1" s="64"/>
      <c r="T1" s="64"/>
      <c r="U1" s="64"/>
      <c r="V1" s="64"/>
      <c r="W1" s="65"/>
      <c r="AG1" s="36" t="s">
        <v>259</v>
      </c>
      <c r="AL1" s="63" t="s">
        <v>260</v>
      </c>
      <c r="AQ1" s="63" t="s">
        <v>261</v>
      </c>
      <c r="AV1" s="63" t="s">
        <v>262</v>
      </c>
      <c r="BA1" s="63" t="s">
        <v>263</v>
      </c>
    </row>
    <row r="2" spans="2:56" x14ac:dyDescent="0.25">
      <c r="B2" t="s">
        <v>194</v>
      </c>
      <c r="R2" s="64"/>
      <c r="S2" s="36" t="s">
        <v>264</v>
      </c>
      <c r="U2" s="64"/>
      <c r="V2" s="64"/>
      <c r="W2" s="65"/>
      <c r="AI2" s="51" t="s">
        <v>242</v>
      </c>
      <c r="AJ2" s="51" t="s">
        <v>243</v>
      </c>
      <c r="AN2" s="51" t="s">
        <v>242</v>
      </c>
      <c r="AO2" s="51" t="s">
        <v>243</v>
      </c>
      <c r="AS2" s="51" t="s">
        <v>242</v>
      </c>
      <c r="AT2" s="51" t="s">
        <v>243</v>
      </c>
      <c r="AX2" s="51" t="s">
        <v>242</v>
      </c>
      <c r="AY2" s="51" t="s">
        <v>243</v>
      </c>
      <c r="BC2" s="51" t="s">
        <v>242</v>
      </c>
      <c r="BD2" s="51" t="s">
        <v>243</v>
      </c>
    </row>
    <row ht="15.75" r="3" spans="2:56" thickBot="1" x14ac:dyDescent="0.3">
      <c r="R3">
        <v>1</v>
      </c>
      <c r="S3" s="66" t="s">
        <v>273</v>
      </c>
      <c r="U3" s="64"/>
      <c r="V3" s="64"/>
      <c r="W3" s="65"/>
      <c r="AG3" s="59">
        <f>WorkCoefficients!B11</f>
        <v>1</v>
      </c>
      <c r="AH3" t="str">
        <f>WorkCoefficients!C11</f>
        <v>costutil</v>
      </c>
      <c r="AI3">
        <f>WorkCoefficients!E11</f>
        <v>0.98306756399999995</v>
      </c>
      <c r="AJ3" s="91">
        <f>_xlfn.IFNA(VLOOKUP(AG3,$S$55:$AD$62,8,FALSE),_xlfn.IFNA(VLOOKUP(AG3, $Z$106:$AC$130,2,FALSE),AI3))</f>
        <v>0.98306756399999995</v>
      </c>
      <c r="AL3" s="59">
        <f>SchoolCoeffcients!B11</f>
        <v>1</v>
      </c>
      <c r="AM3" t="str">
        <f>SchoolCoeffcients!C11</f>
        <v>costutil</v>
      </c>
      <c r="AN3" s="55">
        <f>SchoolCoeffcients!E11</f>
        <v>1.6366214969999999</v>
      </c>
      <c r="AO3" s="62">
        <f>_xlfn.IFNA(VLOOKUP(AL3,$T$55:$AD$62,8,FALSE),_xlfn.IFNA(VLOOKUP(AL3, $Z$106:$AC$130,3,FALSE),AN3))</f>
        <v>1.6366214969999999</v>
      </c>
      <c r="AQ3" s="59">
        <f>EscortCoefficients!B11</f>
        <v>2</v>
      </c>
      <c r="AR3" t="str">
        <f>EscortCoefficients!C11</f>
        <v>timeutil</v>
      </c>
      <c r="AS3">
        <f>EscortCoefficients!E11</f>
        <v>2.5944321850000001</v>
      </c>
      <c r="AT3" s="62">
        <f>_xlfn.IFNA(VLOOKUP(AQ3,$U$55:$AD$62,8,FALSE),AS3)</f>
        <v>2.5944321850000001</v>
      </c>
      <c r="AV3" s="59">
        <f>OtherCoefficients!B11</f>
        <v>1</v>
      </c>
      <c r="AW3" t="str">
        <f>OtherCoefficients!C11</f>
        <v>costutil</v>
      </c>
      <c r="AX3">
        <f>OtherCoefficients!E11</f>
        <v>0.46184606099999997</v>
      </c>
      <c r="AY3" s="62">
        <f>_xlfn.IFNA(VLOOKUP(AV3,$V$55:$AD$62,8,FALSE),_xlfn.IFNA(VLOOKUP(AV3, $Z$106:$AC$130,4,FALSE),AX3))</f>
        <v>0.46184606099999997</v>
      </c>
      <c r="BA3" s="59">
        <f>WorkBasedCoefficients!B11</f>
        <v>1</v>
      </c>
      <c r="BB3" t="str">
        <f>WorkBasedCoefficients!C11</f>
        <v>costutil</v>
      </c>
      <c r="BC3">
        <f>WorkBasedCoefficients!E11</f>
        <v>1.1237337000000001</v>
      </c>
      <c r="BD3" s="62">
        <f>_xlfn.IFNA(VLOOKUP(BA3,$W$55:$AD$62,8,FALSE),BC3)</f>
        <v>1.1237337000000001</v>
      </c>
    </row>
    <row r="4" spans="2:56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R4">
        <v>2</v>
      </c>
      <c r="S4" s="66" t="s">
        <v>274</v>
      </c>
      <c r="U4" s="64"/>
      <c r="V4" s="64"/>
      <c r="W4" s="65"/>
      <c r="AG4" s="59">
        <f>WorkCoefficients!B12</f>
        <v>2</v>
      </c>
      <c r="AH4" t="str">
        <f>WorkCoefficients!C12</f>
        <v>timeutil</v>
      </c>
      <c r="AI4">
        <f>WorkCoefficients!E12</f>
        <v>0.51430888699999999</v>
      </c>
      <c r="AJ4" s="91">
        <f ref="AJ4:AJ60" si="0" t="shared">_xlfn.IFNA(VLOOKUP(AG4,$S$55:$AD$62,8,FALSE),_xlfn.IFNA(VLOOKUP(AG4, $Z$106:$AC$130,2,FALSE),AI4))</f>
        <v>0.51430888699999999</v>
      </c>
      <c r="AL4" s="59">
        <f>SchoolCoeffcients!B12</f>
        <v>2</v>
      </c>
      <c r="AM4" t="str">
        <f>SchoolCoeffcients!C12</f>
        <v>timeutil</v>
      </c>
      <c r="AN4" s="55">
        <f>SchoolCoeffcients!E12</f>
        <v>0.91289459500000003</v>
      </c>
      <c r="AO4" s="62">
        <f ref="AO4:AO66" si="1" t="shared">_xlfn.IFNA(VLOOKUP(AL4,$T$55:$AD$62,8,FALSE),_xlfn.IFNA(VLOOKUP(AL4, $Z$106:$AC$130,3,FALSE),AN4))</f>
        <v>0.91289459500000003</v>
      </c>
      <c r="AQ4" s="59">
        <f>EscortCoefficients!B12</f>
        <v>30</v>
      </c>
      <c r="AR4" s="54" t="str">
        <f>EscortCoefficients!C12</f>
        <v>s3-const</v>
      </c>
      <c r="AS4" s="54">
        <f>EscortCoefficients!E12</f>
        <v>-1.160280357</v>
      </c>
      <c r="AT4" s="62">
        <f ref="AT4:AT18" si="2" t="shared">_xlfn.IFNA(VLOOKUP(AQ4,$U$55:$AD$62,8,FALSE),AS4)</f>
        <v>-1.2220549145192199</v>
      </c>
      <c r="AV4" s="59">
        <f>OtherCoefficients!B12</f>
        <v>2</v>
      </c>
      <c r="AW4" t="str">
        <f>OtherCoefficients!C12</f>
        <v>timeutil</v>
      </c>
      <c r="AX4">
        <f>OtherCoefficients!E12</f>
        <v>0.65961163700000003</v>
      </c>
      <c r="AY4" s="62">
        <f ref="AY4:AY67" si="3" t="shared">_xlfn.IFNA(VLOOKUP(AV4,$V$55:$AD$62,8,FALSE),_xlfn.IFNA(VLOOKUP(AV4, $Z$106:$AC$130,4,FALSE),AX4))</f>
        <v>0.65961163700000003</v>
      </c>
      <c r="BA4" s="59">
        <f>WorkBasedCoefficients!B12</f>
        <v>2</v>
      </c>
      <c r="BB4" t="str">
        <f>WorkBasedCoefficients!C12</f>
        <v>timeutil</v>
      </c>
      <c r="BC4">
        <f>WorkBasedCoefficients!E12</f>
        <v>0.86183609999999999</v>
      </c>
      <c r="BD4" s="62">
        <f ref="BD4:BD19" si="4" t="shared">_xlfn.IFNA(VLOOKUP(BA4,$W$55:$AD$62,8,FALSE),BC4)</f>
        <v>0.86183609999999999</v>
      </c>
    </row>
    <row r="5" spans="2:56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R5">
        <v>3</v>
      </c>
      <c r="S5" s="64" t="s">
        <v>276</v>
      </c>
      <c r="T5" s="64"/>
      <c r="U5" s="64"/>
      <c r="V5" s="64"/>
      <c r="W5" s="65"/>
      <c r="AG5" s="59">
        <f>WorkCoefficients!B13</f>
        <v>10</v>
      </c>
      <c r="AH5" s="54" t="str">
        <f>WorkCoefficients!C13</f>
        <v>dt-const</v>
      </c>
      <c r="AI5" s="54">
        <f>WorkCoefficients!E13</f>
        <v>-4.1251959730000003</v>
      </c>
      <c r="AJ5" s="91">
        <f si="0" t="shared"/>
        <v>-4.3528756943489402</v>
      </c>
      <c r="AL5" s="59">
        <f>SchoolCoeffcients!B13</f>
        <v>10</v>
      </c>
      <c r="AM5" s="54" t="str">
        <f>SchoolCoeffcients!C13</f>
        <v>sb-const</v>
      </c>
      <c r="AN5" s="56">
        <f>SchoolCoeffcients!E13</f>
        <v>-0.27978488299999998</v>
      </c>
      <c r="AO5" s="62">
        <f si="1" t="shared"/>
        <v>-0.26510541683504701</v>
      </c>
      <c r="AQ5" s="59">
        <f>EscortCoefficients!B13</f>
        <v>31</v>
      </c>
      <c r="AR5" t="str">
        <f>EscortCoefficients!C13</f>
        <v>s3-hhcu5</v>
      </c>
      <c r="AS5">
        <f>EscortCoefficients!E13</f>
        <v>1.335394824</v>
      </c>
      <c r="AT5" s="62">
        <f si="2" t="shared"/>
        <v>1.335394824</v>
      </c>
      <c r="AV5" s="59">
        <f>OtherCoefficients!B13</f>
        <v>20</v>
      </c>
      <c r="AW5" s="54" t="str">
        <f>OtherCoefficients!C13</f>
        <v>wt-const</v>
      </c>
      <c r="AX5" s="54">
        <f>OtherCoefficients!E13</f>
        <v>-3.2974451419999999</v>
      </c>
      <c r="AY5" s="62">
        <f si="3" t="shared"/>
        <v>-3.3644883996681387</v>
      </c>
      <c r="BA5" s="59">
        <f>WorkBasedCoefficients!B13</f>
        <v>20</v>
      </c>
      <c r="BB5" s="54" t="str">
        <f>WorkBasedCoefficients!C13</f>
        <v>wt-const</v>
      </c>
      <c r="BC5" s="54">
        <f>WorkBasedCoefficients!E13</f>
        <v>-5.6403108</v>
      </c>
      <c r="BD5" s="62">
        <f si="4" t="shared"/>
        <v>-6.4935535157577124</v>
      </c>
    </row>
    <row r="6" spans="2:56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R6">
        <v>4</v>
      </c>
      <c r="S6" s="64" t="s">
        <v>265</v>
      </c>
      <c r="T6" s="64"/>
      <c r="U6" s="64"/>
      <c r="V6" s="64"/>
      <c r="W6" s="65"/>
      <c r="AG6" s="59">
        <f>WorkCoefficients!B14</f>
        <v>11</v>
      </c>
      <c r="AH6" t="str">
        <f>WorkCoefficients!C14</f>
        <v>dt-nocars</v>
      </c>
      <c r="AI6">
        <f>WorkCoefficients!E14</f>
        <v>-2.5630624740000001</v>
      </c>
      <c r="AJ6" s="91">
        <f si="0" t="shared"/>
        <v>-2.5630624740000001</v>
      </c>
      <c r="AL6" s="59">
        <f>SchoolCoeffcients!B14</f>
        <v>17</v>
      </c>
      <c r="AM6" t="str">
        <f>SchoolCoeffcients!C14</f>
        <v>sb-chun5</v>
      </c>
      <c r="AN6" s="55">
        <f>SchoolCoeffcients!E14</f>
        <v>-5.7474999999999996</v>
      </c>
      <c r="AO6" s="62">
        <f si="1" t="shared"/>
        <v>-5.7474999999999996</v>
      </c>
      <c r="AQ6" s="59">
        <f>EscortCoefficients!B14</f>
        <v>32</v>
      </c>
      <c r="AR6" t="str">
        <f>EscortCoefficients!C14</f>
        <v>s3-hh515</v>
      </c>
      <c r="AS6">
        <f>EscortCoefficients!E14</f>
        <v>0.52987540499999997</v>
      </c>
      <c r="AT6" s="62">
        <f si="2" t="shared"/>
        <v>0.52987540499999997</v>
      </c>
      <c r="AV6" s="59">
        <f>OtherCoefficients!B14</f>
        <v>21</v>
      </c>
      <c r="AW6" t="str">
        <f>OtherCoefficients!C14</f>
        <v>wt-nocars</v>
      </c>
      <c r="AX6">
        <f>OtherCoefficients!E14</f>
        <v>1.591760566</v>
      </c>
      <c r="AY6" s="62">
        <f si="3" t="shared"/>
        <v>1.591760566</v>
      </c>
      <c r="BA6" s="59">
        <f>WorkBasedCoefficients!B14</f>
        <v>30</v>
      </c>
      <c r="BB6" s="54" t="str">
        <f>WorkBasedCoefficients!C14</f>
        <v>s3-const</v>
      </c>
      <c r="BC6" s="54">
        <f>WorkBasedCoefficients!E14</f>
        <v>-5.9141281000000001</v>
      </c>
      <c r="BD6" s="62">
        <f si="4" t="shared"/>
        <v>-6.7517985492130279</v>
      </c>
    </row>
    <row r="7" spans="2:56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R7" s="64">
        <v>5</v>
      </c>
      <c r="S7" s="64" t="s">
        <v>266</v>
      </c>
      <c r="T7" s="64"/>
      <c r="U7" s="64"/>
      <c r="V7" s="64"/>
      <c r="W7" s="65"/>
      <c r="AG7" s="59">
        <f>WorkCoefficients!B15</f>
        <v>13</v>
      </c>
      <c r="AH7" t="str">
        <f>WorkCoefficients!C15</f>
        <v>dt-carsltw</v>
      </c>
      <c r="AI7">
        <f>WorkCoefficients!E15</f>
        <v>-1.185149333</v>
      </c>
      <c r="AJ7" s="91">
        <f si="0" t="shared"/>
        <v>-1.185149333</v>
      </c>
      <c r="AL7" s="59">
        <f>SchoolCoeffcients!B15</f>
        <v>18</v>
      </c>
      <c r="AM7" t="str">
        <f>SchoolCoeffcients!C15</f>
        <v>sb-univtr</v>
      </c>
      <c r="AN7" s="55">
        <f>SchoolCoeffcients!E15</f>
        <v>-5.2693623949999999</v>
      </c>
      <c r="AO7" s="62">
        <f si="1" t="shared"/>
        <v>-5.2693623949999999</v>
      </c>
      <c r="AQ7" s="59">
        <f>EscortCoefficients!B15</f>
        <v>33</v>
      </c>
      <c r="AR7" t="str">
        <f>EscortCoefficients!C15</f>
        <v>s3-hhdas</v>
      </c>
      <c r="AS7">
        <f>EscortCoefficients!E15</f>
        <v>0.276830511</v>
      </c>
      <c r="AT7" s="62">
        <f si="2" t="shared"/>
        <v>0.276830511</v>
      </c>
      <c r="AV7" s="59">
        <f>OtherCoefficients!B15</f>
        <v>30</v>
      </c>
      <c r="AW7" s="54" t="str">
        <f>OtherCoefficients!C15</f>
        <v>s3-const</v>
      </c>
      <c r="AX7" s="54">
        <f>OtherCoefficients!E15</f>
        <v>-1.911034796</v>
      </c>
      <c r="AY7" s="62">
        <f si="3" t="shared"/>
        <v>-1.9862478088771216</v>
      </c>
      <c r="BA7" s="59">
        <f>WorkBasedCoefficients!B15</f>
        <v>40</v>
      </c>
      <c r="BB7" s="54" t="str">
        <f>WorkBasedCoefficients!C15</f>
        <v>s2-const</v>
      </c>
      <c r="BC7" s="54">
        <f>WorkBasedCoefficients!E15</f>
        <v>-4.8747011999999996</v>
      </c>
      <c r="BD7" s="62">
        <f si="4" t="shared"/>
        <v>-5.7322195473424946</v>
      </c>
    </row>
    <row r="8" spans="2:56" x14ac:dyDescent="0.25">
      <c r="B8" s="9" t="s">
        <v>4</v>
      </c>
      <c r="C8" t="s">
        <v>199</v>
      </c>
      <c r="R8" s="64"/>
      <c r="S8" s="64"/>
      <c r="T8" s="64"/>
      <c r="U8" s="64"/>
      <c r="V8" s="64"/>
      <c r="W8" s="65"/>
      <c r="AG8" s="59">
        <f>WorkCoefficients!B16</f>
        <v>20</v>
      </c>
      <c r="AH8" s="54" t="str">
        <f>WorkCoefficients!C16</f>
        <v>wt-const</v>
      </c>
      <c r="AI8" s="54">
        <f>WorkCoefficients!E16</f>
        <v>-3.0344243999999998</v>
      </c>
      <c r="AJ8" s="91">
        <f si="0" t="shared"/>
        <v>-2.9125218585614454</v>
      </c>
      <c r="AL8" s="59">
        <f>SchoolCoeffcients!B16</f>
        <v>20</v>
      </c>
      <c r="AM8" s="54" t="str">
        <f>SchoolCoeffcients!C16</f>
        <v>wt-const</v>
      </c>
      <c r="AN8" s="56">
        <f>SchoolCoeffcients!E16</f>
        <v>-4.4278629379999996</v>
      </c>
      <c r="AO8" s="62">
        <f si="1" t="shared"/>
        <v>-4.412966995713079</v>
      </c>
      <c r="AQ8" s="59">
        <f>EscortCoefficients!B16</f>
        <v>40</v>
      </c>
      <c r="AR8" s="54" t="str">
        <f>EscortCoefficients!C16</f>
        <v>s2-const</v>
      </c>
      <c r="AS8" s="54">
        <f>EscortCoefficients!E16</f>
        <v>-2.5111504E-2</v>
      </c>
      <c r="AT8" s="62">
        <f si="2" t="shared"/>
        <v>-4.0655708664909918E-2</v>
      </c>
      <c r="AV8" s="59">
        <f>OtherCoefficients!B16</f>
        <v>31</v>
      </c>
      <c r="AW8" t="str">
        <f>OtherCoefficients!C16</f>
        <v>sr-hhcu5</v>
      </c>
      <c r="AX8">
        <f>OtherCoefficients!E16</f>
        <v>0.51412339799999995</v>
      </c>
      <c r="AY8" s="62">
        <f si="3" t="shared"/>
        <v>0.51412339799999995</v>
      </c>
      <c r="BA8" s="59">
        <f>WorkBasedCoefficients!B16</f>
        <v>50</v>
      </c>
      <c r="BB8" s="54" t="str">
        <f>WorkBasedCoefficients!C16</f>
        <v>da-const</v>
      </c>
      <c r="BC8" s="54">
        <f>WorkBasedCoefficients!E16</f>
        <v>-4.1573700000000002</v>
      </c>
      <c r="BD8" s="62">
        <f si="4" t="shared"/>
        <v>-4.9086364914323708</v>
      </c>
    </row>
    <row r="9" spans="2:56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R9" s="64"/>
      <c r="S9" s="67" t="s">
        <v>267</v>
      </c>
      <c r="T9" s="64"/>
      <c r="U9" s="64"/>
      <c r="V9" s="64"/>
      <c r="W9" s="65"/>
      <c r="AG9" s="59">
        <f>WorkCoefficients!B17</f>
        <v>30</v>
      </c>
      <c r="AH9" s="54" t="str">
        <f>WorkCoefficients!C17</f>
        <v>s3-const</v>
      </c>
      <c r="AI9" s="54">
        <f>WorkCoefficients!E17</f>
        <v>-2.6026901850000002</v>
      </c>
      <c r="AJ9" s="91">
        <f si="0" t="shared"/>
        <v>-2.7662454640043248</v>
      </c>
      <c r="AL9" s="59">
        <f>SchoolCoeffcients!B17</f>
        <v>21</v>
      </c>
      <c r="AM9" t="str">
        <f>SchoolCoeffcients!C17</f>
        <v>wt-nocars</v>
      </c>
      <c r="AN9" s="55">
        <f>SchoolCoeffcients!E17</f>
        <v>-5.0045351000000002E-2</v>
      </c>
      <c r="AO9" s="62">
        <f si="1" t="shared"/>
        <v>-5.0045351000000002E-2</v>
      </c>
      <c r="AQ9" s="59">
        <f>EscortCoefficients!B17</f>
        <v>41</v>
      </c>
      <c r="AR9" t="str">
        <f>EscortCoefficients!C17</f>
        <v>sr-nocars</v>
      </c>
      <c r="AS9">
        <f>EscortCoefficients!E17</f>
        <v>-5.9139999999999997</v>
      </c>
      <c r="AT9" s="62">
        <f si="2" t="shared"/>
        <v>-5.9139999999999997</v>
      </c>
      <c r="AV9" s="59">
        <f>OtherCoefficients!B17</f>
        <v>32</v>
      </c>
      <c r="AW9" t="str">
        <f>OtherCoefficients!C17</f>
        <v>sr-hh515</v>
      </c>
      <c r="AX9">
        <f>OtherCoefficients!E17</f>
        <v>0.22481870400000001</v>
      </c>
      <c r="AY9" s="62">
        <f si="3" t="shared"/>
        <v>0.22481870400000001</v>
      </c>
      <c r="BA9" s="59">
        <f>WorkBasedCoefficients!B17</f>
        <v>54</v>
      </c>
      <c r="BB9" t="str">
        <f>WorkBasedCoefficients!C17</f>
        <v>da-incu25</v>
      </c>
      <c r="BC9">
        <f>WorkBasedCoefficients!E17</f>
        <v>0.97510620000000003</v>
      </c>
      <c r="BD9" s="62">
        <f si="4" t="shared"/>
        <v>0.97510620000000003</v>
      </c>
    </row>
    <row r="10" spans="2:56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R10" s="64">
        <v>1</v>
      </c>
      <c r="S10" s="66" t="s">
        <v>273</v>
      </c>
      <c r="T10" s="64"/>
      <c r="U10" s="64"/>
      <c r="V10" s="64"/>
      <c r="W10" s="65"/>
      <c r="AG10" s="59">
        <f>WorkCoefficients!B18</f>
        <v>31</v>
      </c>
      <c r="AH10" t="str">
        <f>WorkCoefficients!C18</f>
        <v>sr-hhcu5</v>
      </c>
      <c r="AI10">
        <f>WorkCoefficients!E18</f>
        <v>0</v>
      </c>
      <c r="AJ10" s="91">
        <f si="0" t="shared"/>
        <v>0</v>
      </c>
      <c r="AL10" s="59">
        <f>SchoolCoeffcients!B18</f>
        <v>22</v>
      </c>
      <c r="AM10" t="str">
        <f>SchoolCoeffcients!C18</f>
        <v>wt-carsltd</v>
      </c>
      <c r="AN10" s="55">
        <f>SchoolCoeffcients!E18</f>
        <v>-5.0746489999999998E-2</v>
      </c>
      <c r="AO10" s="62">
        <f si="1" t="shared"/>
        <v>-5.0746489999999998E-2</v>
      </c>
      <c r="AQ10" s="59">
        <f>EscortCoefficients!B18</f>
        <v>42</v>
      </c>
      <c r="AR10" t="str">
        <f>EscortCoefficients!C18</f>
        <v>sr-carsltd</v>
      </c>
      <c r="AS10">
        <f>EscortCoefficients!E18</f>
        <v>1.7160893999999999E-2</v>
      </c>
      <c r="AT10" s="62">
        <f si="2" t="shared"/>
        <v>1.7160893999999999E-2</v>
      </c>
      <c r="AV10" s="59">
        <f>OtherCoefficients!B18</f>
        <v>34</v>
      </c>
      <c r="AW10" t="str">
        <f>OtherCoefficients!C18</f>
        <v>sr-hhnwa</v>
      </c>
      <c r="AX10">
        <f>OtherCoefficients!E18</f>
        <v>0.113320322</v>
      </c>
      <c r="AY10" s="62">
        <f si="3" t="shared"/>
        <v>0.113320322</v>
      </c>
      <c r="BA10" s="59">
        <f>WorkBasedCoefficients!B18</f>
        <v>55</v>
      </c>
      <c r="BB10" t="str">
        <f>WorkBasedCoefficients!C18</f>
        <v>da-inc2550</v>
      </c>
      <c r="BC10">
        <f>WorkBasedCoefficients!E18</f>
        <v>0.1467164</v>
      </c>
      <c r="BD10" s="62">
        <f si="4" t="shared"/>
        <v>0.1467164</v>
      </c>
    </row>
    <row r="11" spans="2:56" x14ac:dyDescent="0.25">
      <c r="B11" s="9" t="s">
        <v>7</v>
      </c>
      <c r="R11" s="64">
        <v>2</v>
      </c>
      <c r="S11" s="64" t="s">
        <v>268</v>
      </c>
      <c r="T11" s="64"/>
      <c r="U11" s="64"/>
      <c r="V11" s="64"/>
      <c r="W11" s="65"/>
      <c r="AG11" s="59">
        <f>WorkCoefficients!B19</f>
        <v>32</v>
      </c>
      <c r="AH11" t="str">
        <f>WorkCoefficients!C19</f>
        <v>sr-hh515</v>
      </c>
      <c r="AI11">
        <f>WorkCoefficients!E19</f>
        <v>0.44708751299999999</v>
      </c>
      <c r="AJ11" s="91">
        <f si="0" t="shared"/>
        <v>0.44708751299999999</v>
      </c>
      <c r="AL11" s="59">
        <f>SchoolCoeffcients!B19</f>
        <v>27</v>
      </c>
      <c r="AM11" t="str">
        <f>SchoolCoeffcients!C19</f>
        <v>wt-chun5</v>
      </c>
      <c r="AN11" s="55">
        <f>SchoolCoeffcients!E19</f>
        <v>-5</v>
      </c>
      <c r="AO11" s="62">
        <f si="1" t="shared"/>
        <v>-5</v>
      </c>
      <c r="AQ11" s="59">
        <f>EscortCoefficients!B19</f>
        <v>50</v>
      </c>
      <c r="AR11" s="59" t="str">
        <f>EscortCoefficients!C19</f>
        <v>hov-const</v>
      </c>
      <c r="AS11" s="59">
        <f>EscortCoefficients!E19</f>
        <v>-8.5658758939999995</v>
      </c>
      <c r="AT11" s="62">
        <f si="2" t="shared"/>
        <v>-7.6014383130999867</v>
      </c>
      <c r="AV11" s="59">
        <f>OtherCoefficients!B19</f>
        <v>35</v>
      </c>
      <c r="AW11" t="str">
        <f>OtherCoefficients!C19</f>
        <v>sr-lndist</v>
      </c>
      <c r="AX11">
        <f>OtherCoefficients!E19</f>
        <v>0.15232257399999999</v>
      </c>
      <c r="AY11" s="62">
        <f si="3" t="shared"/>
        <v>0.15232257399999999</v>
      </c>
      <c r="BA11" s="59">
        <f>WorkBasedCoefficients!B19</f>
        <v>58</v>
      </c>
      <c r="BB11" t="str">
        <f>WorkBasedCoefficients!C19</f>
        <v>da-dtowork</v>
      </c>
      <c r="BC11">
        <f>WorkBasedCoefficients!E19</f>
        <v>2.1275970000000002</v>
      </c>
      <c r="BD11" s="62">
        <f si="4" t="shared"/>
        <v>2.1275970000000002</v>
      </c>
    </row>
    <row r="12" spans="2:56" x14ac:dyDescent="0.25">
      <c r="B12" s="14" t="s">
        <v>8</v>
      </c>
      <c r="D12" t="s">
        <v>199</v>
      </c>
      <c r="R12" s="64">
        <v>3</v>
      </c>
      <c r="S12" s="64" t="s">
        <v>269</v>
      </c>
      <c r="T12" s="64"/>
      <c r="U12" s="64"/>
      <c r="V12" s="64"/>
      <c r="W12" s="65"/>
      <c r="AG12" s="59">
        <f>WorkCoefficients!B20</f>
        <v>35</v>
      </c>
      <c r="AH12" t="str">
        <f>WorkCoefficients!C20</f>
        <v>sr-lndist</v>
      </c>
      <c r="AI12">
        <f>WorkCoefficients!E20</f>
        <v>-0.35387644200000001</v>
      </c>
      <c r="AJ12" s="91">
        <f si="0" t="shared"/>
        <v>-0.35387644200000001</v>
      </c>
      <c r="AL12" s="59">
        <f>SchoolCoeffcients!B20</f>
        <v>28</v>
      </c>
      <c r="AM12" t="str">
        <f>SchoolCoeffcients!C20</f>
        <v>wt-univtr</v>
      </c>
      <c r="AN12" s="55">
        <f>SchoolCoeffcients!E20</f>
        <v>5.2955199730000002</v>
      </c>
      <c r="AO12" s="62">
        <f si="1" t="shared"/>
        <v>5.2955199730000002</v>
      </c>
      <c r="AQ12" s="59">
        <f>EscortCoefficients!B20</f>
        <v>60</v>
      </c>
      <c r="AR12" s="54" t="str">
        <f>EscortCoefficients!C20</f>
        <v>bi-const</v>
      </c>
      <c r="AS12" s="54">
        <f>EscortCoefficients!E20</f>
        <v>-10.566358470000001</v>
      </c>
      <c r="AT12" s="62">
        <f si="2" t="shared"/>
        <v>-10.555239905129664</v>
      </c>
      <c r="AV12" s="59">
        <f>OtherCoefficients!B20</f>
        <v>38</v>
      </c>
      <c r="AW12" t="str">
        <f>OtherCoefficients!C20</f>
        <v>s3-onephh</v>
      </c>
      <c r="AX12">
        <f>OtherCoefficients!E20</f>
        <v>-2.7924179320000002</v>
      </c>
      <c r="AY12" s="62">
        <f si="3" t="shared"/>
        <v>-2.7924179320000002</v>
      </c>
      <c r="BA12" s="59">
        <f>WorkBasedCoefficients!B20</f>
        <v>59</v>
      </c>
      <c r="BB12" t="str">
        <f>WorkBasedCoefficients!C20</f>
        <v>da-stowork</v>
      </c>
      <c r="BC12">
        <f>WorkBasedCoefficients!E20</f>
        <v>1.7497597</v>
      </c>
      <c r="BD12" s="62">
        <f si="4" t="shared"/>
        <v>1.7497597</v>
      </c>
    </row>
    <row r="13" spans="2:56" x14ac:dyDescent="0.25">
      <c r="C13" s="38"/>
      <c r="D13" s="38"/>
      <c r="E13" s="38"/>
      <c r="F13" s="38"/>
      <c r="G13" s="38"/>
      <c r="H13" s="45"/>
      <c r="R13" s="64">
        <v>4</v>
      </c>
      <c r="S13" s="64" t="s">
        <v>270</v>
      </c>
      <c r="T13" s="64"/>
      <c r="U13" s="64"/>
      <c r="V13" s="64"/>
      <c r="W13" s="65"/>
      <c r="AG13" s="59">
        <f>WorkCoefficients!B21</f>
        <v>38</v>
      </c>
      <c r="AH13" t="str">
        <f>WorkCoefficients!C21</f>
        <v>s3-onephh</v>
      </c>
      <c r="AI13">
        <f>WorkCoefficients!E21</f>
        <v>-2.0693221340000001</v>
      </c>
      <c r="AJ13" s="91">
        <f si="0" t="shared"/>
        <v>-2.0693221340000001</v>
      </c>
      <c r="AL13" s="59">
        <f>SchoolCoeffcients!B21</f>
        <v>29</v>
      </c>
      <c r="AM13" t="str">
        <f>SchoolCoeffcients!C21</f>
        <v>wt-ch1617</v>
      </c>
      <c r="AN13" s="55">
        <f>SchoolCoeffcients!E21</f>
        <v>3.2469681079999999</v>
      </c>
      <c r="AO13" s="62">
        <f si="1" t="shared"/>
        <v>3.2469681079999999</v>
      </c>
      <c r="AQ13" s="59">
        <f>EscortCoefficients!B21</f>
        <v>73</v>
      </c>
      <c r="AR13" t="str">
        <f>EscortCoefficients!C21</f>
        <v>wk-ageo50</v>
      </c>
      <c r="AS13">
        <f>EscortCoefficients!E21</f>
        <v>-2.002935812</v>
      </c>
      <c r="AT13" s="62">
        <f si="2" t="shared"/>
        <v>-2.002935812</v>
      </c>
      <c r="AV13" s="59">
        <f>OtherCoefficients!B21</f>
        <v>39</v>
      </c>
      <c r="AW13" t="str">
        <f>OtherCoefficients!C21</f>
        <v>s3-twophh</v>
      </c>
      <c r="AX13">
        <f>OtherCoefficients!E21</f>
        <v>-2.8161782519999998</v>
      </c>
      <c r="AY13" s="62">
        <f si="3" t="shared"/>
        <v>-2.8161782519999998</v>
      </c>
      <c r="BA13" s="59">
        <f>WorkBasedCoefficients!B21</f>
        <v>60</v>
      </c>
      <c r="BB13" s="54" t="str">
        <f>WorkBasedCoefficients!C21</f>
        <v>bi-const</v>
      </c>
      <c r="BC13" s="54">
        <f>WorkBasedCoefficients!E21</f>
        <v>-7.2848658999999998</v>
      </c>
      <c r="BD13" s="62">
        <f si="4" t="shared"/>
        <v>-7.7750157711332655</v>
      </c>
    </row>
    <row r="14" spans="2:56" x14ac:dyDescent="0.25">
      <c r="R14" s="64">
        <v>5</v>
      </c>
      <c r="S14" s="66" t="s">
        <v>275</v>
      </c>
      <c r="T14" s="64"/>
      <c r="U14" s="64"/>
      <c r="V14" s="64"/>
      <c r="W14" s="65"/>
      <c r="AG14" s="59">
        <f>WorkCoefficients!B22</f>
        <v>39</v>
      </c>
      <c r="AH14" t="str">
        <f>WorkCoefficients!C22</f>
        <v>s3-twophh</v>
      </c>
      <c r="AI14">
        <f>WorkCoefficients!E22</f>
        <v>-1.1541206639999999</v>
      </c>
      <c r="AJ14" s="91">
        <f si="0" t="shared"/>
        <v>-1.1541206639999999</v>
      </c>
      <c r="AL14" s="59">
        <f>SchoolCoeffcients!B22</f>
        <v>30</v>
      </c>
      <c r="AM14" s="54" t="str">
        <f>SchoolCoeffcients!C22</f>
        <v>s3-const</v>
      </c>
      <c r="AN14" s="56">
        <f>SchoolCoeffcients!E22</f>
        <v>-0.45676292000000002</v>
      </c>
      <c r="AO14" s="62">
        <f si="1" t="shared"/>
        <v>-0.43022424557105349</v>
      </c>
      <c r="AQ14" s="59">
        <f>EscortCoefficients!B22</f>
        <v>76</v>
      </c>
      <c r="AR14" t="str">
        <f>EscortCoefficients!C22</f>
        <v>wk-dintd</v>
      </c>
      <c r="AS14">
        <f>EscortCoefficients!E22</f>
        <v>0</v>
      </c>
      <c r="AT14" s="62">
        <f si="2" t="shared"/>
        <v>0</v>
      </c>
      <c r="AV14" s="59">
        <f>OtherCoefficients!B22</f>
        <v>40</v>
      </c>
      <c r="AW14" s="54" t="str">
        <f>OtherCoefficients!C22</f>
        <v>s2-const</v>
      </c>
      <c r="AX14" s="54">
        <f>OtherCoefficients!E22</f>
        <v>-2.144795593</v>
      </c>
      <c r="AY14" s="62">
        <f si="3" t="shared"/>
        <v>-2.2165726717959036</v>
      </c>
      <c r="BA14" s="59">
        <f>WorkBasedCoefficients!B22</f>
        <v>61</v>
      </c>
      <c r="BB14" t="str">
        <f>WorkBasedCoefficients!C22</f>
        <v>bi-male</v>
      </c>
      <c r="BC14">
        <f>WorkBasedCoefficients!E22</f>
        <v>-0.40221770000000001</v>
      </c>
      <c r="BD14" s="62">
        <f si="4" t="shared"/>
        <v>-0.40221770000000001</v>
      </c>
    </row>
    <row r="15" spans="2:56" x14ac:dyDescent="0.25">
      <c r="B15" s="58" t="s">
        <v>245</v>
      </c>
      <c r="J15" s="36" t="s">
        <v>33</v>
      </c>
      <c r="R15" s="64">
        <v>6</v>
      </c>
      <c r="S15" s="64" t="s">
        <v>277</v>
      </c>
      <c r="T15" s="64"/>
      <c r="U15" s="64"/>
      <c r="V15" s="64"/>
      <c r="W15" s="65"/>
      <c r="AG15" s="59">
        <f>WorkCoefficients!B23</f>
        <v>40</v>
      </c>
      <c r="AH15" s="54" t="str">
        <f>WorkCoefficients!C23</f>
        <v>s2-const</v>
      </c>
      <c r="AI15" s="54">
        <f>WorkCoefficients!E23</f>
        <v>-2.14205632</v>
      </c>
      <c r="AJ15" s="91">
        <f si="0" t="shared"/>
        <v>-2.271997998208457</v>
      </c>
      <c r="AL15" s="59">
        <f>SchoolCoeffcients!B23</f>
        <v>37</v>
      </c>
      <c r="AM15" t="str">
        <f>SchoolCoeffcients!C23</f>
        <v>s3-twophh</v>
      </c>
      <c r="AN15" s="55">
        <f>SchoolCoeffcients!E23</f>
        <v>-2.1066630989999999</v>
      </c>
      <c r="AO15" s="62">
        <f si="1" t="shared"/>
        <v>-2.1066630989999999</v>
      </c>
      <c r="AQ15" s="59">
        <f>EscortCoefficients!B23</f>
        <v>81</v>
      </c>
      <c r="AR15" t="str">
        <f>EscortCoefficients!C23</f>
        <v>wk-hhcu5</v>
      </c>
      <c r="AS15">
        <f>EscortCoefficients!E23</f>
        <v>0.55040750800000005</v>
      </c>
      <c r="AT15" s="62">
        <f si="2" t="shared"/>
        <v>0.55040750800000005</v>
      </c>
      <c r="AV15" s="59">
        <f>OtherCoefficients!B23</f>
        <v>41</v>
      </c>
      <c r="AW15" t="str">
        <f>OtherCoefficients!C23</f>
        <v>sr-nocars</v>
      </c>
      <c r="AX15">
        <f>OtherCoefficients!E23</f>
        <v>-1.480121056</v>
      </c>
      <c r="AY15" s="62">
        <f si="3" t="shared"/>
        <v>-1.480121056</v>
      </c>
      <c r="BA15" s="59">
        <f>WorkBasedCoefficients!B23</f>
        <v>69</v>
      </c>
      <c r="BB15" t="str">
        <f>WorkBasedCoefficients!C23</f>
        <v>bi-btowork</v>
      </c>
      <c r="BC15">
        <f>WorkBasedCoefficients!E23</f>
        <v>2.9044382999999998</v>
      </c>
      <c r="BD15" s="62">
        <f si="4" t="shared"/>
        <v>2.9044382999999998</v>
      </c>
    </row>
    <row ht="15.75" r="16" spans="2:56" thickBot="1" x14ac:dyDescent="0.3">
      <c r="R16" s="64">
        <v>7</v>
      </c>
      <c r="S16" s="64" t="s">
        <v>265</v>
      </c>
      <c r="T16" s="64"/>
      <c r="U16" s="64"/>
      <c r="V16" s="64"/>
      <c r="W16" s="65"/>
      <c r="Y16" t="s">
        <v>244</v>
      </c>
      <c r="AG16" s="59">
        <f>WorkCoefficients!B24</f>
        <v>41</v>
      </c>
      <c r="AH16" t="str">
        <f>WorkCoefficients!C24</f>
        <v>sr-nocars</v>
      </c>
      <c r="AI16">
        <f>WorkCoefficients!E24</f>
        <v>-3.5522207300000002</v>
      </c>
      <c r="AJ16" s="91">
        <f si="0" t="shared"/>
        <v>-3.5522207300000002</v>
      </c>
      <c r="AL16" s="59">
        <f>SchoolCoeffcients!B24</f>
        <v>38</v>
      </c>
      <c r="AM16" t="str">
        <f>SchoolCoeffcients!C24</f>
        <v>s2-onephh</v>
      </c>
      <c r="AN16" s="55">
        <f>SchoolCoeffcients!E24</f>
        <v>-1.023984556</v>
      </c>
      <c r="AO16" s="62">
        <f si="1" t="shared"/>
        <v>-1.023984556</v>
      </c>
      <c r="AQ16" s="59">
        <f>EscortCoefficients!B24</f>
        <v>82</v>
      </c>
      <c r="AR16" t="str">
        <f>EscortCoefficients!C24</f>
        <v>wk-hh515</v>
      </c>
      <c r="AS16">
        <f>EscortCoefficients!E24</f>
        <v>0.55327396100000004</v>
      </c>
      <c r="AT16" s="62">
        <f si="2" t="shared"/>
        <v>0.55327396100000004</v>
      </c>
      <c r="AV16" s="59">
        <f>OtherCoefficients!B24</f>
        <v>43</v>
      </c>
      <c r="AW16" t="str">
        <f>OtherCoefficients!C24</f>
        <v>sr-carsltw</v>
      </c>
      <c r="AX16">
        <f>OtherCoefficients!E24</f>
        <v>-8.9289955000000004E-2</v>
      </c>
      <c r="AY16" s="62">
        <f si="3" t="shared"/>
        <v>-8.9289955000000004E-2</v>
      </c>
      <c r="BA16" s="59">
        <f>WorkBasedCoefficients!B24</f>
        <v>79</v>
      </c>
      <c r="BB16" t="str">
        <f>WorkBasedCoefficients!C24</f>
        <v>wk-wtowork</v>
      </c>
      <c r="BC16">
        <f>WorkBasedCoefficients!E24</f>
        <v>5</v>
      </c>
      <c r="BD16" s="62">
        <f si="4" t="shared"/>
        <v>5</v>
      </c>
    </row>
    <row r="17" spans="2:56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45"/>
      <c r="R17" s="64">
        <v>8</v>
      </c>
      <c r="S17" s="64" t="s">
        <v>271</v>
      </c>
      <c r="T17" s="64"/>
      <c r="U17" s="64"/>
      <c r="V17" s="64"/>
      <c r="W17" s="65"/>
      <c r="Y17" s="2" t="s">
        <v>0</v>
      </c>
      <c r="Z17" s="2" t="s">
        <v>195</v>
      </c>
      <c r="AA17" s="2" t="s">
        <v>196</v>
      </c>
      <c r="AB17" s="2" t="s">
        <v>197</v>
      </c>
      <c r="AC17" s="2" t="s">
        <v>198</v>
      </c>
      <c r="AD17" s="2" t="s">
        <v>216</v>
      </c>
      <c r="AG17" s="59">
        <f>WorkCoefficients!B25</f>
        <v>42</v>
      </c>
      <c r="AH17" t="str">
        <f>WorkCoefficients!C25</f>
        <v>sr-carsltd</v>
      </c>
      <c r="AI17">
        <f>WorkCoefficients!E25</f>
        <v>0.417219746</v>
      </c>
      <c r="AJ17" s="91">
        <f si="0" t="shared"/>
        <v>0.417219746</v>
      </c>
      <c r="AL17" s="59">
        <f>SchoolCoeffcients!B25</f>
        <v>40</v>
      </c>
      <c r="AM17" s="54" t="str">
        <f>SchoolCoeffcients!C25</f>
        <v>s2-const</v>
      </c>
      <c r="AN17" s="56">
        <f>SchoolCoeffcients!E25</f>
        <v>-1.003425644</v>
      </c>
      <c r="AO17" s="62">
        <f si="1" t="shared"/>
        <v>-0.98101583555755534</v>
      </c>
      <c r="AQ17" s="59">
        <f>EscortCoefficients!B25</f>
        <v>83</v>
      </c>
      <c r="AR17" t="str">
        <f>EscortCoefficients!C25</f>
        <v>wk-hhdas</v>
      </c>
      <c r="AS17">
        <f>EscortCoefficients!E25</f>
        <v>-3.0048826470000001</v>
      </c>
      <c r="AT17" s="62">
        <f si="2" t="shared"/>
        <v>-3.0048826470000001</v>
      </c>
      <c r="AV17" s="59">
        <f>OtherCoefficients!B25</f>
        <v>48</v>
      </c>
      <c r="AW17" t="str">
        <f>OtherCoefficients!C25</f>
        <v>s2-onephh</v>
      </c>
      <c r="AX17">
        <f>OtherCoefficients!E25</f>
        <v>-1.4328025129999999</v>
      </c>
      <c r="AY17" s="62">
        <f si="3" t="shared"/>
        <v>-1.4328025129999999</v>
      </c>
      <c r="BA17" s="59">
        <f>WorkBasedCoefficients!B25</f>
        <v>88</v>
      </c>
      <c r="BB17" t="str">
        <f>WorkBasedCoefficients!C25</f>
        <v>sr-dtowork</v>
      </c>
      <c r="BC17">
        <f>WorkBasedCoefficients!E25</f>
        <v>0.53543289999999999</v>
      </c>
      <c r="BD17" s="62">
        <f si="4" t="shared"/>
        <v>0.53543289999999999</v>
      </c>
    </row>
    <row r="18" spans="2:56" x14ac:dyDescent="0.25">
      <c r="B18" s="9" t="s">
        <v>1</v>
      </c>
      <c r="C18" s="9">
        <v>1097010.3374741932</v>
      </c>
      <c r="D18" s="9">
        <v>92516.718411654932</v>
      </c>
      <c r="E18" s="9">
        <v>19837.616249762254</v>
      </c>
      <c r="F18" s="9">
        <v>864775.33051215275</v>
      </c>
      <c r="G18" s="9">
        <v>74255.30671205261</v>
      </c>
      <c r="H18" s="9">
        <v>2148395.3093598159</v>
      </c>
      <c r="J18" s="9" t="s">
        <v>1</v>
      </c>
      <c r="K18" s="9">
        <f>Work!I4</f>
        <v>1088376</v>
      </c>
      <c r="L18" s="9">
        <f>School!I4</f>
        <v>74452</v>
      </c>
      <c r="M18" s="9">
        <f>Escort!I4</f>
        <v>6778</v>
      </c>
      <c r="N18" s="9">
        <f>Shop!I4+Meal!I4+SocRec!I4+Personal_Business!I4</f>
        <v>863870</v>
      </c>
      <c r="O18" s="9">
        <f>Workbased!S5</f>
        <v>88177</v>
      </c>
      <c r="P18" s="9">
        <f>SUM(K18:O18)</f>
        <v>2121653</v>
      </c>
      <c r="Q18" s="9"/>
      <c r="Y18" s="9" t="s">
        <v>1</v>
      </c>
      <c r="Z18" s="52">
        <v>50</v>
      </c>
      <c r="AA18" s="52">
        <v>50</v>
      </c>
      <c r="AB18" s="52">
        <v>50</v>
      </c>
      <c r="AC18" s="52">
        <v>50</v>
      </c>
      <c r="AD18" s="52">
        <v>50</v>
      </c>
      <c r="AG18" s="59">
        <f>WorkCoefficients!B26</f>
        <v>48</v>
      </c>
      <c r="AH18" t="str">
        <f>WorkCoefficients!C26</f>
        <v>s2-onephh</v>
      </c>
      <c r="AI18">
        <f>WorkCoefficients!E26</f>
        <v>-1.9493286999999999</v>
      </c>
      <c r="AJ18" s="91">
        <f si="0" t="shared"/>
        <v>-1.9493286999999999</v>
      </c>
      <c r="AL18" s="59">
        <f>SchoolCoeffcients!B26</f>
        <v>41</v>
      </c>
      <c r="AM18" t="str">
        <f>SchoolCoeffcients!C26</f>
        <v>sr-nocars</v>
      </c>
      <c r="AN18" s="55">
        <f>SchoolCoeffcients!E26</f>
        <v>-1.3307406129999999</v>
      </c>
      <c r="AO18" s="62">
        <f si="1" t="shared"/>
        <v>-1.3307406129999999</v>
      </c>
      <c r="AQ18" s="59">
        <f>EscortCoefficients!B26</f>
        <v>999</v>
      </c>
      <c r="AR18" t="str">
        <f>EscortCoefficients!C26</f>
        <v>Theta0999</v>
      </c>
      <c r="AS18">
        <f>EscortCoefficients!E26</f>
        <v>0.541504192</v>
      </c>
      <c r="AT18" s="62">
        <f si="2" t="shared"/>
        <v>0.541504192</v>
      </c>
      <c r="AV18" s="59">
        <f>OtherCoefficients!B26</f>
        <v>50</v>
      </c>
      <c r="AW18" s="54" t="str">
        <f>OtherCoefficients!C26</f>
        <v>da-const</v>
      </c>
      <c r="AX18" s="54">
        <f>OtherCoefficients!E26</f>
        <v>-0.40342066599999998</v>
      </c>
      <c r="AY18" s="62">
        <f si="3" t="shared"/>
        <v>-0.45476293216686126</v>
      </c>
      <c r="BA18" s="59">
        <f>WorkBasedCoefficients!B26</f>
        <v>89</v>
      </c>
      <c r="BB18" t="str">
        <f>WorkBasedCoefficients!C26</f>
        <v>sr-stowork</v>
      </c>
      <c r="BC18">
        <f>WorkBasedCoefficients!E26</f>
        <v>1.1826209000000001</v>
      </c>
      <c r="BD18" s="62">
        <f si="4" t="shared"/>
        <v>1.1826209000000001</v>
      </c>
    </row>
    <row r="19" spans="2:56" x14ac:dyDescent="0.25">
      <c r="B19" s="9" t="s">
        <v>2</v>
      </c>
      <c r="C19" s="9">
        <v>244860.50132019326</v>
      </c>
      <c r="D19" s="9">
        <v>138828.15988123135</v>
      </c>
      <c r="E19" s="9">
        <v>291491.55039383989</v>
      </c>
      <c r="F19" s="9">
        <v>685649.3694142201</v>
      </c>
      <c r="G19" s="9">
        <v>16337.985867225781</v>
      </c>
      <c r="H19" s="9">
        <v>1377167.5668767104</v>
      </c>
      <c r="J19" s="9" t="s">
        <v>2</v>
      </c>
      <c r="K19" s="9">
        <f>Work!I5</f>
        <v>303185</v>
      </c>
      <c r="L19" s="9">
        <f>School!I5</f>
        <v>132162</v>
      </c>
      <c r="M19" s="9">
        <f>Escort!I5</f>
        <v>265362</v>
      </c>
      <c r="N19" s="9">
        <f>Shop!I5+Meal!I5+SocRec!I5+Personal_Business!I5</f>
        <v>699072</v>
      </c>
      <c r="O19" s="9">
        <f>Workbased!S6</f>
        <v>21576</v>
      </c>
      <c r="P19" s="9">
        <f ref="P19:P25" si="5" t="shared">SUM(K19:O19)</f>
        <v>1421357</v>
      </c>
      <c r="Q19" s="9"/>
      <c r="Y19" s="9" t="s">
        <v>2</v>
      </c>
      <c r="Z19" s="52">
        <v>40</v>
      </c>
      <c r="AA19" s="52">
        <v>40</v>
      </c>
      <c r="AB19" s="52">
        <v>40</v>
      </c>
      <c r="AC19" s="52">
        <v>40</v>
      </c>
      <c r="AD19" s="52">
        <v>40</v>
      </c>
      <c r="AG19" s="59">
        <f>WorkCoefficients!B27</f>
        <v>50</v>
      </c>
      <c r="AH19" s="54" t="str">
        <f>WorkCoefficients!C27</f>
        <v>da-const</v>
      </c>
      <c r="AI19" s="54">
        <f>WorkCoefficients!E27</f>
        <v>1.577637277</v>
      </c>
      <c r="AJ19" s="91">
        <f si="0" t="shared"/>
        <v>1.6692520407074909</v>
      </c>
      <c r="AL19" s="59">
        <f>SchoolCoeffcients!B27</f>
        <v>44</v>
      </c>
      <c r="AM19" t="str">
        <f>SchoolCoeffcients!C27</f>
        <v>sr-incu25</v>
      </c>
      <c r="AN19" s="55">
        <f>SchoolCoeffcients!E27</f>
        <v>0.22708982699999999</v>
      </c>
      <c r="AO19" s="62">
        <f si="1" t="shared"/>
        <v>0.22708982699999999</v>
      </c>
      <c r="AV19" s="59">
        <f>OtherCoefficients!B27</f>
        <v>52</v>
      </c>
      <c r="AW19" t="str">
        <f>OtherCoefficients!C27</f>
        <v>da-carsltd</v>
      </c>
      <c r="AX19">
        <f>OtherCoefficients!E27</f>
        <v>-0.79057828100000005</v>
      </c>
      <c r="AY19" s="62">
        <f si="3" t="shared"/>
        <v>-0.79057828100000005</v>
      </c>
      <c r="BA19" s="59">
        <f>WorkBasedCoefficients!B27</f>
        <v>99</v>
      </c>
      <c r="BB19" t="str">
        <f>WorkBasedCoefficients!C27</f>
        <v>modenest</v>
      </c>
      <c r="BC19">
        <f>WorkBasedCoefficients!E27</f>
        <v>0.88959319999999997</v>
      </c>
      <c r="BD19" s="62">
        <f si="4" t="shared"/>
        <v>0.88959319999999997</v>
      </c>
    </row>
    <row r="20" spans="2:56" x14ac:dyDescent="0.25">
      <c r="B20" s="9" t="s">
        <v>3</v>
      </c>
      <c r="C20" s="9">
        <v>128760.73137482835</v>
      </c>
      <c r="D20" s="9">
        <v>233976.71603744375</v>
      </c>
      <c r="E20" s="9">
        <v>299459.83492080419</v>
      </c>
      <c r="F20" s="9">
        <v>557878.94835178298</v>
      </c>
      <c r="G20" s="9">
        <v>6360.7894297017428</v>
      </c>
      <c r="H20" s="9">
        <v>1226437.0201145608</v>
      </c>
      <c r="J20" s="9" t="s">
        <v>3</v>
      </c>
      <c r="K20" s="9">
        <f>Work!I6</f>
        <v>164881</v>
      </c>
      <c r="L20" s="9">
        <f>School!I6</f>
        <v>221824</v>
      </c>
      <c r="M20" s="9">
        <f>Escort!I6</f>
        <v>285515</v>
      </c>
      <c r="N20" s="9">
        <f>Shop!I6+Meal!I6+SocRec!I6+Personal_Business!I6</f>
        <v>570758</v>
      </c>
      <c r="O20" s="9">
        <f>Workbased!S7</f>
        <v>8235</v>
      </c>
      <c r="P20" s="9">
        <f si="5" t="shared"/>
        <v>1251213</v>
      </c>
      <c r="Q20" s="9"/>
      <c r="Y20" s="9" t="s">
        <v>3</v>
      </c>
      <c r="Z20" s="52">
        <v>30</v>
      </c>
      <c r="AA20" s="52">
        <v>30</v>
      </c>
      <c r="AB20" s="52">
        <v>30</v>
      </c>
      <c r="AC20" s="52">
        <v>30</v>
      </c>
      <c r="AD20" s="52">
        <v>30</v>
      </c>
      <c r="AG20" s="59">
        <f>WorkCoefficients!B28</f>
        <v>53</v>
      </c>
      <c r="AH20" t="str">
        <f>WorkCoefficients!C28</f>
        <v>da-carsltw</v>
      </c>
      <c r="AI20">
        <f>WorkCoefficients!E28</f>
        <v>-2.5141990239999998</v>
      </c>
      <c r="AJ20" s="91">
        <f si="0" t="shared"/>
        <v>-2.5141990239999998</v>
      </c>
      <c r="AL20" s="59">
        <f>SchoolCoeffcients!B28</f>
        <v>45</v>
      </c>
      <c r="AM20" t="str">
        <f>SchoolCoeffcients!C28</f>
        <v>sr-inc2550</v>
      </c>
      <c r="AN20" s="55">
        <f>SchoolCoeffcients!E28</f>
        <v>-0.52505228900000001</v>
      </c>
      <c r="AO20" s="62">
        <f si="1" t="shared"/>
        <v>-0.52505228900000001</v>
      </c>
      <c r="AV20" s="59">
        <f>OtherCoefficients!B28</f>
        <v>54</v>
      </c>
      <c r="AW20" t="str">
        <f>OtherCoefficients!C28</f>
        <v>inc0to25k</v>
      </c>
      <c r="AX20">
        <f>OtherCoefficients!E28</f>
        <v>7.424277E-3</v>
      </c>
      <c r="AY20" s="62">
        <f si="3" t="shared"/>
        <v>7.424277E-3</v>
      </c>
    </row>
    <row r="21" spans="2:56" x14ac:dyDescent="0.25">
      <c r="B21" s="9" t="s">
        <v>4</v>
      </c>
      <c r="C21" s="9">
        <v>36959.695954903174</v>
      </c>
      <c r="D21" s="9">
        <v>0</v>
      </c>
      <c r="E21" s="9">
        <v>0</v>
      </c>
      <c r="F21" s="9">
        <v>0</v>
      </c>
      <c r="G21" s="9">
        <v>0</v>
      </c>
      <c r="H21" s="9">
        <v>36959.695954903174</v>
      </c>
      <c r="J21" s="9" t="s">
        <v>4</v>
      </c>
      <c r="K21" s="9">
        <f>Work!I7</f>
        <v>50462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si="5" t="shared"/>
        <v>50462</v>
      </c>
      <c r="Q21" s="9"/>
      <c r="Y21" s="9" t="s">
        <v>4</v>
      </c>
      <c r="Z21" s="52">
        <v>10</v>
      </c>
      <c r="AA21" s="52"/>
      <c r="AB21" s="52"/>
      <c r="AC21" s="52"/>
      <c r="AD21" s="52"/>
      <c r="AG21" s="59">
        <f>WorkCoefficients!B29</f>
        <v>54</v>
      </c>
      <c r="AH21" t="str">
        <f>WorkCoefficients!C29</f>
        <v>da-incu25</v>
      </c>
      <c r="AI21">
        <f>WorkCoefficients!E29</f>
        <v>0.761602102</v>
      </c>
      <c r="AJ21" s="91">
        <f si="0" t="shared"/>
        <v>0.761602102</v>
      </c>
      <c r="AL21" s="59">
        <f>SchoolCoeffcients!B29</f>
        <v>47</v>
      </c>
      <c r="AM21" t="str">
        <f>SchoolCoeffcients!C29</f>
        <v>sr-chun5</v>
      </c>
      <c r="AN21" s="55">
        <f>SchoolCoeffcients!E29</f>
        <v>1.564023495</v>
      </c>
      <c r="AO21" s="62">
        <f si="1" t="shared"/>
        <v>1.564023495</v>
      </c>
      <c r="AV21" s="59">
        <f>OtherCoefficients!B29</f>
        <v>60</v>
      </c>
      <c r="AW21" s="54" t="str">
        <f>OtherCoefficients!C29</f>
        <v>bi-const</v>
      </c>
      <c r="AX21" s="54">
        <f>OtherCoefficients!E29</f>
        <v>-4.5539641590000004</v>
      </c>
      <c r="AY21" s="62">
        <f si="3" t="shared"/>
        <v>-4.712341973502177</v>
      </c>
    </row>
    <row r="22" spans="2:56" x14ac:dyDescent="0.25">
      <c r="B22" s="9" t="s">
        <v>5</v>
      </c>
      <c r="C22" s="9">
        <v>115668.04385453105</v>
      </c>
      <c r="D22" s="9">
        <v>30548.520163722918</v>
      </c>
      <c r="E22" s="9">
        <v>0</v>
      </c>
      <c r="F22" s="9">
        <v>43124.421614928091</v>
      </c>
      <c r="G22" s="9">
        <v>1346.7997496808521</v>
      </c>
      <c r="H22" s="9">
        <v>190687.7853828629</v>
      </c>
      <c r="J22" s="9" t="s">
        <v>5</v>
      </c>
      <c r="K22" s="9">
        <f>Work!I8</f>
        <v>111334</v>
      </c>
      <c r="L22" s="9">
        <f>School!I8</f>
        <v>29301</v>
      </c>
      <c r="M22" s="9">
        <f>Escort!I8</f>
        <v>0</v>
      </c>
      <c r="N22" s="9">
        <f>Shop!I8+Meal!I8+SocRec!I8+Personal_Business!I8</f>
        <v>43761</v>
      </c>
      <c r="O22" s="9">
        <f>Workbased!S9</f>
        <v>1771</v>
      </c>
      <c r="P22" s="9">
        <f si="5" t="shared"/>
        <v>186167</v>
      </c>
      <c r="Q22" s="9"/>
      <c r="Y22" s="9" t="s">
        <v>5</v>
      </c>
      <c r="Z22" s="52">
        <v>20</v>
      </c>
      <c r="AA22" s="52">
        <v>20</v>
      </c>
      <c r="AB22" s="52"/>
      <c r="AC22" s="52">
        <v>20</v>
      </c>
      <c r="AD22" s="52">
        <v>20</v>
      </c>
      <c r="AG22" s="59">
        <f>WorkCoefficients!B30</f>
        <v>60</v>
      </c>
      <c r="AH22" s="54" t="str">
        <f>WorkCoefficients!C30</f>
        <v>bi-const</v>
      </c>
      <c r="AI22" s="54">
        <f>WorkCoefficients!E30</f>
        <v>-3.7193614820000001</v>
      </c>
      <c r="AJ22" s="91">
        <f si="0" t="shared"/>
        <v>-3.6310367238025516</v>
      </c>
      <c r="AL22" s="59">
        <f>SchoolCoeffcients!B30</f>
        <v>50</v>
      </c>
      <c r="AM22" s="54" t="str">
        <f>SchoolCoeffcients!C30</f>
        <v>da-const</v>
      </c>
      <c r="AN22" s="56">
        <f>SchoolCoeffcients!E30</f>
        <v>2.3671031779999998</v>
      </c>
      <c r="AO22" s="62">
        <f si="1" t="shared"/>
        <v>2.5575392661250027</v>
      </c>
      <c r="AV22" s="59">
        <f>OtherCoefficients!B30</f>
        <v>61</v>
      </c>
      <c r="AW22" t="str">
        <f>OtherCoefficients!C30</f>
        <v>bi-male</v>
      </c>
      <c r="AX22">
        <f>OtherCoefficients!E30</f>
        <v>0.61466384799999996</v>
      </c>
      <c r="AY22" s="62">
        <f si="3" t="shared"/>
        <v>0.61466384799999996</v>
      </c>
    </row>
    <row r="23" spans="2:56" x14ac:dyDescent="0.25">
      <c r="B23" s="9" t="s">
        <v>6</v>
      </c>
      <c r="C23" s="9">
        <v>43165.618113707358</v>
      </c>
      <c r="D23" s="9">
        <v>9904.1070635849646</v>
      </c>
      <c r="E23" s="9">
        <v>2741.4037701391835</v>
      </c>
      <c r="F23" s="9">
        <v>28959.119913708411</v>
      </c>
      <c r="G23" s="9">
        <v>500.77099079562731</v>
      </c>
      <c r="H23" s="9">
        <v>85271.019851935547</v>
      </c>
      <c r="J23" s="9" t="s">
        <v>6</v>
      </c>
      <c r="K23" s="9">
        <f>Work!I9</f>
        <v>42967</v>
      </c>
      <c r="L23" s="9">
        <f>School!I9</f>
        <v>9360</v>
      </c>
      <c r="M23" s="9">
        <f>Escort!I9</f>
        <v>2430</v>
      </c>
      <c r="N23" s="9">
        <f>Shop!I9+Meal!I9+SocRec!I9+Personal_Business!I9</f>
        <v>32197</v>
      </c>
      <c r="O23" s="9">
        <f>Workbased!S10</f>
        <v>458</v>
      </c>
      <c r="P23" s="9">
        <f si="5" t="shared"/>
        <v>87412</v>
      </c>
      <c r="Q23" s="9"/>
      <c r="Y23" s="9" t="s">
        <v>6</v>
      </c>
      <c r="Z23" s="52">
        <v>60</v>
      </c>
      <c r="AA23" s="52">
        <v>60</v>
      </c>
      <c r="AB23" s="52">
        <v>60</v>
      </c>
      <c r="AC23" s="52">
        <v>60</v>
      </c>
      <c r="AD23" s="52">
        <v>60</v>
      </c>
      <c r="AG23" s="59">
        <f>WorkCoefficients!B31</f>
        <v>61</v>
      </c>
      <c r="AH23" t="str">
        <f>WorkCoefficients!C31</f>
        <v>bi-male</v>
      </c>
      <c r="AI23">
        <f>WorkCoefficients!E31</f>
        <v>1.7828694030000001</v>
      </c>
      <c r="AJ23" s="91">
        <f si="0" t="shared"/>
        <v>1.7828694030000001</v>
      </c>
      <c r="AL23" s="59">
        <f>SchoolCoeffcients!B31</f>
        <v>52</v>
      </c>
      <c r="AM23" t="str">
        <f>SchoolCoeffcients!C31</f>
        <v>da-carsltd</v>
      </c>
      <c r="AN23" s="55">
        <f>SchoolCoeffcients!E31</f>
        <v>-2.1575125929999999</v>
      </c>
      <c r="AO23" s="62">
        <f si="1" t="shared"/>
        <v>-2.1575125929999999</v>
      </c>
      <c r="AV23" s="59">
        <f>OtherCoefficients!B31</f>
        <v>63</v>
      </c>
      <c r="AW23" t="str">
        <f>OtherCoefficients!C31</f>
        <v>bi-ageo50</v>
      </c>
      <c r="AX23">
        <f>OtherCoefficients!E31</f>
        <v>-0.87809104500000001</v>
      </c>
      <c r="AY23" s="62">
        <f si="3" t="shared"/>
        <v>-0.87809104500000001</v>
      </c>
    </row>
    <row r="24" spans="2:56" x14ac:dyDescent="0.25">
      <c r="B24" s="9" t="s">
        <v>7</v>
      </c>
      <c r="C24" s="9">
        <v>43208.640417496121</v>
      </c>
      <c r="D24" s="9">
        <v>59127.544922423513</v>
      </c>
      <c r="E24" s="9">
        <v>34377.186248158992</v>
      </c>
      <c r="F24" s="9">
        <v>539041.57748971123</v>
      </c>
      <c r="G24" s="9">
        <v>78769.452173129204</v>
      </c>
      <c r="H24" s="9">
        <v>754524.40125091909</v>
      </c>
      <c r="J24" s="9" t="s">
        <v>7</v>
      </c>
      <c r="K24" s="9">
        <f>Work!I10</f>
        <v>98783</v>
      </c>
      <c r="L24" s="9">
        <f>School!I10</f>
        <v>85894</v>
      </c>
      <c r="M24" s="9">
        <f>Escort!I10</f>
        <v>21240</v>
      </c>
      <c r="N24" s="9">
        <f>Shop!I10+Meal!I10+SocRec!I10+Personal_Business!I10</f>
        <v>374484</v>
      </c>
      <c r="O24" s="9">
        <f>Workbased!S11</f>
        <v>78740</v>
      </c>
      <c r="P24" s="9">
        <f si="5" t="shared"/>
        <v>659141</v>
      </c>
      <c r="Q24" s="9"/>
      <c r="Y24" s="9" t="s">
        <v>7</v>
      </c>
      <c r="Z24" s="52"/>
      <c r="AA24" s="52"/>
      <c r="AB24" s="52"/>
      <c r="AC24" s="52"/>
      <c r="AD24" s="52"/>
      <c r="AG24" s="59">
        <f>WorkCoefficients!B32</f>
        <v>63</v>
      </c>
      <c r="AH24" t="str">
        <f>WorkCoefficients!C32</f>
        <v>bi-ageo50</v>
      </c>
      <c r="AI24">
        <f>WorkCoefficients!E32</f>
        <v>-1.1592853190000001</v>
      </c>
      <c r="AJ24" s="91">
        <f si="0" t="shared"/>
        <v>-1.1592853190000001</v>
      </c>
      <c r="AL24" s="59">
        <f>SchoolCoeffcients!B32</f>
        <v>54</v>
      </c>
      <c r="AM24" t="str">
        <f>SchoolCoeffcients!C32</f>
        <v>da-incu25</v>
      </c>
      <c r="AN24" s="55">
        <f>SchoolCoeffcients!E32</f>
        <v>0</v>
      </c>
      <c r="AO24" s="62">
        <f si="1" t="shared"/>
        <v>0</v>
      </c>
      <c r="AV24" s="59">
        <f>OtherCoefficients!B32</f>
        <v>73</v>
      </c>
      <c r="AW24" t="str">
        <f>OtherCoefficients!C32</f>
        <v>wk-ageo50</v>
      </c>
      <c r="AX24">
        <f>OtherCoefficients!E32</f>
        <v>-8.2669199999999998E-2</v>
      </c>
      <c r="AY24" s="62">
        <f si="3" t="shared"/>
        <v>-8.2669199999999998E-2</v>
      </c>
    </row>
    <row r="25" spans="2:56" x14ac:dyDescent="0.25">
      <c r="B25" s="14" t="s">
        <v>8</v>
      </c>
      <c r="C25" s="9">
        <v>988.69322067762539</v>
      </c>
      <c r="D25" s="9">
        <v>213492.11572632255</v>
      </c>
      <c r="E25" s="9">
        <v>662.62462016674374</v>
      </c>
      <c r="F25" s="9">
        <v>3704.7599405584451</v>
      </c>
      <c r="G25" s="9">
        <v>177571.10492258583</v>
      </c>
      <c r="H25" s="9">
        <v>396419.29843031114</v>
      </c>
      <c r="J25" s="14" t="s">
        <v>8</v>
      </c>
      <c r="K25" s="9">
        <f>Work!I11</f>
        <v>0</v>
      </c>
      <c r="L25" s="9">
        <f>School!I11</f>
        <v>204818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si="5" t="shared"/>
        <v>204818</v>
      </c>
      <c r="Q25" s="9"/>
      <c r="Y25" s="14" t="s">
        <v>8</v>
      </c>
      <c r="Z25" s="53"/>
      <c r="AA25" s="53">
        <v>10</v>
      </c>
      <c r="AB25" s="53"/>
      <c r="AC25" s="53"/>
      <c r="AD25" s="53"/>
      <c r="AG25" s="59">
        <f>WorkCoefficients!B33</f>
        <v>71</v>
      </c>
      <c r="AH25" t="str">
        <f>WorkCoefficients!C33</f>
        <v>wk-male</v>
      </c>
      <c r="AI25">
        <f>WorkCoefficients!E33</f>
        <v>0.93477131499999999</v>
      </c>
      <c r="AJ25" s="91">
        <f si="0" t="shared"/>
        <v>0.93477131499999999</v>
      </c>
      <c r="AL25" s="59">
        <f>SchoolCoeffcients!B33</f>
        <v>56</v>
      </c>
      <c r="AM25" t="str">
        <f>SchoolCoeffcients!C33</f>
        <v>da-inco75</v>
      </c>
      <c r="AN25" s="55">
        <f>SchoolCoeffcients!E33</f>
        <v>0.30919284200000002</v>
      </c>
      <c r="AO25" s="62">
        <f si="1" t="shared"/>
        <v>0.30919284200000002</v>
      </c>
      <c r="AV25" s="59">
        <f>OtherCoefficients!B33</f>
        <v>120</v>
      </c>
      <c r="AW25" t="str">
        <f>OtherCoefficients!C33</f>
        <v>tr-shop</v>
      </c>
      <c r="AX25">
        <f>OtherCoefficients!E33</f>
        <v>-0.40759393700000002</v>
      </c>
      <c r="AY25" s="62">
        <f si="3" t="shared"/>
        <v>-0.40759393700000002</v>
      </c>
    </row>
    <row ht="15.75" r="26" spans="2:56" thickBot="1" x14ac:dyDescent="0.3">
      <c r="B26" s="40" t="s">
        <v>19</v>
      </c>
      <c r="C26" s="19">
        <f>SUM(C18:C25)</f>
        <v>1710622.2617305303</v>
      </c>
      <c r="D26" s="19">
        <f ref="D26:H26" si="6" t="shared">SUM(D18:D25)</f>
        <v>778393.88220638398</v>
      </c>
      <c r="E26" s="19">
        <f si="6" t="shared"/>
        <v>648570.21620287129</v>
      </c>
      <c r="F26" s="19">
        <f si="6" t="shared"/>
        <v>2723133.5272370623</v>
      </c>
      <c r="G26" s="19">
        <f si="6" t="shared"/>
        <v>355142.20984517166</v>
      </c>
      <c r="H26" s="19">
        <f si="6" t="shared"/>
        <v>6215862.097222019</v>
      </c>
      <c r="J26" s="40" t="s">
        <v>19</v>
      </c>
      <c r="K26" s="19">
        <f>SUM(K18:K25)</f>
        <v>1859988</v>
      </c>
      <c r="L26" s="19">
        <f ref="L26" si="7" t="shared">SUM(L18:L25)</f>
        <v>757811</v>
      </c>
      <c r="M26" s="19">
        <f ref="M26" si="8" t="shared">SUM(M18:M25)</f>
        <v>581325</v>
      </c>
      <c r="N26" s="19">
        <f ref="N26" si="9" t="shared">SUM(N18:N25)</f>
        <v>2584142</v>
      </c>
      <c r="O26" s="19">
        <f ref="O26" si="10" t="shared">SUM(O18:O25)</f>
        <v>198957</v>
      </c>
      <c r="P26" s="19">
        <f>SUM(K26:O26)</f>
        <v>5982223</v>
      </c>
      <c r="Q26" s="12"/>
      <c r="AG26" s="59">
        <f>WorkCoefficients!B34</f>
        <v>124</v>
      </c>
      <c r="AH26" t="str">
        <f>WorkCoefficients!C34</f>
        <v>tr-omixed</v>
      </c>
      <c r="AI26">
        <f>WorkCoefficients!E34</f>
        <v>1.3254575719999999</v>
      </c>
      <c r="AJ26" s="91">
        <f si="0" t="shared"/>
        <v>1.3254575719999999</v>
      </c>
      <c r="AL26" s="59">
        <f>SchoolCoeffcients!B34</f>
        <v>59</v>
      </c>
      <c r="AM26" t="str">
        <f>SchoolCoeffcients!C34</f>
        <v>da-ch1617</v>
      </c>
      <c r="AN26" s="55">
        <f>SchoolCoeffcients!E34</f>
        <v>-3.2597140630000001</v>
      </c>
      <c r="AO26" s="62">
        <f si="1" t="shared"/>
        <v>-3.2597140630000001</v>
      </c>
      <c r="AV26" s="59">
        <f>OtherCoefficients!B34</f>
        <v>124</v>
      </c>
      <c r="AW26" t="str">
        <f>OtherCoefficients!C34</f>
        <v>tr-omixed</v>
      </c>
      <c r="AX26">
        <f>OtherCoefficients!E34</f>
        <v>0.22849027299999999</v>
      </c>
      <c r="AY26" s="62">
        <f si="3" t="shared"/>
        <v>0.22849027299999999</v>
      </c>
    </row>
    <row r="27" spans="2:56" x14ac:dyDescent="0.25">
      <c r="T27" s="59"/>
      <c r="U27" s="59"/>
      <c r="V27" s="59"/>
      <c r="AG27" s="59">
        <f>WorkCoefficients!B35</f>
        <v>127</v>
      </c>
      <c r="AH27" t="str">
        <f>WorkCoefficients!C35</f>
        <v>tr-dintdn</v>
      </c>
      <c r="AI27">
        <f>WorkCoefficients!E35</f>
        <v>9.2856180000000007E-3</v>
      </c>
      <c r="AJ27" s="91">
        <f si="0" t="shared"/>
        <v>9.2856180000000007E-3</v>
      </c>
      <c r="AL27" s="59">
        <f>SchoolCoeffcients!B35</f>
        <v>60</v>
      </c>
      <c r="AM27" s="54" t="str">
        <f>SchoolCoeffcients!C35</f>
        <v>bi-const</v>
      </c>
      <c r="AN27" s="56">
        <f>SchoolCoeffcients!E35</f>
        <v>-3.8530967860000001</v>
      </c>
      <c r="AO27" s="62">
        <f si="1" t="shared"/>
        <v>-3.8233912076812073</v>
      </c>
      <c r="AV27" s="59">
        <f>OtherCoefficients!B35</f>
        <v>128</v>
      </c>
      <c r="AW27" t="str">
        <f>OtherCoefficients!C35</f>
        <v>tr-dempdn</v>
      </c>
      <c r="AX27">
        <f>OtherCoefficients!E35</f>
        <v>4.0664499999999997E-5</v>
      </c>
      <c r="AY27" s="62">
        <f si="3" t="shared"/>
        <v>4.0664499999999997E-5</v>
      </c>
    </row>
    <row r="28" spans="2:56" x14ac:dyDescent="0.25">
      <c r="G28" s="9"/>
      <c r="H28" s="9"/>
      <c r="Y28" t="s">
        <v>219</v>
      </c>
      <c r="AA28" t="s">
        <v>294</v>
      </c>
      <c r="AB28">
        <v>1</v>
      </c>
      <c r="AG28">
        <f>WorkCoefficients!B36</f>
        <v>128</v>
      </c>
      <c r="AH28" t="str">
        <f>WorkCoefficients!C36</f>
        <v>tr-dempdn</v>
      </c>
      <c r="AI28">
        <f>WorkCoefficients!E36</f>
        <v>4.4706600000000003E-5</v>
      </c>
      <c r="AJ28" s="91">
        <f si="0" t="shared"/>
        <v>4.4706600000000003E-5</v>
      </c>
      <c r="AL28" s="59">
        <f>SchoolCoeffcients!B36</f>
        <v>61</v>
      </c>
      <c r="AM28" t="str">
        <f>SchoolCoeffcients!C36</f>
        <v>bi-male</v>
      </c>
      <c r="AN28" s="55">
        <f>SchoolCoeffcients!E36</f>
        <v>1.044595197</v>
      </c>
      <c r="AO28" s="62">
        <f si="1" t="shared"/>
        <v>1.044595197</v>
      </c>
      <c r="AV28" s="59">
        <f>OtherCoefficients!B36</f>
        <v>131</v>
      </c>
      <c r="AW28" t="str">
        <f>OtherCoefficients!C36</f>
        <v>da-escsptr</v>
      </c>
      <c r="AX28">
        <f>OtherCoefficients!E36</f>
        <v>0</v>
      </c>
      <c r="AY28" s="62">
        <f si="3" t="shared"/>
        <v>0</v>
      </c>
    </row>
    <row ht="15.75" r="29" spans="2:56" thickBot="1" x14ac:dyDescent="0.3">
      <c r="B29" s="39" t="s">
        <v>217</v>
      </c>
      <c r="R29" t="s">
        <v>218</v>
      </c>
      <c r="AG29">
        <f>WorkCoefficients!B37</f>
        <v>131</v>
      </c>
      <c r="AH29" t="str">
        <f>WorkCoefficients!C37</f>
        <v>da-escsptr</v>
      </c>
      <c r="AI29">
        <f>WorkCoefficients!E37</f>
        <v>-4.5175524459999998</v>
      </c>
      <c r="AJ29" s="91">
        <f si="0" t="shared"/>
        <v>-4.5175524459999998</v>
      </c>
      <c r="AL29" s="59">
        <f>SchoolCoeffcients!B37</f>
        <v>69</v>
      </c>
      <c r="AM29" t="str">
        <f>SchoolCoeffcients!C37</f>
        <v>bi-univtr</v>
      </c>
      <c r="AN29" s="55">
        <f>SchoolCoeffcients!E37</f>
        <v>2.655798109</v>
      </c>
      <c r="AO29" s="62">
        <f si="1" t="shared"/>
        <v>2.655798109</v>
      </c>
      <c r="AV29" s="59">
        <f>OtherCoefficients!B37</f>
        <v>132</v>
      </c>
      <c r="AW29" t="str">
        <f>OtherCoefficients!C37</f>
        <v>da-othsptr</v>
      </c>
      <c r="AX29">
        <f>OtherCoefficients!E37</f>
        <v>0.20969220399999999</v>
      </c>
      <c r="AY29" s="62">
        <f si="3" t="shared"/>
        <v>0.20969220399999999</v>
      </c>
    </row>
    <row r="30" spans="2:56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R30" s="2" t="s">
        <v>0</v>
      </c>
      <c r="S30" s="2" t="s">
        <v>195</v>
      </c>
      <c r="T30" s="2" t="s">
        <v>196</v>
      </c>
      <c r="U30" s="2" t="s">
        <v>197</v>
      </c>
      <c r="V30" s="2" t="s">
        <v>198</v>
      </c>
      <c r="W30" s="2" t="s">
        <v>216</v>
      </c>
      <c r="Y30" s="2" t="s">
        <v>0</v>
      </c>
      <c r="Z30" s="2" t="s">
        <v>195</v>
      </c>
      <c r="AA30" s="2" t="s">
        <v>196</v>
      </c>
      <c r="AB30" s="2" t="s">
        <v>197</v>
      </c>
      <c r="AC30" s="2" t="s">
        <v>198</v>
      </c>
      <c r="AD30" s="2" t="s">
        <v>216</v>
      </c>
      <c r="AG30">
        <f>WorkCoefficients!B38</f>
        <v>132</v>
      </c>
      <c r="AH30" t="str">
        <f>WorkCoefficients!C38</f>
        <v>da-othsptr</v>
      </c>
      <c r="AI30">
        <f>WorkCoefficients!E38</f>
        <v>0.19300757900000001</v>
      </c>
      <c r="AJ30" s="91">
        <f si="0" t="shared"/>
        <v>0.19300757900000001</v>
      </c>
      <c r="AL30" s="59">
        <f>SchoolCoeffcients!B38</f>
        <v>79</v>
      </c>
      <c r="AM30" t="str">
        <f>SchoolCoeffcients!C38</f>
        <v>wk-univtr</v>
      </c>
      <c r="AN30" s="55">
        <f>SchoolCoeffcients!E38</f>
        <v>3.1769310329999998</v>
      </c>
      <c r="AO30" s="62">
        <f si="1" t="shared"/>
        <v>3.1769310329999998</v>
      </c>
      <c r="AV30" s="59">
        <f>OtherCoefficients!B38</f>
        <v>133</v>
      </c>
      <c r="AW30" t="str">
        <f>OtherCoefficients!C38</f>
        <v>sr-escsptr</v>
      </c>
      <c r="AX30">
        <f>OtherCoefficients!E38</f>
        <v>0</v>
      </c>
      <c r="AY30" s="62">
        <f si="3" t="shared"/>
        <v>0</v>
      </c>
    </row>
    <row r="31" spans="2:56" x14ac:dyDescent="0.25">
      <c r="B31" s="9" t="s">
        <v>1</v>
      </c>
      <c r="C31" s="42">
        <f>$C18/C$26</f>
        <v>0.6412931492920102</v>
      </c>
      <c r="D31" s="42">
        <f>$D18/D$26</f>
        <v>0.11885591668502474</v>
      </c>
      <c r="E31" s="42">
        <f>$E18/E$26</f>
        <v>3.0586690159631218E-2</v>
      </c>
      <c r="F31" s="42">
        <f>$F18/F$26</f>
        <v>0.31756626028895785</v>
      </c>
      <c r="G31" s="42">
        <f>$G18/G$26</f>
        <v>0.20908612002055477</v>
      </c>
      <c r="H31" s="42"/>
      <c r="J31" s="9" t="s">
        <v>1</v>
      </c>
      <c r="K31" s="42">
        <f>$K18/K$26</f>
        <v>0.58515216227201461</v>
      </c>
      <c r="L31" s="42">
        <f>$L18/L$26</f>
        <v>9.8246132610901662E-2</v>
      </c>
      <c r="M31" s="42">
        <f>$M18/M$26</f>
        <v>1.1659570808067777E-2</v>
      </c>
      <c r="N31" s="42">
        <f>$N18/N$26</f>
        <v>0.33429664468903025</v>
      </c>
      <c r="O31" s="42">
        <f>$O18/O$26</f>
        <v>0.44319626854043837</v>
      </c>
      <c r="R31" s="9" t="s">
        <v>1</v>
      </c>
      <c r="S31" s="44">
        <f ref="S31:W33" si="11" t="shared">C31/K31</f>
        <v>1.0959425439051831</v>
      </c>
      <c r="T31" s="44">
        <f si="11" t="shared"/>
        <v>1.2097770520468931</v>
      </c>
      <c r="U31" s="44">
        <f si="11" t="shared"/>
        <v>2.6233118408155232</v>
      </c>
      <c r="V31" s="44">
        <f si="11" t="shared"/>
        <v>0.94995347794879792</v>
      </c>
      <c r="W31" s="44">
        <f si="11" t="shared"/>
        <v>0.47176868322725335</v>
      </c>
      <c r="Y31" s="9" t="s">
        <v>1</v>
      </c>
      <c r="Z31" s="44">
        <f>IF(S31&gt;0,$AB$28*LN(S31),0)</f>
        <v>9.1614763707490998E-2</v>
      </c>
      <c r="AA31" s="44">
        <f ref="AA31:AD31" si="12" t="shared">IF(T31&gt;0,$AB$28*LN(T31),0)</f>
        <v>0.19043608812500279</v>
      </c>
      <c r="AB31" s="44">
        <f si="12" t="shared"/>
        <v>0.96443758090001297</v>
      </c>
      <c r="AC31" s="44">
        <f si="12" t="shared"/>
        <v>-5.1342266166861258E-2</v>
      </c>
      <c r="AD31" s="44">
        <f si="12" t="shared"/>
        <v>-0.75126649143237079</v>
      </c>
      <c r="AG31">
        <f>WorkCoefficients!B39</f>
        <v>133</v>
      </c>
      <c r="AH31" t="str">
        <f>WorkCoefficients!C39</f>
        <v>sr-escsptr</v>
      </c>
      <c r="AI31">
        <f>WorkCoefficients!E39</f>
        <v>5.5028395569999997</v>
      </c>
      <c r="AJ31" s="91">
        <f si="0" t="shared"/>
        <v>5.5028395569999997</v>
      </c>
      <c r="AL31" s="59">
        <f>SchoolCoeffcients!B39</f>
        <v>122</v>
      </c>
      <c r="AM31" t="str">
        <f>SchoolCoeffcients!C39</f>
        <v>tr-ologts</v>
      </c>
      <c r="AN31" s="55">
        <f>SchoolCoeffcients!E39</f>
        <v>-0.24379659300000001</v>
      </c>
      <c r="AO31" s="62">
        <f si="1" t="shared"/>
        <v>-0.24379659300000001</v>
      </c>
      <c r="AV31" s="59">
        <f>OtherCoefficients!B39</f>
        <v>134</v>
      </c>
      <c r="AW31" t="str">
        <f>OtherCoefficients!C39</f>
        <v>sr-othsptr</v>
      </c>
      <c r="AX31">
        <f>OtherCoefficients!E39</f>
        <v>0.296367824</v>
      </c>
      <c r="AY31" s="62">
        <f si="3" t="shared"/>
        <v>0.296367824</v>
      </c>
    </row>
    <row r="32" spans="2:56" x14ac:dyDescent="0.25">
      <c r="B32" s="9" t="s">
        <v>2</v>
      </c>
      <c r="C32" s="42">
        <f ref="C32:C38" si="13" t="shared">$C19/C$26</f>
        <v>0.14314118715635274</v>
      </c>
      <c r="D32" s="42">
        <f ref="D32:D38" si="14" t="shared">$D19/D$26</f>
        <v>0.17835206963307343</v>
      </c>
      <c r="E32" s="42">
        <f ref="E32:E38" si="15" t="shared">$E19/E$26</f>
        <v>0.44943715130862871</v>
      </c>
      <c r="F32" s="42">
        <f ref="F32:F38" si="16" t="shared">$F19/F$26</f>
        <v>0.25178690745653287</v>
      </c>
      <c r="G32" s="42">
        <f ref="G32:G38" si="17" t="shared">$G19/G$26</f>
        <v>4.6004066580394694E-2</v>
      </c>
      <c r="H32" s="42"/>
      <c r="J32" s="9" t="s">
        <v>2</v>
      </c>
      <c r="K32" s="42">
        <f ref="K32:K38" si="18" t="shared">$K19/K$26</f>
        <v>0.16300373980907404</v>
      </c>
      <c r="L32" s="42">
        <f ref="L32:L38" si="19" t="shared">$L19/L$26</f>
        <v>0.17439968540968659</v>
      </c>
      <c r="M32" s="42">
        <f ref="M32:M38" si="20" t="shared">$M19/M$26</f>
        <v>0.45647787382273253</v>
      </c>
      <c r="N32" s="42">
        <f ref="N32:N38" si="21" t="shared">$N19/N$26</f>
        <v>0.27052383344258946</v>
      </c>
      <c r="O32" s="42">
        <f ref="O32:O38" si="22" t="shared">$O19/O$26</f>
        <v>0.10844554350940153</v>
      </c>
      <c r="R32" s="9" t="s">
        <v>2</v>
      </c>
      <c r="S32" s="44">
        <f si="11" t="shared"/>
        <v>0.878146644512658</v>
      </c>
      <c r="T32" s="44">
        <f si="11" t="shared"/>
        <v>1.0226627944546012</v>
      </c>
      <c r="U32" s="44">
        <f si="11" t="shared"/>
        <v>0.98457598293835813</v>
      </c>
      <c r="V32" s="44">
        <f si="11" t="shared"/>
        <v>0.93073835400150451</v>
      </c>
      <c r="W32" s="44">
        <f si="11" t="shared"/>
        <v>0.4242135277454388</v>
      </c>
      <c r="Y32" s="9" t="s">
        <v>2</v>
      </c>
      <c r="Z32" s="44">
        <f ref="Z32:Z36" si="23" t="shared">IF(S32&gt;0,$AB$28*LN(S32),0)</f>
        <v>-0.12994167820845703</v>
      </c>
      <c r="AA32" s="44">
        <f ref="AA32:AA38" si="24" t="shared">IF(T32&gt;0,$AB$28*LN(T32),0)</f>
        <v>2.2409808442444695E-2</v>
      </c>
      <c r="AB32" s="44">
        <f ref="AB32:AB36" si="25" t="shared">IF(U32&gt;0,$AB$28*LN(U32),0)</f>
        <v>-1.5544204664909919E-2</v>
      </c>
      <c r="AC32" s="44">
        <f ref="AC32:AC36" si="26" t="shared">IF(V32&gt;0,$AB$28*LN(V32),0)</f>
        <v>-7.1777078795903629E-2</v>
      </c>
      <c r="AD32" s="44">
        <f ref="AD32:AD38" si="27" t="shared">IF(W32&gt;0,$AB$28*LN(W32),0)</f>
        <v>-0.85751834734249466</v>
      </c>
      <c r="AG32">
        <f>WorkCoefficients!B40</f>
        <v>134</v>
      </c>
      <c r="AH32" t="str">
        <f>WorkCoefficients!C40</f>
        <v>sr-othsptr</v>
      </c>
      <c r="AI32">
        <f>WorkCoefficients!E40</f>
        <v>0.42372318599999997</v>
      </c>
      <c r="AJ32" s="91">
        <f si="0" t="shared"/>
        <v>0.42372318599999997</v>
      </c>
      <c r="AL32" s="59">
        <f>SchoolCoeffcients!B40</f>
        <v>129</v>
      </c>
      <c r="AM32" t="str">
        <f>SchoolCoeffcients!C40</f>
        <v>tr-dmixed</v>
      </c>
      <c r="AN32" s="55">
        <f>SchoolCoeffcients!E40</f>
        <v>0.77462376499999996</v>
      </c>
      <c r="AO32" s="62">
        <f si="1" t="shared"/>
        <v>0.77462376499999996</v>
      </c>
      <c r="AV32" s="59">
        <f>OtherCoefficients!B40</f>
        <v>136</v>
      </c>
      <c r="AW32" t="str">
        <f>OtherCoefficients!C40</f>
        <v>sr-shop</v>
      </c>
      <c r="AX32">
        <f>OtherCoefficients!E40</f>
        <v>-4.3232317999999999E-2</v>
      </c>
      <c r="AY32" s="62">
        <f si="3" t="shared"/>
        <v>-4.3232317999999999E-2</v>
      </c>
    </row>
    <row r="33" spans="1:51" x14ac:dyDescent="0.25">
      <c r="B33" s="9" t="s">
        <v>3</v>
      </c>
      <c r="C33" s="42">
        <f si="13" t="shared"/>
        <v>7.5271282418930469E-2</v>
      </c>
      <c r="D33" s="42">
        <f si="14" t="shared"/>
        <v>0.30058909940842388</v>
      </c>
      <c r="E33" s="42">
        <f si="15" t="shared"/>
        <v>0.46172307552762154</v>
      </c>
      <c r="F33" s="42">
        <f si="16" t="shared"/>
        <v>0.20486654171446983</v>
      </c>
      <c r="G33" s="42">
        <f si="17" t="shared"/>
        <v>1.7910541899468391E-2</v>
      </c>
      <c r="H33" s="42"/>
      <c r="J33" s="9" t="s">
        <v>3</v>
      </c>
      <c r="K33" s="42">
        <f si="18" t="shared"/>
        <v>8.8646270836155935E-2</v>
      </c>
      <c r="L33" s="42">
        <f si="19" t="shared"/>
        <v>0.29271678558374054</v>
      </c>
      <c r="M33" s="42">
        <f si="20" t="shared"/>
        <v>0.4911452285726573</v>
      </c>
      <c r="N33" s="42">
        <f si="21" t="shared"/>
        <v>0.22086944138518705</v>
      </c>
      <c r="O33" s="42">
        <f si="22" t="shared"/>
        <v>4.1390853299959285E-2</v>
      </c>
      <c r="R33" s="9" t="s">
        <v>3</v>
      </c>
      <c r="S33" s="44">
        <f si="11" t="shared"/>
        <v>0.84911955922041737</v>
      </c>
      <c r="T33" s="44">
        <f si="11" t="shared"/>
        <v>1.0268939610312551</v>
      </c>
      <c r="U33" s="44">
        <f si="11" t="shared"/>
        <v>0.94009480020697545</v>
      </c>
      <c r="V33" s="44">
        <f si="11" t="shared"/>
        <v>0.92754588606574673</v>
      </c>
      <c r="W33" s="44">
        <f si="11" t="shared"/>
        <v>0.4327173873336409</v>
      </c>
      <c r="Y33" s="9" t="s">
        <v>3</v>
      </c>
      <c r="Z33" s="44">
        <f si="23" t="shared"/>
        <v>-0.16355527900432468</v>
      </c>
      <c r="AA33" s="44">
        <f si="24" t="shared"/>
        <v>2.653867442894654E-2</v>
      </c>
      <c r="AB33" s="44">
        <f si="25" t="shared"/>
        <v>-6.177455751921989E-2</v>
      </c>
      <c r="AC33" s="44">
        <f si="26" t="shared"/>
        <v>-7.521301287712151E-2</v>
      </c>
      <c r="AD33" s="44">
        <f si="27" t="shared"/>
        <v>-0.83767044921302747</v>
      </c>
      <c r="AG33">
        <f>WorkCoefficients!B41</f>
        <v>162</v>
      </c>
      <c r="AH33" t="str">
        <f>WorkCoefficients!C41</f>
        <v>bi-class2</v>
      </c>
      <c r="AI33">
        <f>WorkCoefficients!E41</f>
        <v>0</v>
      </c>
      <c r="AJ33" s="91">
        <f si="0" t="shared"/>
        <v>0</v>
      </c>
      <c r="AL33" s="59">
        <f>SchoolCoeffcients!B41</f>
        <v>131</v>
      </c>
      <c r="AM33" t="str">
        <f>SchoolCoeffcients!C41</f>
        <v>da-escsptr</v>
      </c>
      <c r="AN33" s="55">
        <f>SchoolCoeffcients!E41</f>
        <v>0</v>
      </c>
      <c r="AO33" s="62">
        <f si="1" t="shared"/>
        <v>0</v>
      </c>
      <c r="AV33" s="59">
        <f>OtherCoefficients!B41</f>
        <v>137</v>
      </c>
      <c r="AW33" t="str">
        <f>OtherCoefficients!C41</f>
        <v>sr-meal</v>
      </c>
      <c r="AX33">
        <f>OtherCoefficients!E41</f>
        <v>1.3197710739999999</v>
      </c>
      <c r="AY33" s="62">
        <f si="3" t="shared"/>
        <v>1.3197710739999999</v>
      </c>
    </row>
    <row r="34" spans="1:51" x14ac:dyDescent="0.25">
      <c r="B34" s="9" t="s">
        <v>4</v>
      </c>
      <c r="C34" s="42">
        <f si="13" t="shared"/>
        <v>2.1605994953855765E-2</v>
      </c>
      <c r="D34" s="42">
        <f si="14" t="shared"/>
        <v>0</v>
      </c>
      <c r="E34" s="42">
        <f si="15" t="shared"/>
        <v>0</v>
      </c>
      <c r="F34" s="42">
        <f si="16" t="shared"/>
        <v>0</v>
      </c>
      <c r="G34" s="42">
        <f si="17" t="shared"/>
        <v>0</v>
      </c>
      <c r="H34" s="42"/>
      <c r="J34" s="9" t="s">
        <v>4</v>
      </c>
      <c r="K34" s="42">
        <f si="18" t="shared"/>
        <v>2.7130282560962758E-2</v>
      </c>
      <c r="L34" s="42">
        <f si="19" t="shared"/>
        <v>0</v>
      </c>
      <c r="M34" s="42">
        <f si="20" t="shared"/>
        <v>0</v>
      </c>
      <c r="N34" s="42">
        <f si="21" t="shared"/>
        <v>0</v>
      </c>
      <c r="O34" s="42">
        <f si="22" t="shared"/>
        <v>0</v>
      </c>
      <c r="R34" s="9" t="s">
        <v>4</v>
      </c>
      <c r="S34" s="44">
        <f>C34/K34</f>
        <v>0.79637928227641153</v>
      </c>
      <c r="T34" s="44"/>
      <c r="U34" s="44"/>
      <c r="V34" s="44"/>
      <c r="W34" s="44"/>
      <c r="Y34" s="9" t="s">
        <v>4</v>
      </c>
      <c r="Z34" s="44">
        <f si="23" t="shared"/>
        <v>-0.22767972134894018</v>
      </c>
      <c r="AA34" s="44"/>
      <c r="AB34" s="44"/>
      <c r="AC34" s="44"/>
      <c r="AD34" s="44"/>
      <c r="AG34">
        <f>WorkCoefficients!B42</f>
        <v>164</v>
      </c>
      <c r="AH34" t="str">
        <f>WorkCoefficients!C42</f>
        <v>bi-omixed</v>
      </c>
      <c r="AI34">
        <f>WorkCoefficients!E42</f>
        <v>1.336185706</v>
      </c>
      <c r="AJ34" s="91">
        <f si="0" t="shared"/>
        <v>1.336185706</v>
      </c>
      <c r="AL34" s="59">
        <f>SchoolCoeffcients!B42</f>
        <v>132</v>
      </c>
      <c r="AM34" t="str">
        <f>SchoolCoeffcients!C42</f>
        <v>da-othsptr</v>
      </c>
      <c r="AN34" s="55">
        <f>SchoolCoeffcients!E42</f>
        <v>1.337907E-2</v>
      </c>
      <c r="AO34" s="62">
        <f si="1" t="shared"/>
        <v>1.337907E-2</v>
      </c>
      <c r="AV34" s="59">
        <f>OtherCoefficients!B42</f>
        <v>138</v>
      </c>
      <c r="AW34" t="str">
        <f>OtherCoefficients!C42</f>
        <v>sr-socrec</v>
      </c>
      <c r="AX34">
        <f>OtherCoefficients!E42</f>
        <v>0.46798410400000001</v>
      </c>
      <c r="AY34" s="62">
        <f si="3" t="shared"/>
        <v>0.46798410400000001</v>
      </c>
    </row>
    <row r="35" spans="1:51" x14ac:dyDescent="0.25">
      <c r="B35" s="9" t="s">
        <v>5</v>
      </c>
      <c r="C35" s="42">
        <f si="13" t="shared"/>
        <v>6.7617525179122173E-2</v>
      </c>
      <c r="D35" s="42">
        <f si="14" t="shared"/>
        <v>3.9245581012445907E-2</v>
      </c>
      <c r="E35" s="42">
        <f si="15" t="shared"/>
        <v>0</v>
      </c>
      <c r="F35" s="42">
        <f si="16" t="shared"/>
        <v>1.5836322818397693E-2</v>
      </c>
      <c r="G35" s="42">
        <f si="17" t="shared"/>
        <v>3.7922829569259171E-3</v>
      </c>
      <c r="H35" s="42"/>
      <c r="J35" s="9" t="s">
        <v>5</v>
      </c>
      <c r="K35" s="42">
        <f si="18" t="shared"/>
        <v>5.9857375423927467E-2</v>
      </c>
      <c r="L35" s="42">
        <f si="19" t="shared"/>
        <v>3.8665313646806393E-2</v>
      </c>
      <c r="M35" s="42">
        <f si="20" t="shared"/>
        <v>0</v>
      </c>
      <c r="N35" s="42">
        <f si="21" t="shared"/>
        <v>1.6934440909207003E-2</v>
      </c>
      <c r="O35" s="42">
        <f si="22" t="shared"/>
        <v>8.9014209100458895E-3</v>
      </c>
      <c r="R35" s="9" t="s">
        <v>5</v>
      </c>
      <c r="S35" s="44">
        <f>C35/K35</f>
        <v>1.1296440029358965</v>
      </c>
      <c r="T35" s="60">
        <f>IF(L35=0,1,D35/L35)</f>
        <v>1.0150074397673337</v>
      </c>
      <c r="U35" s="60"/>
      <c r="V35" s="60">
        <f>IF(N35=0,1,F35/N35)</f>
        <v>0.93515474784808039</v>
      </c>
      <c r="W35" s="60">
        <f>IF(O35=0,1,G35/O35)</f>
        <v>0.42603119156471464</v>
      </c>
      <c r="Y35" s="9" t="s">
        <v>5</v>
      </c>
      <c r="Z35" s="44">
        <f si="23" t="shared"/>
        <v>0.12190254143855436</v>
      </c>
      <c r="AA35" s="44">
        <f si="24" t="shared"/>
        <v>1.4895942286920811E-2</v>
      </c>
      <c r="AB35" s="44"/>
      <c r="AC35" s="44">
        <f si="26" t="shared"/>
        <v>-6.7043257668138637E-2</v>
      </c>
      <c r="AD35" s="44">
        <f si="27" t="shared"/>
        <v>-0.85324271575771293</v>
      </c>
      <c r="AG35">
        <f>WorkCoefficients!B43</f>
        <v>168</v>
      </c>
      <c r="AH35" t="str">
        <f>WorkCoefficients!C43</f>
        <v>bi-dempdn</v>
      </c>
      <c r="AI35">
        <f>WorkCoefficients!E43</f>
        <v>-6.5359500000000005E-7</v>
      </c>
      <c r="AJ35" s="91">
        <f si="0" t="shared"/>
        <v>-6.5359500000000005E-7</v>
      </c>
      <c r="AL35" s="59">
        <f>SchoolCoeffcients!B43</f>
        <v>133</v>
      </c>
      <c r="AM35" t="str">
        <f>SchoolCoeffcients!C43</f>
        <v>sr-escsptr</v>
      </c>
      <c r="AN35" s="55">
        <f>SchoolCoeffcients!E43</f>
        <v>0</v>
      </c>
      <c r="AO35" s="62">
        <f si="1" t="shared"/>
        <v>0</v>
      </c>
      <c r="AV35" s="59">
        <f>OtherCoefficients!B43</f>
        <v>160</v>
      </c>
      <c r="AW35" t="str">
        <f>OtherCoefficients!C43</f>
        <v>bi-socrec</v>
      </c>
      <c r="AX35">
        <f>OtherCoefficients!E43</f>
        <v>1.5982044369999999</v>
      </c>
      <c r="AY35" s="62">
        <f si="3" t="shared"/>
        <v>1.5982044369999999</v>
      </c>
    </row>
    <row r="36" spans="1:51" x14ac:dyDescent="0.25">
      <c r="B36" s="9" t="s">
        <v>6</v>
      </c>
      <c r="C36" s="42">
        <f si="13" t="shared"/>
        <v>2.5233869030816529E-2</v>
      </c>
      <c r="D36" s="42">
        <f si="14" t="shared"/>
        <v>1.2723773002315275E-2</v>
      </c>
      <c r="E36" s="42">
        <f si="15" t="shared"/>
        <v>4.2268419080189129E-3</v>
      </c>
      <c r="F36" s="42">
        <f si="16" t="shared"/>
        <v>1.0634483995755738E-2</v>
      </c>
      <c r="G36" s="42">
        <f si="17" t="shared"/>
        <v>1.4100576527187353E-3</v>
      </c>
      <c r="H36" s="42"/>
      <c r="J36" s="9" t="s">
        <v>6</v>
      </c>
      <c r="K36" s="42">
        <f si="18" t="shared"/>
        <v>2.3100686671096802E-2</v>
      </c>
      <c r="L36" s="42">
        <f si="19" t="shared"/>
        <v>1.2351364654247562E-2</v>
      </c>
      <c r="M36" s="42">
        <f si="20" t="shared"/>
        <v>4.180105792800929E-3</v>
      </c>
      <c r="N36" s="42">
        <f si="21" t="shared"/>
        <v>1.245945462749338E-2</v>
      </c>
      <c r="O36" s="42">
        <f si="22" t="shared"/>
        <v>2.3020049558447305E-3</v>
      </c>
      <c r="R36" s="9" t="s">
        <v>6</v>
      </c>
      <c r="S36" s="44">
        <f>C36/K36</f>
        <v>1.0923428117134166</v>
      </c>
      <c r="T36" s="60">
        <f>D36/L36</f>
        <v>1.0301511904548655</v>
      </c>
      <c r="U36" s="60">
        <f>IF(M36=0,1,E36/M36)</f>
        <v>1.0111806058350183</v>
      </c>
      <c r="V36" s="60">
        <f>F36/N36</f>
        <v>0.8535272460713802</v>
      </c>
      <c r="W36" s="60">
        <f>G36/O36</f>
        <v>0.61253458605231748</v>
      </c>
      <c r="Y36" s="9" t="s">
        <v>6</v>
      </c>
      <c r="Z36" s="44">
        <f si="23" t="shared"/>
        <v>8.8324758197448561E-2</v>
      </c>
      <c r="AA36" s="44">
        <f si="24" t="shared"/>
        <v>2.9705578318792905E-2</v>
      </c>
      <c r="AB36" s="44">
        <f si="25" t="shared"/>
        <v>1.1118564870337416E-2</v>
      </c>
      <c r="AC36" s="44">
        <f si="26" t="shared"/>
        <v>-0.15837781450217647</v>
      </c>
      <c r="AD36" s="44">
        <f si="27" t="shared"/>
        <v>-0.49014987113326558</v>
      </c>
      <c r="AG36">
        <f>WorkCoefficients!B44</f>
        <v>169</v>
      </c>
      <c r="AH36" t="str">
        <f>WorkCoefficients!C44</f>
        <v>bi-dmixed</v>
      </c>
      <c r="AI36">
        <f>WorkCoefficients!E44</f>
        <v>1.3874495019999999</v>
      </c>
      <c r="AJ36" s="91">
        <f si="0" t="shared"/>
        <v>1.3874495019999999</v>
      </c>
      <c r="AL36" s="59">
        <f>SchoolCoeffcients!B44</f>
        <v>134</v>
      </c>
      <c r="AM36" t="str">
        <f>SchoolCoeffcients!C44</f>
        <v>sr-othsptr</v>
      </c>
      <c r="AN36" s="55">
        <f>SchoolCoeffcients!E44</f>
        <v>0.433890995</v>
      </c>
      <c r="AO36" s="62">
        <f si="1" t="shared"/>
        <v>0.433890995</v>
      </c>
      <c r="AV36" s="59">
        <f>OtherCoefficients!B44</f>
        <v>161</v>
      </c>
      <c r="AW36" t="str">
        <f>OtherCoefficients!C44</f>
        <v>bi-class1</v>
      </c>
      <c r="AX36">
        <f>OtherCoefficients!E44</f>
        <v>0</v>
      </c>
      <c r="AY36" s="62">
        <f si="3" t="shared"/>
        <v>0</v>
      </c>
    </row>
    <row r="37" spans="1:51" x14ac:dyDescent="0.25">
      <c r="B37" s="9" t="s">
        <v>7</v>
      </c>
      <c r="C37" s="42">
        <f si="13" t="shared"/>
        <v>2.525901912078744E-2</v>
      </c>
      <c r="D37" s="42">
        <f si="14" t="shared"/>
        <v>7.5960957908384988E-2</v>
      </c>
      <c r="E37" s="42">
        <f si="15" t="shared"/>
        <v>5.3004571269744963E-2</v>
      </c>
      <c r="F37" s="42">
        <f si="16" t="shared"/>
        <v>0.19794900694298012</v>
      </c>
      <c r="G37" s="42">
        <f si="17" t="shared"/>
        <v>0.22179693088993746</v>
      </c>
      <c r="H37" s="42"/>
      <c r="J37" s="9" t="s">
        <v>7</v>
      </c>
      <c r="K37" s="42">
        <f si="18" t="shared"/>
        <v>5.3109482426768342E-2</v>
      </c>
      <c r="L37" s="42">
        <f si="19" t="shared"/>
        <v>0.1133448841465748</v>
      </c>
      <c r="M37" s="42">
        <f si="20" t="shared"/>
        <v>3.6537221003741453E-2</v>
      </c>
      <c r="N37" s="42">
        <f si="21" t="shared"/>
        <v>0.14491618494649289</v>
      </c>
      <c r="O37" s="42">
        <f si="22" t="shared"/>
        <v>0.39576390878431017</v>
      </c>
      <c r="R37" s="9" t="s">
        <v>7</v>
      </c>
      <c r="S37" s="44"/>
      <c r="T37" s="44"/>
      <c r="U37" s="44"/>
      <c r="V37" s="44"/>
      <c r="W37" s="44"/>
      <c r="Y37" s="9" t="s">
        <v>7</v>
      </c>
      <c r="Z37" s="44"/>
      <c r="AA37" s="44"/>
      <c r="AB37" s="44"/>
      <c r="AC37" s="44"/>
      <c r="AD37" s="44"/>
      <c r="AG37">
        <f>WorkCoefficients!B45</f>
        <v>179</v>
      </c>
      <c r="AH37" t="str">
        <f>WorkCoefficients!C45</f>
        <v>wk-dmixed</v>
      </c>
      <c r="AI37">
        <f>WorkCoefficients!E45</f>
        <v>1.736096511</v>
      </c>
      <c r="AJ37" s="91">
        <f si="0" t="shared"/>
        <v>1.736096511</v>
      </c>
      <c r="AL37" s="59">
        <f>SchoolCoeffcients!B45</f>
        <v>161</v>
      </c>
      <c r="AM37" t="str">
        <f>SchoolCoeffcients!C45</f>
        <v>bi-class1</v>
      </c>
      <c r="AN37" s="55">
        <f>SchoolCoeffcients!E45</f>
        <v>0</v>
      </c>
      <c r="AO37" s="62">
        <f si="1" t="shared"/>
        <v>0</v>
      </c>
      <c r="AV37" s="59">
        <f>OtherCoefficients!B45</f>
        <v>162</v>
      </c>
      <c r="AW37" t="str">
        <f>OtherCoefficients!C45</f>
        <v>bi-class2</v>
      </c>
      <c r="AX37">
        <f>OtherCoefficients!E45</f>
        <v>0</v>
      </c>
      <c r="AY37" s="62">
        <f si="3" t="shared"/>
        <v>0</v>
      </c>
    </row>
    <row r="38" spans="1:51" x14ac:dyDescent="0.25">
      <c r="B38" s="14" t="s">
        <v>8</v>
      </c>
      <c r="C38" s="42">
        <f si="13" t="shared"/>
        <v>5.7797284812453322E-4</v>
      </c>
      <c r="D38" s="42">
        <f si="14" t="shared"/>
        <v>0.2742726023503318</v>
      </c>
      <c r="E38" s="42">
        <f si="15" t="shared"/>
        <v>1.0216698263545859E-3</v>
      </c>
      <c r="F38" s="42">
        <f si="16" t="shared"/>
        <v>1.3604767829058157E-3</v>
      </c>
      <c r="G38" s="42">
        <f si="17" t="shared"/>
        <v>0.5</v>
      </c>
      <c r="H38" s="42"/>
      <c r="J38" s="14" t="s">
        <v>8</v>
      </c>
      <c r="K38" s="42">
        <f si="18" t="shared"/>
        <v>0</v>
      </c>
      <c r="L38" s="42">
        <f si="19" t="shared"/>
        <v>0.27027583394804244</v>
      </c>
      <c r="M38" s="42">
        <f si="20" t="shared"/>
        <v>0</v>
      </c>
      <c r="N38" s="42">
        <f si="21" t="shared"/>
        <v>0</v>
      </c>
      <c r="O38" s="42">
        <f si="22" t="shared"/>
        <v>0</v>
      </c>
      <c r="R38" s="14" t="s">
        <v>8</v>
      </c>
      <c r="S38" s="44"/>
      <c r="T38" s="44">
        <f>D38/L38</f>
        <v>1.0147877386738826</v>
      </c>
      <c r="U38" s="44"/>
      <c r="V38" s="44"/>
      <c r="W38" s="44">
        <f>IF(O38=0,1,G38/O38)</f>
        <v>1</v>
      </c>
      <c r="Y38" s="14" t="s">
        <v>8</v>
      </c>
      <c r="Z38" s="44"/>
      <c r="AA38" s="44">
        <f si="24" t="shared"/>
        <v>1.4679466164952949E-2</v>
      </c>
      <c r="AB38" s="44"/>
      <c r="AC38" s="44"/>
      <c r="AD38" s="44">
        <f si="27" t="shared"/>
        <v>0</v>
      </c>
      <c r="AG38">
        <f>WorkCoefficients!B46</f>
        <v>201</v>
      </c>
      <c r="AH38" t="str">
        <f>WorkCoefficients!C46</f>
        <v>odistcont1-tr</v>
      </c>
      <c r="AI38">
        <f>WorkCoefficients!E46</f>
        <v>-0.8</v>
      </c>
      <c r="AJ38" s="91">
        <f si="0" t="shared"/>
        <v>-0.8</v>
      </c>
      <c r="AL38" s="59">
        <f>SchoolCoeffcients!B46</f>
        <v>162</v>
      </c>
      <c r="AM38" t="str">
        <f>SchoolCoeffcients!C46</f>
        <v>bi-class2</v>
      </c>
      <c r="AN38" s="55">
        <f>SchoolCoeffcients!E46</f>
        <v>0</v>
      </c>
      <c r="AO38" s="62">
        <f si="1" t="shared"/>
        <v>0</v>
      </c>
      <c r="AV38" s="59">
        <f>OtherCoefficients!B46</f>
        <v>163</v>
      </c>
      <c r="AW38" t="str">
        <f>OtherCoefficients!C46</f>
        <v>bi-gauntl</v>
      </c>
      <c r="AX38">
        <f>OtherCoefficients!E46</f>
        <v>0</v>
      </c>
      <c r="AY38" s="62">
        <f si="3" t="shared"/>
        <v>0</v>
      </c>
    </row>
    <row ht="15.75" r="39" spans="1:51" thickBot="1" x14ac:dyDescent="0.3">
      <c r="B39" s="40" t="s">
        <v>19</v>
      </c>
      <c r="C39" s="43">
        <f>SUM(C31:C38)</f>
        <v>0.99999999999999967</v>
      </c>
      <c r="D39" s="43">
        <f ref="D39:G39" si="28" t="shared">SUM(D31:D38)</f>
        <v>1</v>
      </c>
      <c r="E39" s="43">
        <f si="28" t="shared"/>
        <v>0.99999999999999989</v>
      </c>
      <c r="F39" s="43">
        <f si="28" t="shared"/>
        <v>0.99999999999999989</v>
      </c>
      <c r="G39" s="43">
        <f si="28" t="shared"/>
        <v>1</v>
      </c>
      <c r="H39" s="47"/>
      <c r="J39" s="40" t="s">
        <v>19</v>
      </c>
      <c r="K39" s="43">
        <f>SUM(K31:K38)</f>
        <v>0.99999999999999989</v>
      </c>
      <c r="L39" s="43">
        <f ref="L39" si="29" t="shared">SUM(L31:L38)</f>
        <v>1</v>
      </c>
      <c r="M39" s="43">
        <f ref="M39" si="30" t="shared">SUM(M31:M38)</f>
        <v>1</v>
      </c>
      <c r="N39" s="43">
        <f ref="N39" si="31" t="shared">SUM(N31:N38)</f>
        <v>1.0000000000000002</v>
      </c>
      <c r="O39" s="43">
        <f ref="O39" si="32" t="shared">SUM(O31:O38)</f>
        <v>1</v>
      </c>
      <c r="R39" s="48"/>
      <c r="S39" s="49"/>
      <c r="T39" s="49"/>
      <c r="U39" s="49"/>
      <c r="V39" s="49"/>
      <c r="W39" s="49"/>
      <c r="Z39" s="38"/>
      <c r="AA39" s="38"/>
      <c r="AB39" s="38"/>
      <c r="AC39" s="38"/>
      <c r="AD39" s="38"/>
      <c r="AG39">
        <f>WorkCoefficients!B47</f>
        <v>202</v>
      </c>
      <c r="AH39" t="str">
        <f>WorkCoefficients!C47</f>
        <v>odistcont2-tr</v>
      </c>
      <c r="AI39">
        <f>WorkCoefficients!E47</f>
        <v>-0.8</v>
      </c>
      <c r="AJ39" s="91">
        <f si="0" t="shared"/>
        <v>-0.8</v>
      </c>
      <c r="AL39" s="59">
        <f>SchoolCoeffcients!B47</f>
        <v>163</v>
      </c>
      <c r="AM39" t="str">
        <f>SchoolCoeffcients!C47</f>
        <v>bi-gauntl</v>
      </c>
      <c r="AN39" s="55">
        <f>SchoolCoeffcients!E47</f>
        <v>0</v>
      </c>
      <c r="AO39" s="62">
        <f si="1" t="shared"/>
        <v>0</v>
      </c>
      <c r="AV39" s="59">
        <f>OtherCoefficients!B47</f>
        <v>164</v>
      </c>
      <c r="AW39" t="str">
        <f>OtherCoefficients!C47</f>
        <v>bi-omixed</v>
      </c>
      <c r="AX39">
        <f>OtherCoefficients!E47</f>
        <v>0.120618224</v>
      </c>
      <c r="AY39" s="62">
        <f si="3" t="shared"/>
        <v>0.120618224</v>
      </c>
    </row>
    <row r="40" spans="1:51" x14ac:dyDescent="0.25">
      <c r="R40" s="45"/>
      <c r="S40" s="45"/>
      <c r="T40" s="45"/>
      <c r="U40" s="45"/>
      <c r="V40" s="45"/>
      <c r="W40" s="45"/>
      <c r="AG40">
        <f>WorkCoefficients!B48</f>
        <v>203</v>
      </c>
      <c r="AH40" t="str">
        <f>WorkCoefficients!C48</f>
        <v>odistcont3-tr</v>
      </c>
      <c r="AI40">
        <f>WorkCoefficients!E48</f>
        <v>0</v>
      </c>
      <c r="AJ40" s="91">
        <f si="0" t="shared"/>
        <v>0</v>
      </c>
      <c r="AL40" s="59">
        <f>SchoolCoeffcients!B48</f>
        <v>164</v>
      </c>
      <c r="AM40" t="str">
        <f>SchoolCoeffcients!C48</f>
        <v>bi-omixed</v>
      </c>
      <c r="AN40" s="55">
        <f>SchoolCoeffcients!E48</f>
        <v>0</v>
      </c>
      <c r="AO40" s="62">
        <f si="1" t="shared"/>
        <v>0</v>
      </c>
      <c r="AV40" s="59">
        <f>OtherCoefficients!B48</f>
        <v>165</v>
      </c>
      <c r="AW40" t="str">
        <f>OtherCoefficients!C48</f>
        <v>bi-ohhddn</v>
      </c>
      <c r="AX40">
        <f>OtherCoefficients!E48</f>
        <v>2.09633E-4</v>
      </c>
      <c r="AY40" s="62">
        <f si="3" t="shared"/>
        <v>2.09633E-4</v>
      </c>
    </row>
    <row ht="15.75" r="41" spans="1:51" thickBot="1" x14ac:dyDescent="0.3">
      <c r="R41" s="39" t="s">
        <v>220</v>
      </c>
      <c r="S41" s="45"/>
      <c r="T41" s="45"/>
      <c r="U41" s="45"/>
      <c r="V41" s="45"/>
      <c r="W41" s="45"/>
      <c r="Y41" s="39"/>
      <c r="Z41" s="45"/>
      <c r="AA41" s="45"/>
      <c r="AB41" s="45"/>
      <c r="AC41" s="45"/>
      <c r="AD41" s="45"/>
      <c r="AE41" s="45"/>
      <c r="AG41">
        <f>WorkCoefficients!B49</f>
        <v>204</v>
      </c>
      <c r="AH41" t="str">
        <f>WorkCoefficients!C49</f>
        <v>odistcont4-tr</v>
      </c>
      <c r="AI41">
        <f>WorkCoefficients!E49</f>
        <v>0</v>
      </c>
      <c r="AJ41" s="91">
        <f si="0" t="shared"/>
        <v>0</v>
      </c>
      <c r="AL41" s="59">
        <f>SchoolCoeffcients!B49</f>
        <v>168</v>
      </c>
      <c r="AM41" t="str">
        <f>SchoolCoeffcients!C49</f>
        <v>bi-dempdn</v>
      </c>
      <c r="AN41" s="55">
        <f>SchoolCoeffcients!E49</f>
        <v>1.1363600000000001E-5</v>
      </c>
      <c r="AO41" s="62">
        <f si="1" t="shared"/>
        <v>1.1363600000000001E-5</v>
      </c>
      <c r="AV41" s="59">
        <f>OtherCoefficients!B49</f>
        <v>168</v>
      </c>
      <c r="AW41" t="str">
        <f>OtherCoefficients!C49</f>
        <v>bi-dempdn</v>
      </c>
      <c r="AX41">
        <f>OtherCoefficients!E49</f>
        <v>-2.9531000000000002E-6</v>
      </c>
      <c r="AY41" s="62">
        <f si="3" t="shared"/>
        <v>-2.9531000000000002E-6</v>
      </c>
    </row>
    <row r="42" spans="1:51" x14ac:dyDescent="0.25">
      <c r="B42" s="36" t="s">
        <v>291</v>
      </c>
      <c r="R42" s="2" t="s">
        <v>0</v>
      </c>
      <c r="S42" s="2" t="s">
        <v>195</v>
      </c>
      <c r="T42" s="2" t="s">
        <v>196</v>
      </c>
      <c r="U42" s="2" t="s">
        <v>197</v>
      </c>
      <c r="V42" s="2" t="s">
        <v>198</v>
      </c>
      <c r="W42" s="2" t="s">
        <v>216</v>
      </c>
      <c r="Y42" s="45"/>
      <c r="Z42" s="45"/>
      <c r="AA42" s="45"/>
      <c r="AB42" s="45"/>
      <c r="AC42" s="45"/>
      <c r="AD42" s="45"/>
      <c r="AE42" s="45"/>
      <c r="AG42">
        <f>WorkCoefficients!B50</f>
        <v>205</v>
      </c>
      <c r="AH42" t="str">
        <f>WorkCoefficients!C50</f>
        <v>odistcont5-tr</v>
      </c>
      <c r="AI42">
        <f>WorkCoefficients!E50</f>
        <v>0</v>
      </c>
      <c r="AJ42" s="91">
        <f si="0" t="shared"/>
        <v>0</v>
      </c>
      <c r="AL42" s="59">
        <f>SchoolCoeffcients!B50</f>
        <v>169</v>
      </c>
      <c r="AM42" t="str">
        <f>SchoolCoeffcients!C50</f>
        <v>bi-dmixed</v>
      </c>
      <c r="AN42" s="55">
        <f>SchoolCoeffcients!E50</f>
        <v>-0.36651267700000001</v>
      </c>
      <c r="AO42" s="62">
        <f si="1" t="shared"/>
        <v>-0.36651267700000001</v>
      </c>
      <c r="AV42" s="59">
        <f>OtherCoefficients!B50</f>
        <v>169</v>
      </c>
      <c r="AW42" t="str">
        <f>OtherCoefficients!C50</f>
        <v>bi-dmixed</v>
      </c>
      <c r="AX42">
        <f>OtherCoefficients!E50</f>
        <v>0</v>
      </c>
      <c r="AY42" s="62">
        <f si="3" t="shared"/>
        <v>0</v>
      </c>
    </row>
    <row ht="15.75" r="43" spans="1:51" thickBot="1" x14ac:dyDescent="0.3">
      <c r="B43" t="s">
        <v>47</v>
      </c>
      <c r="C43">
        <v>1</v>
      </c>
      <c r="D43">
        <v>2</v>
      </c>
      <c r="E43">
        <v>3</v>
      </c>
      <c r="F43" t="s">
        <v>283</v>
      </c>
      <c r="K43" t="s">
        <v>33</v>
      </c>
      <c r="L43">
        <v>1</v>
      </c>
      <c r="M43">
        <v>2</v>
      </c>
      <c r="N43">
        <v>3</v>
      </c>
      <c r="O43" t="s">
        <v>283</v>
      </c>
      <c r="R43" s="9" t="s">
        <v>1</v>
      </c>
      <c r="S43" s="44">
        <f>VLOOKUP(Z18,$AG$3:$AI$38,3,FALSE)</f>
        <v>1.577637277</v>
      </c>
      <c r="T43" s="44">
        <f>VLOOKUP(AA18,$AL$3:$AN$44,3,FALSE)</f>
        <v>2.3671031779999998</v>
      </c>
      <c r="U43" s="44">
        <f>VLOOKUP(AB18,$AQ$3:$AS$17,3,FALSE)</f>
        <v>-8.5658758939999995</v>
      </c>
      <c r="V43" s="44">
        <f>VLOOKUP(AC18,$AV$3:$AX$47,3,FALSE)</f>
        <v>-0.40342066599999998</v>
      </c>
      <c r="W43" s="44">
        <f>VLOOKUP(AD18,$BA$3:$BC$19,3,FALSE)</f>
        <v>-4.1573700000000002</v>
      </c>
      <c r="Y43" s="12"/>
      <c r="Z43" s="57"/>
      <c r="AA43" s="57"/>
      <c r="AB43" s="57"/>
      <c r="AC43" s="57"/>
      <c r="AD43" s="57"/>
      <c r="AE43" s="45"/>
      <c r="AG43" s="54">
        <f>WorkCoefficients!B51</f>
        <v>206</v>
      </c>
      <c r="AH43" s="54" t="str">
        <f>WorkCoefficients!C51</f>
        <v>odistcont6-tr</v>
      </c>
      <c r="AI43" s="54">
        <f>WorkCoefficients!E51</f>
        <v>-1.2715533000000001</v>
      </c>
      <c r="AJ43" s="91">
        <f si="0" t="shared"/>
        <v>-1.2715533000000001</v>
      </c>
      <c r="AL43" s="59">
        <f>SchoolCoeffcients!B51</f>
        <v>179</v>
      </c>
      <c r="AM43" t="str">
        <f>SchoolCoeffcients!C51</f>
        <v>wk-dmixed</v>
      </c>
      <c r="AN43" s="55">
        <f>SchoolCoeffcients!E51</f>
        <v>0.502373344</v>
      </c>
      <c r="AO43" s="62">
        <f si="1" t="shared"/>
        <v>0.502373344</v>
      </c>
      <c r="AV43" s="59">
        <f>OtherCoefficients!B51</f>
        <v>171</v>
      </c>
      <c r="AW43" t="str">
        <f>OtherCoefficients!C51</f>
        <v>wk-meal</v>
      </c>
      <c r="AX43">
        <f>OtherCoefficients!E51</f>
        <v>1.108747989</v>
      </c>
      <c r="AY43" s="62">
        <f si="3" t="shared"/>
        <v>1.108747989</v>
      </c>
    </row>
    <row r="44" spans="1:51" x14ac:dyDescent="0.25">
      <c r="B44" s="2" t="s">
        <v>284</v>
      </c>
      <c r="C44" s="2" t="s">
        <v>227</v>
      </c>
      <c r="D44" s="2" t="s">
        <v>196</v>
      </c>
      <c r="E44" s="2" t="s">
        <v>197</v>
      </c>
      <c r="F44" s="2" t="s">
        <v>198</v>
      </c>
      <c r="G44" s="2" t="s">
        <v>19</v>
      </c>
      <c r="K44" s="2" t="s">
        <v>284</v>
      </c>
      <c r="L44" s="2" t="s">
        <v>227</v>
      </c>
      <c r="M44" s="2" t="s">
        <v>196</v>
      </c>
      <c r="N44" s="2" t="s">
        <v>197</v>
      </c>
      <c r="O44" s="2" t="s">
        <v>198</v>
      </c>
      <c r="P44" s="2" t="s">
        <v>19</v>
      </c>
      <c r="Q44" s="45"/>
      <c r="R44" s="9" t="s">
        <v>2</v>
      </c>
      <c r="S44" s="44">
        <f ref="S44:S48" si="33" t="shared">VLOOKUP(Z19,$AG$3:$AI$38,3,FALSE)</f>
        <v>-2.14205632</v>
      </c>
      <c r="T44" s="44">
        <f ref="T44:T50" si="34" t="shared">VLOOKUP(AA19,$AL$3:$AN$44,3,FALSE)</f>
        <v>-1.003425644</v>
      </c>
      <c r="U44" s="44">
        <f ref="U44:U48" si="35" t="shared">VLOOKUP(AB19,$AQ$3:$AS$17,3,FALSE)</f>
        <v>-2.5111504E-2</v>
      </c>
      <c r="V44" s="44">
        <f ref="V44:V48" si="36" t="shared">VLOOKUP(AC19,$AV$3:$AX$47,3,FALSE)</f>
        <v>-2.144795593</v>
      </c>
      <c r="W44" s="44">
        <f ref="W44:W48" si="37" t="shared">VLOOKUP(AD19,$BA$3:$BC$19,3,FALSE)</f>
        <v>-4.8747011999999996</v>
      </c>
      <c r="Y44" s="12"/>
      <c r="Z44" s="57"/>
      <c r="AA44" s="57"/>
      <c r="AB44" s="57"/>
      <c r="AC44" s="57"/>
      <c r="AD44" s="57"/>
      <c r="AE44" s="45"/>
      <c r="AG44">
        <f>WorkCoefficients!B52</f>
        <v>207</v>
      </c>
      <c r="AH44" t="str">
        <f>WorkCoefficients!C52</f>
        <v>odistcont7-tr</v>
      </c>
      <c r="AI44">
        <f>WorkCoefficients!E52</f>
        <v>0</v>
      </c>
      <c r="AJ44" s="91">
        <f si="0" t="shared"/>
        <v>0</v>
      </c>
      <c r="AL44" s="59">
        <f>SchoolCoeffcients!B52</f>
        <v>201</v>
      </c>
      <c r="AM44" t="str">
        <f>SchoolCoeffcients!C52</f>
        <v>odistcont1-tr</v>
      </c>
      <c r="AN44" s="55">
        <f>SchoolCoeffcients!E52</f>
        <v>0</v>
      </c>
      <c r="AO44" s="62">
        <f si="1" t="shared"/>
        <v>0</v>
      </c>
      <c r="AV44" s="59">
        <f>OtherCoefficients!B52</f>
        <v>172</v>
      </c>
      <c r="AW44" t="str">
        <f>OtherCoefficients!C52</f>
        <v>wk-socrec</v>
      </c>
      <c r="AX44">
        <f>OtherCoefficients!E52</f>
        <v>2.0996029740000002</v>
      </c>
      <c r="AY44" s="62">
        <f si="3" t="shared"/>
        <v>2.0996029740000002</v>
      </c>
    </row>
    <row r="45" spans="1:51" x14ac:dyDescent="0.25">
      <c r="A45">
        <v>1</v>
      </c>
      <c r="C45" s="68">
        <f>SUMIFS(input_districts!$C$1:$C$63,input_districts!$A$1:$A$63,$A45,input_districts!$B$1:$B$63,C$43)</f>
        <v>16557.145128</v>
      </c>
      <c r="D45" s="68">
        <f>SUMIFS(input_districts!$C$1:$C$63,input_districts!$A$1:$A$63,$A45,input_districts!$B$1:$B$63,D$43)</f>
        <v>5480.2495798999998</v>
      </c>
      <c r="E45" s="68">
        <f>SUMIFS(input_districts!$C$1:$C$63,input_districts!$A$1:$A$63,$A45,input_districts!$B$1:$B$63,E$43)</f>
        <v>0</v>
      </c>
      <c r="F45" s="68">
        <f>SUMIFS(input_districts!$C$1:$C$63,input_districts!$A$1:$A$63,$A45,input_districts!$B$1:$B$63,F$43)</f>
        <v>1656.1317055720001</v>
      </c>
      <c r="G45" s="69">
        <f>SUM(C45:F45)</f>
        <v>23693.526413471998</v>
      </c>
      <c r="J45">
        <v>1</v>
      </c>
      <c r="L45" s="68">
        <f>SUMIFS(input_districts!$C$124:$C$193,input_districts!$A$124:$A$193,$A45,input_districts!$B$124:$B$193,L$43)</f>
        <v>10045.6515332</v>
      </c>
      <c r="M45" s="68">
        <f>SUMIFS(input_districts!$C$124:$C$193,input_districts!$A$124:$A$193,$A45,input_districts!$B$124:$B$193,M$43)</f>
        <v>2339.1578290100001</v>
      </c>
      <c r="N45" s="68">
        <f>SUMIFS(input_districts!$C$124:$C$193,input_districts!$A$124:$A$193,$A45,input_districts!$B$124:$B$193,N$43)</f>
        <v>0</v>
      </c>
      <c r="O45" s="68">
        <f>SUMIFS(input_districts!$C$124:$C$193,input_districts!$A$124:$A$193,$A45,input_districts!$B$124:$B$193,O$43)</f>
        <v>125.66939618830001</v>
      </c>
      <c r="P45" s="69">
        <f>SUM(L45:O45)</f>
        <v>12510.4787583983</v>
      </c>
      <c r="Q45" s="69"/>
      <c r="R45" s="9" t="s">
        <v>3</v>
      </c>
      <c r="S45" s="44">
        <f si="33" t="shared"/>
        <v>-2.6026901850000002</v>
      </c>
      <c r="T45" s="44">
        <f si="34" t="shared"/>
        <v>-0.45676292000000002</v>
      </c>
      <c r="U45" s="44">
        <f si="35" t="shared"/>
        <v>-1.160280357</v>
      </c>
      <c r="V45" s="44">
        <f si="36" t="shared"/>
        <v>-1.911034796</v>
      </c>
      <c r="W45" s="44">
        <f si="37" t="shared"/>
        <v>-5.9141281000000001</v>
      </c>
      <c r="Y45" s="12"/>
      <c r="Z45" s="57"/>
      <c r="AA45" s="57"/>
      <c r="AB45" s="57"/>
      <c r="AC45" s="57"/>
      <c r="AD45" s="57"/>
      <c r="AE45" s="45"/>
      <c r="AG45">
        <f>WorkCoefficients!B53</f>
        <v>208</v>
      </c>
      <c r="AH45" t="str">
        <f>WorkCoefficients!C53</f>
        <v>odistcont8-tr</v>
      </c>
      <c r="AI45">
        <f>WorkCoefficients!E53</f>
        <v>-2</v>
      </c>
      <c r="AJ45" s="91">
        <f si="0" t="shared"/>
        <v>-2</v>
      </c>
      <c r="AL45" s="59">
        <f>SchoolCoeffcients!B53</f>
        <v>202</v>
      </c>
      <c r="AM45" t="str">
        <f>SchoolCoeffcients!C53</f>
        <v>odistcont2-tr</v>
      </c>
      <c r="AN45" s="55">
        <f>SchoolCoeffcients!E53</f>
        <v>0</v>
      </c>
      <c r="AO45" s="62">
        <f si="1" t="shared"/>
        <v>0</v>
      </c>
      <c r="AV45" s="59">
        <f>OtherCoefficients!B53</f>
        <v>175</v>
      </c>
      <c r="AW45" t="str">
        <f>OtherCoefficients!C53</f>
        <v>wk-ohhddn</v>
      </c>
      <c r="AX45">
        <f>OtherCoefficients!E53</f>
        <v>1.3793900000000001E-4</v>
      </c>
      <c r="AY45" s="62">
        <f si="3" t="shared"/>
        <v>1.3793900000000001E-4</v>
      </c>
    </row>
    <row r="46" spans="1:51" x14ac:dyDescent="0.25">
      <c r="A46">
        <v>2</v>
      </c>
      <c r="C46" s="68">
        <f>SUMIFS(input_districts!$C$1:$C$63,input_districts!$A$1:$A$63,$A46,input_districts!$B$1:$B$63,C$43)</f>
        <v>11810.610632</v>
      </c>
      <c r="D46" s="68">
        <f>SUMIFS(input_districts!$C$1:$C$63,input_districts!$A$1:$A$63,$A46,input_districts!$B$1:$B$63,D$43)</f>
        <v>3130.50245442</v>
      </c>
      <c r="E46" s="68">
        <f>SUMIFS(input_districts!$C$1:$C$63,input_districts!$A$1:$A$63,$A46,input_districts!$B$1:$B$63,E$43)</f>
        <v>0</v>
      </c>
      <c r="F46" s="68">
        <f>SUMIFS(input_districts!$C$1:$C$63,input_districts!$A$1:$A$63,$A46,input_districts!$B$1:$B$63,F$43)</f>
        <v>9998.3733069400005</v>
      </c>
      <c r="G46" s="69">
        <f ref="G46:G55" si="38" t="shared">SUM(C46:F46)</f>
        <v>24939.486393359999</v>
      </c>
      <c r="J46">
        <v>2</v>
      </c>
      <c r="L46" s="68">
        <f>SUMIFS(input_districts!$C$124:$C$193,input_districts!$A$124:$A$193,$A46,input_districts!$B$124:$B$193,L$43)</f>
        <v>8237.8627684700004</v>
      </c>
      <c r="M46" s="68">
        <f>SUMIFS(input_districts!$C$124:$C$193,input_districts!$A$124:$A$193,$A46,input_districts!$B$124:$B$193,M$43)</f>
        <v>1359.8293462300001</v>
      </c>
      <c r="N46" s="68">
        <f>SUMIFS(input_districts!$C$124:$C$193,input_districts!$A$124:$A$193,$A46,input_districts!$B$124:$B$193,N$43)</f>
        <v>0</v>
      </c>
      <c r="O46" s="68">
        <f>SUMIFS(input_districts!$C$124:$C$193,input_districts!$A$124:$A$193,$A46,input_districts!$B$124:$B$193,O$43)</f>
        <v>141.98457434919999</v>
      </c>
      <c r="P46" s="69">
        <f ref="P46:P55" si="39" t="shared">SUM(L46:O46)</f>
        <v>9739.6766890492017</v>
      </c>
      <c r="Q46" s="69"/>
      <c r="R46" s="9" t="s">
        <v>4</v>
      </c>
      <c r="S46" s="44">
        <f>VLOOKUP(Z21,$AG$3:$AI$38,3,FALSE)</f>
        <v>-4.1251959730000003</v>
      </c>
      <c r="T46" s="44"/>
      <c r="U46" s="44"/>
      <c r="V46" s="44"/>
      <c r="W46" s="44"/>
      <c r="Y46" s="12"/>
      <c r="Z46" s="57"/>
      <c r="AA46" s="57"/>
      <c r="AB46" s="57"/>
      <c r="AC46" s="57"/>
      <c r="AD46" s="57"/>
      <c r="AE46" s="45"/>
      <c r="AG46">
        <f>WorkCoefficients!B54</f>
        <v>209</v>
      </c>
      <c r="AH46" t="str">
        <f>WorkCoefficients!C54</f>
        <v>odistcont9-tr</v>
      </c>
      <c r="AI46">
        <f>WorkCoefficients!E54</f>
        <v>-1</v>
      </c>
      <c r="AJ46" s="91">
        <f si="0" t="shared"/>
        <v>-1</v>
      </c>
      <c r="AL46" s="59">
        <f>SchoolCoeffcients!B54</f>
        <v>203</v>
      </c>
      <c r="AM46" t="str">
        <f>SchoolCoeffcients!C54</f>
        <v>odistcont3-tr</v>
      </c>
      <c r="AN46" s="55">
        <f>SchoolCoeffcients!E54</f>
        <v>0</v>
      </c>
      <c r="AO46" s="62">
        <f si="1" t="shared"/>
        <v>0</v>
      </c>
      <c r="AV46" s="59">
        <f>OtherCoefficients!B54</f>
        <v>178</v>
      </c>
      <c r="AW46" t="str">
        <f>OtherCoefficients!C54</f>
        <v>wk-dempdn</v>
      </c>
      <c r="AX46">
        <f>OtherCoefficients!E54</f>
        <v>-6.1957300000000002E-6</v>
      </c>
      <c r="AY46" s="62">
        <f si="3" t="shared"/>
        <v>-6.1957300000000002E-6</v>
      </c>
    </row>
    <row r="47" spans="1:51" x14ac:dyDescent="0.25">
      <c r="A47">
        <v>3</v>
      </c>
      <c r="C47" s="68">
        <f>SUMIFS(input_districts!$C$1:$C$63,input_districts!$A$1:$A$63,$A47,input_districts!$B$1:$B$63,C$43)</f>
        <v>44736.176008199996</v>
      </c>
      <c r="D47" s="68">
        <f>SUMIFS(input_districts!$C$1:$C$63,input_districts!$A$1:$A$63,$A47,input_districts!$B$1:$B$63,D$43)</f>
        <v>11191.9942933</v>
      </c>
      <c r="E47" s="68">
        <f>SUMIFS(input_districts!$C$1:$C$63,input_districts!$A$1:$A$63,$A47,input_districts!$B$1:$B$63,E$43)</f>
        <v>180.394379313</v>
      </c>
      <c r="F47" s="68">
        <f>SUMIFS(input_districts!$C$1:$C$63,input_districts!$A$1:$A$63,$A47,input_districts!$B$1:$B$63,F$43)</f>
        <v>16502.50919922</v>
      </c>
      <c r="G47" s="69">
        <f si="38" t="shared"/>
        <v>72611.073880033</v>
      </c>
      <c r="J47">
        <v>3</v>
      </c>
      <c r="L47" s="68">
        <f>SUMIFS(input_districts!$C$124:$C$193,input_districts!$A$124:$A$193,$A47,input_districts!$B$124:$B$193,L$43)</f>
        <v>36698.312102199998</v>
      </c>
      <c r="M47" s="68">
        <f>SUMIFS(input_districts!$C$124:$C$193,input_districts!$A$124:$A$193,$A47,input_districts!$B$124:$B$193,M$43)</f>
        <v>7022.9334504400003</v>
      </c>
      <c r="N47" s="68">
        <f>SUMIFS(input_districts!$C$124:$C$193,input_districts!$A$124:$A$193,$A47,input_districts!$B$124:$B$193,N$43)</f>
        <v>2.5</v>
      </c>
      <c r="O47" s="68">
        <f>SUMIFS(input_districts!$C$124:$C$193,input_districts!$A$124:$A$193,$A47,input_districts!$B$124:$B$193,O$43)</f>
        <v>9578.5738737499996</v>
      </c>
      <c r="P47" s="69">
        <f si="39" t="shared"/>
        <v>53302.31942639</v>
      </c>
      <c r="Q47" s="69"/>
      <c r="R47" s="9" t="s">
        <v>5</v>
      </c>
      <c r="S47" s="44">
        <f si="33" t="shared"/>
        <v>-3.0344243999999998</v>
      </c>
      <c r="T47" s="44">
        <f si="34" t="shared"/>
        <v>-4.4278629379999996</v>
      </c>
      <c r="U47" s="44"/>
      <c r="V47" s="44">
        <f si="36" t="shared"/>
        <v>-3.2974451419999999</v>
      </c>
      <c r="W47" s="44">
        <f si="37" t="shared"/>
        <v>-5.6403108</v>
      </c>
      <c r="Y47" s="12"/>
      <c r="Z47" s="57"/>
      <c r="AA47" s="57"/>
      <c r="AB47" s="57"/>
      <c r="AC47" s="57"/>
      <c r="AD47" s="57"/>
      <c r="AE47" s="45"/>
      <c r="AG47">
        <f>WorkCoefficients!B55</f>
        <v>210</v>
      </c>
      <c r="AH47" t="str">
        <f>WorkCoefficients!C55</f>
        <v>odistcon10-tr</v>
      </c>
      <c r="AI47">
        <f>WorkCoefficients!E55</f>
        <v>-2</v>
      </c>
      <c r="AJ47" s="91">
        <f si="0" t="shared"/>
        <v>-2</v>
      </c>
      <c r="AL47" s="59">
        <f>SchoolCoeffcients!B55</f>
        <v>204</v>
      </c>
      <c r="AM47" t="str">
        <f>SchoolCoeffcients!C55</f>
        <v>odistcont4-tr</v>
      </c>
      <c r="AN47" s="55">
        <f>SchoolCoeffcients!E55</f>
        <v>0</v>
      </c>
      <c r="AO47" s="62">
        <f si="1" t="shared"/>
        <v>0</v>
      </c>
      <c r="AV47" s="59">
        <f>OtherCoefficients!B55</f>
        <v>201</v>
      </c>
      <c r="AW47" t="str">
        <f>OtherCoefficients!C55</f>
        <v>odistcont1-tr</v>
      </c>
      <c r="AX47">
        <f>OtherCoefficients!E55</f>
        <v>-4.5</v>
      </c>
      <c r="AY47" s="62">
        <f si="3" t="shared"/>
        <v>-4.5</v>
      </c>
    </row>
    <row r="48" spans="1:51" x14ac:dyDescent="0.25">
      <c r="A48">
        <v>4</v>
      </c>
      <c r="C48" s="68">
        <f>SUMIFS(input_districts!$C$1:$C$63,input_districts!$A$1:$A$63,$A48,input_districts!$B$1:$B$63,C$43)</f>
        <v>32174.416863400002</v>
      </c>
      <c r="D48" s="68">
        <f>SUMIFS(input_districts!$C$1:$C$63,input_districts!$A$1:$A$63,$A48,input_districts!$B$1:$B$63,D$43)</f>
        <v>4795.1704180799998</v>
      </c>
      <c r="E48" s="68">
        <f>SUMIFS(input_districts!$C$1:$C$63,input_districts!$A$1:$A$63,$A48,input_districts!$B$1:$B$63,E$43)</f>
        <v>201.681665009</v>
      </c>
      <c r="F48" s="68">
        <f>SUMIFS(input_districts!$C$1:$C$63,input_districts!$A$1:$A$63,$A48,input_districts!$B$1:$B$63,F$43)</f>
        <v>22413.444286260001</v>
      </c>
      <c r="G48" s="69">
        <f si="38" t="shared"/>
        <v>59584.713232748996</v>
      </c>
      <c r="J48">
        <v>4</v>
      </c>
      <c r="L48" s="68">
        <f>SUMIFS(input_districts!$C$124:$C$193,input_districts!$A$124:$A$193,$A48,input_districts!$B$124:$B$193,L$43)</f>
        <v>25483.242793099998</v>
      </c>
      <c r="M48" s="68">
        <f>SUMIFS(input_districts!$C$124:$C$193,input_districts!$A$124:$A$193,$A48,input_districts!$B$124:$B$193,M$43)</f>
        <v>3360.9737871900002</v>
      </c>
      <c r="N48" s="68">
        <f>SUMIFS(input_districts!$C$124:$C$193,input_districts!$A$124:$A$193,$A48,input_districts!$B$124:$B$193,N$43)</f>
        <v>5.4957586427700003</v>
      </c>
      <c r="O48" s="68">
        <f>SUMIFS(input_districts!$C$124:$C$193,input_districts!$A$124:$A$193,$A48,input_districts!$B$124:$B$193,O$43)</f>
        <v>10658.285572703</v>
      </c>
      <c r="P48" s="69">
        <f si="39" t="shared"/>
        <v>39507.997911635772</v>
      </c>
      <c r="Q48" s="69"/>
      <c r="R48" s="9" t="s">
        <v>6</v>
      </c>
      <c r="S48" s="44">
        <f si="33" t="shared"/>
        <v>-3.7193614820000001</v>
      </c>
      <c r="T48" s="44">
        <f si="34" t="shared"/>
        <v>-3.8530967860000001</v>
      </c>
      <c r="U48" s="44">
        <f si="35" t="shared"/>
        <v>-10.566358470000001</v>
      </c>
      <c r="V48" s="44">
        <f si="36" t="shared"/>
        <v>-4.5539641590000004</v>
      </c>
      <c r="W48" s="44">
        <f si="37" t="shared"/>
        <v>-7.2848658999999998</v>
      </c>
      <c r="Y48" s="12"/>
      <c r="Z48" s="57"/>
      <c r="AA48" s="57"/>
      <c r="AB48" s="57"/>
      <c r="AC48" s="57"/>
      <c r="AD48" s="57"/>
      <c r="AE48" s="45"/>
      <c r="AG48">
        <f>WorkCoefficients!B56</f>
        <v>211</v>
      </c>
      <c r="AH48" t="str">
        <f>WorkCoefficients!C56</f>
        <v>odistcon11-tr</v>
      </c>
      <c r="AI48">
        <f>WorkCoefficients!E56</f>
        <v>0</v>
      </c>
      <c r="AJ48" s="91">
        <f si="0" t="shared"/>
        <v>0</v>
      </c>
      <c r="AL48" s="59">
        <f>SchoolCoeffcients!B56</f>
        <v>205</v>
      </c>
      <c r="AM48" t="str">
        <f>SchoolCoeffcients!C56</f>
        <v>odistcont5-tr</v>
      </c>
      <c r="AN48" s="55">
        <f>SchoolCoeffcients!E56</f>
        <v>0</v>
      </c>
      <c r="AO48" s="62">
        <f si="1" t="shared"/>
        <v>0</v>
      </c>
      <c r="AV48" s="59">
        <f>OtherCoefficients!B56</f>
        <v>202</v>
      </c>
      <c r="AW48" t="str">
        <f>OtherCoefficients!C56</f>
        <v>odistcont2-tr</v>
      </c>
      <c r="AX48">
        <f>OtherCoefficients!E56</f>
        <v>-4.5</v>
      </c>
      <c r="AY48" s="62">
        <f si="3" t="shared"/>
        <v>-4.5</v>
      </c>
    </row>
    <row r="49" spans="1:51" x14ac:dyDescent="0.25">
      <c r="A49">
        <v>5</v>
      </c>
      <c r="C49" s="68">
        <f>SUMIFS(input_districts!$C$1:$C$63,input_districts!$A$1:$A$63,$A49,input_districts!$B$1:$B$63,C$43)</f>
        <v>33189.342943800002</v>
      </c>
      <c r="D49" s="68">
        <f>SUMIFS(input_districts!$C$1:$C$63,input_districts!$A$1:$A$63,$A49,input_districts!$B$1:$B$63,D$43)</f>
        <v>4867.4797089599997</v>
      </c>
      <c r="E49" s="68">
        <f>SUMIFS(input_districts!$C$1:$C$63,input_districts!$A$1:$A$63,$A49,input_districts!$B$1:$B$63,E$43)</f>
        <v>186.53392827799999</v>
      </c>
      <c r="F49" s="68">
        <f>SUMIFS(input_districts!$C$1:$C$63,input_districts!$A$1:$A$63,$A49,input_districts!$B$1:$B$63,F$43)</f>
        <v>13289.053137669001</v>
      </c>
      <c r="G49" s="69">
        <f si="38" t="shared"/>
        <v>51532.409718707</v>
      </c>
      <c r="J49">
        <v>5</v>
      </c>
      <c r="L49" s="68">
        <f>SUMIFS(input_districts!$C$124:$C$193,input_districts!$A$124:$A$193,$A49,input_districts!$B$124:$B$193,L$43)</f>
        <v>22599.042759600001</v>
      </c>
      <c r="M49" s="68">
        <f>SUMIFS(input_districts!$C$124:$C$193,input_districts!$A$124:$A$193,$A49,input_districts!$B$124:$B$193,M$43)</f>
        <v>3417.4375741700001</v>
      </c>
      <c r="N49" s="68">
        <f>SUMIFS(input_districts!$C$124:$C$193,input_districts!$A$124:$A$193,$A49,input_districts!$B$124:$B$193,N$43)</f>
        <v>0</v>
      </c>
      <c r="O49" s="68">
        <f>SUMIFS(input_districts!$C$124:$C$193,input_districts!$A$124:$A$193,$A49,input_districts!$B$124:$B$193,O$43)</f>
        <v>8469.80280924</v>
      </c>
      <c r="P49" s="69">
        <f si="39" t="shared"/>
        <v>34486.283143009998</v>
      </c>
      <c r="Q49" s="69"/>
      <c r="R49" s="9" t="s">
        <v>7</v>
      </c>
      <c r="S49" s="44"/>
      <c r="T49" s="44"/>
      <c r="U49" s="44"/>
      <c r="V49" s="44"/>
      <c r="W49" s="44"/>
      <c r="Y49" s="12"/>
      <c r="Z49" s="57"/>
      <c r="AA49" s="57"/>
      <c r="AB49" s="57"/>
      <c r="AC49" s="57"/>
      <c r="AD49" s="57"/>
      <c r="AE49" s="45"/>
      <c r="AG49">
        <f>WorkCoefficients!B57</f>
        <v>301</v>
      </c>
      <c r="AH49" t="str">
        <f>WorkCoefficients!C57</f>
        <v>ddistcont1-tr</v>
      </c>
      <c r="AI49">
        <f>WorkCoefficients!E57</f>
        <v>0</v>
      </c>
      <c r="AJ49" s="91">
        <f si="0" t="shared"/>
        <v>0</v>
      </c>
      <c r="AL49" s="59">
        <f>SchoolCoeffcients!B57</f>
        <v>206</v>
      </c>
      <c r="AM49" t="str">
        <f>SchoolCoeffcients!C57</f>
        <v>odistcont6-tr</v>
      </c>
      <c r="AN49" s="55">
        <f>SchoolCoeffcients!E57</f>
        <v>0</v>
      </c>
      <c r="AO49" s="62">
        <f si="1" t="shared"/>
        <v>0</v>
      </c>
      <c r="AV49" s="59">
        <f>OtherCoefficients!B57</f>
        <v>203</v>
      </c>
      <c r="AW49" t="str">
        <f>OtherCoefficients!C57</f>
        <v>odistcont3-tr</v>
      </c>
      <c r="AX49">
        <f>OtherCoefficients!E57</f>
        <v>0</v>
      </c>
      <c r="AY49" s="62">
        <f si="3" t="shared"/>
        <v>0</v>
      </c>
    </row>
    <row r="50" spans="1:51" x14ac:dyDescent="0.25">
      <c r="A50">
        <v>6</v>
      </c>
      <c r="C50" s="68">
        <f>SUMIFS(input_districts!$C$1:$C$63,input_districts!$A$1:$A$63,$A50,input_districts!$B$1:$B$63,C$43)</f>
        <v>40607.1357059</v>
      </c>
      <c r="D50" s="68">
        <f>SUMIFS(input_districts!$C$1:$C$63,input_districts!$A$1:$A$63,$A50,input_districts!$B$1:$B$63,D$43)</f>
        <v>9582.5688740000005</v>
      </c>
      <c r="E50" s="68">
        <f>SUMIFS(input_districts!$C$1:$C$63,input_districts!$A$1:$A$63,$A50,input_districts!$B$1:$B$63,E$43)</f>
        <v>224.93159591400001</v>
      </c>
      <c r="F50" s="68">
        <f>SUMIFS(input_districts!$C$1:$C$63,input_districts!$A$1:$A$63,$A50,input_districts!$B$1:$B$63,F$43)</f>
        <v>15024.742136270001</v>
      </c>
      <c r="G50" s="69">
        <f si="38" t="shared"/>
        <v>65439.378312084009</v>
      </c>
      <c r="J50">
        <v>6</v>
      </c>
      <c r="L50" s="68">
        <f>SUMIFS(input_districts!$C$124:$C$193,input_districts!$A$124:$A$193,$A50,input_districts!$B$124:$B$193,L$43)</f>
        <v>19453.3351798</v>
      </c>
      <c r="M50" s="68">
        <f>SUMIFS(input_districts!$C$124:$C$193,input_districts!$A$124:$A$193,$A50,input_districts!$B$124:$B$193,M$43)</f>
        <v>2678.9584780999999</v>
      </c>
      <c r="N50" s="68">
        <f>SUMIFS(input_districts!$C$124:$C$193,input_districts!$A$124:$A$193,$A50,input_districts!$B$124:$B$193,N$43)</f>
        <v>6.5</v>
      </c>
      <c r="O50" s="68">
        <f>SUMIFS(input_districts!$C$124:$C$193,input_districts!$A$124:$A$193,$A50,input_districts!$B$124:$B$193,O$43)</f>
        <v>5131.0179329759994</v>
      </c>
      <c r="P50" s="69">
        <f si="39" t="shared"/>
        <v>27269.811590876001</v>
      </c>
      <c r="Q50" s="69"/>
      <c r="R50" s="14" t="s">
        <v>8</v>
      </c>
      <c r="S50" s="46"/>
      <c r="T50" s="46">
        <f si="34" t="shared"/>
        <v>-0.27978488299999998</v>
      </c>
      <c r="U50" s="46"/>
      <c r="V50" s="46"/>
      <c r="W50" s="46"/>
      <c r="Y50" s="12"/>
      <c r="Z50" s="57"/>
      <c r="AA50" s="57"/>
      <c r="AB50" s="57"/>
      <c r="AC50" s="57"/>
      <c r="AD50" s="57"/>
      <c r="AE50" s="45"/>
      <c r="AG50">
        <f>WorkCoefficients!B58</f>
        <v>302</v>
      </c>
      <c r="AH50" t="str">
        <f>WorkCoefficients!C58</f>
        <v>ddistcont2-tr</v>
      </c>
      <c r="AI50">
        <f>WorkCoefficients!E58</f>
        <v>0</v>
      </c>
      <c r="AJ50" s="91">
        <f si="0" t="shared"/>
        <v>0</v>
      </c>
      <c r="AL50" s="59">
        <f>SchoolCoeffcients!B58</f>
        <v>207</v>
      </c>
      <c r="AM50" t="str">
        <f>SchoolCoeffcients!C58</f>
        <v>odistcont7-tr</v>
      </c>
      <c r="AN50" s="55">
        <f>SchoolCoeffcients!E58</f>
        <v>0</v>
      </c>
      <c r="AO50" s="62">
        <f si="1" t="shared"/>
        <v>0</v>
      </c>
      <c r="AV50" s="59">
        <f>OtherCoefficients!B58</f>
        <v>204</v>
      </c>
      <c r="AW50" t="str">
        <f>OtherCoefficients!C58</f>
        <v>odistcont4-tr</v>
      </c>
      <c r="AX50">
        <f>OtherCoefficients!E58</f>
        <v>0</v>
      </c>
      <c r="AY50" s="62">
        <f si="3" t="shared"/>
        <v>0</v>
      </c>
    </row>
    <row r="51" spans="1:51" x14ac:dyDescent="0.25">
      <c r="A51">
        <v>7</v>
      </c>
      <c r="C51" s="68">
        <f>SUMIFS(input_districts!$C$1:$C$63,input_districts!$A$1:$A$63,$A51,input_districts!$B$1:$B$63,C$43)</f>
        <v>20117.007764400001</v>
      </c>
      <c r="D51" s="68">
        <f>SUMIFS(input_districts!$C$1:$C$63,input_districts!$A$1:$A$63,$A51,input_districts!$B$1:$B$63,D$43)</f>
        <v>7745.5075523200003</v>
      </c>
      <c r="E51" s="68">
        <f>SUMIFS(input_districts!$C$1:$C$63,input_districts!$A$1:$A$63,$A51,input_districts!$B$1:$B$63,E$43)</f>
        <v>2136.0939062100001</v>
      </c>
      <c r="F51" s="68">
        <f>SUMIFS(input_districts!$C$1:$C$63,input_districts!$A$1:$A$63,$A51,input_districts!$B$1:$B$63,F$43)</f>
        <v>16275.10507215</v>
      </c>
      <c r="G51" s="69">
        <f si="38" t="shared"/>
        <v>46273.714295080004</v>
      </c>
      <c r="J51">
        <v>7</v>
      </c>
      <c r="L51" s="68">
        <f>SUMIFS(input_districts!$C$124:$C$193,input_districts!$A$124:$A$193,$A51,input_districts!$B$124:$B$193,L$43)</f>
        <v>19462.981760999999</v>
      </c>
      <c r="M51" s="68">
        <f>SUMIFS(input_districts!$C$124:$C$193,input_districts!$A$124:$A$193,$A51,input_districts!$B$124:$B$193,M$43)</f>
        <v>3723.6588247700001</v>
      </c>
      <c r="N51" s="68">
        <f>SUMIFS(input_districts!$C$124:$C$193,input_districts!$A$124:$A$193,$A51,input_districts!$B$124:$B$193,N$43)</f>
        <v>3.9987531172100002</v>
      </c>
      <c r="O51" s="68">
        <f>SUMIFS(input_districts!$C$124:$C$193,input_districts!$A$124:$A$193,$A51,input_districts!$B$124:$B$193,O$43)</f>
        <v>6722.9009890880006</v>
      </c>
      <c r="P51" s="69">
        <f si="39" t="shared"/>
        <v>29913.54032797521</v>
      </c>
      <c r="Q51" s="69"/>
      <c r="Y51" s="45"/>
      <c r="Z51" s="45"/>
      <c r="AA51" s="45"/>
      <c r="AB51" s="45"/>
      <c r="AC51" s="45"/>
      <c r="AD51" s="45"/>
      <c r="AE51" s="45"/>
      <c r="AG51">
        <f>WorkCoefficients!B59</f>
        <v>303</v>
      </c>
      <c r="AH51" t="str">
        <f>WorkCoefficients!C59</f>
        <v>ddistcont3-tr</v>
      </c>
      <c r="AI51">
        <f>WorkCoefficients!E59</f>
        <v>0</v>
      </c>
      <c r="AJ51" s="91">
        <f si="0" t="shared"/>
        <v>1.0448111037377017</v>
      </c>
      <c r="AL51" s="59">
        <f>SchoolCoeffcients!B59</f>
        <v>208</v>
      </c>
      <c r="AM51" t="str">
        <f>SchoolCoeffcients!C59</f>
        <v>odistcont8-tr</v>
      </c>
      <c r="AN51" s="55">
        <f>SchoolCoeffcients!E59</f>
        <v>0</v>
      </c>
      <c r="AO51" s="62">
        <f si="1" t="shared"/>
        <v>0</v>
      </c>
      <c r="AV51" s="59">
        <f>OtherCoefficients!B59</f>
        <v>205</v>
      </c>
      <c r="AW51" t="str">
        <f>OtherCoefficients!C59</f>
        <v>odistcont5-tr</v>
      </c>
      <c r="AX51">
        <f>OtherCoefficients!E59</f>
        <v>0</v>
      </c>
      <c r="AY51" s="62">
        <f si="3" t="shared"/>
        <v>0</v>
      </c>
    </row>
    <row r="52" spans="1:51" x14ac:dyDescent="0.25">
      <c r="A52">
        <v>8</v>
      </c>
      <c r="C52" s="68">
        <f>SUMIFS(input_districts!$C$1:$C$63,input_districts!$A$1:$A$63,$A52,input_districts!$B$1:$B$63,C$43)</f>
        <v>8561.3824606599992</v>
      </c>
      <c r="D52" s="68">
        <f>SUMIFS(input_districts!$C$1:$C$63,input_districts!$A$1:$A$63,$A52,input_districts!$B$1:$B$63,D$43)</f>
        <v>2601.8531054499999</v>
      </c>
      <c r="E52" s="68">
        <f>SUMIFS(input_districts!$C$1:$C$63,input_districts!$A$1:$A$63,$A52,input_districts!$B$1:$B$63,E$43)</f>
        <v>0</v>
      </c>
      <c r="F52" s="68">
        <f>SUMIFS(input_districts!$C$1:$C$63,input_districts!$A$1:$A$63,$A52,input_districts!$B$1:$B$63,F$43)</f>
        <v>5491.8836875269999</v>
      </c>
      <c r="G52" s="69">
        <f si="38" t="shared"/>
        <v>16655.119253637</v>
      </c>
      <c r="J52">
        <v>8</v>
      </c>
      <c r="L52" s="68">
        <f>SUMIFS(input_districts!$C$124:$C$193,input_districts!$A$124:$A$193,$A52,input_districts!$B$124:$B$193,L$43)</f>
        <v>2664.4649429800002</v>
      </c>
      <c r="M52" s="68">
        <f>SUMIFS(input_districts!$C$124:$C$193,input_districts!$A$124:$A$193,$A52,input_districts!$B$124:$B$193,M$43)</f>
        <v>1049.3107092400001</v>
      </c>
      <c r="N52" s="68">
        <f>SUMIFS(input_districts!$C$124:$C$193,input_districts!$A$124:$A$193,$A52,input_districts!$B$124:$B$193,N$43)</f>
        <v>0.25</v>
      </c>
      <c r="O52" s="68">
        <f>SUMIFS(input_districts!$C$124:$C$193,input_districts!$A$124:$A$193,$A52,input_districts!$B$124:$B$193,O$43)</f>
        <v>2221.3229650439998</v>
      </c>
      <c r="P52" s="69">
        <f si="39" t="shared"/>
        <v>5935.3486172640005</v>
      </c>
      <c r="Q52" s="69"/>
      <c r="AG52">
        <f>WorkCoefficients!B60</f>
        <v>304</v>
      </c>
      <c r="AH52" t="str">
        <f>WorkCoefficients!C60</f>
        <v>ddistcont4-tr</v>
      </c>
      <c r="AI52">
        <f>WorkCoefficients!E60</f>
        <v>0</v>
      </c>
      <c r="AJ52" s="91">
        <f si="0" t="shared"/>
        <v>8.714288799859482E-2</v>
      </c>
      <c r="AL52" s="59">
        <f>SchoolCoeffcients!B60</f>
        <v>209</v>
      </c>
      <c r="AM52" t="str">
        <f>SchoolCoeffcients!C60</f>
        <v>odistcont9-tr</v>
      </c>
      <c r="AN52" s="55">
        <f>SchoolCoeffcients!E60</f>
        <v>0</v>
      </c>
      <c r="AO52" s="62">
        <f si="1" t="shared"/>
        <v>0</v>
      </c>
      <c r="AV52" s="54">
        <f>OtherCoefficients!B60</f>
        <v>206</v>
      </c>
      <c r="AW52" s="54" t="str">
        <f>OtherCoefficients!C60</f>
        <v>odistcont6-tr</v>
      </c>
      <c r="AX52" s="54">
        <f>OtherCoefficients!E60</f>
        <v>-0.74473319999999998</v>
      </c>
      <c r="AY52" s="62">
        <f si="3" t="shared"/>
        <v>-0.74473319999999998</v>
      </c>
    </row>
    <row ht="15.75" r="53" spans="1:51" thickBot="1" x14ac:dyDescent="0.3">
      <c r="A53">
        <v>9</v>
      </c>
      <c r="C53" s="68">
        <f>SUMIFS(input_districts!$C$1:$C$63,input_districts!$A$1:$A$63,$A53,input_districts!$B$1:$B$63,C$43)</f>
        <v>14555.650593</v>
      </c>
      <c r="D53" s="68">
        <f>SUMIFS(input_districts!$C$1:$C$63,input_districts!$A$1:$A$63,$A53,input_districts!$B$1:$B$63,D$43)</f>
        <v>930.40771095100001</v>
      </c>
      <c r="E53" s="68">
        <f>SUMIFS(input_districts!$C$1:$C$63,input_districts!$A$1:$A$63,$A53,input_districts!$B$1:$B$63,E$43)</f>
        <v>0</v>
      </c>
      <c r="F53" s="68">
        <f>SUMIFS(input_districts!$C$1:$C$63,input_districts!$A$1:$A$63,$A53,input_districts!$B$1:$B$63,F$43)</f>
        <v>7248.2863306449999</v>
      </c>
      <c r="G53" s="69">
        <f si="38" t="shared"/>
        <v>22734.344634596</v>
      </c>
      <c r="J53">
        <v>9</v>
      </c>
      <c r="L53" s="68">
        <f>SUMIFS(input_districts!$C$124:$C$193,input_districts!$A$124:$A$193,$A53,input_districts!$B$124:$B$193,L$43)</f>
        <v>4279.6509991599996</v>
      </c>
      <c r="M53" s="68">
        <f>SUMIFS(input_districts!$C$124:$C$193,input_districts!$A$124:$A$193,$A53,input_districts!$B$124:$B$193,M$43)</f>
        <v>349.58644166800002</v>
      </c>
      <c r="N53" s="68">
        <f>SUMIFS(input_districts!$C$124:$C$193,input_districts!$A$124:$A$193,$A53,input_districts!$B$124:$B$193,N$43)</f>
        <v>0</v>
      </c>
      <c r="O53" s="68">
        <f>SUMIFS(input_districts!$C$124:$C$193,input_districts!$A$124:$A$193,$A53,input_districts!$B$124:$B$193,O$43)</f>
        <v>719.816688043</v>
      </c>
      <c r="P53" s="69">
        <f si="39" t="shared"/>
        <v>5349.0541288709992</v>
      </c>
      <c r="Q53" s="69"/>
      <c r="R53" t="s">
        <v>244</v>
      </c>
      <c r="Y53" s="39" t="s">
        <v>221</v>
      </c>
      <c r="AG53">
        <f>WorkCoefficients!B61</f>
        <v>305</v>
      </c>
      <c r="AH53" t="str">
        <f>WorkCoefficients!C61</f>
        <v>ddistcont5-tr</v>
      </c>
      <c r="AI53">
        <f>WorkCoefficients!E61</f>
        <v>0</v>
      </c>
      <c r="AJ53" s="91">
        <f si="0" t="shared"/>
        <v>0.76667653723253992</v>
      </c>
      <c r="AL53" s="59">
        <f>SchoolCoeffcients!B61</f>
        <v>210</v>
      </c>
      <c r="AM53" t="str">
        <f>SchoolCoeffcients!C61</f>
        <v>odistcon10-tr</v>
      </c>
      <c r="AN53" s="55">
        <f>SchoolCoeffcients!E61</f>
        <v>0</v>
      </c>
      <c r="AO53" s="62">
        <f si="1" t="shared"/>
        <v>0</v>
      </c>
      <c r="AV53" s="59">
        <f>OtherCoefficients!B61</f>
        <v>207</v>
      </c>
      <c r="AW53" t="str">
        <f>OtherCoefficients!C61</f>
        <v>odistcont7-tr</v>
      </c>
      <c r="AX53">
        <f>OtherCoefficients!E61</f>
        <v>0</v>
      </c>
      <c r="AY53" s="62">
        <f si="3" t="shared"/>
        <v>0</v>
      </c>
    </row>
    <row r="54" spans="1:51" x14ac:dyDescent="0.25">
      <c r="A54">
        <v>10</v>
      </c>
      <c r="C54" s="68">
        <f>SUMIFS(input_districts!$C$1:$C$63,input_districts!$A$1:$A$63,$A54,input_districts!$B$1:$B$63,C$43)</f>
        <v>18678.826978699999</v>
      </c>
      <c r="D54" s="68">
        <f>SUMIFS(input_districts!$C$1:$C$63,input_districts!$A$1:$A$63,$A54,input_districts!$B$1:$B$63,D$43)</f>
        <v>2267.3765274500001</v>
      </c>
      <c r="E54" s="68">
        <f>SUMIFS(input_districts!$C$1:$C$63,input_districts!$A$1:$A$63,$A54,input_districts!$B$1:$B$63,E$43)</f>
        <v>0</v>
      </c>
      <c r="F54" s="68">
        <f>SUMIFS(input_districts!$C$1:$C$63,input_districts!$A$1:$A$63,$A54,input_districts!$B$1:$B$63,F$43)</f>
        <v>2823.488865239</v>
      </c>
      <c r="G54" s="69">
        <f si="38" t="shared"/>
        <v>23769.692371388999</v>
      </c>
      <c r="J54">
        <v>10</v>
      </c>
      <c r="L54" s="68">
        <f>SUMIFS(input_districts!$C$124:$C$193,input_districts!$A$124:$A$193,$A54,input_districts!$B$124:$B$193,L$43)</f>
        <v>6359.39924531</v>
      </c>
      <c r="M54" s="68">
        <f>SUMIFS(input_districts!$C$124:$C$193,input_districts!$A$124:$A$193,$A54,input_districts!$B$124:$B$193,M$43)</f>
        <v>1630.58235012</v>
      </c>
      <c r="N54" s="68">
        <f>SUMIFS(input_districts!$C$124:$C$193,input_districts!$A$124:$A$193,$A54,input_districts!$B$124:$B$193,N$43)</f>
        <v>0</v>
      </c>
      <c r="O54" s="68">
        <f>SUMIFS(input_districts!$C$124:$C$193,input_districts!$A$124:$A$193,$A54,input_districts!$B$124:$B$193,O$43)</f>
        <v>3716.7012120211998</v>
      </c>
      <c r="P54" s="69">
        <f si="39" t="shared"/>
        <v>11706.6828074512</v>
      </c>
      <c r="Q54" s="69"/>
      <c r="R54" s="2" t="s">
        <v>0</v>
      </c>
      <c r="S54" s="2" t="s">
        <v>195</v>
      </c>
      <c r="T54" s="2" t="s">
        <v>196</v>
      </c>
      <c r="U54" s="2" t="s">
        <v>197</v>
      </c>
      <c r="V54" s="2" t="s">
        <v>198</v>
      </c>
      <c r="W54" s="2" t="s">
        <v>216</v>
      </c>
      <c r="Y54" s="2" t="s">
        <v>0</v>
      </c>
      <c r="Z54" s="84" t="s">
        <v>195</v>
      </c>
      <c r="AA54" s="84" t="s">
        <v>196</v>
      </c>
      <c r="AB54" s="84" t="s">
        <v>197</v>
      </c>
      <c r="AC54" s="84" t="s">
        <v>198</v>
      </c>
      <c r="AD54" s="84" t="s">
        <v>216</v>
      </c>
      <c r="AG54" s="54">
        <f>WorkCoefficients!B62</f>
        <v>306</v>
      </c>
      <c r="AH54" s="54" t="str">
        <f>WorkCoefficients!C62</f>
        <v>ddistcont6-tr</v>
      </c>
      <c r="AI54" s="54">
        <f>WorkCoefficients!E62</f>
        <v>-1.4978495999999999</v>
      </c>
      <c r="AJ54" s="92">
        <f si="0" t="shared"/>
        <v>-1.3968886705967776</v>
      </c>
      <c r="AL54" s="59">
        <f>SchoolCoeffcients!B62</f>
        <v>211</v>
      </c>
      <c r="AM54" t="str">
        <f>SchoolCoeffcients!C62</f>
        <v>odistcon11-tr</v>
      </c>
      <c r="AN54" s="55">
        <f>SchoolCoeffcients!E62</f>
        <v>0</v>
      </c>
      <c r="AO54" s="62">
        <f si="1" t="shared"/>
        <v>0</v>
      </c>
      <c r="AV54" s="59">
        <f>OtherCoefficients!B62</f>
        <v>208</v>
      </c>
      <c r="AW54" t="str">
        <f>OtherCoefficients!C62</f>
        <v>odistcont8-tr</v>
      </c>
      <c r="AX54">
        <f>OtherCoefficients!E62</f>
        <v>0</v>
      </c>
      <c r="AY54" s="62">
        <f si="3" t="shared"/>
        <v>0</v>
      </c>
    </row>
    <row r="55" spans="1:51" x14ac:dyDescent="0.25">
      <c r="A55">
        <v>11</v>
      </c>
      <c r="B55" s="6"/>
      <c r="C55" s="71">
        <f>SUMIFS(input_districts!$C$1:$C$63,input_districts!$A$1:$A$63,$A55,input_districts!$B$1:$B$63,C$43)</f>
        <v>0</v>
      </c>
      <c r="D55" s="71">
        <f>SUMIFS(input_districts!$C$1:$C$63,input_districts!$A$1:$A$63,$A55,input_districts!$B$1:$B$63,D$43)</f>
        <v>2926.54498509</v>
      </c>
      <c r="E55" s="71">
        <f>SUMIFS(input_districts!$C$1:$C$63,input_districts!$A$1:$A$63,$A55,input_districts!$B$1:$B$63,E$43)</f>
        <v>0</v>
      </c>
      <c r="F55" s="71">
        <f>SUMIFS(input_districts!$C$1:$C$63,input_districts!$A$1:$A$63,$A55,input_districts!$B$1:$B$63,F$43)</f>
        <v>0</v>
      </c>
      <c r="G55" s="72">
        <f si="38" t="shared"/>
        <v>2926.54498509</v>
      </c>
      <c r="J55">
        <v>11</v>
      </c>
      <c r="K55" s="6"/>
      <c r="L55" s="71">
        <f>SUMIFS(input_districts!$C$124:$C$193,input_districts!$A$124:$A$193,$A55,input_districts!$B$124:$B$193,L$43)</f>
        <v>5672.0980216799999</v>
      </c>
      <c r="M55" s="71">
        <f>SUMIFS(input_districts!$C$124:$C$193,input_districts!$A$124:$A$193,$A55,input_districts!$B$124:$B$193,M$43)</f>
        <v>540.55358688700005</v>
      </c>
      <c r="N55" s="71">
        <f>SUMIFS(input_districts!$C$124:$C$193,input_districts!$A$124:$A$193,$A55,input_districts!$B$124:$B$193,N$43)</f>
        <v>0</v>
      </c>
      <c r="O55" s="71">
        <f>SUMIFS(input_districts!$C$124:$C$193,input_districts!$A$124:$A$193,$A55,input_districts!$B$124:$B$193,O$43)</f>
        <v>1066.495052196</v>
      </c>
      <c r="P55" s="72">
        <f si="39" t="shared"/>
        <v>7279.146660763</v>
      </c>
      <c r="Q55" s="69"/>
      <c r="R55" s="9" t="s">
        <v>1</v>
      </c>
      <c r="S55" s="52">
        <f>Z18</f>
        <v>50</v>
      </c>
      <c r="T55" s="52">
        <f ref="T55:W62" si="40" t="shared">AA18</f>
        <v>50</v>
      </c>
      <c r="U55" s="52">
        <f si="40" t="shared"/>
        <v>50</v>
      </c>
      <c r="V55" s="52">
        <f si="40" t="shared"/>
        <v>50</v>
      </c>
      <c r="W55" s="52">
        <f si="40" t="shared"/>
        <v>50</v>
      </c>
      <c r="Y55" s="9" t="s">
        <v>1</v>
      </c>
      <c r="Z55" s="81">
        <f>IF(S55&gt;0,(S43+Z31),"-")</f>
        <v>1.6692520407074909</v>
      </c>
      <c r="AA55" s="81">
        <f ref="AA55:AD55" si="41" t="shared">IF(T55&gt;0,(T43+AA31),"-")</f>
        <v>2.5575392661250027</v>
      </c>
      <c r="AB55" s="81">
        <f si="41" t="shared"/>
        <v>-7.6014383130999867</v>
      </c>
      <c r="AC55" s="81">
        <f si="41" t="shared"/>
        <v>-0.45476293216686126</v>
      </c>
      <c r="AD55" s="81">
        <f si="41" t="shared"/>
        <v>-4.9086364914323708</v>
      </c>
      <c r="AG55">
        <f>WorkCoefficients!B63</f>
        <v>307</v>
      </c>
      <c r="AH55" t="str">
        <f>WorkCoefficients!C63</f>
        <v>ddistcont7-tr</v>
      </c>
      <c r="AI55">
        <f>WorkCoefficients!E63</f>
        <v>0</v>
      </c>
      <c r="AJ55" s="91">
        <f si="0" t="shared"/>
        <v>0</v>
      </c>
      <c r="AL55" s="59">
        <f>SchoolCoeffcients!B63</f>
        <v>301</v>
      </c>
      <c r="AM55" t="str">
        <f>SchoolCoeffcients!C63</f>
        <v>ddistcont1-tr</v>
      </c>
      <c r="AN55" s="55">
        <f>SchoolCoeffcients!E63</f>
        <v>0</v>
      </c>
      <c r="AO55" s="62">
        <f si="1" t="shared"/>
        <v>0</v>
      </c>
      <c r="AV55" s="59">
        <f>OtherCoefficients!B63</f>
        <v>209</v>
      </c>
      <c r="AW55" t="str">
        <f>OtherCoefficients!C63</f>
        <v>odistcont9-tr</v>
      </c>
      <c r="AX55">
        <f>OtherCoefficients!E63</f>
        <v>0</v>
      </c>
      <c r="AY55" s="62">
        <f si="3" t="shared"/>
        <v>0</v>
      </c>
    </row>
    <row ht="15.75" r="56" spans="1:51" thickBot="1" x14ac:dyDescent="0.3">
      <c r="B56" s="1" t="s">
        <v>19</v>
      </c>
      <c r="C56" s="70">
        <f>SUM(C45:C55)</f>
        <v>240987.69507806003</v>
      </c>
      <c r="D56" s="70">
        <f ref="D56:G56" si="42" t="shared">SUM(D45:D55)</f>
        <v>55519.655209921002</v>
      </c>
      <c r="E56" s="70">
        <f si="42" t="shared"/>
        <v>2929.6354747240002</v>
      </c>
      <c r="F56" s="70">
        <f si="42" t="shared"/>
        <v>110723.017727492</v>
      </c>
      <c r="G56" s="70">
        <f si="42" t="shared"/>
        <v>410160.00349019695</v>
      </c>
      <c r="K56" s="1" t="s">
        <v>19</v>
      </c>
      <c r="L56" s="70">
        <f>SUM(L45:L55)</f>
        <v>160956.04210649998</v>
      </c>
      <c r="M56" s="70">
        <f ref="M56" si="43" t="shared">SUM(M45:M55)</f>
        <v>27472.982377824999</v>
      </c>
      <c r="N56" s="70">
        <f ref="N56" si="44" t="shared">SUM(N45:N55)</f>
        <v>18.74451175998</v>
      </c>
      <c r="O56" s="70">
        <f ref="O56" si="45" t="shared">SUM(O45:O55)</f>
        <v>48552.571065598691</v>
      </c>
      <c r="P56" s="70">
        <f ref="P56" si="46" t="shared">SUM(P45:P55)</f>
        <v>237000.3400616837</v>
      </c>
      <c r="Q56" s="69"/>
      <c r="R56" s="9" t="s">
        <v>2</v>
      </c>
      <c r="S56" s="52">
        <f ref="S56:S60" si="47" t="shared">Z19</f>
        <v>40</v>
      </c>
      <c r="T56" s="52">
        <f si="40" t="shared"/>
        <v>40</v>
      </c>
      <c r="U56" s="52">
        <f si="40" t="shared"/>
        <v>40</v>
      </c>
      <c r="V56" s="52">
        <f si="40" t="shared"/>
        <v>40</v>
      </c>
      <c r="W56" s="52">
        <f si="40" t="shared"/>
        <v>40</v>
      </c>
      <c r="Y56" s="9" t="s">
        <v>2</v>
      </c>
      <c r="Z56" s="82">
        <f ref="Z56:Z62" si="48" t="shared">IF(S56&gt;0,(S44+Z32),"-")</f>
        <v>-2.271997998208457</v>
      </c>
      <c r="AA56" s="82">
        <f ref="AA56:AA62" si="49" t="shared">IF(T56&gt;0,(T44+AA32),"-")</f>
        <v>-0.98101583555755534</v>
      </c>
      <c r="AB56" s="82">
        <f ref="AB56:AB62" si="50" t="shared">IF(U56&gt;0,(U44+AB32),"-")</f>
        <v>-4.0655708664909918E-2</v>
      </c>
      <c r="AC56" s="82">
        <f ref="AC56:AC62" si="51" t="shared">IF(V56&gt;0,(V44+AC32),"-")</f>
        <v>-2.2165726717959036</v>
      </c>
      <c r="AD56" s="82">
        <f ref="AD56:AD62" si="52" t="shared">IF(W56&gt;0,(W44+AD32),"-")</f>
        <v>-5.7322195473424946</v>
      </c>
      <c r="AG56">
        <f>WorkCoefficients!B64</f>
        <v>308</v>
      </c>
      <c r="AH56" t="str">
        <f>WorkCoefficients!C64</f>
        <v>ddistcont8-tr</v>
      </c>
      <c r="AI56">
        <f>WorkCoefficients!E64</f>
        <v>0</v>
      </c>
      <c r="AJ56" s="91">
        <f si="0" t="shared"/>
        <v>0</v>
      </c>
      <c r="AL56" s="59">
        <f>SchoolCoeffcients!B64</f>
        <v>302</v>
      </c>
      <c r="AM56" t="str">
        <f>SchoolCoeffcients!C64</f>
        <v>ddistcont2-tr</v>
      </c>
      <c r="AN56" s="55">
        <f>SchoolCoeffcients!E64</f>
        <v>0</v>
      </c>
      <c r="AO56" s="62">
        <f si="1" t="shared"/>
        <v>0</v>
      </c>
      <c r="AV56" s="59">
        <f>OtherCoefficients!B64</f>
        <v>210</v>
      </c>
      <c r="AW56" t="str">
        <f>OtherCoefficients!C64</f>
        <v>odistcon10-tr</v>
      </c>
      <c r="AX56">
        <f>OtherCoefficients!E64</f>
        <v>0</v>
      </c>
      <c r="AY56" s="62">
        <f si="3" t="shared"/>
        <v>0</v>
      </c>
    </row>
    <row r="57" spans="1:51" x14ac:dyDescent="0.25">
      <c r="R57" s="9" t="s">
        <v>3</v>
      </c>
      <c r="S57" s="52">
        <f si="47" t="shared"/>
        <v>30</v>
      </c>
      <c r="T57" s="52">
        <f si="40" t="shared"/>
        <v>30</v>
      </c>
      <c r="U57" s="52">
        <f si="40" t="shared"/>
        <v>30</v>
      </c>
      <c r="V57" s="52">
        <f si="40" t="shared"/>
        <v>30</v>
      </c>
      <c r="W57" s="52">
        <f si="40" t="shared"/>
        <v>30</v>
      </c>
      <c r="Y57" s="9" t="s">
        <v>3</v>
      </c>
      <c r="Z57" s="82">
        <f si="48" t="shared"/>
        <v>-2.7662454640043248</v>
      </c>
      <c r="AA57" s="82">
        <f si="49" t="shared"/>
        <v>-0.43022424557105349</v>
      </c>
      <c r="AB57" s="82">
        <f si="50" t="shared"/>
        <v>-1.2220549145192199</v>
      </c>
      <c r="AC57" s="82">
        <f si="51" t="shared"/>
        <v>-1.9862478088771216</v>
      </c>
      <c r="AD57" s="82">
        <f si="52" t="shared"/>
        <v>-6.7517985492130279</v>
      </c>
      <c r="AG57">
        <f>WorkCoefficients!B65</f>
        <v>309</v>
      </c>
      <c r="AH57" t="str">
        <f>WorkCoefficients!C65</f>
        <v>ddistcont9-tr</v>
      </c>
      <c r="AI57">
        <f>WorkCoefficients!E65</f>
        <v>0</v>
      </c>
      <c r="AJ57" s="91">
        <f si="0" t="shared"/>
        <v>0</v>
      </c>
      <c r="AL57" s="59">
        <f>SchoolCoeffcients!B65</f>
        <v>303</v>
      </c>
      <c r="AM57" t="str">
        <f>SchoolCoeffcients!C65</f>
        <v>ddistcont3-tr</v>
      </c>
      <c r="AN57" s="55">
        <f>SchoolCoeffcients!E65</f>
        <v>0</v>
      </c>
      <c r="AO57" s="62">
        <f si="1" t="shared"/>
        <v>0</v>
      </c>
      <c r="AV57" s="59">
        <f>OtherCoefficients!B65</f>
        <v>211</v>
      </c>
      <c r="AW57" t="str">
        <f>OtherCoefficients!C65</f>
        <v>odistcon11-tr</v>
      </c>
      <c r="AX57">
        <f>OtherCoefficients!E65</f>
        <v>0</v>
      </c>
      <c r="AY57" s="62">
        <f si="3" t="shared"/>
        <v>0</v>
      </c>
    </row>
    <row ht="15.75" r="58" spans="1:51" thickBot="1" x14ac:dyDescent="0.3">
      <c r="B58" t="s">
        <v>217</v>
      </c>
      <c r="K58" t="s">
        <v>293</v>
      </c>
      <c r="R58" s="9" t="s">
        <v>4</v>
      </c>
      <c r="S58" s="52">
        <f si="47" t="shared"/>
        <v>10</v>
      </c>
      <c r="T58" s="52"/>
      <c r="U58" s="52"/>
      <c r="V58" s="52"/>
      <c r="W58" s="52"/>
      <c r="Y58" s="9" t="s">
        <v>4</v>
      </c>
      <c r="Z58" s="82">
        <f si="48" t="shared"/>
        <v>-4.3528756943489402</v>
      </c>
      <c r="AA58" s="82" t="str">
        <f si="49" t="shared"/>
        <v>-</v>
      </c>
      <c r="AB58" s="82" t="str">
        <f si="50" t="shared"/>
        <v>-</v>
      </c>
      <c r="AC58" s="82" t="str">
        <f si="51" t="shared"/>
        <v>-</v>
      </c>
      <c r="AD58" s="82" t="str">
        <f si="52" t="shared"/>
        <v>-</v>
      </c>
      <c r="AG58">
        <f>WorkCoefficients!B66</f>
        <v>310</v>
      </c>
      <c r="AH58" t="str">
        <f>WorkCoefficients!C66</f>
        <v>ddistcon10-tr</v>
      </c>
      <c r="AI58">
        <f>WorkCoefficients!E66</f>
        <v>0</v>
      </c>
      <c r="AJ58" s="91">
        <f si="0" t="shared"/>
        <v>0</v>
      </c>
      <c r="AL58" s="59">
        <f>SchoolCoeffcients!B66</f>
        <v>304</v>
      </c>
      <c r="AM58" t="str">
        <f>SchoolCoeffcients!C66</f>
        <v>ddistcont4-tr</v>
      </c>
      <c r="AN58" s="55">
        <f>SchoolCoeffcients!E66</f>
        <v>0</v>
      </c>
      <c r="AO58" s="62">
        <f si="1" t="shared"/>
        <v>0</v>
      </c>
      <c r="AV58" s="59">
        <f>OtherCoefficients!B66</f>
        <v>301</v>
      </c>
      <c r="AW58" t="str">
        <f>OtherCoefficients!C66</f>
        <v>ddistcont1-tr</v>
      </c>
      <c r="AX58">
        <f>OtherCoefficients!E66</f>
        <v>0</v>
      </c>
      <c r="AY58" s="62">
        <f si="3" t="shared"/>
        <v>0</v>
      </c>
    </row>
    <row r="59" spans="1:51" x14ac:dyDescent="0.25">
      <c r="B59" s="2" t="s">
        <v>284</v>
      </c>
      <c r="C59" s="2" t="s">
        <v>227</v>
      </c>
      <c r="D59" s="2" t="s">
        <v>196</v>
      </c>
      <c r="E59" s="2" t="s">
        <v>197</v>
      </c>
      <c r="F59" s="2" t="s">
        <v>198</v>
      </c>
      <c r="G59" s="2" t="s">
        <v>19</v>
      </c>
      <c r="K59" s="2" t="s">
        <v>284</v>
      </c>
      <c r="L59" s="2" t="s">
        <v>227</v>
      </c>
      <c r="M59" s="2" t="s">
        <v>196</v>
      </c>
      <c r="N59" s="2" t="s">
        <v>197</v>
      </c>
      <c r="O59" s="2" t="s">
        <v>198</v>
      </c>
      <c r="P59" s="2" t="s">
        <v>19</v>
      </c>
      <c r="R59" s="9" t="s">
        <v>5</v>
      </c>
      <c r="S59" s="52">
        <f si="47" t="shared"/>
        <v>20</v>
      </c>
      <c r="T59" s="52">
        <f si="40" t="shared"/>
        <v>20</v>
      </c>
      <c r="U59" s="52"/>
      <c r="V59" s="52">
        <f si="40" t="shared"/>
        <v>20</v>
      </c>
      <c r="W59" s="52">
        <f si="40" t="shared"/>
        <v>20</v>
      </c>
      <c r="Y59" s="9" t="s">
        <v>5</v>
      </c>
      <c r="Z59" s="82">
        <f si="48" t="shared"/>
        <v>-2.9125218585614454</v>
      </c>
      <c r="AA59" s="82">
        <f si="49" t="shared"/>
        <v>-4.412966995713079</v>
      </c>
      <c r="AB59" s="82" t="str">
        <f si="50" t="shared"/>
        <v>-</v>
      </c>
      <c r="AC59" s="82">
        <f si="51" t="shared"/>
        <v>-3.3644883996681387</v>
      </c>
      <c r="AD59" s="82">
        <f si="52" t="shared"/>
        <v>-6.4935535157577124</v>
      </c>
      <c r="AG59">
        <f>WorkCoefficients!B67</f>
        <v>311</v>
      </c>
      <c r="AH59" t="str">
        <f>WorkCoefficients!C67</f>
        <v>ddistcon11-tr</v>
      </c>
      <c r="AI59">
        <f>WorkCoefficients!E67</f>
        <v>0</v>
      </c>
      <c r="AJ59" s="91">
        <f si="0" t="shared"/>
        <v>0</v>
      </c>
      <c r="AL59" s="59">
        <f>SchoolCoeffcients!B67</f>
        <v>305</v>
      </c>
      <c r="AM59" t="str">
        <f>SchoolCoeffcients!C67</f>
        <v>ddistcont5-tr</v>
      </c>
      <c r="AN59" s="55">
        <f>SchoolCoeffcients!E67</f>
        <v>0</v>
      </c>
      <c r="AO59" s="62">
        <f si="1" t="shared"/>
        <v>0</v>
      </c>
      <c r="AV59" s="59">
        <f>OtherCoefficients!B67</f>
        <v>302</v>
      </c>
      <c r="AW59" t="str">
        <f>OtherCoefficients!C67</f>
        <v>ddistcont2-tr</v>
      </c>
      <c r="AX59">
        <f>OtherCoefficients!E67</f>
        <v>0</v>
      </c>
      <c r="AY59" s="62">
        <f si="3" t="shared"/>
        <v>0</v>
      </c>
    </row>
    <row r="60" spans="1:51" x14ac:dyDescent="0.25">
      <c r="A60">
        <f>A45</f>
        <v>1</v>
      </c>
      <c r="C60" s="73">
        <f>C45/C$56</f>
        <v>6.870535494618038E-2</v>
      </c>
      <c r="D60" s="73">
        <f ref="D60:G60" si="53" t="shared">D45/D$56</f>
        <v>9.8708278341770303E-2</v>
      </c>
      <c r="E60" s="73">
        <f si="53" t="shared"/>
        <v>0</v>
      </c>
      <c r="F60" s="73">
        <f si="53" t="shared"/>
        <v>1.4957429264148302E-2</v>
      </c>
      <c r="G60" s="73">
        <f si="53" t="shared"/>
        <v>5.7766545279538173E-2</v>
      </c>
      <c r="J60">
        <v>1</v>
      </c>
      <c r="L60" s="73">
        <f>L45/L$56</f>
        <v>6.241239161778768E-2</v>
      </c>
      <c r="M60" s="73">
        <f ref="M60:P60" si="54" t="shared">M45/M$56</f>
        <v>8.5143935115616243E-2</v>
      </c>
      <c r="N60" s="73">
        <f si="54" t="shared"/>
        <v>0</v>
      </c>
      <c r="O60" s="73">
        <f si="54" t="shared"/>
        <v>2.5883159929576101E-3</v>
      </c>
      <c r="P60" s="73">
        <f si="54" t="shared"/>
        <v>5.2786754462640084E-2</v>
      </c>
      <c r="R60" s="9" t="s">
        <v>6</v>
      </c>
      <c r="S60" s="52">
        <f si="47" t="shared"/>
        <v>60</v>
      </c>
      <c r="T60" s="52">
        <f si="40" t="shared"/>
        <v>60</v>
      </c>
      <c r="U60" s="52">
        <f si="40" t="shared"/>
        <v>60</v>
      </c>
      <c r="V60" s="52">
        <f si="40" t="shared"/>
        <v>60</v>
      </c>
      <c r="W60" s="52">
        <f si="40" t="shared"/>
        <v>60</v>
      </c>
      <c r="Y60" s="9" t="s">
        <v>6</v>
      </c>
      <c r="Z60" s="82">
        <f si="48" t="shared"/>
        <v>-3.6310367238025516</v>
      </c>
      <c r="AA60" s="82">
        <f si="49" t="shared"/>
        <v>-3.8233912076812073</v>
      </c>
      <c r="AB60" s="82">
        <f si="50" t="shared"/>
        <v>-10.555239905129664</v>
      </c>
      <c r="AC60" s="82">
        <f si="51" t="shared"/>
        <v>-4.712341973502177</v>
      </c>
      <c r="AD60" s="82">
        <f si="52" t="shared"/>
        <v>-7.7750157711332655</v>
      </c>
      <c r="AG60">
        <f>WorkCoefficients!B68</f>
        <v>99</v>
      </c>
      <c r="AH60" t="str">
        <f>WorkCoefficients!C68</f>
        <v>modenest</v>
      </c>
      <c r="AI60">
        <f>WorkCoefficients!E68</f>
        <v>0.53642515987899997</v>
      </c>
      <c r="AJ60" s="91">
        <f si="0" t="shared"/>
        <v>0.53642515987899997</v>
      </c>
      <c r="AL60" s="54">
        <f>SchoolCoeffcients!B68</f>
        <v>306</v>
      </c>
      <c r="AM60" s="54" t="str">
        <f>SchoolCoeffcients!C68</f>
        <v>ddistcont6-tr</v>
      </c>
      <c r="AN60" s="56">
        <f>SchoolCoeffcients!E68</f>
        <v>-1.063796</v>
      </c>
      <c r="AO60" s="56">
        <f si="1" t="shared"/>
        <v>-1.063796</v>
      </c>
      <c r="AV60" s="59">
        <f>OtherCoefficients!B68</f>
        <v>303</v>
      </c>
      <c r="AW60" t="str">
        <f>OtherCoefficients!C68</f>
        <v>ddistcont3-tr</v>
      </c>
      <c r="AX60">
        <f>OtherCoefficients!E68</f>
        <v>0</v>
      </c>
      <c r="AY60" s="62">
        <f si="3" t="shared"/>
        <v>0</v>
      </c>
    </row>
    <row r="61" spans="1:51" x14ac:dyDescent="0.25">
      <c r="A61">
        <f ref="A61:A70" si="55" t="shared">A46</f>
        <v>2</v>
      </c>
      <c r="C61" s="73">
        <f ref="C61:G61" si="56" t="shared">C46/C$56</f>
        <v>4.9009185419920887E-2</v>
      </c>
      <c r="D61" s="73">
        <f si="56" t="shared"/>
        <v>5.6385480828068969E-2</v>
      </c>
      <c r="E61" s="73">
        <f si="56" t="shared"/>
        <v>0</v>
      </c>
      <c r="F61" s="73">
        <f si="56" t="shared"/>
        <v>9.0300765930600643E-2</v>
      </c>
      <c r="G61" s="73">
        <f si="56" t="shared"/>
        <v>6.0804286573876203E-2</v>
      </c>
      <c r="J61">
        <v>2</v>
      </c>
      <c r="L61" s="73">
        <f ref="L61:P61" si="57" t="shared">L46/L$56</f>
        <v>5.1180823414005441E-2</v>
      </c>
      <c r="M61" s="73">
        <f si="57" t="shared"/>
        <v>4.949696860460244E-2</v>
      </c>
      <c r="N61" s="73">
        <f si="57" t="shared"/>
        <v>0</v>
      </c>
      <c r="O61" s="73">
        <f si="57" t="shared"/>
        <v>2.9243471814781267E-3</v>
      </c>
      <c r="P61" s="73">
        <f si="57" t="shared"/>
        <v>4.1095623265832749E-2</v>
      </c>
      <c r="R61" s="9" t="s">
        <v>7</v>
      </c>
      <c r="S61" s="52"/>
      <c r="T61" s="52"/>
      <c r="U61" s="52"/>
      <c r="V61" s="52"/>
      <c r="W61" s="52"/>
      <c r="Y61" s="9" t="s">
        <v>7</v>
      </c>
      <c r="Z61" s="82" t="str">
        <f si="48" t="shared"/>
        <v>-</v>
      </c>
      <c r="AA61" s="82" t="str">
        <f si="49" t="shared"/>
        <v>-</v>
      </c>
      <c r="AB61" s="82" t="str">
        <f si="50" t="shared"/>
        <v>-</v>
      </c>
      <c r="AC61" s="82" t="str">
        <f si="51" t="shared"/>
        <v>-</v>
      </c>
      <c r="AD61" s="82" t="str">
        <f si="52" t="shared"/>
        <v>-</v>
      </c>
      <c r="AL61" s="59">
        <f>SchoolCoeffcients!B69</f>
        <v>307</v>
      </c>
      <c r="AM61" t="str">
        <f>SchoolCoeffcients!C69</f>
        <v>ddistcont7-tr</v>
      </c>
      <c r="AN61" s="55">
        <f>SchoolCoeffcients!E69</f>
        <v>0</v>
      </c>
      <c r="AO61" s="62">
        <f si="1" t="shared"/>
        <v>0</v>
      </c>
      <c r="AV61" s="59">
        <f>OtherCoefficients!B69</f>
        <v>304</v>
      </c>
      <c r="AW61" t="str">
        <f>OtherCoefficients!C69</f>
        <v>ddistcont4-tr</v>
      </c>
      <c r="AX61">
        <f>OtherCoefficients!E69</f>
        <v>0</v>
      </c>
      <c r="AY61" s="62">
        <f si="3" t="shared"/>
        <v>0</v>
      </c>
    </row>
    <row r="62" spans="1:51" x14ac:dyDescent="0.25">
      <c r="A62">
        <f si="55" t="shared"/>
        <v>3</v>
      </c>
      <c r="C62" s="73">
        <f ref="C62:G62" si="58" t="shared">C47/C$56</f>
        <v>0.18563676453982095</v>
      </c>
      <c r="D62" s="73">
        <f si="58" t="shared"/>
        <v>0.20158616351241432</v>
      </c>
      <c r="E62" s="73">
        <f si="58" t="shared"/>
        <v>6.1575708264522189E-2</v>
      </c>
      <c r="F62" s="73">
        <f si="58" t="shared"/>
        <v>0.14904316679514151</v>
      </c>
      <c r="G62" s="73">
        <f si="58" t="shared"/>
        <v>0.17703109338345918</v>
      </c>
      <c r="J62">
        <v>3</v>
      </c>
      <c r="L62" s="73">
        <f ref="L62:P62" si="59" t="shared">L47/L$56</f>
        <v>0.22800207821908158</v>
      </c>
      <c r="M62" s="73">
        <f si="59" t="shared"/>
        <v>0.25563054472413627</v>
      </c>
      <c r="N62" s="73">
        <f si="59" t="shared"/>
        <v>0.13337237224484888</v>
      </c>
      <c r="O62" s="73">
        <f si="59" t="shared"/>
        <v>0.19728252620872588</v>
      </c>
      <c r="P62" s="73">
        <f si="59" t="shared"/>
        <v>0.22490397867157949</v>
      </c>
      <c r="R62" s="14" t="s">
        <v>8</v>
      </c>
      <c r="S62" s="53"/>
      <c r="T62" s="53">
        <f si="40" t="shared"/>
        <v>10</v>
      </c>
      <c r="U62" s="53"/>
      <c r="V62" s="53"/>
      <c r="W62" s="53"/>
      <c r="Y62" s="14" t="s">
        <v>8</v>
      </c>
      <c r="Z62" s="83" t="str">
        <f si="48" t="shared"/>
        <v>-</v>
      </c>
      <c r="AA62" s="83">
        <f si="49" t="shared"/>
        <v>-0.26510541683504701</v>
      </c>
      <c r="AB62" s="83" t="str">
        <f si="50" t="shared"/>
        <v>-</v>
      </c>
      <c r="AC62" s="83" t="str">
        <f si="51" t="shared"/>
        <v>-</v>
      </c>
      <c r="AD62" s="83" t="str">
        <f si="52" t="shared"/>
        <v>-</v>
      </c>
      <c r="AL62" s="59">
        <f>SchoolCoeffcients!B70</f>
        <v>308</v>
      </c>
      <c r="AM62" t="str">
        <f>SchoolCoeffcients!C70</f>
        <v>ddistcont8-tr</v>
      </c>
      <c r="AN62" s="55">
        <f>SchoolCoeffcients!E70</f>
        <v>0</v>
      </c>
      <c r="AO62" s="62">
        <f si="1" t="shared"/>
        <v>0</v>
      </c>
      <c r="AV62" s="59">
        <f>OtherCoefficients!B70</f>
        <v>305</v>
      </c>
      <c r="AW62" t="str">
        <f>OtherCoefficients!C70</f>
        <v>ddistcont5-tr</v>
      </c>
      <c r="AX62">
        <f>OtherCoefficients!E70</f>
        <v>0</v>
      </c>
      <c r="AY62" s="62">
        <f si="3" t="shared"/>
        <v>0</v>
      </c>
    </row>
    <row r="63" spans="1:51" x14ac:dyDescent="0.25">
      <c r="A63">
        <f si="55" t="shared"/>
        <v>4</v>
      </c>
      <c r="C63" s="73">
        <f ref="C63:G63" si="60" t="shared">C48/C$56</f>
        <v>0.13351062116668719</v>
      </c>
      <c r="D63" s="73">
        <f si="60" t="shared"/>
        <v>8.636887963279595E-2</v>
      </c>
      <c r="E63" s="73">
        <f si="60" t="shared"/>
        <v>6.8841897481460676E-2</v>
      </c>
      <c r="F63" s="73">
        <f si="60" t="shared"/>
        <v>0.20242804744920576</v>
      </c>
      <c r="G63" s="73">
        <f si="60" t="shared"/>
        <v>0.1452718761598438</v>
      </c>
      <c r="J63">
        <v>4</v>
      </c>
      <c r="L63" s="73">
        <f ref="L63:P63" si="61" t="shared">L48/L$56</f>
        <v>0.15832423846654026</v>
      </c>
      <c r="M63" s="73">
        <f si="61" t="shared"/>
        <v>0.12233742012308181</v>
      </c>
      <c r="N63" s="73">
        <f si="61" t="shared"/>
        <v>0.29319294698854637</v>
      </c>
      <c r="O63" s="73">
        <f si="61" t="shared"/>
        <v>0.21952051845622636</v>
      </c>
      <c r="P63" s="73">
        <f si="61" t="shared"/>
        <v>0.16670017393794914</v>
      </c>
      <c r="AL63" s="59">
        <f>SchoolCoeffcients!B71</f>
        <v>309</v>
      </c>
      <c r="AM63" t="str">
        <f>SchoolCoeffcients!C71</f>
        <v>ddistcont9-tr</v>
      </c>
      <c r="AN63" s="55">
        <f>SchoolCoeffcients!E71</f>
        <v>0</v>
      </c>
      <c r="AO63" s="62">
        <f si="1" t="shared"/>
        <v>0</v>
      </c>
      <c r="AV63" s="54">
        <f>OtherCoefficients!B71</f>
        <v>306</v>
      </c>
      <c r="AW63" s="54" t="str">
        <f>OtherCoefficients!C71</f>
        <v>ddistcont6-tr</v>
      </c>
      <c r="AX63" s="54">
        <f>OtherCoefficients!E71</f>
        <v>-0.255216</v>
      </c>
      <c r="AY63" s="56">
        <f si="3" t="shared"/>
        <v>-0.255216</v>
      </c>
    </row>
    <row r="64" spans="1:51" x14ac:dyDescent="0.25">
      <c r="A64">
        <f si="55" t="shared"/>
        <v>5</v>
      </c>
      <c r="C64" s="73">
        <f ref="C64:G64" si="62" t="shared">C49/C$56</f>
        <v>0.13772214773476052</v>
      </c>
      <c r="D64" s="73">
        <f si="62" t="shared"/>
        <v>8.7671288493344476E-2</v>
      </c>
      <c r="E64" s="73">
        <f si="62" t="shared"/>
        <v>6.3671378192733441E-2</v>
      </c>
      <c r="F64" s="73">
        <f si="62" t="shared"/>
        <v>0.12002069136496622</v>
      </c>
      <c r="G64" s="73">
        <f si="62" t="shared"/>
        <v>0.12563977296713344</v>
      </c>
      <c r="J64">
        <v>5</v>
      </c>
      <c r="L64" s="73">
        <f ref="L64:P64" si="63" t="shared">L49/L$56</f>
        <v>0.14040506006383324</v>
      </c>
      <c r="M64" s="73">
        <f si="63" t="shared"/>
        <v>0.1243926679372243</v>
      </c>
      <c r="N64" s="73">
        <f si="63" t="shared"/>
        <v>0</v>
      </c>
      <c r="O64" s="73">
        <f si="63" t="shared"/>
        <v>0.17444602053713221</v>
      </c>
      <c r="P64" s="73">
        <f si="63" t="shared"/>
        <v>0.14551153443085485</v>
      </c>
      <c r="AL64" s="59">
        <f>SchoolCoeffcients!B72</f>
        <v>310</v>
      </c>
      <c r="AM64" t="str">
        <f>SchoolCoeffcients!C72</f>
        <v>ddistcon10-tr</v>
      </c>
      <c r="AN64" s="55">
        <f>SchoolCoeffcients!E72</f>
        <v>0</v>
      </c>
      <c r="AO64" s="62">
        <f si="1" t="shared"/>
        <v>0</v>
      </c>
      <c r="AV64" s="59">
        <f>OtherCoefficients!B72</f>
        <v>307</v>
      </c>
      <c r="AW64" t="str">
        <f>OtherCoefficients!C72</f>
        <v>ddistcont7-tr</v>
      </c>
      <c r="AX64">
        <f>OtherCoefficients!E72</f>
        <v>0</v>
      </c>
      <c r="AY64" s="62">
        <f si="3" t="shared"/>
        <v>0</v>
      </c>
    </row>
    <row r="65" spans="1:51" x14ac:dyDescent="0.25">
      <c r="A65">
        <f si="55" t="shared"/>
        <v>6</v>
      </c>
      <c r="C65" s="73">
        <f ref="C65:G65" si="64" t="shared">C50/C$56</f>
        <v>0.16850294241266822</v>
      </c>
      <c r="D65" s="73">
        <f si="64" t="shared"/>
        <v>0.1725977734870309</v>
      </c>
      <c r="E65" s="73">
        <f si="64" t="shared"/>
        <v>7.6778014826295315E-2</v>
      </c>
      <c r="F65" s="73">
        <f si="64" t="shared"/>
        <v>0.13569664596071995</v>
      </c>
      <c r="G65" s="73">
        <f si="64" t="shared"/>
        <v>0.15954597658288747</v>
      </c>
      <c r="J65">
        <v>6</v>
      </c>
      <c r="L65" s="73">
        <f ref="L65:P65" si="65" t="shared">L50/L$56</f>
        <v>0.12086116759088975</v>
      </c>
      <c r="M65" s="73">
        <f si="65" t="shared"/>
        <v>9.7512473937388724E-2</v>
      </c>
      <c r="N65" s="73">
        <f si="65" t="shared"/>
        <v>0.34676816783660708</v>
      </c>
      <c r="O65" s="73">
        <f si="65" t="shared"/>
        <v>0.10567963385591989</v>
      </c>
      <c r="P65" s="73">
        <f si="65" t="shared"/>
        <v>0.11506233106576358</v>
      </c>
      <c r="AL65" s="59">
        <f>SchoolCoeffcients!B73</f>
        <v>311</v>
      </c>
      <c r="AM65" t="str">
        <f>SchoolCoeffcients!C73</f>
        <v>ddistcon11-tr</v>
      </c>
      <c r="AN65" s="55">
        <f>SchoolCoeffcients!E73</f>
        <v>0</v>
      </c>
      <c r="AO65" s="62">
        <f si="1" t="shared"/>
        <v>0</v>
      </c>
      <c r="AV65" s="59">
        <f>OtherCoefficients!B73</f>
        <v>308</v>
      </c>
      <c r="AW65" t="str">
        <f>OtherCoefficients!C73</f>
        <v>ddistcont8-tr</v>
      </c>
      <c r="AX65">
        <f>OtherCoefficients!E73</f>
        <v>0</v>
      </c>
      <c r="AY65" s="62">
        <f si="3" t="shared"/>
        <v>0</v>
      </c>
    </row>
    <row r="66" spans="1:51" x14ac:dyDescent="0.25">
      <c r="A66">
        <f si="55" t="shared"/>
        <v>7</v>
      </c>
      <c r="C66" s="73">
        <f ref="C66:G66" si="66" t="shared">C51/C$56</f>
        <v>8.3477323428832156E-2</v>
      </c>
      <c r="D66" s="73">
        <f si="66" t="shared"/>
        <v>0.13950928771142526</v>
      </c>
      <c r="E66" s="73">
        <f si="66" t="shared"/>
        <v>0.72913300123498836</v>
      </c>
      <c r="F66" s="73">
        <f si="66" t="shared"/>
        <v>0.14698935601814769</v>
      </c>
      <c r="G66" s="73">
        <f si="66" t="shared"/>
        <v>0.11281869002662512</v>
      </c>
      <c r="J66">
        <v>7</v>
      </c>
      <c r="L66" s="73">
        <f ref="L66:P66" si="67" t="shared">L51/L$56</f>
        <v>0.12092110060784114</v>
      </c>
      <c r="M66" s="73">
        <f si="67" t="shared"/>
        <v>0.13553893689298094</v>
      </c>
      <c r="N66" s="73">
        <f si="67" t="shared"/>
        <v>0.2133292757055128</v>
      </c>
      <c r="O66" s="73">
        <f si="67" t="shared"/>
        <v>0.13846642601078291</v>
      </c>
      <c r="P66" s="73">
        <f si="67" t="shared"/>
        <v>0.12621728863422585</v>
      </c>
      <c r="AL66" s="59">
        <f>SchoolCoeffcients!B74</f>
        <v>99</v>
      </c>
      <c r="AM66" t="str">
        <f>SchoolCoeffcients!C74</f>
        <v>modenest</v>
      </c>
      <c r="AN66" s="55">
        <f>SchoolCoeffcients!E74</f>
        <v>0.78311080353600004</v>
      </c>
      <c r="AO66" s="62">
        <f si="1" t="shared"/>
        <v>0.78311080353600004</v>
      </c>
      <c r="AV66" s="59">
        <f>OtherCoefficients!B74</f>
        <v>309</v>
      </c>
      <c r="AW66" t="str">
        <f>OtherCoefficients!C74</f>
        <v>ddistcont9-tr</v>
      </c>
      <c r="AX66">
        <f>OtherCoefficients!E74</f>
        <v>0</v>
      </c>
      <c r="AY66" s="62">
        <f si="3" t="shared"/>
        <v>0</v>
      </c>
    </row>
    <row r="67" spans="1:51" x14ac:dyDescent="0.25">
      <c r="A67">
        <f si="55" t="shared"/>
        <v>8</v>
      </c>
      <c r="C67" s="73">
        <f ref="C67:G67" si="68" t="shared">C52/C$56</f>
        <v>3.5526222440057868E-2</v>
      </c>
      <c r="D67" s="73">
        <f si="68" t="shared"/>
        <v>4.6863639473486242E-2</v>
      </c>
      <c r="E67" s="73">
        <f si="68" t="shared"/>
        <v>0</v>
      </c>
      <c r="F67" s="73">
        <f si="68" t="shared"/>
        <v>4.9600198768457081E-2</v>
      </c>
      <c r="G67" s="73">
        <f si="68" t="shared"/>
        <v>4.0606395338191638E-2</v>
      </c>
      <c r="J67">
        <v>8</v>
      </c>
      <c r="L67" s="73">
        <f ref="L67:P67" si="69" t="shared">L52/L$56</f>
        <v>1.6553991438339421E-2</v>
      </c>
      <c r="M67" s="73">
        <f si="69" t="shared"/>
        <v>3.8194277374376293E-2</v>
      </c>
      <c r="N67" s="73">
        <f si="69" t="shared"/>
        <v>1.3337237224484887E-2</v>
      </c>
      <c r="O67" s="73">
        <f si="69" t="shared"/>
        <v>4.5750882317700574E-2</v>
      </c>
      <c r="P67" s="73">
        <f si="69" t="shared"/>
        <v>2.5043629117659564E-2</v>
      </c>
      <c r="AV67" s="59">
        <f>OtherCoefficients!B75</f>
        <v>310</v>
      </c>
      <c r="AW67" t="str">
        <f>OtherCoefficients!C75</f>
        <v>ddistcon10-tr</v>
      </c>
      <c r="AX67">
        <f>OtherCoefficients!E75</f>
        <v>0</v>
      </c>
      <c r="AY67" s="62">
        <f si="3" t="shared"/>
        <v>0</v>
      </c>
    </row>
    <row r="68" spans="1:51" x14ac:dyDescent="0.25">
      <c r="A68">
        <f si="55" t="shared"/>
        <v>9</v>
      </c>
      <c r="C68" s="73">
        <f ref="C68:G68" si="70" t="shared">C53/C$56</f>
        <v>6.0399974315224585E-2</v>
      </c>
      <c r="D68" s="73">
        <f si="70" t="shared"/>
        <v>1.6758168029558335E-2</v>
      </c>
      <c r="E68" s="73">
        <f si="70" t="shared"/>
        <v>0</v>
      </c>
      <c r="F68" s="73">
        <f si="70" t="shared"/>
        <v>6.546322959228093E-2</v>
      </c>
      <c r="G68" s="73">
        <f si="70" t="shared"/>
        <v>5.5427990152968107E-2</v>
      </c>
      <c r="J68">
        <v>9</v>
      </c>
      <c r="L68" s="73">
        <f ref="L68:P68" si="71" t="shared">L53/L$56</f>
        <v>2.6588942814139763E-2</v>
      </c>
      <c r="M68" s="73">
        <f si="71" t="shared"/>
        <v>1.2724735773505648E-2</v>
      </c>
      <c r="N68" s="73">
        <f si="71" t="shared"/>
        <v>0</v>
      </c>
      <c r="O68" s="73">
        <f si="71" t="shared"/>
        <v>1.4825511239568876E-2</v>
      </c>
      <c r="P68" s="73">
        <f si="71" t="shared"/>
        <v>2.2569816260511733E-2</v>
      </c>
      <c r="AV68" s="59">
        <f>OtherCoefficients!B76</f>
        <v>311</v>
      </c>
      <c r="AW68" t="str">
        <f>OtherCoefficients!C76</f>
        <v>ddistcon11-tr</v>
      </c>
      <c r="AX68">
        <f>OtherCoefficients!E76</f>
        <v>0</v>
      </c>
      <c r="AY68" s="62">
        <f ref="AY68:AY69" si="72" t="shared">_xlfn.IFNA(VLOOKUP(AV68,$V$55:$AD$62,8,FALSE),_xlfn.IFNA(VLOOKUP(AV68, $Z$106:$AC$130,4,FALSE),AX68))</f>
        <v>0</v>
      </c>
    </row>
    <row r="69" spans="1:51" x14ac:dyDescent="0.25">
      <c r="A69">
        <f si="55" t="shared"/>
        <v>10</v>
      </c>
      <c r="C69" s="73">
        <f ref="C69:G69" si="73" t="shared">C54/C$56</f>
        <v>7.7509463595847108E-2</v>
      </c>
      <c r="D69" s="73">
        <f si="73" t="shared"/>
        <v>4.0839168018551288E-2</v>
      </c>
      <c r="E69" s="73">
        <f si="73" t="shared"/>
        <v>0</v>
      </c>
      <c r="F69" s="73">
        <f si="73" t="shared"/>
        <v>2.5500468856331948E-2</v>
      </c>
      <c r="G69" s="73">
        <f si="73" t="shared"/>
        <v>5.7952243439448645E-2</v>
      </c>
      <c r="J69">
        <v>10</v>
      </c>
      <c r="L69" s="73">
        <f ref="L69:P69" si="74" t="shared">L54/L$56</f>
        <v>3.9510161669495877E-2</v>
      </c>
      <c r="M69" s="73">
        <f si="74" t="shared"/>
        <v>5.9352214757584364E-2</v>
      </c>
      <c r="N69" s="73">
        <f si="74" t="shared"/>
        <v>0</v>
      </c>
      <c r="O69" s="73">
        <f si="74" t="shared"/>
        <v>7.6550039070013773E-2</v>
      </c>
      <c r="P69" s="73">
        <f si="74" t="shared"/>
        <v>4.9395215232198905E-2</v>
      </c>
      <c r="AV69" s="59">
        <f>OtherCoefficients!B77</f>
        <v>0</v>
      </c>
      <c r="AW69">
        <f>OtherCoefficients!C77</f>
        <v>0</v>
      </c>
      <c r="AX69">
        <f>OtherCoefficients!E77</f>
        <v>0</v>
      </c>
      <c r="AY69" s="62">
        <f si="72" t="shared"/>
        <v>0</v>
      </c>
    </row>
    <row r="70" spans="1:51" x14ac:dyDescent="0.25">
      <c r="A70">
        <f si="55" t="shared"/>
        <v>11</v>
      </c>
      <c r="B70" s="6"/>
      <c r="C70" s="74">
        <f ref="C70:G70" si="75" t="shared">C55/C$56</f>
        <v>0</v>
      </c>
      <c r="D70" s="74">
        <f si="75" t="shared"/>
        <v>5.2711872471553921E-2</v>
      </c>
      <c r="E70" s="74">
        <f si="75" t="shared"/>
        <v>0</v>
      </c>
      <c r="F70" s="74">
        <f si="75" t="shared"/>
        <v>0</v>
      </c>
      <c r="G70" s="74">
        <f si="75" t="shared"/>
        <v>7.1351300960283562E-3</v>
      </c>
      <c r="J70">
        <v>11</v>
      </c>
      <c r="K70" s="6"/>
      <c r="L70" s="73">
        <f ref="L70:P70" si="76" t="shared">L55/L$56</f>
        <v>3.5240044098045951E-2</v>
      </c>
      <c r="M70" s="73">
        <f si="76" t="shared"/>
        <v>1.9675824759503049E-2</v>
      </c>
      <c r="N70" s="73">
        <f si="76" t="shared"/>
        <v>0</v>
      </c>
      <c r="O70" s="73">
        <f si="76" t="shared"/>
        <v>2.1965779129493958E-2</v>
      </c>
      <c r="P70" s="73">
        <f si="76" t="shared"/>
        <v>3.0713654920783946E-2</v>
      </c>
    </row>
    <row ht="15.75" r="71" spans="1:51" thickBot="1" x14ac:dyDescent="0.3">
      <c r="B71" s="75" t="s">
        <v>19</v>
      </c>
      <c r="C71" s="76">
        <f ref="C71:G71" si="77" t="shared">C56/C$56</f>
        <v>1</v>
      </c>
      <c r="D71" s="76">
        <f si="77" t="shared"/>
        <v>1</v>
      </c>
      <c r="E71" s="76">
        <f si="77" t="shared"/>
        <v>1</v>
      </c>
      <c r="F71" s="76">
        <f si="77" t="shared"/>
        <v>1</v>
      </c>
      <c r="G71" s="76">
        <f si="77" t="shared"/>
        <v>1</v>
      </c>
      <c r="K71" s="75" t="s">
        <v>19</v>
      </c>
      <c r="L71" s="76">
        <f ref="L71:P71" si="78" t="shared">L56/L$56</f>
        <v>1</v>
      </c>
      <c r="M71" s="76">
        <f si="78" t="shared"/>
        <v>1</v>
      </c>
      <c r="N71" s="76">
        <f si="78" t="shared"/>
        <v>1</v>
      </c>
      <c r="O71" s="76">
        <f si="78" t="shared"/>
        <v>1</v>
      </c>
      <c r="P71" s="76">
        <f si="78" t="shared"/>
        <v>1</v>
      </c>
    </row>
    <row r="73" spans="1:51" x14ac:dyDescent="0.25">
      <c r="B73" s="36" t="s">
        <v>292</v>
      </c>
    </row>
    <row ht="15.75" r="74" spans="1:51" thickBot="1" x14ac:dyDescent="0.3">
      <c r="B74" t="s">
        <v>47</v>
      </c>
      <c r="C74">
        <v>1</v>
      </c>
      <c r="D74">
        <v>2</v>
      </c>
      <c r="E74">
        <v>3</v>
      </c>
      <c r="F74" t="s">
        <v>283</v>
      </c>
      <c r="K74" t="s">
        <v>33</v>
      </c>
      <c r="L74">
        <v>1</v>
      </c>
      <c r="M74">
        <v>2</v>
      </c>
      <c r="N74">
        <v>3</v>
      </c>
      <c r="O74" t="s">
        <v>283</v>
      </c>
    </row>
    <row r="75" spans="1:51" x14ac:dyDescent="0.25">
      <c r="B75" s="2" t="s">
        <v>285</v>
      </c>
      <c r="C75" s="2" t="s">
        <v>227</v>
      </c>
      <c r="D75" s="2" t="s">
        <v>196</v>
      </c>
      <c r="E75" s="2" t="s">
        <v>197</v>
      </c>
      <c r="F75" s="2" t="s">
        <v>198</v>
      </c>
      <c r="G75" s="2" t="s">
        <v>19</v>
      </c>
      <c r="K75" s="2" t="s">
        <v>285</v>
      </c>
      <c r="L75" s="2" t="s">
        <v>227</v>
      </c>
      <c r="M75" s="2" t="s">
        <v>196</v>
      </c>
      <c r="N75" s="2" t="s">
        <v>197</v>
      </c>
      <c r="O75" s="2" t="s">
        <v>198</v>
      </c>
      <c r="P75" s="2" t="s">
        <v>19</v>
      </c>
    </row>
    <row r="76" spans="1:51" x14ac:dyDescent="0.25">
      <c r="A76">
        <v>1</v>
      </c>
      <c r="C76" s="68">
        <f>SUMIFS(input_districts!$C$64:$C$123,input_districts!$A$64:$A$123,$A76,input_districts!$B$64:$B$123,C$43)</f>
        <v>3022.4558590199999</v>
      </c>
      <c r="D76" s="68">
        <f>SUMIFS(input_districts!$C$64:$C$123,input_districts!$A$64:$A$123,$A76,input_districts!$B$64:$B$123,D$43)</f>
        <v>666.65062499999999</v>
      </c>
      <c r="E76" s="68">
        <f>SUMIFS(input_districts!$C$64:$C$123,input_districts!$A$64:$A$123,$A76,input_districts!$B$64:$B$123,E$43)</f>
        <v>0</v>
      </c>
      <c r="F76" s="68">
        <f>SUMIFS(input_districts!$C$64:$C$123,input_districts!$A$64:$A$123,$A76,input_districts!$B$64:$B$123,F$43)</f>
        <v>2104.8525547149998</v>
      </c>
      <c r="G76" s="69">
        <f>SUM(C76:F76)</f>
        <v>5793.9590387349999</v>
      </c>
      <c r="J76">
        <v>1</v>
      </c>
      <c r="L76" s="68">
        <f>SUMIFS(input_districts!$C$194:$C$263,input_districts!$A$194:$A$263,$A76,input_districts!$B$194:$B$263,L$43)</f>
        <v>2964.8853006300001</v>
      </c>
      <c r="M76" s="68">
        <f>SUMIFS(input_districts!$C$194:$C$263,input_districts!$A$194:$A$263,$A76,input_districts!$B$194:$B$263,M$43)</f>
        <v>116.562266855</v>
      </c>
      <c r="N76" s="68">
        <f>SUMIFS(input_districts!$C$194:$C$263,input_districts!$A$194:$A$263,$A76,input_districts!$B$194:$B$263,N$43)</f>
        <v>0</v>
      </c>
      <c r="O76" s="68">
        <f>SUMIFS(input_districts!$C$194:$C$263,input_districts!$A$194:$A$263,$A76,input_districts!$B$194:$B$263,O$43)</f>
        <v>546.58107412050003</v>
      </c>
      <c r="P76" s="69">
        <f>SUM(L76:O76)</f>
        <v>3628.0286416055001</v>
      </c>
    </row>
    <row r="77" spans="1:51" x14ac:dyDescent="0.25">
      <c r="A77">
        <v>2</v>
      </c>
      <c r="C77" s="68">
        <f>SUMIFS(input_districts!$C$64:$C$123,input_districts!$A$64:$A$123,$A77,input_districts!$B$64:$B$123,C$43)</f>
        <v>3641.9021312</v>
      </c>
      <c r="D77" s="68">
        <f>SUMIFS(input_districts!$C$64:$C$123,input_districts!$A$64:$A$123,$A77,input_districts!$B$64:$B$123,D$43)</f>
        <v>4921.6077376100002</v>
      </c>
      <c r="E77" s="68">
        <f>SUMIFS(input_districts!$C$64:$C$123,input_districts!$A$64:$A$123,$A77,input_districts!$B$64:$B$123,E$43)</f>
        <v>0</v>
      </c>
      <c r="F77" s="68">
        <f>SUMIFS(input_districts!$C$64:$C$123,input_districts!$A$64:$A$123,$A77,input_districts!$B$64:$B$123,F$43)</f>
        <v>8142.7112350999996</v>
      </c>
      <c r="G77" s="69">
        <f ref="G77:G86" si="79" t="shared">SUM(C77:F77)</f>
        <v>16706.22110391</v>
      </c>
      <c r="J77">
        <v>2</v>
      </c>
      <c r="L77" s="68">
        <f>SUMIFS(input_districts!$C$194:$C$263,input_districts!$A$194:$A$263,$A77,input_districts!$B$194:$B$263,L$43)</f>
        <v>7107.2075447200004</v>
      </c>
      <c r="M77" s="68">
        <f>SUMIFS(input_districts!$C$194:$C$263,input_districts!$A$194:$A$263,$A77,input_districts!$B$194:$B$263,M$43)</f>
        <v>4109.3702739</v>
      </c>
      <c r="N77" s="68">
        <f>SUMIFS(input_districts!$C$194:$C$263,input_districts!$A$194:$A$263,$A77,input_districts!$B$194:$B$263,N$43)</f>
        <v>0</v>
      </c>
      <c r="O77" s="68">
        <f>SUMIFS(input_districts!$C$194:$C$263,input_districts!$A$194:$A$263,$A77,input_districts!$B$194:$B$263,O$43)</f>
        <v>717.50397505160004</v>
      </c>
      <c r="P77" s="69">
        <f ref="P77:P86" si="80" t="shared">SUM(L77:O77)</f>
        <v>11934.081793671601</v>
      </c>
    </row>
    <row r="78" spans="1:51" x14ac:dyDescent="0.25">
      <c r="A78">
        <v>3</v>
      </c>
      <c r="C78" s="68">
        <f>SUMIFS(input_districts!$C$64:$C$123,input_districts!$A$64:$A$123,$A78,input_districts!$B$64:$B$123,C$43)</f>
        <v>35267.829458100001</v>
      </c>
      <c r="D78" s="68">
        <f>SUMIFS(input_districts!$C$64:$C$123,input_districts!$A$64:$A$123,$A78,input_districts!$B$64:$B$123,D$43)</f>
        <v>19593.196648500001</v>
      </c>
      <c r="E78" s="68">
        <f>SUMIFS(input_districts!$C$64:$C$123,input_districts!$A$64:$A$123,$A78,input_districts!$B$64:$B$123,E$43)</f>
        <v>180.394379313</v>
      </c>
      <c r="F78" s="68">
        <f>SUMIFS(input_districts!$C$64:$C$123,input_districts!$A$64:$A$123,$A78,input_districts!$B$64:$B$123,F$43)</f>
        <v>16352.9212095</v>
      </c>
      <c r="G78" s="69">
        <f si="79" t="shared"/>
        <v>71394.341695413008</v>
      </c>
      <c r="J78">
        <v>3</v>
      </c>
      <c r="L78" s="68">
        <f>SUMIFS(input_districts!$C$194:$C$263,input_districts!$A$194:$A$263,$A78,input_districts!$B$194:$B$263,L$43)</f>
        <v>13970.543434699999</v>
      </c>
      <c r="M78" s="68">
        <f>SUMIFS(input_districts!$C$194:$C$263,input_districts!$A$194:$A$263,$A78,input_districts!$B$194:$B$263,M$43)</f>
        <v>8234.3613654000001</v>
      </c>
      <c r="N78" s="68">
        <f>SUMIFS(input_districts!$C$194:$C$263,input_districts!$A$194:$A$263,$A78,input_districts!$B$194:$B$263,N$43)</f>
        <v>3</v>
      </c>
      <c r="O78" s="68">
        <f>SUMIFS(input_districts!$C$194:$C$263,input_districts!$A$194:$A$263,$A78,input_districts!$B$194:$B$263,O$43)</f>
        <v>6057.561083261</v>
      </c>
      <c r="P78" s="69">
        <f si="80" t="shared"/>
        <v>28265.465883360997</v>
      </c>
    </row>
    <row r="79" spans="1:51" x14ac:dyDescent="0.25">
      <c r="A79">
        <v>4</v>
      </c>
      <c r="C79" s="68">
        <f>SUMIFS(input_districts!$C$64:$C$123,input_districts!$A$64:$A$123,$A79,input_districts!$B$64:$B$123,C$43)</f>
        <v>115408.967137</v>
      </c>
      <c r="D79" s="68">
        <f>SUMIFS(input_districts!$C$64:$C$123,input_districts!$A$64:$A$123,$A79,input_districts!$B$64:$B$123,D$43)</f>
        <v>7879.54351056</v>
      </c>
      <c r="E79" s="68">
        <f>SUMIFS(input_districts!$C$64:$C$123,input_districts!$A$64:$A$123,$A79,input_districts!$B$64:$B$123,E$43)</f>
        <v>0</v>
      </c>
      <c r="F79" s="68">
        <f>SUMIFS(input_districts!$C$64:$C$123,input_districts!$A$64:$A$123,$A79,input_districts!$B$64:$B$123,F$43)</f>
        <v>35918.575729960001</v>
      </c>
      <c r="G79" s="69">
        <f si="79" t="shared"/>
        <v>159207.08637752</v>
      </c>
      <c r="J79">
        <v>4</v>
      </c>
      <c r="L79" s="68">
        <f>SUMIFS(input_districts!$C$194:$C$263,input_districts!$A$194:$A$263,$A79,input_districts!$B$194:$B$263,L$43)</f>
        <v>73795.373118599993</v>
      </c>
      <c r="M79" s="68">
        <f>SUMIFS(input_districts!$C$194:$C$263,input_districts!$A$194:$A$263,$A79,input_districts!$B$194:$B$263,M$43)</f>
        <v>4412.0528975200004</v>
      </c>
      <c r="N79" s="68">
        <f>SUMIFS(input_districts!$C$194:$C$263,input_districts!$A$194:$A$263,$A79,input_districts!$B$194:$B$263,N$43)</f>
        <v>4.7476525821599997</v>
      </c>
      <c r="O79" s="68">
        <f>SUMIFS(input_districts!$C$194:$C$263,input_districts!$A$194:$A$263,$A79,input_districts!$B$194:$B$263,O$43)</f>
        <v>17922.761106009999</v>
      </c>
      <c r="P79" s="69">
        <f si="80" t="shared"/>
        <v>96134.93477471215</v>
      </c>
    </row>
    <row r="80" spans="1:51" x14ac:dyDescent="0.25">
      <c r="A80">
        <v>5</v>
      </c>
      <c r="C80" s="68">
        <f>SUMIFS(input_districts!$C$64:$C$123,input_districts!$A$64:$A$123,$A80,input_districts!$B$64:$B$123,C$43)</f>
        <v>22411.700393200001</v>
      </c>
      <c r="D80" s="68">
        <f>SUMIFS(input_districts!$C$64:$C$123,input_districts!$A$64:$A$123,$A80,input_districts!$B$64:$B$123,D$43)</f>
        <v>2273.2592833799999</v>
      </c>
      <c r="E80" s="68">
        <f>SUMIFS(input_districts!$C$64:$C$123,input_districts!$A$64:$A$123,$A80,input_districts!$B$64:$B$123,E$43)</f>
        <v>2414.6046225499999</v>
      </c>
      <c r="F80" s="68">
        <f>SUMIFS(input_districts!$C$64:$C$123,input_districts!$A$64:$A$123,$A80,input_districts!$B$64:$B$123,F$43)</f>
        <v>10800.589925709999</v>
      </c>
      <c r="G80" s="69">
        <f si="79" t="shared"/>
        <v>37900.15422484</v>
      </c>
      <c r="J80">
        <v>5</v>
      </c>
      <c r="L80" s="68">
        <f>SUMIFS(input_districts!$C$194:$C$263,input_districts!$A$194:$A$263,$A80,input_districts!$B$194:$B$263,L$43)</f>
        <v>10202.474773800001</v>
      </c>
      <c r="M80" s="68">
        <f>SUMIFS(input_districts!$C$194:$C$263,input_districts!$A$194:$A$263,$A80,input_districts!$B$194:$B$263,M$43)</f>
        <v>887.72582548699995</v>
      </c>
      <c r="N80" s="68">
        <f>SUMIFS(input_districts!$C$194:$C$263,input_districts!$A$194:$A$263,$A80,input_districts!$B$194:$B$263,N$43)</f>
        <v>4.4981060606099996</v>
      </c>
      <c r="O80" s="68">
        <f>SUMIFS(input_districts!$C$194:$C$263,input_districts!$A$194:$A$263,$A80,input_districts!$B$194:$B$263,O$43)</f>
        <v>4596.8184432560001</v>
      </c>
      <c r="P80" s="69">
        <f si="80" t="shared"/>
        <v>15691.517148603609</v>
      </c>
    </row>
    <row r="81" spans="1:32" x14ac:dyDescent="0.25">
      <c r="A81">
        <v>6</v>
      </c>
      <c r="C81" s="68">
        <f>SUMIFS(input_districts!$C$64:$C$123,input_districts!$A$64:$A$123,$A81,input_districts!$B$64:$B$123,C$43)</f>
        <v>34386.837718499999</v>
      </c>
      <c r="D81" s="68">
        <f>SUMIFS(input_districts!$C$64:$C$123,input_districts!$A$64:$A$123,$A81,input_districts!$B$64:$B$123,D$43)</f>
        <v>5679.9718636199996</v>
      </c>
      <c r="E81" s="68">
        <f>SUMIFS(input_districts!$C$64:$C$123,input_districts!$A$64:$A$123,$A81,input_districts!$B$64:$B$123,E$43)</f>
        <v>224.93159591400001</v>
      </c>
      <c r="F81" s="68">
        <f>SUMIFS(input_districts!$C$64:$C$123,input_districts!$A$64:$A$123,$A81,input_districts!$B$64:$B$123,F$43)</f>
        <v>11339.397291331999</v>
      </c>
      <c r="G81" s="69">
        <f si="79" t="shared"/>
        <v>51631.138469365993</v>
      </c>
      <c r="J81">
        <v>6</v>
      </c>
      <c r="L81" s="68">
        <f>SUMIFS(input_districts!$C$194:$C$263,input_districts!$A$194:$A$263,$A81,input_districts!$B$194:$B$263,L$43)</f>
        <v>22507.9167686</v>
      </c>
      <c r="M81" s="68">
        <f>SUMIFS(input_districts!$C$194:$C$263,input_districts!$A$194:$A$263,$A81,input_districts!$B$194:$B$263,M$43)</f>
        <v>3072.2479792099998</v>
      </c>
      <c r="N81" s="68">
        <f>SUMIFS(input_districts!$C$194:$C$263,input_districts!$A$194:$A$263,$A81,input_districts!$B$194:$B$263,N$43)</f>
        <v>2.25</v>
      </c>
      <c r="O81" s="68">
        <f>SUMIFS(input_districts!$C$194:$C$263,input_districts!$A$194:$A$263,$A81,input_districts!$B$194:$B$263,O$43)</f>
        <v>4908.6629169939997</v>
      </c>
      <c r="P81" s="69">
        <f si="80" t="shared"/>
        <v>30491.077664803997</v>
      </c>
    </row>
    <row r="82" spans="1:32" x14ac:dyDescent="0.25">
      <c r="A82">
        <v>7</v>
      </c>
      <c r="C82" s="68">
        <f>SUMIFS(input_districts!$C$64:$C$123,input_districts!$A$64:$A$123,$A82,input_districts!$B$64:$B$123,C$43)</f>
        <v>14148.001643400001</v>
      </c>
      <c r="D82" s="68">
        <f>SUMIFS(input_districts!$C$64:$C$123,input_districts!$A$64:$A$123,$A82,input_districts!$B$64:$B$123,D$43)</f>
        <v>7375.1267244999999</v>
      </c>
      <c r="E82" s="68">
        <f>SUMIFS(input_districts!$C$64:$C$123,input_districts!$A$64:$A$123,$A82,input_districts!$B$64:$B$123,E$43)</f>
        <v>109.70487695</v>
      </c>
      <c r="F82" s="68">
        <f>SUMIFS(input_districts!$C$64:$C$123,input_districts!$A$64:$A$123,$A82,input_districts!$B$64:$B$123,F$43)</f>
        <v>11903.540527924</v>
      </c>
      <c r="G82" s="69">
        <f si="79" t="shared"/>
        <v>33536.373772774001</v>
      </c>
      <c r="J82">
        <v>7</v>
      </c>
      <c r="L82" s="68">
        <f>SUMIFS(input_districts!$C$194:$C$263,input_districts!$A$194:$A$263,$A82,input_districts!$B$194:$B$263,L$43)</f>
        <v>15784.0795602</v>
      </c>
      <c r="M82" s="68">
        <f>SUMIFS(input_districts!$C$194:$C$263,input_districts!$A$194:$A$263,$A82,input_districts!$B$194:$B$263,M$43)</f>
        <v>2219.9521363899999</v>
      </c>
      <c r="N82" s="68">
        <f>SUMIFS(input_districts!$C$194:$C$263,input_districts!$A$194:$A$263,$A82,input_districts!$B$194:$B$263,N$43)</f>
        <v>3.9987531172100002</v>
      </c>
      <c r="O82" s="68">
        <f>SUMIFS(input_districts!$C$194:$C$263,input_districts!$A$194:$A$263,$A82,input_districts!$B$194:$B$263,O$43)</f>
        <v>5643.9529973230001</v>
      </c>
      <c r="P82" s="69">
        <f si="80" t="shared"/>
        <v>23651.983447030208</v>
      </c>
    </row>
    <row r="83" spans="1:32" x14ac:dyDescent="0.25">
      <c r="A83">
        <v>8</v>
      </c>
      <c r="C83" s="68">
        <f>SUMIFS(input_districts!$C$64:$C$123,input_districts!$A$64:$A$123,$A83,input_districts!$B$64:$B$123,C$43)</f>
        <v>4441.6721790000001</v>
      </c>
      <c r="D83" s="68">
        <f>SUMIFS(input_districts!$C$64:$C$123,input_districts!$A$64:$A$123,$A83,input_districts!$B$64:$B$123,D$43)</f>
        <v>4337.4319655400004</v>
      </c>
      <c r="E83" s="68">
        <f>SUMIFS(input_districts!$C$64:$C$123,input_districts!$A$64:$A$123,$A83,input_districts!$B$64:$B$123,E$43)</f>
        <v>0</v>
      </c>
      <c r="F83" s="68">
        <f>SUMIFS(input_districts!$C$64:$C$123,input_districts!$A$64:$A$123,$A83,input_districts!$B$64:$B$123,F$43)</f>
        <v>3561.2565511409998</v>
      </c>
      <c r="G83" s="69">
        <f si="79" t="shared"/>
        <v>12340.360695681</v>
      </c>
      <c r="J83">
        <v>8</v>
      </c>
      <c r="L83" s="68">
        <f>SUMIFS(input_districts!$C$194:$C$263,input_districts!$A$194:$A$263,$A83,input_districts!$B$194:$B$263,L$43)</f>
        <v>4472.6855118100002</v>
      </c>
      <c r="M83" s="68">
        <f>SUMIFS(input_districts!$C$194:$C$263,input_districts!$A$194:$A$263,$A83,input_districts!$B$194:$B$263,M$43)</f>
        <v>2452.4660772100001</v>
      </c>
      <c r="N83" s="68">
        <f>SUMIFS(input_districts!$C$194:$C$263,input_districts!$A$194:$A$263,$A83,input_districts!$B$194:$B$263,N$43)</f>
        <v>0.25</v>
      </c>
      <c r="O83" s="68">
        <f>SUMIFS(input_districts!$C$194:$C$263,input_districts!$A$194:$A$263,$A83,input_districts!$B$194:$B$263,O$43)</f>
        <v>2448.0126140560001</v>
      </c>
      <c r="P83" s="69">
        <f si="80" t="shared"/>
        <v>9373.4142030760013</v>
      </c>
    </row>
    <row r="84" spans="1:32" x14ac:dyDescent="0.25">
      <c r="A84">
        <v>9</v>
      </c>
      <c r="C84" s="68">
        <f>SUMIFS(input_districts!$C$64:$C$123,input_districts!$A$64:$A$123,$A84,input_districts!$B$64:$B$123,C$43)</f>
        <v>5661.3926351199998</v>
      </c>
      <c r="D84" s="68">
        <f>SUMIFS(input_districts!$C$64:$C$123,input_districts!$A$64:$A$123,$A84,input_districts!$B$64:$B$123,D$43)</f>
        <v>441.02087499999999</v>
      </c>
      <c r="E84" s="68">
        <f>SUMIFS(input_districts!$C$64:$C$123,input_districts!$A$64:$A$123,$A84,input_districts!$B$64:$B$123,E$43)</f>
        <v>0</v>
      </c>
      <c r="F84" s="68">
        <f>SUMIFS(input_districts!$C$64:$C$123,input_districts!$A$64:$A$123,$A84,input_districts!$B$64:$B$123,F$43)</f>
        <v>6422.8295302770002</v>
      </c>
      <c r="G84" s="69">
        <f si="79" t="shared"/>
        <v>12525.243040396999</v>
      </c>
      <c r="J84">
        <v>9</v>
      </c>
      <c r="L84" s="68">
        <f>SUMIFS(input_districts!$C$194:$C$263,input_districts!$A$194:$A$263,$A84,input_districts!$B$194:$B$263,L$43)</f>
        <v>4285.8611361100002</v>
      </c>
      <c r="M84" s="68">
        <f>SUMIFS(input_districts!$C$194:$C$263,input_districts!$A$194:$A$263,$A84,input_districts!$B$194:$B$263,M$43)</f>
        <v>79.735493621200007</v>
      </c>
      <c r="N84" s="68">
        <f>SUMIFS(input_districts!$C$194:$C$263,input_districts!$A$194:$A$263,$A84,input_districts!$B$194:$B$263,N$43)</f>
        <v>0</v>
      </c>
      <c r="O84" s="68">
        <f>SUMIFS(input_districts!$C$194:$C$263,input_districts!$A$194:$A$263,$A84,input_districts!$B$194:$B$263,O$43)</f>
        <v>840.42960019387999</v>
      </c>
      <c r="P84" s="69">
        <f si="80" t="shared"/>
        <v>5206.0262299250799</v>
      </c>
    </row>
    <row r="85" spans="1:32" x14ac:dyDescent="0.25">
      <c r="A85">
        <v>10</v>
      </c>
      <c r="C85" s="68">
        <f>SUMIFS(input_districts!$C$64:$C$123,input_districts!$A$64:$A$123,$A85,input_districts!$B$64:$B$123,C$43)</f>
        <v>2596.9359239599999</v>
      </c>
      <c r="D85" s="68">
        <f>SUMIFS(input_districts!$C$64:$C$123,input_districts!$A$64:$A$123,$A85,input_districts!$B$64:$B$123,D$43)</f>
        <v>2351.8459761899999</v>
      </c>
      <c r="E85" s="68">
        <f>SUMIFS(input_districts!$C$64:$C$123,input_districts!$A$64:$A$123,$A85,input_districts!$B$64:$B$123,E$43)</f>
        <v>0</v>
      </c>
      <c r="F85" s="68">
        <f>SUMIFS(input_districts!$C$64:$C$123,input_districts!$A$64:$A$123,$A85,input_districts!$B$64:$B$123,F$43)</f>
        <v>4176.3431718299998</v>
      </c>
      <c r="G85" s="69">
        <f si="79" t="shared"/>
        <v>9125.1250719799991</v>
      </c>
      <c r="J85">
        <v>10</v>
      </c>
      <c r="L85" s="68">
        <f>SUMIFS(input_districts!$C$194:$C$263,input_districts!$A$194:$A$263,$A85,input_districts!$B$194:$B$263,L$43)</f>
        <v>5069.5348162500004</v>
      </c>
      <c r="M85" s="68">
        <f>SUMIFS(input_districts!$C$194:$C$263,input_districts!$A$194:$A$263,$A85,input_districts!$B$194:$B$263,M$43)</f>
        <v>1888.5080622400001</v>
      </c>
      <c r="N85" s="68">
        <f>SUMIFS(input_districts!$C$194:$C$263,input_districts!$A$194:$A$263,$A85,input_districts!$B$194:$B$263,N$43)</f>
        <v>0</v>
      </c>
      <c r="O85" s="68">
        <f>SUMIFS(input_districts!$C$194:$C$263,input_districts!$A$194:$A$263,$A85,input_districts!$B$194:$B$263,O$43)</f>
        <v>4085.240657288</v>
      </c>
      <c r="P85" s="69">
        <f si="80" t="shared"/>
        <v>11043.283535778</v>
      </c>
    </row>
    <row r="86" spans="1:32" x14ac:dyDescent="0.25">
      <c r="A86">
        <v>11</v>
      </c>
      <c r="B86" s="6"/>
      <c r="C86" s="71">
        <f>SUMIFS(input_districts!$C$64:$C$123,input_districts!$A$64:$A$123,$A86,input_districts!$B$64:$B$123,C$43)</f>
        <v>0</v>
      </c>
      <c r="D86" s="71">
        <f>SUMIFS(input_districts!$C$64:$C$123,input_districts!$A$64:$A$123,$A86,input_districts!$B$64:$B$123,D$43)</f>
        <v>0</v>
      </c>
      <c r="E86" s="71">
        <f>SUMIFS(input_districts!$C$64:$C$123,input_districts!$A$64:$A$123,$A86,input_districts!$B$64:$B$123,E$43)</f>
        <v>0</v>
      </c>
      <c r="F86" s="71">
        <f>SUMIFS(input_districts!$C$64:$C$123,input_districts!$A$64:$A$123,$A86,input_districts!$B$64:$B$123,F$43)</f>
        <v>0</v>
      </c>
      <c r="G86" s="72">
        <f si="79" t="shared"/>
        <v>0</v>
      </c>
      <c r="J86">
        <v>11</v>
      </c>
      <c r="K86" s="6"/>
      <c r="L86" s="71">
        <f>SUMIFS(input_districts!$C$194:$C$263,input_districts!$A$194:$A$263,$A86,input_districts!$B$194:$B$263,L$43)</f>
        <v>795.480141033</v>
      </c>
      <c r="M86" s="71">
        <f>SUMIFS(input_districts!$C$194:$C$263,input_districts!$A$194:$A$263,$A86,input_districts!$B$194:$B$263,M$43)</f>
        <v>0</v>
      </c>
      <c r="N86" s="71">
        <f>SUMIFS(input_districts!$C$194:$C$263,input_districts!$A$194:$A$263,$A86,input_districts!$B$194:$B$263,N$43)</f>
        <v>0</v>
      </c>
      <c r="O86" s="71">
        <f>SUMIFS(input_districts!$C$194:$C$263,input_districts!$A$194:$A$263,$A86,input_districts!$B$194:$B$263,O$43)</f>
        <v>247.22442020809999</v>
      </c>
      <c r="P86" s="72">
        <f si="80" t="shared"/>
        <v>1042.7045612411</v>
      </c>
    </row>
    <row ht="15.75" r="87" spans="1:32" thickBot="1" x14ac:dyDescent="0.3">
      <c r="B87" s="1" t="s">
        <v>19</v>
      </c>
      <c r="C87" s="70">
        <f>SUM(C76:C86)</f>
        <v>240987.69507849999</v>
      </c>
      <c r="D87" s="70">
        <f ref="D87" si="81" t="shared">SUM(D76:D86)</f>
        <v>55519.655209900004</v>
      </c>
      <c r="E87" s="70">
        <f ref="E87" si="82" t="shared">SUM(E76:E86)</f>
        <v>2929.6354747270002</v>
      </c>
      <c r="F87" s="70">
        <f ref="F87" si="83" t="shared">SUM(F76:F86)</f>
        <v>110723.017727489</v>
      </c>
      <c r="G87" s="70">
        <f ref="G87" si="84" t="shared">SUM(G76:G86)</f>
        <v>410160.00349061604</v>
      </c>
      <c r="K87" s="1" t="s">
        <v>19</v>
      </c>
      <c r="L87" s="70">
        <f>SUM(L76:L86)</f>
        <v>160956.04210645304</v>
      </c>
      <c r="M87" s="70">
        <f ref="M87" si="85" t="shared">SUM(M76:M86)</f>
        <v>27472.982377833199</v>
      </c>
      <c r="N87" s="70">
        <f ref="N87" si="86" t="shared">SUM(N76:N86)</f>
        <v>18.74451175998</v>
      </c>
      <c r="O87" s="70">
        <f ref="O87" si="87" t="shared">SUM(O76:O86)</f>
        <v>48014.748887762078</v>
      </c>
      <c r="P87" s="70">
        <f ref="P87" si="88" t="shared">SUM(P76:P86)</f>
        <v>236462.51788380824</v>
      </c>
      <c r="X87" s="59"/>
      <c r="Y87" s="59"/>
      <c r="Z87" s="59"/>
      <c r="AA87" s="59"/>
    </row>
    <row r="88" spans="1:32" x14ac:dyDescent="0.25">
      <c r="Z88" t="s">
        <v>295</v>
      </c>
      <c r="AA88" s="80">
        <v>0</v>
      </c>
      <c r="AD88" s="80">
        <v>1</v>
      </c>
      <c r="AE88" s="80">
        <v>0</v>
      </c>
      <c r="AF88" s="80">
        <v>0</v>
      </c>
    </row>
    <row ht="15.75" r="89" spans="1:32" thickBot="1" x14ac:dyDescent="0.3">
      <c r="B89" t="s">
        <v>217</v>
      </c>
      <c r="K89" t="s">
        <v>293</v>
      </c>
      <c r="R89" s="36" t="s">
        <v>218</v>
      </c>
      <c r="S89" s="86" t="s">
        <v>287</v>
      </c>
      <c r="T89" s="86"/>
      <c r="V89" s="86" t="s">
        <v>288</v>
      </c>
      <c r="W89" s="86"/>
      <c r="Z89" t="s">
        <v>219</v>
      </c>
      <c r="AA89" s="86" t="s">
        <v>284</v>
      </c>
      <c r="AB89" s="86"/>
      <c r="AD89" s="86" t="s">
        <v>285</v>
      </c>
      <c r="AE89" s="86"/>
    </row>
    <row r="90" spans="1:32" x14ac:dyDescent="0.25">
      <c r="B90" s="2" t="s">
        <v>285</v>
      </c>
      <c r="C90" s="2" t="s">
        <v>227</v>
      </c>
      <c r="D90" s="2" t="s">
        <v>196</v>
      </c>
      <c r="E90" s="2" t="s">
        <v>197</v>
      </c>
      <c r="F90" s="2" t="s">
        <v>198</v>
      </c>
      <c r="G90" s="2" t="s">
        <v>19</v>
      </c>
      <c r="K90" s="2" t="str">
        <f>B90</f>
        <v>Destination District</v>
      </c>
      <c r="L90" s="2" t="s">
        <v>227</v>
      </c>
      <c r="M90" s="2" t="s">
        <v>196</v>
      </c>
      <c r="N90" s="2" t="s">
        <v>197</v>
      </c>
      <c r="O90" s="2" t="s">
        <v>198</v>
      </c>
      <c r="P90" s="2" t="s">
        <v>19</v>
      </c>
      <c r="R90" s="6" t="s">
        <v>278</v>
      </c>
      <c r="S90" s="6" t="s">
        <v>195</v>
      </c>
      <c r="T90" s="88" t="s">
        <v>196</v>
      </c>
      <c r="U90" s="6" t="s">
        <v>286</v>
      </c>
      <c r="V90" s="6" t="s">
        <v>195</v>
      </c>
      <c r="W90" s="88" t="s">
        <v>196</v>
      </c>
      <c r="X90" s="6" t="s">
        <v>286</v>
      </c>
      <c r="Z90" s="6" t="s">
        <v>278</v>
      </c>
      <c r="AA90" s="79" t="s">
        <v>195</v>
      </c>
      <c r="AB90" s="88" t="s">
        <v>196</v>
      </c>
      <c r="AC90" s="79" t="s">
        <v>286</v>
      </c>
      <c r="AD90" s="79" t="s">
        <v>195</v>
      </c>
      <c r="AE90" s="88" t="s">
        <v>196</v>
      </c>
      <c r="AF90" s="79" t="s">
        <v>286</v>
      </c>
    </row>
    <row r="91" spans="1:32" x14ac:dyDescent="0.25">
      <c r="A91">
        <f>A76</f>
        <v>1</v>
      </c>
      <c r="C91" s="73">
        <f>C76/C$87</f>
        <v>1.2541950982333173E-2</v>
      </c>
      <c r="D91" s="73">
        <f ref="D91:G91" si="89" t="shared">D76/D$87</f>
        <v>1.2007470552178897E-2</v>
      </c>
      <c r="E91" s="73">
        <f si="89" t="shared"/>
        <v>0</v>
      </c>
      <c r="F91" s="73">
        <f si="89" t="shared"/>
        <v>1.9010072141417367E-2</v>
      </c>
      <c r="G91" s="73">
        <f si="89" t="shared"/>
        <v>1.4126094668973637E-2</v>
      </c>
      <c r="J91">
        <v>1</v>
      </c>
      <c r="L91" s="73">
        <f>L76/L$87</f>
        <v>1.8420465996977518E-2</v>
      </c>
      <c r="M91" s="73">
        <f ref="M91:P91" si="90" t="shared">M76/M$87</f>
        <v>4.2427962589547327E-3</v>
      </c>
      <c r="N91" s="73">
        <f si="90" t="shared"/>
        <v>0</v>
      </c>
      <c r="O91" s="73">
        <f si="90" t="shared"/>
        <v>1.1383607886780217E-2</v>
      </c>
      <c r="P91" s="73">
        <f si="90" t="shared"/>
        <v>1.5342933307460688E-2</v>
      </c>
      <c r="R91">
        <v>1</v>
      </c>
      <c r="S91" s="44">
        <f ref="S91:T91" si="91" t="shared">C60/L60</f>
        <v>1.1008287483506591</v>
      </c>
      <c r="T91" s="44">
        <f si="91" t="shared"/>
        <v>1.159310739017819</v>
      </c>
      <c r="U91" s="44">
        <f ref="U91:U101" si="92" t="shared">F60/O60</f>
        <v>5.7788265825521501</v>
      </c>
      <c r="V91" s="44">
        <f>C91/L91</f>
        <v>0.68087045052992101</v>
      </c>
      <c r="W91" s="44">
        <f>D91/M91</f>
        <v>2.8300841754624089</v>
      </c>
      <c r="X91" s="44">
        <f ref="X91:X101" si="93" t="shared">F91/O91</f>
        <v>1.6699514187847038</v>
      </c>
      <c r="Z91">
        <f ref="Z91:Z101" si="94" t="shared">R91</f>
        <v>1</v>
      </c>
      <c r="AA91" s="77">
        <f>$AA$88*IF(S91&gt;0,LN(S91),0)</f>
        <v>0</v>
      </c>
      <c r="AB91" s="77">
        <f>$AA$88*IF(T91&gt;0,LN(T91),0)</f>
        <v>0</v>
      </c>
      <c r="AC91" s="77">
        <f>$AA$88*IF(U91&gt;0,LN(U91),0)</f>
        <v>0</v>
      </c>
      <c r="AD91" s="55">
        <f>$AD$88*IF(V91&gt;0,LN(V91),0)</f>
        <v>-0.38438322509989337</v>
      </c>
      <c r="AE91" s="55">
        <f>$AD$88*IF(W91&gt;0,LN(W91),0)</f>
        <v>1.0403064551924526</v>
      </c>
      <c r="AF91" s="55">
        <f>$AD$88*IF(X91&gt;0,LN(X91),0)</f>
        <v>0.51279453545744391</v>
      </c>
    </row>
    <row r="92" spans="1:32" x14ac:dyDescent="0.25">
      <c r="A92">
        <f ref="A92:A101" si="95" t="shared">A77</f>
        <v>2</v>
      </c>
      <c r="C92" s="73">
        <f ref="C92:G92" si="96" t="shared">C77/C$87</f>
        <v>1.5112398705725106E-2</v>
      </c>
      <c r="D92" s="73">
        <f si="96" t="shared"/>
        <v>8.8646223017833189E-2</v>
      </c>
      <c r="E92" s="73">
        <f si="96" t="shared"/>
        <v>0</v>
      </c>
      <c r="F92" s="73">
        <f si="96" t="shared"/>
        <v>7.3541269035322029E-2</v>
      </c>
      <c r="G92" s="73">
        <f si="96" t="shared"/>
        <v>4.0730985375789376E-2</v>
      </c>
      <c r="J92">
        <v>2</v>
      </c>
      <c r="L92" s="73">
        <f ref="L92:P92" si="97" t="shared">L77/L$87</f>
        <v>4.415620222581914E-2</v>
      </c>
      <c r="M92" s="73">
        <f si="97" t="shared"/>
        <v>0.14957860116474572</v>
      </c>
      <c r="N92" s="73">
        <f si="97" t="shared"/>
        <v>0</v>
      </c>
      <c r="O92" s="73">
        <f si="97" t="shared"/>
        <v>1.4943407841803298E-2</v>
      </c>
      <c r="P92" s="73">
        <f si="97" t="shared"/>
        <v>5.0469232504475443E-2</v>
      </c>
      <c r="R92">
        <v>2</v>
      </c>
      <c r="S92" s="44">
        <f ref="S92:S101" si="98" t="shared">C61/L61</f>
        <v>0.95756930332054224</v>
      </c>
      <c r="T92" s="44">
        <f ref="T92:T101" si="99" t="shared">D61/M61</f>
        <v>1.1391703859380593</v>
      </c>
      <c r="U92" s="44">
        <f si="92" t="shared"/>
        <v>30.878948471828725</v>
      </c>
      <c r="V92" s="44">
        <f ref="V92:V101" si="100" t="shared">C92/L92</f>
        <v>0.34224860707990284</v>
      </c>
      <c r="W92" s="44">
        <f ref="W92:W101" si="101" t="shared">D92/M92</f>
        <v>0.59263973808792558</v>
      </c>
      <c r="X92" s="44">
        <f si="93" t="shared"/>
        <v>4.9213184712522322</v>
      </c>
      <c r="Z92">
        <f si="94" t="shared"/>
        <v>2</v>
      </c>
      <c r="AA92" s="77">
        <f ref="AA92:AA101" si="102" t="shared">$AA$88*IF(S92&gt;0,LN(S92),0)</f>
        <v>0</v>
      </c>
      <c r="AB92" s="77">
        <f ref="AB92:AB101" si="103" t="shared">$AA$88*IF(T92&gt;0,LN(T92),0)</f>
        <v>0</v>
      </c>
      <c r="AC92" s="77">
        <f ref="AC92:AC101" si="104" t="shared">$AA$88*IF(U92&gt;0,LN(U92),0)</f>
        <v>0</v>
      </c>
      <c r="AD92" s="55">
        <f ref="AD92:AD101" si="105" t="shared">$AD$88*IF(V92&gt;0,LN(V92),0)</f>
        <v>-1.0722178847125756</v>
      </c>
      <c r="AE92" s="55">
        <f ref="AE92:AE101" si="106" t="shared">$AD$88*IF(W92&gt;0,LN(W92),0)</f>
        <v>-0.52316858890574514</v>
      </c>
      <c r="AF92" s="55">
        <f ref="AF92:AF101" si="107" t="shared">$AD$88*IF(X92&gt;0,LN(X92),0)</f>
        <v>1.5935764765653002</v>
      </c>
    </row>
    <row r="93" spans="1:32" x14ac:dyDescent="0.25">
      <c r="A93">
        <f si="95" t="shared"/>
        <v>3</v>
      </c>
      <c r="C93" s="73">
        <f ref="C93:G93" si="108" t="shared">C78/C$87</f>
        <v>0.14634701347142126</v>
      </c>
      <c r="D93" s="73">
        <f si="108" t="shared"/>
        <v>0.35290558946061745</v>
      </c>
      <c r="E93" s="73">
        <f si="108" t="shared"/>
        <v>6.1575708264459135E-2</v>
      </c>
      <c r="F93" s="73">
        <f si="108" t="shared"/>
        <v>0.14769215602258726</v>
      </c>
      <c r="G93" s="73">
        <f si="108" t="shared"/>
        <v>0.17406461158528447</v>
      </c>
      <c r="J93">
        <v>3</v>
      </c>
      <c r="L93" s="73">
        <f ref="L93:P93" si="109" t="shared">L78/L$87</f>
        <v>8.6797259996367004E-2</v>
      </c>
      <c r="M93" s="73">
        <f si="109" t="shared"/>
        <v>0.29972579067513117</v>
      </c>
      <c r="N93" s="73">
        <f si="109" t="shared"/>
        <v>0.16004684669381866</v>
      </c>
      <c r="O93" s="73">
        <f si="109" t="shared"/>
        <v>0.12616042411095357</v>
      </c>
      <c r="P93" s="73">
        <f si="109" t="shared"/>
        <v>0.11953465663953532</v>
      </c>
      <c r="R93">
        <v>3</v>
      </c>
      <c r="S93" s="44">
        <f si="98" t="shared"/>
        <v>0.81418891437229424</v>
      </c>
      <c r="T93" s="44">
        <f si="99" t="shared"/>
        <v>0.7885840235952869</v>
      </c>
      <c r="U93" s="44">
        <f si="92" t="shared"/>
        <v>0.75548083076274641</v>
      </c>
      <c r="V93" s="44">
        <f si="100" t="shared"/>
        <v>1.6860787250374814</v>
      </c>
      <c r="W93" s="44">
        <f si="101" t="shared"/>
        <v>1.1774281708147269</v>
      </c>
      <c r="X93" s="44">
        <f si="93" t="shared"/>
        <v>1.1706694636084711</v>
      </c>
      <c r="Z93">
        <f si="94" t="shared"/>
        <v>3</v>
      </c>
      <c r="AA93" s="77">
        <f si="102" t="shared"/>
        <v>0</v>
      </c>
      <c r="AB93" s="77">
        <f si="103" t="shared"/>
        <v>0</v>
      </c>
      <c r="AC93" s="77">
        <f si="104" t="shared"/>
        <v>0</v>
      </c>
      <c r="AD93" s="55">
        <f si="105" t="shared"/>
        <v>0.52240555186885085</v>
      </c>
      <c r="AE93" s="55">
        <f si="106" t="shared"/>
        <v>0.16333254361654301</v>
      </c>
      <c r="AF93" s="55">
        <f si="107" t="shared"/>
        <v>0.15757577628909702</v>
      </c>
    </row>
    <row r="94" spans="1:32" x14ac:dyDescent="0.25">
      <c r="A94">
        <f si="95" t="shared"/>
        <v>4</v>
      </c>
      <c r="C94" s="73">
        <f ref="C94:G94" si="110" t="shared">C79/C$87</f>
        <v>0.4788998338666477</v>
      </c>
      <c r="D94" s="73">
        <f si="110" t="shared"/>
        <v>0.1419234950355916</v>
      </c>
      <c r="E94" s="73">
        <f si="110" t="shared"/>
        <v>0</v>
      </c>
      <c r="F94" s="73">
        <f si="110" t="shared"/>
        <v>0.32440025992032334</v>
      </c>
      <c r="G94" s="73">
        <f si="110" t="shared"/>
        <v>0.38815848698704836</v>
      </c>
      <c r="J94">
        <v>4</v>
      </c>
      <c r="L94" s="73">
        <f ref="L94:P94" si="111" t="shared">L79/L$87</f>
        <v>0.45848153416815035</v>
      </c>
      <c r="M94" s="73">
        <f si="111" t="shared"/>
        <v>0.1605960662312331</v>
      </c>
      <c r="N94" s="73">
        <f si="111" t="shared"/>
        <v>0.25328227499082456</v>
      </c>
      <c r="O94" s="73">
        <f si="111" t="shared"/>
        <v>0.3732761603711755</v>
      </c>
      <c r="P94" s="73">
        <f si="111" t="shared"/>
        <v>0.40655464398780722</v>
      </c>
      <c r="R94">
        <v>4</v>
      </c>
      <c r="S94" s="44">
        <f si="98" t="shared"/>
        <v>0.84327341448039173</v>
      </c>
      <c r="T94" s="44">
        <f si="99" t="shared"/>
        <v>0.70598905507326815</v>
      </c>
      <c r="U94" s="44">
        <f si="92" t="shared"/>
        <v>0.92213725109970102</v>
      </c>
      <c r="V94" s="44">
        <f si="100" t="shared"/>
        <v>1.0445346173767793</v>
      </c>
      <c r="W94" s="44">
        <f si="101" t="shared"/>
        <v>0.88372958545101643</v>
      </c>
      <c r="X94" s="44">
        <f si="93" t="shared"/>
        <v>0.86906235747214255</v>
      </c>
      <c r="Z94">
        <f si="94" t="shared"/>
        <v>4</v>
      </c>
      <c r="AA94" s="77">
        <f si="102" t="shared"/>
        <v>0</v>
      </c>
      <c r="AB94" s="77">
        <f si="103" t="shared"/>
        <v>0</v>
      </c>
      <c r="AC94" s="77">
        <f si="104" t="shared"/>
        <v>0</v>
      </c>
      <c r="AD94" s="55">
        <f si="105" t="shared"/>
        <v>4.357144399929741E-2</v>
      </c>
      <c r="AE94" s="55">
        <f si="106" t="shared"/>
        <v>-0.12360416195214589</v>
      </c>
      <c r="AF94" s="55">
        <f si="107" t="shared"/>
        <v>-0.14034039855571614</v>
      </c>
    </row>
    <row r="95" spans="1:32" x14ac:dyDescent="0.25">
      <c r="A95">
        <f si="95" t="shared"/>
        <v>5</v>
      </c>
      <c r="C95" s="73">
        <f ref="C95:G95" si="112" t="shared">C80/C$87</f>
        <v>9.2999355779968568E-2</v>
      </c>
      <c r="D95" s="73">
        <f si="112" t="shared"/>
        <v>4.0945126096075667E-2</v>
      </c>
      <c r="E95" s="73">
        <f si="112" t="shared"/>
        <v>0.82419968060190363</v>
      </c>
      <c r="F95" s="73">
        <f si="112" t="shared"/>
        <v>9.7546022023102391E-2</v>
      </c>
      <c r="G95" s="73">
        <f si="112" t="shared"/>
        <v>9.2403339921726696E-2</v>
      </c>
      <c r="J95">
        <v>5</v>
      </c>
      <c r="L95" s="73">
        <f ref="L95:P95" si="113" t="shared">L80/L$87</f>
        <v>6.3386715032743485E-2</v>
      </c>
      <c r="M95" s="73">
        <f si="113" t="shared"/>
        <v>3.2312684996415562E-2</v>
      </c>
      <c r="N95" s="73">
        <f si="113" t="shared"/>
        <v>0.23996923036499507</v>
      </c>
      <c r="O95" s="73">
        <f si="113" t="shared"/>
        <v>9.5737633742527598E-2</v>
      </c>
      <c r="P95" s="73">
        <f si="113" t="shared"/>
        <v>6.6359426809089586E-2</v>
      </c>
      <c r="R95">
        <v>5</v>
      </c>
      <c r="S95" s="44">
        <f si="98" t="shared"/>
        <v>0.98089162649940842</v>
      </c>
      <c r="T95" s="44">
        <f si="99" t="shared"/>
        <v>0.70479466311944095</v>
      </c>
      <c r="U95" s="44">
        <f si="92" t="shared"/>
        <v>0.68801048596817305</v>
      </c>
      <c r="V95" s="44">
        <f si="100" t="shared"/>
        <v>1.4671742451384042</v>
      </c>
      <c r="W95" s="44">
        <f si="101" t="shared"/>
        <v>1.2671533207660612</v>
      </c>
      <c r="X95" s="44">
        <f si="93" t="shared"/>
        <v>1.0188890012201282</v>
      </c>
      <c r="Z95">
        <f si="94" t="shared"/>
        <v>5</v>
      </c>
      <c r="AA95" s="77">
        <f si="102" t="shared"/>
        <v>0</v>
      </c>
      <c r="AB95" s="77">
        <f si="103" t="shared"/>
        <v>0</v>
      </c>
      <c r="AC95" s="77">
        <f si="104" t="shared"/>
        <v>0</v>
      </c>
      <c r="AD95" s="55">
        <f si="105" t="shared"/>
        <v>0.38333826861626996</v>
      </c>
      <c r="AE95" s="55">
        <f si="106" t="shared"/>
        <v>0.23677290488286173</v>
      </c>
      <c r="AF95" s="55">
        <f si="107" t="shared"/>
        <v>1.871281918091066E-2</v>
      </c>
    </row>
    <row r="96" spans="1:32" x14ac:dyDescent="0.25">
      <c r="A96">
        <f si="95" t="shared"/>
        <v>6</v>
      </c>
      <c r="C96" s="73">
        <f ref="C96:G96" si="114" t="shared">C81/C$87</f>
        <v>0.14269125943255623</v>
      </c>
      <c r="D96" s="73">
        <f si="114" t="shared"/>
        <v>0.10230560406303052</v>
      </c>
      <c r="E96" s="73">
        <f si="114" t="shared"/>
        <v>7.6778014826216698E-2</v>
      </c>
      <c r="F96" s="73">
        <f si="114" t="shared"/>
        <v>0.10241228539525966</v>
      </c>
      <c r="G96" s="73">
        <f si="114" t="shared"/>
        <v>0.12588048086104342</v>
      </c>
      <c r="J96">
        <v>6</v>
      </c>
      <c r="L96" s="73">
        <f ref="L96:P96" si="115" t="shared">L81/L$87</f>
        <v>0.13983890554238235</v>
      </c>
      <c r="M96" s="73">
        <f si="115" t="shared"/>
        <v>0.11182797473378311</v>
      </c>
      <c r="N96" s="73">
        <f si="115" t="shared"/>
        <v>0.12003513502036399</v>
      </c>
      <c r="O96" s="73">
        <f si="115" t="shared"/>
        <v>0.10223239797563768</v>
      </c>
      <c r="P96" s="73">
        <f si="115" t="shared"/>
        <v>0.12894676897497365</v>
      </c>
      <c r="R96">
        <v>6</v>
      </c>
      <c r="S96" s="44">
        <f si="98" t="shared"/>
        <v>1.3941859554347844</v>
      </c>
      <c r="T96" s="44">
        <f si="99" t="shared"/>
        <v>1.7700071233743213</v>
      </c>
      <c r="U96" s="44">
        <f si="92" t="shared"/>
        <v>1.2840378132434134</v>
      </c>
      <c r="V96" s="44">
        <f si="100" t="shared"/>
        <v>1.0203974271617093</v>
      </c>
      <c r="W96" s="44">
        <f si="101" t="shared"/>
        <v>0.91484804501358907</v>
      </c>
      <c r="X96" s="44">
        <f si="93" t="shared"/>
        <v>1.0017595930760115</v>
      </c>
      <c r="Z96">
        <f si="94" t="shared"/>
        <v>6</v>
      </c>
      <c r="AA96" s="77">
        <f si="102" t="shared"/>
        <v>0</v>
      </c>
      <c r="AB96" s="77">
        <f si="103" t="shared"/>
        <v>0</v>
      </c>
      <c r="AC96" s="77">
        <f si="104" t="shared"/>
        <v>0</v>
      </c>
      <c r="AD96" s="55">
        <f si="105" t="shared"/>
        <v>2.0192185880644475E-2</v>
      </c>
      <c r="AE96" s="55">
        <f si="106" t="shared"/>
        <v>-8.8997298521334978E-2</v>
      </c>
      <c r="AF96" s="55">
        <f si="107" t="shared"/>
        <v>1.7580468057201801E-3</v>
      </c>
    </row>
    <row r="97" spans="1:32" x14ac:dyDescent="0.25">
      <c r="A97">
        <f si="95" t="shared"/>
        <v>7</v>
      </c>
      <c r="C97" s="73">
        <f ref="C97:G97" si="116" t="shared">C82/C$87</f>
        <v>5.8708398529607048E-2</v>
      </c>
      <c r="D97" s="73">
        <f si="116" t="shared"/>
        <v>0.13283812186183933</v>
      </c>
      <c r="E97" s="73">
        <f si="116" t="shared"/>
        <v>3.7446596307420435E-2</v>
      </c>
      <c r="F97" s="73">
        <f si="116" t="shared"/>
        <v>0.10750737084515653</v>
      </c>
      <c r="G97" s="73">
        <f si="116" t="shared"/>
        <v>8.1764124944818689E-2</v>
      </c>
      <c r="J97">
        <v>7</v>
      </c>
      <c r="L97" s="73">
        <f ref="L97:P97" si="117" t="shared">L82/L$87</f>
        <v>9.8064535842405542E-2</v>
      </c>
      <c r="M97" s="73">
        <f si="117" t="shared"/>
        <v>8.0804919752039239E-2</v>
      </c>
      <c r="N97" s="73">
        <f si="117" t="shared"/>
        <v>0.2133292757055128</v>
      </c>
      <c r="O97" s="73">
        <f si="117" t="shared"/>
        <v>0.11754623585590639</v>
      </c>
      <c r="P97" s="73">
        <f si="117" t="shared"/>
        <v>0.10002423918471595</v>
      </c>
      <c r="R97">
        <v>7</v>
      </c>
      <c r="S97" s="44">
        <f si="98" t="shared"/>
        <v>0.69034538231302756</v>
      </c>
      <c r="T97" s="44">
        <f si="99" t="shared"/>
        <v>1.0292930644835974</v>
      </c>
      <c r="U97" s="44">
        <f si="92" t="shared"/>
        <v>1.0615523217642744</v>
      </c>
      <c r="V97" s="44">
        <f si="100" t="shared"/>
        <v>0.59867104886882128</v>
      </c>
      <c r="W97" s="44">
        <f si="101" t="shared"/>
        <v>1.6439360656439108</v>
      </c>
      <c r="X97" s="44">
        <f si="93" t="shared"/>
        <v>0.91459645698007752</v>
      </c>
      <c r="Z97">
        <f si="94" t="shared"/>
        <v>7</v>
      </c>
      <c r="AA97" s="77">
        <f si="102" t="shared"/>
        <v>0</v>
      </c>
      <c r="AB97" s="77">
        <f si="103" t="shared"/>
        <v>0</v>
      </c>
      <c r="AC97" s="77">
        <f si="104" t="shared"/>
        <v>0</v>
      </c>
      <c r="AD97" s="55">
        <f si="105" t="shared"/>
        <v>-0.51304299887810856</v>
      </c>
      <c r="AE97" s="55">
        <f si="106" t="shared"/>
        <v>0.49709340636676835</v>
      </c>
      <c r="AF97" s="55">
        <f si="107" t="shared"/>
        <v>-8.9272341612091105E-2</v>
      </c>
    </row>
    <row r="98" spans="1:32" x14ac:dyDescent="0.25">
      <c r="A98">
        <f si="95" t="shared"/>
        <v>8</v>
      </c>
      <c r="C98" s="73">
        <f ref="C98:G98" si="118" t="shared">C83/C$87</f>
        <v>1.8431116068200734E-2</v>
      </c>
      <c r="D98" s="73">
        <f si="118" t="shared"/>
        <v>7.812425976245202E-2</v>
      </c>
      <c r="E98" s="73">
        <f si="118" t="shared"/>
        <v>0</v>
      </c>
      <c r="F98" s="73">
        <f si="118" t="shared"/>
        <v>3.216365146320297E-2</v>
      </c>
      <c r="G98" s="73">
        <f si="118" t="shared"/>
        <v>3.0086699314072277E-2</v>
      </c>
      <c r="J98">
        <v>8</v>
      </c>
      <c r="L98" s="73">
        <f ref="L98:P98" si="119" t="shared">L83/L$87</f>
        <v>2.7788242387644307E-2</v>
      </c>
      <c r="M98" s="73">
        <f si="119" t="shared"/>
        <v>8.926828705677009E-2</v>
      </c>
      <c r="N98" s="73">
        <f si="119" t="shared"/>
        <v>1.3337237224484887E-2</v>
      </c>
      <c r="O98" s="73">
        <f si="119" t="shared"/>
        <v>5.0984596832494226E-2</v>
      </c>
      <c r="P98" s="73">
        <f si="119" t="shared"/>
        <v>3.9640169135312438E-2</v>
      </c>
      <c r="R98">
        <v>8</v>
      </c>
      <c r="S98" s="44">
        <f si="98" t="shared"/>
        <v>2.1460819629142933</v>
      </c>
      <c r="T98" s="44">
        <f si="99" t="shared"/>
        <v>1.2269806550896034</v>
      </c>
      <c r="U98" s="44">
        <f si="92" t="shared"/>
        <v>1.0841364418728869</v>
      </c>
      <c r="V98" s="44">
        <f si="100" t="shared"/>
        <v>0.66327030731515058</v>
      </c>
      <c r="W98" s="44">
        <f si="101" t="shared"/>
        <v>0.87516252790611926</v>
      </c>
      <c r="X98" s="44">
        <f si="93" t="shared"/>
        <v>0.63085036386330662</v>
      </c>
      <c r="Z98">
        <f si="94" t="shared"/>
        <v>8</v>
      </c>
      <c r="AA98" s="77">
        <f si="102" t="shared"/>
        <v>0</v>
      </c>
      <c r="AB98" s="77">
        <f si="103" t="shared"/>
        <v>0</v>
      </c>
      <c r="AC98" s="77">
        <f si="104" t="shared"/>
        <v>0</v>
      </c>
      <c r="AD98" s="55">
        <f si="105" t="shared"/>
        <v>-0.41057266854359692</v>
      </c>
      <c r="AE98" s="55">
        <f si="106" t="shared"/>
        <v>-0.13334566369478612</v>
      </c>
      <c r="AF98" s="55">
        <f si="107" t="shared"/>
        <v>-0.46068658582594774</v>
      </c>
    </row>
    <row r="99" spans="1:32" x14ac:dyDescent="0.25">
      <c r="A99">
        <f si="95" t="shared"/>
        <v>9</v>
      </c>
      <c r="C99" s="73">
        <f ref="C99:G99" si="120" t="shared">C84/C$87</f>
        <v>2.349245521965693E-2</v>
      </c>
      <c r="D99" s="73">
        <f si="120" t="shared"/>
        <v>7.9435088948707887E-3</v>
      </c>
      <c r="E99" s="73">
        <f si="120" t="shared"/>
        <v>0</v>
      </c>
      <c r="F99" s="73">
        <f si="120" t="shared"/>
        <v>5.8008078736481332E-2</v>
      </c>
      <c r="G99" s="73">
        <f si="120" t="shared"/>
        <v>3.0537455953292533E-2</v>
      </c>
      <c r="J99">
        <v>9</v>
      </c>
      <c r="L99" s="73">
        <f ref="L99:P99" si="121" t="shared">L84/L$87</f>
        <v>2.6627525627620857E-2</v>
      </c>
      <c r="M99" s="73">
        <f si="121" t="shared"/>
        <v>2.9023239095270284E-3</v>
      </c>
      <c r="N99" s="73">
        <f si="121" t="shared"/>
        <v>0</v>
      </c>
      <c r="O99" s="73">
        <f si="121" t="shared"/>
        <v>1.7503571707902597E-2</v>
      </c>
      <c r="P99" s="73">
        <f si="121" t="shared"/>
        <v>2.2016285187672707E-2</v>
      </c>
      <c r="R99">
        <v>9</v>
      </c>
      <c r="S99" s="44">
        <f si="98" t="shared"/>
        <v>2.2716200014956751</v>
      </c>
      <c r="T99" s="44">
        <f si="99" t="shared"/>
        <v>1.3169757178338237</v>
      </c>
      <c r="U99" s="44">
        <f si="92" t="shared"/>
        <v>4.4155799104965361</v>
      </c>
      <c r="V99" s="44">
        <f si="100" t="shared"/>
        <v>0.88226204523067275</v>
      </c>
      <c r="W99" s="44">
        <f si="101" t="shared"/>
        <v>2.7369477503168445</v>
      </c>
      <c r="X99" s="44">
        <f si="93" t="shared"/>
        <v>3.31407096245914</v>
      </c>
      <c r="Z99">
        <f si="94" t="shared"/>
        <v>9</v>
      </c>
      <c r="AA99" s="77">
        <f si="102" t="shared"/>
        <v>0</v>
      </c>
      <c r="AB99" s="77">
        <f si="103" t="shared"/>
        <v>0</v>
      </c>
      <c r="AC99" s="77">
        <f si="104" t="shared"/>
        <v>0</v>
      </c>
      <c r="AD99" s="55">
        <f si="105" t="shared"/>
        <v>-0.12526616366569485</v>
      </c>
      <c r="AE99" s="55">
        <f si="106" t="shared"/>
        <v>1.0068433397472931</v>
      </c>
      <c r="AF99" s="55">
        <f si="107" t="shared"/>
        <v>1.1981773317078697</v>
      </c>
    </row>
    <row r="100" spans="1:32" x14ac:dyDescent="0.25">
      <c r="A100">
        <f si="95" t="shared"/>
        <v>10</v>
      </c>
      <c r="C100" s="73">
        <f ref="C100:G100" si="122" t="shared">C85/C$87</f>
        <v>1.0776217943883263E-2</v>
      </c>
      <c r="D100" s="73">
        <f si="122" t="shared"/>
        <v>4.2360601255510492E-2</v>
      </c>
      <c r="E100" s="73">
        <f si="122" t="shared"/>
        <v>0</v>
      </c>
      <c r="F100" s="73">
        <f si="122" t="shared"/>
        <v>3.7718834417147094E-2</v>
      </c>
      <c r="G100" s="73">
        <f si="122" t="shared"/>
        <v>2.2247720387950431E-2</v>
      </c>
      <c r="J100">
        <v>10</v>
      </c>
      <c r="L100" s="73">
        <f ref="L100:P100" si="123" t="shared">L85/L$87</f>
        <v>3.1496393362462988E-2</v>
      </c>
      <c r="M100" s="73">
        <f si="123" t="shared"/>
        <v>6.8740555221400296E-2</v>
      </c>
      <c r="N100" s="73">
        <f si="123" t="shared"/>
        <v>0</v>
      </c>
      <c r="O100" s="73">
        <f si="123" t="shared"/>
        <v>8.5083037023426761E-2</v>
      </c>
      <c r="P100" s="73">
        <f si="123" t="shared"/>
        <v>4.6702046627129269E-2</v>
      </c>
      <c r="R100">
        <v>10</v>
      </c>
      <c r="S100" s="44">
        <f si="98" t="shared"/>
        <v>1.9617602237170515</v>
      </c>
      <c r="T100" s="44">
        <f si="99" t="shared"/>
        <v>0.68808161894805497</v>
      </c>
      <c r="U100" s="44">
        <f si="92" t="shared"/>
        <v>0.33312156552929845</v>
      </c>
      <c r="V100" s="44">
        <f si="100" t="shared"/>
        <v>0.34214133090953286</v>
      </c>
      <c r="W100" s="44">
        <f si="101" t="shared"/>
        <v>0.61623885811039825</v>
      </c>
      <c r="X100" s="44">
        <f si="93" t="shared"/>
        <v>0.44331791314362218</v>
      </c>
      <c r="Z100">
        <f si="94" t="shared"/>
        <v>10</v>
      </c>
      <c r="AA100" s="77">
        <f si="102" t="shared"/>
        <v>0</v>
      </c>
      <c r="AB100" s="77">
        <f si="103" t="shared"/>
        <v>0</v>
      </c>
      <c r="AC100" s="77">
        <f si="104" t="shared"/>
        <v>0</v>
      </c>
      <c r="AD100" s="55">
        <f si="105" t="shared"/>
        <v>-1.0725313790095949</v>
      </c>
      <c r="AE100" s="55">
        <f si="106" t="shared"/>
        <v>-0.48412063393408339</v>
      </c>
      <c r="AF100" s="55">
        <f si="107" t="shared"/>
        <v>-0.8134681294221755</v>
      </c>
    </row>
    <row r="101" spans="1:32" x14ac:dyDescent="0.25">
      <c r="A101">
        <f si="95" t="shared"/>
        <v>11</v>
      </c>
      <c r="B101" s="6"/>
      <c r="C101" s="74">
        <f ref="C101:G101" si="124" t="shared">C86/C$87</f>
        <v>0</v>
      </c>
      <c r="D101" s="74">
        <f si="124" t="shared"/>
        <v>0</v>
      </c>
      <c r="E101" s="74">
        <f si="124" t="shared"/>
        <v>0</v>
      </c>
      <c r="F101" s="74">
        <f si="124" t="shared"/>
        <v>0</v>
      </c>
      <c r="G101" s="74">
        <f si="124" t="shared"/>
        <v>0</v>
      </c>
      <c r="J101">
        <v>11</v>
      </c>
      <c r="K101" s="6"/>
      <c r="L101" s="74">
        <f ref="L101:P101" si="125" t="shared">L86/L$87</f>
        <v>4.9422198174262121E-3</v>
      </c>
      <c r="M101" s="74">
        <f si="125" t="shared"/>
        <v>0</v>
      </c>
      <c r="N101" s="74">
        <f si="125" t="shared"/>
        <v>0</v>
      </c>
      <c r="O101" s="74">
        <f si="125" t="shared"/>
        <v>5.1489266513921545E-3</v>
      </c>
      <c r="P101" s="74">
        <f si="125" t="shared"/>
        <v>4.4095976418277796E-3</v>
      </c>
      <c r="R101" s="6">
        <v>11</v>
      </c>
      <c r="S101" s="46">
        <f si="98" t="shared"/>
        <v>0</v>
      </c>
      <c r="T101" s="46">
        <f si="99" t="shared"/>
        <v>2.6790171754347978</v>
      </c>
      <c r="U101" s="46">
        <f si="92" t="shared"/>
        <v>0</v>
      </c>
      <c r="V101" s="46">
        <f si="100" t="shared"/>
        <v>0</v>
      </c>
      <c r="W101" s="46" t="e">
        <f si="101" t="shared"/>
        <v>#DIV/0!</v>
      </c>
      <c r="X101" s="46">
        <f si="93" t="shared"/>
        <v>0</v>
      </c>
      <c r="Z101" s="6">
        <f si="94" t="shared"/>
        <v>11</v>
      </c>
      <c r="AA101" s="78">
        <f si="102" t="shared"/>
        <v>0</v>
      </c>
      <c r="AB101" s="78">
        <f si="103" t="shared"/>
        <v>0</v>
      </c>
      <c r="AC101" s="78">
        <f si="104" t="shared"/>
        <v>0</v>
      </c>
      <c r="AD101" s="87">
        <f si="105" t="shared"/>
        <v>0</v>
      </c>
      <c r="AE101" s="87" t="e">
        <f si="106" t="shared"/>
        <v>#DIV/0!</v>
      </c>
      <c r="AF101" s="87">
        <f si="107" t="shared"/>
        <v>0</v>
      </c>
    </row>
    <row ht="15.75" r="102" spans="1:32" thickBot="1" x14ac:dyDescent="0.3">
      <c r="B102" s="75" t="s">
        <v>19</v>
      </c>
      <c r="C102" s="76">
        <f ref="C102:G102" si="126" t="shared">C87/C$87</f>
        <v>1</v>
      </c>
      <c r="D102" s="76">
        <f si="126" t="shared"/>
        <v>1</v>
      </c>
      <c r="E102" s="76">
        <f si="126" t="shared"/>
        <v>1</v>
      </c>
      <c r="F102" s="76">
        <f si="126" t="shared"/>
        <v>1</v>
      </c>
      <c r="G102" s="76">
        <f si="126" t="shared"/>
        <v>1</v>
      </c>
      <c r="K102" s="75" t="s">
        <v>19</v>
      </c>
      <c r="L102" s="76">
        <f ref="L102:P102" si="127" t="shared">L87/L$87</f>
        <v>1</v>
      </c>
      <c r="M102" s="76">
        <f si="127" t="shared"/>
        <v>1</v>
      </c>
      <c r="N102" s="76">
        <f si="127" t="shared"/>
        <v>1</v>
      </c>
      <c r="O102" s="76">
        <f si="127" t="shared"/>
        <v>1</v>
      </c>
      <c r="P102" s="76">
        <f si="127" t="shared"/>
        <v>1</v>
      </c>
    </row>
    <row r="104" spans="1:32" x14ac:dyDescent="0.25">
      <c r="R104" t="s">
        <v>220</v>
      </c>
      <c r="S104" t="s">
        <v>296</v>
      </c>
      <c r="Z104" t="s">
        <v>221</v>
      </c>
    </row>
    <row r="105" spans="1:32" x14ac:dyDescent="0.25">
      <c r="R105" s="6" t="s">
        <v>278</v>
      </c>
      <c r="S105" s="79" t="s">
        <v>195</v>
      </c>
      <c r="T105" s="79" t="s">
        <v>196</v>
      </c>
      <c r="U105" s="79" t="s">
        <v>286</v>
      </c>
      <c r="V105" s="6" t="s">
        <v>289</v>
      </c>
      <c r="Z105" s="6" t="s">
        <v>278</v>
      </c>
      <c r="AA105" s="79" t="s">
        <v>195</v>
      </c>
      <c r="AB105" s="88" t="s">
        <v>196</v>
      </c>
      <c r="AC105" s="79" t="s">
        <v>286</v>
      </c>
    </row>
    <row r="106" spans="1:32" x14ac:dyDescent="0.25">
      <c r="R106">
        <v>201</v>
      </c>
      <c r="S106" s="55">
        <f>VLOOKUP($R106,$AG:$AJ, 3, FALSE)</f>
        <v>-0.8</v>
      </c>
      <c r="T106" s="89">
        <f>VLOOKUP($R106,$AL:$AO, 3, FALSE)</f>
        <v>0</v>
      </c>
      <c r="U106" s="89">
        <f>VLOOKUP($R106,$AV:$AY, 3, FALSE)</f>
        <v>-4.5</v>
      </c>
      <c r="V106">
        <v>0</v>
      </c>
      <c r="Z106">
        <f ref="Z106:Z116" si="128" t="shared">R106</f>
        <v>201</v>
      </c>
      <c r="AA106" s="77">
        <f ref="AA106:AA116" si="129" t="shared">IF(V106=1,S106+AA91,S106)</f>
        <v>-0.8</v>
      </c>
      <c r="AB106" s="77">
        <f>IF(V106=1,T106+AB91,T106)</f>
        <v>0</v>
      </c>
      <c r="AC106" s="77">
        <f ref="AC106:AC116" si="130" t="shared">IF(V106=1,U106+AC91,U106)</f>
        <v>-4.5</v>
      </c>
    </row>
    <row r="107" spans="1:32" x14ac:dyDescent="0.25">
      <c r="R107">
        <v>202</v>
      </c>
      <c r="S107" s="55">
        <f ref="S107:S116" si="131" t="shared">VLOOKUP($R107,$AG$3:$AJ$49, 3, FALSE)</f>
        <v>-0.8</v>
      </c>
      <c r="T107" s="90">
        <f ref="T107:T116" si="132" t="shared">VLOOKUP($R107,$AL:$AO, 3, FALSE)</f>
        <v>0</v>
      </c>
      <c r="U107" s="90">
        <f ref="U107:U116" si="133" t="shared">VLOOKUP($R107,$AV:$AY, 3, FALSE)</f>
        <v>-4.5</v>
      </c>
      <c r="V107">
        <v>0</v>
      </c>
      <c r="Z107">
        <f si="128" t="shared"/>
        <v>202</v>
      </c>
      <c r="AA107" s="77">
        <f si="129" t="shared"/>
        <v>-0.8</v>
      </c>
      <c r="AB107" s="77">
        <f ref="AB107:AB116" si="134" t="shared">IF(V107=1,T107+AB92,T107)</f>
        <v>0</v>
      </c>
      <c r="AC107" s="77">
        <f si="130" t="shared"/>
        <v>-4.5</v>
      </c>
    </row>
    <row r="108" spans="1:32" x14ac:dyDescent="0.25">
      <c r="R108">
        <v>203</v>
      </c>
      <c r="S108" s="55">
        <f si="131" t="shared"/>
        <v>0</v>
      </c>
      <c r="T108" s="90">
        <f si="132" t="shared"/>
        <v>0</v>
      </c>
      <c r="U108" s="90">
        <f si="133" t="shared"/>
        <v>0</v>
      </c>
      <c r="V108">
        <v>0</v>
      </c>
      <c r="Z108">
        <f si="128" t="shared"/>
        <v>203</v>
      </c>
      <c r="AA108" s="77">
        <f si="129" t="shared"/>
        <v>0</v>
      </c>
      <c r="AB108" s="77">
        <f si="134" t="shared"/>
        <v>0</v>
      </c>
      <c r="AC108" s="77">
        <f si="130" t="shared"/>
        <v>0</v>
      </c>
    </row>
    <row r="109" spans="1:32" x14ac:dyDescent="0.25">
      <c r="R109">
        <v>204</v>
      </c>
      <c r="S109" s="55">
        <f si="131" t="shared"/>
        <v>0</v>
      </c>
      <c r="T109" s="90">
        <f si="132" t="shared"/>
        <v>0</v>
      </c>
      <c r="U109" s="90">
        <f si="133" t="shared"/>
        <v>0</v>
      </c>
      <c r="V109">
        <v>0</v>
      </c>
      <c r="Z109">
        <f si="128" t="shared"/>
        <v>204</v>
      </c>
      <c r="AA109" s="77">
        <f si="129" t="shared"/>
        <v>0</v>
      </c>
      <c r="AB109" s="77">
        <f si="134" t="shared"/>
        <v>0</v>
      </c>
      <c r="AC109" s="77">
        <f si="130" t="shared"/>
        <v>0</v>
      </c>
    </row>
    <row r="110" spans="1:32" x14ac:dyDescent="0.25">
      <c r="R110">
        <v>205</v>
      </c>
      <c r="S110" s="55">
        <f si="131" t="shared"/>
        <v>0</v>
      </c>
      <c r="T110" s="90">
        <f si="132" t="shared"/>
        <v>0</v>
      </c>
      <c r="U110" s="90">
        <f si="133" t="shared"/>
        <v>0</v>
      </c>
      <c r="V110">
        <v>0</v>
      </c>
      <c r="Z110">
        <f si="128" t="shared"/>
        <v>205</v>
      </c>
      <c r="AA110" s="77">
        <f si="129" t="shared"/>
        <v>0</v>
      </c>
      <c r="AB110" s="77">
        <f si="134" t="shared"/>
        <v>0</v>
      </c>
      <c r="AC110" s="77">
        <f si="130" t="shared"/>
        <v>0</v>
      </c>
    </row>
    <row r="111" spans="1:32" x14ac:dyDescent="0.25">
      <c r="Q111" t="s">
        <v>290</v>
      </c>
      <c r="R111">
        <v>206</v>
      </c>
      <c r="S111" s="55">
        <f si="131" t="shared"/>
        <v>-1.2715533000000001</v>
      </c>
      <c r="T111" s="90">
        <f si="132" t="shared"/>
        <v>0</v>
      </c>
      <c r="U111" s="90">
        <f si="133" t="shared"/>
        <v>-0.74473319999999998</v>
      </c>
      <c r="V111">
        <v>1</v>
      </c>
      <c r="Z111">
        <f si="128" t="shared"/>
        <v>206</v>
      </c>
      <c r="AA111" s="77">
        <f si="129" t="shared"/>
        <v>-1.2715533000000001</v>
      </c>
      <c r="AB111" s="77">
        <f si="134" t="shared"/>
        <v>0</v>
      </c>
      <c r="AC111" s="77">
        <f si="130" t="shared"/>
        <v>-0.74473319999999998</v>
      </c>
    </row>
    <row r="112" spans="1:32" x14ac:dyDescent="0.25">
      <c r="R112">
        <v>207</v>
      </c>
      <c r="S112" s="55">
        <f si="131" t="shared"/>
        <v>0</v>
      </c>
      <c r="T112" s="90">
        <f si="132" t="shared"/>
        <v>0</v>
      </c>
      <c r="U112" s="90">
        <f si="133" t="shared"/>
        <v>0</v>
      </c>
      <c r="V112">
        <v>0</v>
      </c>
      <c r="Z112">
        <f si="128" t="shared"/>
        <v>207</v>
      </c>
      <c r="AA112" s="77">
        <f si="129" t="shared"/>
        <v>0</v>
      </c>
      <c r="AB112" s="77">
        <f si="134" t="shared"/>
        <v>0</v>
      </c>
      <c r="AC112" s="77">
        <f si="130" t="shared"/>
        <v>0</v>
      </c>
    </row>
    <row r="113" spans="18:29" x14ac:dyDescent="0.25">
      <c r="R113">
        <v>208</v>
      </c>
      <c r="S113" s="55">
        <f si="131" t="shared"/>
        <v>-2</v>
      </c>
      <c r="T113" s="90">
        <f si="132" t="shared"/>
        <v>0</v>
      </c>
      <c r="U113" s="90">
        <f si="133" t="shared"/>
        <v>0</v>
      </c>
      <c r="V113">
        <v>0</v>
      </c>
      <c r="Z113">
        <f si="128" t="shared"/>
        <v>208</v>
      </c>
      <c r="AA113" s="77">
        <f si="129" t="shared"/>
        <v>-2</v>
      </c>
      <c r="AB113" s="77">
        <f si="134" t="shared"/>
        <v>0</v>
      </c>
      <c r="AC113" s="77">
        <f si="130" t="shared"/>
        <v>0</v>
      </c>
    </row>
    <row r="114" spans="18:29" x14ac:dyDescent="0.25">
      <c r="R114">
        <v>209</v>
      </c>
      <c r="S114" s="55">
        <f si="131" t="shared"/>
        <v>-1</v>
      </c>
      <c r="T114" s="90">
        <f si="132" t="shared"/>
        <v>0</v>
      </c>
      <c r="U114" s="90">
        <f si="133" t="shared"/>
        <v>0</v>
      </c>
      <c r="V114">
        <v>0</v>
      </c>
      <c r="Z114">
        <f si="128" t="shared"/>
        <v>209</v>
      </c>
      <c r="AA114" s="77">
        <f si="129" t="shared"/>
        <v>-1</v>
      </c>
      <c r="AB114" s="77">
        <f si="134" t="shared"/>
        <v>0</v>
      </c>
      <c r="AC114" s="77">
        <f si="130" t="shared"/>
        <v>0</v>
      </c>
    </row>
    <row r="115" spans="18:29" x14ac:dyDescent="0.25">
      <c r="R115">
        <v>210</v>
      </c>
      <c r="S115" s="55">
        <f si="131" t="shared"/>
        <v>-2</v>
      </c>
      <c r="T115" s="90">
        <f si="132" t="shared"/>
        <v>0</v>
      </c>
      <c r="U115" s="90">
        <f si="133" t="shared"/>
        <v>0</v>
      </c>
      <c r="V115">
        <v>0</v>
      </c>
      <c r="Z115">
        <f si="128" t="shared"/>
        <v>210</v>
      </c>
      <c r="AA115" s="77">
        <f si="129" t="shared"/>
        <v>-2</v>
      </c>
      <c r="AB115" s="77">
        <f si="134" t="shared"/>
        <v>0</v>
      </c>
      <c r="AC115" s="77">
        <f si="130" t="shared"/>
        <v>0</v>
      </c>
    </row>
    <row r="116" spans="18:29" x14ac:dyDescent="0.25">
      <c r="R116" s="6">
        <v>211</v>
      </c>
      <c r="S116" s="87">
        <f si="131" t="shared"/>
        <v>0</v>
      </c>
      <c r="T116" s="87">
        <f si="132" t="shared"/>
        <v>0</v>
      </c>
      <c r="U116" s="87">
        <f si="133" t="shared"/>
        <v>0</v>
      </c>
      <c r="V116" s="6">
        <v>0</v>
      </c>
      <c r="Z116" s="6">
        <f si="128" t="shared"/>
        <v>211</v>
      </c>
      <c r="AA116" s="78">
        <f si="129" t="shared"/>
        <v>0</v>
      </c>
      <c r="AB116" s="78">
        <f si="134" t="shared"/>
        <v>0</v>
      </c>
      <c r="AC116" s="78">
        <f si="130" t="shared"/>
        <v>0</v>
      </c>
    </row>
    <row r="118" spans="18:29" x14ac:dyDescent="0.25">
      <c r="R118" t="s">
        <v>220</v>
      </c>
      <c r="S118" t="s">
        <v>297</v>
      </c>
      <c r="Z118" t="s">
        <v>221</v>
      </c>
    </row>
    <row r="119" spans="18:29" x14ac:dyDescent="0.25">
      <c r="R119" s="6" t="s">
        <v>278</v>
      </c>
      <c r="S119" s="79" t="s">
        <v>195</v>
      </c>
      <c r="T119" s="79" t="str">
        <f>T105</f>
        <v>school</v>
      </c>
      <c r="U119" s="79" t="s">
        <v>286</v>
      </c>
      <c r="V119" s="6" t="s">
        <v>289</v>
      </c>
      <c r="Z119" s="6" t="s">
        <v>278</v>
      </c>
      <c r="AA119" s="79" t="s">
        <v>195</v>
      </c>
      <c r="AB119" s="88" t="str">
        <f>AB105</f>
        <v>school</v>
      </c>
      <c r="AC119" s="79" t="s">
        <v>286</v>
      </c>
    </row>
    <row r="120" spans="18:29" x14ac:dyDescent="0.25">
      <c r="R120">
        <v>301</v>
      </c>
      <c r="S120" s="77">
        <f>VLOOKUP($R120,$AG:$AJ, 3, FALSE)</f>
        <v>0</v>
      </c>
      <c r="T120" s="85">
        <f>VLOOKUP($R120,$AL:$AO, 3, FALSE)</f>
        <v>0</v>
      </c>
      <c r="U120" s="77">
        <f>VLOOKUP($R120,$AV:$AY, 3, FALSE)</f>
        <v>0</v>
      </c>
      <c r="V120">
        <v>0</v>
      </c>
      <c r="Z120">
        <f ref="Z120:Z130" si="135" t="shared">R120</f>
        <v>301</v>
      </c>
      <c r="AA120" s="77">
        <f>IF(AND($V120&gt;0,AD$88&gt;0),S120+($V120*AD91),S120)</f>
        <v>0</v>
      </c>
      <c r="AB120" s="77">
        <f ref="AB120:AC120" si="136" t="shared">IF(AND($V120&gt;0,AE$88&gt;0),T120+($V120*AE91),T120)</f>
        <v>0</v>
      </c>
      <c r="AC120" s="77">
        <f si="136" t="shared"/>
        <v>0</v>
      </c>
    </row>
    <row r="121" spans="18:29" x14ac:dyDescent="0.25">
      <c r="R121">
        <v>302</v>
      </c>
      <c r="S121" s="77">
        <f ref="S121:S130" si="137" t="shared">VLOOKUP($R121,$AG:$AJ, 3, FALSE)</f>
        <v>0</v>
      </c>
      <c r="T121" s="85">
        <f ref="T121:T130" si="138" t="shared">VLOOKUP($R121,$AL:$AO, 3, FALSE)</f>
        <v>0</v>
      </c>
      <c r="U121" s="77">
        <f ref="U121:U130" si="139" t="shared">VLOOKUP($R121,$AV:$AY, 3, FALSE)</f>
        <v>0</v>
      </c>
      <c r="V121">
        <v>0</v>
      </c>
      <c r="Z121">
        <f si="135" t="shared"/>
        <v>302</v>
      </c>
      <c r="AA121" s="77">
        <f ref="AA121:AA130" si="140" t="shared">IF(AND($V121&gt;0,AD$88&gt;0),S121+($V121*AD92),S121)</f>
        <v>0</v>
      </c>
      <c r="AB121" s="77">
        <f ref="AB121:AB130" si="141" t="shared">IF(AND($V121&gt;0,AE$88&gt;0),T121+($V121*AE92),T121)</f>
        <v>0</v>
      </c>
      <c r="AC121" s="77">
        <f ref="AC121:AC130" si="142" t="shared">IF(AND($V121&gt;0,AF$88&gt;0),U121+($V121*AF92),U121)</f>
        <v>0</v>
      </c>
    </row>
    <row r="122" spans="18:29" x14ac:dyDescent="0.25">
      <c r="R122">
        <v>303</v>
      </c>
      <c r="S122" s="77">
        <f si="137" t="shared"/>
        <v>0</v>
      </c>
      <c r="T122" s="85">
        <f si="138" t="shared"/>
        <v>0</v>
      </c>
      <c r="U122" s="77">
        <f si="139" t="shared"/>
        <v>0</v>
      </c>
      <c r="V122">
        <v>2</v>
      </c>
      <c r="Z122">
        <f si="135" t="shared"/>
        <v>303</v>
      </c>
      <c r="AA122" s="77">
        <f si="140" t="shared"/>
        <v>1.0448111037377017</v>
      </c>
      <c r="AB122" s="77">
        <f si="141" t="shared"/>
        <v>0</v>
      </c>
      <c r="AC122" s="77">
        <f si="142" t="shared"/>
        <v>0</v>
      </c>
    </row>
    <row r="123" spans="18:29" x14ac:dyDescent="0.25">
      <c r="R123">
        <v>304</v>
      </c>
      <c r="S123" s="77">
        <f si="137" t="shared"/>
        <v>0</v>
      </c>
      <c r="T123" s="85">
        <f si="138" t="shared"/>
        <v>0</v>
      </c>
      <c r="U123" s="77">
        <f si="139" t="shared"/>
        <v>0</v>
      </c>
      <c r="V123">
        <v>2</v>
      </c>
      <c r="Z123">
        <f si="135" t="shared"/>
        <v>304</v>
      </c>
      <c r="AA123" s="77">
        <f si="140" t="shared"/>
        <v>8.714288799859482E-2</v>
      </c>
      <c r="AB123" s="77">
        <f si="141" t="shared"/>
        <v>0</v>
      </c>
      <c r="AC123" s="77">
        <f si="142" t="shared"/>
        <v>0</v>
      </c>
    </row>
    <row r="124" spans="18:29" x14ac:dyDescent="0.25">
      <c r="R124">
        <v>305</v>
      </c>
      <c r="S124" s="77">
        <f si="137" t="shared"/>
        <v>0</v>
      </c>
      <c r="T124" s="85">
        <f si="138" t="shared"/>
        <v>0</v>
      </c>
      <c r="U124" s="77">
        <f si="139" t="shared"/>
        <v>0</v>
      </c>
      <c r="V124">
        <v>2</v>
      </c>
      <c r="Z124">
        <f si="135" t="shared"/>
        <v>305</v>
      </c>
      <c r="AA124" s="77">
        <f si="140" t="shared"/>
        <v>0.76667653723253992</v>
      </c>
      <c r="AB124" s="77">
        <f si="141" t="shared"/>
        <v>0</v>
      </c>
      <c r="AC124" s="77">
        <f si="142" t="shared"/>
        <v>0</v>
      </c>
    </row>
    <row r="125" spans="18:29" x14ac:dyDescent="0.25">
      <c r="R125">
        <v>306</v>
      </c>
      <c r="S125" s="77">
        <f si="137" t="shared"/>
        <v>-1.4978495999999999</v>
      </c>
      <c r="T125" s="85">
        <f si="138" t="shared"/>
        <v>-1.063796</v>
      </c>
      <c r="U125" s="77">
        <f si="139" t="shared"/>
        <v>-0.255216</v>
      </c>
      <c r="V125">
        <v>5</v>
      </c>
      <c r="Z125">
        <f si="135" t="shared"/>
        <v>306</v>
      </c>
      <c r="AA125" s="77">
        <f si="140" t="shared"/>
        <v>-1.3968886705967776</v>
      </c>
      <c r="AB125" s="77">
        <f si="141" t="shared"/>
        <v>-1.063796</v>
      </c>
      <c r="AC125" s="77">
        <f si="142" t="shared"/>
        <v>-0.255216</v>
      </c>
    </row>
    <row r="126" spans="18:29" x14ac:dyDescent="0.25">
      <c r="R126">
        <v>307</v>
      </c>
      <c r="S126" s="77">
        <f si="137" t="shared"/>
        <v>0</v>
      </c>
      <c r="T126" s="85">
        <f si="138" t="shared"/>
        <v>0</v>
      </c>
      <c r="U126" s="77">
        <f si="139" t="shared"/>
        <v>0</v>
      </c>
      <c r="V126">
        <v>0</v>
      </c>
      <c r="Z126">
        <f si="135" t="shared"/>
        <v>307</v>
      </c>
      <c r="AA126" s="77">
        <f si="140" t="shared"/>
        <v>0</v>
      </c>
      <c r="AB126" s="77">
        <f si="141" t="shared"/>
        <v>0</v>
      </c>
      <c r="AC126" s="77">
        <f si="142" t="shared"/>
        <v>0</v>
      </c>
    </row>
    <row r="127" spans="18:29" x14ac:dyDescent="0.25">
      <c r="R127">
        <v>308</v>
      </c>
      <c r="S127" s="77">
        <f si="137" t="shared"/>
        <v>0</v>
      </c>
      <c r="T127" s="85">
        <f si="138" t="shared"/>
        <v>0</v>
      </c>
      <c r="U127" s="77">
        <f si="139" t="shared"/>
        <v>0</v>
      </c>
      <c r="V127">
        <v>0</v>
      </c>
      <c r="Z127">
        <f si="135" t="shared"/>
        <v>308</v>
      </c>
      <c r="AA127" s="77">
        <f si="140" t="shared"/>
        <v>0</v>
      </c>
      <c r="AB127" s="77">
        <f si="141" t="shared"/>
        <v>0</v>
      </c>
      <c r="AC127" s="77">
        <f si="142" t="shared"/>
        <v>0</v>
      </c>
    </row>
    <row r="128" spans="18:29" x14ac:dyDescent="0.25">
      <c r="R128">
        <v>309</v>
      </c>
      <c r="S128" s="77">
        <f si="137" t="shared"/>
        <v>0</v>
      </c>
      <c r="T128" s="85">
        <f si="138" t="shared"/>
        <v>0</v>
      </c>
      <c r="U128" s="77">
        <f si="139" t="shared"/>
        <v>0</v>
      </c>
      <c r="V128">
        <v>0</v>
      </c>
      <c r="Z128">
        <f si="135" t="shared"/>
        <v>309</v>
      </c>
      <c r="AA128" s="77">
        <f si="140" t="shared"/>
        <v>0</v>
      </c>
      <c r="AB128" s="77">
        <f si="141" t="shared"/>
        <v>0</v>
      </c>
      <c r="AC128" s="77">
        <f si="142" t="shared"/>
        <v>0</v>
      </c>
    </row>
    <row r="129" spans="18:29" x14ac:dyDescent="0.25">
      <c r="R129">
        <v>310</v>
      </c>
      <c r="S129" s="77">
        <f si="137" t="shared"/>
        <v>0</v>
      </c>
      <c r="T129" s="85">
        <f si="138" t="shared"/>
        <v>0</v>
      </c>
      <c r="U129" s="77">
        <f si="139" t="shared"/>
        <v>0</v>
      </c>
      <c r="V129">
        <v>0</v>
      </c>
      <c r="Z129">
        <f si="135" t="shared"/>
        <v>310</v>
      </c>
      <c r="AA129" s="77">
        <f si="140" t="shared"/>
        <v>0</v>
      </c>
      <c r="AB129" s="77">
        <f si="141" t="shared"/>
        <v>0</v>
      </c>
      <c r="AC129" s="77">
        <f si="142" t="shared"/>
        <v>0</v>
      </c>
    </row>
    <row r="130" spans="18:29" x14ac:dyDescent="0.25">
      <c r="R130" s="6">
        <v>311</v>
      </c>
      <c r="S130" s="78">
        <f si="137" t="shared"/>
        <v>0</v>
      </c>
      <c r="T130" s="78">
        <f si="138" t="shared"/>
        <v>0</v>
      </c>
      <c r="U130" s="78">
        <f si="139" t="shared"/>
        <v>0</v>
      </c>
      <c r="V130" s="6">
        <v>0</v>
      </c>
      <c r="Z130" s="6">
        <f si="135" t="shared"/>
        <v>311</v>
      </c>
      <c r="AA130" s="78">
        <f si="140" t="shared"/>
        <v>0</v>
      </c>
      <c r="AB130" s="78">
        <f si="141" t="shared"/>
        <v>0</v>
      </c>
      <c r="AC130" s="78">
        <f si="142" t="shared"/>
        <v>0</v>
      </c>
    </row>
  </sheetData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268"/>
  <sheetViews>
    <sheetView workbookViewId="0">
      <selection sqref="A1:C264"/>
    </sheetView>
  </sheetViews>
  <sheetFormatPr defaultRowHeight="15" x14ac:dyDescent="0.25"/>
  <sheetData>
    <row r="1" spans="1:3" x14ac:dyDescent="0.25">
      <c r="A1" t="s">
        <v>279</v>
      </c>
      <c r="B1" t="s">
        <v>280</v>
      </c>
      <c r="C1" t="s">
        <v>281</v>
      </c>
    </row>
    <row r="2" spans="1:3" x14ac:dyDescent="0.25">
      <c r="A2">
        <v>1</v>
      </c>
      <c r="B2">
        <v>1</v>
      </c>
      <c r="C2">
        <v>16557.145128</v>
      </c>
    </row>
    <row r="3" spans="1:3" x14ac:dyDescent="0.25">
      <c r="A3">
        <v>1</v>
      </c>
      <c r="B3">
        <v>2</v>
      </c>
      <c r="C3">
        <v>5480.2495798999998</v>
      </c>
    </row>
    <row r="4" spans="1:3" x14ac:dyDescent="0.25">
      <c r="A4">
        <v>1</v>
      </c>
      <c r="B4">
        <v>4</v>
      </c>
      <c r="C4">
        <v>417.88560630199999</v>
      </c>
    </row>
    <row r="5" spans="1:3" x14ac:dyDescent="0.25">
      <c r="A5">
        <v>1</v>
      </c>
      <c r="B5">
        <v>5</v>
      </c>
      <c r="C5">
        <v>1238.2460992700001</v>
      </c>
    </row>
    <row r="6" spans="1:3" x14ac:dyDescent="0.25">
      <c r="A6">
        <v>2</v>
      </c>
      <c r="B6">
        <v>1</v>
      </c>
      <c r="C6">
        <v>11810.610632</v>
      </c>
    </row>
    <row r="7" spans="1:3" x14ac:dyDescent="0.25">
      <c r="A7">
        <v>2</v>
      </c>
      <c r="B7">
        <v>2</v>
      </c>
      <c r="C7">
        <v>3130.50245442</v>
      </c>
    </row>
    <row r="8" spans="1:3" x14ac:dyDescent="0.25">
      <c r="A8">
        <v>2</v>
      </c>
      <c r="B8">
        <v>4</v>
      </c>
      <c r="C8">
        <v>3761.8637986399999</v>
      </c>
    </row>
    <row r="9" spans="1:3" x14ac:dyDescent="0.25">
      <c r="A9">
        <v>2</v>
      </c>
      <c r="B9">
        <v>5</v>
      </c>
      <c r="C9">
        <v>4992.9004586499996</v>
      </c>
    </row>
    <row r="10" spans="1:3" x14ac:dyDescent="0.25">
      <c r="A10">
        <v>2</v>
      </c>
      <c r="B10">
        <v>7</v>
      </c>
      <c r="C10">
        <v>1243.6090496500001</v>
      </c>
    </row>
    <row r="11" spans="1:3" x14ac:dyDescent="0.25">
      <c r="A11">
        <v>3</v>
      </c>
      <c r="B11">
        <v>1</v>
      </c>
      <c r="C11">
        <v>44736.176008199996</v>
      </c>
    </row>
    <row r="12" spans="1:3" x14ac:dyDescent="0.25">
      <c r="A12">
        <v>3</v>
      </c>
      <c r="B12">
        <v>2</v>
      </c>
      <c r="C12">
        <v>11191.9942933</v>
      </c>
    </row>
    <row r="13" spans="1:3" x14ac:dyDescent="0.25">
      <c r="A13">
        <v>3</v>
      </c>
      <c r="B13">
        <v>3</v>
      </c>
      <c r="C13">
        <v>180.394379313</v>
      </c>
    </row>
    <row r="14" spans="1:3" x14ac:dyDescent="0.25">
      <c r="A14">
        <v>3</v>
      </c>
      <c r="B14">
        <v>4</v>
      </c>
      <c r="C14">
        <v>4201.5848950500003</v>
      </c>
    </row>
    <row r="15" spans="1:3" x14ac:dyDescent="0.25">
      <c r="A15">
        <v>3</v>
      </c>
      <c r="B15">
        <v>5</v>
      </c>
      <c r="C15">
        <v>5997.5984329100002</v>
      </c>
    </row>
    <row r="16" spans="1:3" x14ac:dyDescent="0.25">
      <c r="A16">
        <v>3</v>
      </c>
      <c r="B16">
        <v>6</v>
      </c>
      <c r="C16">
        <v>1631.92095073</v>
      </c>
    </row>
    <row r="17" spans="1:3" x14ac:dyDescent="0.25">
      <c r="A17">
        <v>3</v>
      </c>
      <c r="B17">
        <v>7</v>
      </c>
      <c r="C17">
        <v>4671.4049205299998</v>
      </c>
    </row>
    <row r="18" spans="1:3" x14ac:dyDescent="0.25">
      <c r="A18">
        <v>4</v>
      </c>
      <c r="B18">
        <v>1</v>
      </c>
      <c r="C18">
        <v>32174.416863400002</v>
      </c>
    </row>
    <row r="19" spans="1:3" x14ac:dyDescent="0.25">
      <c r="A19">
        <v>4</v>
      </c>
      <c r="B19">
        <v>2</v>
      </c>
      <c r="C19">
        <v>4795.1704180799998</v>
      </c>
    </row>
    <row r="20" spans="1:3" x14ac:dyDescent="0.25">
      <c r="A20">
        <v>4</v>
      </c>
      <c r="B20">
        <v>3</v>
      </c>
      <c r="C20">
        <v>201.681665009</v>
      </c>
    </row>
    <row r="21" spans="1:3" x14ac:dyDescent="0.25">
      <c r="A21">
        <v>4</v>
      </c>
      <c r="B21">
        <v>4</v>
      </c>
      <c r="C21">
        <v>7895.7021125600004</v>
      </c>
    </row>
    <row r="22" spans="1:3" x14ac:dyDescent="0.25">
      <c r="A22">
        <v>4</v>
      </c>
      <c r="B22">
        <v>5</v>
      </c>
      <c r="C22">
        <v>7445.1637251800003</v>
      </c>
    </row>
    <row r="23" spans="1:3" x14ac:dyDescent="0.25">
      <c r="A23">
        <v>4</v>
      </c>
      <c r="B23">
        <v>6</v>
      </c>
      <c r="C23">
        <v>1699.2824902899999</v>
      </c>
    </row>
    <row r="24" spans="1:3" x14ac:dyDescent="0.25">
      <c r="A24">
        <v>4</v>
      </c>
      <c r="B24">
        <v>7</v>
      </c>
      <c r="C24">
        <v>5373.29595823</v>
      </c>
    </row>
    <row r="25" spans="1:3" x14ac:dyDescent="0.25">
      <c r="A25">
        <v>5</v>
      </c>
      <c r="B25">
        <v>1</v>
      </c>
      <c r="C25">
        <v>33189.342943800002</v>
      </c>
    </row>
    <row r="26" spans="1:3" x14ac:dyDescent="0.25">
      <c r="A26">
        <v>5</v>
      </c>
      <c r="B26">
        <v>2</v>
      </c>
      <c r="C26">
        <v>4867.4797089599997</v>
      </c>
    </row>
    <row r="27" spans="1:3" x14ac:dyDescent="0.25">
      <c r="A27">
        <v>5</v>
      </c>
      <c r="B27">
        <v>3</v>
      </c>
      <c r="C27">
        <v>186.53392827799999</v>
      </c>
    </row>
    <row r="28" spans="1:3" x14ac:dyDescent="0.25">
      <c r="A28">
        <v>5</v>
      </c>
      <c r="B28">
        <v>4</v>
      </c>
      <c r="C28">
        <v>4548.1805617099999</v>
      </c>
    </row>
    <row r="29" spans="1:3" x14ac:dyDescent="0.25">
      <c r="A29">
        <v>5</v>
      </c>
      <c r="B29">
        <v>5</v>
      </c>
      <c r="C29">
        <v>3559.2662937199998</v>
      </c>
    </row>
    <row r="30" spans="1:3" x14ac:dyDescent="0.25">
      <c r="A30">
        <v>5</v>
      </c>
      <c r="B30">
        <v>6</v>
      </c>
      <c r="C30">
        <v>992.167416839</v>
      </c>
    </row>
    <row r="31" spans="1:3" x14ac:dyDescent="0.25">
      <c r="A31">
        <v>5</v>
      </c>
      <c r="B31">
        <v>7</v>
      </c>
      <c r="C31">
        <v>4189.4388654000004</v>
      </c>
    </row>
    <row r="32" spans="1:3" x14ac:dyDescent="0.25">
      <c r="A32">
        <v>6</v>
      </c>
      <c r="B32">
        <v>1</v>
      </c>
      <c r="C32">
        <v>40607.1357059</v>
      </c>
    </row>
    <row r="33" spans="1:3" x14ac:dyDescent="0.25">
      <c r="A33">
        <v>6</v>
      </c>
      <c r="B33">
        <v>2</v>
      </c>
      <c r="C33">
        <v>9582.5688740000005</v>
      </c>
    </row>
    <row r="34" spans="1:3" x14ac:dyDescent="0.25">
      <c r="A34">
        <v>6</v>
      </c>
      <c r="B34">
        <v>3</v>
      </c>
      <c r="C34">
        <v>224.93159591400001</v>
      </c>
    </row>
    <row r="35" spans="1:3" x14ac:dyDescent="0.25">
      <c r="A35">
        <v>6</v>
      </c>
      <c r="B35">
        <v>4</v>
      </c>
      <c r="C35">
        <v>6948.0275984199998</v>
      </c>
    </row>
    <row r="36" spans="1:3" x14ac:dyDescent="0.25">
      <c r="A36">
        <v>6</v>
      </c>
      <c r="B36">
        <v>5</v>
      </c>
      <c r="C36">
        <v>2780.32007505</v>
      </c>
    </row>
    <row r="37" spans="1:3" x14ac:dyDescent="0.25">
      <c r="A37">
        <v>6</v>
      </c>
      <c r="B37">
        <v>6</v>
      </c>
      <c r="C37">
        <v>1442.86910057</v>
      </c>
    </row>
    <row r="38" spans="1:3" x14ac:dyDescent="0.25">
      <c r="A38">
        <v>6</v>
      </c>
      <c r="B38">
        <v>7</v>
      </c>
      <c r="C38">
        <v>3853.5253622300002</v>
      </c>
    </row>
    <row r="39" spans="1:3" x14ac:dyDescent="0.25">
      <c r="A39">
        <v>7</v>
      </c>
      <c r="B39">
        <v>1</v>
      </c>
      <c r="C39">
        <v>20117.007764400001</v>
      </c>
    </row>
    <row r="40" spans="1:3" x14ac:dyDescent="0.25">
      <c r="A40">
        <v>7</v>
      </c>
      <c r="B40">
        <v>2</v>
      </c>
      <c r="C40">
        <v>7745.5075523200003</v>
      </c>
    </row>
    <row r="41" spans="1:3" x14ac:dyDescent="0.25">
      <c r="A41">
        <v>7</v>
      </c>
      <c r="B41">
        <v>3</v>
      </c>
      <c r="C41">
        <v>2136.0939062100001</v>
      </c>
    </row>
    <row r="42" spans="1:3" x14ac:dyDescent="0.25">
      <c r="A42">
        <v>7</v>
      </c>
      <c r="B42">
        <v>4</v>
      </c>
      <c r="C42">
        <v>3179.7895838300001</v>
      </c>
    </row>
    <row r="43" spans="1:3" x14ac:dyDescent="0.25">
      <c r="A43">
        <v>7</v>
      </c>
      <c r="B43">
        <v>5</v>
      </c>
      <c r="C43">
        <v>6036.0100867900001</v>
      </c>
    </row>
    <row r="44" spans="1:3" x14ac:dyDescent="0.25">
      <c r="A44">
        <v>7</v>
      </c>
      <c r="B44">
        <v>6</v>
      </c>
      <c r="C44">
        <v>6050.2574726399998</v>
      </c>
    </row>
    <row r="45" spans="1:3" x14ac:dyDescent="0.25">
      <c r="A45">
        <v>7</v>
      </c>
      <c r="B45">
        <v>7</v>
      </c>
      <c r="C45">
        <v>1009.04792889</v>
      </c>
    </row>
    <row r="46" spans="1:3" x14ac:dyDescent="0.25">
      <c r="A46">
        <v>8</v>
      </c>
      <c r="B46">
        <v>1</v>
      </c>
      <c r="C46">
        <v>8561.3824606599992</v>
      </c>
    </row>
    <row r="47" spans="1:3" x14ac:dyDescent="0.25">
      <c r="A47">
        <v>8</v>
      </c>
      <c r="B47">
        <v>2</v>
      </c>
      <c r="C47">
        <v>2601.8531054499999</v>
      </c>
    </row>
    <row r="48" spans="1:3" x14ac:dyDescent="0.25">
      <c r="A48">
        <v>8</v>
      </c>
      <c r="B48">
        <v>4</v>
      </c>
      <c r="C48">
        <v>3449.6271854800002</v>
      </c>
    </row>
    <row r="49" spans="1:3" x14ac:dyDescent="0.25">
      <c r="A49">
        <v>8</v>
      </c>
      <c r="B49">
        <v>5</v>
      </c>
      <c r="C49">
        <v>835.83004737600004</v>
      </c>
    </row>
    <row r="50" spans="1:3" x14ac:dyDescent="0.25">
      <c r="A50">
        <v>8</v>
      </c>
      <c r="B50">
        <v>6</v>
      </c>
      <c r="C50">
        <v>285.65569834399997</v>
      </c>
    </row>
    <row r="51" spans="1:3" x14ac:dyDescent="0.25">
      <c r="A51">
        <v>8</v>
      </c>
      <c r="B51">
        <v>7</v>
      </c>
      <c r="C51">
        <v>920.77075632699996</v>
      </c>
    </row>
    <row r="52" spans="1:3" x14ac:dyDescent="0.25">
      <c r="A52">
        <v>9</v>
      </c>
      <c r="B52">
        <v>1</v>
      </c>
      <c r="C52">
        <v>14555.650593</v>
      </c>
    </row>
    <row r="53" spans="1:3" x14ac:dyDescent="0.25">
      <c r="A53">
        <v>9</v>
      </c>
      <c r="B53">
        <v>2</v>
      </c>
      <c r="C53">
        <v>930.40771095100001</v>
      </c>
    </row>
    <row r="54" spans="1:3" x14ac:dyDescent="0.25">
      <c r="A54">
        <v>9</v>
      </c>
      <c r="B54">
        <v>4</v>
      </c>
      <c r="C54">
        <v>3973.70734859</v>
      </c>
    </row>
    <row r="55" spans="1:3" x14ac:dyDescent="0.25">
      <c r="A55">
        <v>9</v>
      </c>
      <c r="B55">
        <v>5</v>
      </c>
      <c r="C55">
        <v>1993.38890584</v>
      </c>
    </row>
    <row r="56" spans="1:3" x14ac:dyDescent="0.25">
      <c r="A56">
        <v>9</v>
      </c>
      <c r="B56">
        <v>6</v>
      </c>
      <c r="C56">
        <v>559.62606084799995</v>
      </c>
    </row>
    <row r="57" spans="1:3" x14ac:dyDescent="0.25">
      <c r="A57">
        <v>9</v>
      </c>
      <c r="B57">
        <v>7</v>
      </c>
      <c r="C57">
        <v>721.56401536700002</v>
      </c>
    </row>
    <row r="58" spans="1:3" x14ac:dyDescent="0.25">
      <c r="A58">
        <v>10</v>
      </c>
      <c r="B58">
        <v>1</v>
      </c>
      <c r="C58">
        <v>18678.826978699999</v>
      </c>
    </row>
    <row r="59" spans="1:3" x14ac:dyDescent="0.25">
      <c r="A59">
        <v>10</v>
      </c>
      <c r="B59">
        <v>2</v>
      </c>
      <c r="C59">
        <v>2267.3765274500001</v>
      </c>
    </row>
    <row r="60" spans="1:3" x14ac:dyDescent="0.25">
      <c r="A60">
        <v>10</v>
      </c>
      <c r="B60">
        <v>4</v>
      </c>
      <c r="C60">
        <v>1383.71176937</v>
      </c>
    </row>
    <row r="61" spans="1:3" x14ac:dyDescent="0.25">
      <c r="A61">
        <v>10</v>
      </c>
      <c r="B61">
        <v>5</v>
      </c>
      <c r="C61">
        <v>701.68286118799995</v>
      </c>
    </row>
    <row r="62" spans="1:3" x14ac:dyDescent="0.25">
      <c r="A62">
        <v>10</v>
      </c>
      <c r="B62">
        <v>7</v>
      </c>
      <c r="C62">
        <v>738.09423468099999</v>
      </c>
    </row>
    <row r="63" spans="1:3" x14ac:dyDescent="0.25">
      <c r="A63">
        <v>11</v>
      </c>
      <c r="B63">
        <v>2</v>
      </c>
      <c r="C63">
        <v>2926.54498509</v>
      </c>
    </row>
    <row r="64" spans="1:3" x14ac:dyDescent="0.25">
      <c r="A64" t="s">
        <v>282</v>
      </c>
      <c r="B64" t="s">
        <v>280</v>
      </c>
      <c r="C64" t="s">
        <v>281</v>
      </c>
    </row>
    <row r="65" spans="1:3" x14ac:dyDescent="0.25">
      <c r="A65">
        <v>1</v>
      </c>
      <c r="B65">
        <v>1</v>
      </c>
      <c r="C65">
        <v>3022.4558590199999</v>
      </c>
    </row>
    <row r="66" spans="1:3" x14ac:dyDescent="0.25">
      <c r="A66">
        <v>1</v>
      </c>
      <c r="B66">
        <v>2</v>
      </c>
      <c r="C66">
        <v>666.65062499999999</v>
      </c>
    </row>
    <row r="67" spans="1:3" x14ac:dyDescent="0.25">
      <c r="A67">
        <v>1</v>
      </c>
      <c r="B67">
        <v>4</v>
      </c>
      <c r="C67">
        <v>155.36355851499999</v>
      </c>
    </row>
    <row r="68" spans="1:3" x14ac:dyDescent="0.25">
      <c r="A68">
        <v>1</v>
      </c>
      <c r="B68">
        <v>5</v>
      </c>
      <c r="C68">
        <v>1949.4889962</v>
      </c>
    </row>
    <row r="69" spans="1:3" x14ac:dyDescent="0.25">
      <c r="A69">
        <v>2</v>
      </c>
      <c r="B69">
        <v>1</v>
      </c>
      <c r="C69">
        <v>3641.9021312</v>
      </c>
    </row>
    <row r="70" spans="1:3" x14ac:dyDescent="0.25">
      <c r="A70">
        <v>2</v>
      </c>
      <c r="B70">
        <v>2</v>
      </c>
      <c r="C70">
        <v>4921.6077376100002</v>
      </c>
    </row>
    <row r="71" spans="1:3" x14ac:dyDescent="0.25">
      <c r="A71">
        <v>2</v>
      </c>
      <c r="B71">
        <v>4</v>
      </c>
      <c r="C71">
        <v>2830.09579992</v>
      </c>
    </row>
    <row r="72" spans="1:3" x14ac:dyDescent="0.25">
      <c r="A72">
        <v>2</v>
      </c>
      <c r="B72">
        <v>5</v>
      </c>
      <c r="C72">
        <v>4069.00638553</v>
      </c>
    </row>
    <row r="73" spans="1:3" x14ac:dyDescent="0.25">
      <c r="A73">
        <v>2</v>
      </c>
      <c r="B73">
        <v>7</v>
      </c>
      <c r="C73">
        <v>1243.6090496500001</v>
      </c>
    </row>
    <row r="74" spans="1:3" x14ac:dyDescent="0.25">
      <c r="A74">
        <v>3</v>
      </c>
      <c r="B74">
        <v>1</v>
      </c>
      <c r="C74">
        <v>35267.829458100001</v>
      </c>
    </row>
    <row r="75" spans="1:3" x14ac:dyDescent="0.25">
      <c r="A75">
        <v>3</v>
      </c>
      <c r="B75">
        <v>2</v>
      </c>
      <c r="C75">
        <v>19593.196648500001</v>
      </c>
    </row>
    <row r="76" spans="1:3" x14ac:dyDescent="0.25">
      <c r="A76">
        <v>3</v>
      </c>
      <c r="B76">
        <v>3</v>
      </c>
      <c r="C76">
        <v>180.394379313</v>
      </c>
    </row>
    <row r="77" spans="1:3" x14ac:dyDescent="0.25">
      <c r="A77">
        <v>3</v>
      </c>
      <c r="B77">
        <v>4</v>
      </c>
      <c r="C77">
        <v>4654.8753290900004</v>
      </c>
    </row>
    <row r="78" spans="1:3" x14ac:dyDescent="0.25">
      <c r="A78">
        <v>3</v>
      </c>
      <c r="B78">
        <v>5</v>
      </c>
      <c r="C78">
        <v>7293.5425144600003</v>
      </c>
    </row>
    <row r="79" spans="1:3" x14ac:dyDescent="0.25">
      <c r="A79">
        <v>3</v>
      </c>
      <c r="B79">
        <v>6</v>
      </c>
      <c r="C79">
        <v>1067.2654803800001</v>
      </c>
    </row>
    <row r="80" spans="1:3" x14ac:dyDescent="0.25">
      <c r="A80">
        <v>3</v>
      </c>
      <c r="B80">
        <v>7</v>
      </c>
      <c r="C80">
        <v>3337.2378855699999</v>
      </c>
    </row>
    <row r="81" spans="1:3" x14ac:dyDescent="0.25">
      <c r="A81">
        <v>4</v>
      </c>
      <c r="B81">
        <v>1</v>
      </c>
      <c r="C81">
        <v>115408.967137</v>
      </c>
    </row>
    <row r="82" spans="1:3" x14ac:dyDescent="0.25">
      <c r="A82">
        <v>4</v>
      </c>
      <c r="B82">
        <v>2</v>
      </c>
      <c r="C82">
        <v>7879.54351056</v>
      </c>
    </row>
    <row r="83" spans="1:3" x14ac:dyDescent="0.25">
      <c r="A83">
        <v>4</v>
      </c>
      <c r="B83">
        <v>4</v>
      </c>
      <c r="C83">
        <v>15219.7602207</v>
      </c>
    </row>
    <row r="84" spans="1:3" x14ac:dyDescent="0.25">
      <c r="A84">
        <v>4</v>
      </c>
      <c r="B84">
        <v>5</v>
      </c>
      <c r="C84">
        <v>7280.2242347900001</v>
      </c>
    </row>
    <row r="85" spans="1:3" x14ac:dyDescent="0.25">
      <c r="A85">
        <v>4</v>
      </c>
      <c r="B85">
        <v>6</v>
      </c>
      <c r="C85">
        <v>3844.4493261600001</v>
      </c>
    </row>
    <row r="86" spans="1:3" x14ac:dyDescent="0.25">
      <c r="A86">
        <v>4</v>
      </c>
      <c r="B86">
        <v>7</v>
      </c>
      <c r="C86">
        <v>9574.1419483099999</v>
      </c>
    </row>
    <row r="87" spans="1:3" x14ac:dyDescent="0.25">
      <c r="A87">
        <v>5</v>
      </c>
      <c r="B87">
        <v>1</v>
      </c>
      <c r="C87">
        <v>22411.700393200001</v>
      </c>
    </row>
    <row r="88" spans="1:3" x14ac:dyDescent="0.25">
      <c r="A88">
        <v>5</v>
      </c>
      <c r="B88">
        <v>2</v>
      </c>
      <c r="C88">
        <v>2273.2592833799999</v>
      </c>
    </row>
    <row r="89" spans="1:3" x14ac:dyDescent="0.25">
      <c r="A89">
        <v>5</v>
      </c>
      <c r="B89">
        <v>3</v>
      </c>
      <c r="C89">
        <v>2414.6046225499999</v>
      </c>
    </row>
    <row r="90" spans="1:3" x14ac:dyDescent="0.25">
      <c r="A90">
        <v>5</v>
      </c>
      <c r="B90">
        <v>4</v>
      </c>
      <c r="C90">
        <v>1314.8713863600001</v>
      </c>
    </row>
    <row r="91" spans="1:3" x14ac:dyDescent="0.25">
      <c r="A91">
        <v>5</v>
      </c>
      <c r="B91">
        <v>5</v>
      </c>
      <c r="C91">
        <v>4126.3879117500001</v>
      </c>
    </row>
    <row r="92" spans="1:3" x14ac:dyDescent="0.25">
      <c r="A92">
        <v>5</v>
      </c>
      <c r="B92">
        <v>6</v>
      </c>
      <c r="C92">
        <v>610.68973916000004</v>
      </c>
    </row>
    <row r="93" spans="1:3" x14ac:dyDescent="0.25">
      <c r="A93">
        <v>5</v>
      </c>
      <c r="B93">
        <v>7</v>
      </c>
      <c r="C93">
        <v>4748.6408884399998</v>
      </c>
    </row>
    <row r="94" spans="1:3" x14ac:dyDescent="0.25">
      <c r="A94">
        <v>6</v>
      </c>
      <c r="B94">
        <v>1</v>
      </c>
      <c r="C94">
        <v>34386.837718499999</v>
      </c>
    </row>
    <row r="95" spans="1:3" x14ac:dyDescent="0.25">
      <c r="A95">
        <v>6</v>
      </c>
      <c r="B95">
        <v>2</v>
      </c>
      <c r="C95">
        <v>5679.9718636199996</v>
      </c>
    </row>
    <row r="96" spans="1:3" x14ac:dyDescent="0.25">
      <c r="A96">
        <v>6</v>
      </c>
      <c r="B96">
        <v>3</v>
      </c>
      <c r="C96">
        <v>224.93159591400001</v>
      </c>
    </row>
    <row r="97" spans="1:3" x14ac:dyDescent="0.25">
      <c r="A97">
        <v>6</v>
      </c>
      <c r="B97">
        <v>4</v>
      </c>
      <c r="C97">
        <v>6875.9137513200003</v>
      </c>
    </row>
    <row r="98" spans="1:3" x14ac:dyDescent="0.25">
      <c r="A98">
        <v>6</v>
      </c>
      <c r="B98">
        <v>5</v>
      </c>
      <c r="C98">
        <v>2879.7810934700001</v>
      </c>
    </row>
    <row r="99" spans="1:3" x14ac:dyDescent="0.25">
      <c r="A99">
        <v>6</v>
      </c>
      <c r="B99">
        <v>6</v>
      </c>
      <c r="C99">
        <v>532.15952512199999</v>
      </c>
    </row>
    <row r="100" spans="1:3" x14ac:dyDescent="0.25">
      <c r="A100">
        <v>6</v>
      </c>
      <c r="B100">
        <v>7</v>
      </c>
      <c r="C100">
        <v>1051.5429214200001</v>
      </c>
    </row>
    <row r="101" spans="1:3" x14ac:dyDescent="0.25">
      <c r="A101">
        <v>7</v>
      </c>
      <c r="B101">
        <v>1</v>
      </c>
      <c r="C101">
        <v>14148.001643400001</v>
      </c>
    </row>
    <row r="102" spans="1:3" x14ac:dyDescent="0.25">
      <c r="A102">
        <v>7</v>
      </c>
      <c r="B102">
        <v>2</v>
      </c>
      <c r="C102">
        <v>7375.1267244999999</v>
      </c>
    </row>
    <row r="103" spans="1:3" x14ac:dyDescent="0.25">
      <c r="A103">
        <v>7</v>
      </c>
      <c r="B103">
        <v>3</v>
      </c>
      <c r="C103">
        <v>109.70487695</v>
      </c>
    </row>
    <row r="104" spans="1:3" x14ac:dyDescent="0.25">
      <c r="A104">
        <v>7</v>
      </c>
      <c r="B104">
        <v>4</v>
      </c>
      <c r="C104">
        <v>171.38612221299999</v>
      </c>
    </row>
    <row r="105" spans="1:3" x14ac:dyDescent="0.25">
      <c r="A105">
        <v>7</v>
      </c>
      <c r="B105">
        <v>5</v>
      </c>
      <c r="C105">
        <v>4804.1161705499999</v>
      </c>
    </row>
    <row r="106" spans="1:3" x14ac:dyDescent="0.25">
      <c r="A106">
        <v>7</v>
      </c>
      <c r="B106">
        <v>6</v>
      </c>
      <c r="C106">
        <v>6050.2574726399998</v>
      </c>
    </row>
    <row r="107" spans="1:3" x14ac:dyDescent="0.25">
      <c r="A107">
        <v>7</v>
      </c>
      <c r="B107">
        <v>7</v>
      </c>
      <c r="C107">
        <v>877.78076252100004</v>
      </c>
    </row>
    <row r="108" spans="1:3" x14ac:dyDescent="0.25">
      <c r="A108">
        <v>8</v>
      </c>
      <c r="B108">
        <v>1</v>
      </c>
      <c r="C108">
        <v>4441.6721790000001</v>
      </c>
    </row>
    <row r="109" spans="1:3" x14ac:dyDescent="0.25">
      <c r="A109">
        <v>8</v>
      </c>
      <c r="B109">
        <v>2</v>
      </c>
      <c r="C109">
        <v>4337.4319655400004</v>
      </c>
    </row>
    <row r="110" spans="1:3" x14ac:dyDescent="0.25">
      <c r="A110">
        <v>8</v>
      </c>
      <c r="B110">
        <v>4</v>
      </c>
      <c r="C110">
        <v>2967.4393336799999</v>
      </c>
    </row>
    <row r="111" spans="1:3" x14ac:dyDescent="0.25">
      <c r="A111">
        <v>8</v>
      </c>
      <c r="B111">
        <v>6</v>
      </c>
      <c r="C111">
        <v>285.65569834399997</v>
      </c>
    </row>
    <row r="112" spans="1:3" x14ac:dyDescent="0.25">
      <c r="A112">
        <v>8</v>
      </c>
      <c r="B112">
        <v>7</v>
      </c>
      <c r="C112">
        <v>308.16151911700001</v>
      </c>
    </row>
    <row r="113" spans="1:3" x14ac:dyDescent="0.25">
      <c r="A113">
        <v>9</v>
      </c>
      <c r="B113">
        <v>1</v>
      </c>
      <c r="C113">
        <v>5661.3926351199998</v>
      </c>
    </row>
    <row r="114" spans="1:3" x14ac:dyDescent="0.25">
      <c r="A114">
        <v>9</v>
      </c>
      <c r="B114">
        <v>2</v>
      </c>
      <c r="C114">
        <v>441.02087499999999</v>
      </c>
    </row>
    <row r="115" spans="1:3" x14ac:dyDescent="0.25">
      <c r="A115">
        <v>9</v>
      </c>
      <c r="B115">
        <v>4</v>
      </c>
      <c r="C115">
        <v>4344.3742223199997</v>
      </c>
    </row>
    <row r="116" spans="1:3" x14ac:dyDescent="0.25">
      <c r="A116">
        <v>9</v>
      </c>
      <c r="B116">
        <v>5</v>
      </c>
      <c r="C116">
        <v>1640.3467706700001</v>
      </c>
    </row>
    <row r="117" spans="1:3" x14ac:dyDescent="0.25">
      <c r="A117">
        <v>9</v>
      </c>
      <c r="B117">
        <v>6</v>
      </c>
      <c r="C117">
        <v>271.30194845900002</v>
      </c>
    </row>
    <row r="118" spans="1:3" x14ac:dyDescent="0.25">
      <c r="A118">
        <v>9</v>
      </c>
      <c r="B118">
        <v>7</v>
      </c>
      <c r="C118">
        <v>166.806588828</v>
      </c>
    </row>
    <row r="119" spans="1:3" x14ac:dyDescent="0.25">
      <c r="A119">
        <v>10</v>
      </c>
      <c r="B119">
        <v>1</v>
      </c>
      <c r="C119">
        <v>2596.9359239599999</v>
      </c>
    </row>
    <row r="120" spans="1:3" x14ac:dyDescent="0.25">
      <c r="A120">
        <v>10</v>
      </c>
      <c r="B120">
        <v>2</v>
      </c>
      <c r="C120">
        <v>2351.8459761899999</v>
      </c>
    </row>
    <row r="121" spans="1:3" x14ac:dyDescent="0.25">
      <c r="A121">
        <v>10</v>
      </c>
      <c r="B121">
        <v>4</v>
      </c>
      <c r="C121">
        <v>1226.00073582</v>
      </c>
    </row>
    <row r="122" spans="1:3" x14ac:dyDescent="0.25">
      <c r="A122">
        <v>10</v>
      </c>
      <c r="B122">
        <v>5</v>
      </c>
      <c r="C122">
        <v>1537.5129085599999</v>
      </c>
    </row>
    <row r="123" spans="1:3" x14ac:dyDescent="0.25">
      <c r="A123">
        <v>10</v>
      </c>
      <c r="B123">
        <v>7</v>
      </c>
      <c r="C123">
        <v>1412.8295274499999</v>
      </c>
    </row>
    <row r="124" spans="1:3" x14ac:dyDescent="0.25">
      <c r="A124" t="s">
        <v>279</v>
      </c>
      <c r="B124" t="s">
        <v>280</v>
      </c>
      <c r="C124" t="s">
        <v>281</v>
      </c>
    </row>
    <row r="125" spans="1:3" x14ac:dyDescent="0.25">
      <c r="A125">
        <v>1</v>
      </c>
      <c r="B125">
        <v>1</v>
      </c>
      <c r="C125">
        <v>10045.6515332</v>
      </c>
    </row>
    <row r="126" spans="1:3" x14ac:dyDescent="0.25">
      <c r="A126">
        <v>1</v>
      </c>
      <c r="B126">
        <v>2</v>
      </c>
      <c r="C126">
        <v>2339.1578290100001</v>
      </c>
    </row>
    <row r="127" spans="1:3" x14ac:dyDescent="0.25">
      <c r="A127">
        <v>1</v>
      </c>
      <c r="B127">
        <v>4</v>
      </c>
      <c r="C127">
        <v>70.449129073700007</v>
      </c>
    </row>
    <row r="128" spans="1:3" x14ac:dyDescent="0.25">
      <c r="A128">
        <v>1</v>
      </c>
      <c r="B128">
        <v>5</v>
      </c>
      <c r="C128">
        <v>19.991803278700001</v>
      </c>
    </row>
    <row r="129" spans="1:3" x14ac:dyDescent="0.25">
      <c r="A129">
        <v>1</v>
      </c>
      <c r="B129">
        <v>6</v>
      </c>
      <c r="C129">
        <v>35.228463835900001</v>
      </c>
    </row>
    <row r="130" spans="1:3" x14ac:dyDescent="0.25">
      <c r="A130">
        <v>2</v>
      </c>
      <c r="B130">
        <v>1</v>
      </c>
      <c r="C130">
        <v>8237.8627684700004</v>
      </c>
    </row>
    <row r="131" spans="1:3" x14ac:dyDescent="0.25">
      <c r="A131">
        <v>2</v>
      </c>
      <c r="B131">
        <v>2</v>
      </c>
      <c r="C131">
        <v>1359.8293462300001</v>
      </c>
    </row>
    <row r="132" spans="1:3" x14ac:dyDescent="0.25">
      <c r="A132">
        <v>2</v>
      </c>
      <c r="B132">
        <v>4</v>
      </c>
      <c r="C132">
        <v>30.227374275700001</v>
      </c>
    </row>
    <row r="133" spans="1:3" x14ac:dyDescent="0.25">
      <c r="A133">
        <v>2</v>
      </c>
      <c r="B133">
        <v>5</v>
      </c>
      <c r="C133">
        <v>20.234434865899999</v>
      </c>
    </row>
    <row r="134" spans="1:3" x14ac:dyDescent="0.25">
      <c r="A134">
        <v>2</v>
      </c>
      <c r="B134">
        <v>6</v>
      </c>
      <c r="C134">
        <v>30.4675697865</v>
      </c>
    </row>
    <row r="135" spans="1:3" x14ac:dyDescent="0.25">
      <c r="A135">
        <v>2</v>
      </c>
      <c r="B135">
        <v>7</v>
      </c>
      <c r="C135">
        <v>61.055195421100002</v>
      </c>
    </row>
    <row r="136" spans="1:3" x14ac:dyDescent="0.25">
      <c r="A136">
        <v>3</v>
      </c>
      <c r="B136">
        <v>1</v>
      </c>
      <c r="C136">
        <v>36698.312102199998</v>
      </c>
    </row>
    <row r="137" spans="1:3" x14ac:dyDescent="0.25">
      <c r="A137">
        <v>3</v>
      </c>
      <c r="B137">
        <v>2</v>
      </c>
      <c r="C137">
        <v>7022.9334504400003</v>
      </c>
    </row>
    <row r="138" spans="1:3" x14ac:dyDescent="0.25">
      <c r="A138">
        <v>3</v>
      </c>
      <c r="B138">
        <v>3</v>
      </c>
      <c r="C138">
        <v>2.5</v>
      </c>
    </row>
    <row r="139" spans="1:3" x14ac:dyDescent="0.25">
      <c r="A139">
        <v>3</v>
      </c>
      <c r="B139">
        <v>4</v>
      </c>
      <c r="C139">
        <v>3664.7697418600001</v>
      </c>
    </row>
    <row r="140" spans="1:3" x14ac:dyDescent="0.25">
      <c r="A140">
        <v>3</v>
      </c>
      <c r="B140">
        <v>5</v>
      </c>
      <c r="C140">
        <v>1702.4995722599999</v>
      </c>
    </row>
    <row r="141" spans="1:3" x14ac:dyDescent="0.25">
      <c r="A141">
        <v>3</v>
      </c>
      <c r="B141">
        <v>6</v>
      </c>
      <c r="C141">
        <v>1031.53005003</v>
      </c>
    </row>
    <row r="142" spans="1:3" x14ac:dyDescent="0.25">
      <c r="A142">
        <v>3</v>
      </c>
      <c r="B142">
        <v>7</v>
      </c>
      <c r="C142">
        <v>3179.7745095999999</v>
      </c>
    </row>
    <row r="143" spans="1:3" x14ac:dyDescent="0.25">
      <c r="A143">
        <v>4</v>
      </c>
      <c r="B143">
        <v>1</v>
      </c>
      <c r="C143">
        <v>25483.242793099998</v>
      </c>
    </row>
    <row r="144" spans="1:3" x14ac:dyDescent="0.25">
      <c r="A144">
        <v>4</v>
      </c>
      <c r="B144">
        <v>2</v>
      </c>
      <c r="C144">
        <v>3360.9737871900002</v>
      </c>
    </row>
    <row r="145" spans="1:3" x14ac:dyDescent="0.25">
      <c r="A145">
        <v>4</v>
      </c>
      <c r="B145">
        <v>3</v>
      </c>
      <c r="C145">
        <v>5.4957586427700003</v>
      </c>
    </row>
    <row r="146" spans="1:3" x14ac:dyDescent="0.25">
      <c r="A146">
        <v>4</v>
      </c>
      <c r="B146">
        <v>4</v>
      </c>
      <c r="C146">
        <v>3668.93017766</v>
      </c>
    </row>
    <row r="147" spans="1:3" x14ac:dyDescent="0.25">
      <c r="A147">
        <v>4</v>
      </c>
      <c r="B147">
        <v>5</v>
      </c>
      <c r="C147">
        <v>2369.7495174000001</v>
      </c>
    </row>
    <row r="148" spans="1:3" x14ac:dyDescent="0.25">
      <c r="A148">
        <v>4</v>
      </c>
      <c r="B148">
        <v>6</v>
      </c>
      <c r="C148">
        <v>813.53740123299997</v>
      </c>
    </row>
    <row r="149" spans="1:3" x14ac:dyDescent="0.25">
      <c r="A149">
        <v>4</v>
      </c>
      <c r="B149">
        <v>7</v>
      </c>
      <c r="C149">
        <v>3806.0684764100001</v>
      </c>
    </row>
    <row r="150" spans="1:3" x14ac:dyDescent="0.25">
      <c r="A150">
        <v>5</v>
      </c>
      <c r="B150">
        <v>1</v>
      </c>
      <c r="C150">
        <v>22599.042759600001</v>
      </c>
    </row>
    <row r="151" spans="1:3" x14ac:dyDescent="0.25">
      <c r="A151">
        <v>5</v>
      </c>
      <c r="B151">
        <v>2</v>
      </c>
      <c r="C151">
        <v>3417.4375741700001</v>
      </c>
    </row>
    <row r="152" spans="1:3" x14ac:dyDescent="0.25">
      <c r="A152">
        <v>5</v>
      </c>
      <c r="B152">
        <v>4</v>
      </c>
      <c r="C152">
        <v>3423.9921131199999</v>
      </c>
    </row>
    <row r="153" spans="1:3" x14ac:dyDescent="0.25">
      <c r="A153">
        <v>5</v>
      </c>
      <c r="B153">
        <v>5</v>
      </c>
      <c r="C153">
        <v>2182.9741585000002</v>
      </c>
    </row>
    <row r="154" spans="1:3" x14ac:dyDescent="0.25">
      <c r="A154">
        <v>5</v>
      </c>
      <c r="B154">
        <v>6</v>
      </c>
      <c r="C154">
        <v>1232.55608026</v>
      </c>
    </row>
    <row r="155" spans="1:3" x14ac:dyDescent="0.25">
      <c r="A155">
        <v>5</v>
      </c>
      <c r="B155">
        <v>7</v>
      </c>
      <c r="C155">
        <v>1630.2804573599999</v>
      </c>
    </row>
    <row r="156" spans="1:3" x14ac:dyDescent="0.25">
      <c r="A156">
        <v>6</v>
      </c>
      <c r="B156">
        <v>1</v>
      </c>
      <c r="C156">
        <v>19453.3351798</v>
      </c>
    </row>
    <row r="157" spans="1:3" x14ac:dyDescent="0.25">
      <c r="A157">
        <v>6</v>
      </c>
      <c r="B157">
        <v>2</v>
      </c>
      <c r="C157">
        <v>2678.9584780999999</v>
      </c>
    </row>
    <row r="158" spans="1:3" x14ac:dyDescent="0.25">
      <c r="A158">
        <v>6</v>
      </c>
      <c r="B158">
        <v>3</v>
      </c>
      <c r="C158">
        <v>6.5</v>
      </c>
    </row>
    <row r="159" spans="1:3" x14ac:dyDescent="0.25">
      <c r="A159">
        <v>6</v>
      </c>
      <c r="B159">
        <v>4</v>
      </c>
      <c r="C159">
        <v>2145.51208701</v>
      </c>
    </row>
    <row r="160" spans="1:3" x14ac:dyDescent="0.25">
      <c r="A160">
        <v>6</v>
      </c>
      <c r="B160">
        <v>5</v>
      </c>
      <c r="C160">
        <v>1019.8126853</v>
      </c>
    </row>
    <row r="161" spans="1:3" x14ac:dyDescent="0.25">
      <c r="A161">
        <v>6</v>
      </c>
      <c r="B161">
        <v>6</v>
      </c>
      <c r="C161">
        <v>538.45549845599999</v>
      </c>
    </row>
    <row r="162" spans="1:3" x14ac:dyDescent="0.25">
      <c r="A162">
        <v>6</v>
      </c>
      <c r="B162">
        <v>7</v>
      </c>
      <c r="C162">
        <v>1427.2376622100001</v>
      </c>
    </row>
    <row r="163" spans="1:3" x14ac:dyDescent="0.25">
      <c r="A163">
        <v>7</v>
      </c>
      <c r="B163">
        <v>1</v>
      </c>
      <c r="C163">
        <v>19462.981760999999</v>
      </c>
    </row>
    <row r="164" spans="1:3" x14ac:dyDescent="0.25">
      <c r="A164">
        <v>7</v>
      </c>
      <c r="B164">
        <v>2</v>
      </c>
      <c r="C164">
        <v>3723.6588247700001</v>
      </c>
    </row>
    <row r="165" spans="1:3" x14ac:dyDescent="0.25">
      <c r="A165">
        <v>7</v>
      </c>
      <c r="B165">
        <v>3</v>
      </c>
      <c r="C165">
        <v>3.9987531172100002</v>
      </c>
    </row>
    <row r="166" spans="1:3" x14ac:dyDescent="0.25">
      <c r="A166">
        <v>7</v>
      </c>
      <c r="B166">
        <v>4</v>
      </c>
      <c r="C166">
        <v>2854.26490771</v>
      </c>
    </row>
    <row r="167" spans="1:3" x14ac:dyDescent="0.25">
      <c r="A167">
        <v>7</v>
      </c>
      <c r="B167">
        <v>5</v>
      </c>
      <c r="C167">
        <v>1342.6030734799999</v>
      </c>
    </row>
    <row r="168" spans="1:3" x14ac:dyDescent="0.25">
      <c r="A168">
        <v>7</v>
      </c>
      <c r="B168">
        <v>6</v>
      </c>
      <c r="C168">
        <v>662.55413949800004</v>
      </c>
    </row>
    <row r="169" spans="1:3" x14ac:dyDescent="0.25">
      <c r="A169">
        <v>7</v>
      </c>
      <c r="B169">
        <v>7</v>
      </c>
      <c r="C169">
        <v>1863.4788684</v>
      </c>
    </row>
    <row r="170" spans="1:3" x14ac:dyDescent="0.25">
      <c r="A170">
        <v>8</v>
      </c>
      <c r="B170">
        <v>1</v>
      </c>
      <c r="C170">
        <v>2664.4649429800002</v>
      </c>
    </row>
    <row r="171" spans="1:3" x14ac:dyDescent="0.25">
      <c r="A171">
        <v>8</v>
      </c>
      <c r="B171">
        <v>2</v>
      </c>
      <c r="C171">
        <v>1049.3107092400001</v>
      </c>
    </row>
    <row r="172" spans="1:3" x14ac:dyDescent="0.25">
      <c r="A172">
        <v>8</v>
      </c>
      <c r="B172">
        <v>3</v>
      </c>
      <c r="C172">
        <v>0.25</v>
      </c>
    </row>
    <row r="173" spans="1:3" x14ac:dyDescent="0.25">
      <c r="A173">
        <v>8</v>
      </c>
      <c r="B173">
        <v>4</v>
      </c>
      <c r="C173">
        <v>859.69495888699998</v>
      </c>
    </row>
    <row r="174" spans="1:3" x14ac:dyDescent="0.25">
      <c r="A174">
        <v>8</v>
      </c>
      <c r="B174">
        <v>5</v>
      </c>
      <c r="C174">
        <v>609.90433783000003</v>
      </c>
    </row>
    <row r="175" spans="1:3" x14ac:dyDescent="0.25">
      <c r="A175">
        <v>8</v>
      </c>
      <c r="B175">
        <v>6</v>
      </c>
      <c r="C175">
        <v>112.031773646</v>
      </c>
    </row>
    <row r="176" spans="1:3" x14ac:dyDescent="0.25">
      <c r="A176">
        <v>8</v>
      </c>
      <c r="B176">
        <v>7</v>
      </c>
      <c r="C176">
        <v>639.69189468100001</v>
      </c>
    </row>
    <row r="177" spans="1:3" x14ac:dyDescent="0.25">
      <c r="A177">
        <v>9</v>
      </c>
      <c r="B177">
        <v>1</v>
      </c>
      <c r="C177">
        <v>4279.6509991599996</v>
      </c>
    </row>
    <row r="178" spans="1:3" x14ac:dyDescent="0.25">
      <c r="A178">
        <v>9</v>
      </c>
      <c r="B178">
        <v>2</v>
      </c>
      <c r="C178">
        <v>349.58644166800002</v>
      </c>
    </row>
    <row r="179" spans="1:3" x14ac:dyDescent="0.25">
      <c r="A179">
        <v>9</v>
      </c>
      <c r="B179">
        <v>4</v>
      </c>
      <c r="C179">
        <v>329.85070585400001</v>
      </c>
    </row>
    <row r="180" spans="1:3" x14ac:dyDescent="0.25">
      <c r="A180">
        <v>9</v>
      </c>
      <c r="B180">
        <v>5</v>
      </c>
      <c r="C180">
        <v>350.013928921</v>
      </c>
    </row>
    <row r="181" spans="1:3" x14ac:dyDescent="0.25">
      <c r="A181">
        <v>9</v>
      </c>
      <c r="B181">
        <v>7</v>
      </c>
      <c r="C181">
        <v>39.952053268</v>
      </c>
    </row>
    <row r="182" spans="1:3" x14ac:dyDescent="0.25">
      <c r="A182">
        <v>10</v>
      </c>
      <c r="B182">
        <v>1</v>
      </c>
      <c r="C182">
        <v>6359.39924531</v>
      </c>
    </row>
    <row r="183" spans="1:3" x14ac:dyDescent="0.25">
      <c r="A183">
        <v>10</v>
      </c>
      <c r="B183">
        <v>2</v>
      </c>
      <c r="C183">
        <v>1630.58235012</v>
      </c>
    </row>
    <row r="184" spans="1:3" x14ac:dyDescent="0.25">
      <c r="A184">
        <v>10</v>
      </c>
      <c r="B184">
        <v>4</v>
      </c>
      <c r="C184">
        <v>1499.7401477599999</v>
      </c>
    </row>
    <row r="185" spans="1:3" x14ac:dyDescent="0.25">
      <c r="A185">
        <v>10</v>
      </c>
      <c r="B185">
        <v>5</v>
      </c>
      <c r="C185">
        <v>1499.7424182300001</v>
      </c>
    </row>
    <row r="186" spans="1:3" x14ac:dyDescent="0.25">
      <c r="A186">
        <v>10</v>
      </c>
      <c r="B186">
        <v>6</v>
      </c>
      <c r="C186">
        <v>90.2694705742</v>
      </c>
    </row>
    <row r="187" spans="1:3" x14ac:dyDescent="0.25">
      <c r="A187">
        <v>10</v>
      </c>
      <c r="B187">
        <v>7</v>
      </c>
      <c r="C187">
        <v>626.94917545700002</v>
      </c>
    </row>
    <row r="188" spans="1:3" x14ac:dyDescent="0.25">
      <c r="A188">
        <v>11</v>
      </c>
      <c r="B188">
        <v>1</v>
      </c>
      <c r="C188">
        <v>5672.0980216799999</v>
      </c>
    </row>
    <row r="189" spans="1:3" x14ac:dyDescent="0.25">
      <c r="A189">
        <v>11</v>
      </c>
      <c r="B189">
        <v>2</v>
      </c>
      <c r="C189">
        <v>540.55358688700005</v>
      </c>
    </row>
    <row r="190" spans="1:3" x14ac:dyDescent="0.25">
      <c r="A190">
        <v>11</v>
      </c>
      <c r="B190">
        <v>4</v>
      </c>
      <c r="C190">
        <v>440.229180998</v>
      </c>
    </row>
    <row r="191" spans="1:3" x14ac:dyDescent="0.25">
      <c r="A191">
        <v>11</v>
      </c>
      <c r="B191">
        <v>5</v>
      </c>
      <c r="C191">
        <v>395.291425366</v>
      </c>
    </row>
    <row r="192" spans="1:3" x14ac:dyDescent="0.25">
      <c r="A192">
        <v>11</v>
      </c>
      <c r="B192">
        <v>6</v>
      </c>
      <c r="C192">
        <v>110.85310067499999</v>
      </c>
    </row>
    <row r="193" spans="1:3" x14ac:dyDescent="0.25">
      <c r="A193">
        <v>11</v>
      </c>
      <c r="B193">
        <v>7</v>
      </c>
      <c r="C193">
        <v>120.12134515699999</v>
      </c>
    </row>
    <row r="194" spans="1:3" x14ac:dyDescent="0.25">
      <c r="A194" t="s">
        <v>282</v>
      </c>
      <c r="B194" t="s">
        <v>280</v>
      </c>
      <c r="C194" t="s">
        <v>281</v>
      </c>
    </row>
    <row r="195" spans="1:3" x14ac:dyDescent="0.25">
      <c r="A195">
        <v>1</v>
      </c>
      <c r="B195">
        <v>1</v>
      </c>
      <c r="C195">
        <v>2964.8853006300001</v>
      </c>
    </row>
    <row r="196" spans="1:3" x14ac:dyDescent="0.25">
      <c r="A196">
        <v>1</v>
      </c>
      <c r="B196">
        <v>2</v>
      </c>
      <c r="C196">
        <v>116.562266855</v>
      </c>
    </row>
    <row r="197" spans="1:3" x14ac:dyDescent="0.25">
      <c r="A197">
        <v>1</v>
      </c>
      <c r="B197">
        <v>4</v>
      </c>
      <c r="C197">
        <v>140.23294442400001</v>
      </c>
    </row>
    <row r="198" spans="1:3" x14ac:dyDescent="0.25">
      <c r="A198">
        <v>1</v>
      </c>
      <c r="B198">
        <v>5</v>
      </c>
      <c r="C198">
        <v>40.739563866499999</v>
      </c>
    </row>
    <row r="199" spans="1:3" x14ac:dyDescent="0.25">
      <c r="A199">
        <v>1</v>
      </c>
      <c r="B199">
        <v>6</v>
      </c>
      <c r="C199">
        <v>1</v>
      </c>
    </row>
    <row r="200" spans="1:3" x14ac:dyDescent="0.25">
      <c r="A200">
        <v>1</v>
      </c>
      <c r="B200">
        <v>7</v>
      </c>
      <c r="C200">
        <v>364.60856582999997</v>
      </c>
    </row>
    <row r="201" spans="1:3" x14ac:dyDescent="0.25">
      <c r="A201">
        <v>2</v>
      </c>
      <c r="B201">
        <v>1</v>
      </c>
      <c r="C201">
        <v>7107.2075447200004</v>
      </c>
    </row>
    <row r="202" spans="1:3" x14ac:dyDescent="0.25">
      <c r="A202">
        <v>2</v>
      </c>
      <c r="B202">
        <v>2</v>
      </c>
      <c r="C202">
        <v>4109.3702739</v>
      </c>
    </row>
    <row r="203" spans="1:3" x14ac:dyDescent="0.25">
      <c r="A203">
        <v>2</v>
      </c>
      <c r="B203">
        <v>4</v>
      </c>
      <c r="C203">
        <v>282.92236443500002</v>
      </c>
    </row>
    <row r="204" spans="1:3" x14ac:dyDescent="0.25">
      <c r="A204">
        <v>2</v>
      </c>
      <c r="B204">
        <v>5</v>
      </c>
      <c r="C204">
        <v>104.207272207</v>
      </c>
    </row>
    <row r="205" spans="1:3" x14ac:dyDescent="0.25">
      <c r="A205">
        <v>2</v>
      </c>
      <c r="B205">
        <v>6</v>
      </c>
      <c r="C205">
        <v>52.698733302599997</v>
      </c>
    </row>
    <row r="206" spans="1:3" x14ac:dyDescent="0.25">
      <c r="A206">
        <v>2</v>
      </c>
      <c r="B206">
        <v>7</v>
      </c>
      <c r="C206">
        <v>277.67560510700002</v>
      </c>
    </row>
    <row r="207" spans="1:3" x14ac:dyDescent="0.25">
      <c r="A207">
        <v>3</v>
      </c>
      <c r="B207">
        <v>1</v>
      </c>
      <c r="C207">
        <v>13970.543434699999</v>
      </c>
    </row>
    <row r="208" spans="1:3" x14ac:dyDescent="0.25">
      <c r="A208">
        <v>3</v>
      </c>
      <c r="B208">
        <v>2</v>
      </c>
      <c r="C208">
        <v>8234.3613654000001</v>
      </c>
    </row>
    <row r="209" spans="1:3" x14ac:dyDescent="0.25">
      <c r="A209">
        <v>3</v>
      </c>
      <c r="B209">
        <v>3</v>
      </c>
      <c r="C209">
        <v>3</v>
      </c>
    </row>
    <row r="210" spans="1:3" x14ac:dyDescent="0.25">
      <c r="A210">
        <v>3</v>
      </c>
      <c r="B210">
        <v>4</v>
      </c>
      <c r="C210">
        <v>2751.0723610199998</v>
      </c>
    </row>
    <row r="211" spans="1:3" x14ac:dyDescent="0.25">
      <c r="A211">
        <v>3</v>
      </c>
      <c r="B211">
        <v>5</v>
      </c>
      <c r="C211">
        <v>1253.95218553</v>
      </c>
    </row>
    <row r="212" spans="1:3" x14ac:dyDescent="0.25">
      <c r="A212">
        <v>3</v>
      </c>
      <c r="B212">
        <v>6</v>
      </c>
      <c r="C212">
        <v>295.83641556100002</v>
      </c>
    </row>
    <row r="213" spans="1:3" x14ac:dyDescent="0.25">
      <c r="A213">
        <v>3</v>
      </c>
      <c r="B213">
        <v>7</v>
      </c>
      <c r="C213">
        <v>1756.7001211500001</v>
      </c>
    </row>
    <row r="214" spans="1:3" x14ac:dyDescent="0.25">
      <c r="A214">
        <v>4</v>
      </c>
      <c r="B214">
        <v>1</v>
      </c>
      <c r="C214">
        <v>73795.373118599993</v>
      </c>
    </row>
    <row r="215" spans="1:3" x14ac:dyDescent="0.25">
      <c r="A215">
        <v>4</v>
      </c>
      <c r="B215">
        <v>2</v>
      </c>
      <c r="C215">
        <v>4412.0528975200004</v>
      </c>
    </row>
    <row r="216" spans="1:3" x14ac:dyDescent="0.25">
      <c r="A216">
        <v>4</v>
      </c>
      <c r="B216">
        <v>3</v>
      </c>
      <c r="C216">
        <v>4.7476525821599997</v>
      </c>
    </row>
    <row r="217" spans="1:3" x14ac:dyDescent="0.25">
      <c r="A217">
        <v>4</v>
      </c>
      <c r="B217">
        <v>4</v>
      </c>
      <c r="C217">
        <v>6907.4476024400001</v>
      </c>
    </row>
    <row r="218" spans="1:3" x14ac:dyDescent="0.25">
      <c r="A218">
        <v>4</v>
      </c>
      <c r="B218">
        <v>5</v>
      </c>
      <c r="C218">
        <v>3919.53049624</v>
      </c>
    </row>
    <row r="219" spans="1:3" x14ac:dyDescent="0.25">
      <c r="A219">
        <v>4</v>
      </c>
      <c r="B219">
        <v>6</v>
      </c>
      <c r="C219">
        <v>3158.1506303400001</v>
      </c>
    </row>
    <row r="220" spans="1:3" x14ac:dyDescent="0.25">
      <c r="A220">
        <v>4</v>
      </c>
      <c r="B220">
        <v>7</v>
      </c>
      <c r="C220">
        <v>3937.63237699</v>
      </c>
    </row>
    <row r="221" spans="1:3" x14ac:dyDescent="0.25">
      <c r="A221">
        <v>5</v>
      </c>
      <c r="B221">
        <v>1</v>
      </c>
      <c r="C221">
        <v>10202.474773800001</v>
      </c>
    </row>
    <row r="222" spans="1:3" x14ac:dyDescent="0.25">
      <c r="A222">
        <v>5</v>
      </c>
      <c r="B222">
        <v>2</v>
      </c>
      <c r="C222">
        <v>887.72582548699995</v>
      </c>
    </row>
    <row r="223" spans="1:3" x14ac:dyDescent="0.25">
      <c r="A223">
        <v>5</v>
      </c>
      <c r="B223">
        <v>3</v>
      </c>
      <c r="C223">
        <v>4.4981060606099996</v>
      </c>
    </row>
    <row r="224" spans="1:3" x14ac:dyDescent="0.25">
      <c r="A224">
        <v>5</v>
      </c>
      <c r="B224">
        <v>4</v>
      </c>
      <c r="C224">
        <v>1676.1235016000001</v>
      </c>
    </row>
    <row r="225" spans="1:3" x14ac:dyDescent="0.25">
      <c r="A225">
        <v>5</v>
      </c>
      <c r="B225">
        <v>5</v>
      </c>
      <c r="C225">
        <v>767.74337380400004</v>
      </c>
    </row>
    <row r="226" spans="1:3" x14ac:dyDescent="0.25">
      <c r="A226">
        <v>5</v>
      </c>
      <c r="B226">
        <v>6</v>
      </c>
      <c r="C226">
        <v>149.90895008199999</v>
      </c>
    </row>
    <row r="227" spans="1:3" x14ac:dyDescent="0.25">
      <c r="A227">
        <v>5</v>
      </c>
      <c r="B227">
        <v>7</v>
      </c>
      <c r="C227">
        <v>2003.0426177700001</v>
      </c>
    </row>
    <row r="228" spans="1:3" x14ac:dyDescent="0.25">
      <c r="A228">
        <v>6</v>
      </c>
      <c r="B228">
        <v>1</v>
      </c>
      <c r="C228">
        <v>22507.9167686</v>
      </c>
    </row>
    <row r="229" spans="1:3" x14ac:dyDescent="0.25">
      <c r="A229">
        <v>6</v>
      </c>
      <c r="B229">
        <v>2</v>
      </c>
      <c r="C229">
        <v>3072.2479792099998</v>
      </c>
    </row>
    <row r="230" spans="1:3" x14ac:dyDescent="0.25">
      <c r="A230">
        <v>6</v>
      </c>
      <c r="B230">
        <v>3</v>
      </c>
      <c r="C230">
        <v>2.25</v>
      </c>
    </row>
    <row r="231" spans="1:3" x14ac:dyDescent="0.25">
      <c r="A231">
        <v>6</v>
      </c>
      <c r="B231">
        <v>4</v>
      </c>
      <c r="C231">
        <v>1925.7229207299999</v>
      </c>
    </row>
    <row r="232" spans="1:3" x14ac:dyDescent="0.25">
      <c r="A232">
        <v>6</v>
      </c>
      <c r="B232">
        <v>5</v>
      </c>
      <c r="C232">
        <v>994.02940993200002</v>
      </c>
    </row>
    <row r="233" spans="1:3" x14ac:dyDescent="0.25">
      <c r="A233">
        <v>6</v>
      </c>
      <c r="B233">
        <v>6</v>
      </c>
      <c r="C233">
        <v>400.38861022200001</v>
      </c>
    </row>
    <row r="234" spans="1:3" x14ac:dyDescent="0.25">
      <c r="A234">
        <v>6</v>
      </c>
      <c r="B234">
        <v>7</v>
      </c>
      <c r="C234">
        <v>1588.52197611</v>
      </c>
    </row>
    <row r="235" spans="1:3" x14ac:dyDescent="0.25">
      <c r="A235">
        <v>7</v>
      </c>
      <c r="B235">
        <v>1</v>
      </c>
      <c r="C235">
        <v>15784.0795602</v>
      </c>
    </row>
    <row r="236" spans="1:3" x14ac:dyDescent="0.25">
      <c r="A236">
        <v>7</v>
      </c>
      <c r="B236">
        <v>2</v>
      </c>
      <c r="C236">
        <v>2219.9521363899999</v>
      </c>
    </row>
    <row r="237" spans="1:3" x14ac:dyDescent="0.25">
      <c r="A237">
        <v>7</v>
      </c>
      <c r="B237">
        <v>3</v>
      </c>
      <c r="C237">
        <v>3.9987531172100002</v>
      </c>
    </row>
    <row r="238" spans="1:3" x14ac:dyDescent="0.25">
      <c r="A238">
        <v>7</v>
      </c>
      <c r="B238">
        <v>4</v>
      </c>
      <c r="C238">
        <v>2253.9594944</v>
      </c>
    </row>
    <row r="239" spans="1:3" x14ac:dyDescent="0.25">
      <c r="A239">
        <v>7</v>
      </c>
      <c r="B239">
        <v>5</v>
      </c>
      <c r="C239">
        <v>1522.35037698</v>
      </c>
    </row>
    <row r="240" spans="1:3" x14ac:dyDescent="0.25">
      <c r="A240">
        <v>7</v>
      </c>
      <c r="B240">
        <v>6</v>
      </c>
      <c r="C240">
        <v>261.410378933</v>
      </c>
    </row>
    <row r="241" spans="1:3" x14ac:dyDescent="0.25">
      <c r="A241">
        <v>7</v>
      </c>
      <c r="B241">
        <v>7</v>
      </c>
      <c r="C241">
        <v>1606.2327470099999</v>
      </c>
    </row>
    <row r="242" spans="1:3" x14ac:dyDescent="0.25">
      <c r="A242">
        <v>8</v>
      </c>
      <c r="B242">
        <v>1</v>
      </c>
      <c r="C242">
        <v>4472.6855118100002</v>
      </c>
    </row>
    <row r="243" spans="1:3" x14ac:dyDescent="0.25">
      <c r="A243">
        <v>8</v>
      </c>
      <c r="B243">
        <v>2</v>
      </c>
      <c r="C243">
        <v>2452.4660772100001</v>
      </c>
    </row>
    <row r="244" spans="1:3" x14ac:dyDescent="0.25">
      <c r="A244">
        <v>8</v>
      </c>
      <c r="B244">
        <v>3</v>
      </c>
      <c r="C244">
        <v>0.25</v>
      </c>
    </row>
    <row r="245" spans="1:3" x14ac:dyDescent="0.25">
      <c r="A245">
        <v>8</v>
      </c>
      <c r="B245">
        <v>4</v>
      </c>
      <c r="C245">
        <v>1181.4309745099999</v>
      </c>
    </row>
    <row r="246" spans="1:3" x14ac:dyDescent="0.25">
      <c r="A246">
        <v>8</v>
      </c>
      <c r="B246">
        <v>5</v>
      </c>
      <c r="C246">
        <v>644.05508407299999</v>
      </c>
    </row>
    <row r="247" spans="1:3" x14ac:dyDescent="0.25">
      <c r="A247">
        <v>8</v>
      </c>
      <c r="B247">
        <v>6</v>
      </c>
      <c r="C247">
        <v>150.41219582100001</v>
      </c>
    </row>
    <row r="248" spans="1:3" x14ac:dyDescent="0.25">
      <c r="A248">
        <v>8</v>
      </c>
      <c r="B248">
        <v>7</v>
      </c>
      <c r="C248">
        <v>472.11435965200002</v>
      </c>
    </row>
    <row r="249" spans="1:3" x14ac:dyDescent="0.25">
      <c r="A249">
        <v>9</v>
      </c>
      <c r="B249">
        <v>1</v>
      </c>
      <c r="C249">
        <v>4285.8611361100002</v>
      </c>
    </row>
    <row r="250" spans="1:3" x14ac:dyDescent="0.25">
      <c r="A250">
        <v>9</v>
      </c>
      <c r="B250">
        <v>2</v>
      </c>
      <c r="C250">
        <v>79.735493621200007</v>
      </c>
    </row>
    <row r="251" spans="1:3" x14ac:dyDescent="0.25">
      <c r="A251">
        <v>9</v>
      </c>
      <c r="B251">
        <v>4</v>
      </c>
      <c r="C251">
        <v>309.81525907700001</v>
      </c>
    </row>
    <row r="252" spans="1:3" x14ac:dyDescent="0.25">
      <c r="A252">
        <v>9</v>
      </c>
      <c r="B252">
        <v>5</v>
      </c>
      <c r="C252">
        <v>345.13197452700001</v>
      </c>
    </row>
    <row r="253" spans="1:3" x14ac:dyDescent="0.25">
      <c r="A253">
        <v>9</v>
      </c>
      <c r="B253">
        <v>6</v>
      </c>
      <c r="C253">
        <v>5.0117647058800001</v>
      </c>
    </row>
    <row r="254" spans="1:3" x14ac:dyDescent="0.25">
      <c r="A254">
        <v>9</v>
      </c>
      <c r="B254">
        <v>7</v>
      </c>
      <c r="C254">
        <v>180.47060188399999</v>
      </c>
    </row>
    <row r="255" spans="1:3" x14ac:dyDescent="0.25">
      <c r="A255">
        <v>10</v>
      </c>
      <c r="B255">
        <v>1</v>
      </c>
      <c r="C255">
        <v>5069.5348162500004</v>
      </c>
    </row>
    <row r="256" spans="1:3" x14ac:dyDescent="0.25">
      <c r="A256">
        <v>10</v>
      </c>
      <c r="B256">
        <v>2</v>
      </c>
      <c r="C256">
        <v>1888.5080622400001</v>
      </c>
    </row>
    <row r="257" spans="1:3" x14ac:dyDescent="0.25">
      <c r="A257">
        <v>10</v>
      </c>
      <c r="B257">
        <v>4</v>
      </c>
      <c r="C257">
        <v>1381.9378024</v>
      </c>
    </row>
    <row r="258" spans="1:3" x14ac:dyDescent="0.25">
      <c r="A258">
        <v>10</v>
      </c>
      <c r="B258">
        <v>5</v>
      </c>
      <c r="C258">
        <v>1850.84849723</v>
      </c>
    </row>
    <row r="259" spans="1:3" x14ac:dyDescent="0.25">
      <c r="A259">
        <v>10</v>
      </c>
      <c r="B259">
        <v>6</v>
      </c>
      <c r="C259">
        <v>182.66586902399999</v>
      </c>
    </row>
    <row r="260" spans="1:3" x14ac:dyDescent="0.25">
      <c r="A260">
        <v>10</v>
      </c>
      <c r="B260">
        <v>7</v>
      </c>
      <c r="C260">
        <v>669.78848863400003</v>
      </c>
    </row>
    <row r="261" spans="1:3" x14ac:dyDescent="0.25">
      <c r="A261">
        <v>11</v>
      </c>
      <c r="B261">
        <v>1</v>
      </c>
      <c r="C261">
        <v>795.480141033</v>
      </c>
    </row>
    <row r="262" spans="1:3" x14ac:dyDescent="0.25">
      <c r="A262">
        <v>11</v>
      </c>
      <c r="B262">
        <v>4</v>
      </c>
      <c r="C262">
        <v>176.99529916899999</v>
      </c>
    </row>
    <row r="263" spans="1:3" x14ac:dyDescent="0.25">
      <c r="A263">
        <v>11</v>
      </c>
      <c r="B263">
        <v>5</v>
      </c>
      <c r="C263">
        <v>70.229121039099994</v>
      </c>
    </row>
    <row r="264" spans="1:3" x14ac:dyDescent="0.25">
      <c r="A264">
        <v>11</v>
      </c>
      <c r="B264">
        <v>7</v>
      </c>
      <c r="C264">
        <v>537.82217784099998</v>
      </c>
    </row>
    <row r="265" spans="1:3" x14ac:dyDescent="0.25">
      <c r="A265">
        <v>11</v>
      </c>
      <c r="B265">
        <v>1</v>
      </c>
      <c r="C265">
        <v>920.01587820300006</v>
      </c>
    </row>
    <row r="266" spans="1:3" x14ac:dyDescent="0.25">
      <c r="A266">
        <v>11</v>
      </c>
      <c r="B266">
        <v>4</v>
      </c>
      <c r="C266">
        <v>176.982881733</v>
      </c>
    </row>
    <row r="267" spans="1:3" x14ac:dyDescent="0.25">
      <c r="A267">
        <v>11</v>
      </c>
      <c r="B267">
        <v>5</v>
      </c>
      <c r="C267">
        <v>55.241414679199998</v>
      </c>
    </row>
    <row r="268" spans="1:3" x14ac:dyDescent="0.25">
      <c r="A268">
        <v>11</v>
      </c>
      <c r="B268">
        <v>7</v>
      </c>
      <c r="C268">
        <v>537.35265324600005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baseType="lpstr" size="42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input_districts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2017-10-26T15:43:21Z</dcterms:modified>
</cp:coreProperties>
</file>