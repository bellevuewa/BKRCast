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70" firstSheet="0" activeTab="0" autoFilterDateGrouping="1"/>
  </bookViews>
  <sheets>
    <sheet xmlns:r="http://schemas.openxmlformats.org/officeDocument/2006/relationships" name="Arrival_Time" sheetId="1" state="visible" r:id="rId1"/>
    <sheet xmlns:r="http://schemas.openxmlformats.org/officeDocument/2006/relationships" name="Departure_Time" sheetId="2" state="visible" r:id="rId2"/>
    <sheet xmlns:r="http://schemas.openxmlformats.org/officeDocument/2006/relationships" name="Duration" sheetId="3" state="visible" r:id="rId3"/>
    <sheet xmlns:r="http://schemas.openxmlformats.org/officeDocument/2006/relationships" name="Arrival_Time_Work" sheetId="4" state="visible" r:id="rId4"/>
    <sheet xmlns:r="http://schemas.openxmlformats.org/officeDocument/2006/relationships" name="Arrival_Time_School" sheetId="5" state="visible" r:id="rId5"/>
    <sheet xmlns:r="http://schemas.openxmlformats.org/officeDocument/2006/relationships" name="Arrival_Time_Other" sheetId="6" state="visible" r:id="rId6"/>
    <sheet xmlns:r="http://schemas.openxmlformats.org/officeDocument/2006/relationships" name="Arrival_Time_Workbased" sheetId="7" state="visible" r:id="rId7"/>
    <sheet xmlns:r="http://schemas.openxmlformats.org/officeDocument/2006/relationships" name="Depart_Time_Work" sheetId="8" state="visible" r:id="rId8"/>
    <sheet xmlns:r="http://schemas.openxmlformats.org/officeDocument/2006/relationships" name="Depart_Time_School" sheetId="9" state="visible" r:id="rId9"/>
    <sheet xmlns:r="http://schemas.openxmlformats.org/officeDocument/2006/relationships" name="Depart_Time_Other" sheetId="10" state="visible" r:id="rId10"/>
    <sheet xmlns:r="http://schemas.openxmlformats.org/officeDocument/2006/relationships" name="Depart_Time_Workbased" sheetId="11" state="visible" r:id="rId11"/>
    <sheet xmlns:r="http://schemas.openxmlformats.org/officeDocument/2006/relationships" name="Documentation" sheetId="12" state="visible" r:id="rId12"/>
    <sheet xmlns:r="http://schemas.openxmlformats.org/officeDocument/2006/relationships" name="SchoolTourTime" sheetId="13" state="visible" r:id="rId13"/>
    <sheet xmlns:r="http://schemas.openxmlformats.org/officeDocument/2006/relationships" name="WorkBasedSubtourTime" sheetId="14" state="visible" r:id="rId14"/>
    <sheet xmlns:r="http://schemas.openxmlformats.org/officeDocument/2006/relationships" name="Calibration" sheetId="15" state="visible" r:id="rId15"/>
  </sheets>
  <definedNames>
    <definedName name="DURDEST">Duration!$N$8:$Q$57</definedName>
    <definedName name="Other_Arrival">Arrival_Time_Other!$M$8:$T$59</definedName>
    <definedName name="out_1">Arrival_Time!$B$8:I58</definedName>
    <definedName name="out_11">Arrival_Time_Other!$B$8:I58</definedName>
    <definedName name="out_13">Arrival_Time_Workbased!$B$8:I58</definedName>
    <definedName name="out_15">Depart_Time_Work!$B$8:I58</definedName>
    <definedName name="out_17">Depart_Time_School!$B$8:I58</definedName>
    <definedName name="out_19">Depart_Time_Other!$B$8:I58</definedName>
    <definedName name="out_21">Depart_Time_Workbased!$B$8:I58</definedName>
    <definedName name="out_3">Departure_Time!$B$8:I58</definedName>
    <definedName name="out_5">Duration!$B$8:I56</definedName>
    <definedName name="out_7">Arrival_Time_Work!$B$8:I58</definedName>
    <definedName name="out_9">Arrival_Time_School!$B$8:I58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Arrival_Time!$N$8:$Q$58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Departure_Time!$N$8:$Q$58</definedName>
    <definedName name="out5">Duration!$B$8:$E$56</definedName>
    <definedName name="out6">Duration!$N$8:$Q$56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Arrival_Time!$N$8:$Q$59</definedName>
    <definedName name="TIMDEPPD">Departure_Time!$N$8:$Q$59</definedName>
    <definedName name="Work_Arrival">Arrival_Time_Work!$M$8:$T$59</definedName>
    <definedName name="Workbased_Arrival">Arrival_Time_Workbased!$M$8:$T$59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(* #,##0_);_(* \(#,##0\);_(* &quot;-&quot;??_);_(@_)"/>
    <numFmt numFmtId="165" formatCode="0.0%"/>
    <numFmt numFmtId="166" formatCode="0.00000000"/>
    <numFmt numFmtId="167" formatCode="0.000000"/>
    <numFmt numFmtId="168" formatCode="mm/dd/yyyy\ hh:mm:ss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u val="single"/>
      <scheme val="minor"/>
    </font>
    <font>
      <name val="Calibri"/>
      <family val="2"/>
      <sz val="11"/>
      <scheme val="minor"/>
    </font>
    <font>
      <name val="Calibri"/>
      <family val="2"/>
      <b val="1"/>
      <sz val="11"/>
      <u val="single"/>
      <scheme val="minor"/>
    </font>
    <font>
      <name val="Calibri"/>
      <family val="2"/>
      <b val="1"/>
      <sz val="11"/>
      <scheme val="minor"/>
    </font>
  </fonts>
  <fills count="7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3" fillId="0" borderId="0"/>
    <xf numFmtId="0" fontId="2" fillId="0" borderId="0" applyAlignment="1">
      <alignment wrapText="1"/>
    </xf>
    <xf numFmtId="0" fontId="3" fillId="2" borderId="0" applyAlignment="1">
      <alignment wrapText="1"/>
    </xf>
    <xf numFmtId="168" fontId="3" fillId="0" borderId="0" applyAlignment="1">
      <alignment wrapText="1"/>
    </xf>
    <xf numFmtId="0" fontId="3" fillId="0" borderId="0" applyAlignment="1">
      <alignment wrapText="1"/>
    </xf>
    <xf numFmtId="0" fontId="3" fillId="0" borderId="0" applyAlignment="1">
      <alignment wrapText="1"/>
    </xf>
    <xf numFmtId="0" fontId="3" fillId="0" borderId="0" applyAlignment="1">
      <alignment wrapText="1"/>
    </xf>
    <xf numFmtId="168" fontId="3" fillId="0" borderId="0" applyAlignment="1">
      <alignment wrapText="1"/>
    </xf>
    <xf numFmtId="43" fontId="3" fillId="0" borderId="0"/>
    <xf numFmtId="9" fontId="3" fillId="0" borderId="0"/>
  </cellStyleXfs>
  <cellXfs count="72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1" fillId="0" borderId="1" pivotButton="0" quotePrefix="0" xfId="0"/>
    <xf numFmtId="0" fontId="0" fillId="0" borderId="2" applyAlignment="1" pivotButton="0" quotePrefix="0" xfId="0">
      <alignment horizontal="center" vertical="top"/>
    </xf>
    <xf numFmtId="2" fontId="0" fillId="0" borderId="0" pivotButton="0" quotePrefix="0" xfId="0"/>
    <xf numFmtId="2" fontId="0" fillId="0" borderId="1" pivotButton="0" quotePrefix="0" xfId="0"/>
    <xf numFmtId="0" fontId="1" fillId="0" borderId="0" pivotButton="0" quotePrefix="0" xfId="0"/>
    <xf numFmtId="0" fontId="2" fillId="0" borderId="0" pivotButton="0" quotePrefix="0" xfId="1"/>
    <xf numFmtId="0" fontId="2" fillId="0" borderId="1" pivotButton="0" quotePrefix="0" xfId="1"/>
    <xf numFmtId="20" fontId="0" fillId="0" borderId="0" pivotButton="0" quotePrefix="0" xfId="0"/>
    <xf numFmtId="20" fontId="0" fillId="0" borderId="1" pivotButton="0" quotePrefix="0" xfId="0"/>
    <xf numFmtId="0" fontId="0" fillId="0" borderId="0" applyAlignment="1" pivotButton="0" quotePrefix="0" xfId="0">
      <alignment horizontal="center" vertical="top"/>
    </xf>
    <xf numFmtId="10" fontId="2" fillId="0" borderId="0" pivotButton="0" quotePrefix="0" xfId="1"/>
    <xf numFmtId="10" fontId="0" fillId="0" borderId="0" pivotButton="0" quotePrefix="0" xfId="0"/>
    <xf numFmtId="10" fontId="2" fillId="0" borderId="1" pivotButton="0" quotePrefix="0" xfId="1"/>
    <xf numFmtId="10" fontId="0" fillId="0" borderId="1" pivotButton="0" quotePrefix="0" xfId="0"/>
    <xf numFmtId="20" fontId="0" fillId="0" borderId="3" pivotButton="0" quotePrefix="0" xfId="0"/>
    <xf numFmtId="2" fontId="0" fillId="0" borderId="3" pivotButton="0" quotePrefix="0" xfId="0"/>
    <xf numFmtId="0" fontId="0" fillId="0" borderId="3" pivotButton="0" quotePrefix="0" xfId="0"/>
    <xf numFmtId="0" fontId="2" fillId="0" borderId="3" pivotButton="0" quotePrefix="0" xfId="1"/>
    <xf numFmtId="20" fontId="0" fillId="0" borderId="4" pivotButton="0" quotePrefix="0" xfId="0"/>
    <xf numFmtId="2" fontId="0" fillId="0" borderId="4" pivotButton="0" quotePrefix="0" xfId="0"/>
    <xf numFmtId="0" fontId="0" fillId="0" borderId="3" applyAlignment="1" pivotButton="0" quotePrefix="0" xfId="0">
      <alignment horizontal="center" vertical="top"/>
    </xf>
    <xf numFmtId="164" fontId="0" fillId="0" borderId="0" pivotButton="0" quotePrefix="0" xfId="8"/>
    <xf numFmtId="165" fontId="0" fillId="0" borderId="0" pivotButton="0" quotePrefix="0" xfId="9"/>
    <xf numFmtId="166" fontId="0" fillId="0" borderId="0" pivotButton="0" quotePrefix="0" xfId="0"/>
    <xf numFmtId="0" fontId="1" fillId="0" borderId="3" pivotButton="0" quotePrefix="0" xfId="0"/>
    <xf numFmtId="0" fontId="1" fillId="0" borderId="3" applyAlignment="1" pivotButton="0" quotePrefix="0" xfId="0">
      <alignment horizontal="right"/>
    </xf>
    <xf numFmtId="164" fontId="0" fillId="0" borderId="3" pivotButton="0" quotePrefix="0" xfId="8"/>
    <xf numFmtId="165" fontId="0" fillId="0" borderId="3" pivotButton="0" quotePrefix="0" xfId="9"/>
    <xf numFmtId="166" fontId="0" fillId="0" borderId="3" pivotButton="0" quotePrefix="0" xfId="0"/>
    <xf numFmtId="0" fontId="4" fillId="0" borderId="1" pivotButton="0" quotePrefix="0" xfId="0"/>
    <xf numFmtId="0" fontId="0" fillId="3" borderId="1" pivotButton="0" quotePrefix="0" xfId="0"/>
    <xf numFmtId="0" fontId="1" fillId="0" borderId="4" pivotButton="0" quotePrefix="0" xfId="0"/>
    <xf numFmtId="164" fontId="1" fillId="0" borderId="4" pivotButton="0" quotePrefix="0" xfId="0"/>
    <xf numFmtId="165" fontId="1" fillId="0" borderId="4" pivotButton="0" quotePrefix="0" xfId="9"/>
    <xf numFmtId="2" fontId="1" fillId="0" borderId="4" pivotButton="0" quotePrefix="0" xfId="0"/>
    <xf numFmtId="0" fontId="0" fillId="0" borderId="4" pivotButton="0" quotePrefix="0" xfId="0"/>
    <xf numFmtId="164" fontId="1" fillId="0" borderId="1" pivotButton="0" quotePrefix="0" xfId="0"/>
    <xf numFmtId="165" fontId="1" fillId="0" borderId="1" pivotButton="0" quotePrefix="0" xfId="9"/>
    <xf numFmtId="2" fontId="1" fillId="0" borderId="1" pivotButton="0" quotePrefix="0" xfId="0"/>
    <xf numFmtId="0" fontId="4" fillId="4" borderId="5" pivotButton="0" quotePrefix="0" xfId="0"/>
    <xf numFmtId="0" fontId="5" fillId="4" borderId="6" pivotButton="0" quotePrefix="0" xfId="0"/>
    <xf numFmtId="0" fontId="0" fillId="4" borderId="7" pivotButton="0" quotePrefix="0" xfId="0"/>
    <xf numFmtId="0" fontId="5" fillId="4" borderId="8" pivotButton="0" quotePrefix="0" xfId="0"/>
    <xf numFmtId="0" fontId="5" fillId="4" borderId="0" pivotButton="0" quotePrefix="0" xfId="0"/>
    <xf numFmtId="0" fontId="0" fillId="4" borderId="9" pivotButton="0" quotePrefix="0" xfId="0"/>
    <xf numFmtId="0" fontId="5" fillId="4" borderId="10" pivotButton="0" quotePrefix="0" xfId="0"/>
    <xf numFmtId="0" fontId="5" fillId="4" borderId="3" pivotButton="0" quotePrefix="0" xfId="0"/>
    <xf numFmtId="0" fontId="5" fillId="4" borderId="11" pivotButton="0" quotePrefix="0" xfId="0"/>
    <xf numFmtId="21" fontId="0" fillId="0" borderId="0" pivotButton="0" quotePrefix="0" xfId="0"/>
    <xf numFmtId="11" fontId="0" fillId="0" borderId="0" pivotButton="0" quotePrefix="0" xfId="0"/>
    <xf numFmtId="0" fontId="6" fillId="0" borderId="0" pivotButton="0" quotePrefix="0" xfId="0"/>
    <xf numFmtId="0" fontId="5" fillId="0" borderId="0" pivotButton="0" quotePrefix="0" xfId="0"/>
    <xf numFmtId="0" fontId="7" fillId="0" borderId="0" applyAlignment="1" pivotButton="0" quotePrefix="0" xfId="0">
      <alignment horizontal="right"/>
    </xf>
    <xf numFmtId="0" fontId="0" fillId="0" borderId="6" pivotButton="0" quotePrefix="0" xfId="0"/>
    <xf numFmtId="166" fontId="0" fillId="0" borderId="6" pivotButton="0" quotePrefix="0" xfId="0"/>
    <xf numFmtId="167" fontId="0" fillId="0" borderId="0" pivotButton="0" quotePrefix="0" xfId="0"/>
    <xf numFmtId="0" fontId="1" fillId="0" borderId="0" applyAlignment="1" pivotButton="0" quotePrefix="0" xfId="0">
      <alignment horizontal="right"/>
    </xf>
    <xf numFmtId="0" fontId="0" fillId="5" borderId="0" pivotButton="0" quotePrefix="0" xfId="0"/>
    <xf numFmtId="167" fontId="0" fillId="5" borderId="0" pivotButton="0" quotePrefix="0" xfId="0"/>
    <xf numFmtId="0" fontId="1" fillId="6" borderId="3" applyAlignment="1" pivotButton="0" quotePrefix="0" xfId="0">
      <alignment horizontal="right"/>
    </xf>
    <xf numFmtId="0" fontId="1" fillId="6" borderId="3" pivotButton="0" quotePrefix="0" xfId="0"/>
    <xf numFmtId="0" fontId="1" fillId="6" borderId="3" applyAlignment="1" pivotButton="0" quotePrefix="0" xfId="0">
      <alignment horizontal="left"/>
    </xf>
    <xf numFmtId="0" fontId="0" fillId="6" borderId="0" pivotButton="0" quotePrefix="0" xfId="0"/>
    <xf numFmtId="0" fontId="0" fillId="6" borderId="6" pivotButton="0" quotePrefix="0" xfId="0"/>
    <xf numFmtId="166" fontId="0" fillId="6" borderId="0" pivotButton="0" quotePrefix="0" xfId="0"/>
    <xf numFmtId="0" fontId="0" fillId="6" borderId="3" pivotButton="0" quotePrefix="0" xfId="0"/>
    <xf numFmtId="166" fontId="0" fillId="6" borderId="3" pivotButton="0" quotePrefix="0" xfId="0"/>
    <xf numFmtId="0" fontId="1" fillId="0" borderId="0" applyAlignment="1" pivotButton="0" quotePrefix="0" xfId="0">
      <alignment horizontal="center"/>
    </xf>
    <xf numFmtId="0" fontId="0" fillId="0" borderId="0" pivotButton="0" quotePrefix="0" xfId="0"/>
  </cellXfs>
  <cellStyles count="10">
    <cellStyle name="Normal" xfId="0" builtinId="0"/>
    <cellStyle name="XLConnect.General" xfId="1"/>
    <cellStyle name="XLConnect.Header" xfId="2"/>
    <cellStyle name="XLConnect.Date" xfId="3"/>
    <cellStyle name="XLConnect.String" xfId="4"/>
    <cellStyle name="XLConnect.Numeric" xfId="5"/>
    <cellStyle name="XLConnect.Boolean" xfId="6"/>
    <cellStyle name="XLConnect.DateTime" xfId="7"/>
    <cellStyle name="Comma" xfId="8" builtinId="3"/>
    <cellStyle name="Percent" xfId="9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Work Arrival Times</a:t>
            </a:r>
          </a:p>
        </rich>
      </tx>
      <overlay val="0"/>
    </title>
    <plotArea>
      <layout>
        <manualLayout>
          <layoutTarget val="inner"/>
          <xMode val="edge"/>
          <yMode val="edge"/>
          <wMode val="factor"/>
          <hMode val="factor"/>
          <x val="0.1073837742600516"/>
          <y val="0.1948035141440653"/>
          <w val="0.8491020715836126"/>
          <h val="0.6548221055701376"/>
        </manualLayout>
      </layout>
      <lineChart>
        <grouping val="standard"/>
        <varyColors val="0"/>
        <ser>
          <idx val="0"/>
          <order val="0"/>
          <tx>
            <v>Survey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Arrival_Time!$A$65:$A$115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Arrival_Time!$B$65:$B$115</f>
              <numCache>
                <formatCode>0.00%</formatCode>
                <ptCount val="51"/>
                <pt idx="0">
                  <v>0.0004191413152887674</v>
                </pt>
                <pt idx="1">
                  <v>0.004303511428147796</v>
                </pt>
                <pt idx="2">
                  <v>0.008708194716904658</v>
                </pt>
                <pt idx="3">
                  <v>0.01422184095518838</v>
                </pt>
                <pt idx="4">
                  <v>0.02154963617817173</v>
                </pt>
                <pt idx="5">
                  <v>0.03140734561266344</v>
                </pt>
                <pt idx="6">
                  <v>0.04411332380243597</v>
                </pt>
                <pt idx="7">
                  <v>0.05898759568759251</v>
                </pt>
                <pt idx="8">
                  <v>0.07402168615409996</v>
                </pt>
                <pt idx="9">
                  <v>0.08628652037941509</v>
                </pt>
                <pt idx="10">
                  <v>0.09301962319925317</v>
                </pt>
                <pt idx="11">
                  <v>0.0927424989616836</v>
                </pt>
                <pt idx="12">
                  <v>0.08574284551938421</v>
                </pt>
                <pt idx="13">
                  <v>0.07379998860127085</v>
                </pt>
                <pt idx="14">
                  <v>0.0594926550338822</v>
                </pt>
                <pt idx="15">
                  <v>0.04542888295263516</v>
                </pt>
                <pt idx="16">
                  <v>0.03357107293512282</v>
                </pt>
                <pt idx="17">
                  <v>0.02482441155066787</v>
                </pt>
                <pt idx="18">
                  <v>0.0190648241821318</v>
                </pt>
                <pt idx="19">
                  <v>0.01556971668379079</v>
                </pt>
                <pt idx="20">
                  <v>0.01354242924333944</v>
                </pt>
                <pt idx="21">
                  <v>0.01240501424304814</v>
                </pt>
                <pt idx="22">
                  <v>0.01178589471363205</v>
                </pt>
                <pt idx="23">
                  <v>0.01138133932209177</v>
                </pt>
                <pt idx="24">
                  <v>0.01090453125800081</v>
                </pt>
                <pt idx="25">
                  <v>0.0101660540114911</v>
                </pt>
                <pt idx="26">
                  <v>0.009151805237171703</v>
                </pt>
                <pt idx="27">
                  <v>0.007973407947349626</v>
                </pt>
                <pt idx="28">
                  <v>0.006738065711430798</v>
                </pt>
                <pt idx="29">
                  <v>0.005486129487910004</v>
                </pt>
                <pt idx="30">
                  <v>0.004242257276943445</v>
                </pt>
                <pt idx="31">
                  <v>0.003077666202496653</v>
                </pt>
                <pt idx="32">
                  <v>0.002091733793295163</v>
                </pt>
                <pt idx="33">
                  <v>0.001345790609669586</v>
                </pt>
                <pt idx="34">
                  <v>0.0008328974696883848</v>
                </pt>
                <pt idx="35">
                  <v>0.000503537542994171</v>
                </pt>
                <pt idx="36">
                  <v>0.0003040936309504399</v>
                </pt>
                <pt idx="37">
                  <v>0.0001932999662580096</v>
                </pt>
                <pt idx="38">
                  <v>0.0001396675762209147</v>
                </pt>
                <pt idx="39">
                  <v>0.0001167602394573379</v>
                </pt>
                <pt idx="40">
                  <v>0.0001036491700759082</v>
                </pt>
                <pt idx="41">
                  <v>8.790761239332718e-05</v>
                </pt>
                <pt idx="42">
                  <v>6.661952630332856e-05</v>
                </pt>
                <pt idx="43">
                  <v>4.354303212800452e-05</v>
                </pt>
                <pt idx="44">
                  <v>2.402131436844864e-05</v>
                </pt>
                <pt idx="45">
                  <v>1.098318005352847e-05</v>
                </pt>
                <pt idx="46">
                  <v>4.078163364880792e-06</v>
                </pt>
                <pt idx="47">
                  <v>1.197138942260542e-06</v>
                </pt>
                <pt idx="48">
                  <v>2.671656989960683e-07</v>
                </pt>
                <pt idx="49">
                  <v>4.236350097338927e-08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v>Daysim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Arrival_Time!$A$65:$A$115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Arrival_Time!$N$65:$N$115</f>
              <numCache>
                <formatCode>0.00%</formatCode>
                <ptCount val="51"/>
                <pt idx="0">
                  <v>0.0009612422488715993</v>
                </pt>
                <pt idx="1">
                  <v>0.003113778750770913</v>
                </pt>
                <pt idx="2">
                  <v>0.005583365605716145</v>
                </pt>
                <pt idx="3">
                  <v>0.008930684437511478</v>
                </pt>
                <pt idx="4">
                  <v>0.01405260715457549</v>
                </pt>
                <pt idx="5">
                  <v>0.02198060937353108</v>
                </pt>
                <pt idx="6">
                  <v>0.03336106246461817</v>
                </pt>
                <pt idx="7">
                  <v>0.04782927324046931</v>
                </pt>
                <pt idx="8">
                  <v>0.06366373543554052</v>
                </pt>
                <pt idx="9">
                  <v>0.07803476114208487</v>
                </pt>
                <pt idx="10">
                  <v>0.08785493436902683</v>
                </pt>
                <pt idx="11">
                  <v>0.09089394191675168</v>
                </pt>
                <pt idx="12">
                  <v>0.08664583739133225</v>
                </pt>
                <pt idx="13">
                  <v>0.07652720883453375</v>
                </pt>
                <pt idx="14">
                  <v>0.06329766957504136</v>
                </pt>
                <pt idx="15">
                  <v>0.0499778035595621</v>
                </pt>
                <pt idx="16">
                  <v>0.03879147624393007</v>
                </pt>
                <pt idx="17">
                  <v>0.03062412033422347</v>
                </pt>
                <pt idx="18">
                  <v>0.02516967187807785</v>
                </pt>
                <pt idx="19">
                  <v>0.02153693778137098</v>
                </pt>
                <pt idx="20">
                  <v>0.01887700743661768</v>
                </pt>
                <pt idx="21">
                  <v>0.01670090135871695</v>
                </pt>
                <pt idx="22">
                  <v>0.01484765602794615</v>
                </pt>
                <pt idx="23">
                  <v>0.01328870506107066</v>
                </pt>
                <pt idx="24">
                  <v>0.01197743583268584</v>
                </pt>
                <pt idx="25">
                  <v>0.01082567995651526</v>
                </pt>
                <pt idx="26">
                  <v>0.00975615768073051</v>
                </pt>
                <pt idx="27">
                  <v>0.008741113935509826</v>
                </pt>
                <pt idx="28">
                  <v>0.007787473878115353</v>
                </pt>
                <pt idx="29">
                  <v>0.006895423940498233</v>
                </pt>
                <pt idx="30">
                  <v>0.006038625100332809</v>
                </pt>
                <pt idx="31">
                  <v>0.005184596688380651</v>
                </pt>
                <pt idx="32">
                  <v>0.004331179218255326</v>
                </pt>
                <pt idx="33">
                  <v>0.003520027825259924</v>
                </pt>
                <pt idx="34">
                  <v>0.002811664841070666</v>
                </pt>
                <pt idx="35">
                  <v>0.002243926732595826</v>
                </pt>
                <pt idx="36">
                  <v>0.001809876008684681</v>
                </pt>
                <pt idx="37">
                  <v>0.001470226942847251</v>
                </pt>
                <pt idx="38">
                  <v>0.00118355826615593</v>
                </pt>
                <pt idx="39">
                  <v>0.0009272116570869146</v>
                </pt>
                <pt idx="40">
                  <v>0.0006976494794277815</v>
                </pt>
                <pt idx="41">
                  <v>0.000499323965107546</v>
                </pt>
                <pt idx="42">
                  <v>0.0003359416900663641</v>
                </pt>
                <pt idx="43">
                  <v>0.0002086455882870659</v>
                </pt>
                <pt idx="44">
                  <v>0.0001167841700622603</v>
                </pt>
                <pt idx="45">
                  <v>5.733869555762439e-05</v>
                </pt>
                <pt idx="46">
                  <v>2.401360056918402e-05</v>
                </pt>
                <pt idx="47">
                  <v>8.331190432307417e-06</v>
                </pt>
                <pt idx="48">
                  <v>2.315252437704562e-06</v>
                </pt>
                <pt idx="49">
                  <v>4.862414359419494e-07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9394176"/>
        <axId val="81255168"/>
      </lineChart>
      <catAx>
        <axId val="89394176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Time of Day</a:t>
                </a:r>
              </a:p>
            </rich>
          </tx>
          <overlay val="0"/>
        </title>
        <numFmt formatCode="General" sourceLinked="0"/>
        <majorTickMark val="none"/>
        <minorTickMark val="none"/>
        <tickLblPos val="nextTo"/>
        <txPr>
          <a:bodyPr xmlns:a="http://schemas.openxmlformats.org/drawingml/2006/main" rot="-5400000" vert="horz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/>
          </a:p>
        </txPr>
        <crossAx val="81255168"/>
        <crosses val="autoZero"/>
        <auto val="1"/>
        <lblAlgn val="ctr"/>
        <lblOffset val="100"/>
        <tickLblSkip val="2"/>
        <noMultiLvlLbl val="0"/>
      </catAx>
      <valAx>
        <axId val="81255168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Tour Share (%)</a:t>
                </a:r>
              </a:p>
            </rich>
          </tx>
          <overlay val="0"/>
        </title>
        <numFmt formatCode="0.0%" sourceLinked="0"/>
        <majorTickMark val="none"/>
        <minorTickMark val="none"/>
        <tickLblPos val="nextTo"/>
        <crossAx val="89394176"/>
        <crosses val="autoZero"/>
        <crossBetween val="between"/>
      </valAx>
    </plotArea>
    <legend>
      <legendPos val="r"/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School Arrival Times</a:t>
            </a:r>
          </a:p>
        </rich>
      </tx>
      <overlay val="0"/>
    </title>
    <plotArea>
      <layout>
        <manualLayout>
          <layoutTarget val="inner"/>
          <xMode val="edge"/>
          <yMode val="edge"/>
          <wMode val="factor"/>
          <hMode val="factor"/>
          <x val="0.1073837742600517"/>
          <y val="0.1948035141440653"/>
          <w val="0.8491020715836126"/>
          <h val="0.6548221055701376"/>
        </manualLayout>
      </layout>
      <lineChart>
        <grouping val="standard"/>
        <varyColors val="0"/>
        <ser>
          <idx val="0"/>
          <order val="0"/>
          <tx>
            <v>Survey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Arrival_Time!$A$65:$A$115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Arrival_Time!$C$65:$C$115</f>
              <numCache>
                <formatCode>0.00%</formatCode>
                <ptCount val="51"/>
                <pt idx="0">
                  <v>0</v>
                </pt>
                <pt idx="1">
                  <v>5.814644837783152e-05</v>
                </pt>
                <pt idx="2">
                  <v>0.000300401354837833</v>
                </pt>
                <pt idx="3">
                  <v>0.001233560689631947</v>
                </pt>
                <pt idx="4">
                  <v>0.004112086082833729</v>
                </pt>
                <pt idx="5">
                  <v>0.01125383741718631</v>
                </pt>
                <pt idx="6">
                  <v>0.02561747209316831</v>
                </pt>
                <pt idx="7">
                  <v>0.04908233288428295</v>
                </pt>
                <pt idx="8">
                  <v>0.0799450405454316</v>
                </pt>
                <pt idx="9">
                  <v>0.1115945713347886</v>
                </pt>
                <pt idx="10">
                  <v>0.1343561466897404</v>
                </pt>
                <pt idx="11">
                  <v>0.1402065130192177</v>
                </pt>
                <pt idx="12">
                  <v>0.1272837066232446</v>
                </pt>
                <pt idx="13">
                  <v>0.1008319949189784</v>
                </pt>
                <pt idx="14">
                  <v>0.07000016571333614</v>
                </pt>
                <pt idx="15">
                  <v>0.04305417947579992</v>
                </pt>
                <pt idx="16">
                  <v>0.0242307234840119</v>
                </pt>
                <pt idx="17">
                  <v>0.01356645901563128</v>
                </pt>
                <pt idx="18">
                  <v>0.008733102447687074</v>
                </pt>
                <pt idx="19">
                  <v>0.0070517452675554</v>
                </pt>
                <pt idx="20">
                  <v>0.006570764700322792</v>
                </pt>
                <pt idx="21">
                  <v>0.006227605349509641</v>
                </pt>
                <pt idx="22">
                  <v>0.005630930920846041</v>
                </pt>
                <pt idx="23">
                  <v>0.004812889802852478</v>
                </pt>
                <pt idx="24">
                  <v>0.003996019151673628</v>
                </pt>
                <pt idx="25">
                  <v>0.003375307165068286</v>
                </pt>
                <pt idx="26">
                  <v>0.002992835467412879</v>
                </pt>
                <pt idx="27">
                  <v>0.002753286014928031</v>
                </pt>
                <pt idx="28">
                  <v>0.002525767855163293</v>
                </pt>
                <pt idx="29">
                  <v>0.002234751879050765</v>
                </pt>
                <pt idx="30">
                  <v>0.001882006262926571</v>
                </pt>
                <pt idx="31">
                  <v>0.001508004490129932</v>
                </pt>
                <pt idx="32">
                  <v>0.001146011677197591</v>
                </pt>
                <pt idx="33">
                  <v>0.0008116779409899362</v>
                </pt>
                <pt idx="34">
                  <v>0.0005195581525686618</v>
                </pt>
                <pt idx="35">
                  <v>0.0002902032350485995</v>
                </pt>
                <pt idx="36">
                  <v>0.000136836371369212</v>
                </pt>
                <pt idx="37">
                  <v>5.280157619742754e-05</v>
                </pt>
                <pt idx="38">
                  <v>1.613103795114665e-05</v>
                </pt>
                <pt idx="39">
                  <v>3.740241231397549e-06</v>
                </pt>
                <pt idx="40">
                  <v>6.173946605314155e-07</v>
                </pt>
                <pt idx="41">
                  <v>6.458911630420674e-08</v>
                </pt>
                <pt idx="42">
                  <v>3.21804263997921e-09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v>Daysim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Arrival_Time!$A$65:$A$115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Arrival_Time!$O$65:$O$115</f>
              <numCache>
                <formatCode>0.00%</formatCode>
                <ptCount val="51"/>
                <pt idx="0">
                  <v>2.624139125849815e-05</v>
                </pt>
                <pt idx="1">
                  <v>0.0001864028951103196</v>
                </pt>
                <pt idx="2">
                  <v>0.0005266087811398244</v>
                </pt>
                <pt idx="3">
                  <v>0.001485390865169898</v>
                </pt>
                <pt idx="4">
                  <v>0.00401971477336315</v>
                </pt>
                <pt idx="5">
                  <v>0.00971577724498892</v>
                </pt>
                <pt idx="6">
                  <v>0.020437803500277</v>
                </pt>
                <pt idx="7">
                  <v>0.03731470097115604</v>
                </pt>
                <pt idx="8">
                  <v>0.05940518710966755</v>
                </pt>
                <pt idx="9">
                  <v>0.08298991277710054</v>
                </pt>
                <pt idx="10">
                  <v>0.1023986828336695</v>
                </pt>
                <pt idx="11">
                  <v>0.1123133382712662</v>
                </pt>
                <pt idx="12">
                  <v>0.11027202710433</v>
                </pt>
                <pt idx="13">
                  <v>0.09775507463084625</v>
                </pt>
                <pt idx="14">
                  <v>0.07918411108377375</v>
                </pt>
                <pt idx="15">
                  <v>0.05963486076959999</v>
                </pt>
                <pt idx="16">
                  <v>0.04279163006471749</v>
                </pt>
                <pt idx="17">
                  <v>0.03016879059732434</v>
                </pt>
                <pt idx="18">
                  <v>0.02155200291268234</v>
                </pt>
                <pt idx="19">
                  <v>0.01593673836579952</v>
                </pt>
                <pt idx="20">
                  <v>0.01229036365061055</v>
                </pt>
                <pt idx="21">
                  <v>0.009885696818331033</v>
                </pt>
                <pt idx="22">
                  <v>0.008301190417876971</v>
                </pt>
                <pt idx="23">
                  <v>0.007292490559198686</v>
                </pt>
                <pt idx="24">
                  <v>0.006684652203170193</v>
                </pt>
                <pt idx="25">
                  <v>0.006334296772755598</v>
                </pt>
                <pt idx="26">
                  <v>0.006137862699116268</v>
                </pt>
                <pt idx="27">
                  <v>0.006037872215312024</v>
                </pt>
                <pt idx="28">
                  <v>0.005999054875784922</v>
                </pt>
                <pt idx="29">
                  <v>0.005967429090864975</v>
                </pt>
                <pt idx="30">
                  <v>0.005853314346756664</v>
                </pt>
                <pt idx="31">
                  <v>0.005565721770196518</v>
                </pt>
                <pt idx="32">
                  <v>0.005075717987752318</v>
                </pt>
                <pt idx="33">
                  <v>0.004447204036679742</v>
                </pt>
                <pt idx="34">
                  <v>0.003795361030369598</v>
                </pt>
                <pt idx="35">
                  <v>0.003204257102161028</v>
                </pt>
                <pt idx="36">
                  <v>0.002679189705230942</v>
                </pt>
                <pt idx="37">
                  <v>0.002173581564232446</v>
                </pt>
                <pt idx="38">
                  <v>0.001655276372186733</v>
                </pt>
                <pt idx="39">
                  <v>0.001145744371683712</v>
                </pt>
                <pt idx="40">
                  <v>0.0007031367492476309</v>
                </pt>
                <pt idx="41">
                  <v>0.0003762042408964154</v>
                </pt>
                <pt idx="42">
                  <v>0.0001739343334375585</v>
                </pt>
                <pt idx="43">
                  <v>6.960880019383982e-05</v>
                </pt>
                <pt idx="44">
                  <v>2.455810497833083e-05</v>
                </pt>
                <pt idx="45">
                  <v>7.930422652712147e-06</v>
                </pt>
                <pt idx="46">
                  <v>2.433036513290765e-06</v>
                </pt>
                <pt idx="47">
                  <v>7.039481068811334e-07</v>
                </pt>
                <pt idx="48">
                  <v>1.795643058610348e-07</v>
                </pt>
                <pt idx="49">
                  <v>3.626615554296874e-08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4939264"/>
        <axId val="124978880"/>
      </lineChart>
      <catAx>
        <axId val="124939264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Time of Day</a:t>
                </a:r>
              </a:p>
            </rich>
          </tx>
          <overlay val="0"/>
        </title>
        <numFmt formatCode="General" sourceLinked="0"/>
        <majorTickMark val="none"/>
        <minorTickMark val="none"/>
        <tickLblPos val="nextTo"/>
        <txPr>
          <a:bodyPr xmlns:a="http://schemas.openxmlformats.org/drawingml/2006/main" rot="-5400000" vert="horz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/>
          </a:p>
        </txPr>
        <crossAx val="124978880"/>
        <crosses val="autoZero"/>
        <auto val="1"/>
        <lblAlgn val="ctr"/>
        <lblOffset val="100"/>
        <tickLblSkip val="2"/>
        <noMultiLvlLbl val="0"/>
      </catAx>
      <valAx>
        <axId val="124978880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Tour Share (%)</a:t>
                </a:r>
              </a:p>
            </rich>
          </tx>
          <overlay val="0"/>
        </title>
        <numFmt formatCode="0.0%" sourceLinked="0"/>
        <majorTickMark val="none"/>
        <minorTickMark val="none"/>
        <tickLblPos val="nextTo"/>
        <crossAx val="124939264"/>
        <crosses val="autoZero"/>
        <crossBetween val="between"/>
      </valAx>
    </plotArea>
    <legend>
      <legendPos val="r"/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Other Arrival Times</a:t>
            </a:r>
          </a:p>
        </rich>
      </tx>
      <overlay val="0"/>
    </title>
    <plotArea>
      <layout>
        <manualLayout>
          <layoutTarget val="inner"/>
          <xMode val="edge"/>
          <yMode val="edge"/>
          <wMode val="factor"/>
          <hMode val="factor"/>
          <x val="0.1073837742600517"/>
          <y val="0.1948035141440653"/>
          <w val="0.8491020715836126"/>
          <h val="0.6548221055701376"/>
        </manualLayout>
      </layout>
      <lineChart>
        <grouping val="standard"/>
        <varyColors val="0"/>
        <ser>
          <idx val="0"/>
          <order val="0"/>
          <tx>
            <v>Survey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Arrival_Time!$A$65:$A$115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Arrival_Time!$K$65:$K$115</f>
              <numCache>
                <formatCode>0.00%</formatCode>
                <ptCount val="51"/>
                <pt idx="0">
                  <v>0.0003019412667052592</v>
                </pt>
                <pt idx="1">
                  <v>0.0006458006471138257</v>
                </pt>
                <pt idx="2">
                  <v>0.001197711810405262</v>
                </pt>
                <pt idx="3">
                  <v>0.00212633373546648</v>
                </pt>
                <pt idx="4">
                  <v>0.003527389334461064</v>
                </pt>
                <pt idx="5">
                  <v>0.005430993760102663</v>
                </pt>
                <pt idx="6">
                  <v>0.007871214152289439</v>
                </pt>
                <pt idx="7">
                  <v>0.01095355498115803</v>
                </pt>
                <pt idx="8">
                  <v>0.01480043760350363</v>
                </pt>
                <pt idx="9">
                  <v>0.01935442664708073</v>
                </pt>
                <pt idx="10">
                  <v>0.02420634787329119</v>
                </pt>
                <pt idx="11">
                  <v>0.02865302042739839</v>
                </pt>
                <pt idx="12">
                  <v>0.03199160051817322</v>
                </pt>
                <pt idx="13">
                  <v>0.03384538628517082</v>
                </pt>
                <pt idx="14">
                  <v>0.03431775794860015</v>
                </pt>
                <pt idx="15">
                  <v>0.03392093276705534</v>
                </pt>
                <pt idx="16">
                  <v>0.03333269602824159</v>
                </pt>
                <pt idx="17">
                  <v>0.03308453062555656</v>
                </pt>
                <pt idx="18">
                  <v>0.03335158620010669</v>
                </pt>
                <pt idx="19">
                  <v>0.03400712539094419</v>
                </pt>
                <pt idx="20">
                  <v>0.03489864042103374</v>
                </pt>
                <pt idx="21">
                  <v>0.03605936293643164</v>
                </pt>
                <pt idx="22">
                  <v>0.03761264539109913</v>
                </pt>
                <pt idx="23">
                  <v>0.03947867833994547</v>
                </pt>
                <pt idx="24">
                  <v>0.04125199217066958</v>
                </pt>
                <pt idx="25">
                  <v>0.04244368944458336</v>
                </pt>
                <pt idx="26">
                  <v>0.04285795016976069</v>
                </pt>
                <pt idx="27">
                  <v>0.04270064384563856</v>
                </pt>
                <pt idx="28">
                  <v>0.04229463929760602</v>
                </pt>
                <pt idx="29">
                  <v>0.04167412013182022</v>
                </pt>
                <pt idx="30">
                  <v>0.04043392496312465</v>
                </pt>
                <pt idx="31">
                  <v>0.03796845227705316</v>
                </pt>
                <pt idx="32">
                  <v>0.03391119393501008</v>
                </pt>
                <pt idx="33">
                  <v>0.02844362309479765</v>
                </pt>
                <pt idx="34">
                  <v>0.02226263160835357</v>
                </pt>
                <pt idx="35">
                  <v>0.01626204635590212</v>
                </pt>
                <pt idx="36">
                  <v>0.01116870269653038</v>
                </pt>
                <pt idx="37">
                  <v>0.007339419378375161</v>
                </pt>
                <pt idx="38">
                  <v>0.00475876801198328</v>
                </pt>
                <pt idx="39">
                  <v>0.003161162236042223</v>
                </pt>
                <pt idx="40">
                  <v>0.002192013671301375</v>
                </pt>
                <pt idx="41">
                  <v>0.001548750583156971</v>
                </pt>
                <pt idx="42">
                  <v>0.001056519281844981</v>
                </pt>
                <pt idx="43">
                  <v>0.0006604871340528411</v>
                </pt>
                <pt idx="44">
                  <v>0.0003647206790357823</v>
                </pt>
                <pt idx="45">
                  <v>0.0001736118959423765</v>
                </pt>
                <pt idx="46">
                  <v>6.989780925091298e-05</v>
                </pt>
                <pt idx="47">
                  <v>2.333435266919959e-05</v>
                </pt>
                <pt idx="48">
                  <v>6.291563211556771e-06</v>
                </pt>
                <pt idx="49">
                  <v>1.298320948570007e-06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v>Daysim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Arrival_Time!$A$65:$A$115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Arrival_Time!$W$65:$W$115</f>
              <numCache>
                <formatCode>0.00%</formatCode>
                <ptCount val="51"/>
                <pt idx="0">
                  <v>0.002557527099915052</v>
                </pt>
                <pt idx="1">
                  <v>0.002887717195464979</v>
                </pt>
                <pt idx="2">
                  <v>0.003097359024893566</v>
                </pt>
                <pt idx="3">
                  <v>0.0032318860470041</v>
                </pt>
                <pt idx="4">
                  <v>0.003533167373652855</v>
                </pt>
                <pt idx="5">
                  <v>0.004325310393036229</v>
                </pt>
                <pt idx="6">
                  <v>0.005859633833768266</v>
                </pt>
                <pt idx="7">
                  <v>0.00822300018043118</v>
                </pt>
                <pt idx="8">
                  <v>0.01133720875496236</v>
                </pt>
                <pt idx="9">
                  <v>0.01501078484896843</v>
                </pt>
                <pt idx="10">
                  <v>0.0189899775533053</v>
                </pt>
                <pt idx="11">
                  <v>0.02298292098686887</v>
                </pt>
                <pt idx="12">
                  <v>0.02666907740516703</v>
                </pt>
                <pt idx="13">
                  <v>0.0297261313676294</v>
                </pt>
                <pt idx="14">
                  <v>0.0318946155677019</v>
                </pt>
                <pt idx="15">
                  <v>0.03306371510421345</v>
                </pt>
                <pt idx="16">
                  <v>0.03332597978869873</v>
                </pt>
                <pt idx="17">
                  <v>0.03294973300065159</v>
                </pt>
                <pt idx="18">
                  <v>0.03227021684811637</v>
                </pt>
                <pt idx="19">
                  <v>0.03156510792346544</v>
                </pt>
                <pt idx="20">
                  <v>0.03099196315591265</v>
                </pt>
                <pt idx="21">
                  <v>0.03061081561112834</v>
                </pt>
                <pt idx="22">
                  <v>0.03045290564223804</v>
                </pt>
                <pt idx="23">
                  <v>0.03057995277212319</v>
                </pt>
                <pt idx="24">
                  <v>0.03109788568202216</v>
                </pt>
                <pt idx="25">
                  <v>0.03211523419733996</v>
                </pt>
                <pt idx="26">
                  <v>0.03366769771630932</v>
                </pt>
                <pt idx="27">
                  <v>0.0356562227847265</v>
                </pt>
                <pt idx="28">
                  <v>0.03783011605454491</v>
                </pt>
                <pt idx="29">
                  <v>0.03980355875496379</v>
                </pt>
                <pt idx="30">
                  <v>0.04109757880430091</v>
                </pt>
                <pt idx="31">
                  <v>0.04124572037851758</v>
                </pt>
                <pt idx="32">
                  <v>0.03997375955932511</v>
                </pt>
                <pt idx="33">
                  <v>0.03734193502006983</v>
                </pt>
                <pt idx="34">
                  <v>0.03370021794353407</v>
                </pt>
                <pt idx="35">
                  <v>0.02946868280420924</v>
                </pt>
                <pt idx="36">
                  <v>0.02494229711403208</v>
                </pt>
                <pt idx="37">
                  <v>0.02028752893544153</v>
                </pt>
                <pt idx="38">
                  <v>0.01568030185981572</v>
                </pt>
                <pt idx="39">
                  <v>0.01139491864461882</v>
                </pt>
                <pt idx="40">
                  <v>0.007738335152605891</v>
                </pt>
                <pt idx="41">
                  <v>0.004906511147414021</v>
                </pt>
                <pt idx="42">
                  <v>0.002907801807863031</v>
                </pt>
                <pt idx="43">
                  <v>0.001605735153922439</v>
                </pt>
                <pt idx="44">
                  <v>0.0008156273375564256</v>
                </pt>
                <pt idx="45">
                  <v>0.0003721697960609004</v>
                </pt>
                <pt idx="46">
                  <v>0.0001478991469336441</v>
                </pt>
                <pt idx="47">
                  <v>4.943595270269794e-05</v>
                </pt>
                <pt idx="48">
                  <v>1.336971637236158e-05</v>
                </pt>
                <pt idx="49">
                  <v>2.751055479580231e-06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4939776"/>
        <axId val="124981184"/>
      </lineChart>
      <catAx>
        <axId val="124939776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Time of Day</a:t>
                </a:r>
              </a:p>
            </rich>
          </tx>
          <overlay val="0"/>
        </title>
        <numFmt formatCode="General" sourceLinked="0"/>
        <majorTickMark val="none"/>
        <minorTickMark val="none"/>
        <tickLblPos val="nextTo"/>
        <txPr>
          <a:bodyPr xmlns:a="http://schemas.openxmlformats.org/drawingml/2006/main" rot="-5400000" vert="horz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/>
          </a:p>
        </txPr>
        <crossAx val="124981184"/>
        <crosses val="autoZero"/>
        <auto val="1"/>
        <lblAlgn val="ctr"/>
        <lblOffset val="100"/>
        <tickLblSkip val="2"/>
        <noMultiLvlLbl val="0"/>
      </catAx>
      <valAx>
        <axId val="124981184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Tour Share (%)</a:t>
                </a:r>
              </a:p>
            </rich>
          </tx>
          <overlay val="0"/>
        </title>
        <numFmt formatCode="0.0%" sourceLinked="0"/>
        <majorTickMark val="none"/>
        <minorTickMark val="none"/>
        <tickLblPos val="nextTo"/>
        <crossAx val="124939776"/>
        <crosses val="autoZero"/>
        <crossBetween val="between"/>
      </valAx>
    </plotArea>
    <legend>
      <legendPos val="r"/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Work Departure Times</a:t>
            </a:r>
          </a:p>
        </rich>
      </tx>
      <overlay val="0"/>
    </title>
    <plotArea>
      <layout>
        <manualLayout>
          <layoutTarget val="inner"/>
          <xMode val="edge"/>
          <yMode val="edge"/>
          <wMode val="factor"/>
          <hMode val="factor"/>
          <x val="0.1073837742600517"/>
          <y val="0.1948035141440653"/>
          <w val="0.8491020715836126"/>
          <h val="0.6548221055701376"/>
        </manualLayout>
      </layout>
      <lineChart>
        <grouping val="standard"/>
        <varyColors val="0"/>
        <ser>
          <idx val="0"/>
          <order val="0"/>
          <tx>
            <v>Survey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Departure_Time!$A$65:$A$115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Departure_Time!$B$65:$B$115</f>
              <numCache>
                <formatCode>0.00%</formatCode>
                <ptCount val="51"/>
                <pt idx="0">
                  <v>0.001230524427288743</v>
                </pt>
                <pt idx="1">
                  <v>0.0008197891040765105</v>
                </pt>
                <pt idx="2">
                  <v>0.0004816215137819218</v>
                </pt>
                <pt idx="3">
                  <v>0.0002598134335708459</v>
                </pt>
                <pt idx="4">
                  <v>0.0001667157658618027</v>
                </pt>
                <pt idx="5">
                  <v>0.0002086350050104135</v>
                </pt>
                <pt idx="6">
                  <v>0.0004138369834875572</v>
                </pt>
                <pt idx="7">
                  <v>0.0008295885026730436</v>
                </pt>
                <pt idx="8">
                  <v>0.001476937232088238</v>
                </pt>
                <pt idx="9">
                  <v>0.002297391802558927</v>
                </pt>
                <pt idx="10">
                  <v>0.003157717476262144</v>
                </pt>
                <pt idx="11">
                  <v>0.00394670313595693</v>
                </pt>
                <pt idx="12">
                  <v>0.004701008027136509</v>
                </pt>
                <pt idx="13">
                  <v>0.005630261585455988</v>
                </pt>
                <pt idx="14">
                  <v>0.006979969452656387</v>
                </pt>
                <pt idx="15">
                  <v>0.008840787151128009</v>
                </pt>
                <pt idx="16">
                  <v>0.01110458586325747</v>
                </pt>
                <pt idx="17">
                  <v>0.01365232210004225</v>
                </pt>
                <pt idx="18">
                  <v>0.0166257657046529</v>
                </pt>
                <pt idx="19">
                  <v>0.02051721497920968</v>
                </pt>
                <pt idx="20">
                  <v>0.02594806306635087</v>
                </pt>
                <pt idx="21">
                  <v>0.03328932183469103</v>
                </pt>
                <pt idx="22">
                  <v>0.04242246963672543</v>
                </pt>
                <pt idx="23">
                  <v>0.05277513125722372</v>
                </pt>
                <pt idx="24">
                  <v>0.06346555387874274</v>
                </pt>
                <pt idx="25">
                  <v>0.07332178388161585</v>
                </pt>
                <pt idx="26">
                  <v>0.08081761410818875</v>
                </pt>
                <pt idx="27">
                  <v>0.08424484136517846</v>
                </pt>
                <pt idx="28">
                  <v>0.0823144984342578</v>
                </pt>
                <pt idx="29">
                  <v>0.07491186492570882</v>
                </pt>
                <pt idx="30">
                  <v>0.06342651683038743</v>
                </pt>
                <pt idx="31">
                  <v>0.05030467906473771</v>
                </pt>
                <pt idx="32">
                  <v>0.03804095239640561</v>
                </pt>
                <pt idx="33">
                  <v>0.02823226650599501</v>
                </pt>
                <pt idx="34">
                  <v>0.02124044856528289</v>
                </pt>
                <pt idx="35">
                  <v>0.01654678733910657</v>
                </pt>
                <pt idx="36">
                  <v>0.0134035968444615</v>
                </pt>
                <pt idx="37">
                  <v>0.0112634496271826</v>
                </pt>
                <pt idx="38">
                  <v>0.009780850429769165</v>
                </pt>
                <pt idx="39">
                  <v>0.008617599873061174</v>
                </pt>
                <pt idx="40">
                  <v>0.007401273359563011</v>
                </pt>
                <pt idx="41">
                  <v>0.005903595534687171</v>
                </pt>
                <pt idx="42">
                  <v>0.00419770254164436</v>
                </pt>
                <pt idx="43">
                  <v>0.002583100977103821</v>
                </pt>
                <pt idx="44">
                  <v>0.001345920305160134</v>
                </pt>
                <pt idx="45">
                  <v>0.0005825551651105874</v>
                </pt>
                <pt idx="46">
                  <v>0.0002051427609480031</v>
                </pt>
                <pt idx="47">
                  <v>5.722081883537192e-05</v>
                </pt>
                <pt idx="48">
                  <v>1.216447957501559e-05</v>
                </pt>
                <pt idx="49">
                  <v>1.844946143562866e-06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v>Daysim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Departure_Time!$A$65:$A$115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Departure_Time!$N$65:$N$115</f>
              <numCache>
                <formatCode>0.00%</formatCode>
                <ptCount val="51"/>
                <pt idx="0">
                  <v>0.006651056038562172</v>
                </pt>
                <pt idx="1">
                  <v>0.004449922994685877</v>
                </pt>
                <pt idx="2">
                  <v>0.002618748825434476</v>
                </pt>
                <pt idx="3">
                  <v>0.001363733334680259</v>
                </pt>
                <pt idx="4">
                  <v>0.0006824839400113278</v>
                </pt>
                <pt idx="5">
                  <v>0.0004454570620647373</v>
                </pt>
                <pt idx="6">
                  <v>0.0005116518464774897</v>
                </pt>
                <pt idx="7">
                  <v>0.0007913720200956063</v>
                </pt>
                <pt idx="8">
                  <v>0.001245581788958605</v>
                </pt>
                <pt idx="9">
                  <v>0.00187046532040216</v>
                </pt>
                <pt idx="10">
                  <v>0.002709983689696589</v>
                </pt>
                <pt idx="11">
                  <v>0.003884486377952853</v>
                </pt>
                <pt idx="12">
                  <v>0.005573987412151488</v>
                </pt>
                <pt idx="13">
                  <v>0.007912296403130127</v>
                </pt>
                <pt idx="14">
                  <v>0.01084349622368406</v>
                </pt>
                <pt idx="15">
                  <v>0.01407486403341825</v>
                </pt>
                <pt idx="16">
                  <v>0.01721052865928503</v>
                </pt>
                <pt idx="17">
                  <v>0.01998424290708474</v>
                </pt>
                <pt idx="18">
                  <v>0.02240617143524468</v>
                </pt>
                <pt idx="19">
                  <v>0.02472930875961672</v>
                </pt>
                <pt idx="20">
                  <v>0.02732668526667794</v>
                </pt>
                <pt idx="21">
                  <v>0.03062811317612536</v>
                </pt>
                <pt idx="22">
                  <v>0.03512483707209673</v>
                </pt>
                <pt idx="23">
                  <v>0.04129009852880432</v>
                </pt>
                <pt idx="24">
                  <v>0.04929876821691918</v>
                </pt>
                <pt idx="25">
                  <v>0.05864772541842481</v>
                </pt>
                <pt idx="26">
                  <v>0.06795410244023276</v>
                </pt>
                <pt idx="27">
                  <v>0.07516865975286929</v>
                </pt>
                <pt idx="28">
                  <v>0.0782245302352484</v>
                </pt>
                <pt idx="29">
                  <v>0.07588243117481151</v>
                </pt>
                <pt idx="30">
                  <v>0.06835061788560902</v>
                </pt>
                <pt idx="31">
                  <v>0.05728527356543086</v>
                </pt>
                <pt idx="32">
                  <v>0.04510078989200748</v>
                </pt>
                <pt idx="33">
                  <v>0.03397289923075179</v>
                </pt>
                <pt idx="34">
                  <v>0.02512183389634289</v>
                </pt>
                <pt idx="35">
                  <v>0.0187184476977764</v>
                </pt>
                <pt idx="36">
                  <v>0.01429026662347833</v>
                </pt>
                <pt idx="37">
                  <v>0.0112238767070992</v>
                </pt>
                <pt idx="38">
                  <v>0.009042263605760461</v>
                </pt>
                <pt idx="39">
                  <v>0.007419666761495024</v>
                </pt>
                <pt idx="40">
                  <v>0.006101602548221049</v>
                </pt>
                <pt idx="41">
                  <v>0.004885956897143439</v>
                </pt>
                <pt idx="42">
                  <v>0.0036754680275961</v>
                </pt>
                <pt idx="43">
                  <v>0.002509297327332565</v>
                </pt>
                <pt idx="44">
                  <v>0.001510182402054375</v>
                </pt>
                <pt idx="45">
                  <v>0.0007818229766404385</v>
                </pt>
                <pt idx="46">
                  <v>0.0003403463784025002</v>
                </pt>
                <pt idx="47">
                  <v>0.0001215923488057392</v>
                </pt>
                <pt idx="48">
                  <v>3.459581201998303e-05</v>
                </pt>
                <pt idx="49">
                  <v>7.409061184595451e-06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4078080"/>
        <axId val="58171968"/>
      </lineChart>
      <catAx>
        <axId val="84078080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Time of Day</a:t>
                </a:r>
              </a:p>
            </rich>
          </tx>
          <overlay val="0"/>
        </title>
        <numFmt formatCode="General" sourceLinked="0"/>
        <majorTickMark val="none"/>
        <minorTickMark val="none"/>
        <tickLblPos val="nextTo"/>
        <txPr>
          <a:bodyPr xmlns:a="http://schemas.openxmlformats.org/drawingml/2006/main" rot="-5400000" vert="horz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/>
          </a:p>
        </txPr>
        <crossAx val="58171968"/>
        <crosses val="autoZero"/>
        <auto val="1"/>
        <lblAlgn val="ctr"/>
        <lblOffset val="100"/>
        <tickLblSkip val="2"/>
        <noMultiLvlLbl val="0"/>
      </catAx>
      <valAx>
        <axId val="58171968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Tour Share (%)</a:t>
                </a:r>
              </a:p>
            </rich>
          </tx>
          <overlay val="0"/>
        </title>
        <numFmt formatCode="0.0%" sourceLinked="0"/>
        <majorTickMark val="none"/>
        <minorTickMark val="none"/>
        <tickLblPos val="nextTo"/>
        <crossAx val="84078080"/>
        <crosses val="autoZero"/>
        <crossBetween val="between"/>
      </valAx>
    </plotArea>
    <legend>
      <legendPos val="r"/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Other Departure Times</a:t>
            </a:r>
          </a:p>
        </rich>
      </tx>
      <overlay val="0"/>
    </title>
    <plotArea>
      <layout>
        <manualLayout>
          <layoutTarget val="inner"/>
          <xMode val="edge"/>
          <yMode val="edge"/>
          <wMode val="factor"/>
          <hMode val="factor"/>
          <x val="0.1073837742600517"/>
          <y val="0.1948035141440653"/>
          <w val="0.8491020715836126"/>
          <h val="0.6548221055701376"/>
        </manualLayout>
      </layout>
      <lineChart>
        <grouping val="standard"/>
        <varyColors val="0"/>
        <ser>
          <idx val="0"/>
          <order val="0"/>
          <tx>
            <v>Survey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Departure_Time!$A$65:$A$115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Departure_Time!$K$65:$K$115</f>
              <numCache>
                <formatCode>0.00%</formatCode>
                <ptCount val="51"/>
                <pt idx="0">
                  <v>0.001266037689821604</v>
                </pt>
                <pt idx="1">
                  <v>0.001050958875336</v>
                </pt>
                <pt idx="2">
                  <v>0.0009564702222025626</v>
                </pt>
                <pt idx="3">
                  <v>0.001075203264373096</v>
                </pt>
                <pt idx="4">
                  <v>0.001483286919295127</v>
                </pt>
                <pt idx="5">
                  <v>0.002289158307319047</v>
                </pt>
                <pt idx="6">
                  <v>0.003664778489810335</v>
                </pt>
                <pt idx="7">
                  <v>0.005794434479212678</v>
                </pt>
                <pt idx="8">
                  <v>0.008740419101600713</v>
                </pt>
                <pt idx="9">
                  <v>0.01231518400228615</v>
                </pt>
                <pt idx="10">
                  <v>0.0160737876462353</v>
                </pt>
                <pt idx="11">
                  <v>0.01946746767153403</v>
                </pt>
                <pt idx="12">
                  <v>0.02208801126073812</v>
                </pt>
                <pt idx="13">
                  <v>0.02385853470607435</v>
                </pt>
                <pt idx="14">
                  <v>0.0250372378159414</v>
                </pt>
                <pt idx="15">
                  <v>0.02601719221751587</v>
                </pt>
                <pt idx="16">
                  <v>0.02706757157679178</v>
                </pt>
                <pt idx="17">
                  <v>0.0282186552639158</v>
                </pt>
                <pt idx="18">
                  <v>0.029365004331292</v>
                </pt>
                <pt idx="19">
                  <v>0.03047398157271434</v>
                </pt>
                <pt idx="20">
                  <v>0.0317213298580663</v>
                </pt>
                <pt idx="21">
                  <v>0.03344725769835557</v>
                </pt>
                <pt idx="22">
                  <v>0.03593411885075878</v>
                </pt>
                <pt idx="23">
                  <v>0.03911278423261783</v>
                </pt>
                <pt idx="24">
                  <v>0.04240672111097436</v>
                </pt>
                <pt idx="25">
                  <v>0.04491455579935815</v>
                </pt>
                <pt idx="26">
                  <v>0.04590335556213136</v>
                </pt>
                <pt idx="27">
                  <v>0.0452755686182451</v>
                </pt>
                <pt idx="28">
                  <v>0.04362014487284156</v>
                </pt>
                <pt idx="29">
                  <v>0.04178685103420346</v>
                </pt>
                <pt idx="30">
                  <v>0.04032739059874158</v>
                </pt>
                <pt idx="31">
                  <v>0.03922313217383027</v>
                </pt>
                <pt idx="32">
                  <v>0.03802289257525657</v>
                </pt>
                <pt idx="33">
                  <v>0.03618168485324059</v>
                </pt>
                <pt idx="34">
                  <v>0.03333682564222493</v>
                </pt>
                <pt idx="35">
                  <v>0.02943712540642121</v>
                </pt>
                <pt idx="36">
                  <v>0.02476658511460789</v>
                </pt>
                <pt idx="37">
                  <v>0.01986079019153251</v>
                </pt>
                <pt idx="38">
                  <v>0.01529009689962359</v>
                </pt>
                <pt idx="39">
                  <v>0.01140937772139873</v>
                </pt>
                <pt idx="40">
                  <v>0.008267512359880371</v>
                </pt>
                <pt idx="41">
                  <v>0.005737468125161188</v>
                </pt>
                <pt idx="42">
                  <v>0.003709995686317062</v>
                </pt>
                <pt idx="43">
                  <v>0.002165437237037678</v>
                </pt>
                <pt idx="44">
                  <v>0.001108175761789159</v>
                </pt>
                <pt idx="45">
                  <v>0.0004848998362901112</v>
                </pt>
                <pt idx="46">
                  <v>0.0001772199000683848</v>
                </pt>
                <pt idx="47">
                  <v>5.275313996576061e-05</v>
                </pt>
                <pt idx="48">
                  <v>1.239463863416018e-05</v>
                </pt>
                <pt idx="49">
                  <v>2.179086415337042e-06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v>Daysim</v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Departure_Time!$A$65:$A$115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Departure_Time!$W$65:$W$115</f>
              <numCache>
                <formatCode>0.00%</formatCode>
                <ptCount val="51"/>
                <pt idx="0">
                  <v>0.005426038833705256</v>
                </pt>
                <pt idx="1">
                  <v>0.004531502055148257</v>
                </pt>
                <pt idx="2">
                  <v>0.003749660415390768</v>
                </pt>
                <pt idx="3">
                  <v>0.003201393128464799</v>
                </pt>
                <pt idx="4">
                  <v>0.003012997378980773</v>
                </pt>
                <pt idx="5">
                  <v>0.00330427226161313</v>
                </pt>
                <pt idx="6">
                  <v>0.004172098515794188</v>
                </pt>
                <pt idx="7">
                  <v>0.00566764405573868</v>
                </pt>
                <pt idx="8">
                  <v>0.007771344367071116</v>
                </pt>
                <pt idx="9">
                  <v>0.01038509716551473</v>
                </pt>
                <pt idx="10">
                  <v>0.01335682781049646</v>
                </pt>
                <pt idx="11">
                  <v>0.01652272114777154</v>
                </pt>
                <pt idx="12">
                  <v>0.01972983577173606</v>
                </pt>
                <pt idx="13">
                  <v>0.0228190905081061</v>
                </pt>
                <pt idx="14">
                  <v>0.02559609956549479</v>
                </pt>
                <pt idx="15">
                  <v>0.02784453715986815</v>
                </pt>
                <pt idx="16">
                  <v>0.02940238444220294</v>
                </pt>
                <pt idx="17">
                  <v>0.03025018930069051</v>
                </pt>
                <pt idx="18">
                  <v>0.0305316986890866</v>
                </pt>
                <pt idx="19">
                  <v>0.03048387500586758</v>
                </pt>
                <pt idx="20">
                  <v>0.0303375436466816</v>
                </pt>
                <pt idx="21">
                  <v>0.03026401981805616</v>
                </pt>
                <pt idx="22">
                  <v>0.03037337856439619</v>
                </pt>
                <pt idx="23">
                  <v>0.03071164367699375</v>
                </pt>
                <pt idx="24">
                  <v>0.03123697037163378</v>
                </pt>
                <pt idx="25">
                  <v>0.0318268916537154</v>
                </pt>
                <pt idx="26">
                  <v>0.03236269536117621</v>
                </pt>
                <pt idx="27">
                  <v>0.03284440064766754</v>
                </pt>
                <pt idx="28">
                  <v>0.03343102317002002</v>
                </pt>
                <pt idx="29">
                  <v>0.03435286897273619</v>
                </pt>
                <pt idx="30">
                  <v>0.03574141601125306</v>
                </pt>
                <pt idx="31">
                  <v>0.03747331246630966</v>
                </pt>
                <pt idx="32">
                  <v>0.03911660051933008</v>
                </pt>
                <pt idx="33">
                  <v>0.04002962127923052</v>
                </pt>
                <pt idx="34">
                  <v>0.03959902329190228</v>
                </pt>
                <pt idx="35">
                  <v>0.0375168351236724</v>
                </pt>
                <pt idx="36">
                  <v>0.03393971164542076</v>
                </pt>
                <pt idx="37">
                  <v>0.02941516863079373</v>
                </pt>
                <pt idx="38">
                  <v>0.02460553122018364</v>
                </pt>
                <pt idx="39">
                  <v>0.01999140429914359</v>
                </pt>
                <pt idx="40">
                  <v>0.01575442074801704</v>
                </pt>
                <pt idx="41">
                  <v>0.01188871266750753</v>
                </pt>
                <pt idx="42">
                  <v>0.008402318933272085</v>
                </pt>
                <pt idx="43">
                  <v>0.005418103058433469</v>
                </pt>
                <pt idx="44">
                  <v>0.003106445612961332</v>
                </pt>
                <pt idx="45">
                  <v>0.001545602007039676</v>
                </pt>
                <pt idx="46">
                  <v>0.0006516247572937977</v>
                </pt>
                <pt idx="47">
                  <v>0.0002268721275383867</v>
                </pt>
                <pt idx="48">
                  <v>6.32172220589202e-05</v>
                </pt>
                <pt idx="49">
                  <v>1.331491681871057e-05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281984"/>
        <axId val="58176576"/>
      </lineChart>
      <catAx>
        <axId val="58281984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Time of Day</a:t>
                </a:r>
              </a:p>
            </rich>
          </tx>
          <overlay val="0"/>
        </title>
        <numFmt formatCode="General" sourceLinked="0"/>
        <majorTickMark val="none"/>
        <minorTickMark val="none"/>
        <tickLblPos val="nextTo"/>
        <txPr>
          <a:bodyPr xmlns:a="http://schemas.openxmlformats.org/drawingml/2006/main" rot="-5400000" vert="horz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/>
          </a:p>
        </txPr>
        <crossAx val="58176576"/>
        <crosses val="autoZero"/>
        <auto val="1"/>
        <lblAlgn val="ctr"/>
        <lblOffset val="100"/>
        <tickLblSkip val="2"/>
        <noMultiLvlLbl val="0"/>
      </catAx>
      <valAx>
        <axId val="58176576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Tour Share (%)</a:t>
                </a:r>
              </a:p>
            </rich>
          </tx>
          <overlay val="0"/>
        </title>
        <numFmt formatCode="0.0%" sourceLinked="0"/>
        <majorTickMark val="none"/>
        <minorTickMark val="none"/>
        <tickLblPos val="nextTo"/>
        <crossAx val="58281984"/>
        <crosses val="autoZero"/>
        <crossBetween val="between"/>
      </valAx>
    </plotArea>
    <legend>
      <legendPos val="r"/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v>Survey</v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Departure_Time!$A$65:$A$115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Departure_Time!$C$65:$C$115</f>
              <numCache>
                <formatCode>0.00%</formatCode>
                <ptCount val="51"/>
                <pt idx="0">
                  <v>0</v>
                </pt>
                <pt idx="1">
                  <v>3.325604159548519e-06</v>
                </pt>
                <pt idx="2">
                  <v>9.104875537946777e-06</v>
                </pt>
                <pt idx="3">
                  <v>1.909757336655025e-05</v>
                </pt>
                <pt idx="4">
                  <v>3.407001566535609e-05</v>
                </pt>
                <pt idx="5">
                  <v>5.554791168869354e-05</v>
                </pt>
                <pt idx="6">
                  <v>9.10684237593373e-05</v>
                </pt>
                <pt idx="7">
                  <v>0.0001600015519272886</v>
                </pt>
                <pt idx="8">
                  <v>0.0002909898526004663</v>
                </pt>
                <pt idx="9">
                  <v>0.0005047892584030184</v>
                </pt>
                <pt idx="10">
                  <v>0.0007946274338475296</v>
                </pt>
                <pt idx="11">
                  <v>0.00113179316142715</v>
                </pt>
                <pt idx="12">
                  <v>0.001503663768152372</v>
                </pt>
                <pt idx="13">
                  <v>0.001945608940221747</v>
                </pt>
                <pt idx="14">
                  <v>0.002528814547924508</v>
                </pt>
                <pt idx="15">
                  <v>0.003342888486642052</v>
                </pt>
                <pt idx="16">
                  <v>0.004575529712421589</v>
                </pt>
                <pt idx="17">
                  <v>0.006745749182439869</v>
                </pt>
                <pt idx="18">
                  <v>0.01101152603876718</v>
                </pt>
                <pt idx="19">
                  <v>0.0192924357644116</v>
                </pt>
                <pt idx="20">
                  <v>0.03377420706223896</v>
                </pt>
                <pt idx="21">
                  <v>0.05548905722358894</v>
                </pt>
                <pt idx="22">
                  <v>0.08245605465255845</v>
                </pt>
                <pt idx="23">
                  <v>0.1088929561016496</v>
                </pt>
                <pt idx="24">
                  <v>0.1269316358496514</v>
                </pt>
                <pt idx="25">
                  <v>0.1304418996921301</v>
                </pt>
                <pt idx="26">
                  <v>0.1184631351664385</v>
                </pt>
                <pt idx="27">
                  <v>0.09565681953026668</v>
                </pt>
                <pt idx="28">
                  <v>0.06949273117848113</v>
                </pt>
                <pt idx="29">
                  <v>0.04638833798852215</v>
                </pt>
                <pt idx="30">
                  <v>0.02941463346042439</v>
                </pt>
                <pt idx="31">
                  <v>0.01845060163157499</v>
                </pt>
                <pt idx="32">
                  <v>0.01177391979129174</v>
                </pt>
                <pt idx="33">
                  <v>0.00759287413526249</v>
                </pt>
                <pt idx="34">
                  <v>0.00476228719380729</v>
                </pt>
                <pt idx="35">
                  <v>0.002775272919199146</v>
                </pt>
                <pt idx="36">
                  <v>0.001455149658165091</v>
                </pt>
                <pt idx="37">
                  <v>0.0006875043508937745</v>
                </pt>
                <pt idx="38">
                  <v>0.0003192563302479679</v>
                </pt>
                <pt idx="39">
                  <v>0.000182349286393952</v>
                </pt>
                <pt idx="40">
                  <v>0.0001444845468740082</v>
                </pt>
                <pt idx="41">
                  <v>0.0001297807163089372</v>
                </pt>
                <pt idx="42">
                  <v>0.0001090857890918966</v>
                </pt>
                <pt idx="43">
                  <v>8.010925670881038e-05</v>
                </pt>
                <pt idx="44">
                  <v>5.038662018667989e-05</v>
                </pt>
                <pt idx="45">
                  <v>2.686376134208081e-05</v>
                </pt>
                <pt idx="46">
                  <v>1.19920938479494e-05</v>
                </pt>
                <pt idx="47">
                  <v>4.401782454493203e-06</v>
                </pt>
                <pt idx="48">
                  <v>1.293011220325714e-06</v>
                </pt>
                <pt idx="49">
                  <v>2.871158146205644e-07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v>Daysim</v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Departure_Time!$A$65:$A$115</f>
              <strCache>
                <ptCount val="51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  <pt idx="50">
                  <v>After 27:30</v>
                </pt>
              </strCache>
            </strRef>
          </cat>
          <val>
            <numRef>
              <f>Departure_Time!$O$65:$O$115</f>
              <numCache>
                <formatCode>0.00%</formatCode>
                <ptCount val="51"/>
                <pt idx="0">
                  <v>7.734342560726782e-05</v>
                </pt>
                <pt idx="1">
                  <v>8.48529219966634e-05</v>
                </pt>
                <pt idx="2">
                  <v>8.227506408348637e-05</v>
                </pt>
                <pt idx="3">
                  <v>7.032328174348307e-05</v>
                </pt>
                <pt idx="4">
                  <v>6.319721875846531e-05</v>
                </pt>
                <pt idx="5">
                  <v>8.347564694680405e-05</v>
                </pt>
                <pt idx="6">
                  <v>0.0001544494295599625</v>
                </pt>
                <pt idx="7">
                  <v>0.0002926689124550563</v>
                </pt>
                <pt idx="8">
                  <v>0.0005028957003985759</v>
                </pt>
                <pt idx="9">
                  <v>0.0007828786354298946</v>
                </pt>
                <pt idx="10">
                  <v>0.00114481770296931</v>
                </pt>
                <pt idx="11">
                  <v>0.001643444887121843</v>
                </pt>
                <pt idx="12">
                  <v>0.002380545380692963</v>
                </pt>
                <pt idx="13">
                  <v>0.003465922845821271</v>
                </pt>
                <pt idx="14">
                  <v>0.004969569415067402</v>
                </pt>
                <pt idx="15">
                  <v>0.006952978423531204</v>
                </pt>
                <pt idx="16">
                  <v>0.00963199075369626</v>
                </pt>
                <pt idx="17">
                  <v>0.01357239537902859</v>
                </pt>
                <pt idx="18">
                  <v>0.01968085099903411</v>
                </pt>
                <pt idx="19">
                  <v>0.02883699771590203</v>
                </pt>
                <pt idx="20">
                  <v>0.04133260948065611</v>
                </pt>
                <pt idx="21">
                  <v>0.05650420835228943</v>
                </pt>
                <pt idx="22">
                  <v>0.07274659099608236</v>
                </pt>
                <pt idx="23">
                  <v>0.08772500398933995</v>
                </pt>
                <pt idx="24">
                  <v>0.09864081119758918</v>
                </pt>
                <pt idx="25">
                  <v>0.1027919176127802</v>
                </pt>
                <pt idx="26">
                  <v>0.09862048557687908</v>
                </pt>
                <pt idx="27">
                  <v>0.08672934395447962</v>
                </pt>
                <pt idx="28">
                  <v>0.06993013920221178</v>
                </pt>
                <pt idx="29">
                  <v>0.05205113815704539</v>
                </pt>
                <pt idx="30">
                  <v>0.03631666909033857</v>
                </pt>
                <pt idx="31">
                  <v>0.02437506649352222</v>
                </pt>
                <pt idx="32">
                  <v>0.01633866968942469</v>
                </pt>
                <pt idx="33">
                  <v>0.01142029381687291</v>
                </pt>
                <pt idx="34">
                  <v>0.008588147252240148</v>
                </pt>
                <pt idx="35">
                  <v>0.006960281291213076</v>
                </pt>
                <pt idx="36">
                  <v>0.005948975796379227</v>
                </pt>
                <pt idx="37">
                  <v>0.005247646751172074</v>
                </pt>
                <pt idx="38">
                  <v>0.004728680285054191</v>
                </pt>
                <pt idx="39">
                  <v>0.004315632730211768</v>
                </pt>
                <pt idx="40">
                  <v>0.003905818759158089</v>
                </pt>
                <pt idx="41">
                  <v>0.003386607951226726</v>
                </pt>
                <pt idx="42">
                  <v>0.002709836238751187</v>
                </pt>
                <pt idx="43">
                  <v>0.001937797769304083</v>
                </pt>
                <pt idx="44">
                  <v>0.001207338779385219</v>
                </pt>
                <pt idx="45">
                  <v>0.0006416481024114219</v>
                </pt>
                <pt idx="46">
                  <v>0.0002850345484348674</v>
                </pt>
                <pt idx="47">
                  <v>0.0001034659147202926</v>
                </pt>
                <pt idx="48">
                  <v>2.98160577071601e-05</v>
                </pt>
                <pt idx="49">
                  <v>6.450423274518647e-06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39691184"/>
        <axId val="517367264"/>
      </lineChart>
      <catAx>
        <axId val="439691184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7367264"/>
        <crosses val="autoZero"/>
        <auto val="1"/>
        <lblAlgn val="ctr"/>
        <lblOffset val="100"/>
        <noMultiLvlLbl val="0"/>
      </catAx>
      <valAx>
        <axId val="5173672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969118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Work Durations</a:t>
            </a:r>
          </a:p>
        </rich>
      </tx>
      <overlay val="0"/>
    </title>
    <plotArea>
      <layout>
        <manualLayout>
          <layoutTarget val="inner"/>
          <xMode val="edge"/>
          <yMode val="edge"/>
          <wMode val="factor"/>
          <hMode val="factor"/>
          <x val="0.1073837742600517"/>
          <y val="0.1948035141440653"/>
          <w val="0.8491020715836126"/>
          <h val="0.6548221055701376"/>
        </manualLayout>
      </layout>
      <lineChart>
        <grouping val="standard"/>
        <varyColors val="0"/>
        <ser>
          <idx val="0"/>
          <order val="0"/>
          <tx>
            <strRef>
              <f>Duration!$B$64</f>
              <strCache>
                <ptCount val="1"/>
                <pt idx="0">
                  <v>Work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Duration!$A$65:$A$89</f>
              <numCache>
                <formatCode>h:mm</formatCode>
                <ptCount val="25"/>
                <pt idx="0">
                  <v>0</v>
                </pt>
                <pt idx="1">
                  <v>0.02083333333333333</v>
                </pt>
                <pt idx="2">
                  <v>0.04166666666666666</v>
                </pt>
                <pt idx="3">
                  <v>0.0625</v>
                </pt>
                <pt idx="4">
                  <v>0.08333333333333333</v>
                </pt>
                <pt idx="5">
                  <v>0.1041666666666667</v>
                </pt>
                <pt idx="6">
                  <v>0.125</v>
                </pt>
                <pt idx="7">
                  <v>0.1458333333333333</v>
                </pt>
                <pt idx="8">
                  <v>0.1666666666666667</v>
                </pt>
                <pt idx="9">
                  <v>0.1875</v>
                </pt>
                <pt idx="10">
                  <v>0.2083333333333333</v>
                </pt>
                <pt idx="11">
                  <v>0.2291666666666667</v>
                </pt>
                <pt idx="12">
                  <v>0.25</v>
                </pt>
                <pt idx="13">
                  <v>0.2708333333333333</v>
                </pt>
                <pt idx="14">
                  <v>0.2916666666666667</v>
                </pt>
                <pt idx="15">
                  <v>0.3125</v>
                </pt>
                <pt idx="16">
                  <v>0.3333333333333333</v>
                </pt>
                <pt idx="17">
                  <v>0.3541666666666667</v>
                </pt>
                <pt idx="18">
                  <v>0.375</v>
                </pt>
                <pt idx="19">
                  <v>0.3958333333333333</v>
                </pt>
                <pt idx="20">
                  <v>0.4166666666666667</v>
                </pt>
                <pt idx="21">
                  <v>0.4375</v>
                </pt>
                <pt idx="22">
                  <v>0.4583333333333333</v>
                </pt>
                <pt idx="23">
                  <v>0.4791666666666667</v>
                </pt>
                <pt idx="24">
                  <v>0.5</v>
                </pt>
              </numCache>
            </numRef>
          </cat>
          <val>
            <numRef>
              <f>Duration!$B$65:$B$89</f>
              <numCache>
                <formatCode>0.00%</formatCode>
                <ptCount val="25"/>
                <pt idx="0">
                  <v>0.007580754244351544</v>
                </pt>
                <pt idx="1">
                  <v>0.0103297093050976</v>
                </pt>
                <pt idx="2">
                  <v>0.01302911975929499</v>
                </pt>
                <pt idx="3">
                  <v>0.01581794655825363</v>
                </pt>
                <pt idx="4">
                  <v>0.01889392084504571</v>
                </pt>
                <pt idx="5">
                  <v>0.02219527861369159</v>
                </pt>
                <pt idx="6">
                  <v>0.02533021914050097</v>
                </pt>
                <pt idx="7">
                  <v>0.02793315621254094</v>
                </pt>
                <pt idx="8">
                  <v>0.0301065996537224</v>
                </pt>
                <pt idx="9">
                  <v>0.03248219207509703</v>
                </pt>
                <pt idx="10">
                  <v>0.0358737879358481</v>
                </pt>
                <pt idx="11">
                  <v>0.04093535898303604</v>
                </pt>
                <pt idx="12">
                  <v>0.04808874228335116</v>
                </pt>
                <pt idx="13">
                  <v>0.05744784613597731</v>
                </pt>
                <pt idx="14">
                  <v>0.06835287022018112</v>
                </pt>
                <pt idx="15">
                  <v>0.07878347699715434</v>
                </pt>
                <pt idx="16">
                  <v>0.08554939104225022</v>
                </pt>
                <pt idx="17">
                  <v>0.08570938546383175</v>
                </pt>
                <pt idx="18">
                  <v>0.07836557784120865</v>
                </pt>
                <pt idx="19">
                  <v>0.06532115980504123</v>
                </pt>
                <pt idx="20">
                  <v>0.05000476275703328</v>
                </pt>
                <pt idx="21">
                  <v>0.03561254658348301</v>
                </pt>
                <pt idx="22">
                  <v>0.02391964612859431</v>
                </pt>
                <pt idx="23">
                  <v>0.0153034338393496</v>
                </pt>
                <pt idx="24">
                  <v>0.009408166888226339</v>
                </pt>
              </numCache>
            </numRef>
          </val>
          <smooth val="0"/>
        </ser>
        <ser>
          <idx val="1"/>
          <order val="1"/>
          <tx>
            <strRef>
              <f>Duration!$N$64</f>
              <strCache>
                <ptCount val="1"/>
                <pt idx="0">
                  <v>Work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Duration!$A$65:$A$89</f>
              <numCache>
                <formatCode>h:mm</formatCode>
                <ptCount val="25"/>
                <pt idx="0">
                  <v>0</v>
                </pt>
                <pt idx="1">
                  <v>0.02083333333333333</v>
                </pt>
                <pt idx="2">
                  <v>0.04166666666666666</v>
                </pt>
                <pt idx="3">
                  <v>0.0625</v>
                </pt>
                <pt idx="4">
                  <v>0.08333333333333333</v>
                </pt>
                <pt idx="5">
                  <v>0.1041666666666667</v>
                </pt>
                <pt idx="6">
                  <v>0.125</v>
                </pt>
                <pt idx="7">
                  <v>0.1458333333333333</v>
                </pt>
                <pt idx="8">
                  <v>0.1666666666666667</v>
                </pt>
                <pt idx="9">
                  <v>0.1875</v>
                </pt>
                <pt idx="10">
                  <v>0.2083333333333333</v>
                </pt>
                <pt idx="11">
                  <v>0.2291666666666667</v>
                </pt>
                <pt idx="12">
                  <v>0.25</v>
                </pt>
                <pt idx="13">
                  <v>0.2708333333333333</v>
                </pt>
                <pt idx="14">
                  <v>0.2916666666666667</v>
                </pt>
                <pt idx="15">
                  <v>0.3125</v>
                </pt>
                <pt idx="16">
                  <v>0.3333333333333333</v>
                </pt>
                <pt idx="17">
                  <v>0.3541666666666667</v>
                </pt>
                <pt idx="18">
                  <v>0.375</v>
                </pt>
                <pt idx="19">
                  <v>0.3958333333333333</v>
                </pt>
                <pt idx="20">
                  <v>0.4166666666666667</v>
                </pt>
                <pt idx="21">
                  <v>0.4375</v>
                </pt>
                <pt idx="22">
                  <v>0.4583333333333333</v>
                </pt>
                <pt idx="23">
                  <v>0.4791666666666667</v>
                </pt>
                <pt idx="24">
                  <v>0.5</v>
                </pt>
              </numCache>
            </numRef>
          </cat>
          <val>
            <numRef>
              <f>Duration!$N$65:$N$89</f>
              <numCache>
                <formatCode>0.00%</formatCode>
                <ptCount val="25"/>
                <pt idx="0">
                  <v>0.02949575828458566</v>
                </pt>
                <pt idx="1">
                  <v>0.02781982207695091</v>
                </pt>
                <pt idx="2">
                  <v>0.02686165549979164</v>
                </pt>
                <pt idx="3">
                  <v>0.02702692559307255</v>
                </pt>
                <pt idx="4">
                  <v>0.02827000218499037</v>
                </pt>
                <pt idx="5">
                  <v>0.03016726198103117</v>
                </pt>
                <pt idx="6">
                  <v>0.03212860501267406</v>
                </pt>
                <pt idx="7">
                  <v>0.03366007211858436</v>
                </pt>
                <pt idx="8">
                  <v>0.03460512937557019</v>
                </pt>
                <pt idx="9">
                  <v>0.03527229360105223</v>
                </pt>
                <pt idx="10">
                  <v>0.03636479409967001</v>
                </pt>
                <pt idx="11">
                  <v>0.03872356472751259</v>
                </pt>
                <pt idx="12">
                  <v>0.04299756105197219</v>
                </pt>
                <pt idx="13">
                  <v>0.04934710493705941</v>
                </pt>
                <pt idx="14">
                  <v>0.0572064498084961</v>
                </pt>
                <pt idx="15">
                  <v>0.06514576959841106</v>
                </pt>
                <pt idx="16">
                  <v>0.07101026083372644</v>
                </pt>
                <pt idx="17">
                  <v>0.07254339828246281</v>
                </pt>
                <pt idx="18">
                  <v>0.06839254703114989</v>
                </pt>
                <pt idx="19">
                  <v>0.05892615384276668</v>
                </pt>
                <pt idx="20">
                  <v>0.04620766171763983</v>
                </pt>
                <pt idx="21">
                  <v>0.0330392157679572</v>
                </pt>
                <pt idx="22">
                  <v>0.02172381215854202</v>
                </pt>
                <pt idx="23">
                  <v>0.01334779817272493</v>
                </pt>
                <pt idx="24">
                  <v>0.007851787398018208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282496"/>
        <axId val="154928832"/>
      </lineChart>
      <catAx>
        <axId val="58282496"/>
        <scaling>
          <orientation val="minMax"/>
        </scaling>
        <delete val="0"/>
        <axPos val="b"/>
        <numFmt formatCode="h:mm" sourceLinked="1"/>
        <majorTickMark val="none"/>
        <minorTickMark val="none"/>
        <tickLblPos val="nextTo"/>
        <txPr>
          <a:bodyPr xmlns:a="http://schemas.openxmlformats.org/drawingml/2006/main" rot="-5400000" vert="horz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/>
          </a:p>
        </txPr>
        <crossAx val="154928832"/>
        <crosses val="autoZero"/>
        <auto val="1"/>
        <lblAlgn val="ctr"/>
        <lblOffset val="100"/>
        <tickLblSkip val="2"/>
        <noMultiLvlLbl val="0"/>
      </catAx>
      <valAx>
        <axId val="154928832"/>
        <scaling>
          <orientation val="minMax"/>
        </scaling>
        <delete val="0"/>
        <axPos val="l"/>
        <majorGridlines/>
        <numFmt formatCode="0.0%" sourceLinked="0"/>
        <majorTickMark val="none"/>
        <minorTickMark val="none"/>
        <tickLblPos val="nextTo"/>
        <crossAx val="58282496"/>
        <crosses val="autoZero"/>
        <crossBetween val="between"/>
        <majorUnit val="0.05"/>
      </valAx>
    </plotArea>
    <legend>
      <legendPos val="r"/>
      <layout>
        <manualLayout>
          <xMode val="edge"/>
          <yMode val="edge"/>
          <wMode val="factor"/>
          <hMode val="factor"/>
          <x val="0.7846711894577192"/>
          <y val="0.2030711749266636"/>
          <w val="0.1919261822376009"/>
          <h val="0.1418267716535429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School Durations</a:t>
            </a:r>
          </a:p>
        </rich>
      </tx>
      <overlay val="0"/>
    </title>
    <plotArea>
      <layout>
        <manualLayout>
          <layoutTarget val="inner"/>
          <xMode val="edge"/>
          <yMode val="edge"/>
          <wMode val="factor"/>
          <hMode val="factor"/>
          <x val="0.1073837742600518"/>
          <y val="0.1948035141440653"/>
          <w val="0.8491020715836126"/>
          <h val="0.6548221055701376"/>
        </manualLayout>
      </layout>
      <lineChart>
        <grouping val="standard"/>
        <varyColors val="0"/>
        <ser>
          <idx val="0"/>
          <order val="0"/>
          <tx>
            <strRef>
              <f>Duration!$C$64</f>
              <strCache>
                <ptCount val="1"/>
                <pt idx="0">
                  <v>School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Duration!$A$65:$A$89</f>
              <numCache>
                <formatCode>h:mm</formatCode>
                <ptCount val="25"/>
                <pt idx="0">
                  <v>0</v>
                </pt>
                <pt idx="1">
                  <v>0.02083333333333333</v>
                </pt>
                <pt idx="2">
                  <v>0.04166666666666666</v>
                </pt>
                <pt idx="3">
                  <v>0.0625</v>
                </pt>
                <pt idx="4">
                  <v>0.08333333333333333</v>
                </pt>
                <pt idx="5">
                  <v>0.1041666666666667</v>
                </pt>
                <pt idx="6">
                  <v>0.125</v>
                </pt>
                <pt idx="7">
                  <v>0.1458333333333333</v>
                </pt>
                <pt idx="8">
                  <v>0.1666666666666667</v>
                </pt>
                <pt idx="9">
                  <v>0.1875</v>
                </pt>
                <pt idx="10">
                  <v>0.2083333333333333</v>
                </pt>
                <pt idx="11">
                  <v>0.2291666666666667</v>
                </pt>
                <pt idx="12">
                  <v>0.25</v>
                </pt>
                <pt idx="13">
                  <v>0.2708333333333333</v>
                </pt>
                <pt idx="14">
                  <v>0.2916666666666667</v>
                </pt>
                <pt idx="15">
                  <v>0.3125</v>
                </pt>
                <pt idx="16">
                  <v>0.3333333333333333</v>
                </pt>
                <pt idx="17">
                  <v>0.3541666666666667</v>
                </pt>
                <pt idx="18">
                  <v>0.375</v>
                </pt>
                <pt idx="19">
                  <v>0.3958333333333333</v>
                </pt>
                <pt idx="20">
                  <v>0.4166666666666667</v>
                </pt>
                <pt idx="21">
                  <v>0.4375</v>
                </pt>
                <pt idx="22">
                  <v>0.4583333333333333</v>
                </pt>
                <pt idx="23">
                  <v>0.4791666666666667</v>
                </pt>
                <pt idx="24">
                  <v>0.5</v>
                </pt>
              </numCache>
            </numRef>
          </cat>
          <val>
            <numRef>
              <f>Duration!$C$65:$C$89</f>
              <numCache>
                <formatCode>0.00%</formatCode>
                <ptCount val="25"/>
                <pt idx="0">
                  <v>0.01493619673576039</v>
                </pt>
                <pt idx="1">
                  <v>0.01224781596680038</v>
                </pt>
                <pt idx="2">
                  <v>0.01027713854276698</v>
                </pt>
                <pt idx="3">
                  <v>0.00942979224849886</v>
                </pt>
                <pt idx="4">
                  <v>0.009768181956706047</v>
                </pt>
                <pt idx="5">
                  <v>0.01126215165729804</v>
                </pt>
                <pt idx="6">
                  <v>0.01412261939407946</v>
                </pt>
                <pt idx="7">
                  <v>0.01911381540912396</v>
                </pt>
                <pt idx="8">
                  <v>0.02779511740511407</v>
                </pt>
                <pt idx="9">
                  <v>0.04226113760953228</v>
                </pt>
                <pt idx="10">
                  <v>0.06366705164216928</v>
                </pt>
                <pt idx="11">
                  <v>0.08981160058473649</v>
                </pt>
                <pt idx="12">
                  <v>0.113956950655058</v>
                </pt>
                <pt idx="13">
                  <v>0.1272516132903556</v>
                </pt>
                <pt idx="14">
                  <v>0.1239957087096082</v>
                </pt>
                <pt idx="15">
                  <v>0.1054908521699038</v>
                </pt>
                <pt idx="16">
                  <v>0.07896406427755631</v>
                </pt>
                <pt idx="17">
                  <v>0.05274538845597003</v>
                </pt>
                <pt idx="18">
                  <v>0.03205881333505394</v>
                </pt>
                <pt idx="19">
                  <v>0.01814952065133441</v>
                </pt>
                <pt idx="20">
                  <v>0.009852117903898273</v>
                </pt>
                <pt idx="21">
                  <v>0.005348634425792424</v>
                </pt>
                <pt idx="22">
                  <v>0.003054951862590465</v>
                </pt>
                <pt idx="23">
                  <v>0.001864666980171451</v>
                </pt>
                <pt idx="24">
                  <v>0.001154860523283123</v>
                </pt>
              </numCache>
            </numRef>
          </val>
          <smooth val="0"/>
        </ser>
        <ser>
          <idx val="1"/>
          <order val="1"/>
          <tx>
            <strRef>
              <f>Duration!$O$64</f>
              <strCache>
                <ptCount val="1"/>
                <pt idx="0">
                  <v>School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Duration!$A$65:$A$89</f>
              <numCache>
                <formatCode>h:mm</formatCode>
                <ptCount val="25"/>
                <pt idx="0">
                  <v>0</v>
                </pt>
                <pt idx="1">
                  <v>0.02083333333333333</v>
                </pt>
                <pt idx="2">
                  <v>0.04166666666666666</v>
                </pt>
                <pt idx="3">
                  <v>0.0625</v>
                </pt>
                <pt idx="4">
                  <v>0.08333333333333333</v>
                </pt>
                <pt idx="5">
                  <v>0.1041666666666667</v>
                </pt>
                <pt idx="6">
                  <v>0.125</v>
                </pt>
                <pt idx="7">
                  <v>0.1458333333333333</v>
                </pt>
                <pt idx="8">
                  <v>0.1666666666666667</v>
                </pt>
                <pt idx="9">
                  <v>0.1875</v>
                </pt>
                <pt idx="10">
                  <v>0.2083333333333333</v>
                </pt>
                <pt idx="11">
                  <v>0.2291666666666667</v>
                </pt>
                <pt idx="12">
                  <v>0.25</v>
                </pt>
                <pt idx="13">
                  <v>0.2708333333333333</v>
                </pt>
                <pt idx="14">
                  <v>0.2916666666666667</v>
                </pt>
                <pt idx="15">
                  <v>0.3125</v>
                </pt>
                <pt idx="16">
                  <v>0.3333333333333333</v>
                </pt>
                <pt idx="17">
                  <v>0.3541666666666667</v>
                </pt>
                <pt idx="18">
                  <v>0.375</v>
                </pt>
                <pt idx="19">
                  <v>0.3958333333333333</v>
                </pt>
                <pt idx="20">
                  <v>0.4166666666666667</v>
                </pt>
                <pt idx="21">
                  <v>0.4375</v>
                </pt>
                <pt idx="22">
                  <v>0.4583333333333333</v>
                </pt>
                <pt idx="23">
                  <v>0.4791666666666667</v>
                </pt>
                <pt idx="24">
                  <v>0.5</v>
                </pt>
              </numCache>
            </numRef>
          </cat>
          <val>
            <numRef>
              <f>Duration!$O$65:$O$89</f>
              <numCache>
                <formatCode>0.00%</formatCode>
                <ptCount val="25"/>
                <pt idx="0">
                  <v>0.03878400959437454</v>
                </pt>
                <pt idx="1">
                  <v>0.03199592471220064</v>
                </pt>
                <pt idx="2">
                  <v>0.02664598560880703</v>
                </pt>
                <pt idx="3">
                  <v>0.02368718594072168</v>
                </pt>
                <pt idx="4">
                  <v>0.02343040344445261</v>
                </pt>
                <pt idx="5">
                  <v>0.02575907114745359</v>
                </pt>
                <pt idx="6">
                  <v>0.03046284559972694</v>
                </pt>
                <pt idx="7">
                  <v>0.03738148365727474</v>
                </pt>
                <pt idx="8">
                  <v>0.0462537443951509</v>
                </pt>
                <pt idx="9">
                  <v>0.05644413999000893</v>
                </pt>
                <pt idx="10">
                  <v>0.0668259184261899</v>
                </pt>
                <pt idx="11">
                  <v>0.07593299094839076</v>
                </pt>
                <pt idx="12">
                  <v>0.08224698572469659</v>
                </pt>
                <pt idx="13">
                  <v>0.08444938477407254</v>
                </pt>
                <pt idx="14">
                  <v>0.08165197135436299</v>
                </pt>
                <pt idx="15">
                  <v>0.07371269242406547</v>
                </pt>
                <pt idx="16">
                  <v>0.06155245343475533</v>
                </pt>
                <pt idx="17">
                  <v>0.04714538623808247</v>
                </pt>
                <pt idx="18">
                  <v>0.03295453917520624</v>
                </pt>
                <pt idx="19">
                  <v>0.02103652358487539</v>
                </pt>
                <pt idx="20">
                  <v>0.01237711481052168</v>
                </pt>
                <pt idx="21">
                  <v>0.006849908931838555</v>
                </pt>
                <pt idx="22">
                  <v>0.003685327720004111</v>
                </pt>
                <pt idx="23">
                  <v>0.002019312383152973</v>
                </pt>
                <pt idx="24">
                  <v>0.001200006634000503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283520"/>
        <axId val="154931136"/>
      </lineChart>
      <catAx>
        <axId val="58283520"/>
        <scaling>
          <orientation val="minMax"/>
        </scaling>
        <delete val="0"/>
        <axPos val="b"/>
        <numFmt formatCode="h:mm" sourceLinked="1"/>
        <majorTickMark val="none"/>
        <minorTickMark val="none"/>
        <tickLblPos val="nextTo"/>
        <txPr>
          <a:bodyPr xmlns:a="http://schemas.openxmlformats.org/drawingml/2006/main" rot="-5400000" vert="horz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/>
          </a:p>
        </txPr>
        <crossAx val="154931136"/>
        <crosses val="autoZero"/>
        <auto val="1"/>
        <lblAlgn val="ctr"/>
        <lblOffset val="100"/>
        <tickLblSkip val="2"/>
        <noMultiLvlLbl val="0"/>
      </catAx>
      <valAx>
        <axId val="154931136"/>
        <scaling>
          <orientation val="minMax"/>
        </scaling>
        <delete val="0"/>
        <axPos val="l"/>
        <majorGridlines/>
        <numFmt formatCode="0.0%" sourceLinked="0"/>
        <majorTickMark val="none"/>
        <minorTickMark val="none"/>
        <tickLblPos val="nextTo"/>
        <crossAx val="58283520"/>
        <crosses val="autoZero"/>
        <crossBetween val="between"/>
        <majorUnit val="0.1"/>
      </valAx>
    </plotArea>
    <legend>
      <legendPos val="r"/>
      <layout>
        <manualLayout>
          <xMode val="edge"/>
          <yMode val="edge"/>
          <wMode val="factor"/>
          <hMode val="factor"/>
          <x val="0.8146596554323446"/>
          <y val="0.2148359580052494"/>
          <w val="0.131314969711831"/>
          <h val="0.1418267716535429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Other Durations</a:t>
            </a:r>
          </a:p>
        </rich>
      </tx>
      <overlay val="0"/>
    </title>
    <plotArea>
      <layout>
        <manualLayout>
          <layoutTarget val="inner"/>
          <xMode val="edge"/>
          <yMode val="edge"/>
          <wMode val="factor"/>
          <hMode val="factor"/>
          <x val="0.1073837742600518"/>
          <y val="0.1948035141440653"/>
          <w val="0.8491020715836126"/>
          <h val="0.6548221055701376"/>
        </manualLayout>
      </layout>
      <lineChart>
        <grouping val="standard"/>
        <varyColors val="0"/>
        <ser>
          <idx val="0"/>
          <order val="0"/>
          <tx>
            <strRef>
              <f>Duration!$D$64</f>
              <strCache>
                <ptCount val="1"/>
                <pt idx="0">
                  <v>Escort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Duration!$A$65:$A$89</f>
              <numCache>
                <formatCode>h:mm</formatCode>
                <ptCount val="25"/>
                <pt idx="0">
                  <v>0</v>
                </pt>
                <pt idx="1">
                  <v>0.02083333333333333</v>
                </pt>
                <pt idx="2">
                  <v>0.04166666666666666</v>
                </pt>
                <pt idx="3">
                  <v>0.0625</v>
                </pt>
                <pt idx="4">
                  <v>0.08333333333333333</v>
                </pt>
                <pt idx="5">
                  <v>0.1041666666666667</v>
                </pt>
                <pt idx="6">
                  <v>0.125</v>
                </pt>
                <pt idx="7">
                  <v>0.1458333333333333</v>
                </pt>
                <pt idx="8">
                  <v>0.1666666666666667</v>
                </pt>
                <pt idx="9">
                  <v>0.1875</v>
                </pt>
                <pt idx="10">
                  <v>0.2083333333333333</v>
                </pt>
                <pt idx="11">
                  <v>0.2291666666666667</v>
                </pt>
                <pt idx="12">
                  <v>0.25</v>
                </pt>
                <pt idx="13">
                  <v>0.2708333333333333</v>
                </pt>
                <pt idx="14">
                  <v>0.2916666666666667</v>
                </pt>
                <pt idx="15">
                  <v>0.3125</v>
                </pt>
                <pt idx="16">
                  <v>0.3333333333333333</v>
                </pt>
                <pt idx="17">
                  <v>0.3541666666666667</v>
                </pt>
                <pt idx="18">
                  <v>0.375</v>
                </pt>
                <pt idx="19">
                  <v>0.3958333333333333</v>
                </pt>
                <pt idx="20">
                  <v>0.4166666666666667</v>
                </pt>
                <pt idx="21">
                  <v>0.4375</v>
                </pt>
                <pt idx="22">
                  <v>0.4583333333333333</v>
                </pt>
                <pt idx="23">
                  <v>0.4791666666666667</v>
                </pt>
                <pt idx="24">
                  <v>0.5</v>
                </pt>
              </numCache>
            </numRef>
          </cat>
          <val>
            <numRef>
              <f>Duration!$D$65:$D$89</f>
              <numCache>
                <formatCode>0.00%</formatCode>
                <ptCount val="25"/>
                <pt idx="0">
                  <v>0.3791719414617982</v>
                </pt>
                <pt idx="1">
                  <v>0.2575593578154368</v>
                </pt>
                <pt idx="2">
                  <v>0.1553456602747431</v>
                </pt>
                <pt idx="3">
                  <v>0.08313894717197519</v>
                </pt>
                <pt idx="4">
                  <v>0.04021355081603946</v>
                </pt>
                <pt idx="5">
                  <v>0.01862199229243007</v>
                </pt>
                <pt idx="6">
                  <v>0.009287195442548255</v>
                </pt>
                <pt idx="7">
                  <v>0.005690112424143468</v>
                </pt>
                <pt idx="8">
                  <v>0.004357148386752926</v>
                </pt>
                <pt idx="9">
                  <v>0.003800406955485097</v>
                </pt>
                <pt idx="10">
                  <v>0.003472941231315022</v>
                </pt>
                <pt idx="11">
                  <v>0.003208612219937504</v>
                </pt>
                <pt idx="12">
                  <v>0.002991215981090616</v>
                </pt>
                <pt idx="13">
                  <v>0.002864890172536235</v>
                </pt>
                <pt idx="14">
                  <v>0.002899426814318954</v>
                </pt>
                <pt idx="15">
                  <v>0.003151002655495332</v>
                </pt>
                <pt idx="16">
                  <v>0.003589493440030612</v>
                </pt>
                <pt idx="17">
                  <v>0.004043944811623511</v>
                </pt>
                <pt idx="18">
                  <v>0.004251246721651791</v>
                </pt>
                <pt idx="19">
                  <v>0.004008319201848706</v>
                </pt>
                <pt idx="20">
                  <v>0.003311882331434776</v>
                </pt>
                <pt idx="21">
                  <v>0.002364164099776884</v>
                </pt>
                <pt idx="22">
                  <v>0.001442146228405423</v>
                </pt>
                <pt idx="23">
                  <v>0.000743378841905454</v>
                </pt>
                <pt idx="24">
                  <v>0.0003193803043362448</v>
                </pt>
              </numCache>
            </numRef>
          </val>
          <smooth val="0"/>
        </ser>
        <ser>
          <idx val="1"/>
          <order val="1"/>
          <tx>
            <strRef>
              <f>Duration!$P$64</f>
              <strCache>
                <ptCount val="1"/>
                <pt idx="0">
                  <v>Escort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Duration!$A$65:$A$89</f>
              <numCache>
                <formatCode>h:mm</formatCode>
                <ptCount val="25"/>
                <pt idx="0">
                  <v>0</v>
                </pt>
                <pt idx="1">
                  <v>0.02083333333333333</v>
                </pt>
                <pt idx="2">
                  <v>0.04166666666666666</v>
                </pt>
                <pt idx="3">
                  <v>0.0625</v>
                </pt>
                <pt idx="4">
                  <v>0.08333333333333333</v>
                </pt>
                <pt idx="5">
                  <v>0.1041666666666667</v>
                </pt>
                <pt idx="6">
                  <v>0.125</v>
                </pt>
                <pt idx="7">
                  <v>0.1458333333333333</v>
                </pt>
                <pt idx="8">
                  <v>0.1666666666666667</v>
                </pt>
                <pt idx="9">
                  <v>0.1875</v>
                </pt>
                <pt idx="10">
                  <v>0.2083333333333333</v>
                </pt>
                <pt idx="11">
                  <v>0.2291666666666667</v>
                </pt>
                <pt idx="12">
                  <v>0.25</v>
                </pt>
                <pt idx="13">
                  <v>0.2708333333333333</v>
                </pt>
                <pt idx="14">
                  <v>0.2916666666666667</v>
                </pt>
                <pt idx="15">
                  <v>0.3125</v>
                </pt>
                <pt idx="16">
                  <v>0.3333333333333333</v>
                </pt>
                <pt idx="17">
                  <v>0.3541666666666667</v>
                </pt>
                <pt idx="18">
                  <v>0.375</v>
                </pt>
                <pt idx="19">
                  <v>0.3958333333333333</v>
                </pt>
                <pt idx="20">
                  <v>0.4166666666666667</v>
                </pt>
                <pt idx="21">
                  <v>0.4375</v>
                </pt>
                <pt idx="22">
                  <v>0.4583333333333333</v>
                </pt>
                <pt idx="23">
                  <v>0.4791666666666667</v>
                </pt>
                <pt idx="24">
                  <v>0.5</v>
                </pt>
              </numCache>
            </numRef>
          </cat>
          <val>
            <numRef>
              <f>Duration!$P$65:$P$89</f>
              <numCache>
                <formatCode>0.00%</formatCode>
                <ptCount val="25"/>
                <pt idx="0">
                  <v>0.3130342282275529</v>
                </pt>
                <pt idx="1">
                  <v>0.2334794320026326</v>
                </pt>
                <pt idx="2">
                  <v>0.163203839362202</v>
                </pt>
                <pt idx="3">
                  <v>0.1079097346503762</v>
                </pt>
                <pt idx="4">
                  <v>0.06849531906767145</v>
                </pt>
                <pt idx="5">
                  <v>0.04240962259921564</v>
                </pt>
                <pt idx="6">
                  <v>0.02594080397910297</v>
                </pt>
                <pt idx="7">
                  <v>0.01581078847009004</v>
                </pt>
                <pt idx="8">
                  <v>0.009674036651449816</v>
                </pt>
                <pt idx="9">
                  <v>0.005993620327921137</v>
                </pt>
                <pt idx="10">
                  <v>0.003793450418937619</v>
                </pt>
                <pt idx="11">
                  <v>0.00246998937645199</v>
                </pt>
                <pt idx="12">
                  <v>0.001662750334146689</v>
                </pt>
                <pt idx="13">
                  <v>0.001162524006604331</v>
                </pt>
                <pt idx="14">
                  <v>0.000850221789067357</v>
                </pt>
                <pt idx="15">
                  <v>0.0006581815955501884</v>
                </pt>
                <pt idx="16">
                  <v>0.0005447514904194591</v>
                </pt>
                <pt idx="17">
                  <v>0.0004788401399689632</v>
                </pt>
                <pt idx="18">
                  <v>0.0004346451423764305</v>
                </pt>
                <pt idx="19">
                  <v>0.0003937326573519602</v>
                </pt>
                <pt idx="20">
                  <v>0.0003479323819904467</v>
                </pt>
                <pt idx="21">
                  <v>0.0002980200603322578</v>
                </pt>
                <pt idx="22">
                  <v>0.0002485561608887704</v>
                </pt>
                <pt idx="23">
                  <v>0.0002029228532337405</v>
                </pt>
                <pt idx="24">
                  <v>0.0001616695605174335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284032"/>
        <axId val="154933440"/>
      </lineChart>
      <catAx>
        <axId val="58284032"/>
        <scaling>
          <orientation val="minMax"/>
        </scaling>
        <delete val="0"/>
        <axPos val="b"/>
        <numFmt formatCode="h:mm" sourceLinked="1"/>
        <majorTickMark val="none"/>
        <minorTickMark val="none"/>
        <tickLblPos val="nextTo"/>
        <txPr>
          <a:bodyPr xmlns:a="http://schemas.openxmlformats.org/drawingml/2006/main" rot="-5400000" vert="horz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/>
          </a:p>
        </txPr>
        <crossAx val="154933440"/>
        <crosses val="autoZero"/>
        <auto val="1"/>
        <lblAlgn val="ctr"/>
        <lblOffset val="100"/>
        <tickLblSkip val="2"/>
        <noMultiLvlLbl val="0"/>
      </catAx>
      <valAx>
        <axId val="154933440"/>
        <scaling>
          <orientation val="minMax"/>
        </scaling>
        <delete val="0"/>
        <axPos val="l"/>
        <majorGridlines/>
        <numFmt formatCode="0.0%" sourceLinked="0"/>
        <majorTickMark val="none"/>
        <minorTickMark val="none"/>
        <tickLblPos val="nextTo"/>
        <crossAx val="58284032"/>
        <crosses val="autoZero"/>
        <crossBetween val="between"/>
        <majorUnit val="0.1"/>
      </valAx>
    </plotArea>
    <legend>
      <legendPos val="r"/>
      <layout>
        <manualLayout>
          <xMode val="edge"/>
          <yMode val="edge"/>
          <wMode val="factor"/>
          <hMode val="factor"/>
          <x val="0.7616031387080082"/>
          <y val="0.2148359580052494"/>
          <w val="0.1768974379932615"/>
          <h val="0.09868951675158256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0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250101263293645"/>
          <y val="0.05140055409740449"/>
          <w val="0.8198327112225159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Arrival_Time_Work!$J$7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Arrival_Time_Work!$J$8:$J$58</f>
              <numCache>
                <formatCode>0.00</formatCode>
                <ptCount val="51"/>
                <pt idx="0">
                  <v>562.3747441545361</v>
                </pt>
                <pt idx="1">
                  <v>5774.153131869979</v>
                </pt>
                <pt idx="2">
                  <v>11684.05164876951</v>
                </pt>
                <pt idx="3">
                  <v>19081.87973087393</v>
                </pt>
                <pt idx="4">
                  <v>28913.80708669413</v>
                </pt>
                <pt idx="5">
                  <v>42140.19785027867</v>
                </pt>
                <pt idx="6">
                  <v>59188.1980665865</v>
                </pt>
                <pt idx="7">
                  <v>79145.46436503503</v>
                </pt>
                <pt idx="8">
                  <v>99317.16415051992</v>
                </pt>
                <pt idx="9">
                  <v>115773.2679941779</v>
                </pt>
                <pt idx="10">
                  <v>124807.2783328244</v>
                </pt>
                <pt idx="11">
                  <v>124435.4522528905</v>
                </pt>
                <pt idx="12">
                  <v>115043.8027776496</v>
                </pt>
                <pt idx="13">
                  <v>99019.70575163585</v>
                </pt>
                <pt idx="14">
                  <v>79823.11796369508</v>
                </pt>
                <pt idx="15">
                  <v>60953.32408381939</v>
                </pt>
                <pt idx="16">
                  <v>45043.33708996434</v>
                </pt>
                <pt idx="17">
                  <v>33307.67353482102</v>
                </pt>
                <pt idx="18">
                  <v>25579.85870324177</v>
                </pt>
                <pt idx="19">
                  <v>20890.36589144882</v>
                </pt>
                <pt idx="20">
                  <v>18170.29222162682</v>
                </pt>
                <pt idx="21">
                  <v>16644.18766821226</v>
                </pt>
                <pt idx="22">
                  <v>15813.49602733557</v>
                </pt>
                <pt idx="23">
                  <v>15270.69166395024</v>
                </pt>
                <pt idx="24">
                  <v>14630.94367616422</v>
                </pt>
                <pt idx="25">
                  <v>13640.10612944391</v>
                </pt>
                <pt idx="26">
                  <v>12279.25747491805</v>
                </pt>
                <pt idx="27">
                  <v>10698.16572804618</v>
                </pt>
                <pt idx="28">
                  <v>9040.669202346935</v>
                </pt>
                <pt idx="29">
                  <v>7360.908015084256</v>
                </pt>
                <pt idx="30">
                  <v>5691.96656052657</v>
                </pt>
                <pt idx="31">
                  <v>4129.399035811303</v>
                </pt>
                <pt idx="32">
                  <v>2806.543315906061</v>
                </pt>
                <pt idx="33">
                  <v>1805.688492619933</v>
                </pt>
                <pt idx="34">
                  <v>1117.524052956367</v>
                </pt>
                <pt idx="35">
                  <v>675.6117485541982</v>
                </pt>
                <pt idx="36">
                  <v>408.0117413072417</v>
                </pt>
                <pt idx="37">
                  <v>259.3564869512683</v>
                </pt>
                <pt idx="38">
                  <v>187.3962660774854</v>
                </pt>
                <pt idx="39">
                  <v>156.6607905188355</v>
                </pt>
                <pt idx="40">
                  <v>139.06926703971</v>
                </pt>
                <pt idx="41">
                  <v>117.94833681541</v>
                </pt>
                <pt idx="42">
                  <v>89.38545949525205</v>
                </pt>
                <pt idx="43">
                  <v>58.42302025470484</v>
                </pt>
                <pt idx="44">
                  <v>32.2301334405676</v>
                </pt>
                <pt idx="45">
                  <v>14.7364691747242</v>
                </pt>
                <pt idx="46">
                  <v>5.471796731288971</v>
                </pt>
                <pt idx="47">
                  <v>1.606237996145465</v>
                </pt>
                <pt idx="48">
                  <v>0.3584644036254668</v>
                </pt>
                <pt idx="49">
                  <v>0.05684040716670123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Arrival_Time_Work!$U$7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Arrival_Time_Work!$U$8:$U$58</f>
              <numCache>
                <formatCode>General</formatCode>
                <ptCount val="51"/>
                <pt idx="0">
                  <v>1851.520336531514</v>
                </pt>
                <pt idx="1">
                  <v>5997.681320478607</v>
                </pt>
                <pt idx="2">
                  <v>10754.53661905671</v>
                </pt>
                <pt idx="3">
                  <v>17202.05689524032</v>
                </pt>
                <pt idx="4">
                  <v>27067.77397532004</v>
                </pt>
                <pt idx="5">
                  <v>42338.48991991644</v>
                </pt>
                <pt idx="6">
                  <v>64259.22879903462</v>
                </pt>
                <pt idx="7">
                  <v>92127.52788405652</v>
                </pt>
                <pt idx="8">
                  <v>122627.4656537809</v>
                </pt>
                <pt idx="9">
                  <v>150308.5693336487</v>
                </pt>
                <pt idx="10">
                  <v>169223.9368794359</v>
                </pt>
                <pt idx="11">
                  <v>175077.5958130613</v>
                </pt>
                <pt idx="12">
                  <v>166895.00507721</v>
                </pt>
                <pt idx="13">
                  <v>147404.7604768361</v>
                </pt>
                <pt idx="14">
                  <v>121922.3589171392</v>
                </pt>
                <pt idx="15">
                  <v>96265.97226072085</v>
                </pt>
                <pt idx="16">
                  <v>74719.15350581893</v>
                </pt>
                <pt idx="17">
                  <v>58987.40057853723</v>
                </pt>
                <pt idx="18">
                  <v>48481.18088940917</v>
                </pt>
                <pt idx="19">
                  <v>41483.90099959999</v>
                </pt>
                <pt idx="20">
                  <v>36360.41091908245</v>
                </pt>
                <pt idx="21">
                  <v>32168.85081816845</v>
                </pt>
                <pt idx="22">
                  <v>28599.1768649769</v>
                </pt>
                <pt idx="23">
                  <v>25596.36521971911</v>
                </pt>
                <pt idx="24">
                  <v>23070.63183058382</v>
                </pt>
                <pt idx="25">
                  <v>20852.14899761136</v>
                </pt>
                <pt idx="26">
                  <v>18792.06243117762</v>
                </pt>
                <pt idx="27">
                  <v>16836.91102272527</v>
                </pt>
                <pt idx="28">
                  <v>15000.03383378598</v>
                </pt>
                <pt idx="29">
                  <v>13281.78996483553</v>
                </pt>
                <pt idx="30">
                  <v>11631.44586193624</v>
                </pt>
                <pt idx="31">
                  <v>9986.438087297367</v>
                </pt>
                <pt idx="32">
                  <v>8342.607093244396</v>
                </pt>
                <pt idx="33">
                  <v>6780.187940424294</v>
                </pt>
                <pt idx="34">
                  <v>5415.75720258252</v>
                </pt>
                <pt idx="35">
                  <v>4322.194518567044</v>
                </pt>
                <pt idx="36">
                  <v>3486.13706962416</v>
                </pt>
                <pt idx="37">
                  <v>2831.913690012872</v>
                </pt>
                <pt idx="38">
                  <v>2279.73978654199</v>
                </pt>
                <pt idx="39">
                  <v>1785.971477409361</v>
                </pt>
                <pt idx="40">
                  <v>1343.794657847697</v>
                </pt>
                <pt idx="41">
                  <v>961.7851035984452</v>
                </pt>
                <pt idx="42">
                  <v>647.0823268294837</v>
                </pt>
                <pt idx="43">
                  <v>401.8878178675296</v>
                </pt>
                <pt idx="44">
                  <v>224.9466938319241</v>
                </pt>
                <pt idx="45">
                  <v>110.4443349423688</v>
                </pt>
                <pt idx="46">
                  <v>46.25438577984106</v>
                </pt>
                <pt idx="47">
                  <v>16.04732681178108</v>
                </pt>
                <pt idx="48">
                  <v>4.459580275051739</v>
                </pt>
                <pt idx="49">
                  <v>0.9365858691372012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147456"/>
        <axId val="154987328"/>
      </lineChart>
      <catAx>
        <axId val="128147456"/>
        <scaling>
          <orientation val="minMax"/>
        </scaling>
        <delete val="0"/>
        <axPos val="b"/>
        <majorTickMark val="out"/>
        <minorTickMark val="none"/>
        <tickLblPos val="nextTo"/>
        <crossAx val="154987328"/>
        <crosses val="autoZero"/>
        <auto val="1"/>
        <lblAlgn val="ctr"/>
        <lblOffset val="100"/>
        <tickLblSkip val="10"/>
        <noMultiLvlLbl val="0"/>
      </catAx>
      <valAx>
        <axId val="154987328"/>
        <scaling>
          <orientation val="minMax"/>
        </scaling>
        <delete val="0"/>
        <axPos val="l"/>
        <majorGridlines/>
        <numFmt formatCode="0" sourceLinked="0"/>
        <majorTickMark val="out"/>
        <minorTickMark val="none"/>
        <tickLblPos val="nextTo"/>
        <crossAx val="12814745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771263779527559"/>
          <y val="0.0690605861767279"/>
          <w val="0.139204243068233"/>
          <h val="0.1674343832021006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1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250101263293645"/>
          <y val="0.05140055409740449"/>
          <w val="0.8198327112225159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Arrival_Time_School!$J$7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Arrival_Time_School!$J$8:$J$58</f>
              <numCache>
                <formatCode>0.00</formatCode>
                <ptCount val="51"/>
                <pt idx="0">
                  <v>0</v>
                </pt>
                <pt idx="1">
                  <v>26.08713707161063</v>
                </pt>
                <pt idx="2">
                  <v>134.7736884844685</v>
                </pt>
                <pt idx="3">
                  <v>553.431339219127</v>
                </pt>
                <pt idx="4">
                  <v>1844.868539452253</v>
                </pt>
                <pt idx="5">
                  <v>5048.982482577357</v>
                </pt>
                <pt idx="6">
                  <v>11493.16122594733</v>
                </pt>
                <pt idx="7">
                  <v>22020.56327544975</v>
                </pt>
                <pt idx="8">
                  <v>35866.9753542378</v>
                </pt>
                <pt idx="9">
                  <v>50066.39201661295</v>
                </pt>
                <pt idx="10">
                  <v>60278.26828448151</v>
                </pt>
                <pt idx="11">
                  <v>62903.00827486752</v>
                </pt>
                <pt idx="12">
                  <v>57105.25052342133</v>
                </pt>
                <pt idx="13">
                  <v>45237.81152656246</v>
                </pt>
                <pt idx="14">
                  <v>31405.25292505166</v>
                </pt>
                <pt idx="15">
                  <v>19316.05992841903</v>
                </pt>
                <pt idx="16">
                  <v>10871.00283003195</v>
                </pt>
                <pt idx="17">
                  <v>6086.529543773306</v>
                </pt>
                <pt idx="18">
                  <v>3918.066313059435</v>
                </pt>
                <pt idx="19">
                  <v>3163.733134540585</v>
                </pt>
                <pt idx="20">
                  <v>2947.943411587158</v>
                </pt>
                <pt idx="21">
                  <v>2793.986544541765</v>
                </pt>
                <pt idx="22">
                  <v>2526.291301892918</v>
                </pt>
                <pt idx="23">
                  <v>2159.280910533439</v>
                </pt>
                <pt idx="24">
                  <v>1792.795643735907</v>
                </pt>
                <pt idx="25">
                  <v>1514.316061090602</v>
                </pt>
                <pt idx="26">
                  <v>1342.721890146324</v>
                </pt>
                <pt idx="27">
                  <v>1235.249128236691</v>
                </pt>
                <pt idx="28">
                  <v>1133.174150561421</v>
                </pt>
                <pt idx="29">
                  <v>1002.611169146886</v>
                </pt>
                <pt idx="30">
                  <v>844.3534681872876</v>
                </pt>
                <pt idx="31">
                  <v>676.5592901392428</v>
                </pt>
                <pt idx="32">
                  <v>514.1528767923501</v>
                </pt>
                <pt idx="33">
                  <v>364.1555812148266</v>
                </pt>
                <pt idx="34">
                  <v>233.0973794763859</v>
                </pt>
                <pt idx="35">
                  <v>130.1983488680962</v>
                </pt>
                <pt idx="36">
                  <v>61.39100969839108</v>
                </pt>
                <pt idx="37">
                  <v>23.68918471011101</v>
                </pt>
                <pt idx="38">
                  <v>7.237116107324479</v>
                </pt>
                <pt idx="39">
                  <v>1.678042054268567</v>
                </pt>
                <pt idx="40">
                  <v>0.2769912795345214</v>
                </pt>
                <pt idx="41">
                  <v>0.0289776104537527</v>
                </pt>
                <pt idx="42">
                  <v>0.00144376005402647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Arrival_Time_School!$U$7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Arrival_Time_School!$U$8:$U$58</f>
              <numCache>
                <formatCode>General</formatCode>
                <ptCount val="51"/>
                <pt idx="0">
                  <v>20.81152010007258</v>
                </pt>
                <pt idx="1">
                  <v>147.8323904432405</v>
                </pt>
                <pt idx="2">
                  <v>417.6428423937695</v>
                </pt>
                <pt idx="3">
                  <v>1178.033647013148</v>
                </pt>
                <pt idx="4">
                  <v>3187.955012686843</v>
                </pt>
                <pt idx="5">
                  <v>7705.387699534917</v>
                </pt>
                <pt idx="6">
                  <v>16208.81126909015</v>
                </pt>
                <pt idx="7">
                  <v>29593.53952081033</v>
                </pt>
                <pt idx="8">
                  <v>47113.06018049041</v>
                </pt>
                <pt idx="9">
                  <v>65817.63218459576</v>
                </pt>
                <pt idx="10">
                  <v>81210.3377073703</v>
                </pt>
                <pt idx="11">
                  <v>89073.4517051091</v>
                </pt>
                <pt idx="12">
                  <v>87454.52883769307</v>
                </pt>
                <pt idx="13">
                  <v>77527.58535259104</v>
                </pt>
                <pt idx="14">
                  <v>62799.32733721425</v>
                </pt>
                <pt idx="15">
                  <v>47295.2097450107</v>
                </pt>
                <pt idx="16">
                  <v>33937.18192888629</v>
                </pt>
                <pt idx="17">
                  <v>23926.26159665857</v>
                </pt>
                <pt idx="18">
                  <v>17092.46043381396</v>
                </pt>
                <pt idx="19">
                  <v>12639.10695748746</v>
                </pt>
                <pt idx="20">
                  <v>9747.240442865217</v>
                </pt>
                <pt idx="21">
                  <v>7840.147498707527</v>
                </pt>
                <pt idx="22">
                  <v>6583.507312335387</v>
                </pt>
                <pt idx="23">
                  <v>5783.527723714104</v>
                </pt>
                <pt idx="24">
                  <v>5301.463337741983</v>
                </pt>
                <pt idx="25">
                  <v>5023.603486089429</v>
                </pt>
                <pt idx="26">
                  <v>4867.81556952612</v>
                </pt>
                <pt idx="27">
                  <v>4788.515126077486</v>
                </pt>
                <pt idx="28">
                  <v>4757.729874112693</v>
                </pt>
                <pt idx="29">
                  <v>4732.6480995963</v>
                </pt>
                <pt idx="30">
                  <v>4642.145989120142</v>
                </pt>
                <pt idx="31">
                  <v>4414.062095672805</v>
                </pt>
                <pt idx="32">
                  <v>4025.449942186218</v>
                </pt>
                <pt idx="33">
                  <v>3526.988157249913</v>
                </pt>
                <pt idx="34">
                  <v>3010.024567389866</v>
                </pt>
                <pt idx="35">
                  <v>2541.231919852146</v>
                </pt>
                <pt idx="36">
                  <v>2124.811518301809</v>
                </pt>
                <pt idx="37">
                  <v>1723.82386160724</v>
                </pt>
                <pt idx="38">
                  <v>1312.766428867727</v>
                </pt>
                <pt idx="39">
                  <v>908.6668380480248</v>
                </pt>
                <pt idx="40">
                  <v>557.6436266628137</v>
                </pt>
                <pt idx="41">
                  <v>298.3600238273491</v>
                </pt>
                <pt idx="42">
                  <v>137.9438247298038</v>
                </pt>
                <pt idx="43">
                  <v>55.20534068127544</v>
                </pt>
                <pt idx="44">
                  <v>19.47653957602991</v>
                </pt>
                <pt idx="45">
                  <v>6.289458848167627</v>
                </pt>
                <pt idx="46">
                  <v>1.929592368093795</v>
                </pt>
                <pt idx="47">
                  <v>0.5582870980981368</v>
                </pt>
                <pt idx="48">
                  <v>0.1424088427275095</v>
                </pt>
                <pt idx="49">
                  <v>0.02876195921168734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151040"/>
        <axId val="154989056"/>
      </lineChart>
      <catAx>
        <axId val="128151040"/>
        <scaling>
          <orientation val="minMax"/>
        </scaling>
        <delete val="0"/>
        <axPos val="b"/>
        <majorTickMark val="out"/>
        <minorTickMark val="none"/>
        <tickLblPos val="nextTo"/>
        <crossAx val="154989056"/>
        <crosses val="autoZero"/>
        <auto val="1"/>
        <lblAlgn val="ctr"/>
        <lblOffset val="100"/>
        <tickLblSkip val="10"/>
        <noMultiLvlLbl val="0"/>
      </catAx>
      <valAx>
        <axId val="154989056"/>
        <scaling>
          <orientation val="minMax"/>
        </scaling>
        <delete val="0"/>
        <axPos val="l"/>
        <majorGridlines/>
        <numFmt formatCode="0" sourceLinked="0"/>
        <majorTickMark val="out"/>
        <minorTickMark val="none"/>
        <tickLblPos val="nextTo"/>
        <crossAx val="128151040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771263779527559"/>
          <y val="0.0690605861767279"/>
          <w val="0.139204243068233"/>
          <h val="0.1674343832021007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2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250101263293645"/>
          <y val="0.05140055409740449"/>
          <w val="0.8198327112225159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Arrival_Time_Other!$J$7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Arrival_Time_Other!$J$8:$J$58</f>
              <numCache>
                <formatCode>0.00</formatCode>
                <ptCount val="51"/>
                <pt idx="0">
                  <v>9.16501889224752</v>
                </pt>
                <pt idx="1">
                  <v>27.50513557451846</v>
                </pt>
                <pt idx="2">
                  <v>88.88107986223942</v>
                </pt>
                <pt idx="3">
                  <v>281.1271468358192</v>
                </pt>
                <pt idx="4">
                  <v>796.5727580499351</v>
                </pt>
                <pt idx="5">
                  <v>1996.892589366437</v>
                </pt>
                <pt idx="6">
                  <v>4415.994608727082</v>
                </pt>
                <pt idx="7">
                  <v>8582.347121344292</v>
                </pt>
                <pt idx="8">
                  <v>14605.70065483783</v>
                </pt>
                <pt idx="9">
                  <v>21713.70749274311</v>
                </pt>
                <pt idx="10">
                  <v>28168.60651973853</v>
                </pt>
                <pt idx="11">
                  <v>31891.23996004853</v>
                </pt>
                <pt idx="12">
                  <v>31565.17873055993</v>
                </pt>
                <pt idx="13">
                  <v>27449.38745298566</v>
                </pt>
                <pt idx="14">
                  <v>21233.86838315567</v>
                </pt>
                <pt idx="15">
                  <v>15045.88787288855</v>
                </pt>
                <pt idx="16">
                  <v>10398.0513480072</v>
                </pt>
                <pt idx="17">
                  <v>7786.350943396248</v>
                </pt>
                <pt idx="18">
                  <v>6986.458442305402</v>
                </pt>
                <pt idx="19">
                  <v>7595.581363819278</v>
                </pt>
                <pt idx="20">
                  <v>9385.0771529948</v>
                </pt>
                <pt idx="21">
                  <v>12304.24339474167</v>
                </pt>
                <pt idx="22">
                  <v>16198.92660349034</v>
                </pt>
                <pt idx="23">
                  <v>20480.46343748554</v>
                </pt>
                <pt idx="24">
                  <v>24094.7124201791</v>
                </pt>
                <pt idx="25">
                  <v>25971.85470335087</v>
                </pt>
                <pt idx="26">
                  <v>25665.85359169991</v>
                </pt>
                <pt idx="27">
                  <v>23605.2259757135</v>
                </pt>
                <pt idx="28">
                  <v>20704.04685137882</v>
                </pt>
                <pt idx="29">
                  <v>17713.08831444807</v>
                </pt>
                <pt idx="30">
                  <v>14897.35469205873</v>
                </pt>
                <pt idx="31">
                  <v>12206.34654172828</v>
                </pt>
                <pt idx="32">
                  <v>9605.234298963593</v>
                </pt>
                <pt idx="33">
                  <v>7203.701924730058</v>
                </pt>
                <pt idx="34">
                  <v>5159.115283101133</v>
                </pt>
                <pt idx="35">
                  <v>3562.12579571382</v>
                </pt>
                <pt idx="36">
                  <v>2426.567663535279</v>
                </pt>
                <pt idx="37">
                  <v>1724.614015562883</v>
                </pt>
                <pt idx="38">
                  <v>1384.556281681579</v>
                </pt>
                <pt idx="39">
                  <v>1270.282759966026</v>
                </pt>
                <pt idx="40">
                  <v>1208.882737471846</v>
                </pt>
                <pt idx="41">
                  <v>1069.690349002447</v>
                </pt>
                <pt idx="42">
                  <v>825.356584105045</v>
                </pt>
                <pt idx="43">
                  <v>538.3050167888355</v>
                </pt>
                <pt idx="44">
                  <v>291.5355993542888</v>
                </pt>
                <pt idx="45">
                  <v>129.1185690430983</v>
                </pt>
                <pt idx="46">
                  <v>45.91789997949219</v>
                </pt>
                <pt idx="47">
                  <v>12.78341887266775</v>
                </pt>
                <pt idx="48">
                  <v>2.681862500667104</v>
                </pt>
                <pt idx="49">
                  <v>0.39681368804758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Arrival_Time_Other!$U$7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Arrival_Time_Other!$U$8:$U$58</f>
              <numCache>
                <formatCode>General</formatCode>
                <ptCount val="51"/>
                <pt idx="0">
                  <v>8624.792763182388</v>
                </pt>
                <pt idx="1">
                  <v>9612.878770071011</v>
                </pt>
                <pt idx="2">
                  <v>10233.56719730536</v>
                </pt>
                <pt idx="3">
                  <v>10645.4992451788</v>
                </pt>
                <pt idx="4">
                  <v>11633.87827443589</v>
                </pt>
                <pt idx="5">
                  <v>14248.7037289194</v>
                </pt>
                <pt idx="6">
                  <v>19299.40440344482</v>
                </pt>
                <pt idx="7">
                  <v>27041.4409659679</v>
                </pt>
                <pt idx="8">
                  <v>37162.54531404445</v>
                </pt>
                <pt idx="9">
                  <v>48956.53939597017</v>
                </pt>
                <pt idx="10">
                  <v>61501.15852047362</v>
                </pt>
                <pt idx="11">
                  <v>73737.54285198227</v>
                </pt>
                <pt idx="12">
                  <v>84503.19363028902</v>
                </pt>
                <pt idx="13">
                  <v>92661.29673124934</v>
                </pt>
                <pt idx="14">
                  <v>97397.00324956101</v>
                </pt>
                <pt idx="15">
                  <v>98566.14134345179</v>
                </pt>
                <pt idx="16">
                  <v>96861.18121735904</v>
                </pt>
                <pt idx="17">
                  <v>93630.43653937787</v>
                </pt>
                <pt idx="18">
                  <v>90398.34270443179</v>
                </pt>
                <pt idx="19">
                  <v>88323.52202211171</v>
                </pt>
                <pt idx="20">
                  <v>87874.91783934706</v>
                </pt>
                <pt idx="21">
                  <v>88887.29940469778</v>
                </pt>
                <pt idx="22">
                  <v>90938.39658879978</v>
                </pt>
                <pt idx="23">
                  <v>93789.12970232604</v>
                </pt>
                <pt idx="24">
                  <v>97583.73562413303</v>
                </pt>
                <pt idx="25">
                  <v>102680.5056979567</v>
                </pt>
                <pt idx="26">
                  <v>109267.0602483201</v>
                </pt>
                <pt idx="27">
                  <v>117058.5521890506</v>
                </pt>
                <pt idx="28">
                  <v>125233.6249380632</v>
                </pt>
                <pt idx="29">
                  <v>132521.9162813303</v>
                </pt>
                <pt idx="30">
                  <v>137359.7964459767</v>
                </pt>
                <pt idx="31">
                  <v>138229.838766141</v>
                </pt>
                <pt idx="32">
                  <v>134240.0506307073</v>
                </pt>
                <pt idx="33">
                  <v>125593.4337285013</v>
                </pt>
                <pt idx="34">
                  <v>113453.8891188453</v>
                </pt>
                <pt idx="35">
                  <v>99235.23606191271</v>
                </pt>
                <pt idx="36">
                  <v>83959.55736373004</v>
                </pt>
                <pt idx="37">
                  <v>68235.08850761499</v>
                </pt>
                <pt idx="38">
                  <v>52694.0016694658</v>
                </pt>
                <pt idx="39">
                  <v>38272.41452729067</v>
                </pt>
                <pt idx="40">
                  <v>25991.0949481408</v>
                </pt>
                <pt idx="41">
                  <v>16489.0431942424</v>
                </pt>
                <pt idx="42">
                  <v>9781.263687135315</v>
                </pt>
                <pt idx="43">
                  <v>5406.718456708757</v>
                </pt>
                <pt idx="44">
                  <v>2748.378251401053</v>
                </pt>
                <pt idx="45">
                  <v>1254.562499492692</v>
                </pt>
                <pt idx="46">
                  <v>498.5912431853874</v>
                </pt>
                <pt idx="47">
                  <v>166.6337553550905</v>
                </pt>
                <pt idx="48">
                  <v>45.05520924919917</v>
                </pt>
                <pt idx="49">
                  <v>9.268732298222551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8527104"/>
        <axId val="154990784"/>
      </lineChart>
      <catAx>
        <axId val="148527104"/>
        <scaling>
          <orientation val="minMax"/>
        </scaling>
        <delete val="0"/>
        <axPos val="b"/>
        <majorTickMark val="out"/>
        <minorTickMark val="none"/>
        <tickLblPos val="nextTo"/>
        <crossAx val="154990784"/>
        <crosses val="autoZero"/>
        <auto val="1"/>
        <lblAlgn val="ctr"/>
        <lblOffset val="100"/>
        <tickLblSkip val="10"/>
        <noMultiLvlLbl val="0"/>
      </catAx>
      <valAx>
        <axId val="154990784"/>
        <scaling>
          <orientation val="minMax"/>
        </scaling>
        <delete val="0"/>
        <axPos val="l"/>
        <majorGridlines/>
        <numFmt formatCode="0" sourceLinked="0"/>
        <majorTickMark val="out"/>
        <minorTickMark val="none"/>
        <tickLblPos val="nextTo"/>
        <crossAx val="148527104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771263779527559"/>
          <y val="0.0690605861767279"/>
          <w val="0.1392042430682331"/>
          <h val="0.1674343832021008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3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250101263293645"/>
          <y val="0.05140055409740449"/>
          <w val="0.8198327112225159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Arrival_Time_Workbased!$J$7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Arrival_Time_Workbased!$J$8:$J$58</f>
              <numCache>
                <formatCode>0.00</formatCode>
                <ptCount val="51"/>
                <pt idx="0">
                  <v>0</v>
                </pt>
                <pt idx="1">
                  <v>7.783168888153438</v>
                </pt>
                <pt idx="2">
                  <v>34.52251775204539</v>
                </pt>
                <pt idx="3">
                  <v>119.2222027585599</v>
                </pt>
                <pt idx="4">
                  <v>338.8342075846523</v>
                </pt>
                <pt idx="5">
                  <v>812.90152462933</v>
                </pt>
                <pt idx="6">
                  <v>1677.430573062471</v>
                </pt>
                <pt idx="7">
                  <v>3024.212678227264</v>
                </pt>
                <pt idx="8">
                  <v>4839.642094173914</v>
                </pt>
                <pt idx="9">
                  <v>7001.585845595979</v>
                </pt>
                <pt idx="10">
                  <v>9345.887670297983</v>
                </pt>
                <pt idx="11">
                  <v>11718.53719268075</v>
                </pt>
                <pt idx="12">
                  <v>13927.49317048144</v>
                </pt>
                <pt idx="13">
                  <v>15665.49167893366</v>
                </pt>
                <pt idx="14">
                  <v>16587.67052626007</v>
                </pt>
                <pt idx="15">
                  <v>16563.04423093292</v>
                </pt>
                <pt idx="16">
                  <v>15846.30187067491</v>
                </pt>
                <pt idx="17">
                  <v>14946.78254678781</v>
                </pt>
                <pt idx="18">
                  <v>14311.56168539611</v>
                </pt>
                <pt idx="19">
                  <v>14128.02856385535</v>
                </pt>
                <pt idx="20">
                  <v>14355.04630471845</v>
                </pt>
                <pt idx="21">
                  <v>14831.02802641159</v>
                </pt>
                <pt idx="22">
                  <v>15322.11473679889</v>
                </pt>
                <pt idx="23">
                  <v>15554.75658707907</v>
                </pt>
                <pt idx="24">
                  <v>15321.70065254365</v>
                </pt>
                <pt idx="25">
                  <v>14611.0748839308</v>
                </pt>
                <pt idx="26">
                  <v>13605.37311377022</v>
                </pt>
                <pt idx="27">
                  <v>12504.99547965986</v>
                </pt>
                <pt idx="28">
                  <v>11346.47380129781</v>
                </pt>
                <pt idx="29">
                  <v>10023.91277535471</v>
                </pt>
                <pt idx="30">
                  <v>8486.519406296731</v>
                </pt>
                <pt idx="31">
                  <v>6861.727717708838</v>
                </pt>
                <pt idx="32">
                  <v>5355.322314296434</v>
                </pt>
                <pt idx="33">
                  <v>4073.276810401183</v>
                </pt>
                <pt idx="34">
                  <v>2986.929482825893</v>
                </pt>
                <pt idx="35">
                  <v>2045.563333231274</v>
                </pt>
                <pt idx="36">
                  <v>1263.804016524194</v>
                </pt>
                <pt idx="37">
                  <v>691.6280545765989</v>
                </pt>
                <pt idx="38">
                  <v>340.3760618336023</v>
                </pt>
                <pt idx="39">
                  <v>161.6350047964592</v>
                </pt>
                <pt idx="40">
                  <v>83.14032250982382</v>
                </pt>
                <pt idx="41">
                  <v>48.50775330169907</v>
                </pt>
                <pt idx="42">
                  <v>29.27098051312276</v>
                </pt>
                <pt idx="43">
                  <v>16.23398927507815</v>
                </pt>
                <pt idx="44">
                  <v>7.69903283451185</v>
                </pt>
                <pt idx="45">
                  <v>2.994296555538792</v>
                </pt>
                <pt idx="46">
                  <v>0.9220676963497031</v>
                </pt>
                <pt idx="47">
                  <v>0.2154255881084553</v>
                </pt>
                <pt idx="48">
                  <v>0.03580108809077111</v>
                </pt>
                <pt idx="49">
                  <v>0.003765576882603893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Arrival_Time_Workbased!$U$7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Arrival_Time_Workbased!$U$8:$U$58</f>
              <numCache>
                <formatCode>General</formatCode>
                <ptCount val="51"/>
                <pt idx="0">
                  <v>41.6641799517402</v>
                </pt>
                <pt idx="1">
                  <v>172.4629920070965</v>
                </pt>
                <pt idx="2">
                  <v>262.1685575805169</v>
                </pt>
                <pt idx="3">
                  <v>306.0958610499091</v>
                </pt>
                <pt idx="4">
                  <v>338.6411634483752</v>
                </pt>
                <pt idx="5">
                  <v>408.0779287154673</v>
                </pt>
                <pt idx="6">
                  <v>556.5980313177994</v>
                </pt>
                <pt idx="7">
                  <v>823.0837186221513</v>
                </pt>
                <pt idx="8">
                  <v>1254.811645132275</v>
                </pt>
                <pt idx="9">
                  <v>1909.127122502308</v>
                </pt>
                <pt idx="10">
                  <v>2848.432466175348</v>
                </pt>
                <pt idx="11">
                  <v>4142.568434724591</v>
                </pt>
                <pt idx="12">
                  <v>5867.857004000733</v>
                </pt>
                <pt idx="13">
                  <v>8068.911598533746</v>
                </pt>
                <pt idx="14">
                  <v>10681.34811746269</v>
                </pt>
                <pt idx="15">
                  <v>13473.83013534001</v>
                </pt>
                <pt idx="16">
                  <v>16067.50248499895</v>
                </pt>
                <pt idx="17">
                  <v>18023.29426464667</v>
                </pt>
                <pt idx="18">
                  <v>18952.77418855883</v>
                </pt>
                <pt idx="19">
                  <v>18638.25708598906</v>
                </pt>
                <pt idx="20">
                  <v>17144.69829017025</v>
                </pt>
                <pt idx="21">
                  <v>14840.75708270889</v>
                </pt>
                <pt idx="22">
                  <v>12254.56490535151</v>
                </pt>
                <pt idx="23">
                  <v>9834.344720089081</v>
                </pt>
                <pt idx="24">
                  <v>7794.810431040418</v>
                </pt>
                <pt idx="25">
                  <v>6145.435735531918</v>
                </pt>
                <pt idx="26">
                  <v>4819.571577611137</v>
                </pt>
                <pt idx="27">
                  <v>3766.41171021536</v>
                </pt>
                <pt idx="28">
                  <v>2957.811215778674</v>
                </pt>
                <pt idx="29">
                  <v>2356.743712090987</v>
                </pt>
                <pt idx="30">
                  <v>1903.790315769053</v>
                </pt>
                <pt idx="31">
                  <v>1535.741727940644</v>
                </pt>
                <pt idx="32">
                  <v>1215.3531801043</v>
                </pt>
                <pt idx="33">
                  <v>943.748237428495</v>
                </pt>
                <pt idx="34">
                  <v>742.9410111560385</v>
                </pt>
                <pt idx="35">
                  <v>622.5799909608618</v>
                </pt>
                <pt idx="36">
                  <v>560.1116590527313</v>
                </pt>
                <pt idx="37">
                  <v>511.3955501420952</v>
                </pt>
                <pt idx="38">
                  <v>440.3955879288846</v>
                </pt>
                <pt idx="39">
                  <v>340.4986290881723</v>
                </pt>
                <pt idx="40">
                  <v>231.0899170079444</v>
                </pt>
                <pt idx="41">
                  <v>137.2000238582421</v>
                </pt>
                <pt idx="42">
                  <v>72.13695438655031</v>
                </pt>
                <pt idx="43">
                  <v>34.48862727791538</v>
                </pt>
                <pt idx="44">
                  <v>15.46311818235029</v>
                </pt>
                <pt idx="45">
                  <v>6.575070937717355</v>
                </pt>
                <pt idx="46">
                  <v>2.58099810553296</v>
                </pt>
                <pt idx="47">
                  <v>0.885312401797505</v>
                </pt>
                <pt idx="48">
                  <v>0.2495194032696574</v>
                </pt>
                <pt idx="49">
                  <v>0.05351647198488142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0908928"/>
        <axId val="155754496"/>
      </lineChart>
      <catAx>
        <axId val="150908928"/>
        <scaling>
          <orientation val="minMax"/>
        </scaling>
        <delete val="0"/>
        <axPos val="b"/>
        <majorTickMark val="out"/>
        <minorTickMark val="none"/>
        <tickLblPos val="nextTo"/>
        <crossAx val="155754496"/>
        <crosses val="autoZero"/>
        <auto val="1"/>
        <lblAlgn val="ctr"/>
        <lblOffset val="100"/>
        <tickLblSkip val="10"/>
        <noMultiLvlLbl val="0"/>
      </catAx>
      <valAx>
        <axId val="155754496"/>
        <scaling>
          <orientation val="minMax"/>
        </scaling>
        <delete val="0"/>
        <axPos val="l"/>
        <majorGridlines/>
        <numFmt formatCode="0" sourceLinked="0"/>
        <majorTickMark val="out"/>
        <minorTickMark val="none"/>
        <tickLblPos val="nextTo"/>
        <crossAx val="15090892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771263779527559"/>
          <y val="0.0690605861767279"/>
          <w val="0.1392042430682332"/>
          <h val="0.1674343832021009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4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250101263293645"/>
          <y val="0.05140055409740449"/>
          <w val="0.8198327112225159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Arrival_Time_Work!$J$7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Arrival_Time_Work!$J$8:$J$58</f>
              <numCache>
                <formatCode>0.00</formatCode>
                <ptCount val="51"/>
                <pt idx="0">
                  <v>562.3747441545361</v>
                </pt>
                <pt idx="1">
                  <v>5774.153131869979</v>
                </pt>
                <pt idx="2">
                  <v>11684.05164876951</v>
                </pt>
                <pt idx="3">
                  <v>19081.87973087393</v>
                </pt>
                <pt idx="4">
                  <v>28913.80708669413</v>
                </pt>
                <pt idx="5">
                  <v>42140.19785027867</v>
                </pt>
                <pt idx="6">
                  <v>59188.1980665865</v>
                </pt>
                <pt idx="7">
                  <v>79145.46436503503</v>
                </pt>
                <pt idx="8">
                  <v>99317.16415051992</v>
                </pt>
                <pt idx="9">
                  <v>115773.2679941779</v>
                </pt>
                <pt idx="10">
                  <v>124807.2783328244</v>
                </pt>
                <pt idx="11">
                  <v>124435.4522528905</v>
                </pt>
                <pt idx="12">
                  <v>115043.8027776496</v>
                </pt>
                <pt idx="13">
                  <v>99019.70575163585</v>
                </pt>
                <pt idx="14">
                  <v>79823.11796369508</v>
                </pt>
                <pt idx="15">
                  <v>60953.32408381939</v>
                </pt>
                <pt idx="16">
                  <v>45043.33708996434</v>
                </pt>
                <pt idx="17">
                  <v>33307.67353482102</v>
                </pt>
                <pt idx="18">
                  <v>25579.85870324177</v>
                </pt>
                <pt idx="19">
                  <v>20890.36589144882</v>
                </pt>
                <pt idx="20">
                  <v>18170.29222162682</v>
                </pt>
                <pt idx="21">
                  <v>16644.18766821226</v>
                </pt>
                <pt idx="22">
                  <v>15813.49602733557</v>
                </pt>
                <pt idx="23">
                  <v>15270.69166395024</v>
                </pt>
                <pt idx="24">
                  <v>14630.94367616422</v>
                </pt>
                <pt idx="25">
                  <v>13640.10612944391</v>
                </pt>
                <pt idx="26">
                  <v>12279.25747491805</v>
                </pt>
                <pt idx="27">
                  <v>10698.16572804618</v>
                </pt>
                <pt idx="28">
                  <v>9040.669202346935</v>
                </pt>
                <pt idx="29">
                  <v>7360.908015084256</v>
                </pt>
                <pt idx="30">
                  <v>5691.96656052657</v>
                </pt>
                <pt idx="31">
                  <v>4129.399035811303</v>
                </pt>
                <pt idx="32">
                  <v>2806.543315906061</v>
                </pt>
                <pt idx="33">
                  <v>1805.688492619933</v>
                </pt>
                <pt idx="34">
                  <v>1117.524052956367</v>
                </pt>
                <pt idx="35">
                  <v>675.6117485541982</v>
                </pt>
                <pt idx="36">
                  <v>408.0117413072417</v>
                </pt>
                <pt idx="37">
                  <v>259.3564869512683</v>
                </pt>
                <pt idx="38">
                  <v>187.3962660774854</v>
                </pt>
                <pt idx="39">
                  <v>156.6607905188355</v>
                </pt>
                <pt idx="40">
                  <v>139.06926703971</v>
                </pt>
                <pt idx="41">
                  <v>117.94833681541</v>
                </pt>
                <pt idx="42">
                  <v>89.38545949525205</v>
                </pt>
                <pt idx="43">
                  <v>58.42302025470484</v>
                </pt>
                <pt idx="44">
                  <v>32.2301334405676</v>
                </pt>
                <pt idx="45">
                  <v>14.7364691747242</v>
                </pt>
                <pt idx="46">
                  <v>5.471796731288971</v>
                </pt>
                <pt idx="47">
                  <v>1.606237996145465</v>
                </pt>
                <pt idx="48">
                  <v>0.3584644036254668</v>
                </pt>
                <pt idx="49">
                  <v>0.05684040716670123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Arrival_Time_Work!$U$7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Arrival_Time_Work!$U$8:$U$58</f>
              <numCache>
                <formatCode>General</formatCode>
                <ptCount val="51"/>
                <pt idx="0">
                  <v>1851.520336531514</v>
                </pt>
                <pt idx="1">
                  <v>5997.681320478607</v>
                </pt>
                <pt idx="2">
                  <v>10754.53661905671</v>
                </pt>
                <pt idx="3">
                  <v>17202.05689524032</v>
                </pt>
                <pt idx="4">
                  <v>27067.77397532004</v>
                </pt>
                <pt idx="5">
                  <v>42338.48991991644</v>
                </pt>
                <pt idx="6">
                  <v>64259.22879903462</v>
                </pt>
                <pt idx="7">
                  <v>92127.52788405652</v>
                </pt>
                <pt idx="8">
                  <v>122627.4656537809</v>
                </pt>
                <pt idx="9">
                  <v>150308.5693336487</v>
                </pt>
                <pt idx="10">
                  <v>169223.9368794359</v>
                </pt>
                <pt idx="11">
                  <v>175077.5958130613</v>
                </pt>
                <pt idx="12">
                  <v>166895.00507721</v>
                </pt>
                <pt idx="13">
                  <v>147404.7604768361</v>
                </pt>
                <pt idx="14">
                  <v>121922.3589171392</v>
                </pt>
                <pt idx="15">
                  <v>96265.97226072085</v>
                </pt>
                <pt idx="16">
                  <v>74719.15350581893</v>
                </pt>
                <pt idx="17">
                  <v>58987.40057853723</v>
                </pt>
                <pt idx="18">
                  <v>48481.18088940917</v>
                </pt>
                <pt idx="19">
                  <v>41483.90099959999</v>
                </pt>
                <pt idx="20">
                  <v>36360.41091908245</v>
                </pt>
                <pt idx="21">
                  <v>32168.85081816845</v>
                </pt>
                <pt idx="22">
                  <v>28599.1768649769</v>
                </pt>
                <pt idx="23">
                  <v>25596.36521971911</v>
                </pt>
                <pt idx="24">
                  <v>23070.63183058382</v>
                </pt>
                <pt idx="25">
                  <v>20852.14899761136</v>
                </pt>
                <pt idx="26">
                  <v>18792.06243117762</v>
                </pt>
                <pt idx="27">
                  <v>16836.91102272527</v>
                </pt>
                <pt idx="28">
                  <v>15000.03383378598</v>
                </pt>
                <pt idx="29">
                  <v>13281.78996483553</v>
                </pt>
                <pt idx="30">
                  <v>11631.44586193624</v>
                </pt>
                <pt idx="31">
                  <v>9986.438087297367</v>
                </pt>
                <pt idx="32">
                  <v>8342.607093244396</v>
                </pt>
                <pt idx="33">
                  <v>6780.187940424294</v>
                </pt>
                <pt idx="34">
                  <v>5415.75720258252</v>
                </pt>
                <pt idx="35">
                  <v>4322.194518567044</v>
                </pt>
                <pt idx="36">
                  <v>3486.13706962416</v>
                </pt>
                <pt idx="37">
                  <v>2831.913690012872</v>
                </pt>
                <pt idx="38">
                  <v>2279.73978654199</v>
                </pt>
                <pt idx="39">
                  <v>1785.971477409361</v>
                </pt>
                <pt idx="40">
                  <v>1343.794657847697</v>
                </pt>
                <pt idx="41">
                  <v>961.7851035984452</v>
                </pt>
                <pt idx="42">
                  <v>647.0823268294837</v>
                </pt>
                <pt idx="43">
                  <v>401.8878178675296</v>
                </pt>
                <pt idx="44">
                  <v>224.9466938319241</v>
                </pt>
                <pt idx="45">
                  <v>110.4443349423688</v>
                </pt>
                <pt idx="46">
                  <v>46.25438577984106</v>
                </pt>
                <pt idx="47">
                  <v>16.04732681178108</v>
                </pt>
                <pt idx="48">
                  <v>4.459580275051739</v>
                </pt>
                <pt idx="49">
                  <v>0.9365858691372012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0910976"/>
        <axId val="155756224"/>
      </lineChart>
      <catAx>
        <axId val="150910976"/>
        <scaling>
          <orientation val="minMax"/>
        </scaling>
        <delete val="0"/>
        <axPos val="b"/>
        <majorTickMark val="out"/>
        <minorTickMark val="none"/>
        <tickLblPos val="nextTo"/>
        <crossAx val="155756224"/>
        <crosses val="autoZero"/>
        <auto val="1"/>
        <lblAlgn val="ctr"/>
        <lblOffset val="100"/>
        <tickLblSkip val="10"/>
        <noMultiLvlLbl val="0"/>
      </catAx>
      <valAx>
        <axId val="155756224"/>
        <scaling>
          <orientation val="minMax"/>
        </scaling>
        <delete val="0"/>
        <axPos val="l"/>
        <majorGridlines/>
        <numFmt formatCode="0" sourceLinked="0"/>
        <majorTickMark val="out"/>
        <minorTickMark val="none"/>
        <tickLblPos val="nextTo"/>
        <crossAx val="15091097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771263779527559"/>
          <y val="0.0690605861767279"/>
          <w val="0.139204243068233"/>
          <h val="0.1674343832021006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5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250101263293645"/>
          <y val="0.05140055409740449"/>
          <w val="0.8198327112225159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Depart_Time_School!$J$7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Depart_Time_School!$A$8:$A$57</f>
              <strCache>
                <ptCount val="50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</strCache>
            </strRef>
          </cat>
          <val>
            <numRef>
              <f>Depart_Time_School!$J$8:$J$58</f>
              <numCache>
                <formatCode>0.00</formatCode>
                <ptCount val="51"/>
                <pt idx="0">
                  <v>0</v>
                </pt>
                <pt idx="1">
                  <v>1.492035729748535</v>
                </pt>
                <pt idx="2">
                  <v>4.08491178317935</v>
                </pt>
                <pt idx="3">
                  <v>8.568145951036861</v>
                </pt>
                <pt idx="4">
                  <v>15.28554760188438</v>
                </pt>
                <pt idx="5">
                  <v>24.92162776332908</v>
                </pt>
                <pt idx="6">
                  <v>40.85794207066973</v>
                </pt>
                <pt idx="7">
                  <v>71.78486098692507</v>
                </pt>
                <pt idx="8">
                  <v>130.5528969307933</v>
                </pt>
                <pt idx="9">
                  <v>226.4742204414425</v>
                </pt>
                <pt idx="10">
                  <v>356.5104162306143</v>
                </pt>
                <pt idx="11">
                  <v>507.7801670068912</v>
                </pt>
                <pt idx="12">
                  <v>674.6202975390294</v>
                </pt>
                <pt idx="13">
                  <v>872.8994539515866</v>
                </pt>
                <pt idx="14">
                  <v>1134.555250232633</v>
                </pt>
                <pt idx="15">
                  <v>1499.790360892523</v>
                </pt>
                <pt idx="16">
                  <v>2052.816115789877</v>
                </pt>
                <pt idx="17">
                  <v>3026.4873151616</v>
                </pt>
                <pt idx="18">
                  <v>4940.332493187478</v>
                </pt>
                <pt idx="19">
                  <v>8655.57116643985</v>
                </pt>
                <pt idx="20">
                  <v>15152.83276757359</v>
                </pt>
                <pt idx="21">
                  <v>24895.22264697175</v>
                </pt>
                <pt idx="22">
                  <v>36993.99380484814</v>
                </pt>
                <pt idx="23">
                  <v>48854.93685564099</v>
                </pt>
                <pt idx="24">
                  <v>56948.00909463041</v>
                </pt>
                <pt idx="25">
                  <v>58522.89258122485</v>
                </pt>
                <pt idx="26">
                  <v>53148.60754514813</v>
                </pt>
                <pt idx="27">
                  <v>42916.53055685416</v>
                </pt>
                <pt idx="28">
                  <v>31177.98538301688</v>
                </pt>
                <pt idx="29">
                  <v>20812.17559335824</v>
                </pt>
                <pt idx="30">
                  <v>13196.90558312512</v>
                </pt>
                <pt idx="31">
                  <v>8277.881416110511</v>
                </pt>
                <pt idx="32">
                  <v>5282.381235109347</v>
                </pt>
                <pt idx="33">
                  <v>3406.55079732434</v>
                </pt>
                <pt idx="34">
                  <v>2136.605052072403</v>
                </pt>
                <pt idx="35">
                  <v>1245.12905222334</v>
                </pt>
                <pt idx="36">
                  <v>652.8543921500373</v>
                </pt>
                <pt idx="37">
                  <v>308.4495347847847</v>
                </pt>
                <pt idx="38">
                  <v>143.2346812264734</v>
                </pt>
                <pt idx="39">
                  <v>81.8111950614294</v>
                </pt>
                <pt idx="40">
                  <v>64.82314069567849</v>
                </pt>
                <pt idx="41">
                  <v>58.22625197569539</v>
                </pt>
                <pt idx="42">
                  <v>48.94145157522863</v>
                </pt>
                <pt idx="43">
                  <v>35.94110049145757</v>
                </pt>
                <pt idx="44">
                  <v>22.60600901762205</v>
                </pt>
                <pt idx="45">
                  <v>12.05245418121665</v>
                </pt>
                <pt idx="46">
                  <v>5.380265250229655</v>
                </pt>
                <pt idx="47">
                  <v>1.974864229654944</v>
                </pt>
                <pt idx="48">
                  <v>0.5801108150988207</v>
                </pt>
                <pt idx="49">
                  <v>0.1288148058029541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Depart_Time_School!$U$7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Depart_Time_School!$A$8:$A$57</f>
              <strCache>
                <ptCount val="50"/>
                <pt idx="0">
                  <v>Before 3:00am</v>
                </pt>
                <pt idx="1">
                  <v>3:00</v>
                </pt>
                <pt idx="2">
                  <v>3:30</v>
                </pt>
                <pt idx="3">
                  <v>4:00</v>
                </pt>
                <pt idx="4">
                  <v>4:30</v>
                </pt>
                <pt idx="5">
                  <v>5:00</v>
                </pt>
                <pt idx="6">
                  <v>5:30</v>
                </pt>
                <pt idx="7">
                  <v>6:00</v>
                </pt>
                <pt idx="8">
                  <v>6:30</v>
                </pt>
                <pt idx="9">
                  <v>7:00</v>
                </pt>
                <pt idx="10">
                  <v>7:30</v>
                </pt>
                <pt idx="11">
                  <v>8:00</v>
                </pt>
                <pt idx="12">
                  <v>8:30</v>
                </pt>
                <pt idx="13">
                  <v>9:00</v>
                </pt>
                <pt idx="14">
                  <v>9:30</v>
                </pt>
                <pt idx="15">
                  <v>10:00</v>
                </pt>
                <pt idx="16">
                  <v>10:30</v>
                </pt>
                <pt idx="17">
                  <v>11:00</v>
                </pt>
                <pt idx="18">
                  <v>11:30</v>
                </pt>
                <pt idx="19">
                  <v>12:00</v>
                </pt>
                <pt idx="20">
                  <v>12:30</v>
                </pt>
                <pt idx="21">
                  <v>13:00</v>
                </pt>
                <pt idx="22">
                  <v>13:30</v>
                </pt>
                <pt idx="23">
                  <v>14:00</v>
                </pt>
                <pt idx="24">
                  <v>14:30</v>
                </pt>
                <pt idx="25">
                  <v>15:00</v>
                </pt>
                <pt idx="26">
                  <v>15:30</v>
                </pt>
                <pt idx="27">
                  <v>16:00</v>
                </pt>
                <pt idx="28">
                  <v>16:30</v>
                </pt>
                <pt idx="29">
                  <v>17:00</v>
                </pt>
                <pt idx="30">
                  <v>17:30</v>
                </pt>
                <pt idx="31">
                  <v>18:00</v>
                </pt>
                <pt idx="32">
                  <v>18:30</v>
                </pt>
                <pt idx="33">
                  <v>19:00</v>
                </pt>
                <pt idx="34">
                  <v>19:30</v>
                </pt>
                <pt idx="35">
                  <v>20:00</v>
                </pt>
                <pt idx="36">
                  <v>20:30</v>
                </pt>
                <pt idx="37">
                  <v>21:00</v>
                </pt>
                <pt idx="38">
                  <v>21:30</v>
                </pt>
                <pt idx="39">
                  <v>22:00</v>
                </pt>
                <pt idx="40">
                  <v>22:30</v>
                </pt>
                <pt idx="41">
                  <v>23:00</v>
                </pt>
                <pt idx="42">
                  <v>23:30</v>
                </pt>
                <pt idx="43">
                  <v>0:00</v>
                </pt>
                <pt idx="44">
                  <v>0:30</v>
                </pt>
                <pt idx="45">
                  <v>1:00</v>
                </pt>
                <pt idx="46">
                  <v>1:30</v>
                </pt>
                <pt idx="47">
                  <v>2:00</v>
                </pt>
                <pt idx="48">
                  <v>2:30</v>
                </pt>
                <pt idx="49">
                  <v>3:00</v>
                </pt>
              </strCache>
            </strRef>
          </cat>
          <val>
            <numRef>
              <f>Depart_Time_School!$U$8:$U$58</f>
              <numCache>
                <formatCode>General</formatCode>
                <ptCount val="51"/>
                <pt idx="0">
                  <v>61.35878854535592</v>
                </pt>
                <pt idx="1">
                  <v>67.31629039404234</v>
                </pt>
                <pt idx="2">
                  <v>65.27120075193395</v>
                </pt>
                <pt idx="3">
                  <v>55.78950428474942</v>
                </pt>
                <pt idx="4">
                  <v>50.13619130532658</v>
                </pt>
                <pt idx="5">
                  <v>66.223658048247</v>
                </pt>
                <pt idx="6">
                  <v>122.5292235883338</v>
                </pt>
                <pt idx="7">
                  <v>232.1827585490553</v>
                </pt>
                <pt idx="8">
                  <v>398.96178245078</v>
                </pt>
                <pt idx="9">
                  <v>621.0803862236195</v>
                </pt>
                <pt idx="10">
                  <v>908.2171730556656</v>
                </pt>
                <pt idx="11">
                  <v>1303.792617447497</v>
                </pt>
                <pt idx="12">
                  <v>1888.555872586508</v>
                </pt>
                <pt idx="13">
                  <v>2749.617376545084</v>
                </pt>
                <pt idx="14">
                  <v>3942.503923331986</v>
                </pt>
                <pt idx="15">
                  <v>5515.999963800207</v>
                </pt>
                <pt idx="16">
                  <v>7641.33834629813</v>
                </pt>
                <pt idx="17">
                  <v>10767.37591562696</v>
                </pt>
                <pt idx="18">
                  <v>15613.39138214891</v>
                </pt>
                <pt idx="19">
                  <v>22877.22881732144</v>
                </pt>
                <pt idx="20">
                  <v>32790.36098076627</v>
                </pt>
                <pt idx="21">
                  <v>44826.43152910817</v>
                </pt>
                <pt idx="22">
                  <v>57711.9859804176</v>
                </pt>
                <pt idx="23">
                  <v>69594.79655393767</v>
                </pt>
                <pt idx="24">
                  <v>78254.6238247626</v>
                </pt>
                <pt idx="25">
                  <v>81547.81725082471</v>
                </pt>
                <pt idx="26">
                  <v>78238.49891881988</v>
                </pt>
                <pt idx="27">
                  <v>68804.91049623612</v>
                </pt>
                <pt idx="28">
                  <v>55477.61287486363</v>
                </pt>
                <pt idx="29">
                  <v>41293.68145575311</v>
                </pt>
                <pt idx="30">
                  <v>28811.06961438173</v>
                </pt>
                <pt idx="31">
                  <v>19337.44903347647</v>
                </pt>
                <pt idx="32">
                  <v>12961.94176446745</v>
                </pt>
                <pt idx="33">
                  <v>9060.051167031497</v>
                </pt>
                <pt idx="34">
                  <v>6813.226943455494</v>
                </pt>
                <pt idx="35">
                  <v>5521.793541086815</v>
                </pt>
                <pt idx="36">
                  <v>4719.495485045763</v>
                </pt>
                <pt idx="37">
                  <v>4163.110760064841</v>
                </pt>
                <pt idx="38">
                  <v>3751.399571859265</v>
                </pt>
                <pt idx="39">
                  <v>3423.716935904608</v>
                </pt>
                <pt idx="40">
                  <v>3098.599595996503</v>
                </pt>
                <pt idx="41">
                  <v>2686.694564325262</v>
                </pt>
                <pt idx="42">
                  <v>2149.791885484478</v>
                </pt>
                <pt idx="43">
                  <v>1537.311318148012</v>
                </pt>
                <pt idx="44">
                  <v>957.8169609796091</v>
                </pt>
                <pt idx="45">
                  <v>509.0380976439671</v>
                </pt>
                <pt idx="46">
                  <v>226.1261955779288</v>
                </pt>
                <pt idx="47">
                  <v>82.08251875486748</v>
                </pt>
                <pt idx="48">
                  <v>23.65394557773316</v>
                </pt>
                <pt idx="49">
                  <v>5.117308350666593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48526080"/>
        <axId val="155757952"/>
      </lineChart>
      <catAx>
        <axId val="148526080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crossAx val="155757952"/>
        <crosses val="autoZero"/>
        <auto val="1"/>
        <lblAlgn val="ctr"/>
        <lblOffset val="100"/>
        <tickLblSkip val="10"/>
        <noMultiLvlLbl val="0"/>
      </catAx>
      <valAx>
        <axId val="155757952"/>
        <scaling>
          <orientation val="minMax"/>
        </scaling>
        <delete val="0"/>
        <axPos val="l"/>
        <majorGridlines/>
        <numFmt formatCode="0" sourceLinked="0"/>
        <majorTickMark val="out"/>
        <minorTickMark val="none"/>
        <tickLblPos val="nextTo"/>
        <crossAx val="148526080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771263779527559"/>
          <y val="0.0690605861767279"/>
          <w val="0.139204243068233"/>
          <h val="0.1674343832021007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6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250101263293645"/>
          <y val="0.05140055409740449"/>
          <w val="0.8198327112225159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Arrival_Time_Other!$J$7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Arrival_Time_Other!$J$8:$J$58</f>
              <numCache>
                <formatCode>0.00</formatCode>
                <ptCount val="51"/>
                <pt idx="0">
                  <v>9.16501889224752</v>
                </pt>
                <pt idx="1">
                  <v>27.50513557451846</v>
                </pt>
                <pt idx="2">
                  <v>88.88107986223942</v>
                </pt>
                <pt idx="3">
                  <v>281.1271468358192</v>
                </pt>
                <pt idx="4">
                  <v>796.5727580499351</v>
                </pt>
                <pt idx="5">
                  <v>1996.892589366437</v>
                </pt>
                <pt idx="6">
                  <v>4415.994608727082</v>
                </pt>
                <pt idx="7">
                  <v>8582.347121344292</v>
                </pt>
                <pt idx="8">
                  <v>14605.70065483783</v>
                </pt>
                <pt idx="9">
                  <v>21713.70749274311</v>
                </pt>
                <pt idx="10">
                  <v>28168.60651973853</v>
                </pt>
                <pt idx="11">
                  <v>31891.23996004853</v>
                </pt>
                <pt idx="12">
                  <v>31565.17873055993</v>
                </pt>
                <pt idx="13">
                  <v>27449.38745298566</v>
                </pt>
                <pt idx="14">
                  <v>21233.86838315567</v>
                </pt>
                <pt idx="15">
                  <v>15045.88787288855</v>
                </pt>
                <pt idx="16">
                  <v>10398.0513480072</v>
                </pt>
                <pt idx="17">
                  <v>7786.350943396248</v>
                </pt>
                <pt idx="18">
                  <v>6986.458442305402</v>
                </pt>
                <pt idx="19">
                  <v>7595.581363819278</v>
                </pt>
                <pt idx="20">
                  <v>9385.0771529948</v>
                </pt>
                <pt idx="21">
                  <v>12304.24339474167</v>
                </pt>
                <pt idx="22">
                  <v>16198.92660349034</v>
                </pt>
                <pt idx="23">
                  <v>20480.46343748554</v>
                </pt>
                <pt idx="24">
                  <v>24094.7124201791</v>
                </pt>
                <pt idx="25">
                  <v>25971.85470335087</v>
                </pt>
                <pt idx="26">
                  <v>25665.85359169991</v>
                </pt>
                <pt idx="27">
                  <v>23605.2259757135</v>
                </pt>
                <pt idx="28">
                  <v>20704.04685137882</v>
                </pt>
                <pt idx="29">
                  <v>17713.08831444807</v>
                </pt>
                <pt idx="30">
                  <v>14897.35469205873</v>
                </pt>
                <pt idx="31">
                  <v>12206.34654172828</v>
                </pt>
                <pt idx="32">
                  <v>9605.234298963593</v>
                </pt>
                <pt idx="33">
                  <v>7203.701924730058</v>
                </pt>
                <pt idx="34">
                  <v>5159.115283101133</v>
                </pt>
                <pt idx="35">
                  <v>3562.12579571382</v>
                </pt>
                <pt idx="36">
                  <v>2426.567663535279</v>
                </pt>
                <pt idx="37">
                  <v>1724.614015562883</v>
                </pt>
                <pt idx="38">
                  <v>1384.556281681579</v>
                </pt>
                <pt idx="39">
                  <v>1270.282759966026</v>
                </pt>
                <pt idx="40">
                  <v>1208.882737471846</v>
                </pt>
                <pt idx="41">
                  <v>1069.690349002447</v>
                </pt>
                <pt idx="42">
                  <v>825.356584105045</v>
                </pt>
                <pt idx="43">
                  <v>538.3050167888355</v>
                </pt>
                <pt idx="44">
                  <v>291.5355993542888</v>
                </pt>
                <pt idx="45">
                  <v>129.1185690430983</v>
                </pt>
                <pt idx="46">
                  <v>45.91789997949219</v>
                </pt>
                <pt idx="47">
                  <v>12.78341887266775</v>
                </pt>
                <pt idx="48">
                  <v>2.681862500667104</v>
                </pt>
                <pt idx="49">
                  <v>0.39681368804758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Arrival_Time_Other!$U$7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Arrival_Time_Other!$U$8:$U$58</f>
              <numCache>
                <formatCode>General</formatCode>
                <ptCount val="51"/>
                <pt idx="0">
                  <v>8624.792763182388</v>
                </pt>
                <pt idx="1">
                  <v>9612.878770071011</v>
                </pt>
                <pt idx="2">
                  <v>10233.56719730536</v>
                </pt>
                <pt idx="3">
                  <v>10645.4992451788</v>
                </pt>
                <pt idx="4">
                  <v>11633.87827443589</v>
                </pt>
                <pt idx="5">
                  <v>14248.7037289194</v>
                </pt>
                <pt idx="6">
                  <v>19299.40440344482</v>
                </pt>
                <pt idx="7">
                  <v>27041.4409659679</v>
                </pt>
                <pt idx="8">
                  <v>37162.54531404445</v>
                </pt>
                <pt idx="9">
                  <v>48956.53939597017</v>
                </pt>
                <pt idx="10">
                  <v>61501.15852047362</v>
                </pt>
                <pt idx="11">
                  <v>73737.54285198227</v>
                </pt>
                <pt idx="12">
                  <v>84503.19363028902</v>
                </pt>
                <pt idx="13">
                  <v>92661.29673124934</v>
                </pt>
                <pt idx="14">
                  <v>97397.00324956101</v>
                </pt>
                <pt idx="15">
                  <v>98566.14134345179</v>
                </pt>
                <pt idx="16">
                  <v>96861.18121735904</v>
                </pt>
                <pt idx="17">
                  <v>93630.43653937787</v>
                </pt>
                <pt idx="18">
                  <v>90398.34270443179</v>
                </pt>
                <pt idx="19">
                  <v>88323.52202211171</v>
                </pt>
                <pt idx="20">
                  <v>87874.91783934706</v>
                </pt>
                <pt idx="21">
                  <v>88887.29940469778</v>
                </pt>
                <pt idx="22">
                  <v>90938.39658879978</v>
                </pt>
                <pt idx="23">
                  <v>93789.12970232604</v>
                </pt>
                <pt idx="24">
                  <v>97583.73562413303</v>
                </pt>
                <pt idx="25">
                  <v>102680.5056979567</v>
                </pt>
                <pt idx="26">
                  <v>109267.0602483201</v>
                </pt>
                <pt idx="27">
                  <v>117058.5521890506</v>
                </pt>
                <pt idx="28">
                  <v>125233.6249380632</v>
                </pt>
                <pt idx="29">
                  <v>132521.9162813303</v>
                </pt>
                <pt idx="30">
                  <v>137359.7964459767</v>
                </pt>
                <pt idx="31">
                  <v>138229.838766141</v>
                </pt>
                <pt idx="32">
                  <v>134240.0506307073</v>
                </pt>
                <pt idx="33">
                  <v>125593.4337285013</v>
                </pt>
                <pt idx="34">
                  <v>113453.8891188453</v>
                </pt>
                <pt idx="35">
                  <v>99235.23606191271</v>
                </pt>
                <pt idx="36">
                  <v>83959.55736373004</v>
                </pt>
                <pt idx="37">
                  <v>68235.08850761499</v>
                </pt>
                <pt idx="38">
                  <v>52694.0016694658</v>
                </pt>
                <pt idx="39">
                  <v>38272.41452729067</v>
                </pt>
                <pt idx="40">
                  <v>25991.0949481408</v>
                </pt>
                <pt idx="41">
                  <v>16489.0431942424</v>
                </pt>
                <pt idx="42">
                  <v>9781.263687135315</v>
                </pt>
                <pt idx="43">
                  <v>5406.718456708757</v>
                </pt>
                <pt idx="44">
                  <v>2748.378251401053</v>
                </pt>
                <pt idx="45">
                  <v>1254.562499492692</v>
                </pt>
                <pt idx="46">
                  <v>498.5912431853874</v>
                </pt>
                <pt idx="47">
                  <v>166.6337553550905</v>
                </pt>
                <pt idx="48">
                  <v>45.05520924919917</v>
                </pt>
                <pt idx="49">
                  <v>9.268732298222551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4658304"/>
        <axId val="155759680"/>
      </lineChart>
      <catAx>
        <axId val="154658304"/>
        <scaling>
          <orientation val="minMax"/>
        </scaling>
        <delete val="0"/>
        <axPos val="b"/>
        <majorTickMark val="out"/>
        <minorTickMark val="none"/>
        <tickLblPos val="nextTo"/>
        <crossAx val="155759680"/>
        <crosses val="autoZero"/>
        <auto val="1"/>
        <lblAlgn val="ctr"/>
        <lblOffset val="100"/>
        <tickLblSkip val="10"/>
        <noMultiLvlLbl val="0"/>
      </catAx>
      <valAx>
        <axId val="155759680"/>
        <scaling>
          <orientation val="minMax"/>
        </scaling>
        <delete val="0"/>
        <axPos val="l"/>
        <majorGridlines/>
        <numFmt formatCode="0" sourceLinked="0"/>
        <majorTickMark val="out"/>
        <minorTickMark val="none"/>
        <tickLblPos val="nextTo"/>
        <crossAx val="154658304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771263779527559"/>
          <y val="0.0690605861767279"/>
          <w val="0.1392042430682331"/>
          <h val="0.1674343832021008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7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250101263293645"/>
          <y val="0.05140055409740449"/>
          <w val="0.8198327112225159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Arrival_Time_Workbased!$J$7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Arrival_Time_Workbased!$J$8:$J$58</f>
              <numCache>
                <formatCode>0.00</formatCode>
                <ptCount val="51"/>
                <pt idx="0">
                  <v>0</v>
                </pt>
                <pt idx="1">
                  <v>7.783168888153438</v>
                </pt>
                <pt idx="2">
                  <v>34.52251775204539</v>
                </pt>
                <pt idx="3">
                  <v>119.2222027585599</v>
                </pt>
                <pt idx="4">
                  <v>338.8342075846523</v>
                </pt>
                <pt idx="5">
                  <v>812.90152462933</v>
                </pt>
                <pt idx="6">
                  <v>1677.430573062471</v>
                </pt>
                <pt idx="7">
                  <v>3024.212678227264</v>
                </pt>
                <pt idx="8">
                  <v>4839.642094173914</v>
                </pt>
                <pt idx="9">
                  <v>7001.585845595979</v>
                </pt>
                <pt idx="10">
                  <v>9345.887670297983</v>
                </pt>
                <pt idx="11">
                  <v>11718.53719268075</v>
                </pt>
                <pt idx="12">
                  <v>13927.49317048144</v>
                </pt>
                <pt idx="13">
                  <v>15665.49167893366</v>
                </pt>
                <pt idx="14">
                  <v>16587.67052626007</v>
                </pt>
                <pt idx="15">
                  <v>16563.04423093292</v>
                </pt>
                <pt idx="16">
                  <v>15846.30187067491</v>
                </pt>
                <pt idx="17">
                  <v>14946.78254678781</v>
                </pt>
                <pt idx="18">
                  <v>14311.56168539611</v>
                </pt>
                <pt idx="19">
                  <v>14128.02856385535</v>
                </pt>
                <pt idx="20">
                  <v>14355.04630471845</v>
                </pt>
                <pt idx="21">
                  <v>14831.02802641159</v>
                </pt>
                <pt idx="22">
                  <v>15322.11473679889</v>
                </pt>
                <pt idx="23">
                  <v>15554.75658707907</v>
                </pt>
                <pt idx="24">
                  <v>15321.70065254365</v>
                </pt>
                <pt idx="25">
                  <v>14611.0748839308</v>
                </pt>
                <pt idx="26">
                  <v>13605.37311377022</v>
                </pt>
                <pt idx="27">
                  <v>12504.99547965986</v>
                </pt>
                <pt idx="28">
                  <v>11346.47380129781</v>
                </pt>
                <pt idx="29">
                  <v>10023.91277535471</v>
                </pt>
                <pt idx="30">
                  <v>8486.519406296731</v>
                </pt>
                <pt idx="31">
                  <v>6861.727717708838</v>
                </pt>
                <pt idx="32">
                  <v>5355.322314296434</v>
                </pt>
                <pt idx="33">
                  <v>4073.276810401183</v>
                </pt>
                <pt idx="34">
                  <v>2986.929482825893</v>
                </pt>
                <pt idx="35">
                  <v>2045.563333231274</v>
                </pt>
                <pt idx="36">
                  <v>1263.804016524194</v>
                </pt>
                <pt idx="37">
                  <v>691.6280545765989</v>
                </pt>
                <pt idx="38">
                  <v>340.3760618336023</v>
                </pt>
                <pt idx="39">
                  <v>161.6350047964592</v>
                </pt>
                <pt idx="40">
                  <v>83.14032250982382</v>
                </pt>
                <pt idx="41">
                  <v>48.50775330169907</v>
                </pt>
                <pt idx="42">
                  <v>29.27098051312276</v>
                </pt>
                <pt idx="43">
                  <v>16.23398927507815</v>
                </pt>
                <pt idx="44">
                  <v>7.69903283451185</v>
                </pt>
                <pt idx="45">
                  <v>2.994296555538792</v>
                </pt>
                <pt idx="46">
                  <v>0.9220676963497031</v>
                </pt>
                <pt idx="47">
                  <v>0.2154255881084553</v>
                </pt>
                <pt idx="48">
                  <v>0.03580108809077111</v>
                </pt>
                <pt idx="49">
                  <v>0.003765576882603893</v>
                </pt>
                <pt idx="5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Arrival_Time_Workbased!$U$7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Arrival_Time_Workbased!$U$8:$U$58</f>
              <numCache>
                <formatCode>General</formatCode>
                <ptCount val="51"/>
                <pt idx="0">
                  <v>41.6641799517402</v>
                </pt>
                <pt idx="1">
                  <v>172.4629920070965</v>
                </pt>
                <pt idx="2">
                  <v>262.1685575805169</v>
                </pt>
                <pt idx="3">
                  <v>306.0958610499091</v>
                </pt>
                <pt idx="4">
                  <v>338.6411634483752</v>
                </pt>
                <pt idx="5">
                  <v>408.0779287154673</v>
                </pt>
                <pt idx="6">
                  <v>556.5980313177994</v>
                </pt>
                <pt idx="7">
                  <v>823.0837186221513</v>
                </pt>
                <pt idx="8">
                  <v>1254.811645132275</v>
                </pt>
                <pt idx="9">
                  <v>1909.127122502308</v>
                </pt>
                <pt idx="10">
                  <v>2848.432466175348</v>
                </pt>
                <pt idx="11">
                  <v>4142.568434724591</v>
                </pt>
                <pt idx="12">
                  <v>5867.857004000733</v>
                </pt>
                <pt idx="13">
                  <v>8068.911598533746</v>
                </pt>
                <pt idx="14">
                  <v>10681.34811746269</v>
                </pt>
                <pt idx="15">
                  <v>13473.83013534001</v>
                </pt>
                <pt idx="16">
                  <v>16067.50248499895</v>
                </pt>
                <pt idx="17">
                  <v>18023.29426464667</v>
                </pt>
                <pt idx="18">
                  <v>18952.77418855883</v>
                </pt>
                <pt idx="19">
                  <v>18638.25708598906</v>
                </pt>
                <pt idx="20">
                  <v>17144.69829017025</v>
                </pt>
                <pt idx="21">
                  <v>14840.75708270889</v>
                </pt>
                <pt idx="22">
                  <v>12254.56490535151</v>
                </pt>
                <pt idx="23">
                  <v>9834.344720089081</v>
                </pt>
                <pt idx="24">
                  <v>7794.810431040418</v>
                </pt>
                <pt idx="25">
                  <v>6145.435735531918</v>
                </pt>
                <pt idx="26">
                  <v>4819.571577611137</v>
                </pt>
                <pt idx="27">
                  <v>3766.41171021536</v>
                </pt>
                <pt idx="28">
                  <v>2957.811215778674</v>
                </pt>
                <pt idx="29">
                  <v>2356.743712090987</v>
                </pt>
                <pt idx="30">
                  <v>1903.790315769053</v>
                </pt>
                <pt idx="31">
                  <v>1535.741727940644</v>
                </pt>
                <pt idx="32">
                  <v>1215.3531801043</v>
                </pt>
                <pt idx="33">
                  <v>943.748237428495</v>
                </pt>
                <pt idx="34">
                  <v>742.9410111560385</v>
                </pt>
                <pt idx="35">
                  <v>622.5799909608618</v>
                </pt>
                <pt idx="36">
                  <v>560.1116590527313</v>
                </pt>
                <pt idx="37">
                  <v>511.3955501420952</v>
                </pt>
                <pt idx="38">
                  <v>440.3955879288846</v>
                </pt>
                <pt idx="39">
                  <v>340.4986290881723</v>
                </pt>
                <pt idx="40">
                  <v>231.0899170079444</v>
                </pt>
                <pt idx="41">
                  <v>137.2000238582421</v>
                </pt>
                <pt idx="42">
                  <v>72.13695438655031</v>
                </pt>
                <pt idx="43">
                  <v>34.48862727791538</v>
                </pt>
                <pt idx="44">
                  <v>15.46311818235029</v>
                </pt>
                <pt idx="45">
                  <v>6.575070937717355</v>
                </pt>
                <pt idx="46">
                  <v>2.58099810553296</v>
                </pt>
                <pt idx="47">
                  <v>0.885312401797505</v>
                </pt>
                <pt idx="48">
                  <v>0.2495194032696574</v>
                </pt>
                <pt idx="49">
                  <v>0.05351647198488142</v>
                </pt>
                <pt idx="5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4656768"/>
        <axId val="155761984"/>
      </lineChart>
      <catAx>
        <axId val="154656768"/>
        <scaling>
          <orientation val="minMax"/>
        </scaling>
        <delete val="0"/>
        <axPos val="b"/>
        <majorTickMark val="out"/>
        <minorTickMark val="none"/>
        <tickLblPos val="nextTo"/>
        <crossAx val="155761984"/>
        <crosses val="autoZero"/>
        <auto val="1"/>
        <lblAlgn val="ctr"/>
        <lblOffset val="100"/>
        <tickLblSkip val="10"/>
        <noMultiLvlLbl val="0"/>
      </catAx>
      <valAx>
        <axId val="155761984"/>
        <scaling>
          <orientation val="minMax"/>
        </scaling>
        <delete val="0"/>
        <axPos val="l"/>
        <majorGridlines/>
        <numFmt formatCode="0" sourceLinked="0"/>
        <majorTickMark val="out"/>
        <minorTickMark val="none"/>
        <tickLblPos val="nextTo"/>
        <crossAx val="15465676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771263779527559"/>
          <y val="0.0690605861767279"/>
          <w val="0.1392042430682332"/>
          <h val="0.1674343832021009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/Relationships>
</file>

<file path=xl/drawings/_rels/drawing3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14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15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6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7.xml" Id="rId1"/></Relationships>
</file>

<file path=xl/drawings/drawing1.xml><?xml version="1.0" encoding="utf-8"?>
<wsDr xmlns="http://schemas.openxmlformats.org/drawingml/2006/spreadsheetDrawing">
  <twoCellAnchor>
    <from>
      <col>24</col>
      <colOff>19050</colOff>
      <row>5</row>
      <rowOff>180975</rowOff>
    </from>
    <to>
      <col>33</col>
      <colOff>38100</colOff>
      <row>22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24</col>
      <colOff>0</colOff>
      <row>25</row>
      <rowOff>0</rowOff>
    </from>
    <to>
      <col>33</col>
      <colOff>19050</colOff>
      <row>42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24</col>
      <colOff>0</colOff>
      <row>44</row>
      <rowOff>0</rowOff>
    </from>
    <to>
      <col>33</col>
      <colOff>19050</colOff>
      <row>60</row>
      <rowOff>180975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24</col>
      <colOff>19050</colOff>
      <row>6</row>
      <rowOff>0</rowOff>
    </from>
    <to>
      <col>33</col>
      <colOff>38100</colOff>
      <row>23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24</col>
      <colOff>0</colOff>
      <row>44</row>
      <rowOff>19050</rowOff>
    </from>
    <to>
      <col>33</col>
      <colOff>19050</colOff>
      <row>61</row>
      <rowOff>9525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24</col>
      <colOff>0</colOff>
      <row>24</row>
      <rowOff>0</rowOff>
    </from>
    <to>
      <col>34</col>
      <colOff>166688</colOff>
      <row>41</row>
      <rowOff>57151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24</col>
      <colOff>19050</colOff>
      <row>6</row>
      <rowOff>0</rowOff>
    </from>
    <to>
      <col>33</col>
      <colOff>38100</colOff>
      <row>23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24</col>
      <colOff>0</colOff>
      <row>25</row>
      <rowOff>19050</rowOff>
    </from>
    <to>
      <col>33</col>
      <colOff>19050</colOff>
      <row>42</row>
      <rowOff>19050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24</col>
      <colOff>0</colOff>
      <row>44</row>
      <rowOff>19050</rowOff>
    </from>
    <to>
      <col>33</col>
      <colOff>19050</colOff>
      <row>61</row>
      <rowOff>9525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22</col>
      <colOff>19050</colOff>
      <row>5</row>
      <rowOff>180975</rowOff>
    </from>
    <to>
      <col>31</col>
      <colOff>38100</colOff>
      <row>20</row>
      <rowOff>57150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22</col>
      <colOff>19050</colOff>
      <row>5</row>
      <rowOff>180975</rowOff>
    </from>
    <to>
      <col>31</col>
      <colOff>38100</colOff>
      <row>20</row>
      <rowOff>57150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22</col>
      <colOff>19050</colOff>
      <row>5</row>
      <rowOff>180975</rowOff>
    </from>
    <to>
      <col>31</col>
      <colOff>38100</colOff>
      <row>20</row>
      <rowOff>57150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22</col>
      <colOff>19050</colOff>
      <row>5</row>
      <rowOff>180975</rowOff>
    </from>
    <to>
      <col>31</col>
      <colOff>38100</colOff>
      <row>20</row>
      <rowOff>57150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22</col>
      <colOff>19050</colOff>
      <row>5</row>
      <rowOff>180975</rowOff>
    </from>
    <to>
      <col>31</col>
      <colOff>38100</colOff>
      <row>20</row>
      <rowOff>57150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22</col>
      <colOff>19050</colOff>
      <row>5</row>
      <rowOff>180975</rowOff>
    </from>
    <to>
      <col>31</col>
      <colOff>38100</colOff>
      <row>20</row>
      <rowOff>57150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22</col>
      <colOff>19050</colOff>
      <row>5</row>
      <rowOff>180975</rowOff>
    </from>
    <to>
      <col>31</col>
      <colOff>38100</colOff>
      <row>20</row>
      <rowOff>57150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22</col>
      <colOff>19050</colOff>
      <row>5</row>
      <rowOff>180975</rowOff>
    </from>
    <to>
      <col>31</col>
      <colOff>38100</colOff>
      <row>20</row>
      <rowOff>57150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A115"/>
  <sheetViews>
    <sheetView tabSelected="1" topLeftCell="G27" workbookViewId="0">
      <selection activeCell="I59" sqref="I59"/>
    </sheetView>
  </sheetViews>
  <sheetFormatPr baseColWidth="8" defaultRowHeight="15"/>
  <cols>
    <col collapsed="1" width="12.7109375" customWidth="1" style="71" min="1" max="1"/>
    <col collapsed="1" width="10.7109375" customWidth="1" style="71" min="2" max="5"/>
    <col width="10.7109375" customWidth="1" style="71" min="6" max="9"/>
    <col collapsed="1" width="10.7109375" customWidth="1" style="71" min="10" max="10"/>
    <col width="10.7109375" customWidth="1" style="71" min="11" max="11"/>
    <col collapsed="1" width="6.42578125" customWidth="1" style="71" min="12" max="12"/>
    <col collapsed="1" width="12.7109375" customWidth="1" style="71" min="13" max="13"/>
    <col collapsed="1" width="10.7109375" customWidth="1" style="71" min="14" max="17"/>
    <col width="10.7109375" customWidth="1" style="71" min="18" max="21"/>
    <col collapsed="1" width="10.7109375" customWidth="1" style="71" min="22" max="22"/>
    <col width="10.7109375" customWidth="1" style="71" min="23" max="23"/>
  </cols>
  <sheetData>
    <row r="1">
      <c r="A1" t="inlineStr">
        <is>
          <t>Tour arrival time at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6" ht="15.75" customHeight="1" s="71" thickBot="1">
      <c r="A6" s="3" t="inlineStr">
        <is>
          <t>Table X. Observed Tour Arrival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M6" s="3" t="inlineStr">
        <is>
          <t>Table X. Estimated Tour Arrival at PD Times: DaySim</t>
        </is>
      </c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Y6" s="7" t="n"/>
    </row>
    <row r="7">
      <c r="A7" s="2" t="inlineStr">
        <is>
          <t>Timeperiod</t>
        </is>
      </c>
      <c r="B7" s="4" t="inlineStr">
        <is>
          <t>Work</t>
        </is>
      </c>
      <c r="C7" s="4" t="inlineStr">
        <is>
          <t>School</t>
        </is>
      </c>
      <c r="D7" s="4" t="inlineStr">
        <is>
          <t>Escort</t>
        </is>
      </c>
      <c r="E7" s="4" t="inlineStr">
        <is>
          <t>Per Busi</t>
        </is>
      </c>
      <c r="F7" s="4" t="inlineStr">
        <is>
          <t>Shopping</t>
        </is>
      </c>
      <c r="G7" s="4" t="inlineStr">
        <is>
          <t>Meal</t>
        </is>
      </c>
      <c r="H7" s="4" t="inlineStr">
        <is>
          <t>Soc&amp;Rec</t>
        </is>
      </c>
      <c r="I7" s="4" t="inlineStr">
        <is>
          <t>Other</t>
        </is>
      </c>
      <c r="J7" s="4" t="inlineStr">
        <is>
          <t>Total</t>
        </is>
      </c>
      <c r="K7" s="4" t="inlineStr">
        <is>
          <t>Except Work, Work-related, School</t>
        </is>
      </c>
      <c r="M7" s="2" t="inlineStr">
        <is>
          <t>Timeperiod</t>
        </is>
      </c>
      <c r="N7" s="4" t="inlineStr">
        <is>
          <t>Work</t>
        </is>
      </c>
      <c r="O7" s="4" t="inlineStr">
        <is>
          <t>School</t>
        </is>
      </c>
      <c r="P7" s="4" t="inlineStr">
        <is>
          <t>Escort</t>
        </is>
      </c>
      <c r="Q7" s="4" t="inlineStr">
        <is>
          <t>Per Busi</t>
        </is>
      </c>
      <c r="R7" s="4" t="inlineStr">
        <is>
          <t>Shopping</t>
        </is>
      </c>
      <c r="S7" s="4" t="inlineStr">
        <is>
          <t>Meal</t>
        </is>
      </c>
      <c r="T7" s="4" t="inlineStr">
        <is>
          <t>Soc&amp;Rec</t>
        </is>
      </c>
      <c r="U7" s="4" t="inlineStr">
        <is>
          <t>Other</t>
        </is>
      </c>
      <c r="V7" s="4" t="inlineStr">
        <is>
          <t>Total</t>
        </is>
      </c>
      <c r="W7" s="4" t="inlineStr">
        <is>
          <t>Except Work, Work-related, School</t>
        </is>
      </c>
      <c r="Z7" s="12" t="n"/>
      <c r="AA7" s="12" t="n"/>
    </row>
    <row r="8">
      <c r="A8" t="inlineStr">
        <is>
          <t>Before 3:00am</t>
        </is>
      </c>
      <c r="B8" s="5" t="n">
        <v>562.3747441545361</v>
      </c>
      <c r="C8" s="5" t="n">
        <v>0</v>
      </c>
      <c r="D8" s="5" t="n">
        <v>9.16501889224752</v>
      </c>
      <c r="E8" s="5" t="n">
        <v>0</v>
      </c>
      <c r="F8" s="5" t="n">
        <v>143.521368637738</v>
      </c>
      <c r="G8" s="5" t="n">
        <v>632.62215829592</v>
      </c>
      <c r="H8" s="5" t="n">
        <v>137.3566702237256</v>
      </c>
      <c r="I8" s="5" t="n">
        <v>0</v>
      </c>
      <c r="J8" s="5">
        <f>SUM(B8:E8)</f>
        <v/>
      </c>
      <c r="K8" s="5">
        <f>SUM(D8:I8)</f>
        <v/>
      </c>
      <c r="M8" t="inlineStr">
        <is>
          <t>Before 3:00am</t>
        </is>
      </c>
      <c r="N8" s="8" t="n">
        <v>1851.520336531514</v>
      </c>
      <c r="O8" s="8" t="n">
        <v>20.81152010007258</v>
      </c>
      <c r="P8" s="8" t="n">
        <v>8624.792763182388</v>
      </c>
      <c r="Q8" s="8" t="n">
        <v>41.66417995174019</v>
      </c>
      <c r="R8" s="8" t="n"/>
      <c r="S8" s="8" t="n"/>
      <c r="T8" s="8" t="n"/>
      <c r="U8" s="8" t="n"/>
      <c r="V8">
        <f>SUM(N8:Q8)</f>
        <v/>
      </c>
      <c r="W8" s="5">
        <f>SUM(P8:U8)</f>
        <v/>
      </c>
      <c r="Z8" s="5" t="n"/>
      <c r="AA8" s="5" t="n"/>
    </row>
    <row r="9">
      <c r="A9" s="10" t="n">
        <v>0.125</v>
      </c>
      <c r="B9" s="5" t="n">
        <v>5774.15313186998</v>
      </c>
      <c r="C9" s="5" t="n">
        <v>26.08713707161063</v>
      </c>
      <c r="D9" s="5" t="n">
        <v>27.50513557451846</v>
      </c>
      <c r="E9" s="5" t="n">
        <v>7.783168888153439</v>
      </c>
      <c r="F9" s="5" t="n">
        <v>135.4992651564617</v>
      </c>
      <c r="G9" s="5" t="n">
        <v>428.2715049560902</v>
      </c>
      <c r="H9" s="5" t="n">
        <v>1356.569129987229</v>
      </c>
      <c r="I9" s="5" t="n">
        <v>17.79464053648425</v>
      </c>
      <c r="J9" s="5">
        <f>SUM(B9:E9)</f>
        <v/>
      </c>
      <c r="K9" s="5">
        <f>SUM(D9:I9)</f>
        <v/>
      </c>
      <c r="M9" s="10" t="n">
        <v>0.125</v>
      </c>
      <c r="N9" s="8" t="n">
        <v>5997.681320478606</v>
      </c>
      <c r="O9" s="8" t="n">
        <v>147.8323904432405</v>
      </c>
      <c r="P9" s="8" t="n">
        <v>9612.878770071013</v>
      </c>
      <c r="Q9" s="8" t="n">
        <v>172.4629920070964</v>
      </c>
      <c r="R9" s="8" t="n"/>
      <c r="S9" s="8" t="n"/>
      <c r="T9" s="8" t="n"/>
      <c r="U9" s="8" t="n"/>
      <c r="V9">
        <f>SUM(N9:Q9)</f>
        <v/>
      </c>
      <c r="W9" s="5">
        <f>SUM(P9:U9)</f>
        <v/>
      </c>
      <c r="Z9" s="5" t="n"/>
      <c r="AA9" s="5" t="n"/>
    </row>
    <row r="10">
      <c r="A10" s="10" t="n">
        <v>0.1458333333333333</v>
      </c>
      <c r="B10" s="5" t="n">
        <v>11684.0516487695</v>
      </c>
      <c r="C10" s="5" t="n">
        <v>134.7736884844685</v>
      </c>
      <c r="D10" s="5" t="n">
        <v>88.88107986223943</v>
      </c>
      <c r="E10" s="5" t="n">
        <v>34.52251775204538</v>
      </c>
      <c r="F10" s="5" t="n">
        <v>131.6419775932247</v>
      </c>
      <c r="G10" s="5" t="n">
        <v>271.6909939846102</v>
      </c>
      <c r="H10" s="5" t="n">
        <v>3094.628681002176</v>
      </c>
      <c r="I10" s="5" t="n">
        <v>38.57510301187877</v>
      </c>
      <c r="J10" s="5">
        <f>SUM(B10:E10)</f>
        <v/>
      </c>
      <c r="K10" s="5">
        <f>SUM(D10:I10)</f>
        <v/>
      </c>
      <c r="M10" s="10" t="n">
        <v>0.1458333333333333</v>
      </c>
      <c r="N10" s="8" t="n">
        <v>10754.53661905671</v>
      </c>
      <c r="O10" s="8" t="n">
        <v>417.6428423937693</v>
      </c>
      <c r="P10" s="8" t="n">
        <v>10233.56719730536</v>
      </c>
      <c r="Q10" s="8" t="n">
        <v>262.168557580517</v>
      </c>
      <c r="R10" s="8" t="n"/>
      <c r="S10" s="8" t="n"/>
      <c r="T10" s="8" t="n"/>
      <c r="U10" s="8" t="n"/>
      <c r="V10">
        <f>SUM(N10:Q10)</f>
        <v/>
      </c>
      <c r="W10" s="5">
        <f>SUM(P10:U10)</f>
        <v/>
      </c>
      <c r="Z10" s="5" t="n"/>
      <c r="AA10" s="5" t="n"/>
    </row>
    <row r="11">
      <c r="A11" s="10" t="n">
        <v>0.1666666666666667</v>
      </c>
      <c r="B11" s="5" t="n">
        <v>19081.87973087393</v>
      </c>
      <c r="C11" s="5" t="n">
        <v>553.4313392191273</v>
      </c>
      <c r="D11" s="5" t="n">
        <v>281.1271468358192</v>
      </c>
      <c r="E11" s="5" t="n">
        <v>119.2222027585599</v>
      </c>
      <c r="F11" s="5" t="n">
        <v>149.6290886517328</v>
      </c>
      <c r="G11" s="5" t="n">
        <v>198.0339455140865</v>
      </c>
      <c r="H11" s="5" t="n">
        <v>5683.316514239949</v>
      </c>
      <c r="I11" s="5" t="n">
        <v>66.27309206802961</v>
      </c>
      <c r="J11" s="5">
        <f>SUM(B11:E11)</f>
        <v/>
      </c>
      <c r="K11" s="5">
        <f>SUM(D11:I11)</f>
        <v/>
      </c>
      <c r="M11" s="10" t="n">
        <v>0.1666666666666667</v>
      </c>
      <c r="N11" s="8" t="n">
        <v>17202.05689524032</v>
      </c>
      <c r="O11" s="8" t="n">
        <v>1178.033647013148</v>
      </c>
      <c r="P11" s="8" t="n">
        <v>10645.4992451788</v>
      </c>
      <c r="Q11" s="8" t="n">
        <v>306.0958610499092</v>
      </c>
      <c r="R11" s="8" t="n"/>
      <c r="S11" s="8" t="n"/>
      <c r="T11" s="8" t="n"/>
      <c r="U11" s="8" t="n"/>
      <c r="V11">
        <f>SUM(N11:Q11)</f>
        <v/>
      </c>
      <c r="W11" s="5">
        <f>SUM(P11:U11)</f>
        <v/>
      </c>
      <c r="Z11" s="5" t="n"/>
      <c r="AA11" s="5" t="n"/>
    </row>
    <row r="12">
      <c r="A12" s="10" t="n">
        <v>0.1875</v>
      </c>
      <c r="B12" s="5" t="n">
        <v>28913.80708669413</v>
      </c>
      <c r="C12" s="5" t="n">
        <v>1844.868539452254</v>
      </c>
      <c r="D12" s="5" t="n">
        <v>796.5727580499351</v>
      </c>
      <c r="E12" s="5" t="n">
        <v>338.8342075846523</v>
      </c>
      <c r="F12" s="5" t="n">
        <v>225.8490449892751</v>
      </c>
      <c r="G12" s="5" t="n">
        <v>226.2743288190435</v>
      </c>
      <c r="H12" s="5" t="n">
        <v>9082.798373175287</v>
      </c>
      <c r="I12" s="5" t="n">
        <v>108.586928444768</v>
      </c>
      <c r="J12" s="5">
        <f>SUM(B12:E12)</f>
        <v/>
      </c>
      <c r="K12" s="5">
        <f>SUM(D12:I12)</f>
        <v/>
      </c>
      <c r="M12" s="10" t="n">
        <v>0.1875</v>
      </c>
      <c r="N12" s="8" t="n">
        <v>27067.77397532003</v>
      </c>
      <c r="O12" s="8" t="n">
        <v>3187.955012686843</v>
      </c>
      <c r="P12" s="8" t="n">
        <v>11633.8782744359</v>
      </c>
      <c r="Q12" s="8" t="n">
        <v>338.6411634483752</v>
      </c>
      <c r="R12" s="8" t="n"/>
      <c r="S12" s="8" t="n"/>
      <c r="T12" s="8" t="n"/>
      <c r="U12" s="8" t="n"/>
      <c r="V12">
        <f>SUM(N12:Q12)</f>
        <v/>
      </c>
      <c r="W12" s="5">
        <f>SUM(P12:U12)</f>
        <v/>
      </c>
    </row>
    <row r="13">
      <c r="A13" s="10" t="n">
        <v>0.2083333333333333</v>
      </c>
      <c r="B13" s="5" t="n">
        <v>42140.19785027867</v>
      </c>
      <c r="C13" s="5" t="n">
        <v>5048.982482577358</v>
      </c>
      <c r="D13" s="5" t="n">
        <v>1996.892589366437</v>
      </c>
      <c r="E13" s="5" t="n">
        <v>812.90152462933</v>
      </c>
      <c r="F13" s="5" t="n">
        <v>410.3487790901141</v>
      </c>
      <c r="G13" s="5" t="n">
        <v>369.535165294686</v>
      </c>
      <c r="H13" s="5" t="n">
        <v>12824.65533649591</v>
      </c>
      <c r="I13" s="5" t="n">
        <v>181.5731061080743</v>
      </c>
      <c r="J13" s="5">
        <f>SUM(B13:E13)</f>
        <v/>
      </c>
      <c r="K13" s="5">
        <f>SUM(D13:I13)</f>
        <v/>
      </c>
      <c r="M13" s="10" t="n">
        <v>0.2083333333333333</v>
      </c>
      <c r="N13" s="8" t="n">
        <v>42338.48991991643</v>
      </c>
      <c r="O13" s="8" t="n">
        <v>7705.387699534916</v>
      </c>
      <c r="P13" s="8" t="n">
        <v>14248.7037289194</v>
      </c>
      <c r="Q13" s="8" t="n">
        <v>408.0779287154672</v>
      </c>
      <c r="R13" s="8" t="n"/>
      <c r="S13" s="8" t="n"/>
      <c r="T13" s="8" t="n"/>
      <c r="U13" s="8" t="n"/>
      <c r="V13">
        <f>SUM(N13:Q13)</f>
        <v/>
      </c>
      <c r="W13" s="5">
        <f>SUM(P13:U13)</f>
        <v/>
      </c>
    </row>
    <row r="14">
      <c r="A14" s="10" t="n">
        <v>0.2291666666666667</v>
      </c>
      <c r="B14" s="5" t="n">
        <v>59188.19806658648</v>
      </c>
      <c r="C14" s="5" t="n">
        <v>11493.16122594734</v>
      </c>
      <c r="D14" s="5" t="n">
        <v>4415.99460872708</v>
      </c>
      <c r="E14" s="5" t="n">
        <v>1677.430573062471</v>
      </c>
      <c r="F14" s="5" t="n">
        <v>757.4598252119928</v>
      </c>
      <c r="G14" s="5" t="n">
        <v>656.4533198019567</v>
      </c>
      <c r="H14" s="5" t="n">
        <v>16229.38238720866</v>
      </c>
      <c r="I14" s="5" t="n">
        <v>315.9554426536113</v>
      </c>
      <c r="J14" s="5">
        <f>SUM(B14:E14)</f>
        <v/>
      </c>
      <c r="K14" s="5">
        <f>SUM(D14:I14)</f>
        <v/>
      </c>
      <c r="M14" s="10" t="n">
        <v>0.2291666666666667</v>
      </c>
      <c r="N14" s="8" t="n">
        <v>64259.22879903463</v>
      </c>
      <c r="O14" s="8" t="n">
        <v>16208.81126909015</v>
      </c>
      <c r="P14" s="8" t="n">
        <v>19299.40440344481</v>
      </c>
      <c r="Q14" s="8" t="n">
        <v>556.5980313177993</v>
      </c>
      <c r="R14" s="8" t="n"/>
      <c r="S14" s="8" t="n"/>
      <c r="T14" s="8" t="n"/>
      <c r="U14" s="8" t="n"/>
      <c r="V14">
        <f>SUM(N14:Q14)</f>
        <v/>
      </c>
      <c r="W14" s="5">
        <f>SUM(P14:U14)</f>
        <v/>
      </c>
    </row>
    <row r="15">
      <c r="A15" s="10" t="n">
        <v>0.25</v>
      </c>
      <c r="B15" s="5" t="n">
        <v>79145.46436503503</v>
      </c>
      <c r="C15" s="5" t="n">
        <v>22020.56327544975</v>
      </c>
      <c r="D15" s="5" t="n">
        <v>8582.347121344294</v>
      </c>
      <c r="E15" s="5" t="n">
        <v>3024.212678227265</v>
      </c>
      <c r="F15" s="5" t="n">
        <v>1327.491383054461</v>
      </c>
      <c r="G15" s="5" t="n">
        <v>1144.535990595874</v>
      </c>
      <c r="H15" s="5" t="n">
        <v>18828.53303218138</v>
      </c>
      <c r="I15" s="5" t="n">
        <v>564.5025491873791</v>
      </c>
      <c r="J15" s="5">
        <f>SUM(B15:E15)</f>
        <v/>
      </c>
      <c r="K15" s="5">
        <f>SUM(D15:I15)</f>
        <v/>
      </c>
      <c r="M15" s="10" t="n">
        <v>0.25</v>
      </c>
      <c r="N15" s="8" t="n">
        <v>92127.52788405653</v>
      </c>
      <c r="O15" s="8" t="n">
        <v>29593.53952081033</v>
      </c>
      <c r="P15" s="8" t="n">
        <v>27041.4409659679</v>
      </c>
      <c r="Q15" s="8" t="n">
        <v>823.0837186221513</v>
      </c>
      <c r="R15" s="8" t="n"/>
      <c r="S15" s="8" t="n"/>
      <c r="T15" s="8" t="n"/>
      <c r="U15" s="8" t="n"/>
      <c r="V15">
        <f>SUM(N15:Q15)</f>
        <v/>
      </c>
      <c r="W15" s="5">
        <f>SUM(P15:U15)</f>
        <v/>
      </c>
    </row>
    <row r="16">
      <c r="A16" s="10" t="n">
        <v>0.2708333333333333</v>
      </c>
      <c r="B16" s="5" t="n">
        <v>99317.16415051991</v>
      </c>
      <c r="C16" s="5" t="n">
        <v>35866.9753542378</v>
      </c>
      <c r="D16" s="5" t="n">
        <v>14605.70065483783</v>
      </c>
      <c r="E16" s="5" t="n">
        <v>4839.642094173914</v>
      </c>
      <c r="F16" s="5" t="n">
        <v>2218.354090852396</v>
      </c>
      <c r="G16" s="5" t="n">
        <v>1892.254597971767</v>
      </c>
      <c r="H16" s="5" t="n">
        <v>20669.95049625604</v>
      </c>
      <c r="I16" s="5" t="n">
        <v>1000.936742437651</v>
      </c>
      <c r="J16" s="5">
        <f>SUM(B16:E16)</f>
        <v/>
      </c>
      <c r="K16" s="5">
        <f>SUM(D16:I16)</f>
        <v/>
      </c>
      <c r="M16" s="10" t="n">
        <v>0.2708333333333333</v>
      </c>
      <c r="N16" s="8" t="n">
        <v>122627.465653781</v>
      </c>
      <c r="O16" s="8" t="n">
        <v>47113.06018049042</v>
      </c>
      <c r="P16" s="8" t="n">
        <v>37162.54531404444</v>
      </c>
      <c r="Q16" s="8" t="n">
        <v>1254.811645132274</v>
      </c>
      <c r="R16" s="8" t="n"/>
      <c r="S16" s="8" t="n"/>
      <c r="T16" s="8" t="n"/>
      <c r="U16" s="8" t="n"/>
      <c r="V16">
        <f>SUM(N16:Q16)</f>
        <v/>
      </c>
      <c r="W16" s="5">
        <f>SUM(P16:U16)</f>
        <v/>
      </c>
    </row>
    <row r="17">
      <c r="A17" s="10" t="n">
        <v>0.2916666666666667</v>
      </c>
      <c r="B17" s="5" t="n">
        <v>115773.267994178</v>
      </c>
      <c r="C17" s="5" t="n">
        <v>50066.39201661297</v>
      </c>
      <c r="D17" s="5" t="n">
        <v>21713.70749274311</v>
      </c>
      <c r="E17" s="5" t="n">
        <v>7001.585845595979</v>
      </c>
      <c r="F17" s="5" t="n">
        <v>3616.384055484662</v>
      </c>
      <c r="G17" s="5" t="n">
        <v>2882.704152062235</v>
      </c>
      <c r="H17" s="5" t="n">
        <v>22237.19658963246</v>
      </c>
      <c r="I17" s="5" t="n">
        <v>1691.236090260358</v>
      </c>
      <c r="J17" s="5">
        <f>SUM(B17:E17)</f>
        <v/>
      </c>
      <c r="K17" s="5">
        <f>SUM(D17:I17)</f>
        <v/>
      </c>
      <c r="M17" s="10" t="n">
        <v>0.2916666666666667</v>
      </c>
      <c r="N17" s="8" t="n">
        <v>150308.5693336488</v>
      </c>
      <c r="O17" s="8" t="n">
        <v>65817.63218459577</v>
      </c>
      <c r="P17" s="8" t="n">
        <v>48956.53939597015</v>
      </c>
      <c r="Q17" s="8" t="n">
        <v>1909.127122502308</v>
      </c>
      <c r="R17" s="8" t="n"/>
      <c r="S17" s="8" t="n"/>
      <c r="T17" s="8" t="n"/>
      <c r="U17" s="8" t="n"/>
      <c r="V17">
        <f>SUM(N17:Q17)</f>
        <v/>
      </c>
      <c r="W17" s="5">
        <f>SUM(P17:U17)</f>
        <v/>
      </c>
    </row>
    <row r="18">
      <c r="A18" s="10" t="n">
        <v>0.3125</v>
      </c>
      <c r="B18" s="5" t="n">
        <v>124807.2783328245</v>
      </c>
      <c r="C18" s="5" t="n">
        <v>60278.26828448152</v>
      </c>
      <c r="D18" s="5" t="n">
        <v>28168.60651973853</v>
      </c>
      <c r="E18" s="5" t="n">
        <v>9345.887670297981</v>
      </c>
      <c r="F18" s="5" t="n">
        <v>5794.985180724362</v>
      </c>
      <c r="G18" s="5" t="n">
        <v>3962.441608365242</v>
      </c>
      <c r="H18" s="5" t="n">
        <v>24064.15748190194</v>
      </c>
      <c r="I18" s="5" t="n">
        <v>2633.125662648357</v>
      </c>
      <c r="J18" s="5">
        <f>SUM(B18:E18)</f>
        <v/>
      </c>
      <c r="K18" s="5">
        <f>SUM(D18:I18)</f>
        <v/>
      </c>
      <c r="M18" s="10" t="n">
        <v>0.3125</v>
      </c>
      <c r="N18" s="8" t="n">
        <v>169223.936879436</v>
      </c>
      <c r="O18" s="8" t="n">
        <v>81210.33770737033</v>
      </c>
      <c r="P18" s="8" t="n">
        <v>61501.15852047357</v>
      </c>
      <c r="Q18" s="8" t="n">
        <v>2848.432466175348</v>
      </c>
      <c r="R18" s="8" t="n"/>
      <c r="S18" s="8" t="n"/>
      <c r="T18" s="8" t="n"/>
      <c r="U18" s="8" t="n"/>
      <c r="V18">
        <f>SUM(N18:Q18)</f>
        <v/>
      </c>
      <c r="W18" s="5">
        <f>SUM(P18:U18)</f>
        <v/>
      </c>
    </row>
    <row r="19">
      <c r="A19" s="10" t="n">
        <v>0.3333333333333333</v>
      </c>
      <c r="B19" s="5" t="n">
        <v>124435.4522528905</v>
      </c>
      <c r="C19" s="5" t="n">
        <v>62903.00827486751</v>
      </c>
      <c r="D19" s="5" t="n">
        <v>31891.23996004854</v>
      </c>
      <c r="E19" s="5" t="n">
        <v>11718.53719268075</v>
      </c>
      <c r="F19" s="5" t="n">
        <v>8980.89540600984</v>
      </c>
      <c r="G19" s="5" t="n">
        <v>4889.207474947922</v>
      </c>
      <c r="H19" s="5" t="n">
        <v>26374.0695875039</v>
      </c>
      <c r="I19" s="5" t="n">
        <v>3703.294778021006</v>
      </c>
      <c r="J19" s="5">
        <f>SUM(B19:E19)</f>
        <v/>
      </c>
      <c r="K19" s="5">
        <f>SUM(D19:I19)</f>
        <v/>
      </c>
      <c r="M19" s="10" t="n">
        <v>0.3333333333333333</v>
      </c>
      <c r="N19" s="8" t="n">
        <v>175077.5958130613</v>
      </c>
      <c r="O19" s="8" t="n">
        <v>89073.45170510911</v>
      </c>
      <c r="P19" s="8" t="n">
        <v>73737.54285198223</v>
      </c>
      <c r="Q19" s="8" t="n">
        <v>4142.568434724591</v>
      </c>
      <c r="R19" s="8" t="n"/>
      <c r="S19" s="8" t="n"/>
      <c r="T19" s="8" t="n"/>
      <c r="U19" s="8" t="n"/>
      <c r="V19">
        <f>SUM(N19:Q19)</f>
        <v/>
      </c>
      <c r="W19" s="5">
        <f>SUM(P19:U19)</f>
        <v/>
      </c>
    </row>
    <row r="20">
      <c r="A20" s="10" t="n">
        <v>0.3541666666666667</v>
      </c>
      <c r="B20" s="5" t="n">
        <v>115043.8027776496</v>
      </c>
      <c r="C20" s="5" t="n">
        <v>57105.25052342133</v>
      </c>
      <c r="D20" s="5" t="n">
        <v>31565.17873055994</v>
      </c>
      <c r="E20" s="5" t="n">
        <v>13927.49317048144</v>
      </c>
      <c r="F20" s="5" t="n">
        <v>13126.64456216401</v>
      </c>
      <c r="G20" s="5" t="n">
        <v>5492.901105513058</v>
      </c>
      <c r="H20" s="5" t="n">
        <v>28967.36857534438</v>
      </c>
      <c r="I20" s="5" t="n">
        <v>4679.61492826825</v>
      </c>
      <c r="J20" s="5">
        <f>SUM(B20:E20)</f>
        <v/>
      </c>
      <c r="K20" s="5">
        <f>SUM(D20:I20)</f>
        <v/>
      </c>
      <c r="M20" s="10" t="n">
        <v>0.3541666666666667</v>
      </c>
      <c r="N20" s="8" t="n">
        <v>166895.00507721</v>
      </c>
      <c r="O20" s="8" t="n">
        <v>87454.52883769305</v>
      </c>
      <c r="P20" s="8" t="n">
        <v>84503.19363028897</v>
      </c>
      <c r="Q20" s="8" t="n">
        <v>5867.857004000733</v>
      </c>
      <c r="R20" s="8" t="n"/>
      <c r="S20" s="8" t="n"/>
      <c r="T20" s="8" t="n"/>
      <c r="U20" s="8" t="n"/>
      <c r="V20">
        <f>SUM(N20:Q20)</f>
        <v/>
      </c>
      <c r="W20" s="5">
        <f>SUM(P20:U20)</f>
        <v/>
      </c>
    </row>
    <row r="21">
      <c r="A21" s="10" t="n">
        <v>0.375</v>
      </c>
      <c r="B21" s="5" t="n">
        <v>99019.70575163583</v>
      </c>
      <c r="C21" s="5" t="n">
        <v>45237.81152656246</v>
      </c>
      <c r="D21" s="5" t="n">
        <v>27449.38745298566</v>
      </c>
      <c r="E21" s="5" t="n">
        <v>15665.49167893365</v>
      </c>
      <c r="F21" s="5" t="n">
        <v>17777.83731003469</v>
      </c>
      <c r="G21" s="5" t="n">
        <v>5822.268682519823</v>
      </c>
      <c r="H21" s="5" t="n">
        <v>31344.04533853351</v>
      </c>
      <c r="I21" s="5" t="n">
        <v>5364.926751736717</v>
      </c>
      <c r="J21" s="5">
        <f>SUM(B21:E21)</f>
        <v/>
      </c>
      <c r="K21" s="5">
        <f>SUM(D21:I21)</f>
        <v/>
      </c>
      <c r="M21" s="10" t="n">
        <v>0.375</v>
      </c>
      <c r="N21" s="8" t="n">
        <v>147404.7604768361</v>
      </c>
      <c r="O21" s="8" t="n">
        <v>77527.58535259104</v>
      </c>
      <c r="P21" s="8" t="n">
        <v>92661.29673124928</v>
      </c>
      <c r="Q21" s="8" t="n">
        <v>8068.911598533747</v>
      </c>
      <c r="R21" s="8" t="n"/>
      <c r="S21" s="8" t="n"/>
      <c r="T21" s="8" t="n"/>
      <c r="U21" s="8" t="n"/>
      <c r="V21">
        <f>SUM(N21:Q21)</f>
        <v/>
      </c>
      <c r="W21" s="5">
        <f>SUM(P21:U21)</f>
        <v/>
      </c>
    </row>
    <row r="22">
      <c r="A22" s="10" t="n">
        <v>0.3958333333333333</v>
      </c>
      <c r="B22" s="5" t="n">
        <v>79823.11796369504</v>
      </c>
      <c r="C22" s="5" t="n">
        <v>31405.25292505166</v>
      </c>
      <c r="D22" s="5" t="n">
        <v>21233.86838315567</v>
      </c>
      <c r="E22" s="5" t="n">
        <v>16587.67052626006</v>
      </c>
      <c r="F22" s="5" t="n">
        <v>22194.78110842644</v>
      </c>
      <c r="G22" s="5" t="n">
        <v>6139.30132935499</v>
      </c>
      <c r="H22" s="5" t="n">
        <v>32970.37646899137</v>
      </c>
      <c r="I22" s="5" t="n">
        <v>5741.421922408541</v>
      </c>
      <c r="J22" s="5">
        <f>SUM(B22:E22)</f>
        <v/>
      </c>
      <c r="K22" s="5">
        <f>SUM(D22:I22)</f>
        <v/>
      </c>
      <c r="M22" s="10" t="n">
        <v>0.3958333333333333</v>
      </c>
      <c r="N22" s="8" t="n">
        <v>121922.3589171392</v>
      </c>
      <c r="O22" s="8" t="n">
        <v>62799.32733721423</v>
      </c>
      <c r="P22" s="8" t="n">
        <v>97397.00324956095</v>
      </c>
      <c r="Q22" s="8" t="n">
        <v>10681.34811746269</v>
      </c>
      <c r="R22" s="8" t="n"/>
      <c r="S22" s="8" t="n"/>
      <c r="T22" s="8" t="n"/>
      <c r="U22" s="8" t="n"/>
      <c r="V22">
        <f>SUM(N22:Q22)</f>
        <v/>
      </c>
      <c r="W22" s="5">
        <f>SUM(P22:U22)</f>
        <v/>
      </c>
    </row>
    <row r="23">
      <c r="A23" s="10" t="n">
        <v>0.4166666666666667</v>
      </c>
      <c r="B23" s="5" t="n">
        <v>60953.32408381938</v>
      </c>
      <c r="C23" s="5" t="n">
        <v>19316.05992841904</v>
      </c>
      <c r="D23" s="5" t="n">
        <v>15045.88787288855</v>
      </c>
      <c r="E23" s="5" t="n">
        <v>16563.04423093291</v>
      </c>
      <c r="F23" s="5" t="n">
        <v>25661.80652922877</v>
      </c>
      <c r="G23" s="5" t="n">
        <v>6753.867048406981</v>
      </c>
      <c r="H23" s="5" t="n">
        <v>33612.22230903582</v>
      </c>
      <c r="I23" s="5" t="n">
        <v>6017.982435507537</v>
      </c>
      <c r="J23" s="5">
        <f>SUM(B23:E23)</f>
        <v/>
      </c>
      <c r="K23" s="5">
        <f>SUM(D23:I23)</f>
        <v/>
      </c>
      <c r="M23" s="10" t="n">
        <v>0.4166666666666667</v>
      </c>
      <c r="N23" s="8" t="n">
        <v>96265.97226072085</v>
      </c>
      <c r="O23" s="8" t="n">
        <v>47295.20974501068</v>
      </c>
      <c r="P23" s="8" t="n">
        <v>98566.14134345172</v>
      </c>
      <c r="Q23" s="8" t="n">
        <v>13473.83013534001</v>
      </c>
      <c r="R23" s="8" t="n"/>
      <c r="S23" s="8" t="n"/>
      <c r="T23" s="8" t="n"/>
      <c r="U23" s="8" t="n"/>
      <c r="V23">
        <f>SUM(N23:Q23)</f>
        <v/>
      </c>
      <c r="W23" s="5">
        <f>SUM(P23:U23)</f>
        <v/>
      </c>
    </row>
    <row r="24">
      <c r="A24" s="10" t="n">
        <v>0.4375</v>
      </c>
      <c r="B24" s="5" t="n">
        <v>45043.33708996432</v>
      </c>
      <c r="C24" s="5" t="n">
        <v>10871.00283003195</v>
      </c>
      <c r="D24" s="5" t="n">
        <v>10398.0513480072</v>
      </c>
      <c r="E24" s="5" t="n">
        <v>15846.30187067491</v>
      </c>
      <c r="F24" s="5" t="n">
        <v>27758.36975859844</v>
      </c>
      <c r="G24" s="5" t="n">
        <v>7811.58160526541</v>
      </c>
      <c r="H24" s="5" t="n">
        <v>33555.07345725575</v>
      </c>
      <c r="I24" s="5" t="n">
        <v>6487.912015339049</v>
      </c>
      <c r="J24" s="5">
        <f>SUM(B24:E24)</f>
        <v/>
      </c>
      <c r="K24" s="5">
        <f>SUM(D24:I24)</f>
        <v/>
      </c>
      <c r="M24" s="10" t="n">
        <v>0.4375</v>
      </c>
      <c r="N24" s="8" t="n">
        <v>74719.15350581893</v>
      </c>
      <c r="O24" s="8" t="n">
        <v>33937.18192888629</v>
      </c>
      <c r="P24" s="8" t="n">
        <v>96861.18121735897</v>
      </c>
      <c r="Q24" s="8" t="n">
        <v>16067.50248499896</v>
      </c>
      <c r="R24" s="8" t="n"/>
      <c r="S24" s="8" t="n"/>
      <c r="T24" s="8" t="n"/>
      <c r="U24" s="8" t="n"/>
      <c r="V24">
        <f>SUM(N24:Q24)</f>
        <v/>
      </c>
      <c r="W24" s="5">
        <f>SUM(P24:U24)</f>
        <v/>
      </c>
    </row>
    <row r="25">
      <c r="A25" s="10" t="n">
        <v>0.4583333333333333</v>
      </c>
      <c r="B25" s="5" t="n">
        <v>33307.67353482102</v>
      </c>
      <c r="C25" s="5" t="n">
        <v>6086.529543773307</v>
      </c>
      <c r="D25" s="5" t="n">
        <v>7786.35094339625</v>
      </c>
      <c r="E25" s="5" t="n">
        <v>14946.78254678781</v>
      </c>
      <c r="F25" s="5" t="n">
        <v>28458.33998645942</v>
      </c>
      <c r="G25" s="5" t="n">
        <v>9161.170782321598</v>
      </c>
      <c r="H25" s="5" t="n">
        <v>33465.96241577688</v>
      </c>
      <c r="I25" s="5" t="n">
        <v>7280.345219527493</v>
      </c>
      <c r="J25" s="5">
        <f>SUM(B25:E25)</f>
        <v/>
      </c>
      <c r="K25" s="5">
        <f>SUM(D25:I25)</f>
        <v/>
      </c>
      <c r="M25" s="10" t="n">
        <v>0.4583333333333333</v>
      </c>
      <c r="N25" s="8" t="n">
        <v>58987.40057853724</v>
      </c>
      <c r="O25" s="8" t="n">
        <v>23926.26159665857</v>
      </c>
      <c r="P25" s="8" t="n">
        <v>93630.43653937781</v>
      </c>
      <c r="Q25" s="8" t="n">
        <v>18023.29426464667</v>
      </c>
      <c r="R25" s="8" t="n"/>
      <c r="S25" s="8" t="n"/>
      <c r="T25" s="8" t="n"/>
      <c r="U25" s="8" t="n"/>
      <c r="V25">
        <f>SUM(N25:Q25)</f>
        <v/>
      </c>
      <c r="W25" s="5">
        <f>SUM(P25:U25)</f>
        <v/>
      </c>
    </row>
    <row r="26">
      <c r="A26" s="10" t="n">
        <v>0.4791666666666667</v>
      </c>
      <c r="B26" s="5" t="n">
        <v>25579.85870324178</v>
      </c>
      <c r="C26" s="5" t="n">
        <v>3918.066313059434</v>
      </c>
      <c r="D26" s="5" t="n">
        <v>6986.458442305406</v>
      </c>
      <c r="E26" s="5" t="n">
        <v>14311.56168539611</v>
      </c>
      <c r="F26" s="5" t="n">
        <v>28099.61490802966</v>
      </c>
      <c r="G26" s="5" t="n">
        <v>10382.72049495686</v>
      </c>
      <c r="H26" s="5" t="n">
        <v>33916.54878603547</v>
      </c>
      <c r="I26" s="5" t="n">
        <v>8218.109893499841</v>
      </c>
      <c r="J26" s="5">
        <f>SUM(B26:E26)</f>
        <v/>
      </c>
      <c r="K26" s="5">
        <f>SUM(D26:I26)</f>
        <v/>
      </c>
      <c r="M26" s="10" t="n">
        <v>0.4791666666666667</v>
      </c>
      <c r="N26" s="8" t="n">
        <v>48481.18088940918</v>
      </c>
      <c r="O26" s="8" t="n">
        <v>17092.46043381396</v>
      </c>
      <c r="P26" s="8" t="n">
        <v>90398.34270443171</v>
      </c>
      <c r="Q26" s="8" t="n">
        <v>18952.77418855883</v>
      </c>
      <c r="R26" s="8" t="n"/>
      <c r="S26" s="8" t="n"/>
      <c r="T26" s="8" t="n"/>
      <c r="U26" s="8" t="n"/>
      <c r="V26">
        <f>SUM(N26:Q26)</f>
        <v/>
      </c>
      <c r="W26" s="5">
        <f>SUM(P26:U26)</f>
        <v/>
      </c>
    </row>
    <row r="27">
      <c r="A27" s="10" t="n">
        <v>0.5</v>
      </c>
      <c r="B27" s="5" t="n">
        <v>20890.36589144881</v>
      </c>
      <c r="C27" s="5" t="n">
        <v>3163.733134540586</v>
      </c>
      <c r="D27" s="5" t="n">
        <v>7595.581363819279</v>
      </c>
      <c r="E27" s="5" t="n">
        <v>14128.02856385535</v>
      </c>
      <c r="F27" s="5" t="n">
        <v>27287.29767236366</v>
      </c>
      <c r="G27" s="5" t="n">
        <v>10994.93842490964</v>
      </c>
      <c r="H27" s="5" t="n">
        <v>34982.97505161352</v>
      </c>
      <c r="I27" s="5" t="n">
        <v>8929.374797907562</v>
      </c>
      <c r="J27" s="5">
        <f>SUM(B27:E27)</f>
        <v/>
      </c>
      <c r="K27" s="5">
        <f>SUM(D27:I27)</f>
        <v/>
      </c>
      <c r="M27" s="10" t="n">
        <v>0.5</v>
      </c>
      <c r="N27" s="8" t="n">
        <v>41483.90099959999</v>
      </c>
      <c r="O27" s="8" t="n">
        <v>12639.10695748746</v>
      </c>
      <c r="P27" s="8" t="n">
        <v>88323.5220221116</v>
      </c>
      <c r="Q27" s="8" t="n">
        <v>18638.25708598905</v>
      </c>
      <c r="R27" s="8" t="n"/>
      <c r="S27" s="8" t="n"/>
      <c r="T27" s="8" t="n"/>
      <c r="U27" s="8" t="n"/>
      <c r="V27">
        <f>SUM(N27:Q27)</f>
        <v/>
      </c>
      <c r="W27" s="5">
        <f>SUM(P27:U27)</f>
        <v/>
      </c>
    </row>
    <row r="28">
      <c r="A28" s="10" t="n">
        <v>0.5208333333333334</v>
      </c>
      <c r="B28" s="5" t="n">
        <v>18170.29222162682</v>
      </c>
      <c r="C28" s="5" t="n">
        <v>2947.943411587158</v>
      </c>
      <c r="D28" s="5" t="n">
        <v>9385.077152994802</v>
      </c>
      <c r="E28" s="5" t="n">
        <v>14355.04630471845</v>
      </c>
      <c r="F28" s="5" t="n">
        <v>26716.80229681026</v>
      </c>
      <c r="G28" s="5" t="n">
        <v>10748.70798351436</v>
      </c>
      <c r="H28" s="5" t="n">
        <v>36308.66450989553</v>
      </c>
      <c r="I28" s="5" t="n">
        <v>9128.168862543997</v>
      </c>
      <c r="J28" s="5">
        <f>SUM(B28:E28)</f>
        <v/>
      </c>
      <c r="K28" s="5">
        <f>SUM(D28:I28)</f>
        <v/>
      </c>
      <c r="M28" s="10" t="n">
        <v>0.5208333333333334</v>
      </c>
      <c r="N28" s="8" t="n">
        <v>36360.41091908243</v>
      </c>
      <c r="O28" s="8" t="n">
        <v>9747.240442865215</v>
      </c>
      <c r="P28" s="8" t="n">
        <v>87874.91783934698</v>
      </c>
      <c r="Q28" s="8" t="n">
        <v>17144.69829017026</v>
      </c>
      <c r="R28" s="8" t="n"/>
      <c r="S28" s="8" t="n"/>
      <c r="T28" s="8" t="n"/>
      <c r="U28" s="8" t="n"/>
      <c r="V28">
        <f>SUM(N28:Q28)</f>
        <v/>
      </c>
      <c r="W28" s="5">
        <f>SUM(P28:U28)</f>
        <v/>
      </c>
    </row>
    <row r="29">
      <c r="A29" s="10" t="n">
        <v>0.5416666666666666</v>
      </c>
      <c r="B29" s="5" t="n">
        <v>16644.18766821227</v>
      </c>
      <c r="C29" s="5" t="n">
        <v>2793.986544541766</v>
      </c>
      <c r="D29" s="5" t="n">
        <v>12304.24339474167</v>
      </c>
      <c r="E29" s="5" t="n">
        <v>14831.0280264116</v>
      </c>
      <c r="F29" s="5" t="n">
        <v>26919.64572957431</v>
      </c>
      <c r="G29" s="5" t="n">
        <v>9809.080239128622</v>
      </c>
      <c r="H29" s="5" t="n">
        <v>37513.93341968247</v>
      </c>
      <c r="I29" s="5" t="n">
        <v>8811.445612572132</v>
      </c>
      <c r="J29" s="5">
        <f>SUM(B29:E29)</f>
        <v/>
      </c>
      <c r="K29" s="5">
        <f>SUM(D29:I29)</f>
        <v/>
      </c>
      <c r="M29" s="10" t="n">
        <v>0.5416666666666666</v>
      </c>
      <c r="N29" s="8" t="n">
        <v>32168.85081816844</v>
      </c>
      <c r="O29" s="8" t="n">
        <v>7840.147498707526</v>
      </c>
      <c r="P29" s="8" t="n">
        <v>88887.29940469773</v>
      </c>
      <c r="Q29" s="8" t="n">
        <v>14840.75708270888</v>
      </c>
      <c r="R29" s="8" t="n"/>
      <c r="S29" s="8" t="n"/>
      <c r="T29" s="8" t="n"/>
      <c r="U29" s="8" t="n"/>
      <c r="V29">
        <f>SUM(N29:Q29)</f>
        <v/>
      </c>
      <c r="W29" s="5">
        <f>SUM(P29:U29)</f>
        <v/>
      </c>
    </row>
    <row r="30">
      <c r="A30" s="10" t="n">
        <v>0.5625</v>
      </c>
      <c r="B30" s="5" t="n">
        <v>15813.49602733556</v>
      </c>
      <c r="C30" s="5" t="n">
        <v>2526.291301892918</v>
      </c>
      <c r="D30" s="5" t="n">
        <v>16198.92660349035</v>
      </c>
      <c r="E30" s="5" t="n">
        <v>15322.11473679889</v>
      </c>
      <c r="F30" s="5" t="n">
        <v>28028.73393046096</v>
      </c>
      <c r="G30" s="5" t="n">
        <v>8674.719782021364</v>
      </c>
      <c r="H30" s="5" t="n">
        <v>38505.6665450416</v>
      </c>
      <c r="I30" s="5" t="n">
        <v>8205.699818748122</v>
      </c>
      <c r="J30" s="5">
        <f>SUM(B30:E30)</f>
        <v/>
      </c>
      <c r="K30" s="5">
        <f>SUM(D30:I30)</f>
        <v/>
      </c>
      <c r="M30" s="10" t="n">
        <v>0.5625</v>
      </c>
      <c r="N30" s="8" t="n">
        <v>28599.1768649769</v>
      </c>
      <c r="O30" s="8" t="n">
        <v>6583.507312335387</v>
      </c>
      <c r="P30" s="8" t="n">
        <v>90938.39658879975</v>
      </c>
      <c r="Q30" s="8" t="n">
        <v>12254.5649053515</v>
      </c>
      <c r="R30" s="8" t="n"/>
      <c r="S30" s="8" t="n"/>
      <c r="T30" s="8" t="n"/>
      <c r="U30" s="8" t="n"/>
      <c r="V30">
        <f>SUM(N30:Q30)</f>
        <v/>
      </c>
      <c r="W30" s="5">
        <f>SUM(P30:U30)</f>
        <v/>
      </c>
    </row>
    <row r="31">
      <c r="A31" s="10" t="n">
        <v>0.5833333333333334</v>
      </c>
      <c r="B31" s="5" t="n">
        <v>15270.69166395024</v>
      </c>
      <c r="C31" s="5" t="n">
        <v>2159.280910533439</v>
      </c>
      <c r="D31" s="5" t="n">
        <v>20480.46343748554</v>
      </c>
      <c r="E31" s="5" t="n">
        <v>15554.75658707907</v>
      </c>
      <c r="F31" s="5" t="n">
        <v>29686.55921210461</v>
      </c>
      <c r="G31" s="5" t="n">
        <v>7888.138530612851</v>
      </c>
      <c r="H31" s="5" t="n">
        <v>39480.87832465213</v>
      </c>
      <c r="I31" s="5" t="n">
        <v>7547.246125185561</v>
      </c>
      <c r="J31" s="5">
        <f>SUM(B31:E31)</f>
        <v/>
      </c>
      <c r="K31" s="5">
        <f>SUM(D31:I31)</f>
        <v/>
      </c>
      <c r="M31" s="10" t="n">
        <v>0.5833333333333334</v>
      </c>
      <c r="N31" s="8" t="n">
        <v>25596.36521971911</v>
      </c>
      <c r="O31" s="8" t="n">
        <v>5783.527723714104</v>
      </c>
      <c r="P31" s="8" t="n">
        <v>93789.12970232597</v>
      </c>
      <c r="Q31" s="8" t="n">
        <v>9834.344720089077</v>
      </c>
      <c r="R31" s="8" t="n"/>
      <c r="S31" s="8" t="n"/>
      <c r="T31" s="8" t="n"/>
      <c r="U31" s="8" t="n"/>
      <c r="V31">
        <f>SUM(N31:Q31)</f>
        <v/>
      </c>
      <c r="W31" s="5">
        <f>SUM(P31:U31)</f>
        <v/>
      </c>
    </row>
    <row r="32">
      <c r="A32" s="10" t="n">
        <v>0.6041666666666666</v>
      </c>
      <c r="B32" s="5" t="n">
        <v>14630.94367616422</v>
      </c>
      <c r="C32" s="5" t="n">
        <v>1792.795643735907</v>
      </c>
      <c r="D32" s="5" t="n">
        <v>24094.7124201791</v>
      </c>
      <c r="E32" s="5" t="n">
        <v>15321.70065254365</v>
      </c>
      <c r="F32" s="5" t="n">
        <v>31163.52872765103</v>
      </c>
      <c r="G32" s="5" t="n">
        <v>7750.587093607101</v>
      </c>
      <c r="H32" s="5" t="n">
        <v>40803.89423937036</v>
      </c>
      <c r="I32" s="5" t="n">
        <v>6922.470924070327</v>
      </c>
      <c r="J32" s="5">
        <f>SUM(B32:E32)</f>
        <v/>
      </c>
      <c r="K32" s="5">
        <f>SUM(D32:I32)</f>
        <v/>
      </c>
      <c r="M32" s="10" t="n">
        <v>0.6041666666666666</v>
      </c>
      <c r="N32" s="8" t="n">
        <v>23070.63183058382</v>
      </c>
      <c r="O32" s="8" t="n">
        <v>5301.463337741983</v>
      </c>
      <c r="P32" s="8" t="n">
        <v>97583.73562413295</v>
      </c>
      <c r="Q32" s="8" t="n">
        <v>7794.81043104042</v>
      </c>
      <c r="R32" s="8" t="n"/>
      <c r="S32" s="8" t="n"/>
      <c r="T32" s="8" t="n"/>
      <c r="U32" s="8" t="n"/>
      <c r="V32">
        <f>SUM(N32:Q32)</f>
        <v/>
      </c>
      <c r="W32" s="5">
        <f>SUM(P32:U32)</f>
        <v/>
      </c>
    </row>
    <row r="33">
      <c r="A33" s="10" t="n">
        <v>0.625</v>
      </c>
      <c r="B33" s="5" t="n">
        <v>13640.10612944392</v>
      </c>
      <c r="C33" s="5" t="n">
        <v>1514.316061090602</v>
      </c>
      <c r="D33" s="5" t="n">
        <v>25971.85470335087</v>
      </c>
      <c r="E33" s="5" t="n">
        <v>14611.0748839308</v>
      </c>
      <c r="F33" s="5" t="n">
        <v>31680.02056262963</v>
      </c>
      <c r="G33" s="5" t="n">
        <v>8225.305486926454</v>
      </c>
      <c r="H33" s="5" t="n">
        <v>42924.48459369203</v>
      </c>
      <c r="I33" s="5" t="n">
        <v>6285.715097066639</v>
      </c>
      <c r="J33" s="5">
        <f>SUM(B33:E33)</f>
        <v/>
      </c>
      <c r="K33" s="5">
        <f>SUM(D33:I33)</f>
        <v/>
      </c>
      <c r="M33" s="10" t="n">
        <v>0.625</v>
      </c>
      <c r="N33" s="8" t="n">
        <v>20852.14899761136</v>
      </c>
      <c r="O33" s="8" t="n">
        <v>5023.60348608943</v>
      </c>
      <c r="P33" s="8" t="n">
        <v>102680.5056979567</v>
      </c>
      <c r="Q33" s="8" t="n">
        <v>6145.435735531918</v>
      </c>
      <c r="R33" s="8" t="n"/>
      <c r="S33" s="8" t="n"/>
      <c r="T33" s="8" t="n"/>
      <c r="U33" s="8" t="n"/>
      <c r="V33">
        <f>SUM(N33:Q33)</f>
        <v/>
      </c>
      <c r="W33" s="5">
        <f>SUM(P33:U33)</f>
        <v/>
      </c>
    </row>
    <row r="34">
      <c r="A34" s="10" t="n">
        <v>0.6458333333333334</v>
      </c>
      <c r="B34" s="5" t="n">
        <v>12279.25747491805</v>
      </c>
      <c r="C34" s="5" t="n">
        <v>1342.721890146325</v>
      </c>
      <c r="D34" s="5" t="n">
        <v>25665.85359169991</v>
      </c>
      <c r="E34" s="5" t="n">
        <v>13605.37311377022</v>
      </c>
      <c r="F34" s="5" t="n">
        <v>30821.55050987876</v>
      </c>
      <c r="G34" s="5" t="n">
        <v>9062.616873190585</v>
      </c>
      <c r="H34" s="5" t="n">
        <v>46239.71667368797</v>
      </c>
      <c r="I34" s="5" t="n">
        <v>5569.23301336884</v>
      </c>
      <c r="J34" s="5">
        <f>SUM(B34:E34)</f>
        <v/>
      </c>
      <c r="K34" s="5">
        <f>SUM(D34:I34)</f>
        <v/>
      </c>
      <c r="M34" s="10" t="n">
        <v>0.6458333333333334</v>
      </c>
      <c r="N34" s="8" t="n">
        <v>18792.06243117762</v>
      </c>
      <c r="O34" s="8" t="n">
        <v>4867.815569526121</v>
      </c>
      <c r="P34" s="8" t="n">
        <v>109267.06024832</v>
      </c>
      <c r="Q34" s="8" t="n">
        <v>4819.571577611137</v>
      </c>
      <c r="R34" s="8" t="n"/>
      <c r="S34" s="8" t="n"/>
      <c r="T34" s="8" t="n"/>
      <c r="U34" s="8" t="n"/>
      <c r="V34">
        <f>SUM(N34:Q34)</f>
        <v/>
      </c>
      <c r="W34" s="5">
        <f>SUM(P34:U34)</f>
        <v/>
      </c>
    </row>
    <row r="35">
      <c r="A35" s="10" t="n">
        <v>0.6666666666666666</v>
      </c>
      <c r="B35" s="5" t="n">
        <v>10698.16572804618</v>
      </c>
      <c r="C35" s="5" t="n">
        <v>1235.249128236691</v>
      </c>
      <c r="D35" s="5" t="n">
        <v>23605.22597571351</v>
      </c>
      <c r="E35" s="5" t="n">
        <v>12504.99547965986</v>
      </c>
      <c r="F35" s="5" t="n">
        <v>28805.12129822406</v>
      </c>
      <c r="G35" s="5" t="n">
        <v>10040.52328213892</v>
      </c>
      <c r="H35" s="5" t="n">
        <v>50779.93920423733</v>
      </c>
      <c r="I35" s="5" t="n">
        <v>4747.84546866993</v>
      </c>
      <c r="J35" s="5">
        <f>SUM(B35:E35)</f>
        <v/>
      </c>
      <c r="K35" s="5">
        <f>SUM(D35:I35)</f>
        <v/>
      </c>
      <c r="M35" s="10" t="n">
        <v>0.6666666666666666</v>
      </c>
      <c r="N35" s="8" t="n">
        <v>16836.91102272527</v>
      </c>
      <c r="O35" s="8" t="n">
        <v>4788.515126077487</v>
      </c>
      <c r="P35" s="8" t="n">
        <v>117058.5521890505</v>
      </c>
      <c r="Q35" s="8" t="n">
        <v>3766.41171021536</v>
      </c>
      <c r="R35" s="8" t="n"/>
      <c r="S35" s="8" t="n"/>
      <c r="T35" s="8" t="n"/>
      <c r="U35" s="8" t="n"/>
      <c r="V35">
        <f>SUM(N35:Q35)</f>
        <v/>
      </c>
      <c r="W35" s="5">
        <f>SUM(P35:U35)</f>
        <v/>
      </c>
    </row>
    <row r="36">
      <c r="A36" s="10" t="n">
        <v>0.6875</v>
      </c>
      <c r="B36" s="5" t="n">
        <v>9040.669202346937</v>
      </c>
      <c r="C36" s="5" t="n">
        <v>1133.174150561422</v>
      </c>
      <c r="D36" s="5" t="n">
        <v>20704.04685137882</v>
      </c>
      <c r="E36" s="5" t="n">
        <v>11346.47380129781</v>
      </c>
      <c r="F36" s="5" t="n">
        <v>26349.6435485272</v>
      </c>
      <c r="G36" s="5" t="n">
        <v>11136.45115458715</v>
      </c>
      <c r="H36" s="5" t="n">
        <v>55869.56330114884</v>
      </c>
      <c r="I36" s="5" t="n">
        <v>3836.812640967329</v>
      </c>
      <c r="J36" s="5">
        <f>SUM(B36:E36)</f>
        <v/>
      </c>
      <c r="K36" s="5">
        <f>SUM(D36:I36)</f>
        <v/>
      </c>
      <c r="M36" s="10" t="n">
        <v>0.6875</v>
      </c>
      <c r="N36" s="8" t="n">
        <v>15000.03383378598</v>
      </c>
      <c r="O36" s="8" t="n">
        <v>4757.729874112692</v>
      </c>
      <c r="P36" s="8" t="n">
        <v>125233.6249380631</v>
      </c>
      <c r="Q36" s="8" t="n">
        <v>2957.811215778674</v>
      </c>
      <c r="R36" s="8" t="n"/>
      <c r="S36" s="8" t="n"/>
      <c r="T36" s="8" t="n"/>
      <c r="U36" s="8" t="n"/>
      <c r="V36">
        <f>SUM(N36:Q36)</f>
        <v/>
      </c>
      <c r="W36" s="5">
        <f>SUM(P36:U36)</f>
        <v/>
      </c>
    </row>
    <row r="37">
      <c r="A37" s="10" t="n">
        <v>0.7083333333333334</v>
      </c>
      <c r="B37" s="5" t="n">
        <v>7360.908015084255</v>
      </c>
      <c r="C37" s="5" t="n">
        <v>1002.611169146886</v>
      </c>
      <c r="D37" s="5" t="n">
        <v>17713.08831444807</v>
      </c>
      <c r="E37" s="5" t="n">
        <v>10023.91277535471</v>
      </c>
      <c r="F37" s="5" t="n">
        <v>24162.31646033652</v>
      </c>
      <c r="G37" s="5" t="n">
        <v>12471.52707476898</v>
      </c>
      <c r="H37" s="5" t="n">
        <v>60090.55324910312</v>
      </c>
      <c r="I37" s="5" t="n">
        <v>2885.42515113837</v>
      </c>
      <c r="J37" s="5">
        <f>SUM(B37:E37)</f>
        <v/>
      </c>
      <c r="K37" s="5">
        <f>SUM(D37:I37)</f>
        <v/>
      </c>
      <c r="M37" s="10" t="n">
        <v>0.7083333333333334</v>
      </c>
      <c r="N37" s="8" t="n">
        <v>13281.78996483553</v>
      </c>
      <c r="O37" s="8" t="n">
        <v>4732.648099596301</v>
      </c>
      <c r="P37" s="8" t="n">
        <v>132521.9162813303</v>
      </c>
      <c r="Q37" s="8" t="n">
        <v>2356.743712090987</v>
      </c>
      <c r="R37" s="8" t="n"/>
      <c r="S37" s="8" t="n"/>
      <c r="T37" s="8" t="n"/>
      <c r="U37" s="8" t="n"/>
      <c r="V37">
        <f>SUM(N37:Q37)</f>
        <v/>
      </c>
      <c r="W37" s="5">
        <f>SUM(P37:U37)</f>
        <v/>
      </c>
    </row>
    <row r="38">
      <c r="A38" s="10" t="n">
        <v>0.7291666666666666</v>
      </c>
      <c r="B38" s="5" t="n">
        <v>5691.966560526571</v>
      </c>
      <c r="C38" s="5" t="n">
        <v>844.3534681872878</v>
      </c>
      <c r="D38" s="5" t="n">
        <v>14897.35469205874</v>
      </c>
      <c r="E38" s="5" t="n">
        <v>8486.519406296731</v>
      </c>
      <c r="F38" s="5" t="n">
        <v>22419.84725270142</v>
      </c>
      <c r="G38" s="5" t="n">
        <v>14043.34921633497</v>
      </c>
      <c r="H38" s="5" t="n">
        <v>61728.05774746929</v>
      </c>
      <c r="I38" s="5" t="n">
        <v>1981.934682603448</v>
      </c>
      <c r="J38" s="5">
        <f>SUM(B38:E38)</f>
        <v/>
      </c>
      <c r="K38" s="5">
        <f>SUM(D38:I38)</f>
        <v/>
      </c>
      <c r="M38" s="10" t="n">
        <v>0.7291666666666666</v>
      </c>
      <c r="N38" s="8" t="n">
        <v>11631.44586193624</v>
      </c>
      <c r="O38" s="8" t="n">
        <v>4642.145989120141</v>
      </c>
      <c r="P38" s="8" t="n">
        <v>137359.7964459766</v>
      </c>
      <c r="Q38" s="8" t="n">
        <v>1903.790315769053</v>
      </c>
      <c r="R38" s="8" t="n"/>
      <c r="S38" s="8" t="n"/>
      <c r="T38" s="8" t="n"/>
      <c r="U38" s="8" t="n"/>
      <c r="V38">
        <f>SUM(N38:Q38)</f>
        <v/>
      </c>
      <c r="W38" s="5">
        <f>SUM(P38:U38)</f>
        <v/>
      </c>
    </row>
    <row r="39">
      <c r="A39" s="10" t="n">
        <v>0.75</v>
      </c>
      <c r="B39" s="5" t="n">
        <v>4129.399035811303</v>
      </c>
      <c r="C39" s="5" t="n">
        <v>676.559290139243</v>
      </c>
      <c r="D39" s="5" t="n">
        <v>12206.34654172828</v>
      </c>
      <c r="E39" s="5" t="n">
        <v>6861.727717708839</v>
      </c>
      <c r="F39" s="5" t="n">
        <v>20700.46014631425</v>
      </c>
      <c r="G39" s="5" t="n">
        <v>15490.40958603735</v>
      </c>
      <c r="H39" s="5" t="n">
        <v>59534.60479598995</v>
      </c>
      <c r="I39" s="5" t="n">
        <v>1229.57917198477</v>
      </c>
      <c r="J39" s="5">
        <f>SUM(B39:E39)</f>
        <v/>
      </c>
      <c r="K39" s="5">
        <f>SUM(D39:I39)</f>
        <v/>
      </c>
      <c r="M39" s="10" t="n">
        <v>0.75</v>
      </c>
      <c r="N39" s="8" t="n">
        <v>9986.438087297369</v>
      </c>
      <c r="O39" s="8" t="n">
        <v>4414.062095672804</v>
      </c>
      <c r="P39" s="8" t="n">
        <v>138229.838766141</v>
      </c>
      <c r="Q39" s="8" t="n">
        <v>1535.741727940644</v>
      </c>
      <c r="R39" s="8" t="n"/>
      <c r="S39" s="8" t="n"/>
      <c r="T39" s="8" t="n"/>
      <c r="U39" s="8" t="n"/>
      <c r="V39">
        <f>SUM(N39:Q39)</f>
        <v/>
      </c>
      <c r="W39" s="5">
        <f>SUM(P39:U39)</f>
        <v/>
      </c>
    </row>
    <row r="40">
      <c r="A40" s="10" t="n">
        <v>0.7708333333333334</v>
      </c>
      <c r="B40" s="5" t="n">
        <v>2806.54331590606</v>
      </c>
      <c r="C40" s="5" t="n">
        <v>514.1528767923501</v>
      </c>
      <c r="D40" s="5" t="n">
        <v>9605.234298963593</v>
      </c>
      <c r="E40" s="5" t="n">
        <v>5355.322314296434</v>
      </c>
      <c r="F40" s="5" t="n">
        <v>18429.61884837474</v>
      </c>
      <c r="G40" s="5" t="n">
        <v>16167.40340887129</v>
      </c>
      <c r="H40" s="5" t="n">
        <v>53375.45166850596</v>
      </c>
      <c r="I40" s="5" t="n">
        <v>692.0201867953406</v>
      </c>
      <c r="J40" s="5">
        <f>SUM(B40:E40)</f>
        <v/>
      </c>
      <c r="K40" s="5">
        <f>SUM(D40:I40)</f>
        <v/>
      </c>
      <c r="M40" s="10" t="n">
        <v>0.7708333333333334</v>
      </c>
      <c r="N40" s="8" t="n">
        <v>8342.607093244398</v>
      </c>
      <c r="O40" s="8" t="n">
        <v>4025.449942186218</v>
      </c>
      <c r="P40" s="8" t="n">
        <v>134240.0506307073</v>
      </c>
      <c r="Q40" s="8" t="n">
        <v>1215.3531801043</v>
      </c>
      <c r="R40" s="8" t="n"/>
      <c r="S40" s="8" t="n"/>
      <c r="T40" s="8" t="n"/>
      <c r="U40" s="8" t="n"/>
      <c r="V40">
        <f>SUM(N40:Q40)</f>
        <v/>
      </c>
      <c r="W40" s="5">
        <f>SUM(P40:U40)</f>
        <v/>
      </c>
    </row>
    <row r="41">
      <c r="A41" s="10" t="n">
        <v>0.7916666666666666</v>
      </c>
      <c r="B41" s="5" t="n">
        <v>1805.688492619933</v>
      </c>
      <c r="C41" s="5" t="n">
        <v>364.1555812148266</v>
      </c>
      <c r="D41" s="5" t="n">
        <v>7203.701924730058</v>
      </c>
      <c r="E41" s="5" t="n">
        <v>4073.276810401183</v>
      </c>
      <c r="F41" s="5" t="n">
        <v>15408.99684861452</v>
      </c>
      <c r="G41" s="5" t="n">
        <v>15540.06333593967</v>
      </c>
      <c r="H41" s="5" t="n">
        <v>44329.38690422824</v>
      </c>
      <c r="I41" s="5" t="n">
        <v>361.9469961912606</v>
      </c>
      <c r="J41" s="5">
        <f>SUM(B41:E41)</f>
        <v/>
      </c>
      <c r="K41" s="5">
        <f>SUM(D41:I41)</f>
        <v/>
      </c>
      <c r="M41" s="10" t="n">
        <v>0.7916666666666666</v>
      </c>
      <c r="N41" s="8" t="n">
        <v>6780.187940424295</v>
      </c>
      <c r="O41" s="8" t="n">
        <v>3526.988157249913</v>
      </c>
      <c r="P41" s="8" t="n">
        <v>125593.4337285013</v>
      </c>
      <c r="Q41" s="8" t="n">
        <v>943.7482374284951</v>
      </c>
      <c r="R41" s="8" t="n"/>
      <c r="S41" s="8" t="n"/>
      <c r="T41" s="8" t="n"/>
      <c r="U41" s="8" t="n"/>
      <c r="V41">
        <f>SUM(N41:Q41)</f>
        <v/>
      </c>
      <c r="W41" s="5">
        <f>SUM(P41:U41)</f>
        <v/>
      </c>
    </row>
    <row r="42">
      <c r="A42" s="10" t="n">
        <v>0.8125</v>
      </c>
      <c r="B42" s="5" t="n">
        <v>1117.524052956367</v>
      </c>
      <c r="C42" s="5" t="n">
        <v>233.0973794763858</v>
      </c>
      <c r="D42" s="5" t="n">
        <v>5159.115283101133</v>
      </c>
      <c r="E42" s="5" t="n">
        <v>2986.929482825893</v>
      </c>
      <c r="F42" s="5" t="n">
        <v>11957.52533955182</v>
      </c>
      <c r="G42" s="5" t="n">
        <v>13571.34029304533</v>
      </c>
      <c r="H42" s="5" t="n">
        <v>34172.0270551026</v>
      </c>
      <c r="I42" s="5" t="n">
        <v>182.7029691446113</v>
      </c>
      <c r="J42" s="5">
        <f>SUM(B42:E42)</f>
        <v/>
      </c>
      <c r="K42" s="5">
        <f>SUM(D42:I42)</f>
        <v/>
      </c>
      <c r="M42" s="10" t="n">
        <v>0.8125</v>
      </c>
      <c r="N42" s="8" t="n">
        <v>5415.757202582521</v>
      </c>
      <c r="O42" s="8" t="n">
        <v>3010.024567389865</v>
      </c>
      <c r="P42" s="8" t="n">
        <v>113453.8891188453</v>
      </c>
      <c r="Q42" s="8" t="n">
        <v>742.9410111560385</v>
      </c>
      <c r="R42" s="8" t="n"/>
      <c r="S42" s="8" t="n"/>
      <c r="T42" s="8" t="n"/>
      <c r="U42" s="8" t="n"/>
      <c r="V42">
        <f>SUM(N42:Q42)</f>
        <v/>
      </c>
      <c r="W42" s="5">
        <f>SUM(P42:U42)</f>
        <v/>
      </c>
    </row>
    <row r="43">
      <c r="A43" s="10" t="n">
        <v>0.8333333333333334</v>
      </c>
      <c r="B43" s="5" t="n">
        <v>675.6117485541981</v>
      </c>
      <c r="C43" s="5" t="n">
        <v>130.1983488680962</v>
      </c>
      <c r="D43" s="5" t="n">
        <v>3562.12579571382</v>
      </c>
      <c r="E43" s="5" t="n">
        <v>2045.563333231275</v>
      </c>
      <c r="F43" s="5" t="n">
        <v>8631.364838754782</v>
      </c>
      <c r="G43" s="5" t="n">
        <v>10752.56116226764</v>
      </c>
      <c r="H43" s="5" t="n">
        <v>24609.03548946525</v>
      </c>
      <c r="I43" s="5" t="n">
        <v>92.53864914163768</v>
      </c>
      <c r="J43" s="5">
        <f>SUM(B43:E43)</f>
        <v/>
      </c>
      <c r="K43" s="5">
        <f>SUM(D43:I43)</f>
        <v/>
      </c>
      <c r="M43" s="10" t="n">
        <v>0.8333333333333334</v>
      </c>
      <c r="N43" s="8" t="n">
        <v>4322.194518567043</v>
      </c>
      <c r="O43" s="8" t="n">
        <v>2541.231919852145</v>
      </c>
      <c r="P43" s="8" t="n">
        <v>99235.23606191268</v>
      </c>
      <c r="Q43" s="8" t="n">
        <v>622.5799909608618</v>
      </c>
      <c r="R43" s="8" t="n"/>
      <c r="S43" s="8" t="n"/>
      <c r="T43" s="8" t="n"/>
      <c r="U43" s="8" t="n"/>
      <c r="V43">
        <f>SUM(N43:Q43)</f>
        <v/>
      </c>
      <c r="W43" s="5">
        <f>SUM(P43:U43)</f>
        <v/>
      </c>
    </row>
    <row r="44">
      <c r="A44" s="10" t="n">
        <v>0.8541666666666666</v>
      </c>
      <c r="B44" s="5" t="n">
        <v>408.0117413072416</v>
      </c>
      <c r="C44" s="5" t="n">
        <v>61.39100969839108</v>
      </c>
      <c r="D44" s="5" t="n">
        <v>2426.56766353528</v>
      </c>
      <c r="E44" s="5" t="n">
        <v>1263.804016524193</v>
      </c>
      <c r="F44" s="5" t="n">
        <v>5866.501314332628</v>
      </c>
      <c r="G44" s="5" t="n">
        <v>7778.738683701848</v>
      </c>
      <c r="H44" s="5" t="n">
        <v>16743.39163104741</v>
      </c>
      <c r="I44" s="5" t="n">
        <v>50.06291269285789</v>
      </c>
      <c r="J44" s="5">
        <f>SUM(B44:E44)</f>
        <v/>
      </c>
      <c r="K44" s="5">
        <f>SUM(D44:I44)</f>
        <v/>
      </c>
      <c r="M44" s="10" t="n">
        <v>0.8541666666666666</v>
      </c>
      <c r="N44" s="8" t="n">
        <v>3486.137069624159</v>
      </c>
      <c r="O44" s="8" t="n">
        <v>2124.811518301809</v>
      </c>
      <c r="P44" s="8" t="n">
        <v>83959.55736373001</v>
      </c>
      <c r="Q44" s="8" t="n">
        <v>560.1116590527314</v>
      </c>
      <c r="R44" s="8" t="n"/>
      <c r="S44" s="8" t="n"/>
      <c r="T44" s="8" t="n"/>
      <c r="U44" s="8" t="n"/>
      <c r="V44">
        <f>SUM(N44:Q44)</f>
        <v/>
      </c>
      <c r="W44" s="5">
        <f>SUM(P44:U44)</f>
        <v/>
      </c>
    </row>
    <row r="45">
      <c r="A45" s="10" t="n">
        <v>0.875</v>
      </c>
      <c r="B45" s="5" t="n">
        <v>259.3564869512682</v>
      </c>
      <c r="C45" s="5" t="n">
        <v>23.68918471011101</v>
      </c>
      <c r="D45" s="5" t="n">
        <v>1724.614015562884</v>
      </c>
      <c r="E45" s="5" t="n">
        <v>691.6280545765987</v>
      </c>
      <c r="F45" s="5" t="n">
        <v>3827.868544537111</v>
      </c>
      <c r="G45" s="5" t="n">
        <v>5183.122418521114</v>
      </c>
      <c r="H45" s="5" t="n">
        <v>10966.80024889725</v>
      </c>
      <c r="I45" s="5" t="n">
        <v>33.5965689704281</v>
      </c>
      <c r="J45" s="5">
        <f>SUM(B45:E45)</f>
        <v/>
      </c>
      <c r="K45" s="5">
        <f>SUM(D45:I45)</f>
        <v/>
      </c>
      <c r="M45" s="10" t="n">
        <v>0.875</v>
      </c>
      <c r="N45" s="8" t="n">
        <v>2831.913690012872</v>
      </c>
      <c r="O45" s="8" t="n">
        <v>1723.82386160724</v>
      </c>
      <c r="P45" s="8" t="n">
        <v>68235.08850761494</v>
      </c>
      <c r="Q45" s="8" t="n">
        <v>511.3955501420951</v>
      </c>
      <c r="R45" s="8" t="n"/>
      <c r="S45" s="8" t="n"/>
      <c r="T45" s="8" t="n"/>
      <c r="U45" s="8" t="n"/>
      <c r="V45">
        <f>SUM(N45:Q45)</f>
        <v/>
      </c>
      <c r="W45" s="5">
        <f>SUM(P45:U45)</f>
        <v/>
      </c>
    </row>
    <row r="46">
      <c r="A46" s="10" t="n">
        <v>0.8958333333333334</v>
      </c>
      <c r="B46" s="5" t="n">
        <v>187.3962660774854</v>
      </c>
      <c r="C46" s="5" t="n">
        <v>7.237116107324478</v>
      </c>
      <c r="D46" s="5" t="n">
        <v>1384.556281681579</v>
      </c>
      <c r="E46" s="5" t="n">
        <v>340.3760618336023</v>
      </c>
      <c r="F46" s="5" t="n">
        <v>2461.186790848675</v>
      </c>
      <c r="G46" s="5" t="n">
        <v>3197.649737244339</v>
      </c>
      <c r="H46" s="5" t="n">
        <v>7126.884435059481</v>
      </c>
      <c r="I46" s="5" t="n">
        <v>31.08113002549705</v>
      </c>
      <c r="J46" s="5">
        <f>SUM(B46:E46)</f>
        <v/>
      </c>
      <c r="K46" s="5">
        <f>SUM(D46:I46)</f>
        <v/>
      </c>
      <c r="M46" s="10" t="n">
        <v>0.8958333333333334</v>
      </c>
      <c r="N46" s="8" t="n">
        <v>2279.73978654199</v>
      </c>
      <c r="O46" s="8" t="n">
        <v>1312.766428867727</v>
      </c>
      <c r="P46" s="8" t="n">
        <v>52694.00166946578</v>
      </c>
      <c r="Q46" s="8" t="n">
        <v>440.3955879288846</v>
      </c>
      <c r="R46" s="8" t="n"/>
      <c r="S46" s="8" t="n"/>
      <c r="T46" s="8" t="n"/>
      <c r="U46" s="8" t="n"/>
      <c r="V46">
        <f>SUM(N46:Q46)</f>
        <v/>
      </c>
      <c r="W46" s="5">
        <f>SUM(P46:U46)</f>
        <v/>
      </c>
    </row>
    <row r="47">
      <c r="A47" s="10" t="n">
        <v>0.9166666666666666</v>
      </c>
      <c r="B47" s="5" t="n">
        <v>156.6607905188355</v>
      </c>
      <c r="C47" s="5" t="n">
        <v>1.678042054268567</v>
      </c>
      <c r="D47" s="5" t="n">
        <v>1270.282759966026</v>
      </c>
      <c r="E47" s="5" t="n">
        <v>161.6350047964592</v>
      </c>
      <c r="F47" s="5" t="n">
        <v>1604.12727849456</v>
      </c>
      <c r="G47" s="5" t="n">
        <v>1827.257322732231</v>
      </c>
      <c r="H47" s="5" t="n">
        <v>4762.875868243558</v>
      </c>
      <c r="I47" s="5" t="n">
        <v>33.62901673485625</v>
      </c>
      <c r="J47" s="5">
        <f>SUM(B47:E47)</f>
        <v/>
      </c>
      <c r="K47" s="5">
        <f>SUM(D47:I47)</f>
        <v/>
      </c>
      <c r="M47" s="10" t="n">
        <v>0.9166666666666666</v>
      </c>
      <c r="N47" s="8" t="n">
        <v>1785.971477409361</v>
      </c>
      <c r="O47" s="8" t="n">
        <v>908.6668380480248</v>
      </c>
      <c r="P47" s="8" t="n">
        <v>38272.41452729065</v>
      </c>
      <c r="Q47" s="8" t="n">
        <v>340.4986290881724</v>
      </c>
      <c r="R47" s="8" t="n"/>
      <c r="S47" s="8" t="n"/>
      <c r="T47" s="8" t="n"/>
      <c r="U47" s="8" t="n"/>
      <c r="V47">
        <f>SUM(N47:Q47)</f>
        <v/>
      </c>
      <c r="W47" s="5">
        <f>SUM(P47:U47)</f>
        <v/>
      </c>
    </row>
    <row r="48">
      <c r="A48" s="10" t="n">
        <v>0.9375</v>
      </c>
      <c r="B48" s="5" t="n">
        <v>139.06926703971</v>
      </c>
      <c r="C48" s="5" t="n">
        <v>0.2769912795345214</v>
      </c>
      <c r="D48" s="5" t="n">
        <v>1208.882737471846</v>
      </c>
      <c r="E48" s="5" t="n">
        <v>83.1403225098238</v>
      </c>
      <c r="F48" s="5" t="n">
        <v>1073.248539186502</v>
      </c>
      <c r="G48" s="5" t="n">
        <v>971.335090080847</v>
      </c>
      <c r="H48" s="5" t="n">
        <v>3327.139440771236</v>
      </c>
      <c r="I48" s="5" t="n">
        <v>34.55910557807094</v>
      </c>
      <c r="J48" s="5">
        <f>SUM(B48:E48)</f>
        <v/>
      </c>
      <c r="K48" s="5">
        <f>SUM(D48:I48)</f>
        <v/>
      </c>
      <c r="M48" s="10" t="n">
        <v>0.9375</v>
      </c>
      <c r="N48" s="8" t="n">
        <v>1343.794657847697</v>
      </c>
      <c r="O48" s="8" t="n">
        <v>557.6436266628136</v>
      </c>
      <c r="P48" s="8" t="n">
        <v>25991.09494814079</v>
      </c>
      <c r="Q48" s="8" t="n">
        <v>231.0899170079444</v>
      </c>
      <c r="R48" s="8" t="n"/>
      <c r="S48" s="8" t="n"/>
      <c r="T48" s="8" t="n"/>
      <c r="U48" s="8" t="n"/>
      <c r="V48">
        <f>SUM(N48:Q48)</f>
        <v/>
      </c>
      <c r="W48" s="5">
        <f>SUM(P48:U48)</f>
        <v/>
      </c>
    </row>
    <row r="49">
      <c r="A49" s="10" t="n">
        <v>0.9583333333333334</v>
      </c>
      <c r="B49" s="5" t="n">
        <v>117.94833681541</v>
      </c>
      <c r="C49" s="5" t="n">
        <v>0.0289776104537527</v>
      </c>
      <c r="D49" s="5" t="n">
        <v>1069.690349002447</v>
      </c>
      <c r="E49" s="5" t="n">
        <v>48.50775330169906</v>
      </c>
      <c r="F49" s="5" t="n">
        <v>720.5644507066892</v>
      </c>
      <c r="G49" s="5" t="n">
        <v>493.9156948345964</v>
      </c>
      <c r="H49" s="5" t="n">
        <v>2369.253392508934</v>
      </c>
      <c r="I49" s="5" t="n">
        <v>30.70496479844839</v>
      </c>
      <c r="J49" s="5">
        <f>SUM(B49:E49)</f>
        <v/>
      </c>
      <c r="K49" s="5">
        <f>SUM(D49:I49)</f>
        <v/>
      </c>
      <c r="M49" s="10" t="n">
        <v>0.9583333333333334</v>
      </c>
      <c r="N49" s="8" t="n">
        <v>961.7851035984452</v>
      </c>
      <c r="O49" s="8" t="n">
        <v>298.360023827349</v>
      </c>
      <c r="P49" s="8" t="n">
        <v>16489.0431942424</v>
      </c>
      <c r="Q49" s="8" t="n">
        <v>137.2000238582421</v>
      </c>
      <c r="R49" s="8" t="n"/>
      <c r="S49" s="8" t="n"/>
      <c r="T49" s="8" t="n"/>
      <c r="U49" s="8" t="n"/>
      <c r="V49">
        <f>SUM(N49:Q49)</f>
        <v/>
      </c>
      <c r="W49" s="5">
        <f>SUM(P49:U49)</f>
        <v/>
      </c>
    </row>
    <row r="50">
      <c r="A50" s="10" t="n">
        <v>0.9791666666666666</v>
      </c>
      <c r="B50" s="5" t="n">
        <v>89.38545949525205</v>
      </c>
      <c r="C50" s="5" t="n">
        <v>0.00144376005402647</v>
      </c>
      <c r="D50" s="5" t="n">
        <v>825.356584105045</v>
      </c>
      <c r="E50" s="5" t="n">
        <v>29.27098051312277</v>
      </c>
      <c r="F50" s="5" t="n">
        <v>461.3266439575823</v>
      </c>
      <c r="G50" s="5" t="n">
        <v>256.1836119487922</v>
      </c>
      <c r="H50" s="5" t="n">
        <v>1633.513713742892</v>
      </c>
      <c r="I50" s="5" t="n">
        <v>22.83591986935712</v>
      </c>
      <c r="J50" s="5">
        <f>SUM(B50:E50)</f>
        <v/>
      </c>
      <c r="K50" s="5">
        <f>SUM(D50:I50)</f>
        <v/>
      </c>
      <c r="M50" s="10" t="n">
        <v>0.9791666666666666</v>
      </c>
      <c r="N50" s="8" t="n">
        <v>647.0823268294836</v>
      </c>
      <c r="O50" s="8" t="n">
        <v>137.9438247298038</v>
      </c>
      <c r="P50" s="8" t="n">
        <v>9781.263687135313</v>
      </c>
      <c r="Q50" s="8" t="n">
        <v>72.13695438655031</v>
      </c>
      <c r="R50" s="8" t="n"/>
      <c r="S50" s="8" t="n"/>
      <c r="T50" s="8" t="n"/>
      <c r="U50" s="8" t="n"/>
      <c r="V50">
        <f>SUM(N50:Q50)</f>
        <v/>
      </c>
      <c r="W50" s="5">
        <f>SUM(P50:U50)</f>
        <v/>
      </c>
    </row>
    <row r="51">
      <c r="A51" s="10" t="n">
        <v>1</v>
      </c>
      <c r="B51" s="5" t="n">
        <v>58.42302025470484</v>
      </c>
      <c r="C51" s="5" t="n">
        <v>0</v>
      </c>
      <c r="D51" s="5" t="n">
        <v>538.3050167888355</v>
      </c>
      <c r="E51" s="5" t="n">
        <v>16.23398927507815</v>
      </c>
      <c r="F51" s="5" t="n">
        <v>266.8377039513063</v>
      </c>
      <c r="G51" s="5" t="n">
        <v>143.5047441091216</v>
      </c>
      <c r="H51" s="5" t="n">
        <v>1039.412999467574</v>
      </c>
      <c r="I51" s="5" t="n">
        <v>14.00702234956936</v>
      </c>
      <c r="J51" s="5">
        <f>SUM(B51:E51)</f>
        <v/>
      </c>
      <c r="K51" s="5">
        <f>SUM(D51:I51)</f>
        <v/>
      </c>
      <c r="M51" s="10" t="n">
        <v>1</v>
      </c>
      <c r="N51" s="8" t="n">
        <v>401.8878178675297</v>
      </c>
      <c r="O51" s="8" t="n">
        <v>55.20534068127543</v>
      </c>
      <c r="P51" s="8" t="n">
        <v>5406.718456708757</v>
      </c>
      <c r="Q51" s="8" t="n">
        <v>34.48862727791538</v>
      </c>
      <c r="R51" s="8" t="n"/>
      <c r="S51" s="8" t="n"/>
      <c r="T51" s="8" t="n"/>
      <c r="U51" s="8" t="n"/>
      <c r="V51">
        <f>SUM(N51:Q51)</f>
        <v/>
      </c>
      <c r="W51" s="5">
        <f>SUM(P51:U51)</f>
        <v/>
      </c>
    </row>
    <row r="52">
      <c r="A52" s="10" t="n">
        <v>1.020833333333333</v>
      </c>
      <c r="B52" s="5" t="n">
        <v>32.23013344056759</v>
      </c>
      <c r="C52" s="5" t="n">
        <v>0</v>
      </c>
      <c r="D52" s="5" t="n">
        <v>291.5355993542888</v>
      </c>
      <c r="E52" s="5" t="n">
        <v>7.699032834511851</v>
      </c>
      <c r="F52" s="5" t="n">
        <v>133.5995647231702</v>
      </c>
      <c r="G52" s="5" t="n">
        <v>84.1155599024394</v>
      </c>
      <c r="H52" s="5" t="n">
        <v>590.5607323852091</v>
      </c>
      <c r="I52" s="5" t="n">
        <v>6.994619003454696</v>
      </c>
      <c r="J52" s="5">
        <f>SUM(B52:E52)</f>
        <v/>
      </c>
      <c r="K52" s="5">
        <f>SUM(D52:I52)</f>
        <v/>
      </c>
      <c r="M52" s="10" t="n">
        <v>1.020833333333333</v>
      </c>
      <c r="N52" s="8" t="n">
        <v>224.946693831924</v>
      </c>
      <c r="O52" s="8" t="n">
        <v>19.47653957602991</v>
      </c>
      <c r="P52" s="8" t="n">
        <v>2748.378251401053</v>
      </c>
      <c r="Q52" s="8" t="n">
        <v>15.4631181823503</v>
      </c>
      <c r="R52" s="8" t="n"/>
      <c r="S52" s="8" t="n"/>
      <c r="T52" s="8" t="n"/>
      <c r="U52" s="8" t="n"/>
      <c r="V52">
        <f>SUM(N52:Q52)</f>
        <v/>
      </c>
      <c r="W52" s="5">
        <f>SUM(P52:U52)</f>
        <v/>
      </c>
    </row>
    <row r="53">
      <c r="A53" s="10" t="n">
        <v>0.04166666666666666</v>
      </c>
      <c r="B53" s="5" t="n">
        <v>14.7364691747242</v>
      </c>
      <c r="C53" s="5" t="n">
        <v>0</v>
      </c>
      <c r="D53" s="5" t="n">
        <v>129.1185690430984</v>
      </c>
      <c r="E53" s="5" t="n">
        <v>2.994296555538793</v>
      </c>
      <c r="F53" s="5" t="n">
        <v>56.04882427720658</v>
      </c>
      <c r="G53" s="5" t="n">
        <v>46.666404613634</v>
      </c>
      <c r="H53" s="5" t="n">
        <v>292.8945989382923</v>
      </c>
      <c r="I53" s="5" t="n">
        <v>2.796566911773211</v>
      </c>
      <c r="J53" s="5">
        <f>SUM(B53:E53)</f>
        <v/>
      </c>
      <c r="K53" s="5">
        <f>SUM(D53:I53)</f>
        <v/>
      </c>
      <c r="M53" s="10" t="n">
        <v>0.04166666666666666</v>
      </c>
      <c r="N53" s="8" t="n">
        <v>110.4443349423688</v>
      </c>
      <c r="O53" s="8" t="n">
        <v>6.289458848167625</v>
      </c>
      <c r="P53" s="8" t="n">
        <v>1254.562499492693</v>
      </c>
      <c r="Q53" s="8" t="n">
        <v>6.575070937717356</v>
      </c>
      <c r="R53" s="8" t="n"/>
      <c r="S53" s="8" t="n"/>
      <c r="T53" s="8" t="n"/>
      <c r="U53" s="8" t="n"/>
      <c r="V53">
        <f>SUM(N53:Q53)</f>
        <v/>
      </c>
      <c r="W53" s="5">
        <f>SUM(P53:U53)</f>
        <v/>
      </c>
    </row>
    <row r="54">
      <c r="A54" s="10" t="n">
        <v>0.0625</v>
      </c>
      <c r="B54" s="5" t="n">
        <v>5.47179673128897</v>
      </c>
      <c r="C54" s="5" t="n">
        <v>0</v>
      </c>
      <c r="D54" s="5" t="n">
        <v>45.9178999794922</v>
      </c>
      <c r="E54" s="5" t="n">
        <v>0.9220676963497032</v>
      </c>
      <c r="F54" s="5" t="n">
        <v>19.14758502428579</v>
      </c>
      <c r="G54" s="5" t="n">
        <v>22.43776278165296</v>
      </c>
      <c r="H54" s="5" t="n">
        <v>124.2930034537847</v>
      </c>
      <c r="I54" s="5" t="n">
        <v>0.8738076976048148</v>
      </c>
      <c r="J54" s="5">
        <f>SUM(B54:E54)</f>
        <v/>
      </c>
      <c r="K54" s="5">
        <f>SUM(D54:I54)</f>
        <v/>
      </c>
      <c r="M54" s="10" t="n">
        <v>0.0625</v>
      </c>
      <c r="N54" s="8" t="n">
        <v>46.25438577984107</v>
      </c>
      <c r="O54" s="8" t="n">
        <v>1.929592368093795</v>
      </c>
      <c r="P54" s="8" t="n">
        <v>498.5912431853875</v>
      </c>
      <c r="Q54" s="8" t="n">
        <v>2.580998105532961</v>
      </c>
      <c r="R54" s="8" t="n"/>
      <c r="S54" s="8" t="n"/>
      <c r="T54" s="8" t="n"/>
      <c r="U54" s="8" t="n"/>
      <c r="V54">
        <f>SUM(N54:Q54)</f>
        <v/>
      </c>
      <c r="W54" s="5">
        <f>SUM(P54:U54)</f>
        <v/>
      </c>
    </row>
    <row r="55">
      <c r="A55" s="10" t="n">
        <v>0.08333333333333333</v>
      </c>
      <c r="B55" s="5" t="n">
        <v>1.606237996145465</v>
      </c>
      <c r="C55" s="5" t="n">
        <v>0</v>
      </c>
      <c r="D55" s="5" t="n">
        <v>12.78341887266775</v>
      </c>
      <c r="E55" s="5" t="n">
        <v>0.2154255881084553</v>
      </c>
      <c r="F55" s="5" t="n">
        <v>5.161633169565362</v>
      </c>
      <c r="G55" s="5" t="n">
        <v>8.846939214909071</v>
      </c>
      <c r="H55" s="5" t="n">
        <v>44.09156782304876</v>
      </c>
      <c r="I55" s="5" t="n">
        <v>0.2055964571473821</v>
      </c>
      <c r="J55" s="5">
        <f>SUM(B55:E55)</f>
        <v/>
      </c>
      <c r="K55" s="5">
        <f>SUM(D55:I55)</f>
        <v/>
      </c>
      <c r="M55" s="10" t="n">
        <v>0.08333333333333333</v>
      </c>
      <c r="N55" s="8" t="n">
        <v>16.04732681178108</v>
      </c>
      <c r="O55" s="8" t="n">
        <v>0.5582870980981368</v>
      </c>
      <c r="P55" s="8" t="n">
        <v>166.6337553550905</v>
      </c>
      <c r="Q55" s="8" t="n">
        <v>0.8853124017975051</v>
      </c>
      <c r="R55" s="8" t="n"/>
      <c r="S55" s="8" t="n"/>
      <c r="T55" s="8" t="n"/>
      <c r="U55" s="8" t="n"/>
      <c r="V55">
        <f>SUM(N55:Q55)</f>
        <v/>
      </c>
      <c r="W55" s="5">
        <f>SUM(P55:U55)</f>
        <v/>
      </c>
    </row>
    <row r="56">
      <c r="A56" s="10" t="n">
        <v>0.1041666666666667</v>
      </c>
      <c r="B56" s="5" t="n">
        <v>0.3584644036254667</v>
      </c>
      <c r="C56" s="5" t="n">
        <v>0</v>
      </c>
      <c r="D56" s="5" t="n">
        <v>2.681862500667104</v>
      </c>
      <c r="E56" s="5" t="n">
        <v>0.0358010880907711</v>
      </c>
      <c r="F56" s="5" t="n">
        <v>1.052921679951988</v>
      </c>
      <c r="G56" s="5" t="n">
        <v>2.748477488578644</v>
      </c>
      <c r="H56" s="5" t="n">
        <v>12.6722861121829</v>
      </c>
      <c r="I56" s="5" t="n">
        <v>0.03426607619123036</v>
      </c>
      <c r="J56" s="5">
        <f>SUM(B56:E56)</f>
        <v/>
      </c>
      <c r="K56" s="5">
        <f>SUM(D56:I56)</f>
        <v/>
      </c>
      <c r="M56" s="10" t="n">
        <v>0.1041666666666667</v>
      </c>
      <c r="N56" s="8" t="n">
        <v>4.459580275051739</v>
      </c>
      <c r="O56" s="8" t="n">
        <v>0.1424088427275095</v>
      </c>
      <c r="P56" s="8" t="n">
        <v>45.05520924919918</v>
      </c>
      <c r="Q56" s="8" t="n">
        <v>0.2495194032696574</v>
      </c>
      <c r="R56" s="8" t="n"/>
      <c r="S56" s="8" t="n"/>
      <c r="T56" s="8" t="n"/>
      <c r="U56" s="8" t="n"/>
      <c r="V56">
        <f>SUM(N56:Q56)</f>
        <v/>
      </c>
      <c r="W56" s="5">
        <f>SUM(P56:U56)</f>
        <v/>
      </c>
    </row>
    <row r="57">
      <c r="A57" s="10" t="n">
        <v>0.125</v>
      </c>
      <c r="B57" s="5" t="n">
        <v>0.05684040716670122</v>
      </c>
      <c r="C57" s="5" t="n">
        <v>0</v>
      </c>
      <c r="D57" s="5" t="n">
        <v>0.39681368804758</v>
      </c>
      <c r="E57" s="5" t="n">
        <v>0.003765576882603893</v>
      </c>
      <c r="F57" s="5" t="n">
        <v>0.1517475600522862</v>
      </c>
      <c r="G57" s="5" t="n">
        <v>0.633846389032677</v>
      </c>
      <c r="H57" s="5" t="n">
        <v>2.777599286824973</v>
      </c>
      <c r="I57" s="5" t="n">
        <v>0.003606955388550564</v>
      </c>
      <c r="J57" s="5">
        <f>SUM(B57:E57)</f>
        <v/>
      </c>
      <c r="K57" s="5">
        <f>SUM(D57:I57)</f>
        <v/>
      </c>
      <c r="M57" s="10" t="n">
        <v>0.125</v>
      </c>
      <c r="N57" s="8" t="n">
        <v>0.9365858691372013</v>
      </c>
      <c r="O57" s="8" t="n">
        <v>0.02876195921168734</v>
      </c>
      <c r="P57" s="8" t="n">
        <v>9.268732298222552</v>
      </c>
      <c r="Q57" s="8" t="n">
        <v>0.05351647198488142</v>
      </c>
      <c r="R57" s="8" t="n"/>
      <c r="S57" s="8" t="n"/>
      <c r="T57" s="8" t="n"/>
      <c r="U57" s="8" t="n"/>
      <c r="V57">
        <f>SUM(N57:Q57)</f>
        <v/>
      </c>
      <c r="W57" s="5">
        <f>SUM(P57:U57)</f>
        <v/>
      </c>
    </row>
    <row r="58">
      <c r="A58" s="17" t="inlineStr">
        <is>
          <t>After 27:30</t>
        </is>
      </c>
      <c r="B58" s="18" t="n">
        <v>0</v>
      </c>
      <c r="C58" s="18" t="n">
        <v>0</v>
      </c>
      <c r="D58" s="18" t="n">
        <v>0</v>
      </c>
      <c r="E58" s="18" t="n">
        <v>0</v>
      </c>
      <c r="F58" s="18" t="n">
        <v>0</v>
      </c>
      <c r="G58" s="18" t="n">
        <v>0</v>
      </c>
      <c r="H58" s="18" t="n">
        <v>0</v>
      </c>
      <c r="I58" s="18" t="n">
        <v>0</v>
      </c>
      <c r="J58" s="18">
        <f>SUM(B58:E58)</f>
        <v/>
      </c>
      <c r="K58" s="5">
        <f>SUM(D58:I58)</f>
        <v/>
      </c>
      <c r="M58" s="17" t="inlineStr">
        <is>
          <t>After 27:30</t>
        </is>
      </c>
      <c r="N58" s="20" t="n">
        <v>0</v>
      </c>
      <c r="O58" s="20" t="n">
        <v>0</v>
      </c>
      <c r="P58" s="20" t="n">
        <v>0</v>
      </c>
      <c r="Q58" s="20" t="n">
        <v>0</v>
      </c>
      <c r="R58" s="20" t="n"/>
      <c r="S58" s="20" t="n"/>
      <c r="T58" s="20" t="n"/>
      <c r="U58" s="20" t="n"/>
      <c r="V58" s="19">
        <f>SUM(N58:Q58)</f>
        <v/>
      </c>
      <c r="W58" s="5">
        <f>SUM(P58:U58)</f>
        <v/>
      </c>
    </row>
    <row r="59" ht="15.75" customHeight="1" s="71" thickBot="1">
      <c r="A59" s="21" t="n"/>
      <c r="B59" s="22">
        <f>SUM(B8:B58)</f>
        <v/>
      </c>
      <c r="C59" s="22">
        <f>SUM(C8:C58)</f>
        <v/>
      </c>
      <c r="D59" s="22">
        <f>SUM(D8:D58)</f>
        <v/>
      </c>
      <c r="E59" s="22">
        <f>SUM(E8:E58)</f>
        <v/>
      </c>
      <c r="F59" s="22">
        <f>SUM(F8:F58)</f>
        <v/>
      </c>
      <c r="G59" s="22">
        <f>SUM(G8:G58)</f>
        <v/>
      </c>
      <c r="H59" s="22">
        <f>SUM(H8:H58)</f>
        <v/>
      </c>
      <c r="I59" s="22">
        <f>SUM(I8:I58)</f>
        <v/>
      </c>
      <c r="J59" s="22">
        <f>SUM(J8:J58)</f>
        <v/>
      </c>
      <c r="K59" s="22">
        <f>SUM(K8:K58)</f>
        <v/>
      </c>
      <c r="M59" s="21" t="n"/>
      <c r="N59" s="22">
        <f>SUM(N8:N58)</f>
        <v/>
      </c>
      <c r="O59" s="22">
        <f>SUM(O8:O58)</f>
        <v/>
      </c>
      <c r="P59" s="22">
        <f>SUM(P8:P58)</f>
        <v/>
      </c>
      <c r="Q59" s="22">
        <f>SUM(Q8:Q58)</f>
        <v/>
      </c>
      <c r="R59" s="22">
        <f>SUM(R8:R58)</f>
        <v/>
      </c>
      <c r="S59" s="22">
        <f>SUM(S8:S58)</f>
        <v/>
      </c>
      <c r="T59" s="22">
        <f>SUM(T8:T58)</f>
        <v/>
      </c>
      <c r="U59" s="22">
        <f>SUM(U8:U58)</f>
        <v/>
      </c>
      <c r="V59" s="22">
        <f>SUM(V8:V58)</f>
        <v/>
      </c>
      <c r="W59" s="22">
        <f>SUM(W8:W58)</f>
        <v/>
      </c>
    </row>
    <row r="63" ht="15.75" customHeight="1" s="71" thickBot="1">
      <c r="A63" s="3" t="inlineStr">
        <is>
          <t>Table X. Observed Tour Arrival at PD Times: Survey</t>
        </is>
      </c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M63" s="3" t="inlineStr">
        <is>
          <t>Table X. Estimated Tour Arrival at PD Times: DaySim</t>
        </is>
      </c>
      <c r="N63" s="1" t="n"/>
      <c r="O63" s="1" t="n"/>
      <c r="P63" s="1" t="n"/>
      <c r="Q63" s="1" t="n"/>
      <c r="R63" s="1" t="n"/>
      <c r="S63" s="1" t="n"/>
      <c r="T63" s="1" t="n"/>
      <c r="U63" s="1" t="n"/>
      <c r="V63" s="1" t="n"/>
    </row>
    <row r="64">
      <c r="A64" s="2" t="inlineStr">
        <is>
          <t>Timeperiod</t>
        </is>
      </c>
      <c r="B64" s="4" t="inlineStr">
        <is>
          <t>Work</t>
        </is>
      </c>
      <c r="C64" s="4" t="inlineStr">
        <is>
          <t>School</t>
        </is>
      </c>
      <c r="D64" s="4" t="inlineStr">
        <is>
          <t>Escort</t>
        </is>
      </c>
      <c r="E64" s="4" t="inlineStr">
        <is>
          <t>Per Busi</t>
        </is>
      </c>
      <c r="F64" s="4" t="inlineStr">
        <is>
          <t>Shopping</t>
        </is>
      </c>
      <c r="G64" s="4" t="inlineStr">
        <is>
          <t>Meal</t>
        </is>
      </c>
      <c r="H64" s="4" t="inlineStr">
        <is>
          <t>Soc&amp;Rec</t>
        </is>
      </c>
      <c r="I64" s="4" t="inlineStr">
        <is>
          <t>Other</t>
        </is>
      </c>
      <c r="J64" s="4" t="inlineStr">
        <is>
          <t>Total</t>
        </is>
      </c>
      <c r="K64" s="4" t="inlineStr">
        <is>
          <t>Except Work, Work-related, School</t>
        </is>
      </c>
      <c r="M64" s="2" t="inlineStr">
        <is>
          <t>Timeperiod</t>
        </is>
      </c>
      <c r="N64" s="4" t="inlineStr">
        <is>
          <t>Work</t>
        </is>
      </c>
      <c r="O64" s="4" t="inlineStr">
        <is>
          <t>School</t>
        </is>
      </c>
      <c r="P64" s="4" t="inlineStr">
        <is>
          <t>Escort</t>
        </is>
      </c>
      <c r="Q64" s="4" t="inlineStr">
        <is>
          <t>Per Busi</t>
        </is>
      </c>
      <c r="R64" s="4" t="inlineStr">
        <is>
          <t>Shopping</t>
        </is>
      </c>
      <c r="S64" s="4" t="inlineStr">
        <is>
          <t>Meal</t>
        </is>
      </c>
      <c r="T64" s="4" t="inlineStr">
        <is>
          <t>Soc&amp;Rec</t>
        </is>
      </c>
      <c r="U64" s="4" t="inlineStr">
        <is>
          <t>Other</t>
        </is>
      </c>
      <c r="V64" s="4" t="inlineStr">
        <is>
          <t>DaySim</t>
        </is>
      </c>
      <c r="W64" s="4" t="inlineStr">
        <is>
          <t>Except Work, Work-related, School</t>
        </is>
      </c>
    </row>
    <row r="65">
      <c r="A65" t="inlineStr">
        <is>
          <t>Before 3:00am</t>
        </is>
      </c>
      <c r="B65" s="14">
        <f>B8/B$59</f>
        <v/>
      </c>
      <c r="C65" s="14">
        <f>C8/C$59</f>
        <v/>
      </c>
      <c r="D65" s="14">
        <f>D8/D$59</f>
        <v/>
      </c>
      <c r="E65" s="14">
        <f>E8/E$59</f>
        <v/>
      </c>
      <c r="F65" s="14">
        <f>F8/F$59</f>
        <v/>
      </c>
      <c r="G65" s="14">
        <f>G8/G$59</f>
        <v/>
      </c>
      <c r="H65" s="14">
        <f>H8/H$59</f>
        <v/>
      </c>
      <c r="I65" s="14">
        <f>I8/I$59</f>
        <v/>
      </c>
      <c r="J65" s="14">
        <f>J8/J$59</f>
        <v/>
      </c>
      <c r="K65" s="14">
        <f>K8/K$59</f>
        <v/>
      </c>
      <c r="M65" t="inlineStr">
        <is>
          <t>Before 3:00am</t>
        </is>
      </c>
      <c r="N65" s="13">
        <f>N8/N$59</f>
        <v/>
      </c>
      <c r="O65" s="13">
        <f>O8/O$59</f>
        <v/>
      </c>
      <c r="P65" s="13">
        <f>P8/P$59</f>
        <v/>
      </c>
      <c r="Q65" s="13">
        <f>Q8/Q$59</f>
        <v/>
      </c>
      <c r="R65" s="13">
        <f>R8/R$59</f>
        <v/>
      </c>
      <c r="S65" s="13">
        <f>S8/S$59</f>
        <v/>
      </c>
      <c r="T65" s="13">
        <f>T8/T$59</f>
        <v/>
      </c>
      <c r="U65" s="13">
        <f>U8/U$59</f>
        <v/>
      </c>
      <c r="V65" s="14">
        <f>V8/V$59</f>
        <v/>
      </c>
      <c r="W65" s="14">
        <f>W8/W$59</f>
        <v/>
      </c>
    </row>
    <row r="66">
      <c r="A66" s="10" t="n">
        <v>0.125</v>
      </c>
      <c r="B66" s="14">
        <f>B9/B$59</f>
        <v/>
      </c>
      <c r="C66" s="14">
        <f>C9/C$59</f>
        <v/>
      </c>
      <c r="D66" s="14">
        <f>D9/D$59</f>
        <v/>
      </c>
      <c r="E66" s="14">
        <f>E9/E$59</f>
        <v/>
      </c>
      <c r="F66" s="14">
        <f>F9/F$59</f>
        <v/>
      </c>
      <c r="G66" s="14">
        <f>G9/G$59</f>
        <v/>
      </c>
      <c r="H66" s="14">
        <f>H9/H$59</f>
        <v/>
      </c>
      <c r="I66" s="14">
        <f>I9/I$59</f>
        <v/>
      </c>
      <c r="J66" s="14">
        <f>J9/J$59</f>
        <v/>
      </c>
      <c r="K66" s="14">
        <f>K9/K$59</f>
        <v/>
      </c>
      <c r="M66" s="10" t="n">
        <v>0.125</v>
      </c>
      <c r="N66" s="13">
        <f>N9/N$59</f>
        <v/>
      </c>
      <c r="O66" s="13">
        <f>O9/O$59</f>
        <v/>
      </c>
      <c r="P66" s="13">
        <f>P9/P$59</f>
        <v/>
      </c>
      <c r="Q66" s="13">
        <f>Q9/Q$59</f>
        <v/>
      </c>
      <c r="R66" s="13">
        <f>R9/R$59</f>
        <v/>
      </c>
      <c r="S66" s="13">
        <f>S9/S$59</f>
        <v/>
      </c>
      <c r="T66" s="13">
        <f>T9/T$59</f>
        <v/>
      </c>
      <c r="U66" s="13">
        <f>U9/U$59</f>
        <v/>
      </c>
      <c r="V66" s="14">
        <f>V9/V$59</f>
        <v/>
      </c>
      <c r="W66" s="14">
        <f>W9/W$59</f>
        <v/>
      </c>
    </row>
    <row r="67">
      <c r="A67" s="10" t="n">
        <v>0.1458333333333333</v>
      </c>
      <c r="B67" s="14">
        <f>B10/B$59</f>
        <v/>
      </c>
      <c r="C67" s="14">
        <f>C10/C$59</f>
        <v/>
      </c>
      <c r="D67" s="14">
        <f>D10/D$59</f>
        <v/>
      </c>
      <c r="E67" s="14">
        <f>E10/E$59</f>
        <v/>
      </c>
      <c r="F67" s="14">
        <f>F10/F$59</f>
        <v/>
      </c>
      <c r="G67" s="14">
        <f>G10/G$59</f>
        <v/>
      </c>
      <c r="H67" s="14">
        <f>H10/H$59</f>
        <v/>
      </c>
      <c r="I67" s="14">
        <f>I10/I$59</f>
        <v/>
      </c>
      <c r="J67" s="14">
        <f>J10/J$59</f>
        <v/>
      </c>
      <c r="K67" s="14">
        <f>K10/K$59</f>
        <v/>
      </c>
      <c r="M67" s="10" t="n">
        <v>0.1458333333333333</v>
      </c>
      <c r="N67" s="13">
        <f>N10/N$59</f>
        <v/>
      </c>
      <c r="O67" s="13">
        <f>O10/O$59</f>
        <v/>
      </c>
      <c r="P67" s="13">
        <f>P10/P$59</f>
        <v/>
      </c>
      <c r="Q67" s="13">
        <f>Q10/Q$59</f>
        <v/>
      </c>
      <c r="R67" s="13">
        <f>R10/R$59</f>
        <v/>
      </c>
      <c r="S67" s="13">
        <f>S10/S$59</f>
        <v/>
      </c>
      <c r="T67" s="13">
        <f>T10/T$59</f>
        <v/>
      </c>
      <c r="U67" s="13">
        <f>U10/U$59</f>
        <v/>
      </c>
      <c r="V67" s="14">
        <f>V10/V$59</f>
        <v/>
      </c>
      <c r="W67" s="14">
        <f>W10/W$59</f>
        <v/>
      </c>
    </row>
    <row r="68">
      <c r="A68" s="10" t="n">
        <v>0.1666666666666667</v>
      </c>
      <c r="B68" s="14">
        <f>B11/B$59</f>
        <v/>
      </c>
      <c r="C68" s="14">
        <f>C11/C$59</f>
        <v/>
      </c>
      <c r="D68" s="14">
        <f>D11/D$59</f>
        <v/>
      </c>
      <c r="E68" s="14">
        <f>E11/E$59</f>
        <v/>
      </c>
      <c r="F68" s="14">
        <f>F11/F$59</f>
        <v/>
      </c>
      <c r="G68" s="14">
        <f>G11/G$59</f>
        <v/>
      </c>
      <c r="H68" s="14">
        <f>H11/H$59</f>
        <v/>
      </c>
      <c r="I68" s="14">
        <f>I11/I$59</f>
        <v/>
      </c>
      <c r="J68" s="14">
        <f>J11/J$59</f>
        <v/>
      </c>
      <c r="K68" s="14">
        <f>K11/K$59</f>
        <v/>
      </c>
      <c r="M68" s="10" t="n">
        <v>0.1666666666666667</v>
      </c>
      <c r="N68" s="13">
        <f>N11/N$59</f>
        <v/>
      </c>
      <c r="O68" s="13">
        <f>O11/O$59</f>
        <v/>
      </c>
      <c r="P68" s="13">
        <f>P11/P$59</f>
        <v/>
      </c>
      <c r="Q68" s="13">
        <f>Q11/Q$59</f>
        <v/>
      </c>
      <c r="R68" s="13">
        <f>R11/R$59</f>
        <v/>
      </c>
      <c r="S68" s="13">
        <f>S11/S$59</f>
        <v/>
      </c>
      <c r="T68" s="13">
        <f>T11/T$59</f>
        <v/>
      </c>
      <c r="U68" s="13">
        <f>U11/U$59</f>
        <v/>
      </c>
      <c r="V68" s="14">
        <f>V11/V$59</f>
        <v/>
      </c>
      <c r="W68" s="14">
        <f>W11/W$59</f>
        <v/>
      </c>
    </row>
    <row r="69">
      <c r="A69" s="10" t="n">
        <v>0.1875</v>
      </c>
      <c r="B69" s="14">
        <f>B12/B$59</f>
        <v/>
      </c>
      <c r="C69" s="14">
        <f>C12/C$59</f>
        <v/>
      </c>
      <c r="D69" s="14">
        <f>D12/D$59</f>
        <v/>
      </c>
      <c r="E69" s="14">
        <f>E12/E$59</f>
        <v/>
      </c>
      <c r="F69" s="14">
        <f>F12/F$59</f>
        <v/>
      </c>
      <c r="G69" s="14">
        <f>G12/G$59</f>
        <v/>
      </c>
      <c r="H69" s="14">
        <f>H12/H$59</f>
        <v/>
      </c>
      <c r="I69" s="14">
        <f>I12/I$59</f>
        <v/>
      </c>
      <c r="J69" s="14">
        <f>J12/J$59</f>
        <v/>
      </c>
      <c r="K69" s="14">
        <f>K12/K$59</f>
        <v/>
      </c>
      <c r="M69" s="10" t="n">
        <v>0.1875</v>
      </c>
      <c r="N69" s="13">
        <f>N12/N$59</f>
        <v/>
      </c>
      <c r="O69" s="13">
        <f>O12/O$59</f>
        <v/>
      </c>
      <c r="P69" s="13">
        <f>P12/P$59</f>
        <v/>
      </c>
      <c r="Q69" s="13">
        <f>Q12/Q$59</f>
        <v/>
      </c>
      <c r="R69" s="13">
        <f>R12/R$59</f>
        <v/>
      </c>
      <c r="S69" s="13">
        <f>S12/S$59</f>
        <v/>
      </c>
      <c r="T69" s="13">
        <f>T12/T$59</f>
        <v/>
      </c>
      <c r="U69" s="13">
        <f>U12/U$59</f>
        <v/>
      </c>
      <c r="V69" s="14">
        <f>V12/V$59</f>
        <v/>
      </c>
      <c r="W69" s="14">
        <f>W12/W$59</f>
        <v/>
      </c>
    </row>
    <row r="70">
      <c r="A70" s="10" t="n">
        <v>0.2083333333333333</v>
      </c>
      <c r="B70" s="14">
        <f>B13/B$59</f>
        <v/>
      </c>
      <c r="C70" s="14">
        <f>C13/C$59</f>
        <v/>
      </c>
      <c r="D70" s="14">
        <f>D13/D$59</f>
        <v/>
      </c>
      <c r="E70" s="14">
        <f>E13/E$59</f>
        <v/>
      </c>
      <c r="F70" s="14">
        <f>F13/F$59</f>
        <v/>
      </c>
      <c r="G70" s="14">
        <f>G13/G$59</f>
        <v/>
      </c>
      <c r="H70" s="14">
        <f>H13/H$59</f>
        <v/>
      </c>
      <c r="I70" s="14">
        <f>I13/I$59</f>
        <v/>
      </c>
      <c r="J70" s="14">
        <f>J13/J$59</f>
        <v/>
      </c>
      <c r="K70" s="14">
        <f>K13/K$59</f>
        <v/>
      </c>
      <c r="M70" s="10" t="n">
        <v>0.2083333333333333</v>
      </c>
      <c r="N70" s="13">
        <f>N13/N$59</f>
        <v/>
      </c>
      <c r="O70" s="13">
        <f>O13/O$59</f>
        <v/>
      </c>
      <c r="P70" s="13">
        <f>P13/P$59</f>
        <v/>
      </c>
      <c r="Q70" s="13">
        <f>Q13/Q$59</f>
        <v/>
      </c>
      <c r="R70" s="13">
        <f>R13/R$59</f>
        <v/>
      </c>
      <c r="S70" s="13">
        <f>S13/S$59</f>
        <v/>
      </c>
      <c r="T70" s="13">
        <f>T13/T$59</f>
        <v/>
      </c>
      <c r="U70" s="13">
        <f>U13/U$59</f>
        <v/>
      </c>
      <c r="V70" s="14">
        <f>V13/V$59</f>
        <v/>
      </c>
      <c r="W70" s="14">
        <f>W13/W$59</f>
        <v/>
      </c>
    </row>
    <row r="71">
      <c r="A71" s="10" t="n">
        <v>0.2291666666666667</v>
      </c>
      <c r="B71" s="14">
        <f>B14/B$59</f>
        <v/>
      </c>
      <c r="C71" s="14">
        <f>C14/C$59</f>
        <v/>
      </c>
      <c r="D71" s="14">
        <f>D14/D$59</f>
        <v/>
      </c>
      <c r="E71" s="14">
        <f>E14/E$59</f>
        <v/>
      </c>
      <c r="F71" s="14">
        <f>F14/F$59</f>
        <v/>
      </c>
      <c r="G71" s="14">
        <f>G14/G$59</f>
        <v/>
      </c>
      <c r="H71" s="14">
        <f>H14/H$59</f>
        <v/>
      </c>
      <c r="I71" s="14">
        <f>I14/I$59</f>
        <v/>
      </c>
      <c r="J71" s="14">
        <f>J14/J$59</f>
        <v/>
      </c>
      <c r="K71" s="14">
        <f>K14/K$59</f>
        <v/>
      </c>
      <c r="M71" s="10" t="n">
        <v>0.2291666666666667</v>
      </c>
      <c r="N71" s="13">
        <f>N14/N$59</f>
        <v/>
      </c>
      <c r="O71" s="13">
        <f>O14/O$59</f>
        <v/>
      </c>
      <c r="P71" s="13">
        <f>P14/P$59</f>
        <v/>
      </c>
      <c r="Q71" s="13">
        <f>Q14/Q$59</f>
        <v/>
      </c>
      <c r="R71" s="13">
        <f>R14/R$59</f>
        <v/>
      </c>
      <c r="S71" s="13">
        <f>S14/S$59</f>
        <v/>
      </c>
      <c r="T71" s="13">
        <f>T14/T$59</f>
        <v/>
      </c>
      <c r="U71" s="13">
        <f>U14/U$59</f>
        <v/>
      </c>
      <c r="V71" s="14">
        <f>V14/V$59</f>
        <v/>
      </c>
      <c r="W71" s="14">
        <f>W14/W$59</f>
        <v/>
      </c>
    </row>
    <row r="72">
      <c r="A72" s="10" t="n">
        <v>0.25</v>
      </c>
      <c r="B72" s="14">
        <f>B15/B$59</f>
        <v/>
      </c>
      <c r="C72" s="14">
        <f>C15/C$59</f>
        <v/>
      </c>
      <c r="D72" s="14">
        <f>D15/D$59</f>
        <v/>
      </c>
      <c r="E72" s="14">
        <f>E15/E$59</f>
        <v/>
      </c>
      <c r="F72" s="14">
        <f>F15/F$59</f>
        <v/>
      </c>
      <c r="G72" s="14">
        <f>G15/G$59</f>
        <v/>
      </c>
      <c r="H72" s="14">
        <f>H15/H$59</f>
        <v/>
      </c>
      <c r="I72" s="14">
        <f>I15/I$59</f>
        <v/>
      </c>
      <c r="J72" s="14">
        <f>J15/J$59</f>
        <v/>
      </c>
      <c r="K72" s="14">
        <f>K15/K$59</f>
        <v/>
      </c>
      <c r="M72" s="10" t="n">
        <v>0.25</v>
      </c>
      <c r="N72" s="13">
        <f>N15/N$59</f>
        <v/>
      </c>
      <c r="O72" s="13">
        <f>O15/O$59</f>
        <v/>
      </c>
      <c r="P72" s="13">
        <f>P15/P$59</f>
        <v/>
      </c>
      <c r="Q72" s="13">
        <f>Q15/Q$59</f>
        <v/>
      </c>
      <c r="R72" s="13">
        <f>R15/R$59</f>
        <v/>
      </c>
      <c r="S72" s="13">
        <f>S15/S$59</f>
        <v/>
      </c>
      <c r="T72" s="13">
        <f>T15/T$59</f>
        <v/>
      </c>
      <c r="U72" s="13">
        <f>U15/U$59</f>
        <v/>
      </c>
      <c r="V72" s="14">
        <f>V15/V$59</f>
        <v/>
      </c>
      <c r="W72" s="14">
        <f>W15/W$59</f>
        <v/>
      </c>
    </row>
    <row r="73">
      <c r="A73" s="10" t="n">
        <v>0.2708333333333333</v>
      </c>
      <c r="B73" s="14">
        <f>B16/B$59</f>
        <v/>
      </c>
      <c r="C73" s="14">
        <f>C16/C$59</f>
        <v/>
      </c>
      <c r="D73" s="14">
        <f>D16/D$59</f>
        <v/>
      </c>
      <c r="E73" s="14">
        <f>E16/E$59</f>
        <v/>
      </c>
      <c r="F73" s="14">
        <f>F16/F$59</f>
        <v/>
      </c>
      <c r="G73" s="14">
        <f>G16/G$59</f>
        <v/>
      </c>
      <c r="H73" s="14">
        <f>H16/H$59</f>
        <v/>
      </c>
      <c r="I73" s="14">
        <f>I16/I$59</f>
        <v/>
      </c>
      <c r="J73" s="14">
        <f>J16/J$59</f>
        <v/>
      </c>
      <c r="K73" s="14">
        <f>K16/K$59</f>
        <v/>
      </c>
      <c r="M73" s="10" t="n">
        <v>0.2708333333333333</v>
      </c>
      <c r="N73" s="13">
        <f>N16/N$59</f>
        <v/>
      </c>
      <c r="O73" s="13">
        <f>O16/O$59</f>
        <v/>
      </c>
      <c r="P73" s="13">
        <f>P16/P$59</f>
        <v/>
      </c>
      <c r="Q73" s="13">
        <f>Q16/Q$59</f>
        <v/>
      </c>
      <c r="R73" s="13">
        <f>R16/R$59</f>
        <v/>
      </c>
      <c r="S73" s="13">
        <f>S16/S$59</f>
        <v/>
      </c>
      <c r="T73" s="13">
        <f>T16/T$59</f>
        <v/>
      </c>
      <c r="U73" s="13">
        <f>U16/U$59</f>
        <v/>
      </c>
      <c r="V73" s="14">
        <f>V16/V$59</f>
        <v/>
      </c>
      <c r="W73" s="14">
        <f>W16/W$59</f>
        <v/>
      </c>
    </row>
    <row r="74">
      <c r="A74" s="10" t="n">
        <v>0.2916666666666667</v>
      </c>
      <c r="B74" s="14">
        <f>B17/B$59</f>
        <v/>
      </c>
      <c r="C74" s="14">
        <f>C17/C$59</f>
        <v/>
      </c>
      <c r="D74" s="14">
        <f>D17/D$59</f>
        <v/>
      </c>
      <c r="E74" s="14">
        <f>E17/E$59</f>
        <v/>
      </c>
      <c r="F74" s="14">
        <f>F17/F$59</f>
        <v/>
      </c>
      <c r="G74" s="14">
        <f>G17/G$59</f>
        <v/>
      </c>
      <c r="H74" s="14">
        <f>H17/H$59</f>
        <v/>
      </c>
      <c r="I74" s="14">
        <f>I17/I$59</f>
        <v/>
      </c>
      <c r="J74" s="14">
        <f>J17/J$59</f>
        <v/>
      </c>
      <c r="K74" s="14">
        <f>K17/K$59</f>
        <v/>
      </c>
      <c r="M74" s="10" t="n">
        <v>0.2916666666666667</v>
      </c>
      <c r="N74" s="13">
        <f>N17/N$59</f>
        <v/>
      </c>
      <c r="O74" s="13">
        <f>O17/O$59</f>
        <v/>
      </c>
      <c r="P74" s="13">
        <f>P17/P$59</f>
        <v/>
      </c>
      <c r="Q74" s="13">
        <f>Q17/Q$59</f>
        <v/>
      </c>
      <c r="R74" s="13">
        <f>R17/R$59</f>
        <v/>
      </c>
      <c r="S74" s="13">
        <f>S17/S$59</f>
        <v/>
      </c>
      <c r="T74" s="13">
        <f>T17/T$59</f>
        <v/>
      </c>
      <c r="U74" s="13">
        <f>U17/U$59</f>
        <v/>
      </c>
      <c r="V74" s="14">
        <f>V17/V$59</f>
        <v/>
      </c>
      <c r="W74" s="14">
        <f>W17/W$59</f>
        <v/>
      </c>
    </row>
    <row r="75">
      <c r="A75" s="10" t="n">
        <v>0.3125</v>
      </c>
      <c r="B75" s="14">
        <f>B18/B$59</f>
        <v/>
      </c>
      <c r="C75" s="14">
        <f>C18/C$59</f>
        <v/>
      </c>
      <c r="D75" s="14">
        <f>D18/D$59</f>
        <v/>
      </c>
      <c r="E75" s="14">
        <f>E18/E$59</f>
        <v/>
      </c>
      <c r="F75" s="14">
        <f>F18/F$59</f>
        <v/>
      </c>
      <c r="G75" s="14">
        <f>G18/G$59</f>
        <v/>
      </c>
      <c r="H75" s="14">
        <f>H18/H$59</f>
        <v/>
      </c>
      <c r="I75" s="14">
        <f>I18/I$59</f>
        <v/>
      </c>
      <c r="J75" s="14">
        <f>J18/J$59</f>
        <v/>
      </c>
      <c r="K75" s="14">
        <f>K18/K$59</f>
        <v/>
      </c>
      <c r="M75" s="10" t="n">
        <v>0.3125</v>
      </c>
      <c r="N75" s="13">
        <f>N18/N$59</f>
        <v/>
      </c>
      <c r="O75" s="13">
        <f>O18/O$59</f>
        <v/>
      </c>
      <c r="P75" s="13">
        <f>P18/P$59</f>
        <v/>
      </c>
      <c r="Q75" s="13">
        <f>Q18/Q$59</f>
        <v/>
      </c>
      <c r="R75" s="13">
        <f>R18/R$59</f>
        <v/>
      </c>
      <c r="S75" s="13">
        <f>S18/S$59</f>
        <v/>
      </c>
      <c r="T75" s="13">
        <f>T18/T$59</f>
        <v/>
      </c>
      <c r="U75" s="13">
        <f>U18/U$59</f>
        <v/>
      </c>
      <c r="V75" s="14">
        <f>V18/V$59</f>
        <v/>
      </c>
      <c r="W75" s="14">
        <f>W18/W$59</f>
        <v/>
      </c>
    </row>
    <row r="76">
      <c r="A76" s="10" t="n">
        <v>0.3333333333333333</v>
      </c>
      <c r="B76" s="14">
        <f>B19/B$59</f>
        <v/>
      </c>
      <c r="C76" s="14">
        <f>C19/C$59</f>
        <v/>
      </c>
      <c r="D76" s="14">
        <f>D19/D$59</f>
        <v/>
      </c>
      <c r="E76" s="14">
        <f>E19/E$59</f>
        <v/>
      </c>
      <c r="F76" s="14">
        <f>F19/F$59</f>
        <v/>
      </c>
      <c r="G76" s="14">
        <f>G19/G$59</f>
        <v/>
      </c>
      <c r="H76" s="14">
        <f>H19/H$59</f>
        <v/>
      </c>
      <c r="I76" s="14">
        <f>I19/I$59</f>
        <v/>
      </c>
      <c r="J76" s="14">
        <f>J19/J$59</f>
        <v/>
      </c>
      <c r="K76" s="14">
        <f>K19/K$59</f>
        <v/>
      </c>
      <c r="M76" s="10" t="n">
        <v>0.3333333333333333</v>
      </c>
      <c r="N76" s="13">
        <f>N19/N$59</f>
        <v/>
      </c>
      <c r="O76" s="13">
        <f>O19/O$59</f>
        <v/>
      </c>
      <c r="P76" s="13">
        <f>P19/P$59</f>
        <v/>
      </c>
      <c r="Q76" s="13">
        <f>Q19/Q$59</f>
        <v/>
      </c>
      <c r="R76" s="13">
        <f>R19/R$59</f>
        <v/>
      </c>
      <c r="S76" s="13">
        <f>S19/S$59</f>
        <v/>
      </c>
      <c r="T76" s="13">
        <f>T19/T$59</f>
        <v/>
      </c>
      <c r="U76" s="13">
        <f>U19/U$59</f>
        <v/>
      </c>
      <c r="V76" s="14">
        <f>V19/V$59</f>
        <v/>
      </c>
      <c r="W76" s="14">
        <f>W19/W$59</f>
        <v/>
      </c>
    </row>
    <row r="77">
      <c r="A77" s="10" t="n">
        <v>0.3541666666666667</v>
      </c>
      <c r="B77" s="14">
        <f>B20/B$59</f>
        <v/>
      </c>
      <c r="C77" s="14">
        <f>C20/C$59</f>
        <v/>
      </c>
      <c r="D77" s="14">
        <f>D20/D$59</f>
        <v/>
      </c>
      <c r="E77" s="14">
        <f>E20/E$59</f>
        <v/>
      </c>
      <c r="F77" s="14">
        <f>F20/F$59</f>
        <v/>
      </c>
      <c r="G77" s="14">
        <f>G20/G$59</f>
        <v/>
      </c>
      <c r="H77" s="14">
        <f>H20/H$59</f>
        <v/>
      </c>
      <c r="I77" s="14">
        <f>I20/I$59</f>
        <v/>
      </c>
      <c r="J77" s="14">
        <f>J20/J$59</f>
        <v/>
      </c>
      <c r="K77" s="14">
        <f>K20/K$59</f>
        <v/>
      </c>
      <c r="M77" s="10" t="n">
        <v>0.3541666666666667</v>
      </c>
      <c r="N77" s="13">
        <f>N20/N$59</f>
        <v/>
      </c>
      <c r="O77" s="13">
        <f>O20/O$59</f>
        <v/>
      </c>
      <c r="P77" s="13">
        <f>P20/P$59</f>
        <v/>
      </c>
      <c r="Q77" s="13">
        <f>Q20/Q$59</f>
        <v/>
      </c>
      <c r="R77" s="13">
        <f>R20/R$59</f>
        <v/>
      </c>
      <c r="S77" s="13">
        <f>S20/S$59</f>
        <v/>
      </c>
      <c r="T77" s="13">
        <f>T20/T$59</f>
        <v/>
      </c>
      <c r="U77" s="13">
        <f>U20/U$59</f>
        <v/>
      </c>
      <c r="V77" s="14">
        <f>V20/V$59</f>
        <v/>
      </c>
      <c r="W77" s="14">
        <f>W20/W$59</f>
        <v/>
      </c>
    </row>
    <row r="78">
      <c r="A78" s="10" t="n">
        <v>0.375</v>
      </c>
      <c r="B78" s="14">
        <f>B21/B$59</f>
        <v/>
      </c>
      <c r="C78" s="14">
        <f>C21/C$59</f>
        <v/>
      </c>
      <c r="D78" s="14">
        <f>D21/D$59</f>
        <v/>
      </c>
      <c r="E78" s="14">
        <f>E21/E$59</f>
        <v/>
      </c>
      <c r="F78" s="14">
        <f>F21/F$59</f>
        <v/>
      </c>
      <c r="G78" s="14">
        <f>G21/G$59</f>
        <v/>
      </c>
      <c r="H78" s="14">
        <f>H21/H$59</f>
        <v/>
      </c>
      <c r="I78" s="14">
        <f>I21/I$59</f>
        <v/>
      </c>
      <c r="J78" s="14">
        <f>J21/J$59</f>
        <v/>
      </c>
      <c r="K78" s="14">
        <f>K21/K$59</f>
        <v/>
      </c>
      <c r="M78" s="10" t="n">
        <v>0.375</v>
      </c>
      <c r="N78" s="13">
        <f>N21/N$59</f>
        <v/>
      </c>
      <c r="O78" s="13">
        <f>O21/O$59</f>
        <v/>
      </c>
      <c r="P78" s="13">
        <f>P21/P$59</f>
        <v/>
      </c>
      <c r="Q78" s="13">
        <f>Q21/Q$59</f>
        <v/>
      </c>
      <c r="R78" s="13">
        <f>R21/R$59</f>
        <v/>
      </c>
      <c r="S78" s="13">
        <f>S21/S$59</f>
        <v/>
      </c>
      <c r="T78" s="13">
        <f>T21/T$59</f>
        <v/>
      </c>
      <c r="U78" s="13">
        <f>U21/U$59</f>
        <v/>
      </c>
      <c r="V78" s="14">
        <f>V21/V$59</f>
        <v/>
      </c>
      <c r="W78" s="14">
        <f>W21/W$59</f>
        <v/>
      </c>
    </row>
    <row r="79">
      <c r="A79" s="10" t="n">
        <v>0.3958333333333333</v>
      </c>
      <c r="B79" s="14">
        <f>B22/B$59</f>
        <v/>
      </c>
      <c r="C79" s="14">
        <f>C22/C$59</f>
        <v/>
      </c>
      <c r="D79" s="14">
        <f>D22/D$59</f>
        <v/>
      </c>
      <c r="E79" s="14">
        <f>E22/E$59</f>
        <v/>
      </c>
      <c r="F79" s="14">
        <f>F22/F$59</f>
        <v/>
      </c>
      <c r="G79" s="14">
        <f>G22/G$59</f>
        <v/>
      </c>
      <c r="H79" s="14">
        <f>H22/H$59</f>
        <v/>
      </c>
      <c r="I79" s="14">
        <f>I22/I$59</f>
        <v/>
      </c>
      <c r="J79" s="14">
        <f>J22/J$59</f>
        <v/>
      </c>
      <c r="K79" s="14">
        <f>K22/K$59</f>
        <v/>
      </c>
      <c r="M79" s="10" t="n">
        <v>0.3958333333333333</v>
      </c>
      <c r="N79" s="13">
        <f>N22/N$59</f>
        <v/>
      </c>
      <c r="O79" s="13">
        <f>O22/O$59</f>
        <v/>
      </c>
      <c r="P79" s="13">
        <f>P22/P$59</f>
        <v/>
      </c>
      <c r="Q79" s="13">
        <f>Q22/Q$59</f>
        <v/>
      </c>
      <c r="R79" s="13">
        <f>R22/R$59</f>
        <v/>
      </c>
      <c r="S79" s="13">
        <f>S22/S$59</f>
        <v/>
      </c>
      <c r="T79" s="13">
        <f>T22/T$59</f>
        <v/>
      </c>
      <c r="U79" s="13">
        <f>U22/U$59</f>
        <v/>
      </c>
      <c r="V79" s="14">
        <f>V22/V$59</f>
        <v/>
      </c>
      <c r="W79" s="14">
        <f>W22/W$59</f>
        <v/>
      </c>
    </row>
    <row r="80">
      <c r="A80" s="10" t="n">
        <v>0.4166666666666667</v>
      </c>
      <c r="B80" s="14">
        <f>B23/B$59</f>
        <v/>
      </c>
      <c r="C80" s="14">
        <f>C23/C$59</f>
        <v/>
      </c>
      <c r="D80" s="14">
        <f>D23/D$59</f>
        <v/>
      </c>
      <c r="E80" s="14">
        <f>E23/E$59</f>
        <v/>
      </c>
      <c r="F80" s="14">
        <f>F23/F$59</f>
        <v/>
      </c>
      <c r="G80" s="14">
        <f>G23/G$59</f>
        <v/>
      </c>
      <c r="H80" s="14">
        <f>H23/H$59</f>
        <v/>
      </c>
      <c r="I80" s="14">
        <f>I23/I$59</f>
        <v/>
      </c>
      <c r="J80" s="14">
        <f>J23/J$59</f>
        <v/>
      </c>
      <c r="K80" s="14">
        <f>K23/K$59</f>
        <v/>
      </c>
      <c r="M80" s="10" t="n">
        <v>0.4166666666666667</v>
      </c>
      <c r="N80" s="13">
        <f>N23/N$59</f>
        <v/>
      </c>
      <c r="O80" s="13">
        <f>O23/O$59</f>
        <v/>
      </c>
      <c r="P80" s="13">
        <f>P23/P$59</f>
        <v/>
      </c>
      <c r="Q80" s="13">
        <f>Q23/Q$59</f>
        <v/>
      </c>
      <c r="R80" s="13">
        <f>R23/R$59</f>
        <v/>
      </c>
      <c r="S80" s="13">
        <f>S23/S$59</f>
        <v/>
      </c>
      <c r="T80" s="13">
        <f>T23/T$59</f>
        <v/>
      </c>
      <c r="U80" s="13">
        <f>U23/U$59</f>
        <v/>
      </c>
      <c r="V80" s="14">
        <f>V23/V$59</f>
        <v/>
      </c>
      <c r="W80" s="14">
        <f>W23/W$59</f>
        <v/>
      </c>
    </row>
    <row r="81">
      <c r="A81" s="10" t="n">
        <v>0.4375</v>
      </c>
      <c r="B81" s="14">
        <f>B24/B$59</f>
        <v/>
      </c>
      <c r="C81" s="14">
        <f>C24/C$59</f>
        <v/>
      </c>
      <c r="D81" s="14">
        <f>D24/D$59</f>
        <v/>
      </c>
      <c r="E81" s="14">
        <f>E24/E$59</f>
        <v/>
      </c>
      <c r="F81" s="14">
        <f>F24/F$59</f>
        <v/>
      </c>
      <c r="G81" s="14">
        <f>G24/G$59</f>
        <v/>
      </c>
      <c r="H81" s="14">
        <f>H24/H$59</f>
        <v/>
      </c>
      <c r="I81" s="14">
        <f>I24/I$59</f>
        <v/>
      </c>
      <c r="J81" s="14">
        <f>J24/J$59</f>
        <v/>
      </c>
      <c r="K81" s="14">
        <f>K24/K$59</f>
        <v/>
      </c>
      <c r="M81" s="10" t="n">
        <v>0.4375</v>
      </c>
      <c r="N81" s="13">
        <f>N24/N$59</f>
        <v/>
      </c>
      <c r="O81" s="13">
        <f>O24/O$59</f>
        <v/>
      </c>
      <c r="P81" s="13">
        <f>P24/P$59</f>
        <v/>
      </c>
      <c r="Q81" s="13">
        <f>Q24/Q$59</f>
        <v/>
      </c>
      <c r="R81" s="13">
        <f>R24/R$59</f>
        <v/>
      </c>
      <c r="S81" s="13">
        <f>S24/S$59</f>
        <v/>
      </c>
      <c r="T81" s="13">
        <f>T24/T$59</f>
        <v/>
      </c>
      <c r="U81" s="13">
        <f>U24/U$59</f>
        <v/>
      </c>
      <c r="V81" s="14">
        <f>V24/V$59</f>
        <v/>
      </c>
      <c r="W81" s="14">
        <f>W24/W$59</f>
        <v/>
      </c>
    </row>
    <row r="82">
      <c r="A82" s="10" t="n">
        <v>0.4583333333333333</v>
      </c>
      <c r="B82" s="14">
        <f>B25/B$59</f>
        <v/>
      </c>
      <c r="C82" s="14">
        <f>C25/C$59</f>
        <v/>
      </c>
      <c r="D82" s="14">
        <f>D25/D$59</f>
        <v/>
      </c>
      <c r="E82" s="14">
        <f>E25/E$59</f>
        <v/>
      </c>
      <c r="F82" s="14">
        <f>F25/F$59</f>
        <v/>
      </c>
      <c r="G82" s="14">
        <f>G25/G$59</f>
        <v/>
      </c>
      <c r="H82" s="14">
        <f>H25/H$59</f>
        <v/>
      </c>
      <c r="I82" s="14">
        <f>I25/I$59</f>
        <v/>
      </c>
      <c r="J82" s="14">
        <f>J25/J$59</f>
        <v/>
      </c>
      <c r="K82" s="14">
        <f>K25/K$59</f>
        <v/>
      </c>
      <c r="M82" s="10" t="n">
        <v>0.4583333333333333</v>
      </c>
      <c r="N82" s="13">
        <f>N25/N$59</f>
        <v/>
      </c>
      <c r="O82" s="13">
        <f>O25/O$59</f>
        <v/>
      </c>
      <c r="P82" s="13">
        <f>P25/P$59</f>
        <v/>
      </c>
      <c r="Q82" s="13">
        <f>Q25/Q$59</f>
        <v/>
      </c>
      <c r="R82" s="13">
        <f>R25/R$59</f>
        <v/>
      </c>
      <c r="S82" s="13">
        <f>S25/S$59</f>
        <v/>
      </c>
      <c r="T82" s="13">
        <f>T25/T$59</f>
        <v/>
      </c>
      <c r="U82" s="13">
        <f>U25/U$59</f>
        <v/>
      </c>
      <c r="V82" s="14">
        <f>V25/V$59</f>
        <v/>
      </c>
      <c r="W82" s="14">
        <f>W25/W$59</f>
        <v/>
      </c>
    </row>
    <row r="83">
      <c r="A83" s="10" t="n">
        <v>0.4791666666666667</v>
      </c>
      <c r="B83" s="14">
        <f>B26/B$59</f>
        <v/>
      </c>
      <c r="C83" s="14">
        <f>C26/C$59</f>
        <v/>
      </c>
      <c r="D83" s="14">
        <f>D26/D$59</f>
        <v/>
      </c>
      <c r="E83" s="14">
        <f>E26/E$59</f>
        <v/>
      </c>
      <c r="F83" s="14">
        <f>F26/F$59</f>
        <v/>
      </c>
      <c r="G83" s="14">
        <f>G26/G$59</f>
        <v/>
      </c>
      <c r="H83" s="14">
        <f>H26/H$59</f>
        <v/>
      </c>
      <c r="I83" s="14">
        <f>I26/I$59</f>
        <v/>
      </c>
      <c r="J83" s="14">
        <f>J26/J$59</f>
        <v/>
      </c>
      <c r="K83" s="14">
        <f>K26/K$59</f>
        <v/>
      </c>
      <c r="M83" s="10" t="n">
        <v>0.4791666666666667</v>
      </c>
      <c r="N83" s="13">
        <f>N26/N$59</f>
        <v/>
      </c>
      <c r="O83" s="13">
        <f>O26/O$59</f>
        <v/>
      </c>
      <c r="P83" s="13">
        <f>P26/P$59</f>
        <v/>
      </c>
      <c r="Q83" s="13">
        <f>Q26/Q$59</f>
        <v/>
      </c>
      <c r="R83" s="13">
        <f>R26/R$59</f>
        <v/>
      </c>
      <c r="S83" s="13">
        <f>S26/S$59</f>
        <v/>
      </c>
      <c r="T83" s="13">
        <f>T26/T$59</f>
        <v/>
      </c>
      <c r="U83" s="13">
        <f>U26/U$59</f>
        <v/>
      </c>
      <c r="V83" s="14">
        <f>V26/V$59</f>
        <v/>
      </c>
      <c r="W83" s="14">
        <f>W26/W$59</f>
        <v/>
      </c>
    </row>
    <row r="84">
      <c r="A84" s="10" t="n">
        <v>0.5</v>
      </c>
      <c r="B84" s="14">
        <f>B27/B$59</f>
        <v/>
      </c>
      <c r="C84" s="14">
        <f>C27/C$59</f>
        <v/>
      </c>
      <c r="D84" s="14">
        <f>D27/D$59</f>
        <v/>
      </c>
      <c r="E84" s="14">
        <f>E27/E$59</f>
        <v/>
      </c>
      <c r="F84" s="14">
        <f>F27/F$59</f>
        <v/>
      </c>
      <c r="G84" s="14">
        <f>G27/G$59</f>
        <v/>
      </c>
      <c r="H84" s="14">
        <f>H27/H$59</f>
        <v/>
      </c>
      <c r="I84" s="14">
        <f>I27/I$59</f>
        <v/>
      </c>
      <c r="J84" s="14">
        <f>J27/J$59</f>
        <v/>
      </c>
      <c r="K84" s="14">
        <f>K27/K$59</f>
        <v/>
      </c>
      <c r="M84" s="10" t="n">
        <v>0.5</v>
      </c>
      <c r="N84" s="13">
        <f>N27/N$59</f>
        <v/>
      </c>
      <c r="O84" s="13">
        <f>O27/O$59</f>
        <v/>
      </c>
      <c r="P84" s="13">
        <f>P27/P$59</f>
        <v/>
      </c>
      <c r="Q84" s="13">
        <f>Q27/Q$59</f>
        <v/>
      </c>
      <c r="R84" s="13">
        <f>R27/R$59</f>
        <v/>
      </c>
      <c r="S84" s="13">
        <f>S27/S$59</f>
        <v/>
      </c>
      <c r="T84" s="13">
        <f>T27/T$59</f>
        <v/>
      </c>
      <c r="U84" s="13">
        <f>U27/U$59</f>
        <v/>
      </c>
      <c r="V84" s="14">
        <f>V27/V$59</f>
        <v/>
      </c>
      <c r="W84" s="14">
        <f>W27/W$59</f>
        <v/>
      </c>
    </row>
    <row r="85">
      <c r="A85" s="10" t="n">
        <v>0.5208333333333334</v>
      </c>
      <c r="B85" s="14">
        <f>B28/B$59</f>
        <v/>
      </c>
      <c r="C85" s="14">
        <f>C28/C$59</f>
        <v/>
      </c>
      <c r="D85" s="14">
        <f>D28/D$59</f>
        <v/>
      </c>
      <c r="E85" s="14">
        <f>E28/E$59</f>
        <v/>
      </c>
      <c r="F85" s="14">
        <f>F28/F$59</f>
        <v/>
      </c>
      <c r="G85" s="14">
        <f>G28/G$59</f>
        <v/>
      </c>
      <c r="H85" s="14">
        <f>H28/H$59</f>
        <v/>
      </c>
      <c r="I85" s="14">
        <f>I28/I$59</f>
        <v/>
      </c>
      <c r="J85" s="14">
        <f>J28/J$59</f>
        <v/>
      </c>
      <c r="K85" s="14">
        <f>K28/K$59</f>
        <v/>
      </c>
      <c r="M85" s="10" t="n">
        <v>0.5208333333333334</v>
      </c>
      <c r="N85" s="13">
        <f>N28/N$59</f>
        <v/>
      </c>
      <c r="O85" s="13">
        <f>O28/O$59</f>
        <v/>
      </c>
      <c r="P85" s="13">
        <f>P28/P$59</f>
        <v/>
      </c>
      <c r="Q85" s="13">
        <f>Q28/Q$59</f>
        <v/>
      </c>
      <c r="R85" s="13">
        <f>R28/R$59</f>
        <v/>
      </c>
      <c r="S85" s="13">
        <f>S28/S$59</f>
        <v/>
      </c>
      <c r="T85" s="13">
        <f>T28/T$59</f>
        <v/>
      </c>
      <c r="U85" s="13">
        <f>U28/U$59</f>
        <v/>
      </c>
      <c r="V85" s="14">
        <f>V28/V$59</f>
        <v/>
      </c>
      <c r="W85" s="14">
        <f>W28/W$59</f>
        <v/>
      </c>
    </row>
    <row r="86">
      <c r="A86" s="10" t="n">
        <v>0.5416666666666666</v>
      </c>
      <c r="B86" s="14">
        <f>B29/B$59</f>
        <v/>
      </c>
      <c r="C86" s="14">
        <f>C29/C$59</f>
        <v/>
      </c>
      <c r="D86" s="14">
        <f>D29/D$59</f>
        <v/>
      </c>
      <c r="E86" s="14">
        <f>E29/E$59</f>
        <v/>
      </c>
      <c r="F86" s="14">
        <f>F29/F$59</f>
        <v/>
      </c>
      <c r="G86" s="14">
        <f>G29/G$59</f>
        <v/>
      </c>
      <c r="H86" s="14">
        <f>H29/H$59</f>
        <v/>
      </c>
      <c r="I86" s="14">
        <f>I29/I$59</f>
        <v/>
      </c>
      <c r="J86" s="14">
        <f>J29/J$59</f>
        <v/>
      </c>
      <c r="K86" s="14">
        <f>K29/K$59</f>
        <v/>
      </c>
      <c r="M86" s="10" t="n">
        <v>0.5416666666666666</v>
      </c>
      <c r="N86" s="13">
        <f>N29/N$59</f>
        <v/>
      </c>
      <c r="O86" s="13">
        <f>O29/O$59</f>
        <v/>
      </c>
      <c r="P86" s="13">
        <f>P29/P$59</f>
        <v/>
      </c>
      <c r="Q86" s="13">
        <f>Q29/Q$59</f>
        <v/>
      </c>
      <c r="R86" s="13">
        <f>R29/R$59</f>
        <v/>
      </c>
      <c r="S86" s="13">
        <f>S29/S$59</f>
        <v/>
      </c>
      <c r="T86" s="13">
        <f>T29/T$59</f>
        <v/>
      </c>
      <c r="U86" s="13">
        <f>U29/U$59</f>
        <v/>
      </c>
      <c r="V86" s="14">
        <f>V29/V$59</f>
        <v/>
      </c>
      <c r="W86" s="14">
        <f>W29/W$59</f>
        <v/>
      </c>
    </row>
    <row r="87">
      <c r="A87" s="10" t="n">
        <v>0.5625</v>
      </c>
      <c r="B87" s="14">
        <f>B30/B$59</f>
        <v/>
      </c>
      <c r="C87" s="14">
        <f>C30/C$59</f>
        <v/>
      </c>
      <c r="D87" s="14">
        <f>D30/D$59</f>
        <v/>
      </c>
      <c r="E87" s="14">
        <f>E30/E$59</f>
        <v/>
      </c>
      <c r="F87" s="14">
        <f>F30/F$59</f>
        <v/>
      </c>
      <c r="G87" s="14">
        <f>G30/G$59</f>
        <v/>
      </c>
      <c r="H87" s="14">
        <f>H30/H$59</f>
        <v/>
      </c>
      <c r="I87" s="14">
        <f>I30/I$59</f>
        <v/>
      </c>
      <c r="J87" s="14">
        <f>J30/J$59</f>
        <v/>
      </c>
      <c r="K87" s="14">
        <f>K30/K$59</f>
        <v/>
      </c>
      <c r="M87" s="10" t="n">
        <v>0.5625</v>
      </c>
      <c r="N87" s="13">
        <f>N30/N$59</f>
        <v/>
      </c>
      <c r="O87" s="13">
        <f>O30/O$59</f>
        <v/>
      </c>
      <c r="P87" s="13">
        <f>P30/P$59</f>
        <v/>
      </c>
      <c r="Q87" s="13">
        <f>Q30/Q$59</f>
        <v/>
      </c>
      <c r="R87" s="13">
        <f>R30/R$59</f>
        <v/>
      </c>
      <c r="S87" s="13">
        <f>S30/S$59</f>
        <v/>
      </c>
      <c r="T87" s="13">
        <f>T30/T$59</f>
        <v/>
      </c>
      <c r="U87" s="13">
        <f>U30/U$59</f>
        <v/>
      </c>
      <c r="V87" s="14">
        <f>V30/V$59</f>
        <v/>
      </c>
      <c r="W87" s="14">
        <f>W30/W$59</f>
        <v/>
      </c>
    </row>
    <row r="88">
      <c r="A88" s="10" t="n">
        <v>0.5833333333333334</v>
      </c>
      <c r="B88" s="14">
        <f>B31/B$59</f>
        <v/>
      </c>
      <c r="C88" s="14">
        <f>C31/C$59</f>
        <v/>
      </c>
      <c r="D88" s="14">
        <f>D31/D$59</f>
        <v/>
      </c>
      <c r="E88" s="14">
        <f>E31/E$59</f>
        <v/>
      </c>
      <c r="F88" s="14">
        <f>F31/F$59</f>
        <v/>
      </c>
      <c r="G88" s="14">
        <f>G31/G$59</f>
        <v/>
      </c>
      <c r="H88" s="14">
        <f>H31/H$59</f>
        <v/>
      </c>
      <c r="I88" s="14">
        <f>I31/I$59</f>
        <v/>
      </c>
      <c r="J88" s="14">
        <f>J31/J$59</f>
        <v/>
      </c>
      <c r="K88" s="14">
        <f>K31/K$59</f>
        <v/>
      </c>
      <c r="M88" s="10" t="n">
        <v>0.5833333333333334</v>
      </c>
      <c r="N88" s="13">
        <f>N31/N$59</f>
        <v/>
      </c>
      <c r="O88" s="13">
        <f>O31/O$59</f>
        <v/>
      </c>
      <c r="P88" s="13">
        <f>P31/P$59</f>
        <v/>
      </c>
      <c r="Q88" s="13">
        <f>Q31/Q$59</f>
        <v/>
      </c>
      <c r="R88" s="13">
        <f>R31/R$59</f>
        <v/>
      </c>
      <c r="S88" s="13">
        <f>S31/S$59</f>
        <v/>
      </c>
      <c r="T88" s="13">
        <f>T31/T$59</f>
        <v/>
      </c>
      <c r="U88" s="13">
        <f>U31/U$59</f>
        <v/>
      </c>
      <c r="V88" s="14">
        <f>V31/V$59</f>
        <v/>
      </c>
      <c r="W88" s="14">
        <f>W31/W$59</f>
        <v/>
      </c>
    </row>
    <row r="89">
      <c r="A89" s="10" t="n">
        <v>0.6041666666666666</v>
      </c>
      <c r="B89" s="14">
        <f>B32/B$59</f>
        <v/>
      </c>
      <c r="C89" s="14">
        <f>C32/C$59</f>
        <v/>
      </c>
      <c r="D89" s="14">
        <f>D32/D$59</f>
        <v/>
      </c>
      <c r="E89" s="14">
        <f>E32/E$59</f>
        <v/>
      </c>
      <c r="F89" s="14">
        <f>F32/F$59</f>
        <v/>
      </c>
      <c r="G89" s="14">
        <f>G32/G$59</f>
        <v/>
      </c>
      <c r="H89" s="14">
        <f>H32/H$59</f>
        <v/>
      </c>
      <c r="I89" s="14">
        <f>I32/I$59</f>
        <v/>
      </c>
      <c r="J89" s="14">
        <f>J32/J$59</f>
        <v/>
      </c>
      <c r="K89" s="14">
        <f>K32/K$59</f>
        <v/>
      </c>
      <c r="M89" s="10" t="n">
        <v>0.6041666666666666</v>
      </c>
      <c r="N89" s="13">
        <f>N32/N$59</f>
        <v/>
      </c>
      <c r="O89" s="13">
        <f>O32/O$59</f>
        <v/>
      </c>
      <c r="P89" s="13">
        <f>P32/P$59</f>
        <v/>
      </c>
      <c r="Q89" s="13">
        <f>Q32/Q$59</f>
        <v/>
      </c>
      <c r="R89" s="13">
        <f>R32/R$59</f>
        <v/>
      </c>
      <c r="S89" s="13">
        <f>S32/S$59</f>
        <v/>
      </c>
      <c r="T89" s="13">
        <f>T32/T$59</f>
        <v/>
      </c>
      <c r="U89" s="13">
        <f>U32/U$59</f>
        <v/>
      </c>
      <c r="V89" s="14">
        <f>V32/V$59</f>
        <v/>
      </c>
      <c r="W89" s="14">
        <f>W32/W$59</f>
        <v/>
      </c>
    </row>
    <row r="90">
      <c r="A90" s="10" t="n">
        <v>0.625</v>
      </c>
      <c r="B90" s="14">
        <f>B33/B$59</f>
        <v/>
      </c>
      <c r="C90" s="14">
        <f>C33/C$59</f>
        <v/>
      </c>
      <c r="D90" s="14">
        <f>D33/D$59</f>
        <v/>
      </c>
      <c r="E90" s="14">
        <f>E33/E$59</f>
        <v/>
      </c>
      <c r="F90" s="14">
        <f>F33/F$59</f>
        <v/>
      </c>
      <c r="G90" s="14">
        <f>G33/G$59</f>
        <v/>
      </c>
      <c r="H90" s="14">
        <f>H33/H$59</f>
        <v/>
      </c>
      <c r="I90" s="14">
        <f>I33/I$59</f>
        <v/>
      </c>
      <c r="J90" s="14">
        <f>J33/J$59</f>
        <v/>
      </c>
      <c r="K90" s="14">
        <f>K33/K$59</f>
        <v/>
      </c>
      <c r="M90" s="10" t="n">
        <v>0.625</v>
      </c>
      <c r="N90" s="13">
        <f>N33/N$59</f>
        <v/>
      </c>
      <c r="O90" s="13">
        <f>O33/O$59</f>
        <v/>
      </c>
      <c r="P90" s="13">
        <f>P33/P$59</f>
        <v/>
      </c>
      <c r="Q90" s="13">
        <f>Q33/Q$59</f>
        <v/>
      </c>
      <c r="R90" s="13">
        <f>R33/R$59</f>
        <v/>
      </c>
      <c r="S90" s="13">
        <f>S33/S$59</f>
        <v/>
      </c>
      <c r="T90" s="13">
        <f>T33/T$59</f>
        <v/>
      </c>
      <c r="U90" s="13">
        <f>U33/U$59</f>
        <v/>
      </c>
      <c r="V90" s="14">
        <f>V33/V$59</f>
        <v/>
      </c>
      <c r="W90" s="14">
        <f>W33/W$59</f>
        <v/>
      </c>
    </row>
    <row r="91">
      <c r="A91" s="10" t="n">
        <v>0.6458333333333334</v>
      </c>
      <c r="B91" s="14">
        <f>B34/B$59</f>
        <v/>
      </c>
      <c r="C91" s="14">
        <f>C34/C$59</f>
        <v/>
      </c>
      <c r="D91" s="14">
        <f>D34/D$59</f>
        <v/>
      </c>
      <c r="E91" s="14">
        <f>E34/E$59</f>
        <v/>
      </c>
      <c r="F91" s="14">
        <f>F34/F$59</f>
        <v/>
      </c>
      <c r="G91" s="14">
        <f>G34/G$59</f>
        <v/>
      </c>
      <c r="H91" s="14">
        <f>H34/H$59</f>
        <v/>
      </c>
      <c r="I91" s="14">
        <f>I34/I$59</f>
        <v/>
      </c>
      <c r="J91" s="14">
        <f>J34/J$59</f>
        <v/>
      </c>
      <c r="K91" s="14">
        <f>K34/K$59</f>
        <v/>
      </c>
      <c r="M91" s="10" t="n">
        <v>0.6458333333333334</v>
      </c>
      <c r="N91" s="13">
        <f>N34/N$59</f>
        <v/>
      </c>
      <c r="O91" s="13">
        <f>O34/O$59</f>
        <v/>
      </c>
      <c r="P91" s="13">
        <f>P34/P$59</f>
        <v/>
      </c>
      <c r="Q91" s="13">
        <f>Q34/Q$59</f>
        <v/>
      </c>
      <c r="R91" s="13">
        <f>R34/R$59</f>
        <v/>
      </c>
      <c r="S91" s="13">
        <f>S34/S$59</f>
        <v/>
      </c>
      <c r="T91" s="13">
        <f>T34/T$59</f>
        <v/>
      </c>
      <c r="U91" s="13">
        <f>U34/U$59</f>
        <v/>
      </c>
      <c r="V91" s="14">
        <f>V34/V$59</f>
        <v/>
      </c>
      <c r="W91" s="14">
        <f>W34/W$59</f>
        <v/>
      </c>
    </row>
    <row r="92">
      <c r="A92" s="10" t="n">
        <v>0.6666666666666666</v>
      </c>
      <c r="B92" s="14">
        <f>B35/B$59</f>
        <v/>
      </c>
      <c r="C92" s="14">
        <f>C35/C$59</f>
        <v/>
      </c>
      <c r="D92" s="14">
        <f>D35/D$59</f>
        <v/>
      </c>
      <c r="E92" s="14">
        <f>E35/E$59</f>
        <v/>
      </c>
      <c r="F92" s="14">
        <f>F35/F$59</f>
        <v/>
      </c>
      <c r="G92" s="14">
        <f>G35/G$59</f>
        <v/>
      </c>
      <c r="H92" s="14">
        <f>H35/H$59</f>
        <v/>
      </c>
      <c r="I92" s="14">
        <f>I35/I$59</f>
        <v/>
      </c>
      <c r="J92" s="14">
        <f>J35/J$59</f>
        <v/>
      </c>
      <c r="K92" s="14">
        <f>K35/K$59</f>
        <v/>
      </c>
      <c r="M92" s="10" t="n">
        <v>0.6666666666666666</v>
      </c>
      <c r="N92" s="13">
        <f>N35/N$59</f>
        <v/>
      </c>
      <c r="O92" s="13">
        <f>O35/O$59</f>
        <v/>
      </c>
      <c r="P92" s="13">
        <f>P35/P$59</f>
        <v/>
      </c>
      <c r="Q92" s="13">
        <f>Q35/Q$59</f>
        <v/>
      </c>
      <c r="R92" s="13">
        <f>R35/R$59</f>
        <v/>
      </c>
      <c r="S92" s="13">
        <f>S35/S$59</f>
        <v/>
      </c>
      <c r="T92" s="13">
        <f>T35/T$59</f>
        <v/>
      </c>
      <c r="U92" s="13">
        <f>U35/U$59</f>
        <v/>
      </c>
      <c r="V92" s="14">
        <f>V35/V$59</f>
        <v/>
      </c>
      <c r="W92" s="14">
        <f>W35/W$59</f>
        <v/>
      </c>
    </row>
    <row r="93">
      <c r="A93" s="10" t="n">
        <v>0.6875</v>
      </c>
      <c r="B93" s="14">
        <f>B36/B$59</f>
        <v/>
      </c>
      <c r="C93" s="14">
        <f>C36/C$59</f>
        <v/>
      </c>
      <c r="D93" s="14">
        <f>D36/D$59</f>
        <v/>
      </c>
      <c r="E93" s="14">
        <f>E36/E$59</f>
        <v/>
      </c>
      <c r="F93" s="14">
        <f>F36/F$59</f>
        <v/>
      </c>
      <c r="G93" s="14">
        <f>G36/G$59</f>
        <v/>
      </c>
      <c r="H93" s="14">
        <f>H36/H$59</f>
        <v/>
      </c>
      <c r="I93" s="14">
        <f>I36/I$59</f>
        <v/>
      </c>
      <c r="J93" s="14">
        <f>J36/J$59</f>
        <v/>
      </c>
      <c r="K93" s="14">
        <f>K36/K$59</f>
        <v/>
      </c>
      <c r="M93" s="10" t="n">
        <v>0.6875</v>
      </c>
      <c r="N93" s="13">
        <f>N36/N$59</f>
        <v/>
      </c>
      <c r="O93" s="13">
        <f>O36/O$59</f>
        <v/>
      </c>
      <c r="P93" s="13">
        <f>P36/P$59</f>
        <v/>
      </c>
      <c r="Q93" s="13">
        <f>Q36/Q$59</f>
        <v/>
      </c>
      <c r="R93" s="13">
        <f>R36/R$59</f>
        <v/>
      </c>
      <c r="S93" s="13">
        <f>S36/S$59</f>
        <v/>
      </c>
      <c r="T93" s="13">
        <f>T36/T$59</f>
        <v/>
      </c>
      <c r="U93" s="13">
        <f>U36/U$59</f>
        <v/>
      </c>
      <c r="V93" s="14">
        <f>V36/V$59</f>
        <v/>
      </c>
      <c r="W93" s="14">
        <f>W36/W$59</f>
        <v/>
      </c>
    </row>
    <row r="94">
      <c r="A94" s="10" t="n">
        <v>0.7083333333333334</v>
      </c>
      <c r="B94" s="14">
        <f>B37/B$59</f>
        <v/>
      </c>
      <c r="C94" s="14">
        <f>C37/C$59</f>
        <v/>
      </c>
      <c r="D94" s="14">
        <f>D37/D$59</f>
        <v/>
      </c>
      <c r="E94" s="14">
        <f>E37/E$59</f>
        <v/>
      </c>
      <c r="F94" s="14">
        <f>F37/F$59</f>
        <v/>
      </c>
      <c r="G94" s="14">
        <f>G37/G$59</f>
        <v/>
      </c>
      <c r="H94" s="14">
        <f>H37/H$59</f>
        <v/>
      </c>
      <c r="I94" s="14">
        <f>I37/I$59</f>
        <v/>
      </c>
      <c r="J94" s="14">
        <f>J37/J$59</f>
        <v/>
      </c>
      <c r="K94" s="14">
        <f>K37/K$59</f>
        <v/>
      </c>
      <c r="M94" s="10" t="n">
        <v>0.7083333333333334</v>
      </c>
      <c r="N94" s="13">
        <f>N37/N$59</f>
        <v/>
      </c>
      <c r="O94" s="13">
        <f>O37/O$59</f>
        <v/>
      </c>
      <c r="P94" s="13">
        <f>P37/P$59</f>
        <v/>
      </c>
      <c r="Q94" s="13">
        <f>Q37/Q$59</f>
        <v/>
      </c>
      <c r="R94" s="13">
        <f>R37/R$59</f>
        <v/>
      </c>
      <c r="S94" s="13">
        <f>S37/S$59</f>
        <v/>
      </c>
      <c r="T94" s="13">
        <f>T37/T$59</f>
        <v/>
      </c>
      <c r="U94" s="13">
        <f>U37/U$59</f>
        <v/>
      </c>
      <c r="V94" s="14">
        <f>V37/V$59</f>
        <v/>
      </c>
      <c r="W94" s="14">
        <f>W37/W$59</f>
        <v/>
      </c>
    </row>
    <row r="95">
      <c r="A95" s="10" t="n">
        <v>0.7291666666666666</v>
      </c>
      <c r="B95" s="14">
        <f>B38/B$59</f>
        <v/>
      </c>
      <c r="C95" s="14">
        <f>C38/C$59</f>
        <v/>
      </c>
      <c r="D95" s="14">
        <f>D38/D$59</f>
        <v/>
      </c>
      <c r="E95" s="14">
        <f>E38/E$59</f>
        <v/>
      </c>
      <c r="F95" s="14">
        <f>F38/F$59</f>
        <v/>
      </c>
      <c r="G95" s="14">
        <f>G38/G$59</f>
        <v/>
      </c>
      <c r="H95" s="14">
        <f>H38/H$59</f>
        <v/>
      </c>
      <c r="I95" s="14">
        <f>I38/I$59</f>
        <v/>
      </c>
      <c r="J95" s="14">
        <f>J38/J$59</f>
        <v/>
      </c>
      <c r="K95" s="14">
        <f>K38/K$59</f>
        <v/>
      </c>
      <c r="M95" s="10" t="n">
        <v>0.7291666666666666</v>
      </c>
      <c r="N95" s="13">
        <f>N38/N$59</f>
        <v/>
      </c>
      <c r="O95" s="13">
        <f>O38/O$59</f>
        <v/>
      </c>
      <c r="P95" s="13">
        <f>P38/P$59</f>
        <v/>
      </c>
      <c r="Q95" s="13">
        <f>Q38/Q$59</f>
        <v/>
      </c>
      <c r="R95" s="13">
        <f>R38/R$59</f>
        <v/>
      </c>
      <c r="S95" s="13">
        <f>S38/S$59</f>
        <v/>
      </c>
      <c r="T95" s="13">
        <f>T38/T$59</f>
        <v/>
      </c>
      <c r="U95" s="13">
        <f>U38/U$59</f>
        <v/>
      </c>
      <c r="V95" s="14">
        <f>V38/V$59</f>
        <v/>
      </c>
      <c r="W95" s="14">
        <f>W38/W$59</f>
        <v/>
      </c>
    </row>
    <row r="96">
      <c r="A96" s="10" t="n">
        <v>0.75</v>
      </c>
      <c r="B96" s="14">
        <f>B39/B$59</f>
        <v/>
      </c>
      <c r="C96" s="14">
        <f>C39/C$59</f>
        <v/>
      </c>
      <c r="D96" s="14">
        <f>D39/D$59</f>
        <v/>
      </c>
      <c r="E96" s="14">
        <f>E39/E$59</f>
        <v/>
      </c>
      <c r="F96" s="14">
        <f>F39/F$59</f>
        <v/>
      </c>
      <c r="G96" s="14">
        <f>G39/G$59</f>
        <v/>
      </c>
      <c r="H96" s="14">
        <f>H39/H$59</f>
        <v/>
      </c>
      <c r="I96" s="14">
        <f>I39/I$59</f>
        <v/>
      </c>
      <c r="J96" s="14">
        <f>J39/J$59</f>
        <v/>
      </c>
      <c r="K96" s="14">
        <f>K39/K$59</f>
        <v/>
      </c>
      <c r="M96" s="10" t="n">
        <v>0.75</v>
      </c>
      <c r="N96" s="13">
        <f>N39/N$59</f>
        <v/>
      </c>
      <c r="O96" s="13">
        <f>O39/O$59</f>
        <v/>
      </c>
      <c r="P96" s="13">
        <f>P39/P$59</f>
        <v/>
      </c>
      <c r="Q96" s="13">
        <f>Q39/Q$59</f>
        <v/>
      </c>
      <c r="R96" s="13">
        <f>R39/R$59</f>
        <v/>
      </c>
      <c r="S96" s="13">
        <f>S39/S$59</f>
        <v/>
      </c>
      <c r="T96" s="13">
        <f>T39/T$59</f>
        <v/>
      </c>
      <c r="U96" s="13">
        <f>U39/U$59</f>
        <v/>
      </c>
      <c r="V96" s="14">
        <f>V39/V$59</f>
        <v/>
      </c>
      <c r="W96" s="14">
        <f>W39/W$59</f>
        <v/>
      </c>
    </row>
    <row r="97">
      <c r="A97" s="10" t="n">
        <v>0.7708333333333334</v>
      </c>
      <c r="B97" s="14">
        <f>B40/B$59</f>
        <v/>
      </c>
      <c r="C97" s="14">
        <f>C40/C$59</f>
        <v/>
      </c>
      <c r="D97" s="14">
        <f>D40/D$59</f>
        <v/>
      </c>
      <c r="E97" s="14">
        <f>E40/E$59</f>
        <v/>
      </c>
      <c r="F97" s="14">
        <f>F40/F$59</f>
        <v/>
      </c>
      <c r="G97" s="14">
        <f>G40/G$59</f>
        <v/>
      </c>
      <c r="H97" s="14">
        <f>H40/H$59</f>
        <v/>
      </c>
      <c r="I97" s="14">
        <f>I40/I$59</f>
        <v/>
      </c>
      <c r="J97" s="14">
        <f>J40/J$59</f>
        <v/>
      </c>
      <c r="K97" s="14">
        <f>K40/K$59</f>
        <v/>
      </c>
      <c r="M97" s="10" t="n">
        <v>0.7708333333333334</v>
      </c>
      <c r="N97" s="13">
        <f>N40/N$59</f>
        <v/>
      </c>
      <c r="O97" s="13">
        <f>O40/O$59</f>
        <v/>
      </c>
      <c r="P97" s="13">
        <f>P40/P$59</f>
        <v/>
      </c>
      <c r="Q97" s="13">
        <f>Q40/Q$59</f>
        <v/>
      </c>
      <c r="R97" s="13">
        <f>R40/R$59</f>
        <v/>
      </c>
      <c r="S97" s="13">
        <f>S40/S$59</f>
        <v/>
      </c>
      <c r="T97" s="13">
        <f>T40/T$59</f>
        <v/>
      </c>
      <c r="U97" s="13">
        <f>U40/U$59</f>
        <v/>
      </c>
      <c r="V97" s="14">
        <f>V40/V$59</f>
        <v/>
      </c>
      <c r="W97" s="14">
        <f>W40/W$59</f>
        <v/>
      </c>
    </row>
    <row r="98">
      <c r="A98" s="10" t="n">
        <v>0.7916666666666666</v>
      </c>
      <c r="B98" s="14">
        <f>B41/B$59</f>
        <v/>
      </c>
      <c r="C98" s="14">
        <f>C41/C$59</f>
        <v/>
      </c>
      <c r="D98" s="14">
        <f>D41/D$59</f>
        <v/>
      </c>
      <c r="E98" s="14">
        <f>E41/E$59</f>
        <v/>
      </c>
      <c r="F98" s="14">
        <f>F41/F$59</f>
        <v/>
      </c>
      <c r="G98" s="14">
        <f>G41/G$59</f>
        <v/>
      </c>
      <c r="H98" s="14">
        <f>H41/H$59</f>
        <v/>
      </c>
      <c r="I98" s="14">
        <f>I41/I$59</f>
        <v/>
      </c>
      <c r="J98" s="14">
        <f>J41/J$59</f>
        <v/>
      </c>
      <c r="K98" s="14">
        <f>K41/K$59</f>
        <v/>
      </c>
      <c r="M98" s="10" t="n">
        <v>0.7916666666666666</v>
      </c>
      <c r="N98" s="13">
        <f>N41/N$59</f>
        <v/>
      </c>
      <c r="O98" s="13">
        <f>O41/O$59</f>
        <v/>
      </c>
      <c r="P98" s="13">
        <f>P41/P$59</f>
        <v/>
      </c>
      <c r="Q98" s="13">
        <f>Q41/Q$59</f>
        <v/>
      </c>
      <c r="R98" s="13">
        <f>R41/R$59</f>
        <v/>
      </c>
      <c r="S98" s="13">
        <f>S41/S$59</f>
        <v/>
      </c>
      <c r="T98" s="13">
        <f>T41/T$59</f>
        <v/>
      </c>
      <c r="U98" s="13">
        <f>U41/U$59</f>
        <v/>
      </c>
      <c r="V98" s="14">
        <f>V41/V$59</f>
        <v/>
      </c>
      <c r="W98" s="14">
        <f>W41/W$59</f>
        <v/>
      </c>
    </row>
    <row r="99">
      <c r="A99" s="10" t="n">
        <v>0.8125</v>
      </c>
      <c r="B99" s="14">
        <f>B42/B$59</f>
        <v/>
      </c>
      <c r="C99" s="14">
        <f>C42/C$59</f>
        <v/>
      </c>
      <c r="D99" s="14">
        <f>D42/D$59</f>
        <v/>
      </c>
      <c r="E99" s="14">
        <f>E42/E$59</f>
        <v/>
      </c>
      <c r="F99" s="14">
        <f>F42/F$59</f>
        <v/>
      </c>
      <c r="G99" s="14">
        <f>G42/G$59</f>
        <v/>
      </c>
      <c r="H99" s="14">
        <f>H42/H$59</f>
        <v/>
      </c>
      <c r="I99" s="14">
        <f>I42/I$59</f>
        <v/>
      </c>
      <c r="J99" s="14">
        <f>J42/J$59</f>
        <v/>
      </c>
      <c r="K99" s="14">
        <f>K42/K$59</f>
        <v/>
      </c>
      <c r="M99" s="10" t="n">
        <v>0.8125</v>
      </c>
      <c r="N99" s="13">
        <f>N42/N$59</f>
        <v/>
      </c>
      <c r="O99" s="13">
        <f>O42/O$59</f>
        <v/>
      </c>
      <c r="P99" s="13">
        <f>P42/P$59</f>
        <v/>
      </c>
      <c r="Q99" s="13">
        <f>Q42/Q$59</f>
        <v/>
      </c>
      <c r="R99" s="13">
        <f>R42/R$59</f>
        <v/>
      </c>
      <c r="S99" s="13">
        <f>S42/S$59</f>
        <v/>
      </c>
      <c r="T99" s="13">
        <f>T42/T$59</f>
        <v/>
      </c>
      <c r="U99" s="13">
        <f>U42/U$59</f>
        <v/>
      </c>
      <c r="V99" s="14">
        <f>V42/V$59</f>
        <v/>
      </c>
      <c r="W99" s="14">
        <f>W42/W$59</f>
        <v/>
      </c>
    </row>
    <row r="100">
      <c r="A100" s="10" t="n">
        <v>0.8333333333333334</v>
      </c>
      <c r="B100" s="14">
        <f>B43/B$59</f>
        <v/>
      </c>
      <c r="C100" s="14">
        <f>C43/C$59</f>
        <v/>
      </c>
      <c r="D100" s="14">
        <f>D43/D$59</f>
        <v/>
      </c>
      <c r="E100" s="14">
        <f>E43/E$59</f>
        <v/>
      </c>
      <c r="F100" s="14">
        <f>F43/F$59</f>
        <v/>
      </c>
      <c r="G100" s="14">
        <f>G43/G$59</f>
        <v/>
      </c>
      <c r="H100" s="14">
        <f>H43/H$59</f>
        <v/>
      </c>
      <c r="I100" s="14">
        <f>I43/I$59</f>
        <v/>
      </c>
      <c r="J100" s="14">
        <f>J43/J$59</f>
        <v/>
      </c>
      <c r="K100" s="14">
        <f>K43/K$59</f>
        <v/>
      </c>
      <c r="M100" s="10" t="n">
        <v>0.8333333333333334</v>
      </c>
      <c r="N100" s="13">
        <f>N43/N$59</f>
        <v/>
      </c>
      <c r="O100" s="13">
        <f>O43/O$59</f>
        <v/>
      </c>
      <c r="P100" s="13">
        <f>P43/P$59</f>
        <v/>
      </c>
      <c r="Q100" s="13">
        <f>Q43/Q$59</f>
        <v/>
      </c>
      <c r="R100" s="13">
        <f>R43/R$59</f>
        <v/>
      </c>
      <c r="S100" s="13">
        <f>S43/S$59</f>
        <v/>
      </c>
      <c r="T100" s="13">
        <f>T43/T$59</f>
        <v/>
      </c>
      <c r="U100" s="13">
        <f>U43/U$59</f>
        <v/>
      </c>
      <c r="V100" s="14">
        <f>V43/V$59</f>
        <v/>
      </c>
      <c r="W100" s="14">
        <f>W43/W$59</f>
        <v/>
      </c>
    </row>
    <row r="101">
      <c r="A101" s="10" t="n">
        <v>0.8541666666666666</v>
      </c>
      <c r="B101" s="14">
        <f>B44/B$59</f>
        <v/>
      </c>
      <c r="C101" s="14">
        <f>C44/C$59</f>
        <v/>
      </c>
      <c r="D101" s="14">
        <f>D44/D$59</f>
        <v/>
      </c>
      <c r="E101" s="14">
        <f>E44/E$59</f>
        <v/>
      </c>
      <c r="F101" s="14">
        <f>F44/F$59</f>
        <v/>
      </c>
      <c r="G101" s="14">
        <f>G44/G$59</f>
        <v/>
      </c>
      <c r="H101" s="14">
        <f>H44/H$59</f>
        <v/>
      </c>
      <c r="I101" s="14">
        <f>I44/I$59</f>
        <v/>
      </c>
      <c r="J101" s="14">
        <f>J44/J$59</f>
        <v/>
      </c>
      <c r="K101" s="14">
        <f>K44/K$59</f>
        <v/>
      </c>
      <c r="M101" s="10" t="n">
        <v>0.8541666666666666</v>
      </c>
      <c r="N101" s="13">
        <f>N44/N$59</f>
        <v/>
      </c>
      <c r="O101" s="13">
        <f>O44/O$59</f>
        <v/>
      </c>
      <c r="P101" s="13">
        <f>P44/P$59</f>
        <v/>
      </c>
      <c r="Q101" s="13">
        <f>Q44/Q$59</f>
        <v/>
      </c>
      <c r="R101" s="13">
        <f>R44/R$59</f>
        <v/>
      </c>
      <c r="S101" s="13">
        <f>S44/S$59</f>
        <v/>
      </c>
      <c r="T101" s="13">
        <f>T44/T$59</f>
        <v/>
      </c>
      <c r="U101" s="13">
        <f>U44/U$59</f>
        <v/>
      </c>
      <c r="V101" s="14">
        <f>V44/V$59</f>
        <v/>
      </c>
      <c r="W101" s="14">
        <f>W44/W$59</f>
        <v/>
      </c>
    </row>
    <row r="102">
      <c r="A102" s="10" t="n">
        <v>0.875</v>
      </c>
      <c r="B102" s="14">
        <f>B45/B$59</f>
        <v/>
      </c>
      <c r="C102" s="14">
        <f>C45/C$59</f>
        <v/>
      </c>
      <c r="D102" s="14">
        <f>D45/D$59</f>
        <v/>
      </c>
      <c r="E102" s="14">
        <f>E45/E$59</f>
        <v/>
      </c>
      <c r="F102" s="14">
        <f>F45/F$59</f>
        <v/>
      </c>
      <c r="G102" s="14">
        <f>G45/G$59</f>
        <v/>
      </c>
      <c r="H102" s="14">
        <f>H45/H$59</f>
        <v/>
      </c>
      <c r="I102" s="14">
        <f>I45/I$59</f>
        <v/>
      </c>
      <c r="J102" s="14">
        <f>J45/J$59</f>
        <v/>
      </c>
      <c r="K102" s="14">
        <f>K45/K$59</f>
        <v/>
      </c>
      <c r="M102" s="10" t="n">
        <v>0.875</v>
      </c>
      <c r="N102" s="13">
        <f>N45/N$59</f>
        <v/>
      </c>
      <c r="O102" s="13">
        <f>O45/O$59</f>
        <v/>
      </c>
      <c r="P102" s="13">
        <f>P45/P$59</f>
        <v/>
      </c>
      <c r="Q102" s="13">
        <f>Q45/Q$59</f>
        <v/>
      </c>
      <c r="R102" s="13">
        <f>R45/R$59</f>
        <v/>
      </c>
      <c r="S102" s="13">
        <f>S45/S$59</f>
        <v/>
      </c>
      <c r="T102" s="13">
        <f>T45/T$59</f>
        <v/>
      </c>
      <c r="U102" s="13">
        <f>U45/U$59</f>
        <v/>
      </c>
      <c r="V102" s="14">
        <f>V45/V$59</f>
        <v/>
      </c>
      <c r="W102" s="14">
        <f>W45/W$59</f>
        <v/>
      </c>
    </row>
    <row r="103">
      <c r="A103" s="10" t="n">
        <v>0.8958333333333334</v>
      </c>
      <c r="B103" s="14">
        <f>B46/B$59</f>
        <v/>
      </c>
      <c r="C103" s="14">
        <f>C46/C$59</f>
        <v/>
      </c>
      <c r="D103" s="14">
        <f>D46/D$59</f>
        <v/>
      </c>
      <c r="E103" s="14">
        <f>E46/E$59</f>
        <v/>
      </c>
      <c r="F103" s="14">
        <f>F46/F$59</f>
        <v/>
      </c>
      <c r="G103" s="14">
        <f>G46/G$59</f>
        <v/>
      </c>
      <c r="H103" s="14">
        <f>H46/H$59</f>
        <v/>
      </c>
      <c r="I103" s="14">
        <f>I46/I$59</f>
        <v/>
      </c>
      <c r="J103" s="14">
        <f>J46/J$59</f>
        <v/>
      </c>
      <c r="K103" s="14">
        <f>K46/K$59</f>
        <v/>
      </c>
      <c r="M103" s="10" t="n">
        <v>0.8958333333333334</v>
      </c>
      <c r="N103" s="13">
        <f>N46/N$59</f>
        <v/>
      </c>
      <c r="O103" s="13">
        <f>O46/O$59</f>
        <v/>
      </c>
      <c r="P103" s="13">
        <f>P46/P$59</f>
        <v/>
      </c>
      <c r="Q103" s="13">
        <f>Q46/Q$59</f>
        <v/>
      </c>
      <c r="R103" s="13">
        <f>R46/R$59</f>
        <v/>
      </c>
      <c r="S103" s="13">
        <f>S46/S$59</f>
        <v/>
      </c>
      <c r="T103" s="13">
        <f>T46/T$59</f>
        <v/>
      </c>
      <c r="U103" s="13">
        <f>U46/U$59</f>
        <v/>
      </c>
      <c r="V103" s="14">
        <f>V46/V$59</f>
        <v/>
      </c>
      <c r="W103" s="14">
        <f>W46/W$59</f>
        <v/>
      </c>
    </row>
    <row r="104">
      <c r="A104" s="10" t="n">
        <v>0.9166666666666666</v>
      </c>
      <c r="B104" s="14">
        <f>B47/B$59</f>
        <v/>
      </c>
      <c r="C104" s="14">
        <f>C47/C$59</f>
        <v/>
      </c>
      <c r="D104" s="14">
        <f>D47/D$59</f>
        <v/>
      </c>
      <c r="E104" s="14">
        <f>E47/E$59</f>
        <v/>
      </c>
      <c r="F104" s="14">
        <f>F47/F$59</f>
        <v/>
      </c>
      <c r="G104" s="14">
        <f>G47/G$59</f>
        <v/>
      </c>
      <c r="H104" s="14">
        <f>H47/H$59</f>
        <v/>
      </c>
      <c r="I104" s="14">
        <f>I47/I$59</f>
        <v/>
      </c>
      <c r="J104" s="14">
        <f>J47/J$59</f>
        <v/>
      </c>
      <c r="K104" s="14">
        <f>K47/K$59</f>
        <v/>
      </c>
      <c r="M104" s="10" t="n">
        <v>0.9166666666666666</v>
      </c>
      <c r="N104" s="13">
        <f>N47/N$59</f>
        <v/>
      </c>
      <c r="O104" s="13">
        <f>O47/O$59</f>
        <v/>
      </c>
      <c r="P104" s="13">
        <f>P47/P$59</f>
        <v/>
      </c>
      <c r="Q104" s="13">
        <f>Q47/Q$59</f>
        <v/>
      </c>
      <c r="R104" s="13">
        <f>R47/R$59</f>
        <v/>
      </c>
      <c r="S104" s="13">
        <f>S47/S$59</f>
        <v/>
      </c>
      <c r="T104" s="13">
        <f>T47/T$59</f>
        <v/>
      </c>
      <c r="U104" s="13">
        <f>U47/U$59</f>
        <v/>
      </c>
      <c r="V104" s="14">
        <f>V47/V$59</f>
        <v/>
      </c>
      <c r="W104" s="14">
        <f>W47/W$59</f>
        <v/>
      </c>
    </row>
    <row r="105">
      <c r="A105" s="10" t="n">
        <v>0.9375</v>
      </c>
      <c r="B105" s="14">
        <f>B48/B$59</f>
        <v/>
      </c>
      <c r="C105" s="14">
        <f>C48/C$59</f>
        <v/>
      </c>
      <c r="D105" s="14">
        <f>D48/D$59</f>
        <v/>
      </c>
      <c r="E105" s="14">
        <f>E48/E$59</f>
        <v/>
      </c>
      <c r="F105" s="14">
        <f>F48/F$59</f>
        <v/>
      </c>
      <c r="G105" s="14">
        <f>G48/G$59</f>
        <v/>
      </c>
      <c r="H105" s="14">
        <f>H48/H$59</f>
        <v/>
      </c>
      <c r="I105" s="14">
        <f>I48/I$59</f>
        <v/>
      </c>
      <c r="J105" s="14">
        <f>J48/J$59</f>
        <v/>
      </c>
      <c r="K105" s="14">
        <f>K48/K$59</f>
        <v/>
      </c>
      <c r="M105" s="10" t="n">
        <v>0.9375</v>
      </c>
      <c r="N105" s="13">
        <f>N48/N$59</f>
        <v/>
      </c>
      <c r="O105" s="13">
        <f>O48/O$59</f>
        <v/>
      </c>
      <c r="P105" s="13">
        <f>P48/P$59</f>
        <v/>
      </c>
      <c r="Q105" s="13">
        <f>Q48/Q$59</f>
        <v/>
      </c>
      <c r="R105" s="13">
        <f>R48/R$59</f>
        <v/>
      </c>
      <c r="S105" s="13">
        <f>S48/S$59</f>
        <v/>
      </c>
      <c r="T105" s="13">
        <f>T48/T$59</f>
        <v/>
      </c>
      <c r="U105" s="13">
        <f>U48/U$59</f>
        <v/>
      </c>
      <c r="V105" s="14">
        <f>V48/V$59</f>
        <v/>
      </c>
      <c r="W105" s="14">
        <f>W48/W$59</f>
        <v/>
      </c>
    </row>
    <row r="106">
      <c r="A106" s="10" t="n">
        <v>0.9583333333333334</v>
      </c>
      <c r="B106" s="14">
        <f>B49/B$59</f>
        <v/>
      </c>
      <c r="C106" s="14">
        <f>C49/C$59</f>
        <v/>
      </c>
      <c r="D106" s="14">
        <f>D49/D$59</f>
        <v/>
      </c>
      <c r="E106" s="14">
        <f>E49/E$59</f>
        <v/>
      </c>
      <c r="F106" s="14">
        <f>F49/F$59</f>
        <v/>
      </c>
      <c r="G106" s="14">
        <f>G49/G$59</f>
        <v/>
      </c>
      <c r="H106" s="14">
        <f>H49/H$59</f>
        <v/>
      </c>
      <c r="I106" s="14">
        <f>I49/I$59</f>
        <v/>
      </c>
      <c r="J106" s="14">
        <f>J49/J$59</f>
        <v/>
      </c>
      <c r="K106" s="14">
        <f>K49/K$59</f>
        <v/>
      </c>
      <c r="M106" s="10" t="n">
        <v>0.9583333333333334</v>
      </c>
      <c r="N106" s="13">
        <f>N49/N$59</f>
        <v/>
      </c>
      <c r="O106" s="13">
        <f>O49/O$59</f>
        <v/>
      </c>
      <c r="P106" s="13">
        <f>P49/P$59</f>
        <v/>
      </c>
      <c r="Q106" s="13">
        <f>Q49/Q$59</f>
        <v/>
      </c>
      <c r="R106" s="13">
        <f>R49/R$59</f>
        <v/>
      </c>
      <c r="S106" s="13">
        <f>S49/S$59</f>
        <v/>
      </c>
      <c r="T106" s="13">
        <f>T49/T$59</f>
        <v/>
      </c>
      <c r="U106" s="13">
        <f>U49/U$59</f>
        <v/>
      </c>
      <c r="V106" s="14">
        <f>V49/V$59</f>
        <v/>
      </c>
      <c r="W106" s="14">
        <f>W49/W$59</f>
        <v/>
      </c>
    </row>
    <row r="107">
      <c r="A107" s="10" t="n">
        <v>0.9791666666666666</v>
      </c>
      <c r="B107" s="14">
        <f>B50/B$59</f>
        <v/>
      </c>
      <c r="C107" s="14">
        <f>C50/C$59</f>
        <v/>
      </c>
      <c r="D107" s="14">
        <f>D50/D$59</f>
        <v/>
      </c>
      <c r="E107" s="14">
        <f>E50/E$59</f>
        <v/>
      </c>
      <c r="F107" s="14">
        <f>F50/F$59</f>
        <v/>
      </c>
      <c r="G107" s="14">
        <f>G50/G$59</f>
        <v/>
      </c>
      <c r="H107" s="14">
        <f>H50/H$59</f>
        <v/>
      </c>
      <c r="I107" s="14">
        <f>I50/I$59</f>
        <v/>
      </c>
      <c r="J107" s="14">
        <f>J50/J$59</f>
        <v/>
      </c>
      <c r="K107" s="14">
        <f>K50/K$59</f>
        <v/>
      </c>
      <c r="M107" s="10" t="n">
        <v>0.9791666666666666</v>
      </c>
      <c r="N107" s="13">
        <f>N50/N$59</f>
        <v/>
      </c>
      <c r="O107" s="13">
        <f>O50/O$59</f>
        <v/>
      </c>
      <c r="P107" s="13">
        <f>P50/P$59</f>
        <v/>
      </c>
      <c r="Q107" s="13">
        <f>Q50/Q$59</f>
        <v/>
      </c>
      <c r="R107" s="13">
        <f>R50/R$59</f>
        <v/>
      </c>
      <c r="S107" s="13">
        <f>S50/S$59</f>
        <v/>
      </c>
      <c r="T107" s="13">
        <f>T50/T$59</f>
        <v/>
      </c>
      <c r="U107" s="13">
        <f>U50/U$59</f>
        <v/>
      </c>
      <c r="V107" s="14">
        <f>V50/V$59</f>
        <v/>
      </c>
      <c r="W107" s="14">
        <f>W50/W$59</f>
        <v/>
      </c>
    </row>
    <row r="108">
      <c r="A108" s="10" t="n">
        <v>1</v>
      </c>
      <c r="B108" s="14">
        <f>B51/B$59</f>
        <v/>
      </c>
      <c r="C108" s="14">
        <f>C51/C$59</f>
        <v/>
      </c>
      <c r="D108" s="14">
        <f>D51/D$59</f>
        <v/>
      </c>
      <c r="E108" s="14">
        <f>E51/E$59</f>
        <v/>
      </c>
      <c r="F108" s="14">
        <f>F51/F$59</f>
        <v/>
      </c>
      <c r="G108" s="14">
        <f>G51/G$59</f>
        <v/>
      </c>
      <c r="H108" s="14">
        <f>H51/H$59</f>
        <v/>
      </c>
      <c r="I108" s="14">
        <f>I51/I$59</f>
        <v/>
      </c>
      <c r="J108" s="14">
        <f>J51/J$59</f>
        <v/>
      </c>
      <c r="K108" s="14">
        <f>K51/K$59</f>
        <v/>
      </c>
      <c r="M108" s="10" t="n">
        <v>1</v>
      </c>
      <c r="N108" s="13">
        <f>N51/N$59</f>
        <v/>
      </c>
      <c r="O108" s="13">
        <f>O51/O$59</f>
        <v/>
      </c>
      <c r="P108" s="13">
        <f>P51/P$59</f>
        <v/>
      </c>
      <c r="Q108" s="13">
        <f>Q51/Q$59</f>
        <v/>
      </c>
      <c r="R108" s="13">
        <f>R51/R$59</f>
        <v/>
      </c>
      <c r="S108" s="13">
        <f>S51/S$59</f>
        <v/>
      </c>
      <c r="T108" s="13">
        <f>T51/T$59</f>
        <v/>
      </c>
      <c r="U108" s="13">
        <f>U51/U$59</f>
        <v/>
      </c>
      <c r="V108" s="14">
        <f>V51/V$59</f>
        <v/>
      </c>
      <c r="W108" s="14">
        <f>W51/W$59</f>
        <v/>
      </c>
    </row>
    <row r="109">
      <c r="A109" s="10" t="n">
        <v>1.020833333333333</v>
      </c>
      <c r="B109" s="14">
        <f>B52/B$59</f>
        <v/>
      </c>
      <c r="C109" s="14">
        <f>C52/C$59</f>
        <v/>
      </c>
      <c r="D109" s="14">
        <f>D52/D$59</f>
        <v/>
      </c>
      <c r="E109" s="14">
        <f>E52/E$59</f>
        <v/>
      </c>
      <c r="F109" s="14">
        <f>F52/F$59</f>
        <v/>
      </c>
      <c r="G109" s="14">
        <f>G52/G$59</f>
        <v/>
      </c>
      <c r="H109" s="14">
        <f>H52/H$59</f>
        <v/>
      </c>
      <c r="I109" s="14">
        <f>I52/I$59</f>
        <v/>
      </c>
      <c r="J109" s="14">
        <f>J52/J$59</f>
        <v/>
      </c>
      <c r="K109" s="14">
        <f>K52/K$59</f>
        <v/>
      </c>
      <c r="M109" s="10" t="n">
        <v>1.020833333333333</v>
      </c>
      <c r="N109" s="13">
        <f>N52/N$59</f>
        <v/>
      </c>
      <c r="O109" s="13">
        <f>O52/O$59</f>
        <v/>
      </c>
      <c r="P109" s="13">
        <f>P52/P$59</f>
        <v/>
      </c>
      <c r="Q109" s="13">
        <f>Q52/Q$59</f>
        <v/>
      </c>
      <c r="R109" s="13">
        <f>R52/R$59</f>
        <v/>
      </c>
      <c r="S109" s="13">
        <f>S52/S$59</f>
        <v/>
      </c>
      <c r="T109" s="13">
        <f>T52/T$59</f>
        <v/>
      </c>
      <c r="U109" s="13">
        <f>U52/U$59</f>
        <v/>
      </c>
      <c r="V109" s="14">
        <f>V52/V$59</f>
        <v/>
      </c>
      <c r="W109" s="14">
        <f>W52/W$59</f>
        <v/>
      </c>
    </row>
    <row r="110">
      <c r="A110" s="10" t="n">
        <v>0.04166666666666666</v>
      </c>
      <c r="B110" s="14">
        <f>B53/B$59</f>
        <v/>
      </c>
      <c r="C110" s="14">
        <f>C53/C$59</f>
        <v/>
      </c>
      <c r="D110" s="14">
        <f>D53/D$59</f>
        <v/>
      </c>
      <c r="E110" s="14">
        <f>E53/E$59</f>
        <v/>
      </c>
      <c r="F110" s="14">
        <f>F53/F$59</f>
        <v/>
      </c>
      <c r="G110" s="14">
        <f>G53/G$59</f>
        <v/>
      </c>
      <c r="H110" s="14">
        <f>H53/H$59</f>
        <v/>
      </c>
      <c r="I110" s="14">
        <f>I53/I$59</f>
        <v/>
      </c>
      <c r="J110" s="14">
        <f>J53/J$59</f>
        <v/>
      </c>
      <c r="K110" s="14">
        <f>K53/K$59</f>
        <v/>
      </c>
      <c r="M110" s="10" t="n">
        <v>0.04166666666666666</v>
      </c>
      <c r="N110" s="13">
        <f>N53/N$59</f>
        <v/>
      </c>
      <c r="O110" s="13">
        <f>O53/O$59</f>
        <v/>
      </c>
      <c r="P110" s="13">
        <f>P53/P$59</f>
        <v/>
      </c>
      <c r="Q110" s="13">
        <f>Q53/Q$59</f>
        <v/>
      </c>
      <c r="R110" s="13">
        <f>R53/R$59</f>
        <v/>
      </c>
      <c r="S110" s="13">
        <f>S53/S$59</f>
        <v/>
      </c>
      <c r="T110" s="13">
        <f>T53/T$59</f>
        <v/>
      </c>
      <c r="U110" s="13">
        <f>U53/U$59</f>
        <v/>
      </c>
      <c r="V110" s="14">
        <f>V53/V$59</f>
        <v/>
      </c>
      <c r="W110" s="14">
        <f>W53/W$59</f>
        <v/>
      </c>
    </row>
    <row r="111">
      <c r="A111" s="10" t="n">
        <v>0.0625</v>
      </c>
      <c r="B111" s="14">
        <f>B54/B$59</f>
        <v/>
      </c>
      <c r="C111" s="14">
        <f>C54/C$59</f>
        <v/>
      </c>
      <c r="D111" s="14">
        <f>D54/D$59</f>
        <v/>
      </c>
      <c r="E111" s="14">
        <f>E54/E$59</f>
        <v/>
      </c>
      <c r="F111" s="14">
        <f>F54/F$59</f>
        <v/>
      </c>
      <c r="G111" s="14">
        <f>G54/G$59</f>
        <v/>
      </c>
      <c r="H111" s="14">
        <f>H54/H$59</f>
        <v/>
      </c>
      <c r="I111" s="14">
        <f>I54/I$59</f>
        <v/>
      </c>
      <c r="J111" s="14">
        <f>J54/J$59</f>
        <v/>
      </c>
      <c r="K111" s="14">
        <f>K54/K$59</f>
        <v/>
      </c>
      <c r="M111" s="10" t="n">
        <v>0.0625</v>
      </c>
      <c r="N111" s="13">
        <f>N54/N$59</f>
        <v/>
      </c>
      <c r="O111" s="13">
        <f>O54/O$59</f>
        <v/>
      </c>
      <c r="P111" s="13">
        <f>P54/P$59</f>
        <v/>
      </c>
      <c r="Q111" s="13">
        <f>Q54/Q$59</f>
        <v/>
      </c>
      <c r="R111" s="13">
        <f>R54/R$59</f>
        <v/>
      </c>
      <c r="S111" s="13">
        <f>S54/S$59</f>
        <v/>
      </c>
      <c r="T111" s="13">
        <f>T54/T$59</f>
        <v/>
      </c>
      <c r="U111" s="13">
        <f>U54/U$59</f>
        <v/>
      </c>
      <c r="V111" s="14">
        <f>V54/V$59</f>
        <v/>
      </c>
      <c r="W111" s="14">
        <f>W54/W$59</f>
        <v/>
      </c>
    </row>
    <row r="112">
      <c r="A112" s="10" t="n">
        <v>0.08333333333333333</v>
      </c>
      <c r="B112" s="14">
        <f>B55/B$59</f>
        <v/>
      </c>
      <c r="C112" s="14">
        <f>C55/C$59</f>
        <v/>
      </c>
      <c r="D112" s="14">
        <f>D55/D$59</f>
        <v/>
      </c>
      <c r="E112" s="14">
        <f>E55/E$59</f>
        <v/>
      </c>
      <c r="F112" s="14">
        <f>F55/F$59</f>
        <v/>
      </c>
      <c r="G112" s="14">
        <f>G55/G$59</f>
        <v/>
      </c>
      <c r="H112" s="14">
        <f>H55/H$59</f>
        <v/>
      </c>
      <c r="I112" s="14">
        <f>I55/I$59</f>
        <v/>
      </c>
      <c r="J112" s="14">
        <f>J55/J$59</f>
        <v/>
      </c>
      <c r="K112" s="14">
        <f>K55/K$59</f>
        <v/>
      </c>
      <c r="M112" s="10" t="n">
        <v>0.08333333333333333</v>
      </c>
      <c r="N112" s="13">
        <f>N55/N$59</f>
        <v/>
      </c>
      <c r="O112" s="13">
        <f>O55/O$59</f>
        <v/>
      </c>
      <c r="P112" s="13">
        <f>P55/P$59</f>
        <v/>
      </c>
      <c r="Q112" s="13">
        <f>Q55/Q$59</f>
        <v/>
      </c>
      <c r="R112" s="13">
        <f>R55/R$59</f>
        <v/>
      </c>
      <c r="S112" s="13">
        <f>S55/S$59</f>
        <v/>
      </c>
      <c r="T112" s="13">
        <f>T55/T$59</f>
        <v/>
      </c>
      <c r="U112" s="13">
        <f>U55/U$59</f>
        <v/>
      </c>
      <c r="V112" s="14">
        <f>V55/V$59</f>
        <v/>
      </c>
      <c r="W112" s="14">
        <f>W55/W$59</f>
        <v/>
      </c>
    </row>
    <row r="113">
      <c r="A113" s="10" t="n">
        <v>0.1041666666666667</v>
      </c>
      <c r="B113" s="14">
        <f>B56/B$59</f>
        <v/>
      </c>
      <c r="C113" s="14">
        <f>C56/C$59</f>
        <v/>
      </c>
      <c r="D113" s="14">
        <f>D56/D$59</f>
        <v/>
      </c>
      <c r="E113" s="14">
        <f>E56/E$59</f>
        <v/>
      </c>
      <c r="F113" s="14">
        <f>F56/F$59</f>
        <v/>
      </c>
      <c r="G113" s="14">
        <f>G56/G$59</f>
        <v/>
      </c>
      <c r="H113" s="14">
        <f>H56/H$59</f>
        <v/>
      </c>
      <c r="I113" s="14">
        <f>I56/I$59</f>
        <v/>
      </c>
      <c r="J113" s="14">
        <f>J56/J$59</f>
        <v/>
      </c>
      <c r="K113" s="14">
        <f>K56/K$59</f>
        <v/>
      </c>
      <c r="M113" s="10" t="n">
        <v>0.1041666666666667</v>
      </c>
      <c r="N113" s="13">
        <f>N56/N$59</f>
        <v/>
      </c>
      <c r="O113" s="13">
        <f>O56/O$59</f>
        <v/>
      </c>
      <c r="P113" s="13">
        <f>P56/P$59</f>
        <v/>
      </c>
      <c r="Q113" s="13">
        <f>Q56/Q$59</f>
        <v/>
      </c>
      <c r="R113" s="13">
        <f>R56/R$59</f>
        <v/>
      </c>
      <c r="S113" s="13">
        <f>S56/S$59</f>
        <v/>
      </c>
      <c r="T113" s="13">
        <f>T56/T$59</f>
        <v/>
      </c>
      <c r="U113" s="13">
        <f>U56/U$59</f>
        <v/>
      </c>
      <c r="V113" s="14">
        <f>V56/V$59</f>
        <v/>
      </c>
      <c r="W113" s="14">
        <f>W56/W$59</f>
        <v/>
      </c>
    </row>
    <row r="114">
      <c r="A114" s="10" t="n">
        <v>0.125</v>
      </c>
      <c r="B114" s="14">
        <f>B57/B$59</f>
        <v/>
      </c>
      <c r="C114" s="14">
        <f>C57/C$59</f>
        <v/>
      </c>
      <c r="D114" s="14">
        <f>D57/D$59</f>
        <v/>
      </c>
      <c r="E114" s="14">
        <f>E57/E$59</f>
        <v/>
      </c>
      <c r="F114" s="14">
        <f>F57/F$59</f>
        <v/>
      </c>
      <c r="G114" s="14">
        <f>G57/G$59</f>
        <v/>
      </c>
      <c r="H114" s="14">
        <f>H57/H$59</f>
        <v/>
      </c>
      <c r="I114" s="14">
        <f>I57/I$59</f>
        <v/>
      </c>
      <c r="J114" s="14">
        <f>J57/J$59</f>
        <v/>
      </c>
      <c r="K114" s="14">
        <f>K57/K$59</f>
        <v/>
      </c>
      <c r="M114" s="10" t="n">
        <v>0.125</v>
      </c>
      <c r="N114" s="13">
        <f>N57/N$59</f>
        <v/>
      </c>
      <c r="O114" s="13">
        <f>O57/O$59</f>
        <v/>
      </c>
      <c r="P114" s="13">
        <f>P57/P$59</f>
        <v/>
      </c>
      <c r="Q114" s="13">
        <f>Q57/Q$59</f>
        <v/>
      </c>
      <c r="R114" s="13">
        <f>R57/R$59</f>
        <v/>
      </c>
      <c r="S114" s="13">
        <f>S57/S$59</f>
        <v/>
      </c>
      <c r="T114" s="13">
        <f>T57/T$59</f>
        <v/>
      </c>
      <c r="U114" s="13">
        <f>U57/U$59</f>
        <v/>
      </c>
      <c r="V114" s="14">
        <f>V57/V$59</f>
        <v/>
      </c>
      <c r="W114" s="14">
        <f>W57/W$59</f>
        <v/>
      </c>
    </row>
    <row r="115" ht="15.75" customHeight="1" s="71" thickBot="1">
      <c r="A115" s="11" t="inlineStr">
        <is>
          <t>After 27:30</t>
        </is>
      </c>
      <c r="B115" s="16">
        <f>B58/B$59</f>
        <v/>
      </c>
      <c r="C115" s="16">
        <f>C58/C$59</f>
        <v/>
      </c>
      <c r="D115" s="16">
        <f>D58/D$59</f>
        <v/>
      </c>
      <c r="E115" s="16">
        <f>E58/E$59</f>
        <v/>
      </c>
      <c r="F115" s="14">
        <f>F58/F$59</f>
        <v/>
      </c>
      <c r="G115" s="14">
        <f>G58/G$59</f>
        <v/>
      </c>
      <c r="H115" s="14">
        <f>H58/H$59</f>
        <v/>
      </c>
      <c r="I115" s="14">
        <f>I58/I$59</f>
        <v/>
      </c>
      <c r="J115" s="16">
        <f>J58/J$59</f>
        <v/>
      </c>
      <c r="K115" s="16">
        <f>K58/K$59</f>
        <v/>
      </c>
      <c r="M115" s="11" t="inlineStr">
        <is>
          <t>After 27:30</t>
        </is>
      </c>
      <c r="N115" s="15">
        <f>N58/N$59</f>
        <v/>
      </c>
      <c r="O115" s="15">
        <f>O58/O$59</f>
        <v/>
      </c>
      <c r="P115" s="15">
        <f>P58/P$59</f>
        <v/>
      </c>
      <c r="Q115" s="15">
        <f>Q58/Q$59</f>
        <v/>
      </c>
      <c r="R115" s="15">
        <f>R58/R$59</f>
        <v/>
      </c>
      <c r="S115" s="15">
        <f>S58/S$59</f>
        <v/>
      </c>
      <c r="T115" s="15">
        <f>T58/T$59</f>
        <v/>
      </c>
      <c r="U115" s="15">
        <f>U58/U$59</f>
        <v/>
      </c>
      <c r="V115" s="16">
        <f>V58/V$59</f>
        <v/>
      </c>
      <c r="W115" s="16">
        <f>W58/W$59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A115"/>
  <sheetViews>
    <sheetView topLeftCell="G4" workbookViewId="0">
      <selection activeCell="U59" sqref="U59"/>
    </sheetView>
  </sheetViews>
  <sheetFormatPr baseColWidth="8" defaultRowHeight="15"/>
  <cols>
    <col collapsed="1" width="12.7109375" customWidth="1" style="71" min="1" max="1"/>
    <col collapsed="1" width="10.7109375" customWidth="1" style="71" min="2" max="5"/>
    <col width="10.7109375" customWidth="1" style="71" min="6" max="9"/>
    <col collapsed="1" width="10.7109375" customWidth="1" style="71" min="10" max="10"/>
    <col width="10.7109375" customWidth="1" style="71" min="11" max="11"/>
    <col collapsed="1" width="6.42578125" customWidth="1" style="71" min="12" max="12"/>
    <col collapsed="1" width="12.7109375" customWidth="1" style="71" min="13" max="13"/>
    <col collapsed="1" width="10.7109375" customWidth="1" style="71" min="14" max="17"/>
    <col width="10.7109375" customWidth="1" style="71" min="18" max="21"/>
    <col collapsed="1" width="10.7109375" customWidth="1" style="71" min="22" max="22"/>
    <col width="10.7109375" customWidth="1" style="71" min="23" max="23"/>
  </cols>
  <sheetData>
    <row r="1">
      <c r="A1" t="inlineStr">
        <is>
          <t>Tour departure time from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6" ht="15.75" customHeight="1" s="71" thickBot="1">
      <c r="A6" s="3" t="inlineStr">
        <is>
          <t>Table X. Observed Tour Departure from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M6" s="3" t="inlineStr">
        <is>
          <t>Table X. Estimated Tour Departure from PD Times: DaySim</t>
        </is>
      </c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Y6" s="7" t="n"/>
    </row>
    <row r="7">
      <c r="A7" s="2" t="inlineStr">
        <is>
          <t>Timeperiod</t>
        </is>
      </c>
      <c r="B7" s="4" t="inlineStr">
        <is>
          <t>Work</t>
        </is>
      </c>
      <c r="C7" s="4" t="inlineStr">
        <is>
          <t>School</t>
        </is>
      </c>
      <c r="D7" s="4" t="inlineStr">
        <is>
          <t>Escort</t>
        </is>
      </c>
      <c r="E7" s="4" t="inlineStr">
        <is>
          <t>Per Busi</t>
        </is>
      </c>
      <c r="F7" s="4" t="inlineStr">
        <is>
          <t>Shopping</t>
        </is>
      </c>
      <c r="G7" s="4" t="inlineStr">
        <is>
          <t>Meal</t>
        </is>
      </c>
      <c r="H7" s="4" t="inlineStr">
        <is>
          <t>Soc&amp;Rec</t>
        </is>
      </c>
      <c r="I7" s="4" t="inlineStr">
        <is>
          <t>Other</t>
        </is>
      </c>
      <c r="J7" s="4" t="inlineStr">
        <is>
          <t>Total</t>
        </is>
      </c>
      <c r="K7" s="4" t="inlineStr">
        <is>
          <t>Except Work, Work-related, School</t>
        </is>
      </c>
      <c r="M7" s="2" t="inlineStr">
        <is>
          <t>Timeperiod</t>
        </is>
      </c>
      <c r="N7" s="4" t="inlineStr">
        <is>
          <t>Work</t>
        </is>
      </c>
      <c r="O7" s="4" t="inlineStr">
        <is>
          <t>School</t>
        </is>
      </c>
      <c r="P7" s="4" t="inlineStr">
        <is>
          <t>Escort</t>
        </is>
      </c>
      <c r="Q7" s="4" t="inlineStr">
        <is>
          <t>Per Busi</t>
        </is>
      </c>
      <c r="R7" s="4" t="inlineStr">
        <is>
          <t>Shopping</t>
        </is>
      </c>
      <c r="S7" s="4" t="inlineStr">
        <is>
          <t>Meal</t>
        </is>
      </c>
      <c r="T7" s="4" t="inlineStr">
        <is>
          <t>Soc&amp;Rec</t>
        </is>
      </c>
      <c r="U7" s="4" t="inlineStr">
        <is>
          <t>Other</t>
        </is>
      </c>
      <c r="V7" s="4" t="inlineStr">
        <is>
          <t>Total</t>
        </is>
      </c>
      <c r="W7" s="4" t="inlineStr">
        <is>
          <t>Except Work, Work-related, School</t>
        </is>
      </c>
      <c r="Z7" s="12" t="n"/>
      <c r="AA7" s="12" t="n"/>
    </row>
    <row r="8">
      <c r="A8" t="inlineStr">
        <is>
          <t>Before 3:00am</t>
        </is>
      </c>
      <c r="B8" s="5" t="n">
        <v>1665.692851268552</v>
      </c>
      <c r="C8" s="5" t="n">
        <v>0</v>
      </c>
      <c r="D8" s="5" t="n">
        <v>9.16501889224752</v>
      </c>
      <c r="E8" s="5" t="n">
        <v>0</v>
      </c>
      <c r="F8" s="5" t="n">
        <v>307.825560233028</v>
      </c>
      <c r="G8" s="5" t="n">
        <v>1194.110106645882</v>
      </c>
      <c r="H8" s="5" t="n">
        <v>2363.328664233267</v>
      </c>
      <c r="I8" s="5" t="n">
        <v>0</v>
      </c>
      <c r="J8" s="5">
        <f>SUM(B8:E8)</f>
        <v/>
      </c>
      <c r="K8" s="5">
        <f>SUM(D8:I8)</f>
        <v/>
      </c>
      <c r="M8" t="inlineStr">
        <is>
          <t>Before 3:00am</t>
        </is>
      </c>
      <c r="N8" s="8" t="n">
        <v>12990.02243732007</v>
      </c>
      <c r="O8" s="8" t="n">
        <v>61.35878854535593</v>
      </c>
      <c r="P8" s="8" t="n">
        <v>18451.71860144338</v>
      </c>
      <c r="Q8" s="8" t="n">
        <v>41.66417995174019</v>
      </c>
      <c r="R8" s="8" t="n"/>
      <c r="S8" s="8" t="n"/>
      <c r="T8" s="8" t="n"/>
      <c r="U8" s="8" t="n"/>
      <c r="V8">
        <f>SUM(N8:Q8)</f>
        <v/>
      </c>
      <c r="W8" s="5">
        <f>SUM(P8:U8)</f>
        <v/>
      </c>
      <c r="Z8" s="5" t="n"/>
      <c r="AA8" s="5" t="n"/>
    </row>
    <row r="9">
      <c r="A9" s="10" t="n">
        <v>0.125</v>
      </c>
      <c r="B9" s="5" t="n">
        <v>1109.7031638915</v>
      </c>
      <c r="C9" s="5" t="n">
        <v>1.492035729748535</v>
      </c>
      <c r="D9" s="5" t="n">
        <v>24.65603233855532</v>
      </c>
      <c r="E9" s="5" t="n">
        <v>0.5326457274234704</v>
      </c>
      <c r="F9" s="5" t="n">
        <v>241.1645446847775</v>
      </c>
      <c r="G9" s="5" t="n">
        <v>793.9752984897895</v>
      </c>
      <c r="H9" s="5" t="n">
        <v>2139.753338791308</v>
      </c>
      <c r="I9" s="5" t="n">
        <v>16.14617566209478</v>
      </c>
      <c r="J9" s="5">
        <f>SUM(B9:E9)</f>
        <v/>
      </c>
      <c r="K9" s="5">
        <f>SUM(D9:I9)</f>
        <v/>
      </c>
      <c r="M9" s="10" t="n">
        <v>0.125</v>
      </c>
      <c r="N9" s="8" t="n">
        <v>8691.04082271607</v>
      </c>
      <c r="O9" s="8" t="n">
        <v>67.31629039404233</v>
      </c>
      <c r="P9" s="8" t="n">
        <v>15284.21064312379</v>
      </c>
      <c r="Q9" s="8" t="n">
        <v>160.3529969247129</v>
      </c>
      <c r="R9" s="8" t="n"/>
      <c r="S9" s="8" t="n"/>
      <c r="T9" s="8" t="n"/>
      <c r="U9" s="8" t="n"/>
      <c r="V9">
        <f>SUM(N9:Q9)</f>
        <v/>
      </c>
      <c r="W9" s="5">
        <f>SUM(P9:U9)</f>
        <v/>
      </c>
      <c r="Z9" s="5" t="n"/>
      <c r="AA9" s="5" t="n"/>
    </row>
    <row r="10">
      <c r="A10" s="10" t="n">
        <v>0.1458333333333333</v>
      </c>
      <c r="B10" s="5" t="n">
        <v>651.9444025107849</v>
      </c>
      <c r="C10" s="5" t="n">
        <v>4.08491178317935</v>
      </c>
      <c r="D10" s="5" t="n">
        <v>73.20317383556662</v>
      </c>
      <c r="E10" s="5" t="n">
        <v>2.337570765724995</v>
      </c>
      <c r="F10" s="5" t="n">
        <v>183.7114850198825</v>
      </c>
      <c r="G10" s="5" t="n">
        <v>463.7841494705901</v>
      </c>
      <c r="H10" s="5" t="n">
        <v>2172.381278786394</v>
      </c>
      <c r="I10" s="5" t="n">
        <v>31.64867758697357</v>
      </c>
      <c r="J10" s="5">
        <f>SUM(B10:E10)</f>
        <v/>
      </c>
      <c r="K10" s="5">
        <f>SUM(D10:I10)</f>
        <v/>
      </c>
      <c r="M10" s="10" t="n">
        <v>0.1458333333333333</v>
      </c>
      <c r="N10" s="8" t="n">
        <v>5114.617258202106</v>
      </c>
      <c r="O10" s="8" t="n">
        <v>65.27120075193396</v>
      </c>
      <c r="P10" s="8" t="n">
        <v>12541.86446409225</v>
      </c>
      <c r="Q10" s="8" t="n">
        <v>237.9750260563906</v>
      </c>
      <c r="R10" s="8" t="n"/>
      <c r="S10" s="8" t="n"/>
      <c r="T10" s="8" t="n"/>
      <c r="U10" s="8" t="n"/>
      <c r="V10">
        <f>SUM(N10:Q10)</f>
        <v/>
      </c>
      <c r="W10" s="5">
        <f>SUM(P10:U10)</f>
        <v/>
      </c>
      <c r="Z10" s="5" t="n"/>
      <c r="AA10" s="5" t="n"/>
    </row>
    <row r="11">
      <c r="A11" s="10" t="n">
        <v>0.1666666666666667</v>
      </c>
      <c r="B11" s="5" t="n">
        <v>351.6950735517136</v>
      </c>
      <c r="C11" s="5" t="n">
        <v>8.568145951036861</v>
      </c>
      <c r="D11" s="5" t="n">
        <v>214.2298146282768</v>
      </c>
      <c r="E11" s="5" t="n">
        <v>8.819206923794724</v>
      </c>
      <c r="F11" s="5" t="n">
        <v>149.6218478354369</v>
      </c>
      <c r="G11" s="5" t="n">
        <v>245.6868076126813</v>
      </c>
      <c r="H11" s="5" t="n">
        <v>2627.956274186099</v>
      </c>
      <c r="I11" s="5" t="n">
        <v>44.1086943628266</v>
      </c>
      <c r="J11" s="5">
        <f>SUM(B11:E11)</f>
        <v/>
      </c>
      <c r="K11" s="5">
        <f>SUM(D11:I11)</f>
        <v/>
      </c>
      <c r="M11" s="10" t="n">
        <v>0.1666666666666667</v>
      </c>
      <c r="N11" s="8" t="n">
        <v>2663.475771863666</v>
      </c>
      <c r="O11" s="8" t="n">
        <v>55.78950428474943</v>
      </c>
      <c r="P11" s="8" t="n">
        <v>10640.93408323784</v>
      </c>
      <c r="Q11" s="8" t="n">
        <v>270.2647439181359</v>
      </c>
      <c r="R11" s="8" t="n"/>
      <c r="S11" s="8" t="n"/>
      <c r="T11" s="8" t="n"/>
      <c r="U11" s="8" t="n"/>
      <c r="V11">
        <f>SUM(N11:Q11)</f>
        <v/>
      </c>
      <c r="W11" s="5">
        <f>SUM(P11:U11)</f>
        <v/>
      </c>
      <c r="Z11" s="5" t="n"/>
      <c r="AA11" s="5" t="n"/>
    </row>
    <row r="12">
      <c r="A12" s="10" t="n">
        <v>0.1875</v>
      </c>
      <c r="B12" s="5" t="n">
        <v>225.6739104331528</v>
      </c>
      <c r="C12" s="5" t="n">
        <v>15.28554760188438</v>
      </c>
      <c r="D12" s="5" t="n">
        <v>567.1534211154935</v>
      </c>
      <c r="E12" s="5" t="n">
        <v>30.24530704454701</v>
      </c>
      <c r="F12" s="5" t="n">
        <v>158.177736339765</v>
      </c>
      <c r="G12" s="5" t="n">
        <v>150.1556129265158</v>
      </c>
      <c r="H12" s="5" t="n">
        <v>3582.532914364323</v>
      </c>
      <c r="I12" s="5" t="n">
        <v>51.00774929534616</v>
      </c>
      <c r="J12" s="5">
        <f>SUM(B12:E12)</f>
        <v/>
      </c>
      <c r="K12" s="5">
        <f>SUM(D12:I12)</f>
        <v/>
      </c>
      <c r="M12" s="10" t="n">
        <v>0.1875</v>
      </c>
      <c r="N12" s="8" t="n">
        <v>1332.94346679032</v>
      </c>
      <c r="O12" s="8" t="n">
        <v>50.13619130532658</v>
      </c>
      <c r="P12" s="8" t="n">
        <v>9978.474819203961</v>
      </c>
      <c r="Q12" s="8" t="n">
        <v>290.6212113495157</v>
      </c>
      <c r="R12" s="8" t="n"/>
      <c r="S12" s="8" t="n"/>
      <c r="T12" s="8" t="n"/>
      <c r="U12" s="8" t="n"/>
      <c r="V12">
        <f>SUM(N12:Q12)</f>
        <v/>
      </c>
      <c r="W12" s="5">
        <f>SUM(P12:U12)</f>
        <v/>
      </c>
    </row>
    <row r="13">
      <c r="A13" s="10" t="n">
        <v>0.2083333333333333</v>
      </c>
      <c r="B13" s="5" t="n">
        <v>282.4176657231674</v>
      </c>
      <c r="C13" s="5" t="n">
        <v>24.92162776332908</v>
      </c>
      <c r="D13" s="5" t="n">
        <v>1353.089605282843</v>
      </c>
      <c r="E13" s="5" t="n">
        <v>94.19149699759706</v>
      </c>
      <c r="F13" s="5" t="n">
        <v>232.4773094015828</v>
      </c>
      <c r="G13" s="5" t="n">
        <v>179.5479685507314</v>
      </c>
      <c r="H13" s="5" t="n">
        <v>5090.858796576837</v>
      </c>
      <c r="I13" s="5" t="n">
        <v>55.29935555603861</v>
      </c>
      <c r="J13" s="5">
        <f>SUM(B13:E13)</f>
        <v/>
      </c>
      <c r="K13" s="5">
        <f>SUM(D13:I13)</f>
        <v/>
      </c>
      <c r="M13" s="10" t="n">
        <v>0.2083333333333333</v>
      </c>
      <c r="N13" s="8" t="n">
        <v>870.0117992592563</v>
      </c>
      <c r="O13" s="8" t="n">
        <v>66.22365804824702</v>
      </c>
      <c r="P13" s="8" t="n">
        <v>10921.77874076624</v>
      </c>
      <c r="Q13" s="8" t="n">
        <v>340.0595211301995</v>
      </c>
      <c r="R13" s="8" t="n"/>
      <c r="S13" s="8" t="n"/>
      <c r="T13" s="8" t="n"/>
      <c r="U13" s="8" t="n"/>
      <c r="V13">
        <f>SUM(N13:Q13)</f>
        <v/>
      </c>
      <c r="W13" s="5">
        <f>SUM(P13:U13)</f>
        <v/>
      </c>
    </row>
    <row r="14">
      <c r="A14" s="10" t="n">
        <v>0.2291666666666667</v>
      </c>
      <c r="B14" s="5" t="n">
        <v>560.1882333246972</v>
      </c>
      <c r="C14" s="5" t="n">
        <v>40.85794207066972</v>
      </c>
      <c r="D14" s="5" t="n">
        <v>2916.530976529944</v>
      </c>
      <c r="E14" s="5" t="n">
        <v>262.0164530185622</v>
      </c>
      <c r="F14" s="5" t="n">
        <v>404.4401931303601</v>
      </c>
      <c r="G14" s="5" t="n">
        <v>360.0431574604153</v>
      </c>
      <c r="H14" s="5" t="n">
        <v>7198.637310116609</v>
      </c>
      <c r="I14" s="5" t="n">
        <v>73.57886197885027</v>
      </c>
      <c r="J14" s="5">
        <f>SUM(B14:E14)</f>
        <v/>
      </c>
      <c r="K14" s="5">
        <f>SUM(D14:I14)</f>
        <v/>
      </c>
      <c r="M14" s="10" t="n">
        <v>0.2291666666666667</v>
      </c>
      <c r="N14" s="8" t="n">
        <v>999.2952889441674</v>
      </c>
      <c r="O14" s="8" t="n">
        <v>122.5292235883338</v>
      </c>
      <c r="P14" s="8" t="n">
        <v>13777.48800491264</v>
      </c>
      <c r="Q14" s="8" t="n">
        <v>442.1328306398815</v>
      </c>
      <c r="R14" s="8" t="n"/>
      <c r="S14" s="8" t="n"/>
      <c r="T14" s="8" t="n"/>
      <c r="U14" s="8" t="n"/>
      <c r="V14">
        <f>SUM(N14:Q14)</f>
        <v/>
      </c>
      <c r="W14" s="5">
        <f>SUM(P14:U14)</f>
        <v/>
      </c>
    </row>
    <row r="15">
      <c r="A15" s="10" t="n">
        <v>0.25</v>
      </c>
      <c r="B15" s="5" t="n">
        <v>1122.968067721927</v>
      </c>
      <c r="C15" s="5" t="n">
        <v>71.78486098692505</v>
      </c>
      <c r="D15" s="5" t="n">
        <v>5651.962973583337</v>
      </c>
      <c r="E15" s="5" t="n">
        <v>640.9953847840649</v>
      </c>
      <c r="F15" s="5" t="n">
        <v>729.4193659890136</v>
      </c>
      <c r="G15" s="5" t="n">
        <v>750.8130948617902</v>
      </c>
      <c r="H15" s="5" t="n">
        <v>9814.136562965734</v>
      </c>
      <c r="I15" s="5" t="n">
        <v>145.2624083321984</v>
      </c>
      <c r="J15" s="5">
        <f>SUM(B15:E15)</f>
        <v/>
      </c>
      <c r="K15" s="5">
        <f>SUM(D15:I15)</f>
        <v/>
      </c>
      <c r="M15" s="10" t="n">
        <v>0.25</v>
      </c>
      <c r="N15" s="8" t="n">
        <v>1545.610236586062</v>
      </c>
      <c r="O15" s="8" t="n">
        <v>232.1827585490553</v>
      </c>
      <c r="P15" s="8" t="n">
        <v>18709.90162961066</v>
      </c>
      <c r="Q15" s="8" t="n">
        <v>606.9359758253981</v>
      </c>
      <c r="R15" s="8" t="n"/>
      <c r="S15" s="8" t="n"/>
      <c r="T15" s="8" t="n"/>
      <c r="U15" s="8" t="n"/>
      <c r="V15">
        <f>SUM(N15:Q15)</f>
        <v/>
      </c>
      <c r="W15" s="5">
        <f>SUM(P15:U15)</f>
        <v/>
      </c>
    </row>
    <row r="16">
      <c r="A16" s="10" t="n">
        <v>0.2708333333333333</v>
      </c>
      <c r="B16" s="5" t="n">
        <v>1999.248234902753</v>
      </c>
      <c r="C16" s="5" t="n">
        <v>130.5528969307933</v>
      </c>
      <c r="D16" s="5" t="n">
        <v>9761.756642907945</v>
      </c>
      <c r="E16" s="5" t="n">
        <v>1369.061241742169</v>
      </c>
      <c r="F16" s="5" t="n">
        <v>1306.246299488327</v>
      </c>
      <c r="G16" s="5" t="n">
        <v>1404.822841486908</v>
      </c>
      <c r="H16" s="5" t="n">
        <v>12568.24058497066</v>
      </c>
      <c r="I16" s="5" t="n">
        <v>337.9989031990788</v>
      </c>
      <c r="J16" s="5">
        <f>SUM(B16:E16)</f>
        <v/>
      </c>
      <c r="K16" s="5">
        <f>SUM(D16:I16)</f>
        <v/>
      </c>
      <c r="M16" s="10" t="n">
        <v>0.2708333333333333</v>
      </c>
      <c r="N16" s="8" t="n">
        <v>2432.716743368077</v>
      </c>
      <c r="O16" s="8" t="n">
        <v>398.9617824507801</v>
      </c>
      <c r="P16" s="8" t="n">
        <v>25631.88829620518</v>
      </c>
      <c r="Q16" s="8" t="n">
        <v>854.919209399148</v>
      </c>
      <c r="R16" s="8" t="n"/>
      <c r="S16" s="8" t="n"/>
      <c r="T16" s="8" t="n"/>
      <c r="U16" s="8" t="n"/>
      <c r="V16">
        <f>SUM(N16:Q16)</f>
        <v/>
      </c>
      <c r="W16" s="5">
        <f>SUM(P16:U16)</f>
        <v/>
      </c>
    </row>
    <row r="17">
      <c r="A17" s="10" t="n">
        <v>0.2916666666666667</v>
      </c>
      <c r="B17" s="5" t="n">
        <v>3109.852203842052</v>
      </c>
      <c r="C17" s="5" t="n">
        <v>226.4742204414425</v>
      </c>
      <c r="D17" s="5" t="n">
        <v>14904.98358465322</v>
      </c>
      <c r="E17" s="5" t="n">
        <v>2557.425243683709</v>
      </c>
      <c r="F17" s="5" t="n">
        <v>2289.822772583591</v>
      </c>
      <c r="G17" s="5" t="n">
        <v>2292.247102901922</v>
      </c>
      <c r="H17" s="5" t="n">
        <v>14906.26635057187</v>
      </c>
      <c r="I17" s="5" t="n">
        <v>737.1616586244623</v>
      </c>
      <c r="J17" s="5">
        <f>SUM(B17:E17)</f>
        <v/>
      </c>
      <c r="K17" s="5">
        <f>SUM(D17:I17)</f>
        <v/>
      </c>
      <c r="M17" s="10" t="n">
        <v>0.2916666666666667</v>
      </c>
      <c r="N17" s="8" t="n">
        <v>3653.162195503881</v>
      </c>
      <c r="O17" s="8" t="n">
        <v>621.0803862236196</v>
      </c>
      <c r="P17" s="8" t="n">
        <v>34160.23761109405</v>
      </c>
      <c r="Q17" s="8" t="n">
        <v>1234.934261035209</v>
      </c>
      <c r="R17" s="8" t="n"/>
      <c r="S17" s="8" t="n"/>
      <c r="T17" s="8" t="n"/>
      <c r="U17" s="8" t="n"/>
      <c r="V17">
        <f>SUM(N17:Q17)</f>
        <v/>
      </c>
      <c r="W17" s="5">
        <f>SUM(P17:U17)</f>
        <v/>
      </c>
    </row>
    <row r="18">
      <c r="A18" s="10" t="n">
        <v>0.3125</v>
      </c>
      <c r="B18" s="5" t="n">
        <v>4274.427479773561</v>
      </c>
      <c r="C18" s="5" t="n">
        <v>356.5104162306142</v>
      </c>
      <c r="D18" s="5" t="n">
        <v>20009.2333435062</v>
      </c>
      <c r="E18" s="5" t="n">
        <v>4217.981241044263</v>
      </c>
      <c r="F18" s="5" t="n">
        <v>3870.419239873547</v>
      </c>
      <c r="G18" s="5" t="n">
        <v>3253.677144707408</v>
      </c>
      <c r="H18" s="5" t="n">
        <v>16430.88641221519</v>
      </c>
      <c r="I18" s="5" t="n">
        <v>1408.087491679526</v>
      </c>
      <c r="J18" s="5">
        <f>SUM(B18:E18)</f>
        <v/>
      </c>
      <c r="K18" s="5">
        <f>SUM(D18:I18)</f>
        <v/>
      </c>
      <c r="M18" s="10" t="n">
        <v>0.3125</v>
      </c>
      <c r="N18" s="8" t="n">
        <v>5292.805943872377</v>
      </c>
      <c r="O18" s="8" t="n">
        <v>908.2171730556655</v>
      </c>
      <c r="P18" s="8" t="n">
        <v>43699.91687946227</v>
      </c>
      <c r="Q18" s="8" t="n">
        <v>1823.70302357077</v>
      </c>
      <c r="R18" s="8" t="n"/>
      <c r="S18" s="8" t="n"/>
      <c r="T18" s="8" t="n"/>
      <c r="U18" s="8" t="n"/>
      <c r="V18">
        <f>SUM(N18:Q18)</f>
        <v/>
      </c>
      <c r="W18" s="5">
        <f>SUM(P18:U18)</f>
        <v/>
      </c>
    </row>
    <row r="19">
      <c r="A19" s="10" t="n">
        <v>0.3333333333333333</v>
      </c>
      <c r="B19" s="5" t="n">
        <v>5342.433724885368</v>
      </c>
      <c r="C19" s="5" t="n">
        <v>507.7801670068912</v>
      </c>
      <c r="D19" s="5" t="n">
        <v>23558.9909300901</v>
      </c>
      <c r="E19" s="5" t="n">
        <v>6236.751600328572</v>
      </c>
      <c r="F19" s="5" t="n">
        <v>6196.899961148792</v>
      </c>
      <c r="G19" s="5" t="n">
        <v>4057.257087527773</v>
      </c>
      <c r="H19" s="5" t="n">
        <v>17183.82760367754</v>
      </c>
      <c r="I19" s="5" t="n">
        <v>2342.167534454674</v>
      </c>
      <c r="J19" s="5">
        <f>SUM(B19:E19)</f>
        <v/>
      </c>
      <c r="K19" s="5">
        <f>SUM(D19:I19)</f>
        <v/>
      </c>
      <c r="M19" s="10" t="n">
        <v>0.3333333333333333</v>
      </c>
      <c r="N19" s="8" t="n">
        <v>7586.69975331919</v>
      </c>
      <c r="O19" s="8" t="n">
        <v>1303.792617447497</v>
      </c>
      <c r="P19" s="8" t="n">
        <v>53599.67595478242</v>
      </c>
      <c r="Q19" s="8" t="n">
        <v>2714.150049911682</v>
      </c>
      <c r="R19" s="8" t="n"/>
      <c r="S19" s="8" t="n"/>
      <c r="T19" s="8" t="n"/>
      <c r="U19" s="8" t="n"/>
      <c r="V19">
        <f>SUM(N19:Q19)</f>
        <v/>
      </c>
      <c r="W19" s="5">
        <f>SUM(P19:U19)</f>
        <v/>
      </c>
    </row>
    <row r="20">
      <c r="A20" s="10" t="n">
        <v>0.3541666666666667</v>
      </c>
      <c r="B20" s="5" t="n">
        <v>6363.494532010575</v>
      </c>
      <c r="C20" s="5" t="n">
        <v>674.6202975390295</v>
      </c>
      <c r="D20" s="5" t="n">
        <v>24349.32624849524</v>
      </c>
      <c r="E20" s="5" t="n">
        <v>8421.124566763923</v>
      </c>
      <c r="F20" s="5" t="n">
        <v>9268.606731365095</v>
      </c>
      <c r="G20" s="5" t="n">
        <v>4542.140183829911</v>
      </c>
      <c r="H20" s="5" t="n">
        <v>17586.03004675555</v>
      </c>
      <c r="I20" s="5" t="n">
        <v>3428.263099440886</v>
      </c>
      <c r="J20" s="5">
        <f>SUM(B20:E20)</f>
        <v/>
      </c>
      <c r="K20" s="5">
        <f>SUM(D20:I20)</f>
        <v/>
      </c>
      <c r="M20" s="10" t="n">
        <v>0.3541666666666667</v>
      </c>
      <c r="N20" s="8" t="n">
        <v>10886.42482177015</v>
      </c>
      <c r="O20" s="8" t="n">
        <v>1888.555872586508</v>
      </c>
      <c r="P20" s="8" t="n">
        <v>63244.44161412095</v>
      </c>
      <c r="Q20" s="8" t="n">
        <v>4000.08359537133</v>
      </c>
      <c r="R20" s="8" t="n"/>
      <c r="S20" s="8" t="n"/>
      <c r="T20" s="8" t="n"/>
      <c r="U20" s="8" t="n"/>
      <c r="V20">
        <f>SUM(N20:Q20)</f>
        <v/>
      </c>
      <c r="W20" s="5">
        <f>SUM(P20:U20)</f>
        <v/>
      </c>
    </row>
    <row r="21">
      <c r="A21" s="10" t="n">
        <v>0.375</v>
      </c>
      <c r="B21" s="5" t="n">
        <v>7621.37367262955</v>
      </c>
      <c r="C21" s="5" t="n">
        <v>872.8994539515866</v>
      </c>
      <c r="D21" s="5" t="n">
        <v>22215.1718195003</v>
      </c>
      <c r="E21" s="5" t="n">
        <v>10571.69129242457</v>
      </c>
      <c r="F21" s="5" t="n">
        <v>12875.28741709708</v>
      </c>
      <c r="G21" s="5" t="n">
        <v>4725.446101092395</v>
      </c>
      <c r="H21" s="5" t="n">
        <v>18136.16034371121</v>
      </c>
      <c r="I21" s="5" t="n">
        <v>4490.030732872998</v>
      </c>
      <c r="J21" s="5">
        <f>SUM(B21:E21)</f>
        <v/>
      </c>
      <c r="K21" s="5">
        <f>SUM(D21:I21)</f>
        <v/>
      </c>
      <c r="M21" s="10" t="n">
        <v>0.375</v>
      </c>
      <c r="N21" s="8" t="n">
        <v>15453.32157953167</v>
      </c>
      <c r="O21" s="8" t="n">
        <v>2749.617376545084</v>
      </c>
      <c r="P21" s="8" t="n">
        <v>72025.15053020124</v>
      </c>
      <c r="Q21" s="8" t="n">
        <v>5748.376055773326</v>
      </c>
      <c r="R21" s="8" t="n"/>
      <c r="S21" s="8" t="n"/>
      <c r="T21" s="8" t="n"/>
      <c r="U21" s="8" t="n"/>
      <c r="V21">
        <f>SUM(N21:Q21)</f>
        <v/>
      </c>
      <c r="W21" s="5">
        <f>SUM(P21:U21)</f>
        <v/>
      </c>
    </row>
    <row r="22">
      <c r="A22" s="10" t="n">
        <v>0.3958333333333333</v>
      </c>
      <c r="B22" s="5" t="n">
        <v>9448.398553923587</v>
      </c>
      <c r="C22" s="5" t="n">
        <v>1134.555250232633</v>
      </c>
      <c r="D22" s="5" t="n">
        <v>18140.26561365733</v>
      </c>
      <c r="E22" s="5" t="n">
        <v>12514.45182075391</v>
      </c>
      <c r="F22" s="5" t="n">
        <v>16639.77572838357</v>
      </c>
      <c r="G22" s="5" t="n">
        <v>4777.964795467064</v>
      </c>
      <c r="H22" s="5" t="n">
        <v>19167.93027199725</v>
      </c>
      <c r="I22" s="5" t="n">
        <v>5380.560590619127</v>
      </c>
      <c r="J22" s="5">
        <f>SUM(B22:E22)</f>
        <v/>
      </c>
      <c r="K22" s="5">
        <f>SUM(D22:I22)</f>
        <v/>
      </c>
      <c r="M22" s="10" t="n">
        <v>0.3958333333333333</v>
      </c>
      <c r="N22" s="8" t="n">
        <v>21178.17958952304</v>
      </c>
      <c r="O22" s="8" t="n">
        <v>3942.503923331985</v>
      </c>
      <c r="P22" s="8" t="n">
        <v>79286.67378825459</v>
      </c>
      <c r="Q22" s="8" t="n">
        <v>7951.637894110589</v>
      </c>
      <c r="R22" s="8" t="n"/>
      <c r="S22" s="8" t="n"/>
      <c r="T22" s="8" t="n"/>
      <c r="U22" s="8" t="n"/>
      <c r="V22">
        <f>SUM(N22:Q22)</f>
        <v/>
      </c>
      <c r="W22" s="5">
        <f>SUM(P22:U22)</f>
        <v/>
      </c>
    </row>
    <row r="23">
      <c r="A23" s="10" t="n">
        <v>0.4166666666666667</v>
      </c>
      <c r="B23" s="5" t="n">
        <v>11967.28454197953</v>
      </c>
      <c r="C23" s="5" t="n">
        <v>1499.790360892523</v>
      </c>
      <c r="D23" s="5" t="n">
        <v>13640.03124625427</v>
      </c>
      <c r="E23" s="5" t="n">
        <v>14097.45457114006</v>
      </c>
      <c r="F23" s="5" t="n">
        <v>20126.35749941275</v>
      </c>
      <c r="G23" s="5" t="n">
        <v>4918.059636613285</v>
      </c>
      <c r="H23" s="5" t="n">
        <v>20770.27319389773</v>
      </c>
      <c r="I23" s="5" t="n">
        <v>6067.70716472933</v>
      </c>
      <c r="J23" s="5">
        <f>SUM(B23:E23)</f>
        <v/>
      </c>
      <c r="K23" s="5">
        <f>SUM(D23:I23)</f>
        <v/>
      </c>
      <c r="M23" s="10" t="n">
        <v>0.4166666666666667</v>
      </c>
      <c r="N23" s="8" t="n">
        <v>27489.28869886009</v>
      </c>
      <c r="O23" s="8" t="n">
        <v>5515.999963800207</v>
      </c>
      <c r="P23" s="8" t="n">
        <v>84417.49735307731</v>
      </c>
      <c r="Q23" s="8" t="n">
        <v>10484.08736643113</v>
      </c>
      <c r="R23" s="8" t="n"/>
      <c r="S23" s="8" t="n"/>
      <c r="T23" s="8" t="n"/>
      <c r="U23" s="8" t="n"/>
      <c r="V23">
        <f>SUM(N23:Q23)</f>
        <v/>
      </c>
      <c r="W23" s="5">
        <f>SUM(P23:U23)</f>
        <v/>
      </c>
    </row>
    <row r="24">
      <c r="A24" s="10" t="n">
        <v>0.4375</v>
      </c>
      <c r="B24" s="5" t="n">
        <v>15031.66363749519</v>
      </c>
      <c r="C24" s="5" t="n">
        <v>2052.816115789877</v>
      </c>
      <c r="D24" s="5" t="n">
        <v>9941.158172183666</v>
      </c>
      <c r="E24" s="5" t="n">
        <v>15196.3399725444</v>
      </c>
      <c r="F24" s="5" t="n">
        <v>22947.23479960973</v>
      </c>
      <c r="G24" s="5" t="n">
        <v>5338.085965149176</v>
      </c>
      <c r="H24" s="5" t="n">
        <v>22773.9632285343</v>
      </c>
      <c r="I24" s="5" t="n">
        <v>6637.555728527518</v>
      </c>
      <c r="J24" s="5">
        <f>SUM(B24:E24)</f>
        <v/>
      </c>
      <c r="K24" s="5">
        <f>SUM(D24:I24)</f>
        <v/>
      </c>
      <c r="M24" s="10" t="n">
        <v>0.4375</v>
      </c>
      <c r="N24" s="8" t="n">
        <v>33613.48215171302</v>
      </c>
      <c r="O24" s="8" t="n">
        <v>7641.338346298129</v>
      </c>
      <c r="P24" s="8" t="n">
        <v>87112.8236263624</v>
      </c>
      <c r="Q24" s="8" t="n">
        <v>13098.31876313792</v>
      </c>
      <c r="R24" s="8" t="n"/>
      <c r="S24" s="8" t="n"/>
      <c r="T24" s="8" t="n"/>
      <c r="U24" s="8" t="n"/>
      <c r="V24">
        <f>SUM(N24:Q24)</f>
        <v/>
      </c>
      <c r="W24" s="5">
        <f>SUM(P24:U24)</f>
        <v/>
      </c>
    </row>
    <row r="25">
      <c r="A25" s="10" t="n">
        <v>0.4583333333333333</v>
      </c>
      <c r="B25" s="5" t="n">
        <v>18480.39325424943</v>
      </c>
      <c r="C25" s="5" t="n">
        <v>3026.487315161602</v>
      </c>
      <c r="D25" s="5" t="n">
        <v>7586.04465642365</v>
      </c>
      <c r="E25" s="5" t="n">
        <v>15734.9557376796</v>
      </c>
      <c r="F25" s="5" t="n">
        <v>24861.23696884836</v>
      </c>
      <c r="G25" s="5" t="n">
        <v>6175.942913449893</v>
      </c>
      <c r="H25" s="5" t="n">
        <v>24792.55803408377</v>
      </c>
      <c r="I25" s="5" t="n">
        <v>7206.237513495137</v>
      </c>
      <c r="J25" s="5">
        <f>SUM(B25:E25)</f>
        <v/>
      </c>
      <c r="K25" s="5">
        <f>SUM(D25:I25)</f>
        <v/>
      </c>
      <c r="M25" s="10" t="n">
        <v>0.4583333333333333</v>
      </c>
      <c r="N25" s="8" t="n">
        <v>39030.75876233405</v>
      </c>
      <c r="O25" s="8" t="n">
        <v>10767.37591562696</v>
      </c>
      <c r="P25" s="8" t="n">
        <v>87629.7192209409</v>
      </c>
      <c r="Q25" s="8" t="n">
        <v>15470.96750328557</v>
      </c>
      <c r="R25" s="8" t="n"/>
      <c r="S25" s="8" t="n"/>
      <c r="T25" s="8" t="n"/>
      <c r="U25" s="8" t="n"/>
      <c r="V25">
        <f>SUM(N25:Q25)</f>
        <v/>
      </c>
      <c r="W25" s="5">
        <f>SUM(P25:U25)</f>
        <v/>
      </c>
    </row>
    <row r="26">
      <c r="A26" s="10" t="n">
        <v>0.4791666666666667</v>
      </c>
      <c r="B26" s="5" t="n">
        <v>22505.37938700173</v>
      </c>
      <c r="C26" s="5" t="n">
        <v>4940.332493187478</v>
      </c>
      <c r="D26" s="5" t="n">
        <v>6608.081582285471</v>
      </c>
      <c r="E26" s="5" t="n">
        <v>15704.49829635711</v>
      </c>
      <c r="F26" s="5" t="n">
        <v>25874.5653935562</v>
      </c>
      <c r="G26" s="5" t="n">
        <v>7448.566437240622</v>
      </c>
      <c r="H26" s="5" t="n">
        <v>26417.05953840721</v>
      </c>
      <c r="I26" s="5" t="n">
        <v>7812.353273206465</v>
      </c>
      <c r="J26" s="5">
        <f>SUM(B26:E26)</f>
        <v/>
      </c>
      <c r="K26" s="5">
        <f>SUM(D26:I26)</f>
        <v/>
      </c>
      <c r="M26" s="10" t="n">
        <v>0.4791666666666667</v>
      </c>
      <c r="N26" s="8" t="n">
        <v>43760.970888044</v>
      </c>
      <c r="O26" s="8" t="n">
        <v>15613.39138214891</v>
      </c>
      <c r="P26" s="8" t="n">
        <v>86789.82932862347</v>
      </c>
      <c r="Q26" s="8" t="n">
        <v>17270.31622656943</v>
      </c>
      <c r="R26" s="8" t="n"/>
      <c r="S26" s="8" t="n"/>
      <c r="T26" s="8" t="n"/>
      <c r="U26" s="8" t="n"/>
      <c r="V26">
        <f>SUM(N26:Q26)</f>
        <v/>
      </c>
      <c r="W26" s="5">
        <f>SUM(P26:U26)</f>
        <v/>
      </c>
    </row>
    <row r="27">
      <c r="A27" s="10" t="n">
        <v>0.5</v>
      </c>
      <c r="B27" s="5" t="n">
        <v>27773.01901605432</v>
      </c>
      <c r="C27" s="5" t="n">
        <v>8655.57116643985</v>
      </c>
      <c r="D27" s="5" t="n">
        <v>6930.301906171942</v>
      </c>
      <c r="E27" s="5" t="n">
        <v>15196.02501174767</v>
      </c>
      <c r="F27" s="5" t="n">
        <v>26270.19414484127</v>
      </c>
      <c r="G27" s="5" t="n">
        <v>8945.169011760567</v>
      </c>
      <c r="H27" s="5" t="n">
        <v>27531.90836697925</v>
      </c>
      <c r="I27" s="5" t="n">
        <v>8385.306539010169</v>
      </c>
      <c r="J27" s="5">
        <f>SUM(B27:E27)</f>
        <v/>
      </c>
      <c r="K27" s="5">
        <f>SUM(D27:I27)</f>
        <v/>
      </c>
      <c r="M27" s="10" t="n">
        <v>0.5</v>
      </c>
      <c r="N27" s="8" t="n">
        <v>48298.2362175799</v>
      </c>
      <c r="O27" s="8" t="n">
        <v>22877.22881732144</v>
      </c>
      <c r="P27" s="8" t="n">
        <v>85672.39135000625</v>
      </c>
      <c r="Q27" s="8" t="n">
        <v>18224.75837952251</v>
      </c>
      <c r="R27" s="8" t="n"/>
      <c r="S27" s="8" t="n"/>
      <c r="T27" s="8" t="n"/>
      <c r="U27" s="8" t="n"/>
      <c r="V27">
        <f>SUM(N27:Q27)</f>
        <v/>
      </c>
      <c r="W27" s="5">
        <f>SUM(P27:U27)</f>
        <v/>
      </c>
    </row>
    <row r="28">
      <c r="A28" s="10" t="n">
        <v>0.5208333333333334</v>
      </c>
      <c r="B28" s="5" t="n">
        <v>35124.45766649071</v>
      </c>
      <c r="C28" s="5" t="n">
        <v>15152.83276757359</v>
      </c>
      <c r="D28" s="5" t="n">
        <v>8591.82874494848</v>
      </c>
      <c r="E28" s="5" t="n">
        <v>14446.96656055484</v>
      </c>
      <c r="F28" s="5" t="n">
        <v>26476.80016934445</v>
      </c>
      <c r="G28" s="5" t="n">
        <v>10223.13391304359</v>
      </c>
      <c r="H28" s="5" t="n">
        <v>28525.19902123681</v>
      </c>
      <c r="I28" s="5" t="n">
        <v>8812.211117635685</v>
      </c>
      <c r="J28" s="5">
        <f>SUM(B28:E28)</f>
        <v/>
      </c>
      <c r="K28" s="5">
        <f>SUM(D28:I28)</f>
        <v/>
      </c>
      <c r="M28" s="10" t="n">
        <v>0.5208333333333334</v>
      </c>
      <c r="N28" s="8" t="n">
        <v>53371.11169919848</v>
      </c>
      <c r="O28" s="8" t="n">
        <v>32790.36098076625</v>
      </c>
      <c r="P28" s="8" t="n">
        <v>85208.58044612352</v>
      </c>
      <c r="Q28" s="8" t="n">
        <v>18189.83311116516</v>
      </c>
      <c r="R28" s="8" t="n"/>
      <c r="S28" s="8" t="n"/>
      <c r="T28" s="8" t="n"/>
      <c r="U28" s="8" t="n"/>
      <c r="V28">
        <f>SUM(N28:Q28)</f>
        <v/>
      </c>
      <c r="W28" s="5">
        <f>SUM(P28:U28)</f>
        <v/>
      </c>
    </row>
    <row r="29">
      <c r="A29" s="10" t="n">
        <v>0.5416666666666666</v>
      </c>
      <c r="B29" s="5" t="n">
        <v>45061.91358248562</v>
      </c>
      <c r="C29" s="5" t="n">
        <v>24895.22264697175</v>
      </c>
      <c r="D29" s="5" t="n">
        <v>11667.62013199139</v>
      </c>
      <c r="E29" s="5" t="n">
        <v>13827.00373818033</v>
      </c>
      <c r="F29" s="5" t="n">
        <v>26841.54940863748</v>
      </c>
      <c r="G29" s="5" t="n">
        <v>10814.51915364757</v>
      </c>
      <c r="H29" s="5" t="n">
        <v>30186.18078330719</v>
      </c>
      <c r="I29" s="5" t="n">
        <v>9021.088119439672</v>
      </c>
      <c r="J29" s="5">
        <f>SUM(B29:E29)</f>
        <v/>
      </c>
      <c r="K29" s="5">
        <f>SUM(D29:I29)</f>
        <v/>
      </c>
      <c r="M29" s="10" t="n">
        <v>0.5416666666666666</v>
      </c>
      <c r="N29" s="8" t="n">
        <v>59819.05355538944</v>
      </c>
      <c r="O29" s="8" t="n">
        <v>44826.43152910816</v>
      </c>
      <c r="P29" s="8" t="n">
        <v>85951.60700573848</v>
      </c>
      <c r="Q29" s="8" t="n">
        <v>17196.2177983187</v>
      </c>
      <c r="R29" s="8" t="n"/>
      <c r="S29" s="8" t="n"/>
      <c r="T29" s="8" t="n"/>
      <c r="U29" s="8" t="n"/>
      <c r="V29">
        <f>SUM(N29:Q29)</f>
        <v/>
      </c>
      <c r="W29" s="5">
        <f>SUM(P29:U29)</f>
        <v/>
      </c>
    </row>
    <row r="30">
      <c r="A30" s="10" t="n">
        <v>0.5625</v>
      </c>
      <c r="B30" s="5" t="n">
        <v>57424.95056578807</v>
      </c>
      <c r="C30" s="5" t="n">
        <v>36993.99380484814</v>
      </c>
      <c r="D30" s="5" t="n">
        <v>15979.12873126451</v>
      </c>
      <c r="E30" s="5" t="n">
        <v>13694.13956752268</v>
      </c>
      <c r="F30" s="5" t="n">
        <v>27500.72643781745</v>
      </c>
      <c r="G30" s="5" t="n">
        <v>10527.82897913615</v>
      </c>
      <c r="H30" s="5" t="n">
        <v>33282.73440368803</v>
      </c>
      <c r="I30" s="5" t="n">
        <v>8983.893737280976</v>
      </c>
      <c r="J30" s="5">
        <f>SUM(B30:E30)</f>
        <v/>
      </c>
      <c r="K30" s="5">
        <f>SUM(D30:I30)</f>
        <v/>
      </c>
      <c r="M30" s="10" t="n">
        <v>0.5625</v>
      </c>
      <c r="N30" s="8" t="n">
        <v>68601.50012694608</v>
      </c>
      <c r="O30" s="8" t="n">
        <v>57711.98598041758</v>
      </c>
      <c r="P30" s="8" t="n">
        <v>88079.34140470826</v>
      </c>
      <c r="Q30" s="8" t="n">
        <v>15441.20707836074</v>
      </c>
      <c r="R30" s="8" t="n"/>
      <c r="S30" s="8" t="n"/>
      <c r="T30" s="8" t="n"/>
      <c r="U30" s="8" t="n"/>
      <c r="V30">
        <f>SUM(N30:Q30)</f>
        <v/>
      </c>
      <c r="W30" s="5">
        <f>SUM(P30:U30)</f>
        <v/>
      </c>
    </row>
    <row r="31">
      <c r="A31" s="10" t="n">
        <v>0.5833333333333334</v>
      </c>
      <c r="B31" s="5" t="n">
        <v>71438.77594824016</v>
      </c>
      <c r="C31" s="5" t="n">
        <v>48854.936855641</v>
      </c>
      <c r="D31" s="5" t="n">
        <v>20831.48521732195</v>
      </c>
      <c r="E31" s="5" t="n">
        <v>14181.49083698697</v>
      </c>
      <c r="F31" s="5" t="n">
        <v>28430.56436492778</v>
      </c>
      <c r="G31" s="5" t="n">
        <v>9583.080804979578</v>
      </c>
      <c r="H31" s="5" t="n">
        <v>38017.21341300634</v>
      </c>
      <c r="I31" s="5" t="n">
        <v>8652.222130722559</v>
      </c>
      <c r="J31" s="5">
        <f>SUM(B31:E31)</f>
        <v/>
      </c>
      <c r="K31" s="5">
        <f>SUM(D31:I31)</f>
        <v/>
      </c>
      <c r="M31" s="10" t="n">
        <v>0.5833333333333334</v>
      </c>
      <c r="N31" s="8" t="n">
        <v>80642.7284958307</v>
      </c>
      <c r="O31" s="8" t="n">
        <v>69594.79655393765</v>
      </c>
      <c r="P31" s="8" t="n">
        <v>91455.51486845293</v>
      </c>
      <c r="Q31" s="8" t="n">
        <v>13217.93104137236</v>
      </c>
      <c r="R31" s="8" t="n"/>
      <c r="S31" s="8" t="n"/>
      <c r="T31" s="8" t="n"/>
      <c r="U31" s="8" t="n"/>
      <c r="V31">
        <f>SUM(N31:Q31)</f>
        <v/>
      </c>
      <c r="W31" s="5">
        <f>SUM(P31:U31)</f>
        <v/>
      </c>
    </row>
    <row r="32">
      <c r="A32" s="10" t="n">
        <v>0.6041666666666666</v>
      </c>
      <c r="B32" s="5" t="n">
        <v>85909.80971466325</v>
      </c>
      <c r="C32" s="5" t="n">
        <v>56948.00909463044</v>
      </c>
      <c r="D32" s="5" t="n">
        <v>25077.68254814587</v>
      </c>
      <c r="E32" s="5" t="n">
        <v>15075.24541389371</v>
      </c>
      <c r="F32" s="5" t="n">
        <v>29539.26986165933</v>
      </c>
      <c r="G32" s="5" t="n">
        <v>8446.347766618486</v>
      </c>
      <c r="H32" s="5" t="n">
        <v>43699.46314162578</v>
      </c>
      <c r="I32" s="5" t="n">
        <v>7938.415959617893</v>
      </c>
      <c r="J32" s="5">
        <f>SUM(B32:E32)</f>
        <v/>
      </c>
      <c r="K32" s="5">
        <f>SUM(D32:I32)</f>
        <v/>
      </c>
      <c r="M32" s="10" t="n">
        <v>0.6041666666666666</v>
      </c>
      <c r="N32" s="8" t="n">
        <v>96284.2744907111</v>
      </c>
      <c r="O32" s="8" t="n">
        <v>78254.62382476256</v>
      </c>
      <c r="P32" s="8" t="n">
        <v>95634.12741605598</v>
      </c>
      <c r="Q32" s="8" t="n">
        <v>10829.77151981759</v>
      </c>
      <c r="R32" s="8" t="n"/>
      <c r="S32" s="8" t="n"/>
      <c r="T32" s="8" t="n"/>
      <c r="U32" s="8" t="n"/>
      <c r="V32">
        <f>SUM(N32:Q32)</f>
        <v/>
      </c>
      <c r="W32" s="5">
        <f>SUM(P32:U32)</f>
        <v/>
      </c>
    </row>
    <row r="33">
      <c r="A33" s="10" t="n">
        <v>0.625</v>
      </c>
      <c r="B33" s="5" t="n">
        <v>99251.64307624672</v>
      </c>
      <c r="C33" s="5" t="n">
        <v>58522.89258122486</v>
      </c>
      <c r="D33" s="5" t="n">
        <v>27627.75994956597</v>
      </c>
      <c r="E33" s="5" t="n">
        <v>15899.53395173315</v>
      </c>
      <c r="F33" s="5" t="n">
        <v>30651.28722135621</v>
      </c>
      <c r="G33" s="5" t="n">
        <v>7513.311395500581</v>
      </c>
      <c r="H33" s="5" t="n">
        <v>48956.61032241648</v>
      </c>
      <c r="I33" s="5" t="n">
        <v>6802.597257376063</v>
      </c>
      <c r="J33" s="5">
        <f>SUM(B33:E33)</f>
        <v/>
      </c>
      <c r="K33" s="5">
        <f>SUM(D33:I33)</f>
        <v/>
      </c>
      <c r="M33" s="10" t="n">
        <v>0.625</v>
      </c>
      <c r="N33" s="8" t="n">
        <v>114543.5047706828</v>
      </c>
      <c r="O33" s="8" t="n">
        <v>81547.81725082468</v>
      </c>
      <c r="P33" s="8" t="n">
        <v>99938.2333775883</v>
      </c>
      <c r="Q33" s="8" t="n">
        <v>8536.274109897327</v>
      </c>
      <c r="R33" s="8" t="n"/>
      <c r="S33" s="8" t="n"/>
      <c r="T33" s="8" t="n"/>
      <c r="U33" s="8" t="n"/>
      <c r="V33">
        <f>SUM(N33:Q33)</f>
        <v/>
      </c>
      <c r="W33" s="5">
        <f>SUM(P33:U33)</f>
        <v/>
      </c>
    </row>
    <row r="34">
      <c r="A34" s="10" t="n">
        <v>0.6458333333333334</v>
      </c>
      <c r="B34" s="5" t="n">
        <v>109398.3338251947</v>
      </c>
      <c r="C34" s="5" t="n">
        <v>53148.60754514814</v>
      </c>
      <c r="D34" s="5" t="n">
        <v>28071.93360434976</v>
      </c>
      <c r="E34" s="5" t="n">
        <v>16185.47313519513</v>
      </c>
      <c r="F34" s="5" t="n">
        <v>31453.45842148075</v>
      </c>
      <c r="G34" s="5" t="n">
        <v>6932.376813150631</v>
      </c>
      <c r="H34" s="5" t="n">
        <v>52476.35279437613</v>
      </c>
      <c r="I34" s="5" t="n">
        <v>5357.509099240986</v>
      </c>
      <c r="J34" s="5">
        <f>SUM(B34:E34)</f>
        <v/>
      </c>
      <c r="K34" s="5">
        <f>SUM(D34:I34)</f>
        <v/>
      </c>
      <c r="M34" s="10" t="n">
        <v>0.6458333333333334</v>
      </c>
      <c r="N34" s="8" t="n">
        <v>132719.5726947142</v>
      </c>
      <c r="O34" s="8" t="n">
        <v>78238.49891881985</v>
      </c>
      <c r="P34" s="8" t="n">
        <v>103771.8713080102</v>
      </c>
      <c r="Q34" s="8" t="n">
        <v>6528.797650383452</v>
      </c>
      <c r="R34" s="8" t="n"/>
      <c r="S34" s="8" t="n"/>
      <c r="T34" s="8" t="n"/>
      <c r="U34" s="8" t="n"/>
      <c r="V34">
        <f>SUM(N34:Q34)</f>
        <v/>
      </c>
      <c r="W34" s="5">
        <f>SUM(P34:U34)</f>
        <v/>
      </c>
    </row>
    <row r="35">
      <c r="A35" s="10" t="n">
        <v>0.6666666666666666</v>
      </c>
      <c r="B35" s="5" t="n">
        <v>114037.5817873166</v>
      </c>
      <c r="C35" s="5" t="n">
        <v>42916.53055685417</v>
      </c>
      <c r="D35" s="5" t="n">
        <v>26849.25586067447</v>
      </c>
      <c r="E35" s="5" t="n">
        <v>15758.73460747246</v>
      </c>
      <c r="F35" s="5" t="n">
        <v>31584.58603007538</v>
      </c>
      <c r="G35" s="5" t="n">
        <v>6710.060621734324</v>
      </c>
      <c r="H35" s="5" t="n">
        <v>53795.99715489616</v>
      </c>
      <c r="I35" s="5" t="n">
        <v>3857.265998057678</v>
      </c>
      <c r="J35" s="5">
        <f>SUM(B35:E35)</f>
        <v/>
      </c>
      <c r="K35" s="5">
        <f>SUM(D35:I35)</f>
        <v/>
      </c>
      <c r="M35" s="10" t="n">
        <v>0.6666666666666666</v>
      </c>
      <c r="N35" s="8" t="n">
        <v>146810.1563288193</v>
      </c>
      <c r="O35" s="8" t="n">
        <v>68804.9104962361</v>
      </c>
      <c r="P35" s="8" t="n">
        <v>107028.5051120408</v>
      </c>
      <c r="Q35" s="8" t="n">
        <v>4913.943517292382</v>
      </c>
      <c r="R35" s="8" t="n"/>
      <c r="S35" s="8" t="n"/>
      <c r="T35" s="8" t="n"/>
      <c r="U35" s="8" t="n"/>
      <c r="V35">
        <f>SUM(N35:Q35)</f>
        <v/>
      </c>
      <c r="W35" s="5">
        <f>SUM(P35:U35)</f>
        <v/>
      </c>
    </row>
    <row r="36">
      <c r="A36" s="10" t="n">
        <v>0.6875</v>
      </c>
      <c r="B36" s="5" t="n">
        <v>111424.583337854</v>
      </c>
      <c r="C36" s="5" t="n">
        <v>31177.98538301688</v>
      </c>
      <c r="D36" s="5" t="n">
        <v>24785.41056615644</v>
      </c>
      <c r="E36" s="5" t="n">
        <v>14819.07960141236</v>
      </c>
      <c r="F36" s="5" t="n">
        <v>30864.11560993902</v>
      </c>
      <c r="G36" s="5" t="n">
        <v>6952.638479448857</v>
      </c>
      <c r="H36" s="5" t="n">
        <v>53506.51816399796</v>
      </c>
      <c r="I36" s="5" t="n">
        <v>2562.078288761096</v>
      </c>
      <c r="J36" s="5">
        <f>SUM(B36:E36)</f>
        <v/>
      </c>
      <c r="K36" s="5">
        <f>SUM(D36:I36)</f>
        <v/>
      </c>
      <c r="M36" s="10" t="n">
        <v>0.6875</v>
      </c>
      <c r="N36" s="8" t="n">
        <v>152778.5057009335</v>
      </c>
      <c r="O36" s="8" t="n">
        <v>55477.61287486361</v>
      </c>
      <c r="P36" s="8" t="n">
        <v>110235.6116898332</v>
      </c>
      <c r="Q36" s="8" t="n">
        <v>3706.20244102621</v>
      </c>
      <c r="R36" s="8" t="n"/>
      <c r="S36" s="8" t="n"/>
      <c r="T36" s="8" t="n"/>
      <c r="U36" s="8" t="n"/>
      <c r="V36">
        <f>SUM(N36:Q36)</f>
        <v/>
      </c>
      <c r="W36" s="5">
        <f>SUM(P36:U36)</f>
        <v/>
      </c>
    </row>
    <row r="37">
      <c r="A37" s="10" t="n">
        <v>0.7083333333333334</v>
      </c>
      <c r="B37" s="5" t="n">
        <v>101404.0478309569</v>
      </c>
      <c r="C37" s="5" t="n">
        <v>20812.17559335824</v>
      </c>
      <c r="D37" s="5" t="n">
        <v>22467.12314694004</v>
      </c>
      <c r="E37" s="5" t="n">
        <v>13719.25746082446</v>
      </c>
      <c r="F37" s="5" t="n">
        <v>29416.04775605489</v>
      </c>
      <c r="G37" s="5" t="n">
        <v>7951.502719230968</v>
      </c>
      <c r="H37" s="5" t="n">
        <v>52718.6382231404</v>
      </c>
      <c r="I37" s="5" t="n">
        <v>1606.879617635415</v>
      </c>
      <c r="J37" s="5">
        <f>SUM(B37:E37)</f>
        <v/>
      </c>
      <c r="K37" s="5">
        <f>SUM(D37:I37)</f>
        <v/>
      </c>
      <c r="M37" s="10" t="n">
        <v>0.7083333333333334</v>
      </c>
      <c r="N37" s="8" t="n">
        <v>148204.2066469026</v>
      </c>
      <c r="O37" s="8" t="n">
        <v>41293.6814557531</v>
      </c>
      <c r="P37" s="8" t="n">
        <v>114239.0038270192</v>
      </c>
      <c r="Q37" s="8" t="n">
        <v>2844.705859241374</v>
      </c>
      <c r="R37" s="8" t="n"/>
      <c r="S37" s="8" t="n"/>
      <c r="T37" s="8" t="n"/>
      <c r="U37" s="8" t="n"/>
      <c r="V37">
        <f>SUM(N37:Q37)</f>
        <v/>
      </c>
      <c r="W37" s="5">
        <f>SUM(P37:U37)</f>
        <v/>
      </c>
    </row>
    <row r="38">
      <c r="A38" s="10" t="n">
        <v>0.7291666666666666</v>
      </c>
      <c r="B38" s="5" t="n">
        <v>85856.96742162292</v>
      </c>
      <c r="C38" s="5" t="n">
        <v>13196.90558312512</v>
      </c>
      <c r="D38" s="5" t="n">
        <v>20034.66280167321</v>
      </c>
      <c r="E38" s="5" t="n">
        <v>12636.99263835504</v>
      </c>
      <c r="F38" s="5" t="n">
        <v>27503.3392919102</v>
      </c>
      <c r="G38" s="5" t="n">
        <v>9962.136201935027</v>
      </c>
      <c r="H38" s="5" t="n">
        <v>52294.07891162578</v>
      </c>
      <c r="I38" s="5" t="n">
        <v>981.8820403144709</v>
      </c>
      <c r="J38" s="5">
        <f>SUM(B38:E38)</f>
        <v/>
      </c>
      <c r="K38" s="5">
        <f>SUM(D38:I38)</f>
        <v/>
      </c>
      <c r="M38" s="10" t="n">
        <v>0.7291666666666666</v>
      </c>
      <c r="N38" s="8" t="n">
        <v>133493.9977638037</v>
      </c>
      <c r="O38" s="8" t="n">
        <v>28811.06961438173</v>
      </c>
      <c r="P38" s="8" t="n">
        <v>119585.1472877272</v>
      </c>
      <c r="Q38" s="8" t="n">
        <v>2231.099831504479</v>
      </c>
      <c r="R38" s="8" t="n"/>
      <c r="S38" s="8" t="n"/>
      <c r="T38" s="8" t="n"/>
      <c r="U38" s="8" t="n"/>
      <c r="V38">
        <f>SUM(N38:Q38)</f>
        <v/>
      </c>
      <c r="W38" s="5">
        <f>SUM(P38:U38)</f>
        <v/>
      </c>
    </row>
    <row r="39">
      <c r="A39" s="10" t="n">
        <v>0.75</v>
      </c>
      <c r="B39" s="5" t="n">
        <v>68094.66146731804</v>
      </c>
      <c r="C39" s="5" t="n">
        <v>8277.881416110513</v>
      </c>
      <c r="D39" s="5" t="n">
        <v>17441.36038943796</v>
      </c>
      <c r="E39" s="5" t="n">
        <v>11462.95563500179</v>
      </c>
      <c r="F39" s="5" t="n">
        <v>25227.21738610861</v>
      </c>
      <c r="G39" s="5" t="n">
        <v>12835.53453742894</v>
      </c>
      <c r="H39" s="5" t="n">
        <v>52461.01498856007</v>
      </c>
      <c r="I39" s="5" t="n">
        <v>605.6693878538771</v>
      </c>
      <c r="J39" s="5">
        <f>SUM(B39:E39)</f>
        <v/>
      </c>
      <c r="K39" s="5">
        <f>SUM(D39:I39)</f>
        <v/>
      </c>
      <c r="M39" s="10" t="n">
        <v>0.75</v>
      </c>
      <c r="N39" s="8" t="n">
        <v>111882.5318308148</v>
      </c>
      <c r="O39" s="8" t="n">
        <v>19337.44903347647</v>
      </c>
      <c r="P39" s="8" t="n">
        <v>125949.2181411574</v>
      </c>
      <c r="Q39" s="8" t="n">
        <v>1769.792497227317</v>
      </c>
      <c r="R39" s="8" t="n"/>
      <c r="S39" s="8" t="n"/>
      <c r="T39" s="8" t="n"/>
      <c r="U39" s="8" t="n"/>
      <c r="V39">
        <f>SUM(N39:Q39)</f>
        <v/>
      </c>
      <c r="W39" s="5">
        <f>SUM(P39:U39)</f>
        <v/>
      </c>
    </row>
    <row r="40">
      <c r="A40" s="10" t="n">
        <v>0.7708333333333334</v>
      </c>
      <c r="B40" s="5" t="n">
        <v>51493.93303938986</v>
      </c>
      <c r="C40" s="5" t="n">
        <v>5282.381235109347</v>
      </c>
      <c r="D40" s="5" t="n">
        <v>14746.46179584676</v>
      </c>
      <c r="E40" s="5" t="n">
        <v>9993.953285529758</v>
      </c>
      <c r="F40" s="5" t="n">
        <v>22447.76066345739</v>
      </c>
      <c r="G40" s="5" t="n">
        <v>15848.98766104041</v>
      </c>
      <c r="H40" s="5" t="n">
        <v>52921.82208051129</v>
      </c>
      <c r="I40" s="5" t="n">
        <v>401.6980461857852</v>
      </c>
      <c r="J40" s="5">
        <f>SUM(B40:E40)</f>
        <v/>
      </c>
      <c r="K40" s="5">
        <f>SUM(D40:I40)</f>
        <v/>
      </c>
      <c r="M40" s="10" t="n">
        <v>0.7708333333333334</v>
      </c>
      <c r="N40" s="8" t="n">
        <v>88085.30092684153</v>
      </c>
      <c r="O40" s="8" t="n">
        <v>12961.94176446745</v>
      </c>
      <c r="P40" s="8" t="n">
        <v>131923.159159919</v>
      </c>
      <c r="Q40" s="8" t="n">
        <v>1396.614008181666</v>
      </c>
      <c r="R40" s="8" t="n"/>
      <c r="S40" s="8" t="n"/>
      <c r="T40" s="8" t="n"/>
      <c r="U40" s="8" t="n"/>
      <c r="V40">
        <f>SUM(N40:Q40)</f>
        <v/>
      </c>
      <c r="W40" s="5">
        <f>SUM(P40:U40)</f>
        <v/>
      </c>
    </row>
    <row r="41">
      <c r="A41" s="10" t="n">
        <v>0.7916666666666666</v>
      </c>
      <c r="B41" s="5" t="n">
        <v>38216.45751296388</v>
      </c>
      <c r="C41" s="5" t="n">
        <v>3406.550797324339</v>
      </c>
      <c r="D41" s="5" t="n">
        <v>12119.04889866278</v>
      </c>
      <c r="E41" s="5" t="n">
        <v>8190.274879741708</v>
      </c>
      <c r="F41" s="5" t="n">
        <v>19040.55806577478</v>
      </c>
      <c r="G41" s="5" t="n">
        <v>17955.92970862008</v>
      </c>
      <c r="H41" s="5" t="n">
        <v>53090.61570722952</v>
      </c>
      <c r="I41" s="5" t="n">
        <v>329.6457905759873</v>
      </c>
      <c r="J41" s="5">
        <f>SUM(B41:E41)</f>
        <v/>
      </c>
      <c r="K41" s="5">
        <f>SUM(D41:I41)</f>
        <v/>
      </c>
      <c r="M41" s="10" t="n">
        <v>0.7916666666666666</v>
      </c>
      <c r="N41" s="8" t="n">
        <v>66351.67719375913</v>
      </c>
      <c r="O41" s="8" t="n">
        <v>9060.051167031495</v>
      </c>
      <c r="P41" s="8" t="n">
        <v>135341.7624713477</v>
      </c>
      <c r="Q41" s="8" t="n">
        <v>1089.828160224557</v>
      </c>
      <c r="R41" s="8" t="n"/>
      <c r="S41" s="8" t="n"/>
      <c r="T41" s="8" t="n"/>
      <c r="U41" s="8" t="n"/>
      <c r="V41">
        <f>SUM(N41:Q41)</f>
        <v/>
      </c>
      <c r="W41" s="5">
        <f>SUM(P41:U41)</f>
        <v/>
      </c>
    </row>
    <row r="42">
      <c r="A42" s="10" t="n">
        <v>0.8125</v>
      </c>
      <c r="B42" s="5" t="n">
        <v>28752.02031615348</v>
      </c>
      <c r="C42" s="5" t="n">
        <v>2136.605052072403</v>
      </c>
      <c r="D42" s="5" t="n">
        <v>9671.516914407663</v>
      </c>
      <c r="E42" s="5" t="n">
        <v>6236.061817002183</v>
      </c>
      <c r="F42" s="5" t="n">
        <v>15189.6822700693</v>
      </c>
      <c r="G42" s="5" t="n">
        <v>18326.41014425528</v>
      </c>
      <c r="H42" s="5" t="n">
        <v>52211.61248993845</v>
      </c>
      <c r="I42" s="5" t="n">
        <v>384.7247279141103</v>
      </c>
      <c r="J42" s="5">
        <f>SUM(B42:E42)</f>
        <v/>
      </c>
      <c r="K42" s="5">
        <f>SUM(D42:I42)</f>
        <v/>
      </c>
      <c r="M42" s="10" t="n">
        <v>0.8125</v>
      </c>
      <c r="N42" s="8" t="n">
        <v>49064.86790790428</v>
      </c>
      <c r="O42" s="8" t="n">
        <v>6813.226943455495</v>
      </c>
      <c r="P42" s="8" t="n">
        <v>134104.612809604</v>
      </c>
      <c r="Q42" s="8" t="n">
        <v>859.3854127334316</v>
      </c>
      <c r="R42" s="8" t="n"/>
      <c r="S42" s="8" t="n"/>
      <c r="T42" s="8" t="n"/>
      <c r="U42" s="8" t="n"/>
      <c r="V42">
        <f>SUM(N42:Q42)</f>
        <v/>
      </c>
      <c r="W42" s="5">
        <f>SUM(P42:U42)</f>
        <v/>
      </c>
    </row>
    <row r="43">
      <c r="A43" s="10" t="n">
        <v>0.8333333333333334</v>
      </c>
      <c r="B43" s="5" t="n">
        <v>22398.47074221745</v>
      </c>
      <c r="C43" s="5" t="n">
        <v>1245.12905222334</v>
      </c>
      <c r="D43" s="5" t="n">
        <v>7410.568867605167</v>
      </c>
      <c r="E43" s="5" t="n">
        <v>4403.392030720569</v>
      </c>
      <c r="F43" s="5" t="n">
        <v>11374.38114868367</v>
      </c>
      <c r="G43" s="5" t="n">
        <v>16793.42698575568</v>
      </c>
      <c r="H43" s="5" t="n">
        <v>49520.67533719141</v>
      </c>
      <c r="I43" s="5" t="n">
        <v>583.3908080390804</v>
      </c>
      <c r="J43" s="5">
        <f>SUM(B43:E43)</f>
        <v/>
      </c>
      <c r="K43" s="5">
        <f>SUM(D43:I43)</f>
        <v/>
      </c>
      <c r="M43" s="10" t="n">
        <v>0.8333333333333334</v>
      </c>
      <c r="N43" s="8" t="n">
        <v>36558.56365908512</v>
      </c>
      <c r="O43" s="8" t="n">
        <v>5521.793541086815</v>
      </c>
      <c r="P43" s="8" t="n">
        <v>127149.1122197229</v>
      </c>
      <c r="Q43" s="8" t="n">
        <v>718.2352048405108</v>
      </c>
      <c r="R43" s="8" t="n"/>
      <c r="S43" s="8" t="n"/>
      <c r="T43" s="8" t="n"/>
      <c r="U43" s="8" t="n"/>
      <c r="V43">
        <f>SUM(N43:Q43)</f>
        <v/>
      </c>
      <c r="W43" s="5">
        <f>SUM(P43:U43)</f>
        <v/>
      </c>
    </row>
    <row r="44">
      <c r="A44" s="10" t="n">
        <v>0.8541666666666666</v>
      </c>
      <c r="B44" s="5" t="n">
        <v>18143.70763390491</v>
      </c>
      <c r="C44" s="5" t="n">
        <v>652.854392150037</v>
      </c>
      <c r="D44" s="5" t="n">
        <v>5357.693338297109</v>
      </c>
      <c r="E44" s="5" t="n">
        <v>2897.404753665075</v>
      </c>
      <c r="F44" s="5" t="n">
        <v>8081.859574087224</v>
      </c>
      <c r="G44" s="5" t="n">
        <v>13889.75856072955</v>
      </c>
      <c r="H44" s="5" t="n">
        <v>44637.43312565378</v>
      </c>
      <c r="I44" s="5" t="n">
        <v>928.5265203848037</v>
      </c>
      <c r="J44" s="5">
        <f>SUM(B44:E44)</f>
        <v/>
      </c>
      <c r="K44" s="5">
        <f>SUM(D44:I44)</f>
        <v/>
      </c>
      <c r="M44" s="10" t="n">
        <v>0.8541666666666666</v>
      </c>
      <c r="N44" s="8" t="n">
        <v>27909.98647402758</v>
      </c>
      <c r="O44" s="8" t="n">
        <v>4719.495485045763</v>
      </c>
      <c r="P44" s="8" t="n">
        <v>115021.0339272786</v>
      </c>
      <c r="Q44" s="8" t="n">
        <v>654.5257554249921</v>
      </c>
      <c r="R44" s="8" t="n"/>
      <c r="S44" s="8" t="n"/>
      <c r="T44" s="8" t="n"/>
      <c r="U44" s="8" t="n"/>
      <c r="V44">
        <f>SUM(N44:Q44)</f>
        <v/>
      </c>
      <c r="W44" s="5">
        <f>SUM(P44:U44)</f>
        <v/>
      </c>
    </row>
    <row r="45">
      <c r="A45" s="10" t="n">
        <v>0.875</v>
      </c>
      <c r="B45" s="5" t="n">
        <v>15246.70872723692</v>
      </c>
      <c r="C45" s="5" t="n">
        <v>308.4495347847847</v>
      </c>
      <c r="D45" s="5" t="n">
        <v>3642.320249189614</v>
      </c>
      <c r="E45" s="5" t="n">
        <v>1796.590938094727</v>
      </c>
      <c r="F45" s="5" t="n">
        <v>5556.655218389265</v>
      </c>
      <c r="G45" s="5" t="n">
        <v>10486.58572199778</v>
      </c>
      <c r="H45" s="5" t="n">
        <v>37939.8352161945</v>
      </c>
      <c r="I45" s="5" t="n">
        <v>1357.584268410854</v>
      </c>
      <c r="J45" s="5">
        <f>SUM(B45:E45)</f>
        <v/>
      </c>
      <c r="K45" s="5">
        <f>SUM(D45:I45)</f>
        <v/>
      </c>
      <c r="M45" s="10" t="n">
        <v>0.875</v>
      </c>
      <c r="N45" s="8" t="n">
        <v>21921.09184069535</v>
      </c>
      <c r="O45" s="8" t="n">
        <v>4163.110760064842</v>
      </c>
      <c r="P45" s="8" t="n">
        <v>99627.83090668061</v>
      </c>
      <c r="Q45" s="8" t="n">
        <v>626.8833960338918</v>
      </c>
      <c r="R45" s="8" t="n"/>
      <c r="S45" s="8" t="n"/>
      <c r="T45" s="8" t="n"/>
      <c r="U45" s="8" t="n"/>
      <c r="V45">
        <f>SUM(N45:Q45)</f>
        <v/>
      </c>
      <c r="W45" s="5">
        <f>SUM(P45:U45)</f>
        <v/>
      </c>
    </row>
    <row r="46">
      <c r="A46" s="10" t="n">
        <v>0.8958333333333334</v>
      </c>
      <c r="B46" s="5" t="n">
        <v>13239.79620306273</v>
      </c>
      <c r="C46" s="5" t="n">
        <v>143.2346812264734</v>
      </c>
      <c r="D46" s="5" t="n">
        <v>2425.634512047467</v>
      </c>
      <c r="E46" s="5" t="n">
        <v>1073.318478406466</v>
      </c>
      <c r="F46" s="5" t="n">
        <v>3774.091896197602</v>
      </c>
      <c r="G46" s="5" t="n">
        <v>7333.938123413587</v>
      </c>
      <c r="H46" s="5" t="n">
        <v>30462.24943615251</v>
      </c>
      <c r="I46" s="5" t="n">
        <v>1722.739600570949</v>
      </c>
      <c r="J46" s="5">
        <f>SUM(B46:E46)</f>
        <v/>
      </c>
      <c r="K46" s="5">
        <f>SUM(D46:I46)</f>
        <v/>
      </c>
      <c r="M46" s="10" t="n">
        <v>0.8958333333333334</v>
      </c>
      <c r="N46" s="8" t="n">
        <v>17660.23417063006</v>
      </c>
      <c r="O46" s="8" t="n">
        <v>3751.399571859266</v>
      </c>
      <c r="P46" s="8" t="n">
        <v>83275.67207519661</v>
      </c>
      <c r="Q46" s="8" t="n">
        <v>586.51935768211</v>
      </c>
      <c r="R46" s="8" t="n"/>
      <c r="S46" s="8" t="n"/>
      <c r="T46" s="8" t="n"/>
      <c r="U46" s="8" t="n"/>
      <c r="V46">
        <f>SUM(N46:Q46)</f>
        <v/>
      </c>
      <c r="W46" s="5">
        <f>SUM(P46:U46)</f>
        <v/>
      </c>
    </row>
    <row r="47">
      <c r="A47" s="10" t="n">
        <v>0.9166666666666666</v>
      </c>
      <c r="B47" s="5" t="n">
        <v>11665.16826917288</v>
      </c>
      <c r="C47" s="5" t="n">
        <v>81.81119506142937</v>
      </c>
      <c r="D47" s="5" t="n">
        <v>1741.690782684066</v>
      </c>
      <c r="E47" s="5" t="n">
        <v>640.9480713976695</v>
      </c>
      <c r="F47" s="5" t="n">
        <v>2564.147926703635</v>
      </c>
      <c r="G47" s="5" t="n">
        <v>4813.388508528202</v>
      </c>
      <c r="H47" s="5" t="n">
        <v>23301.74807532394</v>
      </c>
      <c r="I47" s="5" t="n">
        <v>1853.962840379584</v>
      </c>
      <c r="J47" s="5">
        <f>SUM(B47:E47)</f>
        <v/>
      </c>
      <c r="K47" s="5">
        <f>SUM(D47:I47)</f>
        <v/>
      </c>
      <c r="M47" s="10" t="n">
        <v>0.9166666666666666</v>
      </c>
      <c r="N47" s="8" t="n">
        <v>14491.1781152417</v>
      </c>
      <c r="O47" s="8" t="n">
        <v>3423.716935904608</v>
      </c>
      <c r="P47" s="8" t="n">
        <v>67629.86318950618</v>
      </c>
      <c r="Q47" s="8" t="n">
        <v>506.1570957060119</v>
      </c>
      <c r="R47" s="8" t="n"/>
      <c r="S47" s="8" t="n"/>
      <c r="T47" s="8" t="n"/>
      <c r="U47" s="8" t="n"/>
      <c r="V47">
        <f>SUM(N47:Q47)</f>
        <v/>
      </c>
      <c r="W47" s="5">
        <f>SUM(P47:U47)</f>
        <v/>
      </c>
    </row>
    <row r="48">
      <c r="A48" s="10" t="n">
        <v>0.9375</v>
      </c>
      <c r="B48" s="5" t="n">
        <v>10018.69434845088</v>
      </c>
      <c r="C48" s="5" t="n">
        <v>64.82314069567849</v>
      </c>
      <c r="D48" s="5" t="n">
        <v>1436.515785405314</v>
      </c>
      <c r="E48" s="5" t="n">
        <v>398.063534242919</v>
      </c>
      <c r="F48" s="5" t="n">
        <v>1737.596925544236</v>
      </c>
      <c r="G48" s="5" t="n">
        <v>2977.436331052702</v>
      </c>
      <c r="H48" s="5" t="n">
        <v>17076.94761440801</v>
      </c>
      <c r="I48" s="5" t="n">
        <v>1674.339455674441</v>
      </c>
      <c r="J48" s="5">
        <f>SUM(B48:E48)</f>
        <v/>
      </c>
      <c r="K48" s="5">
        <f>SUM(D48:I48)</f>
        <v/>
      </c>
      <c r="M48" s="10" t="n">
        <v>0.9375</v>
      </c>
      <c r="N48" s="8" t="n">
        <v>11916.89763933115</v>
      </c>
      <c r="O48" s="8" t="n">
        <v>3098.599595996503</v>
      </c>
      <c r="P48" s="8" t="n">
        <v>53303.86109780286</v>
      </c>
      <c r="Q48" s="8" t="n">
        <v>391.3929026698346</v>
      </c>
      <c r="R48" s="8" t="n"/>
      <c r="S48" s="8" t="n"/>
      <c r="T48" s="8" t="n"/>
      <c r="U48" s="8" t="n"/>
      <c r="V48">
        <f>SUM(N48:Q48)</f>
        <v/>
      </c>
      <c r="W48" s="5">
        <f>SUM(P48:U48)</f>
        <v/>
      </c>
    </row>
    <row r="49">
      <c r="A49" s="10" t="n">
        <v>0.9583333333333334</v>
      </c>
      <c r="B49" s="5" t="n">
        <v>7991.370720348902</v>
      </c>
      <c r="C49" s="5" t="n">
        <v>58.22625197569539</v>
      </c>
      <c r="D49" s="5" t="n">
        <v>1266.062722002415</v>
      </c>
      <c r="E49" s="5" t="n">
        <v>259.5543761866763</v>
      </c>
      <c r="F49" s="5" t="n">
        <v>1151.798607510263</v>
      </c>
      <c r="G49" s="5" t="n">
        <v>1721.959196627793</v>
      </c>
      <c r="H49" s="5" t="n">
        <v>11897.71637286292</v>
      </c>
      <c r="I49" s="5" t="n">
        <v>1261.165542560508</v>
      </c>
      <c r="J49" s="5">
        <f>SUM(B49:E49)</f>
        <v/>
      </c>
      <c r="K49" s="5">
        <f>SUM(D49:I49)</f>
        <v/>
      </c>
      <c r="M49" s="10" t="n">
        <v>0.9583333333333334</v>
      </c>
      <c r="N49" s="8" t="n">
        <v>9542.648468707341</v>
      </c>
      <c r="O49" s="8" t="n">
        <v>2686.694564325262</v>
      </c>
      <c r="P49" s="8" t="n">
        <v>40251.34272284647</v>
      </c>
      <c r="Q49" s="8" t="n">
        <v>268.5504951129195</v>
      </c>
      <c r="R49" s="8" t="n"/>
      <c r="S49" s="8" t="n"/>
      <c r="T49" s="8" t="n"/>
      <c r="U49" s="8" t="n"/>
      <c r="V49">
        <f>SUM(N49:Q49)</f>
        <v/>
      </c>
      <c r="W49" s="5">
        <f>SUM(P49:U49)</f>
        <v/>
      </c>
    </row>
    <row r="50">
      <c r="A50" s="10" t="n">
        <v>0.9791666666666666</v>
      </c>
      <c r="B50" s="5" t="n">
        <v>5682.197736435625</v>
      </c>
      <c r="C50" s="5" t="n">
        <v>48.94145157522863</v>
      </c>
      <c r="D50" s="5" t="n">
        <v>1052.243453958989</v>
      </c>
      <c r="E50" s="5" t="n">
        <v>170.7254730299775</v>
      </c>
      <c r="F50" s="5" t="n">
        <v>724.9244910024959</v>
      </c>
      <c r="G50" s="5" t="n">
        <v>915.6826694105016</v>
      </c>
      <c r="H50" s="5" t="n">
        <v>7701.650874091029</v>
      </c>
      <c r="I50" s="5" t="n">
        <v>788.397256030957</v>
      </c>
      <c r="J50" s="5">
        <f>SUM(B50:E50)</f>
        <v/>
      </c>
      <c r="K50" s="5">
        <f>SUM(D50:I50)</f>
        <v/>
      </c>
      <c r="M50" s="10" t="n">
        <v>0.9791666666666666</v>
      </c>
      <c r="N50" s="8" t="n">
        <v>7178.470887827204</v>
      </c>
      <c r="O50" s="8" t="n">
        <v>2149.791885484478</v>
      </c>
      <c r="P50" s="8" t="n">
        <v>28473.84949312742</v>
      </c>
      <c r="Q50" s="8" t="n">
        <v>163.4870698060082</v>
      </c>
      <c r="R50" s="8" t="n"/>
      <c r="S50" s="8" t="n"/>
      <c r="T50" s="8" t="n"/>
      <c r="U50" s="8" t="n"/>
      <c r="V50">
        <f>SUM(N50:Q50)</f>
        <v/>
      </c>
      <c r="W50" s="5">
        <f>SUM(P50:U50)</f>
        <v/>
      </c>
    </row>
    <row r="51">
      <c r="A51" s="10" t="n">
        <v>1</v>
      </c>
      <c r="B51" s="5" t="n">
        <v>3496.600909538081</v>
      </c>
      <c r="C51" s="5" t="n">
        <v>35.94110049145757</v>
      </c>
      <c r="D51" s="5" t="n">
        <v>760.9452582705603</v>
      </c>
      <c r="E51" s="5" t="n">
        <v>106.0597072747987</v>
      </c>
      <c r="F51" s="5" t="n">
        <v>419.9553336289304</v>
      </c>
      <c r="G51" s="5" t="n">
        <v>439.7916451853432</v>
      </c>
      <c r="H51" s="5" t="n">
        <v>4492.840636480609</v>
      </c>
      <c r="I51" s="5" t="n">
        <v>407.2508806316467</v>
      </c>
      <c r="J51" s="5">
        <f>SUM(B51:E51)</f>
        <v/>
      </c>
      <c r="K51" s="5">
        <f>SUM(D51:I51)</f>
        <v/>
      </c>
      <c r="M51" s="10" t="n">
        <v>1</v>
      </c>
      <c r="N51" s="8" t="n">
        <v>4900.850089815795</v>
      </c>
      <c r="O51" s="8" t="n">
        <v>1537.311318148012</v>
      </c>
      <c r="P51" s="8" t="n">
        <v>18377.75577638211</v>
      </c>
      <c r="Q51" s="8" t="n">
        <v>88.57977327249068</v>
      </c>
      <c r="R51" s="8" t="n"/>
      <c r="S51" s="8" t="n"/>
      <c r="T51" s="8" t="n"/>
      <c r="U51" s="8" t="n"/>
      <c r="V51">
        <f>SUM(N51:Q51)</f>
        <v/>
      </c>
      <c r="W51" s="5">
        <f>SUM(P51:U51)</f>
        <v/>
      </c>
    </row>
    <row r="52">
      <c r="A52" s="10" t="n">
        <v>1.020833333333333</v>
      </c>
      <c r="B52" s="5" t="n">
        <v>1821.897868067565</v>
      </c>
      <c r="C52" s="5" t="n">
        <v>22.60600901762204</v>
      </c>
      <c r="D52" s="5" t="n">
        <v>460.6133734697871</v>
      </c>
      <c r="E52" s="5" t="n">
        <v>58.57961303091304</v>
      </c>
      <c r="F52" s="5" t="n">
        <v>218.0177283141012</v>
      </c>
      <c r="G52" s="5" t="n">
        <v>188.0556813501893</v>
      </c>
      <c r="H52" s="5" t="n">
        <v>2292.667737641711</v>
      </c>
      <c r="I52" s="5" t="n">
        <v>173.3935738576969</v>
      </c>
      <c r="J52" s="5">
        <f>SUM(B52:E52)</f>
        <v/>
      </c>
      <c r="K52" s="5">
        <f>SUM(D52:I52)</f>
        <v/>
      </c>
      <c r="M52" s="10" t="n">
        <v>1.020833333333333</v>
      </c>
      <c r="N52" s="8" t="n">
        <v>2949.502029962317</v>
      </c>
      <c r="O52" s="8" t="n">
        <v>957.8169609796093</v>
      </c>
      <c r="P52" s="8" t="n">
        <v>10544.82924455366</v>
      </c>
      <c r="Q52" s="8" t="n">
        <v>42.76320930457277</v>
      </c>
      <c r="R52" s="8" t="n"/>
      <c r="S52" s="8" t="n"/>
      <c r="T52" s="8" t="n"/>
      <c r="U52" s="8" t="n"/>
      <c r="V52">
        <f>SUM(N52:Q52)</f>
        <v/>
      </c>
      <c r="W52" s="5">
        <f>SUM(P52:U52)</f>
        <v/>
      </c>
    </row>
    <row r="53">
      <c r="A53" s="10" t="n">
        <v>0.04166666666666666</v>
      </c>
      <c r="B53" s="5" t="n">
        <v>788.57270321102</v>
      </c>
      <c r="C53" s="5" t="n">
        <v>12.05245418121665</v>
      </c>
      <c r="D53" s="5" t="n">
        <v>228.2843176058129</v>
      </c>
      <c r="E53" s="5" t="n">
        <v>27.48030129486013</v>
      </c>
      <c r="F53" s="5" t="n">
        <v>99.23872198204852</v>
      </c>
      <c r="G53" s="5" t="n">
        <v>70.74941214876614</v>
      </c>
      <c r="H53" s="5" t="n">
        <v>997.1248947081548</v>
      </c>
      <c r="I53" s="5" t="n">
        <v>61.05144271221831</v>
      </c>
      <c r="J53" s="5">
        <f>SUM(B53:E53)</f>
        <v/>
      </c>
      <c r="K53" s="5">
        <f>SUM(D53:I53)</f>
        <v/>
      </c>
      <c r="M53" s="10" t="n">
        <v>0.04166666666666666</v>
      </c>
      <c r="N53" s="8" t="n">
        <v>1526.960222510344</v>
      </c>
      <c r="O53" s="8" t="n">
        <v>509.0380976439673</v>
      </c>
      <c r="P53" s="8" t="n">
        <v>5249.527568786541</v>
      </c>
      <c r="Q53" s="8" t="n">
        <v>18.29494776530743</v>
      </c>
      <c r="R53" s="8" t="n"/>
      <c r="S53" s="8" t="n"/>
      <c r="T53" s="8" t="n"/>
      <c r="U53" s="8" t="n"/>
      <c r="V53">
        <f>SUM(N53:Q53)</f>
        <v/>
      </c>
      <c r="W53" s="5">
        <f>SUM(P53:U53)</f>
        <v/>
      </c>
    </row>
    <row r="54">
      <c r="A54" s="10" t="n">
        <v>0.0625</v>
      </c>
      <c r="B54" s="5" t="n">
        <v>277.6904081079254</v>
      </c>
      <c r="C54" s="5" t="n">
        <v>5.380265250229654</v>
      </c>
      <c r="D54" s="5" t="n">
        <v>90.80733557263568</v>
      </c>
      <c r="E54" s="5" t="n">
        <v>10.55906611875395</v>
      </c>
      <c r="F54" s="5" t="n">
        <v>38.84280421193753</v>
      </c>
      <c r="G54" s="5" t="n">
        <v>23.07427169709984</v>
      </c>
      <c r="H54" s="5" t="n">
        <v>360.9946421238233</v>
      </c>
      <c r="I54" s="5" t="n">
        <v>18.0643300700785</v>
      </c>
      <c r="J54" s="5">
        <f>SUM(B54:E54)</f>
        <v/>
      </c>
      <c r="K54" s="5">
        <f>SUM(D54:I54)</f>
        <v/>
      </c>
      <c r="M54" s="10" t="n">
        <v>0.0625</v>
      </c>
      <c r="N54" s="8" t="n">
        <v>664.7225743214249</v>
      </c>
      <c r="O54" s="8" t="n">
        <v>226.1261955779289</v>
      </c>
      <c r="P54" s="8" t="n">
        <v>2214.077938003359</v>
      </c>
      <c r="Q54" s="8" t="n">
        <v>6.832460133038128</v>
      </c>
      <c r="R54" s="8" t="n"/>
      <c r="S54" s="8" t="n"/>
      <c r="T54" s="8" t="n"/>
      <c r="U54" s="8" t="n"/>
      <c r="V54">
        <f>SUM(N54:Q54)</f>
        <v/>
      </c>
      <c r="W54" s="5">
        <f>SUM(P54:U54)</f>
        <v/>
      </c>
    </row>
    <row r="55">
      <c r="A55" s="10" t="n">
        <v>0.08333333333333333</v>
      </c>
      <c r="B55" s="5" t="n">
        <v>77.4566573114008</v>
      </c>
      <c r="C55" s="5" t="n">
        <v>1.974864229654944</v>
      </c>
      <c r="D55" s="5" t="n">
        <v>28.26504122971336</v>
      </c>
      <c r="E55" s="5" t="n">
        <v>3.208713676122375</v>
      </c>
      <c r="F55" s="5" t="n">
        <v>12.80010970607898</v>
      </c>
      <c r="G55" s="5" t="n">
        <v>6.363905651880201</v>
      </c>
      <c r="H55" s="5" t="n">
        <v>106.1598882446359</v>
      </c>
      <c r="I55" s="5" t="n">
        <v>4.641701023617979</v>
      </c>
      <c r="J55" s="5">
        <f>SUM(B55:E55)</f>
        <v/>
      </c>
      <c r="K55" s="5">
        <f>SUM(D55:I55)</f>
        <v/>
      </c>
      <c r="M55" s="10" t="n">
        <v>0.08333333333333333</v>
      </c>
      <c r="N55" s="8" t="n">
        <v>237.4791807549489</v>
      </c>
      <c r="O55" s="8" t="n">
        <v>82.08251875486749</v>
      </c>
      <c r="P55" s="8" t="n">
        <v>771.0692357273881</v>
      </c>
      <c r="Q55" s="8" t="n">
        <v>2.17128568845721</v>
      </c>
      <c r="R55" s="8" t="n"/>
      <c r="S55" s="8" t="n"/>
      <c r="T55" s="8" t="n"/>
      <c r="U55" s="8" t="n"/>
      <c r="V55">
        <f>SUM(N55:Q55)</f>
        <v/>
      </c>
      <c r="W55" s="5">
        <f>SUM(P55:U55)</f>
        <v/>
      </c>
    </row>
    <row r="56">
      <c r="A56" s="10" t="n">
        <v>0.1041666666666667</v>
      </c>
      <c r="B56" s="5" t="n">
        <v>16.46638312751773</v>
      </c>
      <c r="C56" s="5" t="n">
        <v>0.5801108150988207</v>
      </c>
      <c r="D56" s="5" t="n">
        <v>6.630277437724563</v>
      </c>
      <c r="E56" s="5" t="n">
        <v>0.7387814550479619</v>
      </c>
      <c r="F56" s="5" t="n">
        <v>3.454027655577539</v>
      </c>
      <c r="G56" s="5" t="n">
        <v>1.425107111613122</v>
      </c>
      <c r="H56" s="5" t="n">
        <v>24.61499169638662</v>
      </c>
      <c r="I56" s="5" t="n">
        <v>1.067874747915909</v>
      </c>
      <c r="J56" s="5">
        <f>SUM(B56:E56)</f>
        <v/>
      </c>
      <c r="K56" s="5">
        <f>SUM(D56:I56)</f>
        <v/>
      </c>
      <c r="M56" s="10" t="n">
        <v>0.1041666666666667</v>
      </c>
      <c r="N56" s="8" t="n">
        <v>67.56827363524042</v>
      </c>
      <c r="O56" s="8" t="n">
        <v>23.65394557773316</v>
      </c>
      <c r="P56" s="8" t="n">
        <v>214.8947883152036</v>
      </c>
      <c r="Q56" s="8" t="n">
        <v>0.5663098711741117</v>
      </c>
      <c r="R56" s="8" t="n"/>
      <c r="S56" s="8" t="n"/>
      <c r="T56" s="8" t="n"/>
      <c r="U56" s="8" t="n"/>
      <c r="V56">
        <f>SUM(N56:Q56)</f>
        <v/>
      </c>
      <c r="W56" s="5">
        <f>SUM(P56:U56)</f>
        <v/>
      </c>
    </row>
    <row r="57">
      <c r="A57" s="10" t="n">
        <v>0.125</v>
      </c>
      <c r="B57" s="5" t="n">
        <v>2.497401542104488</v>
      </c>
      <c r="C57" s="5" t="n">
        <v>0.1288148058029541</v>
      </c>
      <c r="D57" s="5" t="n">
        <v>1.096515539929382</v>
      </c>
      <c r="E57" s="5" t="n">
        <v>0.1202649297090819</v>
      </c>
      <c r="F57" s="5" t="n">
        <v>0.7213988794726887</v>
      </c>
      <c r="G57" s="5" t="n">
        <v>0.2416310204669376</v>
      </c>
      <c r="H57" s="5" t="n">
        <v>4.277100384778291</v>
      </c>
      <c r="I57" s="5" t="n">
        <v>0.2117030093992797</v>
      </c>
      <c r="J57" s="5">
        <f>SUM(B57:E57)</f>
        <v/>
      </c>
      <c r="K57" s="5">
        <f>SUM(D57:I57)</f>
        <v/>
      </c>
      <c r="M57" s="10" t="n">
        <v>0.125</v>
      </c>
      <c r="N57" s="8" t="n">
        <v>14.4704646103355</v>
      </c>
      <c r="O57" s="8" t="n">
        <v>5.117308350666593</v>
      </c>
      <c r="P57" s="8" t="n">
        <v>45.26691923297012</v>
      </c>
      <c r="Q57" s="8" t="n">
        <v>0.1138568686087584</v>
      </c>
      <c r="R57" s="8" t="n"/>
      <c r="S57" s="8" t="n"/>
      <c r="T57" s="8" t="n"/>
      <c r="U57" s="8" t="n"/>
      <c r="V57">
        <f>SUM(N57:Q57)</f>
        <v/>
      </c>
      <c r="W57" s="5">
        <f>SUM(P57:U57)</f>
        <v/>
      </c>
    </row>
    <row r="58">
      <c r="A58" s="17" t="inlineStr">
        <is>
          <t>After 27:00</t>
        </is>
      </c>
      <c r="B58" s="18" t="n">
        <v>0</v>
      </c>
      <c r="C58" s="18" t="n">
        <v>0</v>
      </c>
      <c r="D58" s="18" t="n">
        <v>0</v>
      </c>
      <c r="E58" s="18" t="n">
        <v>0</v>
      </c>
      <c r="F58" s="18" t="n">
        <v>0</v>
      </c>
      <c r="G58" s="18" t="n">
        <v>0</v>
      </c>
      <c r="H58" s="18" t="n">
        <v>0</v>
      </c>
      <c r="I58" s="18" t="n">
        <v>0</v>
      </c>
      <c r="J58" s="18">
        <f>SUM(B58:E58)</f>
        <v/>
      </c>
      <c r="K58" s="5">
        <f>SUM(D58:I58)</f>
        <v/>
      </c>
      <c r="M58" s="17" t="inlineStr">
        <is>
          <t>After 27:00</t>
        </is>
      </c>
      <c r="N58" s="20" t="n">
        <v>0</v>
      </c>
      <c r="O58" s="20" t="n">
        <v>0</v>
      </c>
      <c r="P58" s="20" t="n">
        <v>0</v>
      </c>
      <c r="Q58" s="20" t="n">
        <v>0</v>
      </c>
      <c r="R58" s="20" t="n"/>
      <c r="S58" s="20" t="n"/>
      <c r="T58" s="20" t="n"/>
      <c r="U58" s="20" t="n"/>
      <c r="V58" s="19">
        <f>SUM(N58:Q58)</f>
        <v/>
      </c>
      <c r="W58" s="5">
        <f>SUM(P58:U58)</f>
        <v/>
      </c>
    </row>
    <row r="59" ht="15.75" customHeight="1" s="71" thickBot="1">
      <c r="A59" s="1" t="n"/>
      <c r="B59" s="6">
        <f>SUM(B8:B58)</f>
        <v/>
      </c>
      <c r="C59" s="6">
        <f>SUM(C8:C58)</f>
        <v/>
      </c>
      <c r="D59" s="6">
        <f>SUM(D8:D58)</f>
        <v/>
      </c>
      <c r="E59" s="6">
        <f>SUM(E8:E58)</f>
        <v/>
      </c>
      <c r="F59" s="6">
        <f>SUM(F8:F58)</f>
        <v/>
      </c>
      <c r="G59" s="6">
        <f>SUM(G8:G58)</f>
        <v/>
      </c>
      <c r="H59" s="6">
        <f>SUM(H8:H58)</f>
        <v/>
      </c>
      <c r="I59" s="6">
        <f>SUM(I8:I58)</f>
        <v/>
      </c>
      <c r="J59" s="6">
        <f>SUM(J8:J58)</f>
        <v/>
      </c>
      <c r="K59" s="6">
        <f>SUM(K8:K58)</f>
        <v/>
      </c>
      <c r="M59" s="1" t="n"/>
      <c r="N59" s="6">
        <f>SUM(N8:N58)</f>
        <v/>
      </c>
      <c r="O59" s="6">
        <f>SUM(O8:O58)</f>
        <v/>
      </c>
      <c r="P59" s="6">
        <f>SUM(P8:P58)</f>
        <v/>
      </c>
      <c r="Q59" s="6">
        <f>SUM(Q8:Q58)</f>
        <v/>
      </c>
      <c r="R59" s="6">
        <f>SUM(R8:R58)</f>
        <v/>
      </c>
      <c r="S59" s="6">
        <f>SUM(S8:S58)</f>
        <v/>
      </c>
      <c r="T59" s="6">
        <f>SUM(T8:T58)</f>
        <v/>
      </c>
      <c r="U59" s="6">
        <f>SUM(U8:U58)</f>
        <v/>
      </c>
      <c r="V59" s="6">
        <f>SUM(V8:V58)</f>
        <v/>
      </c>
      <c r="W59" s="6">
        <f>SUM(W8:W58)</f>
        <v/>
      </c>
    </row>
    <row r="63" ht="15.75" customHeight="1" s="71" thickBot="1">
      <c r="A63" s="3" t="inlineStr">
        <is>
          <t>Table X. Observed Tour Arrival at PD Times: Survey</t>
        </is>
      </c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M63" s="3" t="inlineStr">
        <is>
          <t>Table X. Estimated Tour Arrival at PD Times: DaySim</t>
        </is>
      </c>
      <c r="N63" s="1" t="n"/>
      <c r="O63" s="1" t="n"/>
      <c r="P63" s="1" t="n"/>
      <c r="Q63" s="1" t="n"/>
      <c r="R63" s="1" t="n"/>
      <c r="S63" s="1" t="n"/>
      <c r="T63" s="1" t="n"/>
      <c r="U63" s="1" t="n"/>
      <c r="V63" s="1" t="n"/>
    </row>
    <row r="64">
      <c r="A64" s="2" t="inlineStr">
        <is>
          <t>Timeperiod</t>
        </is>
      </c>
      <c r="B64" s="4" t="inlineStr">
        <is>
          <t>Work</t>
        </is>
      </c>
      <c r="C64" s="4" t="inlineStr">
        <is>
          <t>School</t>
        </is>
      </c>
      <c r="D64" s="4" t="inlineStr">
        <is>
          <t>Escort</t>
        </is>
      </c>
      <c r="E64" s="4" t="inlineStr">
        <is>
          <t>Per Busi</t>
        </is>
      </c>
      <c r="F64" s="4" t="inlineStr">
        <is>
          <t>Shopping</t>
        </is>
      </c>
      <c r="G64" s="4" t="inlineStr">
        <is>
          <t>Meal</t>
        </is>
      </c>
      <c r="H64" s="4" t="inlineStr">
        <is>
          <t>Soc&amp;Rec</t>
        </is>
      </c>
      <c r="I64" s="4" t="inlineStr">
        <is>
          <t>Other</t>
        </is>
      </c>
      <c r="J64" s="4" t="inlineStr">
        <is>
          <t>Survey</t>
        </is>
      </c>
      <c r="K64" s="4" t="inlineStr">
        <is>
          <t>Except Work, Work-related, School</t>
        </is>
      </c>
      <c r="M64" s="2" t="inlineStr">
        <is>
          <t>Timeperiod</t>
        </is>
      </c>
      <c r="N64" s="4" t="inlineStr">
        <is>
          <t>Work</t>
        </is>
      </c>
      <c r="O64" s="4" t="inlineStr">
        <is>
          <t>School</t>
        </is>
      </c>
      <c r="P64" s="4" t="inlineStr">
        <is>
          <t>Escort</t>
        </is>
      </c>
      <c r="Q64" s="4" t="inlineStr">
        <is>
          <t>Per Busi</t>
        </is>
      </c>
      <c r="R64" s="4" t="inlineStr">
        <is>
          <t>Shopping</t>
        </is>
      </c>
      <c r="S64" s="4" t="inlineStr">
        <is>
          <t>Meal</t>
        </is>
      </c>
      <c r="T64" s="4" t="inlineStr">
        <is>
          <t>Soc&amp;Rec</t>
        </is>
      </c>
      <c r="U64" s="4" t="inlineStr">
        <is>
          <t>Other</t>
        </is>
      </c>
      <c r="V64" s="4" t="inlineStr">
        <is>
          <t>DaySim</t>
        </is>
      </c>
      <c r="W64" s="4" t="inlineStr">
        <is>
          <t>Except Work, Work-related, School</t>
        </is>
      </c>
    </row>
    <row r="65">
      <c r="A65" t="inlineStr">
        <is>
          <t>Before 3:00am</t>
        </is>
      </c>
      <c r="B65" s="14">
        <f>B8/B$59</f>
        <v/>
      </c>
      <c r="C65" s="14">
        <f>C8/C$59</f>
        <v/>
      </c>
      <c r="D65" s="14">
        <f>D8/D$59</f>
        <v/>
      </c>
      <c r="E65" s="14">
        <f>E8/E$59</f>
        <v/>
      </c>
      <c r="F65" s="14">
        <f>F8/F$59</f>
        <v/>
      </c>
      <c r="G65" s="14">
        <f>G8/G$59</f>
        <v/>
      </c>
      <c r="H65" s="14">
        <f>H8/H$59</f>
        <v/>
      </c>
      <c r="I65" s="14">
        <f>I8/I$59</f>
        <v/>
      </c>
      <c r="J65" s="14">
        <f>J8/J$59</f>
        <v/>
      </c>
      <c r="K65" s="14">
        <f>K8/K$59</f>
        <v/>
      </c>
      <c r="M65" t="inlineStr">
        <is>
          <t>Before 3:00am</t>
        </is>
      </c>
      <c r="N65" s="13">
        <f>N8/N$59</f>
        <v/>
      </c>
      <c r="O65" s="13">
        <f>O8/O$59</f>
        <v/>
      </c>
      <c r="P65" s="13">
        <f>P8/P$59</f>
        <v/>
      </c>
      <c r="Q65" s="13">
        <f>Q8/Q$59</f>
        <v/>
      </c>
      <c r="R65" s="13">
        <f>R8/R$59</f>
        <v/>
      </c>
      <c r="S65" s="13">
        <f>S8/S$59</f>
        <v/>
      </c>
      <c r="T65" s="13">
        <f>T8/T$59</f>
        <v/>
      </c>
      <c r="U65" s="13">
        <f>U8/U$59</f>
        <v/>
      </c>
      <c r="V65" s="14">
        <f>V8/V$59</f>
        <v/>
      </c>
      <c r="W65" s="14">
        <f>W8/W$59</f>
        <v/>
      </c>
    </row>
    <row r="66">
      <c r="A66" s="10" t="n">
        <v>0.125</v>
      </c>
      <c r="B66" s="14">
        <f>B9/B$59</f>
        <v/>
      </c>
      <c r="C66" s="14">
        <f>C9/C$59</f>
        <v/>
      </c>
      <c r="D66" s="14">
        <f>D9/D$59</f>
        <v/>
      </c>
      <c r="E66" s="14">
        <f>E9/E$59</f>
        <v/>
      </c>
      <c r="F66" s="14">
        <f>F9/F$59</f>
        <v/>
      </c>
      <c r="G66" s="14">
        <f>G9/G$59</f>
        <v/>
      </c>
      <c r="H66" s="14">
        <f>H9/H$59</f>
        <v/>
      </c>
      <c r="I66" s="14">
        <f>I9/I$59</f>
        <v/>
      </c>
      <c r="J66" s="14">
        <f>J9/J$59</f>
        <v/>
      </c>
      <c r="K66" s="14">
        <f>K9/K$59</f>
        <v/>
      </c>
      <c r="M66" s="10" t="n">
        <v>0.125</v>
      </c>
      <c r="N66" s="13">
        <f>N9/N$59</f>
        <v/>
      </c>
      <c r="O66" s="13">
        <f>O9/O$59</f>
        <v/>
      </c>
      <c r="P66" s="13">
        <f>P9/P$59</f>
        <v/>
      </c>
      <c r="Q66" s="13">
        <f>Q9/Q$59</f>
        <v/>
      </c>
      <c r="R66" s="13">
        <f>R9/R$59</f>
        <v/>
      </c>
      <c r="S66" s="13">
        <f>S9/S$59</f>
        <v/>
      </c>
      <c r="T66" s="13">
        <f>T9/T$59</f>
        <v/>
      </c>
      <c r="U66" s="13">
        <f>U9/U$59</f>
        <v/>
      </c>
      <c r="V66" s="14">
        <f>V9/V$59</f>
        <v/>
      </c>
      <c r="W66" s="14">
        <f>W9/W$59</f>
        <v/>
      </c>
    </row>
    <row r="67">
      <c r="A67" s="10" t="n">
        <v>0.1458333333333333</v>
      </c>
      <c r="B67" s="14">
        <f>B10/B$59</f>
        <v/>
      </c>
      <c r="C67" s="14">
        <f>C10/C$59</f>
        <v/>
      </c>
      <c r="D67" s="14">
        <f>D10/D$59</f>
        <v/>
      </c>
      <c r="E67" s="14">
        <f>E10/E$59</f>
        <v/>
      </c>
      <c r="F67" s="14">
        <f>F10/F$59</f>
        <v/>
      </c>
      <c r="G67" s="14">
        <f>G10/G$59</f>
        <v/>
      </c>
      <c r="H67" s="14">
        <f>H10/H$59</f>
        <v/>
      </c>
      <c r="I67" s="14">
        <f>I10/I$59</f>
        <v/>
      </c>
      <c r="J67" s="14">
        <f>J10/J$59</f>
        <v/>
      </c>
      <c r="K67" s="14">
        <f>K10/K$59</f>
        <v/>
      </c>
      <c r="M67" s="10" t="n">
        <v>0.1458333333333333</v>
      </c>
      <c r="N67" s="13">
        <f>N10/N$59</f>
        <v/>
      </c>
      <c r="O67" s="13">
        <f>O10/O$59</f>
        <v/>
      </c>
      <c r="P67" s="13">
        <f>P10/P$59</f>
        <v/>
      </c>
      <c r="Q67" s="13">
        <f>Q10/Q$59</f>
        <v/>
      </c>
      <c r="R67" s="13">
        <f>R10/R$59</f>
        <v/>
      </c>
      <c r="S67" s="13">
        <f>S10/S$59</f>
        <v/>
      </c>
      <c r="T67" s="13">
        <f>T10/T$59</f>
        <v/>
      </c>
      <c r="U67" s="13">
        <f>U10/U$59</f>
        <v/>
      </c>
      <c r="V67" s="14">
        <f>V10/V$59</f>
        <v/>
      </c>
      <c r="W67" s="14">
        <f>W10/W$59</f>
        <v/>
      </c>
    </row>
    <row r="68">
      <c r="A68" s="10" t="n">
        <v>0.1666666666666667</v>
      </c>
      <c r="B68" s="14">
        <f>B11/B$59</f>
        <v/>
      </c>
      <c r="C68" s="14">
        <f>C11/C$59</f>
        <v/>
      </c>
      <c r="D68" s="14">
        <f>D11/D$59</f>
        <v/>
      </c>
      <c r="E68" s="14">
        <f>E11/E$59</f>
        <v/>
      </c>
      <c r="F68" s="14">
        <f>F11/F$59</f>
        <v/>
      </c>
      <c r="G68" s="14">
        <f>G11/G$59</f>
        <v/>
      </c>
      <c r="H68" s="14">
        <f>H11/H$59</f>
        <v/>
      </c>
      <c r="I68" s="14">
        <f>I11/I$59</f>
        <v/>
      </c>
      <c r="J68" s="14">
        <f>J11/J$59</f>
        <v/>
      </c>
      <c r="K68" s="14">
        <f>K11/K$59</f>
        <v/>
      </c>
      <c r="M68" s="10" t="n">
        <v>0.1666666666666667</v>
      </c>
      <c r="N68" s="13">
        <f>N11/N$59</f>
        <v/>
      </c>
      <c r="O68" s="13">
        <f>O11/O$59</f>
        <v/>
      </c>
      <c r="P68" s="13">
        <f>P11/P$59</f>
        <v/>
      </c>
      <c r="Q68" s="13">
        <f>Q11/Q$59</f>
        <v/>
      </c>
      <c r="R68" s="13">
        <f>R11/R$59</f>
        <v/>
      </c>
      <c r="S68" s="13">
        <f>S11/S$59</f>
        <v/>
      </c>
      <c r="T68" s="13">
        <f>T11/T$59</f>
        <v/>
      </c>
      <c r="U68" s="13">
        <f>U11/U$59</f>
        <v/>
      </c>
      <c r="V68" s="14">
        <f>V11/V$59</f>
        <v/>
      </c>
      <c r="W68" s="14">
        <f>W11/W$59</f>
        <v/>
      </c>
    </row>
    <row r="69">
      <c r="A69" s="10" t="n">
        <v>0.1875</v>
      </c>
      <c r="B69" s="14">
        <f>B12/B$59</f>
        <v/>
      </c>
      <c r="C69" s="14">
        <f>C12/C$59</f>
        <v/>
      </c>
      <c r="D69" s="14">
        <f>D12/D$59</f>
        <v/>
      </c>
      <c r="E69" s="14">
        <f>E12/E$59</f>
        <v/>
      </c>
      <c r="F69" s="14">
        <f>F12/F$59</f>
        <v/>
      </c>
      <c r="G69" s="14">
        <f>G12/G$59</f>
        <v/>
      </c>
      <c r="H69" s="14">
        <f>H12/H$59</f>
        <v/>
      </c>
      <c r="I69" s="14">
        <f>I12/I$59</f>
        <v/>
      </c>
      <c r="J69" s="14">
        <f>J12/J$59</f>
        <v/>
      </c>
      <c r="K69" s="14">
        <f>K12/K$59</f>
        <v/>
      </c>
      <c r="M69" s="10" t="n">
        <v>0.1875</v>
      </c>
      <c r="N69" s="13">
        <f>N12/N$59</f>
        <v/>
      </c>
      <c r="O69" s="13">
        <f>O12/O$59</f>
        <v/>
      </c>
      <c r="P69" s="13">
        <f>P12/P$59</f>
        <v/>
      </c>
      <c r="Q69" s="13">
        <f>Q12/Q$59</f>
        <v/>
      </c>
      <c r="R69" s="13">
        <f>R12/R$59</f>
        <v/>
      </c>
      <c r="S69" s="13">
        <f>S12/S$59</f>
        <v/>
      </c>
      <c r="T69" s="13">
        <f>T12/T$59</f>
        <v/>
      </c>
      <c r="U69" s="13">
        <f>U12/U$59</f>
        <v/>
      </c>
      <c r="V69" s="14">
        <f>V12/V$59</f>
        <v/>
      </c>
      <c r="W69" s="14">
        <f>W12/W$59</f>
        <v/>
      </c>
    </row>
    <row r="70">
      <c r="A70" s="10" t="n">
        <v>0.2083333333333333</v>
      </c>
      <c r="B70" s="14">
        <f>B13/B$59</f>
        <v/>
      </c>
      <c r="C70" s="14">
        <f>C13/C$59</f>
        <v/>
      </c>
      <c r="D70" s="14">
        <f>D13/D$59</f>
        <v/>
      </c>
      <c r="E70" s="14">
        <f>E13/E$59</f>
        <v/>
      </c>
      <c r="F70" s="14">
        <f>F13/F$59</f>
        <v/>
      </c>
      <c r="G70" s="14">
        <f>G13/G$59</f>
        <v/>
      </c>
      <c r="H70" s="14">
        <f>H13/H$59</f>
        <v/>
      </c>
      <c r="I70" s="14">
        <f>I13/I$59</f>
        <v/>
      </c>
      <c r="J70" s="14">
        <f>J13/J$59</f>
        <v/>
      </c>
      <c r="K70" s="14">
        <f>K13/K$59</f>
        <v/>
      </c>
      <c r="M70" s="10" t="n">
        <v>0.2083333333333333</v>
      </c>
      <c r="N70" s="13">
        <f>N13/N$59</f>
        <v/>
      </c>
      <c r="O70" s="13">
        <f>O13/O$59</f>
        <v/>
      </c>
      <c r="P70" s="13">
        <f>P13/P$59</f>
        <v/>
      </c>
      <c r="Q70" s="13">
        <f>Q13/Q$59</f>
        <v/>
      </c>
      <c r="R70" s="13">
        <f>R13/R$59</f>
        <v/>
      </c>
      <c r="S70" s="13">
        <f>S13/S$59</f>
        <v/>
      </c>
      <c r="T70" s="13">
        <f>T13/T$59</f>
        <v/>
      </c>
      <c r="U70" s="13">
        <f>U13/U$59</f>
        <v/>
      </c>
      <c r="V70" s="14">
        <f>V13/V$59</f>
        <v/>
      </c>
      <c r="W70" s="14">
        <f>W13/W$59</f>
        <v/>
      </c>
    </row>
    <row r="71">
      <c r="A71" s="10" t="n">
        <v>0.2291666666666667</v>
      </c>
      <c r="B71" s="14">
        <f>B14/B$59</f>
        <v/>
      </c>
      <c r="C71" s="14">
        <f>C14/C$59</f>
        <v/>
      </c>
      <c r="D71" s="14">
        <f>D14/D$59</f>
        <v/>
      </c>
      <c r="E71" s="14">
        <f>E14/E$59</f>
        <v/>
      </c>
      <c r="F71" s="14">
        <f>F14/F$59</f>
        <v/>
      </c>
      <c r="G71" s="14">
        <f>G14/G$59</f>
        <v/>
      </c>
      <c r="H71" s="14">
        <f>H14/H$59</f>
        <v/>
      </c>
      <c r="I71" s="14">
        <f>I14/I$59</f>
        <v/>
      </c>
      <c r="J71" s="14">
        <f>J14/J$59</f>
        <v/>
      </c>
      <c r="K71" s="14">
        <f>K14/K$59</f>
        <v/>
      </c>
      <c r="M71" s="10" t="n">
        <v>0.2291666666666667</v>
      </c>
      <c r="N71" s="13">
        <f>N14/N$59</f>
        <v/>
      </c>
      <c r="O71" s="13">
        <f>O14/O$59</f>
        <v/>
      </c>
      <c r="P71" s="13">
        <f>P14/P$59</f>
        <v/>
      </c>
      <c r="Q71" s="13">
        <f>Q14/Q$59</f>
        <v/>
      </c>
      <c r="R71" s="13">
        <f>R14/R$59</f>
        <v/>
      </c>
      <c r="S71" s="13">
        <f>S14/S$59</f>
        <v/>
      </c>
      <c r="T71" s="13">
        <f>T14/T$59</f>
        <v/>
      </c>
      <c r="U71" s="13">
        <f>U14/U$59</f>
        <v/>
      </c>
      <c r="V71" s="14">
        <f>V14/V$59</f>
        <v/>
      </c>
      <c r="W71" s="14">
        <f>W14/W$59</f>
        <v/>
      </c>
    </row>
    <row r="72">
      <c r="A72" s="10" t="n">
        <v>0.25</v>
      </c>
      <c r="B72" s="14">
        <f>B15/B$59</f>
        <v/>
      </c>
      <c r="C72" s="14">
        <f>C15/C$59</f>
        <v/>
      </c>
      <c r="D72" s="14">
        <f>D15/D$59</f>
        <v/>
      </c>
      <c r="E72" s="14">
        <f>E15/E$59</f>
        <v/>
      </c>
      <c r="F72" s="14">
        <f>F15/F$59</f>
        <v/>
      </c>
      <c r="G72" s="14">
        <f>G15/G$59</f>
        <v/>
      </c>
      <c r="H72" s="14">
        <f>H15/H$59</f>
        <v/>
      </c>
      <c r="I72" s="14">
        <f>I15/I$59</f>
        <v/>
      </c>
      <c r="J72" s="14">
        <f>J15/J$59</f>
        <v/>
      </c>
      <c r="K72" s="14">
        <f>K15/K$59</f>
        <v/>
      </c>
      <c r="M72" s="10" t="n">
        <v>0.25</v>
      </c>
      <c r="N72" s="13">
        <f>N15/N$59</f>
        <v/>
      </c>
      <c r="O72" s="13">
        <f>O15/O$59</f>
        <v/>
      </c>
      <c r="P72" s="13">
        <f>P15/P$59</f>
        <v/>
      </c>
      <c r="Q72" s="13">
        <f>Q15/Q$59</f>
        <v/>
      </c>
      <c r="R72" s="13">
        <f>R15/R$59</f>
        <v/>
      </c>
      <c r="S72" s="13">
        <f>S15/S$59</f>
        <v/>
      </c>
      <c r="T72" s="13">
        <f>T15/T$59</f>
        <v/>
      </c>
      <c r="U72" s="13">
        <f>U15/U$59</f>
        <v/>
      </c>
      <c r="V72" s="14">
        <f>V15/V$59</f>
        <v/>
      </c>
      <c r="W72" s="14">
        <f>W15/W$59</f>
        <v/>
      </c>
    </row>
    <row r="73">
      <c r="A73" s="10" t="n">
        <v>0.2708333333333333</v>
      </c>
      <c r="B73" s="14">
        <f>B16/B$59</f>
        <v/>
      </c>
      <c r="C73" s="14">
        <f>C16/C$59</f>
        <v/>
      </c>
      <c r="D73" s="14">
        <f>D16/D$59</f>
        <v/>
      </c>
      <c r="E73" s="14">
        <f>E16/E$59</f>
        <v/>
      </c>
      <c r="F73" s="14">
        <f>F16/F$59</f>
        <v/>
      </c>
      <c r="G73" s="14">
        <f>G16/G$59</f>
        <v/>
      </c>
      <c r="H73" s="14">
        <f>H16/H$59</f>
        <v/>
      </c>
      <c r="I73" s="14">
        <f>I16/I$59</f>
        <v/>
      </c>
      <c r="J73" s="14">
        <f>J16/J$59</f>
        <v/>
      </c>
      <c r="K73" s="14">
        <f>K16/K$59</f>
        <v/>
      </c>
      <c r="M73" s="10" t="n">
        <v>0.2708333333333333</v>
      </c>
      <c r="N73" s="13">
        <f>N16/N$59</f>
        <v/>
      </c>
      <c r="O73" s="13">
        <f>O16/O$59</f>
        <v/>
      </c>
      <c r="P73" s="13">
        <f>P16/P$59</f>
        <v/>
      </c>
      <c r="Q73" s="13">
        <f>Q16/Q$59</f>
        <v/>
      </c>
      <c r="R73" s="13">
        <f>R16/R$59</f>
        <v/>
      </c>
      <c r="S73" s="13">
        <f>S16/S$59</f>
        <v/>
      </c>
      <c r="T73" s="13">
        <f>T16/T$59</f>
        <v/>
      </c>
      <c r="U73" s="13">
        <f>U16/U$59</f>
        <v/>
      </c>
      <c r="V73" s="14">
        <f>V16/V$59</f>
        <v/>
      </c>
      <c r="W73" s="14">
        <f>W16/W$59</f>
        <v/>
      </c>
    </row>
    <row r="74">
      <c r="A74" s="10" t="n">
        <v>0.2916666666666667</v>
      </c>
      <c r="B74" s="14">
        <f>B17/B$59</f>
        <v/>
      </c>
      <c r="C74" s="14">
        <f>C17/C$59</f>
        <v/>
      </c>
      <c r="D74" s="14">
        <f>D17/D$59</f>
        <v/>
      </c>
      <c r="E74" s="14">
        <f>E17/E$59</f>
        <v/>
      </c>
      <c r="F74" s="14">
        <f>F17/F$59</f>
        <v/>
      </c>
      <c r="G74" s="14">
        <f>G17/G$59</f>
        <v/>
      </c>
      <c r="H74" s="14">
        <f>H17/H$59</f>
        <v/>
      </c>
      <c r="I74" s="14">
        <f>I17/I$59</f>
        <v/>
      </c>
      <c r="J74" s="14">
        <f>J17/J$59</f>
        <v/>
      </c>
      <c r="K74" s="14">
        <f>K17/K$59</f>
        <v/>
      </c>
      <c r="M74" s="10" t="n">
        <v>0.2916666666666667</v>
      </c>
      <c r="N74" s="13">
        <f>N17/N$59</f>
        <v/>
      </c>
      <c r="O74" s="13">
        <f>O17/O$59</f>
        <v/>
      </c>
      <c r="P74" s="13">
        <f>P17/P$59</f>
        <v/>
      </c>
      <c r="Q74" s="13">
        <f>Q17/Q$59</f>
        <v/>
      </c>
      <c r="R74" s="13">
        <f>R17/R$59</f>
        <v/>
      </c>
      <c r="S74" s="13">
        <f>S17/S$59</f>
        <v/>
      </c>
      <c r="T74" s="13">
        <f>T17/T$59</f>
        <v/>
      </c>
      <c r="U74" s="13">
        <f>U17/U$59</f>
        <v/>
      </c>
      <c r="V74" s="14">
        <f>V17/V$59</f>
        <v/>
      </c>
      <c r="W74" s="14">
        <f>W17/W$59</f>
        <v/>
      </c>
    </row>
    <row r="75">
      <c r="A75" s="10" t="n">
        <v>0.3125</v>
      </c>
      <c r="B75" s="14">
        <f>B18/B$59</f>
        <v/>
      </c>
      <c r="C75" s="14">
        <f>C18/C$59</f>
        <v/>
      </c>
      <c r="D75" s="14">
        <f>D18/D$59</f>
        <v/>
      </c>
      <c r="E75" s="14">
        <f>E18/E$59</f>
        <v/>
      </c>
      <c r="F75" s="14">
        <f>F18/F$59</f>
        <v/>
      </c>
      <c r="G75" s="14">
        <f>G18/G$59</f>
        <v/>
      </c>
      <c r="H75" s="14">
        <f>H18/H$59</f>
        <v/>
      </c>
      <c r="I75" s="14">
        <f>I18/I$59</f>
        <v/>
      </c>
      <c r="J75" s="14">
        <f>J18/J$59</f>
        <v/>
      </c>
      <c r="K75" s="14">
        <f>K18/K$59</f>
        <v/>
      </c>
      <c r="M75" s="10" t="n">
        <v>0.3125</v>
      </c>
      <c r="N75" s="13">
        <f>N18/N$59</f>
        <v/>
      </c>
      <c r="O75" s="13">
        <f>O18/O$59</f>
        <v/>
      </c>
      <c r="P75" s="13">
        <f>P18/P$59</f>
        <v/>
      </c>
      <c r="Q75" s="13">
        <f>Q18/Q$59</f>
        <v/>
      </c>
      <c r="R75" s="13">
        <f>R18/R$59</f>
        <v/>
      </c>
      <c r="S75" s="13">
        <f>S18/S$59</f>
        <v/>
      </c>
      <c r="T75" s="13">
        <f>T18/T$59</f>
        <v/>
      </c>
      <c r="U75" s="13">
        <f>U18/U$59</f>
        <v/>
      </c>
      <c r="V75" s="14">
        <f>V18/V$59</f>
        <v/>
      </c>
      <c r="W75" s="14">
        <f>W18/W$59</f>
        <v/>
      </c>
    </row>
    <row r="76">
      <c r="A76" s="10" t="n">
        <v>0.3333333333333333</v>
      </c>
      <c r="B76" s="14">
        <f>B19/B$59</f>
        <v/>
      </c>
      <c r="C76" s="14">
        <f>C19/C$59</f>
        <v/>
      </c>
      <c r="D76" s="14">
        <f>D19/D$59</f>
        <v/>
      </c>
      <c r="E76" s="14">
        <f>E19/E$59</f>
        <v/>
      </c>
      <c r="F76" s="14">
        <f>F19/F$59</f>
        <v/>
      </c>
      <c r="G76" s="14">
        <f>G19/G$59</f>
        <v/>
      </c>
      <c r="H76" s="14">
        <f>H19/H$59</f>
        <v/>
      </c>
      <c r="I76" s="14">
        <f>I19/I$59</f>
        <v/>
      </c>
      <c r="J76" s="14">
        <f>J19/J$59</f>
        <v/>
      </c>
      <c r="K76" s="14">
        <f>K19/K$59</f>
        <v/>
      </c>
      <c r="M76" s="10" t="n">
        <v>0.3333333333333333</v>
      </c>
      <c r="N76" s="13">
        <f>N19/N$59</f>
        <v/>
      </c>
      <c r="O76" s="13">
        <f>O19/O$59</f>
        <v/>
      </c>
      <c r="P76" s="13">
        <f>P19/P$59</f>
        <v/>
      </c>
      <c r="Q76" s="13">
        <f>Q19/Q$59</f>
        <v/>
      </c>
      <c r="R76" s="13">
        <f>R19/R$59</f>
        <v/>
      </c>
      <c r="S76" s="13">
        <f>S19/S$59</f>
        <v/>
      </c>
      <c r="T76" s="13">
        <f>T19/T$59</f>
        <v/>
      </c>
      <c r="U76" s="13">
        <f>U19/U$59</f>
        <v/>
      </c>
      <c r="V76" s="14">
        <f>V19/V$59</f>
        <v/>
      </c>
      <c r="W76" s="14">
        <f>W19/W$59</f>
        <v/>
      </c>
    </row>
    <row r="77">
      <c r="A77" s="10" t="n">
        <v>0.3541666666666667</v>
      </c>
      <c r="B77" s="14">
        <f>B20/B$59</f>
        <v/>
      </c>
      <c r="C77" s="14">
        <f>C20/C$59</f>
        <v/>
      </c>
      <c r="D77" s="14">
        <f>D20/D$59</f>
        <v/>
      </c>
      <c r="E77" s="14">
        <f>E20/E$59</f>
        <v/>
      </c>
      <c r="F77" s="14">
        <f>F20/F$59</f>
        <v/>
      </c>
      <c r="G77" s="14">
        <f>G20/G$59</f>
        <v/>
      </c>
      <c r="H77" s="14">
        <f>H20/H$59</f>
        <v/>
      </c>
      <c r="I77" s="14">
        <f>I20/I$59</f>
        <v/>
      </c>
      <c r="J77" s="14">
        <f>J20/J$59</f>
        <v/>
      </c>
      <c r="K77" s="14">
        <f>K20/K$59</f>
        <v/>
      </c>
      <c r="M77" s="10" t="n">
        <v>0.3541666666666667</v>
      </c>
      <c r="N77" s="13">
        <f>N20/N$59</f>
        <v/>
      </c>
      <c r="O77" s="13">
        <f>O20/O$59</f>
        <v/>
      </c>
      <c r="P77" s="13">
        <f>P20/P$59</f>
        <v/>
      </c>
      <c r="Q77" s="13">
        <f>Q20/Q$59</f>
        <v/>
      </c>
      <c r="R77" s="13">
        <f>R20/R$59</f>
        <v/>
      </c>
      <c r="S77" s="13">
        <f>S20/S$59</f>
        <v/>
      </c>
      <c r="T77" s="13">
        <f>T20/T$59</f>
        <v/>
      </c>
      <c r="U77" s="13">
        <f>U20/U$59</f>
        <v/>
      </c>
      <c r="V77" s="14">
        <f>V20/V$59</f>
        <v/>
      </c>
      <c r="W77" s="14">
        <f>W20/W$59</f>
        <v/>
      </c>
    </row>
    <row r="78">
      <c r="A78" s="10" t="n">
        <v>0.375</v>
      </c>
      <c r="B78" s="14">
        <f>B21/B$59</f>
        <v/>
      </c>
      <c r="C78" s="14">
        <f>C21/C$59</f>
        <v/>
      </c>
      <c r="D78" s="14">
        <f>D21/D$59</f>
        <v/>
      </c>
      <c r="E78" s="14">
        <f>E21/E$59</f>
        <v/>
      </c>
      <c r="F78" s="14">
        <f>F21/F$59</f>
        <v/>
      </c>
      <c r="G78" s="14">
        <f>G21/G$59</f>
        <v/>
      </c>
      <c r="H78" s="14">
        <f>H21/H$59</f>
        <v/>
      </c>
      <c r="I78" s="14">
        <f>I21/I$59</f>
        <v/>
      </c>
      <c r="J78" s="14">
        <f>J21/J$59</f>
        <v/>
      </c>
      <c r="K78" s="14">
        <f>K21/K$59</f>
        <v/>
      </c>
      <c r="M78" s="10" t="n">
        <v>0.375</v>
      </c>
      <c r="N78" s="13">
        <f>N21/N$59</f>
        <v/>
      </c>
      <c r="O78" s="13">
        <f>O21/O$59</f>
        <v/>
      </c>
      <c r="P78" s="13">
        <f>P21/P$59</f>
        <v/>
      </c>
      <c r="Q78" s="13">
        <f>Q21/Q$59</f>
        <v/>
      </c>
      <c r="R78" s="13">
        <f>R21/R$59</f>
        <v/>
      </c>
      <c r="S78" s="13">
        <f>S21/S$59</f>
        <v/>
      </c>
      <c r="T78" s="13">
        <f>T21/T$59</f>
        <v/>
      </c>
      <c r="U78" s="13">
        <f>U21/U$59</f>
        <v/>
      </c>
      <c r="V78" s="14">
        <f>V21/V$59</f>
        <v/>
      </c>
      <c r="W78" s="14">
        <f>W21/W$59</f>
        <v/>
      </c>
    </row>
    <row r="79">
      <c r="A79" s="10" t="n">
        <v>0.3958333333333333</v>
      </c>
      <c r="B79" s="14">
        <f>B22/B$59</f>
        <v/>
      </c>
      <c r="C79" s="14">
        <f>C22/C$59</f>
        <v/>
      </c>
      <c r="D79" s="14">
        <f>D22/D$59</f>
        <v/>
      </c>
      <c r="E79" s="14">
        <f>E22/E$59</f>
        <v/>
      </c>
      <c r="F79" s="14">
        <f>F22/F$59</f>
        <v/>
      </c>
      <c r="G79" s="14">
        <f>G22/G$59</f>
        <v/>
      </c>
      <c r="H79" s="14">
        <f>H22/H$59</f>
        <v/>
      </c>
      <c r="I79" s="14">
        <f>I22/I$59</f>
        <v/>
      </c>
      <c r="J79" s="14">
        <f>J22/J$59</f>
        <v/>
      </c>
      <c r="K79" s="14">
        <f>K22/K$59</f>
        <v/>
      </c>
      <c r="M79" s="10" t="n">
        <v>0.3958333333333333</v>
      </c>
      <c r="N79" s="13">
        <f>N22/N$59</f>
        <v/>
      </c>
      <c r="O79" s="13">
        <f>O22/O$59</f>
        <v/>
      </c>
      <c r="P79" s="13">
        <f>P22/P$59</f>
        <v/>
      </c>
      <c r="Q79" s="13">
        <f>Q22/Q$59</f>
        <v/>
      </c>
      <c r="R79" s="13">
        <f>R22/R$59</f>
        <v/>
      </c>
      <c r="S79" s="13">
        <f>S22/S$59</f>
        <v/>
      </c>
      <c r="T79" s="13">
        <f>T22/T$59</f>
        <v/>
      </c>
      <c r="U79" s="13">
        <f>U22/U$59</f>
        <v/>
      </c>
      <c r="V79" s="14">
        <f>V22/V$59</f>
        <v/>
      </c>
      <c r="W79" s="14">
        <f>W22/W$59</f>
        <v/>
      </c>
    </row>
    <row r="80">
      <c r="A80" s="10" t="n">
        <v>0.4166666666666667</v>
      </c>
      <c r="B80" s="14">
        <f>B23/B$59</f>
        <v/>
      </c>
      <c r="C80" s="14">
        <f>C23/C$59</f>
        <v/>
      </c>
      <c r="D80" s="14">
        <f>D23/D$59</f>
        <v/>
      </c>
      <c r="E80" s="14">
        <f>E23/E$59</f>
        <v/>
      </c>
      <c r="F80" s="14">
        <f>F23/F$59</f>
        <v/>
      </c>
      <c r="G80" s="14">
        <f>G23/G$59</f>
        <v/>
      </c>
      <c r="H80" s="14">
        <f>H23/H$59</f>
        <v/>
      </c>
      <c r="I80" s="14">
        <f>I23/I$59</f>
        <v/>
      </c>
      <c r="J80" s="14">
        <f>J23/J$59</f>
        <v/>
      </c>
      <c r="K80" s="14">
        <f>K23/K$59</f>
        <v/>
      </c>
      <c r="M80" s="10" t="n">
        <v>0.4166666666666667</v>
      </c>
      <c r="N80" s="13">
        <f>N23/N$59</f>
        <v/>
      </c>
      <c r="O80" s="13">
        <f>O23/O$59</f>
        <v/>
      </c>
      <c r="P80" s="13">
        <f>P23/P$59</f>
        <v/>
      </c>
      <c r="Q80" s="13">
        <f>Q23/Q$59</f>
        <v/>
      </c>
      <c r="R80" s="13">
        <f>R23/R$59</f>
        <v/>
      </c>
      <c r="S80" s="13">
        <f>S23/S$59</f>
        <v/>
      </c>
      <c r="T80" s="13">
        <f>T23/T$59</f>
        <v/>
      </c>
      <c r="U80" s="13">
        <f>U23/U$59</f>
        <v/>
      </c>
      <c r="V80" s="14">
        <f>V23/V$59</f>
        <v/>
      </c>
      <c r="W80" s="14">
        <f>W23/W$59</f>
        <v/>
      </c>
    </row>
    <row r="81">
      <c r="A81" s="10" t="n">
        <v>0.4375</v>
      </c>
      <c r="B81" s="14">
        <f>B24/B$59</f>
        <v/>
      </c>
      <c r="C81" s="14">
        <f>C24/C$59</f>
        <v/>
      </c>
      <c r="D81" s="14">
        <f>D24/D$59</f>
        <v/>
      </c>
      <c r="E81" s="14">
        <f>E24/E$59</f>
        <v/>
      </c>
      <c r="F81" s="14">
        <f>F24/F$59</f>
        <v/>
      </c>
      <c r="G81" s="14">
        <f>G24/G$59</f>
        <v/>
      </c>
      <c r="H81" s="14">
        <f>H24/H$59</f>
        <v/>
      </c>
      <c r="I81" s="14">
        <f>I24/I$59</f>
        <v/>
      </c>
      <c r="J81" s="14">
        <f>J24/J$59</f>
        <v/>
      </c>
      <c r="K81" s="14">
        <f>K24/K$59</f>
        <v/>
      </c>
      <c r="M81" s="10" t="n">
        <v>0.4375</v>
      </c>
      <c r="N81" s="13">
        <f>N24/N$59</f>
        <v/>
      </c>
      <c r="O81" s="13">
        <f>O24/O$59</f>
        <v/>
      </c>
      <c r="P81" s="13">
        <f>P24/P$59</f>
        <v/>
      </c>
      <c r="Q81" s="13">
        <f>Q24/Q$59</f>
        <v/>
      </c>
      <c r="R81" s="13">
        <f>R24/R$59</f>
        <v/>
      </c>
      <c r="S81" s="13">
        <f>S24/S$59</f>
        <v/>
      </c>
      <c r="T81" s="13">
        <f>T24/T$59</f>
        <v/>
      </c>
      <c r="U81" s="13">
        <f>U24/U$59</f>
        <v/>
      </c>
      <c r="V81" s="14">
        <f>V24/V$59</f>
        <v/>
      </c>
      <c r="W81" s="14">
        <f>W24/W$59</f>
        <v/>
      </c>
    </row>
    <row r="82">
      <c r="A82" s="10" t="n">
        <v>0.4583333333333333</v>
      </c>
      <c r="B82" s="14">
        <f>B25/B$59</f>
        <v/>
      </c>
      <c r="C82" s="14">
        <f>C25/C$59</f>
        <v/>
      </c>
      <c r="D82" s="14">
        <f>D25/D$59</f>
        <v/>
      </c>
      <c r="E82" s="14">
        <f>E25/E$59</f>
        <v/>
      </c>
      <c r="F82" s="14">
        <f>F25/F$59</f>
        <v/>
      </c>
      <c r="G82" s="14">
        <f>G25/G$59</f>
        <v/>
      </c>
      <c r="H82" s="14">
        <f>H25/H$59</f>
        <v/>
      </c>
      <c r="I82" s="14">
        <f>I25/I$59</f>
        <v/>
      </c>
      <c r="J82" s="14">
        <f>J25/J$59</f>
        <v/>
      </c>
      <c r="K82" s="14">
        <f>K25/K$59</f>
        <v/>
      </c>
      <c r="M82" s="10" t="n">
        <v>0.4583333333333333</v>
      </c>
      <c r="N82" s="13">
        <f>N25/N$59</f>
        <v/>
      </c>
      <c r="O82" s="13">
        <f>O25/O$59</f>
        <v/>
      </c>
      <c r="P82" s="13">
        <f>P25/P$59</f>
        <v/>
      </c>
      <c r="Q82" s="13">
        <f>Q25/Q$59</f>
        <v/>
      </c>
      <c r="R82" s="13">
        <f>R25/R$59</f>
        <v/>
      </c>
      <c r="S82" s="13">
        <f>S25/S$59</f>
        <v/>
      </c>
      <c r="T82" s="13">
        <f>T25/T$59</f>
        <v/>
      </c>
      <c r="U82" s="13">
        <f>U25/U$59</f>
        <v/>
      </c>
      <c r="V82" s="14">
        <f>V25/V$59</f>
        <v/>
      </c>
      <c r="W82" s="14">
        <f>W25/W$59</f>
        <v/>
      </c>
    </row>
    <row r="83">
      <c r="A83" s="10" t="n">
        <v>0.4791666666666667</v>
      </c>
      <c r="B83" s="14">
        <f>B26/B$59</f>
        <v/>
      </c>
      <c r="C83" s="14">
        <f>C26/C$59</f>
        <v/>
      </c>
      <c r="D83" s="14">
        <f>D26/D$59</f>
        <v/>
      </c>
      <c r="E83" s="14">
        <f>E26/E$59</f>
        <v/>
      </c>
      <c r="F83" s="14">
        <f>F26/F$59</f>
        <v/>
      </c>
      <c r="G83" s="14">
        <f>G26/G$59</f>
        <v/>
      </c>
      <c r="H83" s="14">
        <f>H26/H$59</f>
        <v/>
      </c>
      <c r="I83" s="14">
        <f>I26/I$59</f>
        <v/>
      </c>
      <c r="J83" s="14">
        <f>J26/J$59</f>
        <v/>
      </c>
      <c r="K83" s="14">
        <f>K26/K$59</f>
        <v/>
      </c>
      <c r="M83" s="10" t="n">
        <v>0.4791666666666667</v>
      </c>
      <c r="N83" s="13">
        <f>N26/N$59</f>
        <v/>
      </c>
      <c r="O83" s="13">
        <f>O26/O$59</f>
        <v/>
      </c>
      <c r="P83" s="13">
        <f>P26/P$59</f>
        <v/>
      </c>
      <c r="Q83" s="13">
        <f>Q26/Q$59</f>
        <v/>
      </c>
      <c r="R83" s="13">
        <f>R26/R$59</f>
        <v/>
      </c>
      <c r="S83" s="13">
        <f>S26/S$59</f>
        <v/>
      </c>
      <c r="T83" s="13">
        <f>T26/T$59</f>
        <v/>
      </c>
      <c r="U83" s="13">
        <f>U26/U$59</f>
        <v/>
      </c>
      <c r="V83" s="14">
        <f>V26/V$59</f>
        <v/>
      </c>
      <c r="W83" s="14">
        <f>W26/W$59</f>
        <v/>
      </c>
    </row>
    <row r="84">
      <c r="A84" s="10" t="n">
        <v>0.5</v>
      </c>
      <c r="B84" s="14">
        <f>B27/B$59</f>
        <v/>
      </c>
      <c r="C84" s="14">
        <f>C27/C$59</f>
        <v/>
      </c>
      <c r="D84" s="14">
        <f>D27/D$59</f>
        <v/>
      </c>
      <c r="E84" s="14">
        <f>E27/E$59</f>
        <v/>
      </c>
      <c r="F84" s="14">
        <f>F27/F$59</f>
        <v/>
      </c>
      <c r="G84" s="14">
        <f>G27/G$59</f>
        <v/>
      </c>
      <c r="H84" s="14">
        <f>H27/H$59</f>
        <v/>
      </c>
      <c r="I84" s="14">
        <f>I27/I$59</f>
        <v/>
      </c>
      <c r="J84" s="14">
        <f>J27/J$59</f>
        <v/>
      </c>
      <c r="K84" s="14">
        <f>K27/K$59</f>
        <v/>
      </c>
      <c r="M84" s="10" t="n">
        <v>0.5</v>
      </c>
      <c r="N84" s="13">
        <f>N27/N$59</f>
        <v/>
      </c>
      <c r="O84" s="13">
        <f>O27/O$59</f>
        <v/>
      </c>
      <c r="P84" s="13">
        <f>P27/P$59</f>
        <v/>
      </c>
      <c r="Q84" s="13">
        <f>Q27/Q$59</f>
        <v/>
      </c>
      <c r="R84" s="13">
        <f>R27/R$59</f>
        <v/>
      </c>
      <c r="S84" s="13">
        <f>S27/S$59</f>
        <v/>
      </c>
      <c r="T84" s="13">
        <f>T27/T$59</f>
        <v/>
      </c>
      <c r="U84" s="13">
        <f>U27/U$59</f>
        <v/>
      </c>
      <c r="V84" s="14">
        <f>V27/V$59</f>
        <v/>
      </c>
      <c r="W84" s="14">
        <f>W27/W$59</f>
        <v/>
      </c>
    </row>
    <row r="85">
      <c r="A85" s="10" t="n">
        <v>0.5208333333333334</v>
      </c>
      <c r="B85" s="14">
        <f>B28/B$59</f>
        <v/>
      </c>
      <c r="C85" s="14">
        <f>C28/C$59</f>
        <v/>
      </c>
      <c r="D85" s="14">
        <f>D28/D$59</f>
        <v/>
      </c>
      <c r="E85" s="14">
        <f>E28/E$59</f>
        <v/>
      </c>
      <c r="F85" s="14">
        <f>F28/F$59</f>
        <v/>
      </c>
      <c r="G85" s="14">
        <f>G28/G$59</f>
        <v/>
      </c>
      <c r="H85" s="14">
        <f>H28/H$59</f>
        <v/>
      </c>
      <c r="I85" s="14">
        <f>I28/I$59</f>
        <v/>
      </c>
      <c r="J85" s="14">
        <f>J28/J$59</f>
        <v/>
      </c>
      <c r="K85" s="14">
        <f>K28/K$59</f>
        <v/>
      </c>
      <c r="M85" s="10" t="n">
        <v>0.5208333333333334</v>
      </c>
      <c r="N85" s="13">
        <f>N28/N$59</f>
        <v/>
      </c>
      <c r="O85" s="13">
        <f>O28/O$59</f>
        <v/>
      </c>
      <c r="P85" s="13">
        <f>P28/P$59</f>
        <v/>
      </c>
      <c r="Q85" s="13">
        <f>Q28/Q$59</f>
        <v/>
      </c>
      <c r="R85" s="13">
        <f>R28/R$59</f>
        <v/>
      </c>
      <c r="S85" s="13">
        <f>S28/S$59</f>
        <v/>
      </c>
      <c r="T85" s="13">
        <f>T28/T$59</f>
        <v/>
      </c>
      <c r="U85" s="13">
        <f>U28/U$59</f>
        <v/>
      </c>
      <c r="V85" s="14">
        <f>V28/V$59</f>
        <v/>
      </c>
      <c r="W85" s="14">
        <f>W28/W$59</f>
        <v/>
      </c>
    </row>
    <row r="86">
      <c r="A86" s="10" t="n">
        <v>0.5416666666666666</v>
      </c>
      <c r="B86" s="14">
        <f>B29/B$59</f>
        <v/>
      </c>
      <c r="C86" s="14">
        <f>C29/C$59</f>
        <v/>
      </c>
      <c r="D86" s="14">
        <f>D29/D$59</f>
        <v/>
      </c>
      <c r="E86" s="14">
        <f>E29/E$59</f>
        <v/>
      </c>
      <c r="F86" s="14">
        <f>F29/F$59</f>
        <v/>
      </c>
      <c r="G86" s="14">
        <f>G29/G$59</f>
        <v/>
      </c>
      <c r="H86" s="14">
        <f>H29/H$59</f>
        <v/>
      </c>
      <c r="I86" s="14">
        <f>I29/I$59</f>
        <v/>
      </c>
      <c r="J86" s="14">
        <f>J29/J$59</f>
        <v/>
      </c>
      <c r="K86" s="14">
        <f>K29/K$59</f>
        <v/>
      </c>
      <c r="M86" s="10" t="n">
        <v>0.5416666666666666</v>
      </c>
      <c r="N86" s="13">
        <f>N29/N$59</f>
        <v/>
      </c>
      <c r="O86" s="13">
        <f>O29/O$59</f>
        <v/>
      </c>
      <c r="P86" s="13">
        <f>P29/P$59</f>
        <v/>
      </c>
      <c r="Q86" s="13">
        <f>Q29/Q$59</f>
        <v/>
      </c>
      <c r="R86" s="13">
        <f>R29/R$59</f>
        <v/>
      </c>
      <c r="S86" s="13">
        <f>S29/S$59</f>
        <v/>
      </c>
      <c r="T86" s="13">
        <f>T29/T$59</f>
        <v/>
      </c>
      <c r="U86" s="13">
        <f>U29/U$59</f>
        <v/>
      </c>
      <c r="V86" s="14">
        <f>V29/V$59</f>
        <v/>
      </c>
      <c r="W86" s="14">
        <f>W29/W$59</f>
        <v/>
      </c>
    </row>
    <row r="87">
      <c r="A87" s="10" t="n">
        <v>0.5625</v>
      </c>
      <c r="B87" s="14">
        <f>B30/B$59</f>
        <v/>
      </c>
      <c r="C87" s="14">
        <f>C30/C$59</f>
        <v/>
      </c>
      <c r="D87" s="14">
        <f>D30/D$59</f>
        <v/>
      </c>
      <c r="E87" s="14">
        <f>E30/E$59</f>
        <v/>
      </c>
      <c r="F87" s="14">
        <f>F30/F$59</f>
        <v/>
      </c>
      <c r="G87" s="14">
        <f>G30/G$59</f>
        <v/>
      </c>
      <c r="H87" s="14">
        <f>H30/H$59</f>
        <v/>
      </c>
      <c r="I87" s="14">
        <f>I30/I$59</f>
        <v/>
      </c>
      <c r="J87" s="14">
        <f>J30/J$59</f>
        <v/>
      </c>
      <c r="K87" s="14">
        <f>K30/K$59</f>
        <v/>
      </c>
      <c r="M87" s="10" t="n">
        <v>0.5625</v>
      </c>
      <c r="N87" s="13">
        <f>N30/N$59</f>
        <v/>
      </c>
      <c r="O87" s="13">
        <f>O30/O$59</f>
        <v/>
      </c>
      <c r="P87" s="13">
        <f>P30/P$59</f>
        <v/>
      </c>
      <c r="Q87" s="13">
        <f>Q30/Q$59</f>
        <v/>
      </c>
      <c r="R87" s="13">
        <f>R30/R$59</f>
        <v/>
      </c>
      <c r="S87" s="13">
        <f>S30/S$59</f>
        <v/>
      </c>
      <c r="T87" s="13">
        <f>T30/T$59</f>
        <v/>
      </c>
      <c r="U87" s="13">
        <f>U30/U$59</f>
        <v/>
      </c>
      <c r="V87" s="14">
        <f>V30/V$59</f>
        <v/>
      </c>
      <c r="W87" s="14">
        <f>W30/W$59</f>
        <v/>
      </c>
    </row>
    <row r="88">
      <c r="A88" s="10" t="n">
        <v>0.5833333333333334</v>
      </c>
      <c r="B88" s="14">
        <f>B31/B$59</f>
        <v/>
      </c>
      <c r="C88" s="14">
        <f>C31/C$59</f>
        <v/>
      </c>
      <c r="D88" s="14">
        <f>D31/D$59</f>
        <v/>
      </c>
      <c r="E88" s="14">
        <f>E31/E$59</f>
        <v/>
      </c>
      <c r="F88" s="14">
        <f>F31/F$59</f>
        <v/>
      </c>
      <c r="G88" s="14">
        <f>G31/G$59</f>
        <v/>
      </c>
      <c r="H88" s="14">
        <f>H31/H$59</f>
        <v/>
      </c>
      <c r="I88" s="14">
        <f>I31/I$59</f>
        <v/>
      </c>
      <c r="J88" s="14">
        <f>J31/J$59</f>
        <v/>
      </c>
      <c r="K88" s="14">
        <f>K31/K$59</f>
        <v/>
      </c>
      <c r="M88" s="10" t="n">
        <v>0.5833333333333334</v>
      </c>
      <c r="N88" s="13">
        <f>N31/N$59</f>
        <v/>
      </c>
      <c r="O88" s="13">
        <f>O31/O$59</f>
        <v/>
      </c>
      <c r="P88" s="13">
        <f>P31/P$59</f>
        <v/>
      </c>
      <c r="Q88" s="13">
        <f>Q31/Q$59</f>
        <v/>
      </c>
      <c r="R88" s="13">
        <f>R31/R$59</f>
        <v/>
      </c>
      <c r="S88" s="13">
        <f>S31/S$59</f>
        <v/>
      </c>
      <c r="T88" s="13">
        <f>T31/T$59</f>
        <v/>
      </c>
      <c r="U88" s="13">
        <f>U31/U$59</f>
        <v/>
      </c>
      <c r="V88" s="14">
        <f>V31/V$59</f>
        <v/>
      </c>
      <c r="W88" s="14">
        <f>W31/W$59</f>
        <v/>
      </c>
    </row>
    <row r="89">
      <c r="A89" s="10" t="n">
        <v>0.6041666666666666</v>
      </c>
      <c r="B89" s="14">
        <f>B32/B$59</f>
        <v/>
      </c>
      <c r="C89" s="14">
        <f>C32/C$59</f>
        <v/>
      </c>
      <c r="D89" s="14">
        <f>D32/D$59</f>
        <v/>
      </c>
      <c r="E89" s="14">
        <f>E32/E$59</f>
        <v/>
      </c>
      <c r="F89" s="14">
        <f>F32/F$59</f>
        <v/>
      </c>
      <c r="G89" s="14">
        <f>G32/G$59</f>
        <v/>
      </c>
      <c r="H89" s="14">
        <f>H32/H$59</f>
        <v/>
      </c>
      <c r="I89" s="14">
        <f>I32/I$59</f>
        <v/>
      </c>
      <c r="J89" s="14">
        <f>J32/J$59</f>
        <v/>
      </c>
      <c r="K89" s="14">
        <f>K32/K$59</f>
        <v/>
      </c>
      <c r="M89" s="10" t="n">
        <v>0.6041666666666666</v>
      </c>
      <c r="N89" s="13">
        <f>N32/N$59</f>
        <v/>
      </c>
      <c r="O89" s="13">
        <f>O32/O$59</f>
        <v/>
      </c>
      <c r="P89" s="13">
        <f>P32/P$59</f>
        <v/>
      </c>
      <c r="Q89" s="13">
        <f>Q32/Q$59</f>
        <v/>
      </c>
      <c r="R89" s="13">
        <f>R32/R$59</f>
        <v/>
      </c>
      <c r="S89" s="13">
        <f>S32/S$59</f>
        <v/>
      </c>
      <c r="T89" s="13">
        <f>T32/T$59</f>
        <v/>
      </c>
      <c r="U89" s="13">
        <f>U32/U$59</f>
        <v/>
      </c>
      <c r="V89" s="14">
        <f>V32/V$59</f>
        <v/>
      </c>
      <c r="W89" s="14">
        <f>W32/W$59</f>
        <v/>
      </c>
    </row>
    <row r="90">
      <c r="A90" s="10" t="n">
        <v>0.625</v>
      </c>
      <c r="B90" s="14">
        <f>B33/B$59</f>
        <v/>
      </c>
      <c r="C90" s="14">
        <f>C33/C$59</f>
        <v/>
      </c>
      <c r="D90" s="14">
        <f>D33/D$59</f>
        <v/>
      </c>
      <c r="E90" s="14">
        <f>E33/E$59</f>
        <v/>
      </c>
      <c r="F90" s="14">
        <f>F33/F$59</f>
        <v/>
      </c>
      <c r="G90" s="14">
        <f>G33/G$59</f>
        <v/>
      </c>
      <c r="H90" s="14">
        <f>H33/H$59</f>
        <v/>
      </c>
      <c r="I90" s="14">
        <f>I33/I$59</f>
        <v/>
      </c>
      <c r="J90" s="14">
        <f>J33/J$59</f>
        <v/>
      </c>
      <c r="K90" s="14">
        <f>K33/K$59</f>
        <v/>
      </c>
      <c r="M90" s="10" t="n">
        <v>0.625</v>
      </c>
      <c r="N90" s="13">
        <f>N33/N$59</f>
        <v/>
      </c>
      <c r="O90" s="13">
        <f>O33/O$59</f>
        <v/>
      </c>
      <c r="P90" s="13">
        <f>P33/P$59</f>
        <v/>
      </c>
      <c r="Q90" s="13">
        <f>Q33/Q$59</f>
        <v/>
      </c>
      <c r="R90" s="13">
        <f>R33/R$59</f>
        <v/>
      </c>
      <c r="S90" s="13">
        <f>S33/S$59</f>
        <v/>
      </c>
      <c r="T90" s="13">
        <f>T33/T$59</f>
        <v/>
      </c>
      <c r="U90" s="13">
        <f>U33/U$59</f>
        <v/>
      </c>
      <c r="V90" s="14">
        <f>V33/V$59</f>
        <v/>
      </c>
      <c r="W90" s="14">
        <f>W33/W$59</f>
        <v/>
      </c>
    </row>
    <row r="91">
      <c r="A91" s="10" t="n">
        <v>0.6458333333333334</v>
      </c>
      <c r="B91" s="14">
        <f>B34/B$59</f>
        <v/>
      </c>
      <c r="C91" s="14">
        <f>C34/C$59</f>
        <v/>
      </c>
      <c r="D91" s="14">
        <f>D34/D$59</f>
        <v/>
      </c>
      <c r="E91" s="14">
        <f>E34/E$59</f>
        <v/>
      </c>
      <c r="F91" s="14">
        <f>F34/F$59</f>
        <v/>
      </c>
      <c r="G91" s="14">
        <f>G34/G$59</f>
        <v/>
      </c>
      <c r="H91" s="14">
        <f>H34/H$59</f>
        <v/>
      </c>
      <c r="I91" s="14">
        <f>I34/I$59</f>
        <v/>
      </c>
      <c r="J91" s="14">
        <f>J34/J$59</f>
        <v/>
      </c>
      <c r="K91" s="14">
        <f>K34/K$59</f>
        <v/>
      </c>
      <c r="M91" s="10" t="n">
        <v>0.6458333333333334</v>
      </c>
      <c r="N91" s="13">
        <f>N34/N$59</f>
        <v/>
      </c>
      <c r="O91" s="13">
        <f>O34/O$59</f>
        <v/>
      </c>
      <c r="P91" s="13">
        <f>P34/P$59</f>
        <v/>
      </c>
      <c r="Q91" s="13">
        <f>Q34/Q$59</f>
        <v/>
      </c>
      <c r="R91" s="13">
        <f>R34/R$59</f>
        <v/>
      </c>
      <c r="S91" s="13">
        <f>S34/S$59</f>
        <v/>
      </c>
      <c r="T91" s="13">
        <f>T34/T$59</f>
        <v/>
      </c>
      <c r="U91" s="13">
        <f>U34/U$59</f>
        <v/>
      </c>
      <c r="V91" s="14">
        <f>V34/V$59</f>
        <v/>
      </c>
      <c r="W91" s="14">
        <f>W34/W$59</f>
        <v/>
      </c>
    </row>
    <row r="92">
      <c r="A92" s="10" t="n">
        <v>0.6666666666666666</v>
      </c>
      <c r="B92" s="14">
        <f>B35/B$59</f>
        <v/>
      </c>
      <c r="C92" s="14">
        <f>C35/C$59</f>
        <v/>
      </c>
      <c r="D92" s="14">
        <f>D35/D$59</f>
        <v/>
      </c>
      <c r="E92" s="14">
        <f>E35/E$59</f>
        <v/>
      </c>
      <c r="F92" s="14">
        <f>F35/F$59</f>
        <v/>
      </c>
      <c r="G92" s="14">
        <f>G35/G$59</f>
        <v/>
      </c>
      <c r="H92" s="14">
        <f>H35/H$59</f>
        <v/>
      </c>
      <c r="I92" s="14">
        <f>I35/I$59</f>
        <v/>
      </c>
      <c r="J92" s="14">
        <f>J35/J$59</f>
        <v/>
      </c>
      <c r="K92" s="14">
        <f>K35/K$59</f>
        <v/>
      </c>
      <c r="M92" s="10" t="n">
        <v>0.6666666666666666</v>
      </c>
      <c r="N92" s="13">
        <f>N35/N$59</f>
        <v/>
      </c>
      <c r="O92" s="13">
        <f>O35/O$59</f>
        <v/>
      </c>
      <c r="P92" s="13">
        <f>P35/P$59</f>
        <v/>
      </c>
      <c r="Q92" s="13">
        <f>Q35/Q$59</f>
        <v/>
      </c>
      <c r="R92" s="13">
        <f>R35/R$59</f>
        <v/>
      </c>
      <c r="S92" s="13">
        <f>S35/S$59</f>
        <v/>
      </c>
      <c r="T92" s="13">
        <f>T35/T$59</f>
        <v/>
      </c>
      <c r="U92" s="13">
        <f>U35/U$59</f>
        <v/>
      </c>
      <c r="V92" s="14">
        <f>V35/V$59</f>
        <v/>
      </c>
      <c r="W92" s="14">
        <f>W35/W$59</f>
        <v/>
      </c>
    </row>
    <row r="93">
      <c r="A93" s="10" t="n">
        <v>0.6875</v>
      </c>
      <c r="B93" s="14">
        <f>B36/B$59</f>
        <v/>
      </c>
      <c r="C93" s="14">
        <f>C36/C$59</f>
        <v/>
      </c>
      <c r="D93" s="14">
        <f>D36/D$59</f>
        <v/>
      </c>
      <c r="E93" s="14">
        <f>E36/E$59</f>
        <v/>
      </c>
      <c r="F93" s="14">
        <f>F36/F$59</f>
        <v/>
      </c>
      <c r="G93" s="14">
        <f>G36/G$59</f>
        <v/>
      </c>
      <c r="H93" s="14">
        <f>H36/H$59</f>
        <v/>
      </c>
      <c r="I93" s="14">
        <f>I36/I$59</f>
        <v/>
      </c>
      <c r="J93" s="14">
        <f>J36/J$59</f>
        <v/>
      </c>
      <c r="K93" s="14">
        <f>K36/K$59</f>
        <v/>
      </c>
      <c r="M93" s="10" t="n">
        <v>0.6875</v>
      </c>
      <c r="N93" s="13">
        <f>N36/N$59</f>
        <v/>
      </c>
      <c r="O93" s="13">
        <f>O36/O$59</f>
        <v/>
      </c>
      <c r="P93" s="13">
        <f>P36/P$59</f>
        <v/>
      </c>
      <c r="Q93" s="13">
        <f>Q36/Q$59</f>
        <v/>
      </c>
      <c r="R93" s="13">
        <f>R36/R$59</f>
        <v/>
      </c>
      <c r="S93" s="13">
        <f>S36/S$59</f>
        <v/>
      </c>
      <c r="T93" s="13">
        <f>T36/T$59</f>
        <v/>
      </c>
      <c r="U93" s="13">
        <f>U36/U$59</f>
        <v/>
      </c>
      <c r="V93" s="14">
        <f>V36/V$59</f>
        <v/>
      </c>
      <c r="W93" s="14">
        <f>W36/W$59</f>
        <v/>
      </c>
    </row>
    <row r="94">
      <c r="A94" s="10" t="n">
        <v>0.7083333333333334</v>
      </c>
      <c r="B94" s="14">
        <f>B37/B$59</f>
        <v/>
      </c>
      <c r="C94" s="14">
        <f>C37/C$59</f>
        <v/>
      </c>
      <c r="D94" s="14">
        <f>D37/D$59</f>
        <v/>
      </c>
      <c r="E94" s="14">
        <f>E37/E$59</f>
        <v/>
      </c>
      <c r="F94" s="14">
        <f>F37/F$59</f>
        <v/>
      </c>
      <c r="G94" s="14">
        <f>G37/G$59</f>
        <v/>
      </c>
      <c r="H94" s="14">
        <f>H37/H$59</f>
        <v/>
      </c>
      <c r="I94" s="14">
        <f>I37/I$59</f>
        <v/>
      </c>
      <c r="J94" s="14">
        <f>J37/J$59</f>
        <v/>
      </c>
      <c r="K94" s="14">
        <f>K37/K$59</f>
        <v/>
      </c>
      <c r="M94" s="10" t="n">
        <v>0.7083333333333334</v>
      </c>
      <c r="N94" s="13">
        <f>N37/N$59</f>
        <v/>
      </c>
      <c r="O94" s="13">
        <f>O37/O$59</f>
        <v/>
      </c>
      <c r="P94" s="13">
        <f>P37/P$59</f>
        <v/>
      </c>
      <c r="Q94" s="13">
        <f>Q37/Q$59</f>
        <v/>
      </c>
      <c r="R94" s="13">
        <f>R37/R$59</f>
        <v/>
      </c>
      <c r="S94" s="13">
        <f>S37/S$59</f>
        <v/>
      </c>
      <c r="T94" s="13">
        <f>T37/T$59</f>
        <v/>
      </c>
      <c r="U94" s="13">
        <f>U37/U$59</f>
        <v/>
      </c>
      <c r="V94" s="14">
        <f>V37/V$59</f>
        <v/>
      </c>
      <c r="W94" s="14">
        <f>W37/W$59</f>
        <v/>
      </c>
    </row>
    <row r="95">
      <c r="A95" s="10" t="n">
        <v>0.7291666666666666</v>
      </c>
      <c r="B95" s="14">
        <f>B38/B$59</f>
        <v/>
      </c>
      <c r="C95" s="14">
        <f>C38/C$59</f>
        <v/>
      </c>
      <c r="D95" s="14">
        <f>D38/D$59</f>
        <v/>
      </c>
      <c r="E95" s="14">
        <f>E38/E$59</f>
        <v/>
      </c>
      <c r="F95" s="14">
        <f>F38/F$59</f>
        <v/>
      </c>
      <c r="G95" s="14">
        <f>G38/G$59</f>
        <v/>
      </c>
      <c r="H95" s="14">
        <f>H38/H$59</f>
        <v/>
      </c>
      <c r="I95" s="14">
        <f>I38/I$59</f>
        <v/>
      </c>
      <c r="J95" s="14">
        <f>J38/J$59</f>
        <v/>
      </c>
      <c r="K95" s="14">
        <f>K38/K$59</f>
        <v/>
      </c>
      <c r="M95" s="10" t="n">
        <v>0.7291666666666666</v>
      </c>
      <c r="N95" s="13">
        <f>N38/N$59</f>
        <v/>
      </c>
      <c r="O95" s="13">
        <f>O38/O$59</f>
        <v/>
      </c>
      <c r="P95" s="13">
        <f>P38/P$59</f>
        <v/>
      </c>
      <c r="Q95" s="13">
        <f>Q38/Q$59</f>
        <v/>
      </c>
      <c r="R95" s="13">
        <f>R38/R$59</f>
        <v/>
      </c>
      <c r="S95" s="13">
        <f>S38/S$59</f>
        <v/>
      </c>
      <c r="T95" s="13">
        <f>T38/T$59</f>
        <v/>
      </c>
      <c r="U95" s="13">
        <f>U38/U$59</f>
        <v/>
      </c>
      <c r="V95" s="14">
        <f>V38/V$59</f>
        <v/>
      </c>
      <c r="W95" s="14">
        <f>W38/W$59</f>
        <v/>
      </c>
    </row>
    <row r="96">
      <c r="A96" s="10" t="n">
        <v>0.75</v>
      </c>
      <c r="B96" s="14">
        <f>B39/B$59</f>
        <v/>
      </c>
      <c r="C96" s="14">
        <f>C39/C$59</f>
        <v/>
      </c>
      <c r="D96" s="14">
        <f>D39/D$59</f>
        <v/>
      </c>
      <c r="E96" s="14">
        <f>E39/E$59</f>
        <v/>
      </c>
      <c r="F96" s="14">
        <f>F39/F$59</f>
        <v/>
      </c>
      <c r="G96" s="14">
        <f>G39/G$59</f>
        <v/>
      </c>
      <c r="H96" s="14">
        <f>H39/H$59</f>
        <v/>
      </c>
      <c r="I96" s="14">
        <f>I39/I$59</f>
        <v/>
      </c>
      <c r="J96" s="14">
        <f>J39/J$59</f>
        <v/>
      </c>
      <c r="K96" s="14">
        <f>K39/K$59</f>
        <v/>
      </c>
      <c r="M96" s="10" t="n">
        <v>0.75</v>
      </c>
      <c r="N96" s="13">
        <f>N39/N$59</f>
        <v/>
      </c>
      <c r="O96" s="13">
        <f>O39/O$59</f>
        <v/>
      </c>
      <c r="P96" s="13">
        <f>P39/P$59</f>
        <v/>
      </c>
      <c r="Q96" s="13">
        <f>Q39/Q$59</f>
        <v/>
      </c>
      <c r="R96" s="13">
        <f>R39/R$59</f>
        <v/>
      </c>
      <c r="S96" s="13">
        <f>S39/S$59</f>
        <v/>
      </c>
      <c r="T96" s="13">
        <f>T39/T$59</f>
        <v/>
      </c>
      <c r="U96" s="13">
        <f>U39/U$59</f>
        <v/>
      </c>
      <c r="V96" s="14">
        <f>V39/V$59</f>
        <v/>
      </c>
      <c r="W96" s="14">
        <f>W39/W$59</f>
        <v/>
      </c>
    </row>
    <row r="97">
      <c r="A97" s="10" t="n">
        <v>0.7708333333333334</v>
      </c>
      <c r="B97" s="14">
        <f>B40/B$59</f>
        <v/>
      </c>
      <c r="C97" s="14">
        <f>C40/C$59</f>
        <v/>
      </c>
      <c r="D97" s="14">
        <f>D40/D$59</f>
        <v/>
      </c>
      <c r="E97" s="14">
        <f>E40/E$59</f>
        <v/>
      </c>
      <c r="F97" s="14">
        <f>F40/F$59</f>
        <v/>
      </c>
      <c r="G97" s="14">
        <f>G40/G$59</f>
        <v/>
      </c>
      <c r="H97" s="14">
        <f>H40/H$59</f>
        <v/>
      </c>
      <c r="I97" s="14">
        <f>I40/I$59</f>
        <v/>
      </c>
      <c r="J97" s="14">
        <f>J40/J$59</f>
        <v/>
      </c>
      <c r="K97" s="14">
        <f>K40/K$59</f>
        <v/>
      </c>
      <c r="M97" s="10" t="n">
        <v>0.7708333333333334</v>
      </c>
      <c r="N97" s="13">
        <f>N40/N$59</f>
        <v/>
      </c>
      <c r="O97" s="13">
        <f>O40/O$59</f>
        <v/>
      </c>
      <c r="P97" s="13">
        <f>P40/P$59</f>
        <v/>
      </c>
      <c r="Q97" s="13">
        <f>Q40/Q$59</f>
        <v/>
      </c>
      <c r="R97" s="13">
        <f>R40/R$59</f>
        <v/>
      </c>
      <c r="S97" s="13">
        <f>S40/S$59</f>
        <v/>
      </c>
      <c r="T97" s="13">
        <f>T40/T$59</f>
        <v/>
      </c>
      <c r="U97" s="13">
        <f>U40/U$59</f>
        <v/>
      </c>
      <c r="V97" s="14">
        <f>V40/V$59</f>
        <v/>
      </c>
      <c r="W97" s="14">
        <f>W40/W$59</f>
        <v/>
      </c>
    </row>
    <row r="98">
      <c r="A98" s="10" t="n">
        <v>0.7916666666666666</v>
      </c>
      <c r="B98" s="14">
        <f>B41/B$59</f>
        <v/>
      </c>
      <c r="C98" s="14">
        <f>C41/C$59</f>
        <v/>
      </c>
      <c r="D98" s="14">
        <f>D41/D$59</f>
        <v/>
      </c>
      <c r="E98" s="14">
        <f>E41/E$59</f>
        <v/>
      </c>
      <c r="F98" s="14">
        <f>F41/F$59</f>
        <v/>
      </c>
      <c r="G98" s="14">
        <f>G41/G$59</f>
        <v/>
      </c>
      <c r="H98" s="14">
        <f>H41/H$59</f>
        <v/>
      </c>
      <c r="I98" s="14">
        <f>I41/I$59</f>
        <v/>
      </c>
      <c r="J98" s="14">
        <f>J41/J$59</f>
        <v/>
      </c>
      <c r="K98" s="14">
        <f>K41/K$59</f>
        <v/>
      </c>
      <c r="M98" s="10" t="n">
        <v>0.7916666666666666</v>
      </c>
      <c r="N98" s="13">
        <f>N41/N$59</f>
        <v/>
      </c>
      <c r="O98" s="13">
        <f>O41/O$59</f>
        <v/>
      </c>
      <c r="P98" s="13">
        <f>P41/P$59</f>
        <v/>
      </c>
      <c r="Q98" s="13">
        <f>Q41/Q$59</f>
        <v/>
      </c>
      <c r="R98" s="13">
        <f>R41/R$59</f>
        <v/>
      </c>
      <c r="S98" s="13">
        <f>S41/S$59</f>
        <v/>
      </c>
      <c r="T98" s="13">
        <f>T41/T$59</f>
        <v/>
      </c>
      <c r="U98" s="13">
        <f>U41/U$59</f>
        <v/>
      </c>
      <c r="V98" s="14">
        <f>V41/V$59</f>
        <v/>
      </c>
      <c r="W98" s="14">
        <f>W41/W$59</f>
        <v/>
      </c>
    </row>
    <row r="99">
      <c r="A99" s="10" t="n">
        <v>0.8125</v>
      </c>
      <c r="B99" s="14">
        <f>B42/B$59</f>
        <v/>
      </c>
      <c r="C99" s="14">
        <f>C42/C$59</f>
        <v/>
      </c>
      <c r="D99" s="14">
        <f>D42/D$59</f>
        <v/>
      </c>
      <c r="E99" s="14">
        <f>E42/E$59</f>
        <v/>
      </c>
      <c r="F99" s="14">
        <f>F42/F$59</f>
        <v/>
      </c>
      <c r="G99" s="14">
        <f>G42/G$59</f>
        <v/>
      </c>
      <c r="H99" s="14">
        <f>H42/H$59</f>
        <v/>
      </c>
      <c r="I99" s="14">
        <f>I42/I$59</f>
        <v/>
      </c>
      <c r="J99" s="14">
        <f>J42/J$59</f>
        <v/>
      </c>
      <c r="K99" s="14">
        <f>K42/K$59</f>
        <v/>
      </c>
      <c r="M99" s="10" t="n">
        <v>0.8125</v>
      </c>
      <c r="N99" s="13">
        <f>N42/N$59</f>
        <v/>
      </c>
      <c r="O99" s="13">
        <f>O42/O$59</f>
        <v/>
      </c>
      <c r="P99" s="13">
        <f>P42/P$59</f>
        <v/>
      </c>
      <c r="Q99" s="13">
        <f>Q42/Q$59</f>
        <v/>
      </c>
      <c r="R99" s="13">
        <f>R42/R$59</f>
        <v/>
      </c>
      <c r="S99" s="13">
        <f>S42/S$59</f>
        <v/>
      </c>
      <c r="T99" s="13">
        <f>T42/T$59</f>
        <v/>
      </c>
      <c r="U99" s="13">
        <f>U42/U$59</f>
        <v/>
      </c>
      <c r="V99" s="14">
        <f>V42/V$59</f>
        <v/>
      </c>
      <c r="W99" s="14">
        <f>W42/W$59</f>
        <v/>
      </c>
    </row>
    <row r="100">
      <c r="A100" s="10" t="n">
        <v>0.8333333333333334</v>
      </c>
      <c r="B100" s="14">
        <f>B43/B$59</f>
        <v/>
      </c>
      <c r="C100" s="14">
        <f>C43/C$59</f>
        <v/>
      </c>
      <c r="D100" s="14">
        <f>D43/D$59</f>
        <v/>
      </c>
      <c r="E100" s="14">
        <f>E43/E$59</f>
        <v/>
      </c>
      <c r="F100" s="14">
        <f>F43/F$59</f>
        <v/>
      </c>
      <c r="G100" s="14">
        <f>G43/G$59</f>
        <v/>
      </c>
      <c r="H100" s="14">
        <f>H43/H$59</f>
        <v/>
      </c>
      <c r="I100" s="14">
        <f>I43/I$59</f>
        <v/>
      </c>
      <c r="J100" s="14">
        <f>J43/J$59</f>
        <v/>
      </c>
      <c r="K100" s="14">
        <f>K43/K$59</f>
        <v/>
      </c>
      <c r="M100" s="10" t="n">
        <v>0.8333333333333334</v>
      </c>
      <c r="N100" s="13">
        <f>N43/N$59</f>
        <v/>
      </c>
      <c r="O100" s="13">
        <f>O43/O$59</f>
        <v/>
      </c>
      <c r="P100" s="13">
        <f>P43/P$59</f>
        <v/>
      </c>
      <c r="Q100" s="13">
        <f>Q43/Q$59</f>
        <v/>
      </c>
      <c r="R100" s="13">
        <f>R43/R$59</f>
        <v/>
      </c>
      <c r="S100" s="13">
        <f>S43/S$59</f>
        <v/>
      </c>
      <c r="T100" s="13">
        <f>T43/T$59</f>
        <v/>
      </c>
      <c r="U100" s="13">
        <f>U43/U$59</f>
        <v/>
      </c>
      <c r="V100" s="14">
        <f>V43/V$59</f>
        <v/>
      </c>
      <c r="W100" s="14">
        <f>W43/W$59</f>
        <v/>
      </c>
    </row>
    <row r="101">
      <c r="A101" s="10" t="n">
        <v>0.8541666666666666</v>
      </c>
      <c r="B101" s="14">
        <f>B44/B$59</f>
        <v/>
      </c>
      <c r="C101" s="14">
        <f>C44/C$59</f>
        <v/>
      </c>
      <c r="D101" s="14">
        <f>D44/D$59</f>
        <v/>
      </c>
      <c r="E101" s="14">
        <f>E44/E$59</f>
        <v/>
      </c>
      <c r="F101" s="14">
        <f>F44/F$59</f>
        <v/>
      </c>
      <c r="G101" s="14">
        <f>G44/G$59</f>
        <v/>
      </c>
      <c r="H101" s="14">
        <f>H44/H$59</f>
        <v/>
      </c>
      <c r="I101" s="14">
        <f>I44/I$59</f>
        <v/>
      </c>
      <c r="J101" s="14">
        <f>J44/J$59</f>
        <v/>
      </c>
      <c r="K101" s="14">
        <f>K44/K$59</f>
        <v/>
      </c>
      <c r="M101" s="10" t="n">
        <v>0.8541666666666666</v>
      </c>
      <c r="N101" s="13">
        <f>N44/N$59</f>
        <v/>
      </c>
      <c r="O101" s="13">
        <f>O44/O$59</f>
        <v/>
      </c>
      <c r="P101" s="13">
        <f>P44/P$59</f>
        <v/>
      </c>
      <c r="Q101" s="13">
        <f>Q44/Q$59</f>
        <v/>
      </c>
      <c r="R101" s="13">
        <f>R44/R$59</f>
        <v/>
      </c>
      <c r="S101" s="13">
        <f>S44/S$59</f>
        <v/>
      </c>
      <c r="T101" s="13">
        <f>T44/T$59</f>
        <v/>
      </c>
      <c r="U101" s="13">
        <f>U44/U$59</f>
        <v/>
      </c>
      <c r="V101" s="14">
        <f>V44/V$59</f>
        <v/>
      </c>
      <c r="W101" s="14">
        <f>W44/W$59</f>
        <v/>
      </c>
    </row>
    <row r="102">
      <c r="A102" s="10" t="n">
        <v>0.875</v>
      </c>
      <c r="B102" s="14">
        <f>B45/B$59</f>
        <v/>
      </c>
      <c r="C102" s="14">
        <f>C45/C$59</f>
        <v/>
      </c>
      <c r="D102" s="14">
        <f>D45/D$59</f>
        <v/>
      </c>
      <c r="E102" s="14">
        <f>E45/E$59</f>
        <v/>
      </c>
      <c r="F102" s="14">
        <f>F45/F$59</f>
        <v/>
      </c>
      <c r="G102" s="14">
        <f>G45/G$59</f>
        <v/>
      </c>
      <c r="H102" s="14">
        <f>H45/H$59</f>
        <v/>
      </c>
      <c r="I102" s="14">
        <f>I45/I$59</f>
        <v/>
      </c>
      <c r="J102" s="14">
        <f>J45/J$59</f>
        <v/>
      </c>
      <c r="K102" s="14">
        <f>K45/K$59</f>
        <v/>
      </c>
      <c r="M102" s="10" t="n">
        <v>0.875</v>
      </c>
      <c r="N102" s="13">
        <f>N45/N$59</f>
        <v/>
      </c>
      <c r="O102" s="13">
        <f>O45/O$59</f>
        <v/>
      </c>
      <c r="P102" s="13">
        <f>P45/P$59</f>
        <v/>
      </c>
      <c r="Q102" s="13">
        <f>Q45/Q$59</f>
        <v/>
      </c>
      <c r="R102" s="13">
        <f>R45/R$59</f>
        <v/>
      </c>
      <c r="S102" s="13">
        <f>S45/S$59</f>
        <v/>
      </c>
      <c r="T102" s="13">
        <f>T45/T$59</f>
        <v/>
      </c>
      <c r="U102" s="13">
        <f>U45/U$59</f>
        <v/>
      </c>
      <c r="V102" s="14">
        <f>V45/V$59</f>
        <v/>
      </c>
      <c r="W102" s="14">
        <f>W45/W$59</f>
        <v/>
      </c>
    </row>
    <row r="103">
      <c r="A103" s="10" t="n">
        <v>0.8958333333333334</v>
      </c>
      <c r="B103" s="14">
        <f>B46/B$59</f>
        <v/>
      </c>
      <c r="C103" s="14">
        <f>C46/C$59</f>
        <v/>
      </c>
      <c r="D103" s="14">
        <f>D46/D$59</f>
        <v/>
      </c>
      <c r="E103" s="14">
        <f>E46/E$59</f>
        <v/>
      </c>
      <c r="F103" s="14">
        <f>F46/F$59</f>
        <v/>
      </c>
      <c r="G103" s="14">
        <f>G46/G$59</f>
        <v/>
      </c>
      <c r="H103" s="14">
        <f>H46/H$59</f>
        <v/>
      </c>
      <c r="I103" s="14">
        <f>I46/I$59</f>
        <v/>
      </c>
      <c r="J103" s="14">
        <f>J46/J$59</f>
        <v/>
      </c>
      <c r="K103" s="14">
        <f>K46/K$59</f>
        <v/>
      </c>
      <c r="M103" s="10" t="n">
        <v>0.8958333333333334</v>
      </c>
      <c r="N103" s="13">
        <f>N46/N$59</f>
        <v/>
      </c>
      <c r="O103" s="13">
        <f>O46/O$59</f>
        <v/>
      </c>
      <c r="P103" s="13">
        <f>P46/P$59</f>
        <v/>
      </c>
      <c r="Q103" s="13">
        <f>Q46/Q$59</f>
        <v/>
      </c>
      <c r="R103" s="13">
        <f>R46/R$59</f>
        <v/>
      </c>
      <c r="S103" s="13">
        <f>S46/S$59</f>
        <v/>
      </c>
      <c r="T103" s="13">
        <f>T46/T$59</f>
        <v/>
      </c>
      <c r="U103" s="13">
        <f>U46/U$59</f>
        <v/>
      </c>
      <c r="V103" s="14">
        <f>V46/V$59</f>
        <v/>
      </c>
      <c r="W103" s="14">
        <f>W46/W$59</f>
        <v/>
      </c>
    </row>
    <row r="104">
      <c r="A104" s="10" t="n">
        <v>0.9166666666666666</v>
      </c>
      <c r="B104" s="14">
        <f>B47/B$59</f>
        <v/>
      </c>
      <c r="C104" s="14">
        <f>C47/C$59</f>
        <v/>
      </c>
      <c r="D104" s="14">
        <f>D47/D$59</f>
        <v/>
      </c>
      <c r="E104" s="14">
        <f>E47/E$59</f>
        <v/>
      </c>
      <c r="F104" s="14">
        <f>F47/F$59</f>
        <v/>
      </c>
      <c r="G104" s="14">
        <f>G47/G$59</f>
        <v/>
      </c>
      <c r="H104" s="14">
        <f>H47/H$59</f>
        <v/>
      </c>
      <c r="I104" s="14">
        <f>I47/I$59</f>
        <v/>
      </c>
      <c r="J104" s="14">
        <f>J47/J$59</f>
        <v/>
      </c>
      <c r="K104" s="14">
        <f>K47/K$59</f>
        <v/>
      </c>
      <c r="M104" s="10" t="n">
        <v>0.9166666666666666</v>
      </c>
      <c r="N104" s="13">
        <f>N47/N$59</f>
        <v/>
      </c>
      <c r="O104" s="13">
        <f>O47/O$59</f>
        <v/>
      </c>
      <c r="P104" s="13">
        <f>P47/P$59</f>
        <v/>
      </c>
      <c r="Q104" s="13">
        <f>Q47/Q$59</f>
        <v/>
      </c>
      <c r="R104" s="13">
        <f>R47/R$59</f>
        <v/>
      </c>
      <c r="S104" s="13">
        <f>S47/S$59</f>
        <v/>
      </c>
      <c r="T104" s="13">
        <f>T47/T$59</f>
        <v/>
      </c>
      <c r="U104" s="13">
        <f>U47/U$59</f>
        <v/>
      </c>
      <c r="V104" s="14">
        <f>V47/V$59</f>
        <v/>
      </c>
      <c r="W104" s="14">
        <f>W47/W$59</f>
        <v/>
      </c>
    </row>
    <row r="105">
      <c r="A105" s="10" t="n">
        <v>0.9375</v>
      </c>
      <c r="B105" s="14">
        <f>B48/B$59</f>
        <v/>
      </c>
      <c r="C105" s="14">
        <f>C48/C$59</f>
        <v/>
      </c>
      <c r="D105" s="14">
        <f>D48/D$59</f>
        <v/>
      </c>
      <c r="E105" s="14">
        <f>E48/E$59</f>
        <v/>
      </c>
      <c r="F105" s="14">
        <f>F48/F$59</f>
        <v/>
      </c>
      <c r="G105" s="14">
        <f>G48/G$59</f>
        <v/>
      </c>
      <c r="H105" s="14">
        <f>H48/H$59</f>
        <v/>
      </c>
      <c r="I105" s="14">
        <f>I48/I$59</f>
        <v/>
      </c>
      <c r="J105" s="14">
        <f>J48/J$59</f>
        <v/>
      </c>
      <c r="K105" s="14">
        <f>K48/K$59</f>
        <v/>
      </c>
      <c r="M105" s="10" t="n">
        <v>0.9375</v>
      </c>
      <c r="N105" s="13">
        <f>N48/N$59</f>
        <v/>
      </c>
      <c r="O105" s="13">
        <f>O48/O$59</f>
        <v/>
      </c>
      <c r="P105" s="13">
        <f>P48/P$59</f>
        <v/>
      </c>
      <c r="Q105" s="13">
        <f>Q48/Q$59</f>
        <v/>
      </c>
      <c r="R105" s="13">
        <f>R48/R$59</f>
        <v/>
      </c>
      <c r="S105" s="13">
        <f>S48/S$59</f>
        <v/>
      </c>
      <c r="T105" s="13">
        <f>T48/T$59</f>
        <v/>
      </c>
      <c r="U105" s="13">
        <f>U48/U$59</f>
        <v/>
      </c>
      <c r="V105" s="14">
        <f>V48/V$59</f>
        <v/>
      </c>
      <c r="W105" s="14">
        <f>W48/W$59</f>
        <v/>
      </c>
    </row>
    <row r="106">
      <c r="A106" s="10" t="n">
        <v>0.9583333333333334</v>
      </c>
      <c r="B106" s="14">
        <f>B49/B$59</f>
        <v/>
      </c>
      <c r="C106" s="14">
        <f>C49/C$59</f>
        <v/>
      </c>
      <c r="D106" s="14">
        <f>D49/D$59</f>
        <v/>
      </c>
      <c r="E106" s="14">
        <f>E49/E$59</f>
        <v/>
      </c>
      <c r="F106" s="14">
        <f>F49/F$59</f>
        <v/>
      </c>
      <c r="G106" s="14">
        <f>G49/G$59</f>
        <v/>
      </c>
      <c r="H106" s="14">
        <f>H49/H$59</f>
        <v/>
      </c>
      <c r="I106" s="14">
        <f>I49/I$59</f>
        <v/>
      </c>
      <c r="J106" s="14">
        <f>J49/J$59</f>
        <v/>
      </c>
      <c r="K106" s="14">
        <f>K49/K$59</f>
        <v/>
      </c>
      <c r="M106" s="10" t="n">
        <v>0.9583333333333334</v>
      </c>
      <c r="N106" s="13">
        <f>N49/N$59</f>
        <v/>
      </c>
      <c r="O106" s="13">
        <f>O49/O$59</f>
        <v/>
      </c>
      <c r="P106" s="13">
        <f>P49/P$59</f>
        <v/>
      </c>
      <c r="Q106" s="13">
        <f>Q49/Q$59</f>
        <v/>
      </c>
      <c r="R106" s="13">
        <f>R49/R$59</f>
        <v/>
      </c>
      <c r="S106" s="13">
        <f>S49/S$59</f>
        <v/>
      </c>
      <c r="T106" s="13">
        <f>T49/T$59</f>
        <v/>
      </c>
      <c r="U106" s="13">
        <f>U49/U$59</f>
        <v/>
      </c>
      <c r="V106" s="14">
        <f>V49/V$59</f>
        <v/>
      </c>
      <c r="W106" s="14">
        <f>W49/W$59</f>
        <v/>
      </c>
    </row>
    <row r="107">
      <c r="A107" s="10" t="n">
        <v>0.9791666666666666</v>
      </c>
      <c r="B107" s="14">
        <f>B50/B$59</f>
        <v/>
      </c>
      <c r="C107" s="14">
        <f>C50/C$59</f>
        <v/>
      </c>
      <c r="D107" s="14">
        <f>D50/D$59</f>
        <v/>
      </c>
      <c r="E107" s="14">
        <f>E50/E$59</f>
        <v/>
      </c>
      <c r="F107" s="14">
        <f>F50/F$59</f>
        <v/>
      </c>
      <c r="G107" s="14">
        <f>G50/G$59</f>
        <v/>
      </c>
      <c r="H107" s="14">
        <f>H50/H$59</f>
        <v/>
      </c>
      <c r="I107" s="14">
        <f>I50/I$59</f>
        <v/>
      </c>
      <c r="J107" s="14">
        <f>J50/J$59</f>
        <v/>
      </c>
      <c r="K107" s="14">
        <f>K50/K$59</f>
        <v/>
      </c>
      <c r="M107" s="10" t="n">
        <v>0.9791666666666666</v>
      </c>
      <c r="N107" s="13">
        <f>N50/N$59</f>
        <v/>
      </c>
      <c r="O107" s="13">
        <f>O50/O$59</f>
        <v/>
      </c>
      <c r="P107" s="13">
        <f>P50/P$59</f>
        <v/>
      </c>
      <c r="Q107" s="13">
        <f>Q50/Q$59</f>
        <v/>
      </c>
      <c r="R107" s="13">
        <f>R50/R$59</f>
        <v/>
      </c>
      <c r="S107" s="13">
        <f>S50/S$59</f>
        <v/>
      </c>
      <c r="T107" s="13">
        <f>T50/T$59</f>
        <v/>
      </c>
      <c r="U107" s="13">
        <f>U50/U$59</f>
        <v/>
      </c>
      <c r="V107" s="14">
        <f>V50/V$59</f>
        <v/>
      </c>
      <c r="W107" s="14">
        <f>W50/W$59</f>
        <v/>
      </c>
    </row>
    <row r="108">
      <c r="A108" s="10" t="n">
        <v>1</v>
      </c>
      <c r="B108" s="14">
        <f>B51/B$59</f>
        <v/>
      </c>
      <c r="C108" s="14">
        <f>C51/C$59</f>
        <v/>
      </c>
      <c r="D108" s="14">
        <f>D51/D$59</f>
        <v/>
      </c>
      <c r="E108" s="14">
        <f>E51/E$59</f>
        <v/>
      </c>
      <c r="F108" s="14">
        <f>F51/F$59</f>
        <v/>
      </c>
      <c r="G108" s="14">
        <f>G51/G$59</f>
        <v/>
      </c>
      <c r="H108" s="14">
        <f>H51/H$59</f>
        <v/>
      </c>
      <c r="I108" s="14">
        <f>I51/I$59</f>
        <v/>
      </c>
      <c r="J108" s="14">
        <f>J51/J$59</f>
        <v/>
      </c>
      <c r="K108" s="14">
        <f>K51/K$59</f>
        <v/>
      </c>
      <c r="M108" s="10" t="n">
        <v>1</v>
      </c>
      <c r="N108" s="13">
        <f>N51/N$59</f>
        <v/>
      </c>
      <c r="O108" s="13">
        <f>O51/O$59</f>
        <v/>
      </c>
      <c r="P108" s="13">
        <f>P51/P$59</f>
        <v/>
      </c>
      <c r="Q108" s="13">
        <f>Q51/Q$59</f>
        <v/>
      </c>
      <c r="R108" s="13">
        <f>R51/R$59</f>
        <v/>
      </c>
      <c r="S108" s="13">
        <f>S51/S$59</f>
        <v/>
      </c>
      <c r="T108" s="13">
        <f>T51/T$59</f>
        <v/>
      </c>
      <c r="U108" s="13">
        <f>U51/U$59</f>
        <v/>
      </c>
      <c r="V108" s="14">
        <f>V51/V$59</f>
        <v/>
      </c>
      <c r="W108" s="14">
        <f>W51/W$59</f>
        <v/>
      </c>
    </row>
    <row r="109">
      <c r="A109" s="10" t="n">
        <v>1.020833333333333</v>
      </c>
      <c r="B109" s="14">
        <f>B52/B$59</f>
        <v/>
      </c>
      <c r="C109" s="14">
        <f>C52/C$59</f>
        <v/>
      </c>
      <c r="D109" s="14">
        <f>D52/D$59</f>
        <v/>
      </c>
      <c r="E109" s="14">
        <f>E52/E$59</f>
        <v/>
      </c>
      <c r="F109" s="14">
        <f>F52/F$59</f>
        <v/>
      </c>
      <c r="G109" s="14">
        <f>G52/G$59</f>
        <v/>
      </c>
      <c r="H109" s="14">
        <f>H52/H$59</f>
        <v/>
      </c>
      <c r="I109" s="14">
        <f>I52/I$59</f>
        <v/>
      </c>
      <c r="J109" s="14">
        <f>J52/J$59</f>
        <v/>
      </c>
      <c r="K109" s="14">
        <f>K52/K$59</f>
        <v/>
      </c>
      <c r="M109" s="10" t="n">
        <v>1.020833333333333</v>
      </c>
      <c r="N109" s="13">
        <f>N52/N$59</f>
        <v/>
      </c>
      <c r="O109" s="13">
        <f>O52/O$59</f>
        <v/>
      </c>
      <c r="P109" s="13">
        <f>P52/P$59</f>
        <v/>
      </c>
      <c r="Q109" s="13">
        <f>Q52/Q$59</f>
        <v/>
      </c>
      <c r="R109" s="13">
        <f>R52/R$59</f>
        <v/>
      </c>
      <c r="S109" s="13">
        <f>S52/S$59</f>
        <v/>
      </c>
      <c r="T109" s="13">
        <f>T52/T$59</f>
        <v/>
      </c>
      <c r="U109" s="13">
        <f>U52/U$59</f>
        <v/>
      </c>
      <c r="V109" s="14">
        <f>V52/V$59</f>
        <v/>
      </c>
      <c r="W109" s="14">
        <f>W52/W$59</f>
        <v/>
      </c>
    </row>
    <row r="110">
      <c r="A110" s="10" t="n">
        <v>0.04166666666666666</v>
      </c>
      <c r="B110" s="14">
        <f>B53/B$59</f>
        <v/>
      </c>
      <c r="C110" s="14">
        <f>C53/C$59</f>
        <v/>
      </c>
      <c r="D110" s="14">
        <f>D53/D$59</f>
        <v/>
      </c>
      <c r="E110" s="14">
        <f>E53/E$59</f>
        <v/>
      </c>
      <c r="F110" s="14">
        <f>F53/F$59</f>
        <v/>
      </c>
      <c r="G110" s="14">
        <f>G53/G$59</f>
        <v/>
      </c>
      <c r="H110" s="14">
        <f>H53/H$59</f>
        <v/>
      </c>
      <c r="I110" s="14">
        <f>I53/I$59</f>
        <v/>
      </c>
      <c r="J110" s="14">
        <f>J53/J$59</f>
        <v/>
      </c>
      <c r="K110" s="14">
        <f>K53/K$59</f>
        <v/>
      </c>
      <c r="M110" s="10" t="n">
        <v>0.04166666666666666</v>
      </c>
      <c r="N110" s="13">
        <f>N53/N$59</f>
        <v/>
      </c>
      <c r="O110" s="13">
        <f>O53/O$59</f>
        <v/>
      </c>
      <c r="P110" s="13">
        <f>P53/P$59</f>
        <v/>
      </c>
      <c r="Q110" s="13">
        <f>Q53/Q$59</f>
        <v/>
      </c>
      <c r="R110" s="13">
        <f>R53/R$59</f>
        <v/>
      </c>
      <c r="S110" s="13">
        <f>S53/S$59</f>
        <v/>
      </c>
      <c r="T110" s="13">
        <f>T53/T$59</f>
        <v/>
      </c>
      <c r="U110" s="13">
        <f>U53/U$59</f>
        <v/>
      </c>
      <c r="V110" s="14">
        <f>V53/V$59</f>
        <v/>
      </c>
      <c r="W110" s="14">
        <f>W53/W$59</f>
        <v/>
      </c>
    </row>
    <row r="111">
      <c r="A111" s="10" t="n">
        <v>0.0625</v>
      </c>
      <c r="B111" s="14">
        <f>B54/B$59</f>
        <v/>
      </c>
      <c r="C111" s="14">
        <f>C54/C$59</f>
        <v/>
      </c>
      <c r="D111" s="14">
        <f>D54/D$59</f>
        <v/>
      </c>
      <c r="E111" s="14">
        <f>E54/E$59</f>
        <v/>
      </c>
      <c r="F111" s="14">
        <f>F54/F$59</f>
        <v/>
      </c>
      <c r="G111" s="14">
        <f>G54/G$59</f>
        <v/>
      </c>
      <c r="H111" s="14">
        <f>H54/H$59</f>
        <v/>
      </c>
      <c r="I111" s="14">
        <f>I54/I$59</f>
        <v/>
      </c>
      <c r="J111" s="14">
        <f>J54/J$59</f>
        <v/>
      </c>
      <c r="K111" s="14">
        <f>K54/K$59</f>
        <v/>
      </c>
      <c r="M111" s="10" t="n">
        <v>0.0625</v>
      </c>
      <c r="N111" s="13">
        <f>N54/N$59</f>
        <v/>
      </c>
      <c r="O111" s="13">
        <f>O54/O$59</f>
        <v/>
      </c>
      <c r="P111" s="13">
        <f>P54/P$59</f>
        <v/>
      </c>
      <c r="Q111" s="13">
        <f>Q54/Q$59</f>
        <v/>
      </c>
      <c r="R111" s="13">
        <f>R54/R$59</f>
        <v/>
      </c>
      <c r="S111" s="13">
        <f>S54/S$59</f>
        <v/>
      </c>
      <c r="T111" s="13">
        <f>T54/T$59</f>
        <v/>
      </c>
      <c r="U111" s="13">
        <f>U54/U$59</f>
        <v/>
      </c>
      <c r="V111" s="14">
        <f>V54/V$59</f>
        <v/>
      </c>
      <c r="W111" s="14">
        <f>W54/W$59</f>
        <v/>
      </c>
    </row>
    <row r="112">
      <c r="A112" s="10" t="n">
        <v>0.08333333333333333</v>
      </c>
      <c r="B112" s="14">
        <f>B55/B$59</f>
        <v/>
      </c>
      <c r="C112" s="14">
        <f>C55/C$59</f>
        <v/>
      </c>
      <c r="D112" s="14">
        <f>D55/D$59</f>
        <v/>
      </c>
      <c r="E112" s="14">
        <f>E55/E$59</f>
        <v/>
      </c>
      <c r="F112" s="14">
        <f>F55/F$59</f>
        <v/>
      </c>
      <c r="G112" s="14">
        <f>G55/G$59</f>
        <v/>
      </c>
      <c r="H112" s="14">
        <f>H55/H$59</f>
        <v/>
      </c>
      <c r="I112" s="14">
        <f>I55/I$59</f>
        <v/>
      </c>
      <c r="J112" s="14">
        <f>J55/J$59</f>
        <v/>
      </c>
      <c r="K112" s="14">
        <f>K55/K$59</f>
        <v/>
      </c>
      <c r="M112" s="10" t="n">
        <v>0.08333333333333333</v>
      </c>
      <c r="N112" s="13">
        <f>N55/N$59</f>
        <v/>
      </c>
      <c r="O112" s="13">
        <f>O55/O$59</f>
        <v/>
      </c>
      <c r="P112" s="13">
        <f>P55/P$59</f>
        <v/>
      </c>
      <c r="Q112" s="13">
        <f>Q55/Q$59</f>
        <v/>
      </c>
      <c r="R112" s="13">
        <f>R55/R$59</f>
        <v/>
      </c>
      <c r="S112" s="13">
        <f>S55/S$59</f>
        <v/>
      </c>
      <c r="T112" s="13">
        <f>T55/T$59</f>
        <v/>
      </c>
      <c r="U112" s="13">
        <f>U55/U$59</f>
        <v/>
      </c>
      <c r="V112" s="14">
        <f>V55/V$59</f>
        <v/>
      </c>
      <c r="W112" s="14">
        <f>W55/W$59</f>
        <v/>
      </c>
    </row>
    <row r="113">
      <c r="A113" s="10" t="n">
        <v>0.1041666666666667</v>
      </c>
      <c r="B113" s="14">
        <f>B56/B$59</f>
        <v/>
      </c>
      <c r="C113" s="14">
        <f>C56/C$59</f>
        <v/>
      </c>
      <c r="D113" s="14">
        <f>D56/D$59</f>
        <v/>
      </c>
      <c r="E113" s="14">
        <f>E56/E$59</f>
        <v/>
      </c>
      <c r="F113" s="14">
        <f>F56/F$59</f>
        <v/>
      </c>
      <c r="G113" s="14">
        <f>G56/G$59</f>
        <v/>
      </c>
      <c r="H113" s="14">
        <f>H56/H$59</f>
        <v/>
      </c>
      <c r="I113" s="14">
        <f>I56/I$59</f>
        <v/>
      </c>
      <c r="J113" s="14">
        <f>J56/J$59</f>
        <v/>
      </c>
      <c r="K113" s="14">
        <f>K56/K$59</f>
        <v/>
      </c>
      <c r="M113" s="10" t="n">
        <v>0.1041666666666667</v>
      </c>
      <c r="N113" s="13">
        <f>N56/N$59</f>
        <v/>
      </c>
      <c r="O113" s="13">
        <f>O56/O$59</f>
        <v/>
      </c>
      <c r="P113" s="13">
        <f>P56/P$59</f>
        <v/>
      </c>
      <c r="Q113" s="13">
        <f>Q56/Q$59</f>
        <v/>
      </c>
      <c r="R113" s="13">
        <f>R56/R$59</f>
        <v/>
      </c>
      <c r="S113" s="13">
        <f>S56/S$59</f>
        <v/>
      </c>
      <c r="T113" s="13">
        <f>T56/T$59</f>
        <v/>
      </c>
      <c r="U113" s="13">
        <f>U56/U$59</f>
        <v/>
      </c>
      <c r="V113" s="14">
        <f>V56/V$59</f>
        <v/>
      </c>
      <c r="W113" s="14">
        <f>W56/W$59</f>
        <v/>
      </c>
    </row>
    <row r="114">
      <c r="A114" s="10" t="n">
        <v>0.125</v>
      </c>
      <c r="B114" s="14">
        <f>B57/B$59</f>
        <v/>
      </c>
      <c r="C114" s="14">
        <f>C57/C$59</f>
        <v/>
      </c>
      <c r="D114" s="14">
        <f>D57/D$59</f>
        <v/>
      </c>
      <c r="E114" s="14">
        <f>E57/E$59</f>
        <v/>
      </c>
      <c r="F114" s="14">
        <f>F57/F$59</f>
        <v/>
      </c>
      <c r="G114" s="14">
        <f>G57/G$59</f>
        <v/>
      </c>
      <c r="H114" s="14">
        <f>H57/H$59</f>
        <v/>
      </c>
      <c r="I114" s="14">
        <f>I57/I$59</f>
        <v/>
      </c>
      <c r="J114" s="14">
        <f>J57/J$59</f>
        <v/>
      </c>
      <c r="K114" s="14">
        <f>K57/K$59</f>
        <v/>
      </c>
      <c r="M114" s="10" t="n">
        <v>0.125</v>
      </c>
      <c r="N114" s="13">
        <f>N57/N$59</f>
        <v/>
      </c>
      <c r="O114" s="13">
        <f>O57/O$59</f>
        <v/>
      </c>
      <c r="P114" s="13">
        <f>P57/P$59</f>
        <v/>
      </c>
      <c r="Q114" s="13">
        <f>Q57/Q$59</f>
        <v/>
      </c>
      <c r="R114" s="13">
        <f>R57/R$59</f>
        <v/>
      </c>
      <c r="S114" s="13">
        <f>S57/S$59</f>
        <v/>
      </c>
      <c r="T114" s="13">
        <f>T57/T$59</f>
        <v/>
      </c>
      <c r="U114" s="13">
        <f>U57/U$59</f>
        <v/>
      </c>
      <c r="V114" s="14">
        <f>V57/V$59</f>
        <v/>
      </c>
      <c r="W114" s="14">
        <f>W57/W$59</f>
        <v/>
      </c>
    </row>
    <row r="115" ht="15.75" customHeight="1" s="71" thickBot="1">
      <c r="A115" s="11" t="inlineStr">
        <is>
          <t>After 27:30</t>
        </is>
      </c>
      <c r="B115" s="16">
        <f>B58/B$59</f>
        <v/>
      </c>
      <c r="C115" s="16">
        <f>C58/C$59</f>
        <v/>
      </c>
      <c r="D115" s="16">
        <f>D58/D$59</f>
        <v/>
      </c>
      <c r="E115" s="16">
        <f>E58/E$59</f>
        <v/>
      </c>
      <c r="F115" s="14">
        <f>F58/F$59</f>
        <v/>
      </c>
      <c r="G115" s="14">
        <f>G58/G$59</f>
        <v/>
      </c>
      <c r="H115" s="14">
        <f>H58/H$59</f>
        <v/>
      </c>
      <c r="I115" s="14">
        <f>I58/I$59</f>
        <v/>
      </c>
      <c r="J115" s="16">
        <f>J58/J$59</f>
        <v/>
      </c>
      <c r="K115" s="16">
        <f>K58/K$59</f>
        <v/>
      </c>
      <c r="M115" s="11" t="inlineStr">
        <is>
          <t>After 27:30</t>
        </is>
      </c>
      <c r="N115" s="15">
        <f>N58/N$59</f>
        <v/>
      </c>
      <c r="O115" s="15">
        <f>O58/O$59</f>
        <v/>
      </c>
      <c r="P115" s="15">
        <f>P58/P$59</f>
        <v/>
      </c>
      <c r="Q115" s="15">
        <f>Q58/Q$59</f>
        <v/>
      </c>
      <c r="R115" s="13">
        <f>R58/R$59</f>
        <v/>
      </c>
      <c r="S115" s="13">
        <f>S58/S$59</f>
        <v/>
      </c>
      <c r="T115" s="13">
        <f>T58/T$59</f>
        <v/>
      </c>
      <c r="U115" s="13">
        <f>U58/U$59</f>
        <v/>
      </c>
      <c r="V115" s="16">
        <f>V58/V$59</f>
        <v/>
      </c>
      <c r="W115" s="16">
        <f>W58/W$59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A113"/>
  <sheetViews>
    <sheetView topLeftCell="A87" workbookViewId="0">
      <selection activeCell="K60" sqref="K60"/>
    </sheetView>
  </sheetViews>
  <sheetFormatPr baseColWidth="8" defaultRowHeight="15"/>
  <cols>
    <col collapsed="1" width="12.7109375" customWidth="1" style="71" min="1" max="1"/>
    <col collapsed="1" width="10.7109375" customWidth="1" style="71" min="2" max="5"/>
    <col width="10.7109375" customWidth="1" style="71" min="6" max="9"/>
    <col collapsed="1" width="10.7109375" customWidth="1" style="71" min="10" max="10"/>
    <col width="10.7109375" customWidth="1" style="71" min="11" max="11"/>
    <col collapsed="1" width="6.42578125" customWidth="1" style="71" min="12" max="12"/>
    <col collapsed="1" width="12.7109375" customWidth="1" style="71" min="13" max="13"/>
    <col collapsed="1" width="10.7109375" customWidth="1" style="71" min="14" max="17"/>
    <col width="10.7109375" customWidth="1" style="71" min="18" max="21"/>
    <col collapsed="1" width="10.7109375" customWidth="1" style="71" min="22" max="22"/>
    <col width="10.7109375" customWidth="1" style="71" min="23" max="23"/>
  </cols>
  <sheetData>
    <row r="1">
      <c r="A1" t="inlineStr">
        <is>
          <t>Tour departure time from primary destination</t>
        </is>
      </c>
    </row>
    <row r="2">
      <c r="A2" t="inlineStr">
        <is>
          <t>Observed Sources: Survey (2009)</t>
        </is>
      </c>
    </row>
    <row r="3">
      <c r="A3" t="inlineStr">
        <is>
          <t>Half-hour time periods</t>
        </is>
      </c>
    </row>
    <row r="6" ht="15.75" customHeight="1" s="71" thickBot="1">
      <c r="A6" s="3" t="inlineStr">
        <is>
          <t>Table X. Observed Tour Durations: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M6" s="3" t="inlineStr">
        <is>
          <t>Table X. Estimated Tour Durations: DaySim</t>
        </is>
      </c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Y6" s="7" t="n"/>
    </row>
    <row r="7">
      <c r="A7" s="2" t="inlineStr">
        <is>
          <t>Duration</t>
        </is>
      </c>
      <c r="B7" s="4" t="inlineStr">
        <is>
          <t>Work</t>
        </is>
      </c>
      <c r="C7" s="4" t="inlineStr">
        <is>
          <t>School</t>
        </is>
      </c>
      <c r="D7" s="4" t="inlineStr">
        <is>
          <t>Escort</t>
        </is>
      </c>
      <c r="E7" s="4" t="inlineStr">
        <is>
          <t>Per Busi</t>
        </is>
      </c>
      <c r="F7" s="4" t="inlineStr">
        <is>
          <t>Shopping</t>
        </is>
      </c>
      <c r="G7" s="4" t="inlineStr">
        <is>
          <t>Meal</t>
        </is>
      </c>
      <c r="H7" s="4" t="inlineStr">
        <is>
          <t>Soc&amp;Rec</t>
        </is>
      </c>
      <c r="I7" s="4" t="inlineStr">
        <is>
          <t>Other</t>
        </is>
      </c>
      <c r="J7" s="4" t="inlineStr">
        <is>
          <t>Total</t>
        </is>
      </c>
      <c r="K7" s="4" t="inlineStr">
        <is>
          <t>Except Work, Work-related, School</t>
        </is>
      </c>
      <c r="M7" s="2" t="inlineStr">
        <is>
          <t>Duration</t>
        </is>
      </c>
      <c r="N7" s="4" t="inlineStr">
        <is>
          <t>Work</t>
        </is>
      </c>
      <c r="O7" s="4" t="inlineStr">
        <is>
          <t>School</t>
        </is>
      </c>
      <c r="P7" s="4" t="inlineStr">
        <is>
          <t>Escort</t>
        </is>
      </c>
      <c r="Q7" s="4" t="inlineStr">
        <is>
          <t>Per Busi</t>
        </is>
      </c>
      <c r="R7" s="4" t="inlineStr">
        <is>
          <t>Shopping</t>
        </is>
      </c>
      <c r="S7" s="4" t="inlineStr">
        <is>
          <t>Meal</t>
        </is>
      </c>
      <c r="T7" s="4" t="inlineStr">
        <is>
          <t>Soc&amp;Rec</t>
        </is>
      </c>
      <c r="U7" s="4" t="inlineStr">
        <is>
          <t>Other</t>
        </is>
      </c>
      <c r="V7" s="4" t="inlineStr">
        <is>
          <t>Total</t>
        </is>
      </c>
      <c r="W7" s="4" t="inlineStr">
        <is>
          <t>Except Work, Work-related, School</t>
        </is>
      </c>
      <c r="Z7" s="12" t="n"/>
      <c r="AA7" s="12" t="n"/>
    </row>
    <row r="8">
      <c r="A8" s="10" t="n">
        <v>0</v>
      </c>
      <c r="B8" s="5" t="n">
        <v>10100.25497169692</v>
      </c>
      <c r="C8" s="5" t="n">
        <v>6794.306109914578</v>
      </c>
      <c r="D8" s="5" t="n">
        <v>366589.5824283542</v>
      </c>
      <c r="E8" s="5" t="n">
        <v>85809.73115057741</v>
      </c>
      <c r="F8" s="5" t="n">
        <v>370511.0461707216</v>
      </c>
      <c r="G8" s="5" t="n">
        <v>125479.332593405</v>
      </c>
      <c r="H8" s="5" t="n">
        <v>272817.2588761789</v>
      </c>
      <c r="I8" s="5" t="n">
        <v>62177.34881233495</v>
      </c>
      <c r="J8" s="5">
        <f>SUM(B8:I8)</f>
        <v/>
      </c>
      <c r="K8" s="5">
        <f>SUM(D8:I8)</f>
        <v/>
      </c>
      <c r="M8" s="10" t="n">
        <v>0</v>
      </c>
      <c r="N8" s="12" t="n">
        <v>57340.77142604084</v>
      </c>
      <c r="O8" s="12" t="n">
        <v>31638.26337447245</v>
      </c>
      <c r="P8" s="12" t="n">
        <v>1364889.552479835</v>
      </c>
      <c r="Q8" s="12" t="n">
        <v>128781.9959922571</v>
      </c>
      <c r="R8" s="12" t="n"/>
      <c r="S8" s="12" t="n"/>
      <c r="T8" s="12" t="n"/>
      <c r="U8" s="12" t="n"/>
      <c r="V8" s="12">
        <f>SUM(N8:Q8)</f>
        <v/>
      </c>
      <c r="W8" s="5">
        <f>SUM(P8:U8)</f>
        <v/>
      </c>
      <c r="Z8" s="12" t="n"/>
      <c r="AA8" s="12" t="n"/>
    </row>
    <row r="9">
      <c r="A9" s="10" t="n">
        <v>0.02083333333333333</v>
      </c>
      <c r="B9" s="5" t="n">
        <v>13762.838683596</v>
      </c>
      <c r="C9" s="5" t="n">
        <v>5571.392257917037</v>
      </c>
      <c r="D9" s="5" t="n">
        <v>249012.5642421481</v>
      </c>
      <c r="E9" s="5" t="n">
        <v>72615.19380347403</v>
      </c>
      <c r="F9" s="5" t="n">
        <v>260940.8350216077</v>
      </c>
      <c r="G9" s="5" t="n">
        <v>92930.05692536956</v>
      </c>
      <c r="H9" s="5" t="n">
        <v>230414.5933897889</v>
      </c>
      <c r="I9" s="5" t="n">
        <v>44677.85697702933</v>
      </c>
      <c r="J9" s="5">
        <f>SUM(B9:I9)</f>
        <v/>
      </c>
      <c r="K9" s="5">
        <f>SUM(D9:I9)</f>
        <v/>
      </c>
      <c r="M9" s="10" t="n">
        <v>0.02083333333333333</v>
      </c>
      <c r="N9" s="8" t="n">
        <v>54082.69363467139</v>
      </c>
      <c r="O9" s="8" t="n">
        <v>26100.84680623699</v>
      </c>
      <c r="P9" s="8" t="n">
        <v>1018015.311819725</v>
      </c>
      <c r="Q9" s="8" t="n">
        <v>91032.50445558768</v>
      </c>
      <c r="R9" s="8" t="n"/>
      <c r="S9" s="8" t="n"/>
      <c r="T9" s="8" t="n"/>
      <c r="U9" s="8" t="n"/>
      <c r="V9" s="12">
        <f>SUM(N9:Q9)</f>
        <v/>
      </c>
      <c r="W9" s="5">
        <f>SUM(P9:U9)</f>
        <v/>
      </c>
      <c r="Z9" s="5" t="n"/>
      <c r="AA9" s="5" t="n"/>
    </row>
    <row r="10">
      <c r="A10" s="10" t="n">
        <v>0.04166666666666666</v>
      </c>
      <c r="B10" s="5" t="n">
        <v>17359.41139678913</v>
      </c>
      <c r="C10" s="5" t="n">
        <v>4674.95349913155</v>
      </c>
      <c r="D10" s="5" t="n">
        <v>150190.703754678</v>
      </c>
      <c r="E10" s="5" t="n">
        <v>58855.55629108722</v>
      </c>
      <c r="F10" s="5" t="n">
        <v>165967.4327780564</v>
      </c>
      <c r="G10" s="5" t="n">
        <v>64148.64530240262</v>
      </c>
      <c r="H10" s="5" t="n">
        <v>189969.9354556113</v>
      </c>
      <c r="I10" s="5" t="n">
        <v>29310.24365486273</v>
      </c>
      <c r="J10" s="5">
        <f>SUM(B10:I10)</f>
        <v/>
      </c>
      <c r="K10" s="5">
        <f>SUM(D10:I10)</f>
        <v/>
      </c>
      <c r="M10" s="10" t="n">
        <v>0.04166666666666666</v>
      </c>
      <c r="N10" s="8" t="n">
        <v>52219.98476111537</v>
      </c>
      <c r="O10" s="8" t="n">
        <v>21736.60535310196</v>
      </c>
      <c r="P10" s="8" t="n">
        <v>711600.1867634107</v>
      </c>
      <c r="Q10" s="8" t="n">
        <v>58476.9044157334</v>
      </c>
      <c r="R10" s="8" t="n"/>
      <c r="S10" s="8" t="n"/>
      <c r="T10" s="8" t="n"/>
      <c r="U10" s="8" t="n"/>
      <c r="V10" s="12">
        <f>SUM(N10:Q10)</f>
        <v/>
      </c>
      <c r="W10" s="5">
        <f>SUM(P10:U10)</f>
        <v/>
      </c>
      <c r="Z10" s="5" t="n"/>
      <c r="AA10" s="5" t="n"/>
    </row>
    <row r="11">
      <c r="A11" s="10" t="n">
        <v>0.0625</v>
      </c>
      <c r="B11" s="5" t="n">
        <v>21075.11841398622</v>
      </c>
      <c r="C11" s="5" t="n">
        <v>4289.505301962618</v>
      </c>
      <c r="D11" s="5" t="n">
        <v>80380.08247606066</v>
      </c>
      <c r="E11" s="5" t="n">
        <v>44829.03398020076</v>
      </c>
      <c r="F11" s="5" t="n">
        <v>94664.26926986201</v>
      </c>
      <c r="G11" s="5" t="n">
        <v>41517.05225485661</v>
      </c>
      <c r="H11" s="5" t="n">
        <v>152956.2703285092</v>
      </c>
      <c r="I11" s="5" t="n">
        <v>17456.58564281574</v>
      </c>
      <c r="J11" s="5">
        <f>SUM(B11:I11)</f>
        <v/>
      </c>
      <c r="K11" s="5">
        <f>SUM(D11:I11)</f>
        <v/>
      </c>
      <c r="M11" s="10" t="n">
        <v>0.0625</v>
      </c>
      <c r="N11" s="8" t="n">
        <v>52541.27552268679</v>
      </c>
      <c r="O11" s="8" t="n">
        <v>19322.9486902085</v>
      </c>
      <c r="P11" s="8" t="n">
        <v>470507.2358033143</v>
      </c>
      <c r="Q11" s="8" t="n">
        <v>34190.77364338835</v>
      </c>
      <c r="R11" s="8" t="n"/>
      <c r="S11" s="8" t="n"/>
      <c r="T11" s="8" t="n"/>
      <c r="U11" s="8" t="n"/>
      <c r="V11" s="12">
        <f>SUM(N11:Q11)</f>
        <v/>
      </c>
      <c r="W11" s="5">
        <f>SUM(P11:U11)</f>
        <v/>
      </c>
      <c r="Z11" s="5" t="n"/>
      <c r="AA11" s="5" t="n"/>
    </row>
    <row r="12">
      <c r="A12" s="10" t="n">
        <v>0.08333333333333333</v>
      </c>
      <c r="B12" s="5" t="n">
        <v>25173.40779015648</v>
      </c>
      <c r="C12" s="5" t="n">
        <v>4443.434933627132</v>
      </c>
      <c r="D12" s="5" t="n">
        <v>38879.11311364415</v>
      </c>
      <c r="E12" s="5" t="n">
        <v>31712.98048220065</v>
      </c>
      <c r="F12" s="5" t="n">
        <v>48355.56814056268</v>
      </c>
      <c r="G12" s="5" t="n">
        <v>25521.05561725959</v>
      </c>
      <c r="H12" s="5" t="n">
        <v>120159.3886339506</v>
      </c>
      <c r="I12" s="5" t="n">
        <v>9443.574487374992</v>
      </c>
      <c r="J12" s="5">
        <f>SUM(B12:I12)</f>
        <v/>
      </c>
      <c r="K12" s="5">
        <f>SUM(D12:I12)</f>
        <v/>
      </c>
      <c r="M12" s="10" t="n">
        <v>0.08333333333333333</v>
      </c>
      <c r="N12" s="8" t="n">
        <v>54957.85929159675</v>
      </c>
      <c r="O12" s="8" t="n">
        <v>19113.47699473703</v>
      </c>
      <c r="P12" s="8" t="n">
        <v>298652.789244754</v>
      </c>
      <c r="Q12" s="8" t="n">
        <v>18403.38156445395</v>
      </c>
      <c r="R12" s="8" t="n"/>
      <c r="S12" s="8" t="n"/>
      <c r="T12" s="8" t="n"/>
      <c r="U12" s="8" t="n"/>
      <c r="V12" s="12">
        <f>SUM(N12:Q12)</f>
        <v/>
      </c>
      <c r="W12" s="5">
        <f>SUM(P12:U12)</f>
        <v/>
      </c>
      <c r="Z12" s="5" t="n"/>
      <c r="AA12" s="5" t="n"/>
    </row>
    <row r="13">
      <c r="A13" s="10" t="n">
        <v>0.1041666666666667</v>
      </c>
      <c r="B13" s="5" t="n">
        <v>29571.98795003451</v>
      </c>
      <c r="C13" s="5" t="n">
        <v>5123.024767929261</v>
      </c>
      <c r="D13" s="5" t="n">
        <v>18004.04416040831</v>
      </c>
      <c r="E13" s="5" t="n">
        <v>20807.75334706988</v>
      </c>
      <c r="F13" s="5" t="n">
        <v>22365.53312081644</v>
      </c>
      <c r="G13" s="5" t="n">
        <v>15209.12311301428</v>
      </c>
      <c r="H13" s="5" t="n">
        <v>91845.34815546547</v>
      </c>
      <c r="I13" s="5" t="n">
        <v>4757.503739071889</v>
      </c>
      <c r="J13" s="5">
        <f>SUM(B13:I13)</f>
        <v/>
      </c>
      <c r="K13" s="5">
        <f>SUM(D13:I13)</f>
        <v/>
      </c>
      <c r="M13" s="10" t="n">
        <v>0.1041666666666667</v>
      </c>
      <c r="N13" s="8" t="n">
        <v>58646.19777236895</v>
      </c>
      <c r="O13" s="8" t="n">
        <v>21013.10013503914</v>
      </c>
      <c r="P13" s="8" t="n">
        <v>184914.1262859101</v>
      </c>
      <c r="Q13" s="8" t="n">
        <v>9329.441898703986</v>
      </c>
      <c r="R13" s="8" t="n"/>
      <c r="S13" s="8" t="n"/>
      <c r="T13" s="8" t="n"/>
      <c r="U13" s="8" t="n"/>
      <c r="V13" s="12">
        <f>SUM(N13:Q13)</f>
        <v/>
      </c>
      <c r="W13" s="5">
        <f>SUM(P13:U13)</f>
        <v/>
      </c>
    </row>
    <row r="14">
      <c r="A14" s="10" t="n">
        <v>0.125</v>
      </c>
      <c r="B14" s="5" t="n">
        <v>33748.84128431498</v>
      </c>
      <c r="C14" s="5" t="n">
        <v>6424.219025413586</v>
      </c>
      <c r="D14" s="5" t="n">
        <v>8979.011173898514</v>
      </c>
      <c r="E14" s="5" t="n">
        <v>12790.72194687524</v>
      </c>
      <c r="F14" s="5" t="n">
        <v>9734.783003582388</v>
      </c>
      <c r="G14" s="5" t="n">
        <v>9034.909208511031</v>
      </c>
      <c r="H14" s="5" t="n">
        <v>68113.37376067307</v>
      </c>
      <c r="I14" s="5" t="n">
        <v>2501.204750533875</v>
      </c>
      <c r="J14" s="5">
        <f>SUM(B14:I14)</f>
        <v/>
      </c>
      <c r="K14" s="5">
        <f>SUM(D14:I14)</f>
        <v/>
      </c>
      <c r="M14" s="10" t="n">
        <v>0.125</v>
      </c>
      <c r="N14" s="8" t="n">
        <v>62459.11627340868</v>
      </c>
      <c r="O14" s="8" t="n">
        <v>24850.22931615209</v>
      </c>
      <c r="P14" s="8" t="n">
        <v>113106.9037864676</v>
      </c>
      <c r="Q14" s="8" t="n">
        <v>4599.771426020759</v>
      </c>
      <c r="R14" s="8" t="n"/>
      <c r="S14" s="8" t="n"/>
      <c r="T14" s="8" t="n"/>
      <c r="U14" s="8" t="n"/>
      <c r="V14" s="12">
        <f>SUM(N14:Q14)</f>
        <v/>
      </c>
      <c r="W14" s="5">
        <f>SUM(P14:U14)</f>
        <v/>
      </c>
    </row>
    <row r="15">
      <c r="A15" s="10" t="n">
        <v>0.1458333333333333</v>
      </c>
      <c r="B15" s="5" t="n">
        <v>37216.87721523505</v>
      </c>
      <c r="C15" s="5" t="n">
        <v>8694.657355916184</v>
      </c>
      <c r="D15" s="5" t="n">
        <v>5501.2929740934</v>
      </c>
      <c r="E15" s="5" t="n">
        <v>7539.295154922226</v>
      </c>
      <c r="F15" s="5" t="n">
        <v>4340.407450647008</v>
      </c>
      <c r="G15" s="5" t="n">
        <v>5512.144685363686</v>
      </c>
      <c r="H15" s="5" t="n">
        <v>49100.70828961443</v>
      </c>
      <c r="I15" s="5" t="n">
        <v>1767.104561725732</v>
      </c>
      <c r="J15" s="5">
        <f>SUM(B15:I15)</f>
        <v/>
      </c>
      <c r="K15" s="5">
        <f>SUM(D15:I15)</f>
        <v/>
      </c>
      <c r="M15" s="10" t="n">
        <v>0.1458333333333333</v>
      </c>
      <c r="N15" s="8" t="n">
        <v>65436.34114822721</v>
      </c>
      <c r="O15" s="8" t="n">
        <v>30494.14533583809</v>
      </c>
      <c r="P15" s="8" t="n">
        <v>68938.0842519479</v>
      </c>
      <c r="Q15" s="8" t="n">
        <v>2277.408163909109</v>
      </c>
      <c r="R15" s="8" t="n"/>
      <c r="S15" s="8" t="n"/>
      <c r="T15" s="8" t="n"/>
      <c r="U15" s="8" t="n"/>
      <c r="V15" s="12">
        <f>SUM(N15:Q15)</f>
        <v/>
      </c>
      <c r="W15" s="5">
        <f>SUM(P15:U15)</f>
        <v/>
      </c>
    </row>
    <row r="16">
      <c r="A16" s="10" t="n">
        <v>0.1666666666666667</v>
      </c>
      <c r="B16" s="5" t="n">
        <v>40112.67520774376</v>
      </c>
      <c r="C16" s="5" t="n">
        <v>12643.68295037361</v>
      </c>
      <c r="D16" s="5" t="n">
        <v>4212.561724689377</v>
      </c>
      <c r="E16" s="5" t="n">
        <v>4428.865024435008</v>
      </c>
      <c r="F16" s="5" t="n">
        <v>2204.646942762791</v>
      </c>
      <c r="G16" s="5" t="n">
        <v>3518.248991148695</v>
      </c>
      <c r="H16" s="5" t="n">
        <v>34849.02748724628</v>
      </c>
      <c r="I16" s="5" t="n">
        <v>1799.953200727028</v>
      </c>
      <c r="J16" s="5">
        <f>SUM(B16:I16)</f>
        <v/>
      </c>
      <c r="K16" s="5">
        <f>SUM(D16:I16)</f>
        <v/>
      </c>
      <c r="M16" s="10" t="n">
        <v>0.1666666666666667</v>
      </c>
      <c r="N16" s="8" t="n">
        <v>67273.56505122024</v>
      </c>
      <c r="O16" s="8" t="n">
        <v>37731.73951157364</v>
      </c>
      <c r="P16" s="8" t="n">
        <v>42180.66385466489</v>
      </c>
      <c r="Q16" s="8" t="n">
        <v>1153.244177567157</v>
      </c>
      <c r="R16" s="8" t="n"/>
      <c r="S16" s="8" t="n"/>
      <c r="T16" s="8" t="n"/>
      <c r="U16" s="8" t="n"/>
      <c r="V16" s="12">
        <f>SUM(N16:Q16)</f>
        <v/>
      </c>
      <c r="W16" s="5">
        <f>SUM(P16:U16)</f>
        <v/>
      </c>
    </row>
    <row r="17">
      <c r="A17" s="10" t="n">
        <v>0.1875</v>
      </c>
      <c r="B17" s="5" t="n">
        <v>43277.80738210394</v>
      </c>
      <c r="C17" s="5" t="n">
        <v>19224.11110084834</v>
      </c>
      <c r="D17" s="5" t="n">
        <v>3674.295079688694</v>
      </c>
      <c r="E17" s="5" t="n">
        <v>2719.690762958799</v>
      </c>
      <c r="F17" s="5" t="n">
        <v>1316.812699744439</v>
      </c>
      <c r="G17" s="5" t="n">
        <v>2344.65519215417</v>
      </c>
      <c r="H17" s="5" t="n">
        <v>25000.42845384185</v>
      </c>
      <c r="I17" s="5" t="n">
        <v>2026.56666805846</v>
      </c>
      <c r="J17" s="5">
        <f>SUM(B17:I17)</f>
        <v/>
      </c>
      <c r="K17" s="5">
        <f>SUM(D17:I17)</f>
        <v/>
      </c>
      <c r="M17" s="10" t="n">
        <v>0.1875</v>
      </c>
      <c r="N17" s="8" t="n">
        <v>68570.55531632522</v>
      </c>
      <c r="O17" s="8" t="n">
        <v>46044.60925072888</v>
      </c>
      <c r="P17" s="8" t="n">
        <v>26133.3395182702</v>
      </c>
      <c r="Q17" s="8" t="n">
        <v>595.7837608193715</v>
      </c>
      <c r="R17" s="8" t="n"/>
      <c r="S17" s="8" t="n"/>
      <c r="T17" s="8" t="n"/>
      <c r="U17" s="8" t="n"/>
      <c r="V17" s="12">
        <f>SUM(N17:Q17)</f>
        <v/>
      </c>
      <c r="W17" s="5">
        <f>SUM(P17:U17)</f>
        <v/>
      </c>
    </row>
    <row r="18">
      <c r="A18" s="10" t="n">
        <v>0.2083333333333333</v>
      </c>
      <c r="B18" s="5" t="n">
        <v>47796.61670507627</v>
      </c>
      <c r="C18" s="5" t="n">
        <v>28961.41806548157</v>
      </c>
      <c r="D18" s="5" t="n">
        <v>3357.69590671112</v>
      </c>
      <c r="E18" s="5" t="n">
        <v>1803.679111566632</v>
      </c>
      <c r="F18" s="5" t="n">
        <v>879.3048419840338</v>
      </c>
      <c r="G18" s="5" t="n">
        <v>1611.206388739093</v>
      </c>
      <c r="H18" s="5" t="n">
        <v>18690.17719748742</v>
      </c>
      <c r="I18" s="5" t="n">
        <v>2075.888281450026</v>
      </c>
      <c r="J18" s="5">
        <f>SUM(B18:I18)</f>
        <v/>
      </c>
      <c r="K18" s="5">
        <f>SUM(D18:I18)</f>
        <v/>
      </c>
      <c r="M18" s="10" t="n">
        <v>0.2083333333333333</v>
      </c>
      <c r="N18" s="8" t="n">
        <v>70694.41396642866</v>
      </c>
      <c r="O18" s="8" t="n">
        <v>54513.60056685506</v>
      </c>
      <c r="P18" s="8" t="n">
        <v>16540.17477249946</v>
      </c>
      <c r="Q18" s="8" t="n">
        <v>307.9939893751605</v>
      </c>
      <c r="R18" s="8" t="n"/>
      <c r="S18" s="8" t="n"/>
      <c r="T18" s="8" t="n"/>
      <c r="U18" s="8" t="n"/>
      <c r="V18" s="12">
        <f>SUM(N18:Q18)</f>
        <v/>
      </c>
      <c r="W18" s="5">
        <f>SUM(P18:U18)</f>
        <v/>
      </c>
    </row>
    <row r="19">
      <c r="A19" s="10" t="n">
        <v>0.2291666666666667</v>
      </c>
      <c r="B19" s="5" t="n">
        <v>54540.42563042816</v>
      </c>
      <c r="C19" s="5" t="n">
        <v>40854.27618485488</v>
      </c>
      <c r="D19" s="5" t="n">
        <v>3102.138331614686</v>
      </c>
      <c r="E19" s="5" t="n">
        <v>1293.162454942018</v>
      </c>
      <c r="F19" s="5" t="n">
        <v>637.7836608739243</v>
      </c>
      <c r="G19" s="5" t="n">
        <v>1131.140589108856</v>
      </c>
      <c r="H19" s="5" t="n">
        <v>14793.87536980357</v>
      </c>
      <c r="I19" s="5" t="n">
        <v>1814.85309269917</v>
      </c>
      <c r="J19" s="5">
        <f>SUM(B19:I19)</f>
        <v/>
      </c>
      <c r="K19" s="5">
        <f>SUM(D19:I19)</f>
        <v/>
      </c>
      <c r="M19" s="10" t="n">
        <v>0.2291666666666667</v>
      </c>
      <c r="N19" s="8" t="n">
        <v>75279.9454219215</v>
      </c>
      <c r="O19" s="8" t="n">
        <v>61942.74371221989</v>
      </c>
      <c r="P19" s="8" t="n">
        <v>10769.62961444856</v>
      </c>
      <c r="Q19" s="8" t="n">
        <v>155.1656470501436</v>
      </c>
      <c r="R19" s="8" t="n"/>
      <c r="S19" s="8" t="n"/>
      <c r="T19" s="8" t="n"/>
      <c r="U19" s="8" t="n"/>
      <c r="V19" s="12">
        <f>SUM(N19:Q19)</f>
        <v/>
      </c>
      <c r="W19" s="5">
        <f>SUM(P19:U19)</f>
        <v/>
      </c>
    </row>
    <row r="20">
      <c r="A20" s="10" t="n">
        <v>0.25</v>
      </c>
      <c r="B20" s="5" t="n">
        <v>64071.27083587668</v>
      </c>
      <c r="C20" s="5" t="n">
        <v>51837.72146286463</v>
      </c>
      <c r="D20" s="5" t="n">
        <v>2891.956122158123</v>
      </c>
      <c r="E20" s="5" t="n">
        <v>998.2368869476546</v>
      </c>
      <c r="F20" s="5" t="n">
        <v>505.4458749891719</v>
      </c>
      <c r="G20" s="5" t="n">
        <v>802.7674467229848</v>
      </c>
      <c r="H20" s="5" t="n">
        <v>12312.61913194108</v>
      </c>
      <c r="I20" s="5" t="n">
        <v>1329.961395320892</v>
      </c>
      <c r="J20" s="5">
        <f>SUM(B20:I20)</f>
        <v/>
      </c>
      <c r="K20" s="5">
        <f>SUM(D20:I20)</f>
        <v/>
      </c>
      <c r="M20" s="10" t="n">
        <v>0.25</v>
      </c>
      <c r="N20" s="8" t="n">
        <v>83588.74168855794</v>
      </c>
      <c r="O20" s="8" t="n">
        <v>67093.41873955853</v>
      </c>
      <c r="P20" s="8" t="n">
        <v>7249.911846091896</v>
      </c>
      <c r="Q20" s="8" t="n">
        <v>74.4606256765306</v>
      </c>
      <c r="R20" s="8" t="n"/>
      <c r="S20" s="8" t="n"/>
      <c r="T20" s="8" t="n"/>
      <c r="U20" s="8" t="n"/>
      <c r="V20" s="12">
        <f>SUM(N20:Q20)</f>
        <v/>
      </c>
      <c r="W20" s="5">
        <f>SUM(P20:U20)</f>
        <v/>
      </c>
    </row>
    <row r="21">
      <c r="A21" s="10" t="n">
        <v>0.2708333333333333</v>
      </c>
      <c r="B21" s="5" t="n">
        <v>76540.91860061584</v>
      </c>
      <c r="C21" s="5" t="n">
        <v>57885.31237039406</v>
      </c>
      <c r="D21" s="5" t="n">
        <v>2769.822281691607</v>
      </c>
      <c r="E21" s="5" t="n">
        <v>841.2990495634747</v>
      </c>
      <c r="F21" s="5" t="n">
        <v>425.7082147814011</v>
      </c>
      <c r="G21" s="5" t="n">
        <v>562.8416742944404</v>
      </c>
      <c r="H21" s="5" t="n">
        <v>10575.32916278988</v>
      </c>
      <c r="I21" s="5" t="n">
        <v>813.444709507394</v>
      </c>
      <c r="J21" s="5">
        <f>SUM(B21:I21)</f>
        <v/>
      </c>
      <c r="K21" s="5">
        <f>SUM(D21:I21)</f>
        <v/>
      </c>
      <c r="M21" s="10" t="n">
        <v>0.2708333333333333</v>
      </c>
      <c r="N21" s="8" t="n">
        <v>95932.47399954151</v>
      </c>
      <c r="O21" s="8" t="n">
        <v>68890.03754995484</v>
      </c>
      <c r="P21" s="8" t="n">
        <v>5068.82867124621</v>
      </c>
      <c r="Q21" s="8" t="n">
        <v>33.68992649039437</v>
      </c>
      <c r="R21" s="8" t="n"/>
      <c r="S21" s="8" t="n"/>
      <c r="T21" s="8" t="n"/>
      <c r="U21" s="8" t="n"/>
      <c r="V21" s="12">
        <f>SUM(N21:Q21)</f>
        <v/>
      </c>
      <c r="W21" s="5">
        <f>SUM(P21:U21)</f>
        <v/>
      </c>
    </row>
    <row r="22">
      <c r="A22" s="10" t="n">
        <v>0.2916666666666667</v>
      </c>
      <c r="B22" s="5" t="n">
        <v>91070.28074225533</v>
      </c>
      <c r="C22" s="5" t="n">
        <v>56404.2383876641</v>
      </c>
      <c r="D22" s="5" t="n">
        <v>2803.212867083538</v>
      </c>
      <c r="E22" s="5" t="n">
        <v>769.7352770895241</v>
      </c>
      <c r="F22" s="5" t="n">
        <v>354.2782044499087</v>
      </c>
      <c r="G22" s="5" t="n">
        <v>378.2392048340717</v>
      </c>
      <c r="H22" s="5" t="n">
        <v>9177.910283595516</v>
      </c>
      <c r="I22" s="5" t="n">
        <v>419.3966758570321</v>
      </c>
      <c r="J22" s="5">
        <f>SUM(B22:I22)</f>
        <v/>
      </c>
      <c r="K22" s="5">
        <f>SUM(D22:I22)</f>
        <v/>
      </c>
      <c r="M22" s="10" t="n">
        <v>0.2916666666666667</v>
      </c>
      <c r="N22" s="8" t="n">
        <v>111211.311501644</v>
      </c>
      <c r="O22" s="8" t="n">
        <v>66608.03258281261</v>
      </c>
      <c r="P22" s="8" t="n">
        <v>3707.130826425732</v>
      </c>
      <c r="Q22" s="8" t="n">
        <v>14.45192142520439</v>
      </c>
      <c r="R22" s="8" t="n"/>
      <c r="S22" s="8" t="n"/>
      <c r="T22" s="8" t="n"/>
      <c r="U22" s="8" t="n"/>
      <c r="V22" s="12">
        <f>SUM(N22:Q22)</f>
        <v/>
      </c>
      <c r="W22" s="5">
        <f>SUM(P22:U22)</f>
        <v/>
      </c>
    </row>
    <row r="23">
      <c r="A23" s="10" t="n">
        <v>0.3125</v>
      </c>
      <c r="B23" s="5" t="n">
        <v>104967.5506656851</v>
      </c>
      <c r="C23" s="5" t="n">
        <v>47986.58949918985</v>
      </c>
      <c r="D23" s="5" t="n">
        <v>3046.440470398173</v>
      </c>
      <c r="E23" s="5" t="n">
        <v>719.4148184012238</v>
      </c>
      <c r="F23" s="5" t="n">
        <v>271.3715643991532</v>
      </c>
      <c r="G23" s="5" t="n">
        <v>238.5873898866432</v>
      </c>
      <c r="H23" s="5" t="n">
        <v>7844.312758495434</v>
      </c>
      <c r="I23" s="5" t="n">
        <v>191.5192058086377</v>
      </c>
      <c r="J23" s="5">
        <f>SUM(B23:I23)</f>
        <v/>
      </c>
      <c r="K23" s="5">
        <f>SUM(D23:I23)</f>
        <v/>
      </c>
      <c r="M23" s="10" t="n">
        <v>0.3125</v>
      </c>
      <c r="N23" s="8" t="n">
        <v>126645.623003636</v>
      </c>
      <c r="O23" s="8" t="n">
        <v>60131.52330934683</v>
      </c>
      <c r="P23" s="8" t="n">
        <v>2869.798579176234</v>
      </c>
      <c r="Q23" s="8" t="n">
        <v>5.952987841715302</v>
      </c>
      <c r="R23" s="8" t="n"/>
      <c r="S23" s="8" t="n"/>
      <c r="T23" s="8" t="n"/>
      <c r="U23" s="8" t="n"/>
      <c r="V23" s="12">
        <f>SUM(N23:Q23)</f>
        <v/>
      </c>
      <c r="W23" s="5">
        <f>SUM(P23:U23)</f>
        <v/>
      </c>
    </row>
    <row r="24">
      <c r="A24" s="10" t="n">
        <v>0.3333333333333333</v>
      </c>
      <c r="B24" s="5" t="n">
        <v>113982.1493150177</v>
      </c>
      <c r="C24" s="5" t="n">
        <v>35919.85522661069</v>
      </c>
      <c r="D24" s="5" t="n">
        <v>3470.380472344929</v>
      </c>
      <c r="E24" s="5" t="n">
        <v>633.5937861139453</v>
      </c>
      <c r="F24" s="5" t="n">
        <v>182.6720326996615</v>
      </c>
      <c r="G24" s="5" t="n">
        <v>141.0857665008951</v>
      </c>
      <c r="H24" s="5" t="n">
        <v>6397.224029361103</v>
      </c>
      <c r="I24" s="5" t="n">
        <v>88.37759623363047</v>
      </c>
      <c r="J24" s="5">
        <f>SUM(B24:I24)</f>
        <v/>
      </c>
      <c r="K24" s="5">
        <f>SUM(D24:I24)</f>
        <v/>
      </c>
      <c r="M24" s="10" t="n">
        <v>0.3333333333333333</v>
      </c>
      <c r="N24" s="8" t="n">
        <v>138046.3962337982</v>
      </c>
      <c r="O24" s="8" t="n">
        <v>50211.74327979242</v>
      </c>
      <c r="P24" s="8" t="n">
        <v>2375.221464378809</v>
      </c>
      <c r="Q24" s="8" t="n">
        <v>2.354283421341278</v>
      </c>
      <c r="R24" s="8" t="n"/>
      <c r="S24" s="8" t="n"/>
      <c r="T24" s="8" t="n"/>
      <c r="U24" s="8" t="n"/>
      <c r="V24" s="12">
        <f>SUM(N24:Q24)</f>
        <v/>
      </c>
      <c r="W24" s="5">
        <f>SUM(P24:U24)</f>
        <v/>
      </c>
    </row>
    <row r="25">
      <c r="A25" s="10" t="n">
        <v>0.3541666666666667</v>
      </c>
      <c r="B25" s="5" t="n">
        <v>114195.3186646542</v>
      </c>
      <c r="C25" s="5" t="n">
        <v>23993.27763259881</v>
      </c>
      <c r="D25" s="5" t="n">
        <v>3909.751428708319</v>
      </c>
      <c r="E25" s="5" t="n">
        <v>495.5661926140301</v>
      </c>
      <c r="F25" s="5" t="n">
        <v>105.0585656417856</v>
      </c>
      <c r="G25" s="5" t="n">
        <v>79.47031933518137</v>
      </c>
      <c r="H25" s="5" t="n">
        <v>4821.970558104394</v>
      </c>
      <c r="I25" s="5" t="n">
        <v>48.03601214612695</v>
      </c>
      <c r="J25" s="5">
        <f>SUM(B25:I25)</f>
        <v/>
      </c>
      <c r="K25" s="5">
        <f>SUM(D25:I25)</f>
        <v/>
      </c>
      <c r="M25" s="10" t="n">
        <v>0.3541666666666667</v>
      </c>
      <c r="N25" s="8" t="n">
        <v>141026.8683126814</v>
      </c>
      <c r="O25" s="8" t="n">
        <v>38459.10111645683</v>
      </c>
      <c r="P25" s="8" t="n">
        <v>2087.835276200297</v>
      </c>
      <c r="Q25" s="8" t="n">
        <v>0.8697422053005833</v>
      </c>
      <c r="R25" s="8" t="n"/>
      <c r="S25" s="8" t="n"/>
      <c r="T25" s="8" t="n"/>
      <c r="U25" s="8" t="n"/>
      <c r="V25" s="12">
        <f>SUM(N25:Q25)</f>
        <v/>
      </c>
      <c r="W25" s="5">
        <f>SUM(P25:U25)</f>
        <v/>
      </c>
    </row>
    <row r="26">
      <c r="A26" s="10" t="n">
        <v>0.375</v>
      </c>
      <c r="B26" s="5" t="n">
        <v>104410.7606825969</v>
      </c>
      <c r="C26" s="5" t="n">
        <v>14583.18976192028</v>
      </c>
      <c r="D26" s="5" t="n">
        <v>4110.174277352894</v>
      </c>
      <c r="E26" s="5" t="n">
        <v>332.7321696738968</v>
      </c>
      <c r="F26" s="5" t="n">
        <v>50.56028416642272</v>
      </c>
      <c r="G26" s="5" t="n">
        <v>43.39101383760308</v>
      </c>
      <c r="H26" s="5" t="n">
        <v>3275.242333168451</v>
      </c>
      <c r="I26" s="5" t="n">
        <v>29.51192474185518</v>
      </c>
      <c r="J26" s="5">
        <f>SUM(B26:I26)</f>
        <v/>
      </c>
      <c r="K26" s="5">
        <f>SUM(D26:I26)</f>
        <v/>
      </c>
      <c r="M26" s="10" t="n">
        <v>0.375</v>
      </c>
      <c r="N26" s="8" t="n">
        <v>132957.4703155662</v>
      </c>
      <c r="O26" s="8" t="n">
        <v>26882.84168434131</v>
      </c>
      <c r="P26" s="8" t="n">
        <v>1895.13657092622</v>
      </c>
      <c r="Q26" s="8" t="n">
        <v>0.2862518584808263</v>
      </c>
      <c r="R26" s="8" t="n"/>
      <c r="S26" s="8" t="n"/>
      <c r="T26" s="8" t="n"/>
      <c r="U26" s="8" t="n"/>
      <c r="V26" s="12">
        <f>SUM(N26:Q26)</f>
        <v/>
      </c>
      <c r="W26" s="5">
        <f>SUM(P26:U26)</f>
        <v/>
      </c>
    </row>
    <row r="27">
      <c r="A27" s="10" t="n">
        <v>0.3958333333333333</v>
      </c>
      <c r="B27" s="5" t="n">
        <v>87030.9665518398</v>
      </c>
      <c r="C27" s="5" t="n">
        <v>8256.010632087085</v>
      </c>
      <c r="D27" s="5" t="n">
        <v>3875.30801140072</v>
      </c>
      <c r="E27" s="5" t="n">
        <v>188.2061719121518</v>
      </c>
      <c r="F27" s="5" t="n">
        <v>19.94812987386479</v>
      </c>
      <c r="G27" s="5" t="n">
        <v>22.89255066665443</v>
      </c>
      <c r="H27" s="5" t="n">
        <v>1973.086446237989</v>
      </c>
      <c r="I27" s="5" t="n">
        <v>17.21968281479451</v>
      </c>
      <c r="J27" s="5">
        <f>SUM(B27:I27)</f>
        <v/>
      </c>
      <c r="K27" s="5">
        <f>SUM(D27:I27)</f>
        <v/>
      </c>
      <c r="M27" s="10" t="n">
        <v>0.3958333333333333</v>
      </c>
      <c r="N27" s="8" t="n">
        <v>114554.4754575638</v>
      </c>
      <c r="O27" s="8" t="n">
        <v>17160.65668873302</v>
      </c>
      <c r="P27" s="8" t="n">
        <v>1716.750252944102</v>
      </c>
      <c r="Q27" s="8" t="n">
        <v>0.07975045694152788</v>
      </c>
      <c r="R27" s="8" t="n"/>
      <c r="S27" s="8" t="n"/>
      <c r="T27" s="8" t="n"/>
      <c r="U27" s="8" t="n"/>
      <c r="V27" s="12">
        <f>SUM(N27:Q27)</f>
        <v/>
      </c>
      <c r="W27" s="5">
        <f>SUM(P27:U27)</f>
        <v/>
      </c>
    </row>
    <row r="28">
      <c r="A28" s="10" t="n">
        <v>0.4166666666666667</v>
      </c>
      <c r="B28" s="5" t="n">
        <v>66624.09007937089</v>
      </c>
      <c r="C28" s="5" t="n">
        <v>4481.616441874423</v>
      </c>
      <c r="D28" s="5" t="n">
        <v>3201.981550248333</v>
      </c>
      <c r="E28" s="5" t="n">
        <v>88.86724112253404</v>
      </c>
      <c r="F28" s="5" t="n">
        <v>6.293842446948413</v>
      </c>
      <c r="G28" s="5" t="n">
        <v>11.29848369561839</v>
      </c>
      <c r="H28" s="5" t="n">
        <v>1048.039679040559</v>
      </c>
      <c r="I28" s="5" t="n">
        <v>8.523050225120285</v>
      </c>
      <c r="J28" s="5">
        <f>SUM(B28:I28)</f>
        <v/>
      </c>
      <c r="K28" s="5">
        <f>SUM(D28:I28)</f>
        <v/>
      </c>
      <c r="M28" s="10" t="n">
        <v>0.4166666666666667</v>
      </c>
      <c r="N28" s="8" t="n">
        <v>89829.28810030501</v>
      </c>
      <c r="O28" s="8" t="n">
        <v>10096.69764129202</v>
      </c>
      <c r="P28" s="8" t="n">
        <v>1517.052227282232</v>
      </c>
      <c r="Q28" s="8" t="n">
        <v>0.01791830062866211</v>
      </c>
      <c r="R28" s="8" t="n"/>
      <c r="S28" s="8" t="n"/>
      <c r="T28" s="8" t="n"/>
      <c r="U28" s="8" t="n"/>
      <c r="V28" s="12">
        <f>SUM(N28:Q28)</f>
        <v/>
      </c>
      <c r="W28" s="5">
        <f>SUM(P28:U28)</f>
        <v/>
      </c>
    </row>
    <row r="29">
      <c r="A29" s="10" t="n">
        <v>0.4375</v>
      </c>
      <c r="B29" s="5" t="n">
        <v>47448.55051232185</v>
      </c>
      <c r="C29" s="5" t="n">
        <v>2433.033000419358</v>
      </c>
      <c r="D29" s="5" t="n">
        <v>2285.712193755856</v>
      </c>
      <c r="E29" s="5" t="n">
        <v>35.22394359826126</v>
      </c>
      <c r="F29" s="5" t="n">
        <v>1.535208213953322</v>
      </c>
      <c r="G29" s="5" t="n">
        <v>4.966952811816412</v>
      </c>
      <c r="H29" s="5" t="n">
        <v>493.1687843494913</v>
      </c>
      <c r="I29" s="5" t="n">
        <v>3.405386746226055</v>
      </c>
      <c r="J29" s="5">
        <f>SUM(B29:I29)</f>
        <v/>
      </c>
      <c r="K29" s="5">
        <f>SUM(D29:I29)</f>
        <v/>
      </c>
      <c r="M29" s="10" t="n">
        <v>0.4375</v>
      </c>
      <c r="N29" s="8" t="n">
        <v>64229.37498901772</v>
      </c>
      <c r="O29" s="8" t="n">
        <v>5587.849867593208</v>
      </c>
      <c r="P29" s="8" t="n">
        <v>1299.424887431865</v>
      </c>
      <c r="Q29" s="8" t="n">
        <v>0.003083992004394531</v>
      </c>
      <c r="R29" s="8" t="n"/>
      <c r="S29" s="8" t="n"/>
      <c r="T29" s="8" t="n"/>
      <c r="U29" s="8" t="n"/>
      <c r="V29" s="12">
        <f>SUM(N29:Q29)</f>
        <v/>
      </c>
      <c r="W29" s="5">
        <f>SUM(P29:U29)</f>
        <v/>
      </c>
    </row>
    <row r="30">
      <c r="A30" s="10" t="n">
        <v>0.4583333333333333</v>
      </c>
      <c r="B30" s="5" t="n">
        <v>31869.45743711174</v>
      </c>
      <c r="C30" s="5" t="n">
        <v>1389.662875543038</v>
      </c>
      <c r="D30" s="5" t="n">
        <v>1394.290362397594</v>
      </c>
      <c r="E30" s="5" t="n">
        <v>12.24824304725167</v>
      </c>
      <c r="F30" s="5" t="n">
        <v>0.2753769822126648</v>
      </c>
      <c r="G30" s="5" t="n">
        <v>1.849537813875464</v>
      </c>
      <c r="H30" s="5" t="n">
        <v>208.8954633425676</v>
      </c>
      <c r="I30" s="5" t="n">
        <v>1.064183358195643</v>
      </c>
      <c r="J30" s="5">
        <f>SUM(B30:I30)</f>
        <v/>
      </c>
      <c r="K30" s="5">
        <f>SUM(D30:I30)</f>
        <v/>
      </c>
      <c r="M30" s="10" t="n">
        <v>0.4583333333333333</v>
      </c>
      <c r="N30" s="8" t="n">
        <v>42231.84009940103</v>
      </c>
      <c r="O30" s="8" t="n">
        <v>3006.32580917178</v>
      </c>
      <c r="P30" s="8" t="n">
        <v>1083.752754842415</v>
      </c>
      <c r="Q30" s="8" t="n">
        <v>0.0003794670104980469</v>
      </c>
      <c r="R30" s="8" t="n"/>
      <c r="S30" s="8" t="n"/>
      <c r="T30" s="8" t="n"/>
      <c r="U30" s="8" t="n"/>
      <c r="V30" s="12">
        <f>SUM(N30:Q30)</f>
        <v/>
      </c>
      <c r="W30" s="5">
        <f>SUM(P30:U30)</f>
        <v/>
      </c>
    </row>
    <row r="31">
      <c r="A31" s="10" t="n">
        <v>0.4791666666666667</v>
      </c>
      <c r="B31" s="5" t="n">
        <v>20389.60487804963</v>
      </c>
      <c r="C31" s="5" t="n">
        <v>848.2158129319714</v>
      </c>
      <c r="D31" s="5" t="n">
        <v>718.7107204968382</v>
      </c>
      <c r="E31" s="5" t="n">
        <v>4.206585778173933</v>
      </c>
      <c r="F31" s="5" t="n">
        <v>0.03347933310429439</v>
      </c>
      <c r="G31" s="5" t="n">
        <v>0.5561693425322003</v>
      </c>
      <c r="H31" s="5" t="n">
        <v>81.53408488986869</v>
      </c>
      <c r="I31" s="5" t="n">
        <v>0.2503960842813276</v>
      </c>
      <c r="J31" s="5">
        <f>SUM(B31:I31)</f>
        <v/>
      </c>
      <c r="K31" s="5">
        <f>SUM(D31:I31)</f>
        <v/>
      </c>
      <c r="M31" s="10" t="n">
        <v>0.4791666666666667</v>
      </c>
      <c r="N31" s="8" t="n">
        <v>25948.58001881329</v>
      </c>
      <c r="O31" s="8" t="n">
        <v>1647.264882659116</v>
      </c>
      <c r="P31" s="8" t="n">
        <v>884.7827405532036</v>
      </c>
      <c r="Q31" s="8" t="n">
        <v>2.961158752441407e-05</v>
      </c>
      <c r="R31" s="8" t="n"/>
      <c r="S31" s="8" t="n"/>
      <c r="T31" s="8" t="n"/>
      <c r="U31" s="8" t="n"/>
      <c r="V31" s="12">
        <f>SUM(N31:Q31)</f>
        <v/>
      </c>
      <c r="W31" s="5">
        <f>SUM(P31:U31)</f>
        <v/>
      </c>
    </row>
    <row r="32">
      <c r="A32" s="10" t="n">
        <v>0.5</v>
      </c>
      <c r="B32" s="5" t="n">
        <v>12535.017140038</v>
      </c>
      <c r="C32" s="5" t="n">
        <v>525.3329243217289</v>
      </c>
      <c r="D32" s="5" t="n">
        <v>308.7820579526207</v>
      </c>
      <c r="E32" s="5" t="n">
        <v>1.629587556992667</v>
      </c>
      <c r="F32" s="5" t="n">
        <v>0.002364841214439475</v>
      </c>
      <c r="G32" s="5" t="n">
        <v>0.1282835832246646</v>
      </c>
      <c r="H32" s="5" t="n">
        <v>29.81690215095118</v>
      </c>
      <c r="I32" s="5" t="n">
        <v>0.0417326807135546</v>
      </c>
      <c r="J32" s="5">
        <f>SUM(B32:I32)</f>
        <v/>
      </c>
      <c r="K32" s="5">
        <f>SUM(D32:I32)</f>
        <v/>
      </c>
      <c r="M32" s="10" t="n">
        <v>0.5</v>
      </c>
      <c r="N32" s="8" t="n">
        <v>15264.1455131166</v>
      </c>
      <c r="O32" s="8" t="n">
        <v>978.9118333739511</v>
      </c>
      <c r="P32" s="8" t="n">
        <v>704.9104353657038</v>
      </c>
      <c r="Q32" s="8" t="n">
        <v>1.096725463867187e-06</v>
      </c>
      <c r="R32" s="8" t="n"/>
      <c r="S32" s="8" t="n"/>
      <c r="T32" s="8" t="n"/>
      <c r="U32" s="8" t="n"/>
      <c r="V32" s="12">
        <f>SUM(N32:Q32)</f>
        <v/>
      </c>
      <c r="W32" s="5">
        <f>SUM(P32:U32)</f>
        <v/>
      </c>
    </row>
    <row r="33">
      <c r="A33" s="10" t="n">
        <v>0.5208333333333334</v>
      </c>
      <c r="B33" s="5" t="n">
        <v>7567.586924913314</v>
      </c>
      <c r="C33" s="5" t="n">
        <v>306.3745950097609</v>
      </c>
      <c r="D33" s="5" t="n">
        <v>108.5472722009669</v>
      </c>
      <c r="E33" s="5" t="n">
        <v>0.6822358663931222</v>
      </c>
      <c r="F33" s="5" t="n">
        <v>6.590579221028122e-05</v>
      </c>
      <c r="G33" s="5" t="n">
        <v>0.02117671332942402</v>
      </c>
      <c r="H33" s="5" t="n">
        <v>10.12055670449232</v>
      </c>
      <c r="I33" s="5" t="n">
        <v>0.004392913759321537</v>
      </c>
      <c r="J33" s="5">
        <f>SUM(B33:I33)</f>
        <v/>
      </c>
      <c r="K33" s="5">
        <f>SUM(D33:I33)</f>
        <v/>
      </c>
      <c r="M33" s="10" t="n">
        <v>0.5208333333333334</v>
      </c>
      <c r="N33" s="8" t="n">
        <v>8860.436825144603</v>
      </c>
      <c r="O33" s="8" t="n">
        <v>677.0478339241295</v>
      </c>
      <c r="P33" s="8" t="n">
        <v>540.2992221570443</v>
      </c>
      <c r="Q33" s="8" t="n">
        <v>0</v>
      </c>
      <c r="R33" s="8" t="n"/>
      <c r="S33" s="8" t="n"/>
      <c r="T33" s="8" t="n"/>
      <c r="U33" s="8" t="n"/>
      <c r="V33" s="12">
        <f>SUM(N33:Q33)</f>
        <v/>
      </c>
      <c r="W33" s="5">
        <f>SUM(P33:U33)</f>
        <v/>
      </c>
    </row>
    <row r="34">
      <c r="A34" s="10" t="n">
        <v>0.5416666666666666</v>
      </c>
      <c r="B34" s="5" t="n">
        <v>4721.283256335898</v>
      </c>
      <c r="C34" s="5" t="n">
        <v>162.0942710136913</v>
      </c>
      <c r="D34" s="5" t="n">
        <v>30.41509362517101</v>
      </c>
      <c r="E34" s="5" t="n">
        <v>0.2611951894580815</v>
      </c>
      <c r="F34" s="5" t="n">
        <v>0</v>
      </c>
      <c r="G34" s="5" t="n">
        <v>0.002220944927637138</v>
      </c>
      <c r="H34" s="5" t="n">
        <v>3.06184956287008</v>
      </c>
      <c r="I34" s="5" t="n">
        <v>0.0002196456879660768</v>
      </c>
      <c r="J34" s="5">
        <f>SUM(B34:I34)</f>
        <v/>
      </c>
      <c r="K34" s="5">
        <f>SUM(D34:I34)</f>
        <v/>
      </c>
      <c r="M34" s="10" t="n">
        <v>0.5416666666666666</v>
      </c>
      <c r="N34" s="8" t="n">
        <v>5217.804284868018</v>
      </c>
      <c r="O34" s="8" t="n">
        <v>561.2941132322451</v>
      </c>
      <c r="P34" s="8" t="n">
        <v>389.9290561937275</v>
      </c>
      <c r="Q34" s="8" t="n">
        <v>0</v>
      </c>
      <c r="R34" s="8" t="n"/>
      <c r="S34" s="8" t="n"/>
      <c r="T34" s="8" t="n"/>
      <c r="U34" s="8" t="n"/>
      <c r="V34" s="12">
        <f>SUM(N34:Q34)</f>
        <v/>
      </c>
      <c r="W34" s="5">
        <f>SUM(P34:U34)</f>
        <v/>
      </c>
    </row>
    <row r="35">
      <c r="A35" s="10" t="n">
        <v>0.5625</v>
      </c>
      <c r="B35" s="5" t="n">
        <v>3241.190865610785</v>
      </c>
      <c r="C35" s="5" t="n">
        <v>80.34349373659481</v>
      </c>
      <c r="D35" s="5" t="n">
        <v>6.532817382386337</v>
      </c>
      <c r="E35" s="5" t="n">
        <v>0.08112842637202859</v>
      </c>
      <c r="F35" s="5" t="n">
        <v>0</v>
      </c>
      <c r="G35" s="5" t="n">
        <v>0.0001110472463818569</v>
      </c>
      <c r="H35" s="5" t="n">
        <v>0.7788373643191359</v>
      </c>
      <c r="I35" s="5" t="n">
        <v>0</v>
      </c>
      <c r="J35" s="5">
        <f>SUM(B35:I35)</f>
        <v/>
      </c>
      <c r="K35" s="5">
        <f>SUM(D35:I35)</f>
        <v/>
      </c>
      <c r="M35" s="10" t="n">
        <v>0.5625</v>
      </c>
      <c r="N35" s="8" t="n">
        <v>3153.929164232987</v>
      </c>
      <c r="O35" s="8" t="n">
        <v>530.2979001633825</v>
      </c>
      <c r="P35" s="8" t="n">
        <v>258.8944466653258</v>
      </c>
      <c r="Q35" s="8" t="n">
        <v>0</v>
      </c>
      <c r="R35" s="8" t="n"/>
      <c r="S35" s="8" t="n"/>
      <c r="T35" s="8" t="n"/>
      <c r="U35" s="8" t="n"/>
      <c r="V35" s="12">
        <f>SUM(N35:Q35)</f>
        <v/>
      </c>
      <c r="W35" s="5">
        <f>SUM(P35:U35)</f>
        <v/>
      </c>
    </row>
    <row r="36">
      <c r="A36" s="10" t="n">
        <v>0.5833333333333334</v>
      </c>
      <c r="B36" s="5" t="n">
        <v>2467.502683945797</v>
      </c>
      <c r="C36" s="5" t="n">
        <v>41.54419813298217</v>
      </c>
      <c r="D36" s="5" t="n">
        <v>1.009900505023853</v>
      </c>
      <c r="E36" s="5" t="n">
        <v>0.01908904149930084</v>
      </c>
      <c r="F36" s="5" t="n">
        <v>0</v>
      </c>
      <c r="G36" s="5" t="n">
        <v>0</v>
      </c>
      <c r="H36" s="5" t="n">
        <v>0.1560059244499244</v>
      </c>
      <c r="I36" s="5" t="n">
        <v>0</v>
      </c>
      <c r="J36" s="5">
        <f>SUM(B36:I36)</f>
        <v/>
      </c>
      <c r="K36" s="5">
        <f>SUM(D36:I36)</f>
        <v/>
      </c>
      <c r="M36" s="10" t="n">
        <v>0.5833333333333334</v>
      </c>
      <c r="N36" s="8" t="n">
        <v>1942.018812321549</v>
      </c>
      <c r="O36" s="8" t="n">
        <v>524.4544471305198</v>
      </c>
      <c r="P36" s="8" t="n">
        <v>154.7770588917631</v>
      </c>
      <c r="Q36" s="8" t="n">
        <v>0</v>
      </c>
      <c r="R36" s="8" t="n"/>
      <c r="S36" s="8" t="n"/>
      <c r="T36" s="8" t="n"/>
      <c r="U36" s="8" t="n"/>
      <c r="V36" s="12">
        <f>SUM(N36:Q36)</f>
        <v/>
      </c>
      <c r="W36" s="5">
        <f>SUM(P36:U36)</f>
        <v/>
      </c>
    </row>
    <row r="37">
      <c r="A37" s="10" t="n">
        <v>0.6041666666666666</v>
      </c>
      <c r="B37" s="5" t="n">
        <v>1944.95248854453</v>
      </c>
      <c r="C37" s="5" t="n">
        <v>24.42199232017074</v>
      </c>
      <c r="D37" s="5" t="n">
        <v>0.1000047319473396</v>
      </c>
      <c r="E37" s="5" t="n">
        <v>0.003181506916550141</v>
      </c>
      <c r="F37" s="5" t="n">
        <v>0</v>
      </c>
      <c r="G37" s="5" t="n">
        <v>0</v>
      </c>
      <c r="H37" s="5" t="n">
        <v>0.02274355728857059</v>
      </c>
      <c r="I37" s="5" t="n">
        <v>0</v>
      </c>
      <c r="J37" s="5">
        <f>SUM(B37:I37)</f>
        <v/>
      </c>
      <c r="K37" s="5">
        <f>SUM(D37:I37)</f>
        <v/>
      </c>
      <c r="M37" s="10" t="n">
        <v>0.6041666666666666</v>
      </c>
      <c r="N37" s="8" t="n">
        <v>1208.103558628349</v>
      </c>
      <c r="O37" s="8" t="n">
        <v>509.1179899608381</v>
      </c>
      <c r="P37" s="8" t="n">
        <v>81.73158662293899</v>
      </c>
      <c r="Q37" s="8" t="n">
        <v>0</v>
      </c>
      <c r="R37" s="8" t="n"/>
      <c r="S37" s="8" t="n"/>
      <c r="T37" s="8" t="n"/>
      <c r="U37" s="8" t="n"/>
      <c r="V37" s="12">
        <f>SUM(N37:Q37)</f>
        <v/>
      </c>
      <c r="W37" s="5">
        <f>SUM(P37:U37)</f>
        <v/>
      </c>
    </row>
    <row r="38">
      <c r="A38" s="10" t="n">
        <v>0.625</v>
      </c>
      <c r="B38" s="5" t="n">
        <v>1459.910993709581</v>
      </c>
      <c r="C38" s="5" t="n">
        <v>15.24739815452456</v>
      </c>
      <c r="D38" s="5" t="n">
        <v>0.004762651027966223</v>
      </c>
      <c r="E38" s="5" t="n">
        <v>0.000334895464900015</v>
      </c>
      <c r="F38" s="5" t="n">
        <v>0</v>
      </c>
      <c r="G38" s="5" t="n">
        <v>0</v>
      </c>
      <c r="H38" s="5" t="n">
        <v>0.002133149543764824</v>
      </c>
      <c r="I38" s="5" t="n">
        <v>0</v>
      </c>
      <c r="J38" s="5">
        <f>SUM(B38:I38)</f>
        <v/>
      </c>
      <c r="K38" s="5">
        <f>SUM(D38:I38)</f>
        <v/>
      </c>
      <c r="M38" s="10" t="n">
        <v>0.625</v>
      </c>
      <c r="N38" s="8" t="n">
        <v>772.0714082356642</v>
      </c>
      <c r="O38" s="8" t="n">
        <v>467.7513572476163</v>
      </c>
      <c r="P38" s="8" t="n">
        <v>37.45310462266922</v>
      </c>
      <c r="Q38" s="8" t="n">
        <v>0</v>
      </c>
      <c r="R38" s="8" t="n"/>
      <c r="S38" s="8" t="n"/>
      <c r="T38" s="8" t="n"/>
      <c r="U38" s="8" t="n"/>
      <c r="V38" s="12">
        <f>SUM(N38:Q38)</f>
        <v/>
      </c>
      <c r="W38" s="5">
        <f>SUM(P38:U38)</f>
        <v/>
      </c>
    </row>
    <row r="39">
      <c r="A39" s="10" t="n">
        <v>0.6458333333333334</v>
      </c>
      <c r="B39" s="5" t="n">
        <v>985.4229779413905</v>
      </c>
      <c r="C39" s="5" t="n">
        <v>8.824057277139689</v>
      </c>
      <c r="D39" s="5" t="n">
        <v>0</v>
      </c>
      <c r="E39" s="5" t="n">
        <v>1.674477324500074e-05</v>
      </c>
      <c r="F39" s="5" t="n">
        <v>0</v>
      </c>
      <c r="G39" s="5" t="n">
        <v>0</v>
      </c>
      <c r="H39" s="5" t="n">
        <v>9.653531538507902e-05</v>
      </c>
      <c r="I39" s="5" t="n">
        <v>0</v>
      </c>
      <c r="J39" s="5">
        <f>SUM(B39:I39)</f>
        <v/>
      </c>
      <c r="K39" s="5">
        <f>SUM(D39:I39)</f>
        <v/>
      </c>
      <c r="M39" s="10" t="n">
        <v>0.6458333333333334</v>
      </c>
      <c r="N39" s="8" t="n">
        <v>528.2322061985764</v>
      </c>
      <c r="O39" s="8" t="n">
        <v>398.6426158369852</v>
      </c>
      <c r="P39" s="8" t="n">
        <v>14.6392376835368</v>
      </c>
      <c r="Q39" s="8" t="n">
        <v>0</v>
      </c>
      <c r="R39" s="8" t="n"/>
      <c r="S39" s="8" t="n"/>
      <c r="T39" s="8" t="n"/>
      <c r="U39" s="8" t="n"/>
      <c r="V39" s="12">
        <f>SUM(N39:Q39)</f>
        <v/>
      </c>
      <c r="W39" s="5">
        <f>SUM(P39:U39)</f>
        <v/>
      </c>
    </row>
    <row r="40">
      <c r="A40" s="10" t="n">
        <v>0.6666666666666666</v>
      </c>
      <c r="B40" s="5" t="n">
        <v>579.480394773015</v>
      </c>
      <c r="C40" s="5" t="n">
        <v>4.332548678597777</v>
      </c>
      <c r="D40" s="5" t="n">
        <v>0</v>
      </c>
      <c r="E40" s="5" t="n">
        <v>0</v>
      </c>
      <c r="F40" s="5" t="n">
        <v>0</v>
      </c>
      <c r="G40" s="5" t="n">
        <v>0</v>
      </c>
      <c r="H40" s="5" t="n">
        <v>0</v>
      </c>
      <c r="I40" s="5" t="n">
        <v>0</v>
      </c>
      <c r="J40" s="5">
        <f>SUM(B40:I40)</f>
        <v/>
      </c>
      <c r="K40" s="5">
        <f>SUM(D40:I40)</f>
        <v/>
      </c>
      <c r="M40" s="10" t="n">
        <v>0.6666666666666666</v>
      </c>
      <c r="N40" s="8" t="n">
        <v>394.9286769851875</v>
      </c>
      <c r="O40" s="8" t="n">
        <v>311.3184357090053</v>
      </c>
      <c r="P40" s="8" t="n">
        <v>4.795671231328325</v>
      </c>
      <c r="Q40" s="8" t="n">
        <v>0</v>
      </c>
      <c r="R40" s="8" t="n"/>
      <c r="S40" s="8" t="n"/>
      <c r="T40" s="8" t="n"/>
      <c r="U40" s="8" t="n"/>
      <c r="V40" s="12">
        <f>SUM(N40:Q40)</f>
        <v/>
      </c>
      <c r="W40" s="5">
        <f>SUM(P40:U40)</f>
        <v/>
      </c>
    </row>
    <row r="41">
      <c r="A41" s="10" t="n">
        <v>0.6875</v>
      </c>
      <c r="B41" s="5" t="n">
        <v>293.3468228937213</v>
      </c>
      <c r="C41" s="5" t="n">
        <v>1.724319165341317</v>
      </c>
      <c r="D41" s="5" t="n">
        <v>0</v>
      </c>
      <c r="E41" s="5" t="n">
        <v>0</v>
      </c>
      <c r="F41" s="5" t="n">
        <v>0</v>
      </c>
      <c r="G41" s="5" t="n">
        <v>0</v>
      </c>
      <c r="H41" s="5" t="n">
        <v>0</v>
      </c>
      <c r="I41" s="5" t="n">
        <v>0</v>
      </c>
      <c r="J41" s="5">
        <f>SUM(B41:I41)</f>
        <v/>
      </c>
      <c r="K41" s="5">
        <f>SUM(D41:I41)</f>
        <v/>
      </c>
      <c r="M41" s="10" t="n">
        <v>0.6875</v>
      </c>
      <c r="N41" s="8" t="n">
        <v>310.8235055308049</v>
      </c>
      <c r="O41" s="8" t="n">
        <v>220.9453743516902</v>
      </c>
      <c r="P41" s="8" t="n">
        <v>1.293120810172661</v>
      </c>
      <c r="Q41" s="8" t="n">
        <v>0</v>
      </c>
      <c r="R41" s="8" t="n"/>
      <c r="S41" s="8" t="n"/>
      <c r="T41" s="8" t="n"/>
      <c r="U41" s="8" t="n"/>
      <c r="V41" s="12">
        <f>SUM(N41:Q41)</f>
        <v/>
      </c>
      <c r="W41" s="5">
        <f>SUM(P41:U41)</f>
        <v/>
      </c>
    </row>
    <row r="42">
      <c r="A42" s="10" t="n">
        <v>0.7083333333333334</v>
      </c>
      <c r="B42" s="5" t="n">
        <v>129.6539842273829</v>
      </c>
      <c r="C42" s="5" t="n">
        <v>0.5381560415919471</v>
      </c>
      <c r="D42" s="5" t="n">
        <v>0</v>
      </c>
      <c r="E42" s="5" t="n">
        <v>0</v>
      </c>
      <c r="F42" s="5" t="n">
        <v>0</v>
      </c>
      <c r="G42" s="5" t="n">
        <v>0</v>
      </c>
      <c r="H42" s="5" t="n">
        <v>0</v>
      </c>
      <c r="I42" s="5" t="n">
        <v>0</v>
      </c>
      <c r="J42" s="5">
        <f>SUM(B42:I42)</f>
        <v/>
      </c>
      <c r="K42" s="5">
        <f>SUM(D42:I42)</f>
        <v/>
      </c>
      <c r="M42" s="10" t="n">
        <v>0.7083333333333334</v>
      </c>
      <c r="N42" s="8" t="n">
        <v>241.1910301207556</v>
      </c>
      <c r="O42" s="8" t="n">
        <v>141.6971883232919</v>
      </c>
      <c r="P42" s="8" t="n">
        <v>0.2821269634764886</v>
      </c>
      <c r="Q42" s="8" t="n">
        <v>0</v>
      </c>
      <c r="R42" s="8" t="n"/>
      <c r="S42" s="8" t="n"/>
      <c r="T42" s="8" t="n"/>
      <c r="U42" s="8" t="n"/>
      <c r="V42" s="12">
        <f>SUM(N42:Q42)</f>
        <v/>
      </c>
      <c r="W42" s="5">
        <f>SUM(P42:U42)</f>
        <v/>
      </c>
    </row>
    <row r="43">
      <c r="A43" s="10" t="n">
        <v>0.7291666666666666</v>
      </c>
      <c r="B43" s="5" t="n">
        <v>53.10736006426775</v>
      </c>
      <c r="C43" s="5" t="n">
        <v>0.1265938608753169</v>
      </c>
      <c r="D43" s="5" t="n">
        <v>0</v>
      </c>
      <c r="E43" s="5" t="n">
        <v>0</v>
      </c>
      <c r="F43" s="5" t="n">
        <v>0</v>
      </c>
      <c r="G43" s="5" t="n">
        <v>0</v>
      </c>
      <c r="H43" s="5" t="n">
        <v>0</v>
      </c>
      <c r="I43" s="5" t="n">
        <v>0</v>
      </c>
      <c r="J43" s="5">
        <f>SUM(B43:I43)</f>
        <v/>
      </c>
      <c r="K43" s="5">
        <f>SUM(D43:I43)</f>
        <v/>
      </c>
      <c r="M43" s="10" t="n">
        <v>0.7291666666666666</v>
      </c>
      <c r="N43" s="8" t="n">
        <v>175.2916155376802</v>
      </c>
      <c r="O43" s="8" t="n">
        <v>81.8128666676825</v>
      </c>
      <c r="P43" s="8" t="n">
        <v>0.04922251960526164</v>
      </c>
      <c r="Q43" s="8" t="n">
        <v>0</v>
      </c>
      <c r="R43" s="8" t="n"/>
      <c r="S43" s="8" t="n"/>
      <c r="T43" s="8" t="n"/>
      <c r="U43" s="8" t="n"/>
      <c r="V43" s="12">
        <f>SUM(N43:Q43)</f>
        <v/>
      </c>
      <c r="W43" s="5">
        <f>SUM(P43:U43)</f>
        <v/>
      </c>
    </row>
    <row r="44">
      <c r="A44" s="10" t="n">
        <v>0.75</v>
      </c>
      <c r="B44" s="5" t="n">
        <v>22.30961571511206</v>
      </c>
      <c r="C44" s="5" t="n">
        <v>0.02109897681255282</v>
      </c>
      <c r="D44" s="5" t="n">
        <v>0</v>
      </c>
      <c r="E44" s="5" t="n">
        <v>0</v>
      </c>
      <c r="F44" s="5" t="n">
        <v>0</v>
      </c>
      <c r="G44" s="5" t="n">
        <v>0</v>
      </c>
      <c r="H44" s="5" t="n">
        <v>0</v>
      </c>
      <c r="I44" s="5" t="n">
        <v>0</v>
      </c>
      <c r="J44" s="5">
        <f>SUM(B44:I44)</f>
        <v/>
      </c>
      <c r="K44" s="5">
        <f>SUM(D44:I44)</f>
        <v/>
      </c>
      <c r="M44" s="10" t="n">
        <v>0.75</v>
      </c>
      <c r="N44" s="8" t="n">
        <v>116.0063229014999</v>
      </c>
      <c r="O44" s="8" t="n">
        <v>42.41002378096439</v>
      </c>
      <c r="P44" s="8" t="n">
        <v>0.006874146067923425</v>
      </c>
      <c r="Q44" s="8" t="n">
        <v>0</v>
      </c>
      <c r="R44" s="8" t="n"/>
      <c r="S44" s="8" t="n"/>
      <c r="T44" s="8" t="n"/>
      <c r="U44" s="8" t="n"/>
      <c r="V44" s="12">
        <f>SUM(N44:Q44)</f>
        <v/>
      </c>
      <c r="W44" s="5">
        <f>SUM(P44:U44)</f>
        <v/>
      </c>
    </row>
    <row r="45">
      <c r="A45" s="10" t="n">
        <v>0.7708333333333334</v>
      </c>
      <c r="B45" s="5" t="n">
        <v>10.0578913481738</v>
      </c>
      <c r="C45" s="5" t="n">
        <v>0.002220944927637138</v>
      </c>
      <c r="D45" s="5" t="n">
        <v>0</v>
      </c>
      <c r="E45" s="5" t="n">
        <v>0</v>
      </c>
      <c r="F45" s="5" t="n">
        <v>0</v>
      </c>
      <c r="G45" s="5" t="n">
        <v>0</v>
      </c>
      <c r="H45" s="5" t="n">
        <v>0</v>
      </c>
      <c r="I45" s="5" t="n">
        <v>0</v>
      </c>
      <c r="J45" s="5">
        <f>SUM(B45:I45)</f>
        <v/>
      </c>
      <c r="K45" s="5">
        <f>SUM(D45:I45)</f>
        <v/>
      </c>
      <c r="M45" s="10" t="n">
        <v>0.7708333333333334</v>
      </c>
      <c r="N45" s="8" t="n">
        <v>69.19950444924774</v>
      </c>
      <c r="O45" s="8" t="n">
        <v>19.66381416342806</v>
      </c>
      <c r="P45" s="8" t="n">
        <v>0.0007747675141385731</v>
      </c>
      <c r="Q45" s="8" t="n">
        <v>0</v>
      </c>
      <c r="R45" s="8" t="n"/>
      <c r="S45" s="8" t="n"/>
      <c r="T45" s="8" t="n"/>
      <c r="U45" s="8" t="n"/>
      <c r="V45" s="12">
        <f>SUM(N45:Q45)</f>
        <v/>
      </c>
      <c r="W45" s="5">
        <f>SUM(P45:U45)</f>
        <v/>
      </c>
    </row>
    <row r="46">
      <c r="A46" s="10" t="n">
        <v>0.7916666666666666</v>
      </c>
      <c r="B46" s="5" t="n">
        <v>4.466615010907292</v>
      </c>
      <c r="C46" s="5" t="n">
        <v>0.0001110472463818569</v>
      </c>
      <c r="D46" s="5" t="n">
        <v>0</v>
      </c>
      <c r="E46" s="5" t="n">
        <v>0</v>
      </c>
      <c r="F46" s="5" t="n">
        <v>0</v>
      </c>
      <c r="G46" s="5" t="n">
        <v>0</v>
      </c>
      <c r="H46" s="5" t="n">
        <v>0</v>
      </c>
      <c r="I46" s="5" t="n">
        <v>0</v>
      </c>
      <c r="J46" s="5">
        <f>SUM(B46:I46)</f>
        <v/>
      </c>
      <c r="K46" s="5">
        <f>SUM(D46:I46)</f>
        <v/>
      </c>
      <c r="M46" s="10" t="n">
        <v>0.7916666666666666</v>
      </c>
      <c r="N46" s="8" t="n">
        <v>37.46561035196323</v>
      </c>
      <c r="O46" s="8" t="n">
        <v>8.092821228781018</v>
      </c>
      <c r="P46" s="8" t="n">
        <v>6.690025329589843e-05</v>
      </c>
      <c r="Q46" s="8" t="n">
        <v>0</v>
      </c>
      <c r="R46" s="8" t="n"/>
      <c r="S46" s="8" t="n"/>
      <c r="T46" s="8" t="n"/>
      <c r="U46" s="8" t="n"/>
      <c r="V46" s="12">
        <f>SUM(N46:Q46)</f>
        <v/>
      </c>
      <c r="W46" s="5">
        <f>SUM(P46:U46)</f>
        <v/>
      </c>
    </row>
    <row r="47">
      <c r="A47" s="10" t="n">
        <v>0.8125</v>
      </c>
      <c r="B47" s="5" t="n">
        <v>1.729368882647261</v>
      </c>
      <c r="C47" s="5" t="n">
        <v>0</v>
      </c>
      <c r="D47" s="5" t="n">
        <v>0</v>
      </c>
      <c r="E47" s="5" t="n">
        <v>0</v>
      </c>
      <c r="F47" s="5" t="n">
        <v>0</v>
      </c>
      <c r="G47" s="5" t="n">
        <v>0</v>
      </c>
      <c r="H47" s="5" t="n">
        <v>0</v>
      </c>
      <c r="I47" s="5" t="n">
        <v>0</v>
      </c>
      <c r="J47" s="5">
        <f>SUM(B47:I47)</f>
        <v/>
      </c>
      <c r="K47" s="5">
        <f>SUM(D47:I47)</f>
        <v/>
      </c>
      <c r="M47" s="10" t="n">
        <v>0.8125</v>
      </c>
      <c r="N47" s="8" t="n">
        <v>18.95597304002002</v>
      </c>
      <c r="O47" s="8" t="n">
        <v>2.913774529005405</v>
      </c>
      <c r="P47" s="8" t="n">
        <v>3.290176391601562e-06</v>
      </c>
      <c r="Q47" s="8" t="n">
        <v>0</v>
      </c>
      <c r="R47" s="8" t="n"/>
      <c r="S47" s="8" t="n"/>
      <c r="T47" s="8" t="n"/>
      <c r="U47" s="8" t="n"/>
      <c r="V47" s="12">
        <f>SUM(N47:Q47)</f>
        <v/>
      </c>
      <c r="W47" s="5">
        <f>SUM(P47:U47)</f>
        <v/>
      </c>
    </row>
    <row r="48">
      <c r="A48" s="10" t="n">
        <v>0.8333333333333334</v>
      </c>
      <c r="B48" s="5" t="n">
        <v>0.5372200847562532</v>
      </c>
      <c r="C48" s="5" t="n">
        <v>0</v>
      </c>
      <c r="D48" s="5" t="n">
        <v>0</v>
      </c>
      <c r="E48" s="5" t="n">
        <v>0</v>
      </c>
      <c r="F48" s="5" t="n">
        <v>0</v>
      </c>
      <c r="G48" s="5" t="n">
        <v>0</v>
      </c>
      <c r="H48" s="5" t="n">
        <v>0</v>
      </c>
      <c r="I48" s="5" t="n">
        <v>0</v>
      </c>
      <c r="J48" s="5">
        <f>SUM(B48:I48)</f>
        <v/>
      </c>
      <c r="K48" s="5">
        <f>SUM(D48:I48)</f>
        <v/>
      </c>
      <c r="M48" s="10" t="n">
        <v>0.8333333333333334</v>
      </c>
      <c r="N48" s="8" t="n">
        <v>9.42673452757332</v>
      </c>
      <c r="O48" s="8" t="n">
        <v>0.8963451109339823</v>
      </c>
      <c r="P48" s="8" t="n">
        <v>0</v>
      </c>
      <c r="Q48" s="8" t="n">
        <v>0</v>
      </c>
      <c r="R48" s="8" t="n"/>
      <c r="S48" s="8" t="n"/>
      <c r="T48" s="8" t="n"/>
      <c r="U48" s="8" t="n"/>
      <c r="V48" s="12">
        <f>SUM(N48:Q48)</f>
        <v/>
      </c>
      <c r="W48" s="5">
        <f>SUM(P48:U48)</f>
        <v/>
      </c>
    </row>
    <row r="49">
      <c r="A49" s="10" t="n">
        <v>0.8541666666666666</v>
      </c>
      <c r="B49" s="5" t="n">
        <v>0.1263489208299394</v>
      </c>
      <c r="C49" s="5" t="n">
        <v>0</v>
      </c>
      <c r="D49" s="5" t="n">
        <v>0</v>
      </c>
      <c r="E49" s="5" t="n">
        <v>0</v>
      </c>
      <c r="F49" s="5" t="n">
        <v>0</v>
      </c>
      <c r="G49" s="5" t="n">
        <v>0</v>
      </c>
      <c r="H49" s="5" t="n">
        <v>0</v>
      </c>
      <c r="I49" s="5" t="n">
        <v>0</v>
      </c>
      <c r="J49" s="5">
        <f>SUM(B49:I49)</f>
        <v/>
      </c>
      <c r="K49" s="5">
        <f>SUM(D49:I49)</f>
        <v/>
      </c>
      <c r="M49" s="10" t="n">
        <v>0.8541666666666666</v>
      </c>
      <c r="N49" s="8" t="n">
        <v>4.803292723754146</v>
      </c>
      <c r="O49" s="8" t="n">
        <v>0.2276394955670816</v>
      </c>
      <c r="P49" s="8" t="n">
        <v>0</v>
      </c>
      <c r="Q49" s="8" t="n">
        <v>0</v>
      </c>
      <c r="R49" s="8" t="n"/>
      <c r="S49" s="8" t="n"/>
      <c r="T49" s="8" t="n"/>
      <c r="U49" s="8" t="n"/>
      <c r="V49" s="12">
        <f>SUM(N49:Q49)</f>
        <v/>
      </c>
      <c r="W49" s="5">
        <f>SUM(P49:U49)</f>
        <v/>
      </c>
    </row>
    <row r="50">
      <c r="A50" s="10" t="n">
        <v>0.875</v>
      </c>
      <c r="B50" s="5" t="n">
        <v>0.02105815347165656</v>
      </c>
      <c r="C50" s="5" t="n">
        <v>0</v>
      </c>
      <c r="D50" s="5" t="n">
        <v>0</v>
      </c>
      <c r="E50" s="5" t="n">
        <v>0</v>
      </c>
      <c r="F50" s="5" t="n">
        <v>0</v>
      </c>
      <c r="G50" s="5" t="n">
        <v>0</v>
      </c>
      <c r="H50" s="5" t="n">
        <v>0</v>
      </c>
      <c r="I50" s="5" t="n">
        <v>0</v>
      </c>
      <c r="J50" s="5">
        <f>SUM(B50:I50)</f>
        <v/>
      </c>
      <c r="K50" s="5">
        <f>SUM(D50:I50)</f>
        <v/>
      </c>
      <c r="M50" s="10" t="n">
        <v>0.875</v>
      </c>
      <c r="N50" s="8" t="n">
        <v>2.476363325119018</v>
      </c>
      <c r="O50" s="8" t="n">
        <v>0.0454847630250672</v>
      </c>
      <c r="P50" s="8" t="n">
        <v>0</v>
      </c>
      <c r="Q50" s="8" t="n">
        <v>0</v>
      </c>
      <c r="R50" s="8" t="n"/>
      <c r="S50" s="8" t="n"/>
      <c r="T50" s="8" t="n"/>
      <c r="U50" s="8" t="n"/>
      <c r="V50" s="12">
        <f>SUM(N50:Q50)</f>
        <v/>
      </c>
      <c r="W50" s="5">
        <f>SUM(P50:U50)</f>
        <v/>
      </c>
    </row>
    <row r="51">
      <c r="A51" s="10" t="n">
        <v>0.8958333333333334</v>
      </c>
      <c r="B51" s="5" t="n">
        <v>0.002216647733858585</v>
      </c>
      <c r="C51" s="5" t="n">
        <v>0</v>
      </c>
      <c r="D51" s="5" t="n">
        <v>0</v>
      </c>
      <c r="E51" s="5" t="n">
        <v>0</v>
      </c>
      <c r="F51" s="5" t="n">
        <v>0</v>
      </c>
      <c r="G51" s="5" t="n">
        <v>0</v>
      </c>
      <c r="H51" s="5" t="n">
        <v>0</v>
      </c>
      <c r="I51" s="5" t="n">
        <v>0</v>
      </c>
      <c r="J51" s="5">
        <f>SUM(B51:I51)</f>
        <v/>
      </c>
      <c r="K51" s="5">
        <f>SUM(D51:I51)</f>
        <v/>
      </c>
      <c r="M51" s="10" t="n">
        <v>0.8958333333333334</v>
      </c>
      <c r="N51" s="8" t="n">
        <v>1.214545583724976</v>
      </c>
      <c r="O51" s="8" t="n">
        <v>0.006658670450735762</v>
      </c>
      <c r="P51" s="8" t="n">
        <v>0</v>
      </c>
      <c r="Q51" s="8" t="n">
        <v>0</v>
      </c>
      <c r="R51" s="8" t="n"/>
      <c r="S51" s="8" t="n"/>
      <c r="T51" s="8" t="n"/>
      <c r="U51" s="8" t="n"/>
      <c r="V51" s="12">
        <f>SUM(N51:Q51)</f>
        <v/>
      </c>
      <c r="W51" s="5">
        <f>SUM(P51:U51)</f>
        <v/>
      </c>
    </row>
    <row r="52">
      <c r="A52" s="10" t="n">
        <v>0.9166666666666666</v>
      </c>
      <c r="B52" s="5" t="n">
        <v>0.0001108323866929293</v>
      </c>
      <c r="C52" s="5" t="n">
        <v>0</v>
      </c>
      <c r="D52" s="5" t="n">
        <v>0</v>
      </c>
      <c r="E52" s="5" t="n">
        <v>0</v>
      </c>
      <c r="F52" s="5" t="n">
        <v>0</v>
      </c>
      <c r="G52" s="5" t="n">
        <v>0</v>
      </c>
      <c r="H52" s="5" t="n">
        <v>0</v>
      </c>
      <c r="I52" s="5" t="n">
        <v>0</v>
      </c>
      <c r="J52" s="5">
        <f>SUM(B52:I52)</f>
        <v/>
      </c>
      <c r="K52" s="5">
        <f>SUM(D52:I52)</f>
        <v/>
      </c>
      <c r="M52" s="10" t="n">
        <v>0.9166666666666666</v>
      </c>
      <c r="N52" s="8" t="n">
        <v>0.5308074474334716</v>
      </c>
      <c r="O52" s="8" t="n">
        <v>0.0006315673855704962</v>
      </c>
      <c r="P52" s="8" t="n">
        <v>0</v>
      </c>
      <c r="Q52" s="8" t="n">
        <v>0</v>
      </c>
      <c r="R52" s="8" t="n"/>
      <c r="S52" s="8" t="n"/>
      <c r="T52" s="8" t="n"/>
      <c r="U52" s="8" t="n"/>
      <c r="V52" s="12">
        <f>SUM(N52:Q52)</f>
        <v/>
      </c>
      <c r="W52" s="5">
        <f>SUM(P52:U52)</f>
        <v/>
      </c>
    </row>
    <row r="53">
      <c r="A53" s="10" t="n">
        <v>0.9375</v>
      </c>
      <c r="B53" s="5" t="n">
        <v>0</v>
      </c>
      <c r="C53" s="5" t="n">
        <v>0</v>
      </c>
      <c r="D53" s="5" t="n">
        <v>0</v>
      </c>
      <c r="E53" s="5" t="n">
        <v>0</v>
      </c>
      <c r="F53" s="5" t="n">
        <v>0</v>
      </c>
      <c r="G53" s="5" t="n">
        <v>0</v>
      </c>
      <c r="H53" s="5" t="n">
        <v>0</v>
      </c>
      <c r="I53" s="5" t="n">
        <v>0</v>
      </c>
      <c r="J53" s="5">
        <f>SUM(B53:I53)</f>
        <v/>
      </c>
      <c r="K53" s="5">
        <f>SUM(D53:I53)</f>
        <v/>
      </c>
      <c r="M53" s="10" t="n">
        <v>0.9375</v>
      </c>
      <c r="N53" s="8" t="n">
        <v>0.1971298217773438</v>
      </c>
      <c r="O53" s="8" t="n">
        <v>2.900938419541713e-05</v>
      </c>
      <c r="P53" s="8" t="n">
        <v>0</v>
      </c>
      <c r="Q53" s="8" t="n">
        <v>0</v>
      </c>
      <c r="R53" s="8" t="n"/>
      <c r="S53" s="8" t="n"/>
      <c r="T53" s="8" t="n"/>
      <c r="U53" s="8" t="n"/>
      <c r="V53" s="12">
        <f>SUM(N53:Q53)</f>
        <v/>
      </c>
      <c r="W53" s="5">
        <f>SUM(P53:U53)</f>
        <v/>
      </c>
    </row>
    <row r="54">
      <c r="A54" s="10" t="n">
        <v>0.9583333333333334</v>
      </c>
      <c r="B54" s="5" t="n">
        <v>0</v>
      </c>
      <c r="C54" s="5" t="n">
        <v>0</v>
      </c>
      <c r="D54" s="5" t="n">
        <v>0</v>
      </c>
      <c r="E54" s="5" t="n">
        <v>0</v>
      </c>
      <c r="F54" s="5" t="n">
        <v>0</v>
      </c>
      <c r="G54" s="5" t="n">
        <v>0</v>
      </c>
      <c r="H54" s="5" t="n">
        <v>0</v>
      </c>
      <c r="I54" s="5" t="n">
        <v>0</v>
      </c>
      <c r="J54" s="5">
        <f>SUM(B54:I54)</f>
        <v/>
      </c>
      <c r="K54" s="5">
        <f>SUM(D54:I54)</f>
        <v/>
      </c>
      <c r="M54" s="10" t="n">
        <v>0.9583333333333334</v>
      </c>
      <c r="N54" s="8" t="n">
        <v>0.06004462242126465</v>
      </c>
      <c r="O54" s="8" t="n">
        <v>0</v>
      </c>
      <c r="P54" s="8" t="n">
        <v>0</v>
      </c>
      <c r="Q54" s="8" t="n">
        <v>0</v>
      </c>
      <c r="R54" s="8" t="n"/>
      <c r="S54" s="8" t="n"/>
      <c r="T54" s="8" t="n"/>
      <c r="U54" s="8" t="n"/>
      <c r="V54" s="12">
        <f>SUM(N54:Q54)</f>
        <v/>
      </c>
      <c r="W54" s="5">
        <f>SUM(P54:U54)</f>
        <v/>
      </c>
    </row>
    <row r="55">
      <c r="A55" s="10" t="n">
        <v>0.9791666666666666</v>
      </c>
      <c r="B55" s="5" t="n">
        <v>0</v>
      </c>
      <c r="C55" s="5" t="n">
        <v>0</v>
      </c>
      <c r="D55" s="5" t="n">
        <v>0</v>
      </c>
      <c r="E55" s="5" t="n">
        <v>0</v>
      </c>
      <c r="F55" s="5" t="n">
        <v>0</v>
      </c>
      <c r="G55" s="5" t="n">
        <v>0</v>
      </c>
      <c r="H55" s="5" t="n">
        <v>0</v>
      </c>
      <c r="I55" s="5" t="n">
        <v>0</v>
      </c>
      <c r="J55" s="5">
        <f>SUM(B55:I55)</f>
        <v/>
      </c>
      <c r="K55" s="5">
        <f>SUM(D55:I55)</f>
        <v/>
      </c>
      <c r="M55" s="10" t="n">
        <v>0.9791666666666666</v>
      </c>
      <c r="N55" s="8" t="n">
        <v>0.01417407989501953</v>
      </c>
      <c r="O55" s="8" t="n">
        <v>0</v>
      </c>
      <c r="P55" s="8" t="n">
        <v>0</v>
      </c>
      <c r="Q55" s="8" t="n">
        <v>0</v>
      </c>
      <c r="R55" s="8" t="n"/>
      <c r="S55" s="8" t="n"/>
      <c r="T55" s="8" t="n"/>
      <c r="U55" s="8" t="n"/>
      <c r="V55" s="12">
        <f>SUM(N55:Q55)</f>
        <v/>
      </c>
      <c r="W55" s="5">
        <f>SUM(P55:U55)</f>
        <v/>
      </c>
    </row>
    <row r="56">
      <c r="A56" s="17" t="inlineStr">
        <is>
          <t>&gt; 24 hours</t>
        </is>
      </c>
      <c r="B56" s="18" t="n">
        <v>0</v>
      </c>
      <c r="C56" s="18" t="n">
        <v>0</v>
      </c>
      <c r="D56" s="18" t="n">
        <v>0</v>
      </c>
      <c r="E56" s="18" t="n">
        <v>0</v>
      </c>
      <c r="F56" s="18" t="n">
        <v>0</v>
      </c>
      <c r="G56" s="18" t="n">
        <v>0</v>
      </c>
      <c r="H56" s="18" t="n">
        <v>0</v>
      </c>
      <c r="I56" s="18" t="n">
        <v>0</v>
      </c>
      <c r="J56" s="5">
        <f>SUM(B56:I56)</f>
        <v/>
      </c>
      <c r="K56" s="5">
        <f>SUM(D56:I56)</f>
        <v/>
      </c>
      <c r="M56" s="17" t="inlineStr">
        <is>
          <t>&gt; 24 hours</t>
        </is>
      </c>
      <c r="N56" s="20" t="n">
        <v>0</v>
      </c>
      <c r="O56" s="20" t="n">
        <v>0</v>
      </c>
      <c r="P56" s="20" t="n">
        <v>0</v>
      </c>
      <c r="Q56" s="20" t="n">
        <v>0</v>
      </c>
      <c r="R56" s="20" t="n"/>
      <c r="S56" s="20" t="n"/>
      <c r="T56" s="20" t="n"/>
      <c r="U56" s="20" t="n"/>
      <c r="V56" s="23">
        <f>SUM(N56:Q56)</f>
        <v/>
      </c>
      <c r="W56" s="5">
        <f>SUM(P56:U56)</f>
        <v/>
      </c>
    </row>
    <row r="57" ht="15.75" customHeight="1" s="71" thickBot="1">
      <c r="A57" s="1" t="n"/>
      <c r="B57" s="6">
        <f>SUM(B8:B56)</f>
        <v/>
      </c>
      <c r="C57" s="6">
        <f>SUM(C8:C56)</f>
        <v/>
      </c>
      <c r="D57" s="6">
        <f>SUM(D8:D56)</f>
        <v/>
      </c>
      <c r="E57" s="6">
        <f>SUM(E8:E56)</f>
        <v/>
      </c>
      <c r="F57" s="6">
        <f>SUM(F8:F56)</f>
        <v/>
      </c>
      <c r="G57" s="6">
        <f>SUM(G8:G56)</f>
        <v/>
      </c>
      <c r="H57" s="6">
        <f>SUM(H8:H56)</f>
        <v/>
      </c>
      <c r="I57" s="6">
        <f>SUM(I8:I56)</f>
        <v/>
      </c>
      <c r="J57" s="6">
        <f>SUM(J8:J56)</f>
        <v/>
      </c>
      <c r="K57" s="6">
        <f>SUM(K8:K56)</f>
        <v/>
      </c>
      <c r="M57" s="1" t="n"/>
      <c r="N57" s="6">
        <f>SUM(N8:N56)</f>
        <v/>
      </c>
      <c r="O57" s="6">
        <f>SUM(O8:O56)</f>
        <v/>
      </c>
      <c r="P57" s="6">
        <f>SUM(P8:P56)</f>
        <v/>
      </c>
      <c r="Q57" s="6">
        <f>SUM(Q8:Q56)</f>
        <v/>
      </c>
      <c r="R57" s="6">
        <f>SUM(R8:R56)</f>
        <v/>
      </c>
      <c r="S57" s="6">
        <f>SUM(S8:S56)</f>
        <v/>
      </c>
      <c r="T57" s="6">
        <f>SUM(T8:T56)</f>
        <v/>
      </c>
      <c r="U57" s="6">
        <f>SUM(U8:U56)</f>
        <v/>
      </c>
      <c r="V57" s="6">
        <f>SUM(V8:V56)</f>
        <v/>
      </c>
      <c r="W57" s="6">
        <f>SUM(W8:W56)</f>
        <v/>
      </c>
    </row>
    <row r="63" ht="15.75" customHeight="1" s="71" thickBot="1">
      <c r="A63" s="3" t="inlineStr">
        <is>
          <t>Table X. Observed Tour Durations: Survey</t>
        </is>
      </c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M63" s="3" t="inlineStr">
        <is>
          <t>Table X. Estimated Tour Durations: DaySim</t>
        </is>
      </c>
      <c r="N63" s="1" t="n"/>
      <c r="O63" s="1" t="n"/>
      <c r="P63" s="1" t="n"/>
      <c r="Q63" s="1" t="n"/>
      <c r="R63" s="1" t="n"/>
      <c r="S63" s="1" t="n"/>
      <c r="T63" s="1" t="n"/>
      <c r="U63" s="1" t="n"/>
      <c r="V63" s="1" t="n"/>
    </row>
    <row r="64">
      <c r="A64" s="2" t="inlineStr">
        <is>
          <t>Duration</t>
        </is>
      </c>
      <c r="B64" s="4" t="inlineStr">
        <is>
          <t>Work</t>
        </is>
      </c>
      <c r="C64" s="4" t="inlineStr">
        <is>
          <t>School</t>
        </is>
      </c>
      <c r="D64" s="4" t="inlineStr">
        <is>
          <t>Escort</t>
        </is>
      </c>
      <c r="E64" s="4" t="inlineStr">
        <is>
          <t>Per Busi</t>
        </is>
      </c>
      <c r="F64" s="4" t="inlineStr">
        <is>
          <t>Shopping</t>
        </is>
      </c>
      <c r="G64" s="4" t="inlineStr">
        <is>
          <t>Meal</t>
        </is>
      </c>
      <c r="H64" s="4" t="inlineStr">
        <is>
          <t>Soc&amp;Rec</t>
        </is>
      </c>
      <c r="I64" s="4" t="inlineStr">
        <is>
          <t>Other</t>
        </is>
      </c>
      <c r="J64" s="4" t="inlineStr">
        <is>
          <t>Total</t>
        </is>
      </c>
      <c r="K64" s="4" t="inlineStr">
        <is>
          <t>Except Work, Work-related, School</t>
        </is>
      </c>
      <c r="M64" s="2" t="inlineStr">
        <is>
          <t>Duration</t>
        </is>
      </c>
      <c r="N64" s="4" t="inlineStr">
        <is>
          <t>Work</t>
        </is>
      </c>
      <c r="O64" s="4" t="inlineStr">
        <is>
          <t>School</t>
        </is>
      </c>
      <c r="P64" s="4" t="inlineStr">
        <is>
          <t>Escort</t>
        </is>
      </c>
      <c r="Q64" s="4" t="inlineStr">
        <is>
          <t>Per Busi</t>
        </is>
      </c>
      <c r="R64" s="4" t="inlineStr">
        <is>
          <t>Shopping</t>
        </is>
      </c>
      <c r="S64" s="4" t="inlineStr">
        <is>
          <t>Meal</t>
        </is>
      </c>
      <c r="T64" s="4" t="inlineStr">
        <is>
          <t>Soc&amp;Rec</t>
        </is>
      </c>
      <c r="U64" s="4" t="inlineStr">
        <is>
          <t>Other</t>
        </is>
      </c>
      <c r="V64" s="4" t="inlineStr">
        <is>
          <t>Total</t>
        </is>
      </c>
      <c r="W64" s="4" t="inlineStr">
        <is>
          <t>Except Work, Work-related, School</t>
        </is>
      </c>
    </row>
    <row r="65">
      <c r="A65" s="10" t="n">
        <v>0</v>
      </c>
      <c r="B65" s="14">
        <f>B8/B$57</f>
        <v/>
      </c>
      <c r="C65" s="14">
        <f>C8/C$57</f>
        <v/>
      </c>
      <c r="D65" s="14">
        <f>D8/D$57</f>
        <v/>
      </c>
      <c r="E65" s="14">
        <f>E8/E$57</f>
        <v/>
      </c>
      <c r="F65" s="14">
        <f>F8/F$57</f>
        <v/>
      </c>
      <c r="G65" s="14">
        <f>G8/G$57</f>
        <v/>
      </c>
      <c r="H65" s="14">
        <f>H8/H$57</f>
        <v/>
      </c>
      <c r="I65" s="14">
        <f>I8/I$57</f>
        <v/>
      </c>
      <c r="J65" s="14">
        <f>J8/J$57</f>
        <v/>
      </c>
      <c r="K65" s="14">
        <f>K8/K$57</f>
        <v/>
      </c>
      <c r="L65" s="14" t="n"/>
      <c r="M65" s="10" t="n">
        <v>0</v>
      </c>
      <c r="N65" s="14">
        <f>N8/N$57</f>
        <v/>
      </c>
      <c r="O65" s="14">
        <f>O8/O$57</f>
        <v/>
      </c>
      <c r="P65" s="14">
        <f>P8/P$57</f>
        <v/>
      </c>
      <c r="Q65" s="14">
        <f>Q8/Q$57</f>
        <v/>
      </c>
      <c r="R65" s="14">
        <f>R8/R$57</f>
        <v/>
      </c>
      <c r="S65" s="14">
        <f>S8/S$57</f>
        <v/>
      </c>
      <c r="T65" s="14">
        <f>T8/T$57</f>
        <v/>
      </c>
      <c r="U65" s="14">
        <f>U8/U$57</f>
        <v/>
      </c>
      <c r="V65" s="14">
        <f>V8/V$57</f>
        <v/>
      </c>
      <c r="W65" s="14">
        <f>W8/W$57</f>
        <v/>
      </c>
    </row>
    <row r="66">
      <c r="A66" s="10" t="n">
        <v>0.02083333333333333</v>
      </c>
      <c r="B66" s="14">
        <f>B9/B$57</f>
        <v/>
      </c>
      <c r="C66" s="14">
        <f>C9/C$57</f>
        <v/>
      </c>
      <c r="D66" s="14">
        <f>D9/D$57</f>
        <v/>
      </c>
      <c r="E66" s="14">
        <f>E9/E$57</f>
        <v/>
      </c>
      <c r="F66" s="14">
        <f>F9/F$57</f>
        <v/>
      </c>
      <c r="G66" s="14">
        <f>G9/G$57</f>
        <v/>
      </c>
      <c r="H66" s="14">
        <f>H9/H$57</f>
        <v/>
      </c>
      <c r="I66" s="14">
        <f>I9/I$57</f>
        <v/>
      </c>
      <c r="J66" s="14">
        <f>J9/J$57</f>
        <v/>
      </c>
      <c r="K66" s="14">
        <f>K9/K$57</f>
        <v/>
      </c>
      <c r="L66" s="14" t="n"/>
      <c r="M66" s="10" t="n">
        <v>0.02083333333333333</v>
      </c>
      <c r="N66" s="14">
        <f>N9/N$57</f>
        <v/>
      </c>
      <c r="O66" s="14">
        <f>O9/O$57</f>
        <v/>
      </c>
      <c r="P66" s="14">
        <f>P9/P$57</f>
        <v/>
      </c>
      <c r="Q66" s="14">
        <f>Q9/Q$57</f>
        <v/>
      </c>
      <c r="R66" s="14">
        <f>R9/R$57</f>
        <v/>
      </c>
      <c r="S66" s="14">
        <f>S9/S$57</f>
        <v/>
      </c>
      <c r="T66" s="14">
        <f>T9/T$57</f>
        <v/>
      </c>
      <c r="U66" s="14">
        <f>U9/U$57</f>
        <v/>
      </c>
      <c r="V66" s="14">
        <f>V9/V$57</f>
        <v/>
      </c>
      <c r="W66" s="14">
        <f>W9/W$57</f>
        <v/>
      </c>
    </row>
    <row r="67">
      <c r="A67" s="10" t="n">
        <v>0.04166666666666666</v>
      </c>
      <c r="B67" s="14">
        <f>B10/B$57</f>
        <v/>
      </c>
      <c r="C67" s="14">
        <f>C10/C$57</f>
        <v/>
      </c>
      <c r="D67" s="14">
        <f>D10/D$57</f>
        <v/>
      </c>
      <c r="E67" s="14">
        <f>E10/E$57</f>
        <v/>
      </c>
      <c r="F67" s="14">
        <f>F10/F$57</f>
        <v/>
      </c>
      <c r="G67" s="14">
        <f>G10/G$57</f>
        <v/>
      </c>
      <c r="H67" s="14">
        <f>H10/H$57</f>
        <v/>
      </c>
      <c r="I67" s="14">
        <f>I10/I$57</f>
        <v/>
      </c>
      <c r="J67" s="14">
        <f>J10/J$57</f>
        <v/>
      </c>
      <c r="K67" s="14">
        <f>K10/K$57</f>
        <v/>
      </c>
      <c r="L67" s="14" t="n"/>
      <c r="M67" s="10" t="n">
        <v>0.04166666666666666</v>
      </c>
      <c r="N67" s="14">
        <f>N10/N$57</f>
        <v/>
      </c>
      <c r="O67" s="14">
        <f>O10/O$57</f>
        <v/>
      </c>
      <c r="P67" s="14">
        <f>P10/P$57</f>
        <v/>
      </c>
      <c r="Q67" s="14">
        <f>Q10/Q$57</f>
        <v/>
      </c>
      <c r="R67" s="14">
        <f>R10/R$57</f>
        <v/>
      </c>
      <c r="S67" s="14">
        <f>S10/S$57</f>
        <v/>
      </c>
      <c r="T67" s="14">
        <f>T10/T$57</f>
        <v/>
      </c>
      <c r="U67" s="14">
        <f>U10/U$57</f>
        <v/>
      </c>
      <c r="V67" s="14">
        <f>V10/V$57</f>
        <v/>
      </c>
      <c r="W67" s="14">
        <f>W10/W$57</f>
        <v/>
      </c>
    </row>
    <row r="68">
      <c r="A68" s="10" t="n">
        <v>0.0625</v>
      </c>
      <c r="B68" s="14">
        <f>B11/B$57</f>
        <v/>
      </c>
      <c r="C68" s="14">
        <f>C11/C$57</f>
        <v/>
      </c>
      <c r="D68" s="14">
        <f>D11/D$57</f>
        <v/>
      </c>
      <c r="E68" s="14">
        <f>E11/E$57</f>
        <v/>
      </c>
      <c r="F68" s="14">
        <f>F11/F$57</f>
        <v/>
      </c>
      <c r="G68" s="14">
        <f>G11/G$57</f>
        <v/>
      </c>
      <c r="H68" s="14">
        <f>H11/H$57</f>
        <v/>
      </c>
      <c r="I68" s="14">
        <f>I11/I$57</f>
        <v/>
      </c>
      <c r="J68" s="14">
        <f>J11/J$57</f>
        <v/>
      </c>
      <c r="K68" s="14">
        <f>K11/K$57</f>
        <v/>
      </c>
      <c r="L68" s="14" t="n"/>
      <c r="M68" s="10" t="n">
        <v>0.0625</v>
      </c>
      <c r="N68" s="14">
        <f>N11/N$57</f>
        <v/>
      </c>
      <c r="O68" s="14">
        <f>O11/O$57</f>
        <v/>
      </c>
      <c r="P68" s="14">
        <f>P11/P$57</f>
        <v/>
      </c>
      <c r="Q68" s="14">
        <f>Q11/Q$57</f>
        <v/>
      </c>
      <c r="R68" s="14">
        <f>R11/R$57</f>
        <v/>
      </c>
      <c r="S68" s="14">
        <f>S11/S$57</f>
        <v/>
      </c>
      <c r="T68" s="14">
        <f>T11/T$57</f>
        <v/>
      </c>
      <c r="U68" s="14">
        <f>U11/U$57</f>
        <v/>
      </c>
      <c r="V68" s="14">
        <f>V11/V$57</f>
        <v/>
      </c>
      <c r="W68" s="14">
        <f>W11/W$57</f>
        <v/>
      </c>
    </row>
    <row r="69">
      <c r="A69" s="10" t="n">
        <v>0.08333333333333333</v>
      </c>
      <c r="B69" s="14">
        <f>B12/B$57</f>
        <v/>
      </c>
      <c r="C69" s="14">
        <f>C12/C$57</f>
        <v/>
      </c>
      <c r="D69" s="14">
        <f>D12/D$57</f>
        <v/>
      </c>
      <c r="E69" s="14">
        <f>E12/E$57</f>
        <v/>
      </c>
      <c r="F69" s="14">
        <f>F12/F$57</f>
        <v/>
      </c>
      <c r="G69" s="14">
        <f>G12/G$57</f>
        <v/>
      </c>
      <c r="H69" s="14">
        <f>H12/H$57</f>
        <v/>
      </c>
      <c r="I69" s="14">
        <f>I12/I$57</f>
        <v/>
      </c>
      <c r="J69" s="14">
        <f>J12/J$57</f>
        <v/>
      </c>
      <c r="K69" s="14">
        <f>K12/K$57</f>
        <v/>
      </c>
      <c r="L69" s="14" t="n"/>
      <c r="M69" s="10" t="n">
        <v>0.08333333333333333</v>
      </c>
      <c r="N69" s="14">
        <f>N12/N$57</f>
        <v/>
      </c>
      <c r="O69" s="14">
        <f>O12/O$57</f>
        <v/>
      </c>
      <c r="P69" s="14">
        <f>P12/P$57</f>
        <v/>
      </c>
      <c r="Q69" s="14">
        <f>Q12/Q$57</f>
        <v/>
      </c>
      <c r="R69" s="14">
        <f>R12/R$57</f>
        <v/>
      </c>
      <c r="S69" s="14">
        <f>S12/S$57</f>
        <v/>
      </c>
      <c r="T69" s="14">
        <f>T12/T$57</f>
        <v/>
      </c>
      <c r="U69" s="14">
        <f>U12/U$57</f>
        <v/>
      </c>
      <c r="V69" s="14">
        <f>V12/V$57</f>
        <v/>
      </c>
      <c r="W69" s="14">
        <f>W12/W$57</f>
        <v/>
      </c>
    </row>
    <row r="70">
      <c r="A70" s="10" t="n">
        <v>0.1041666666666667</v>
      </c>
      <c r="B70" s="14">
        <f>B13/B$57</f>
        <v/>
      </c>
      <c r="C70" s="14">
        <f>C13/C$57</f>
        <v/>
      </c>
      <c r="D70" s="14">
        <f>D13/D$57</f>
        <v/>
      </c>
      <c r="E70" s="14">
        <f>E13/E$57</f>
        <v/>
      </c>
      <c r="F70" s="14">
        <f>F13/F$57</f>
        <v/>
      </c>
      <c r="G70" s="14">
        <f>G13/G$57</f>
        <v/>
      </c>
      <c r="H70" s="14">
        <f>H13/H$57</f>
        <v/>
      </c>
      <c r="I70" s="14">
        <f>I13/I$57</f>
        <v/>
      </c>
      <c r="J70" s="14">
        <f>J13/J$57</f>
        <v/>
      </c>
      <c r="K70" s="14">
        <f>K13/K$57</f>
        <v/>
      </c>
      <c r="L70" s="14" t="n"/>
      <c r="M70" s="10" t="n">
        <v>0.1041666666666667</v>
      </c>
      <c r="N70" s="14">
        <f>N13/N$57</f>
        <v/>
      </c>
      <c r="O70" s="14">
        <f>O13/O$57</f>
        <v/>
      </c>
      <c r="P70" s="14">
        <f>P13/P$57</f>
        <v/>
      </c>
      <c r="Q70" s="14">
        <f>Q13/Q$57</f>
        <v/>
      </c>
      <c r="R70" s="14">
        <f>R13/R$57</f>
        <v/>
      </c>
      <c r="S70" s="14">
        <f>S13/S$57</f>
        <v/>
      </c>
      <c r="T70" s="14">
        <f>T13/T$57</f>
        <v/>
      </c>
      <c r="U70" s="14">
        <f>U13/U$57</f>
        <v/>
      </c>
      <c r="V70" s="14">
        <f>V13/V$57</f>
        <v/>
      </c>
      <c r="W70" s="14">
        <f>W13/W$57</f>
        <v/>
      </c>
    </row>
    <row r="71">
      <c r="A71" s="10" t="n">
        <v>0.125</v>
      </c>
      <c r="B71" s="14">
        <f>B14/B$57</f>
        <v/>
      </c>
      <c r="C71" s="14">
        <f>C14/C$57</f>
        <v/>
      </c>
      <c r="D71" s="14">
        <f>D14/D$57</f>
        <v/>
      </c>
      <c r="E71" s="14">
        <f>E14/E$57</f>
        <v/>
      </c>
      <c r="F71" s="14">
        <f>F14/F$57</f>
        <v/>
      </c>
      <c r="G71" s="14">
        <f>G14/G$57</f>
        <v/>
      </c>
      <c r="H71" s="14">
        <f>H14/H$57</f>
        <v/>
      </c>
      <c r="I71" s="14">
        <f>I14/I$57</f>
        <v/>
      </c>
      <c r="J71" s="14">
        <f>J14/J$57</f>
        <v/>
      </c>
      <c r="K71" s="14">
        <f>K14/K$57</f>
        <v/>
      </c>
      <c r="L71" s="14" t="n"/>
      <c r="M71" s="10" t="n">
        <v>0.125</v>
      </c>
      <c r="N71" s="14">
        <f>N14/N$57</f>
        <v/>
      </c>
      <c r="O71" s="14">
        <f>O14/O$57</f>
        <v/>
      </c>
      <c r="P71" s="14">
        <f>P14/P$57</f>
        <v/>
      </c>
      <c r="Q71" s="14">
        <f>Q14/Q$57</f>
        <v/>
      </c>
      <c r="R71" s="14">
        <f>R14/R$57</f>
        <v/>
      </c>
      <c r="S71" s="14">
        <f>S14/S$57</f>
        <v/>
      </c>
      <c r="T71" s="14">
        <f>T14/T$57</f>
        <v/>
      </c>
      <c r="U71" s="14">
        <f>U14/U$57</f>
        <v/>
      </c>
      <c r="V71" s="14">
        <f>V14/V$57</f>
        <v/>
      </c>
      <c r="W71" s="14">
        <f>W14/W$57</f>
        <v/>
      </c>
    </row>
    <row r="72">
      <c r="A72" s="10" t="n">
        <v>0.1458333333333333</v>
      </c>
      <c r="B72" s="14">
        <f>B15/B$57</f>
        <v/>
      </c>
      <c r="C72" s="14">
        <f>C15/C$57</f>
        <v/>
      </c>
      <c r="D72" s="14">
        <f>D15/D$57</f>
        <v/>
      </c>
      <c r="E72" s="14">
        <f>E15/E$57</f>
        <v/>
      </c>
      <c r="F72" s="14">
        <f>F15/F$57</f>
        <v/>
      </c>
      <c r="G72" s="14">
        <f>G15/G$57</f>
        <v/>
      </c>
      <c r="H72" s="14">
        <f>H15/H$57</f>
        <v/>
      </c>
      <c r="I72" s="14">
        <f>I15/I$57</f>
        <v/>
      </c>
      <c r="J72" s="14">
        <f>J15/J$57</f>
        <v/>
      </c>
      <c r="K72" s="14">
        <f>K15/K$57</f>
        <v/>
      </c>
      <c r="L72" s="14" t="n"/>
      <c r="M72" s="10" t="n">
        <v>0.1458333333333333</v>
      </c>
      <c r="N72" s="14">
        <f>N15/N$57</f>
        <v/>
      </c>
      <c r="O72" s="14">
        <f>O15/O$57</f>
        <v/>
      </c>
      <c r="P72" s="14">
        <f>P15/P$57</f>
        <v/>
      </c>
      <c r="Q72" s="14">
        <f>Q15/Q$57</f>
        <v/>
      </c>
      <c r="R72" s="14">
        <f>R15/R$57</f>
        <v/>
      </c>
      <c r="S72" s="14">
        <f>S15/S$57</f>
        <v/>
      </c>
      <c r="T72" s="14">
        <f>T15/T$57</f>
        <v/>
      </c>
      <c r="U72" s="14">
        <f>U15/U$57</f>
        <v/>
      </c>
      <c r="V72" s="14">
        <f>V15/V$57</f>
        <v/>
      </c>
      <c r="W72" s="14">
        <f>W15/W$57</f>
        <v/>
      </c>
    </row>
    <row r="73">
      <c r="A73" s="10" t="n">
        <v>0.1666666666666667</v>
      </c>
      <c r="B73" s="14">
        <f>B16/B$57</f>
        <v/>
      </c>
      <c r="C73" s="14">
        <f>C16/C$57</f>
        <v/>
      </c>
      <c r="D73" s="14">
        <f>D16/D$57</f>
        <v/>
      </c>
      <c r="E73" s="14">
        <f>E16/E$57</f>
        <v/>
      </c>
      <c r="F73" s="14">
        <f>F16/F$57</f>
        <v/>
      </c>
      <c r="G73" s="14">
        <f>G16/G$57</f>
        <v/>
      </c>
      <c r="H73" s="14">
        <f>H16/H$57</f>
        <v/>
      </c>
      <c r="I73" s="14">
        <f>I16/I$57</f>
        <v/>
      </c>
      <c r="J73" s="14">
        <f>J16/J$57</f>
        <v/>
      </c>
      <c r="K73" s="14">
        <f>K16/K$57</f>
        <v/>
      </c>
      <c r="L73" s="14" t="n"/>
      <c r="M73" s="10" t="n">
        <v>0.1666666666666667</v>
      </c>
      <c r="N73" s="14">
        <f>N16/N$57</f>
        <v/>
      </c>
      <c r="O73" s="14">
        <f>O16/O$57</f>
        <v/>
      </c>
      <c r="P73" s="14">
        <f>P16/P$57</f>
        <v/>
      </c>
      <c r="Q73" s="14">
        <f>Q16/Q$57</f>
        <v/>
      </c>
      <c r="R73" s="14">
        <f>R16/R$57</f>
        <v/>
      </c>
      <c r="S73" s="14">
        <f>S16/S$57</f>
        <v/>
      </c>
      <c r="T73" s="14">
        <f>T16/T$57</f>
        <v/>
      </c>
      <c r="U73" s="14">
        <f>U16/U$57</f>
        <v/>
      </c>
      <c r="V73" s="14">
        <f>V16/V$57</f>
        <v/>
      </c>
      <c r="W73" s="14">
        <f>W16/W$57</f>
        <v/>
      </c>
    </row>
    <row r="74">
      <c r="A74" s="10" t="n">
        <v>0.1875</v>
      </c>
      <c r="B74" s="14">
        <f>B17/B$57</f>
        <v/>
      </c>
      <c r="C74" s="14">
        <f>C17/C$57</f>
        <v/>
      </c>
      <c r="D74" s="14">
        <f>D17/D$57</f>
        <v/>
      </c>
      <c r="E74" s="14">
        <f>E17/E$57</f>
        <v/>
      </c>
      <c r="F74" s="14">
        <f>F17/F$57</f>
        <v/>
      </c>
      <c r="G74" s="14">
        <f>G17/G$57</f>
        <v/>
      </c>
      <c r="H74" s="14">
        <f>H17/H$57</f>
        <v/>
      </c>
      <c r="I74" s="14">
        <f>I17/I$57</f>
        <v/>
      </c>
      <c r="J74" s="14">
        <f>J17/J$57</f>
        <v/>
      </c>
      <c r="K74" s="14">
        <f>K17/K$57</f>
        <v/>
      </c>
      <c r="L74" s="14" t="n"/>
      <c r="M74" s="10" t="n">
        <v>0.1875</v>
      </c>
      <c r="N74" s="14">
        <f>N17/N$57</f>
        <v/>
      </c>
      <c r="O74" s="14">
        <f>O17/O$57</f>
        <v/>
      </c>
      <c r="P74" s="14">
        <f>P17/P$57</f>
        <v/>
      </c>
      <c r="Q74" s="14">
        <f>Q17/Q$57</f>
        <v/>
      </c>
      <c r="R74" s="14">
        <f>R17/R$57</f>
        <v/>
      </c>
      <c r="S74" s="14">
        <f>S17/S$57</f>
        <v/>
      </c>
      <c r="T74" s="14">
        <f>T17/T$57</f>
        <v/>
      </c>
      <c r="U74" s="14">
        <f>U17/U$57</f>
        <v/>
      </c>
      <c r="V74" s="14">
        <f>V17/V$57</f>
        <v/>
      </c>
      <c r="W74" s="14">
        <f>W17/W$57</f>
        <v/>
      </c>
    </row>
    <row r="75">
      <c r="A75" s="10" t="n">
        <v>0.2083333333333333</v>
      </c>
      <c r="B75" s="14">
        <f>B18/B$57</f>
        <v/>
      </c>
      <c r="C75" s="14">
        <f>C18/C$57</f>
        <v/>
      </c>
      <c r="D75" s="14">
        <f>D18/D$57</f>
        <v/>
      </c>
      <c r="E75" s="14">
        <f>E18/E$57</f>
        <v/>
      </c>
      <c r="F75" s="14">
        <f>F18/F$57</f>
        <v/>
      </c>
      <c r="G75" s="14">
        <f>G18/G$57</f>
        <v/>
      </c>
      <c r="H75" s="14">
        <f>H18/H$57</f>
        <v/>
      </c>
      <c r="I75" s="14">
        <f>I18/I$57</f>
        <v/>
      </c>
      <c r="J75" s="14">
        <f>J18/J$57</f>
        <v/>
      </c>
      <c r="K75" s="14">
        <f>K18/K$57</f>
        <v/>
      </c>
      <c r="L75" s="14" t="n"/>
      <c r="M75" s="10" t="n">
        <v>0.2083333333333333</v>
      </c>
      <c r="N75" s="14">
        <f>N18/N$57</f>
        <v/>
      </c>
      <c r="O75" s="14">
        <f>O18/O$57</f>
        <v/>
      </c>
      <c r="P75" s="14">
        <f>P18/P$57</f>
        <v/>
      </c>
      <c r="Q75" s="14">
        <f>Q18/Q$57</f>
        <v/>
      </c>
      <c r="R75" s="14">
        <f>R18/R$57</f>
        <v/>
      </c>
      <c r="S75" s="14">
        <f>S18/S$57</f>
        <v/>
      </c>
      <c r="T75" s="14">
        <f>T18/T$57</f>
        <v/>
      </c>
      <c r="U75" s="14">
        <f>U18/U$57</f>
        <v/>
      </c>
      <c r="V75" s="14">
        <f>V18/V$57</f>
        <v/>
      </c>
      <c r="W75" s="14">
        <f>W18/W$57</f>
        <v/>
      </c>
    </row>
    <row r="76">
      <c r="A76" s="10" t="n">
        <v>0.2291666666666667</v>
      </c>
      <c r="B76" s="14">
        <f>B19/B$57</f>
        <v/>
      </c>
      <c r="C76" s="14">
        <f>C19/C$57</f>
        <v/>
      </c>
      <c r="D76" s="14">
        <f>D19/D$57</f>
        <v/>
      </c>
      <c r="E76" s="14">
        <f>E19/E$57</f>
        <v/>
      </c>
      <c r="F76" s="14">
        <f>F19/F$57</f>
        <v/>
      </c>
      <c r="G76" s="14">
        <f>G19/G$57</f>
        <v/>
      </c>
      <c r="H76" s="14">
        <f>H19/H$57</f>
        <v/>
      </c>
      <c r="I76" s="14">
        <f>I19/I$57</f>
        <v/>
      </c>
      <c r="J76" s="14">
        <f>J19/J$57</f>
        <v/>
      </c>
      <c r="K76" s="14">
        <f>K19/K$57</f>
        <v/>
      </c>
      <c r="L76" s="14" t="n"/>
      <c r="M76" s="10" t="n">
        <v>0.2291666666666667</v>
      </c>
      <c r="N76" s="14">
        <f>N19/N$57</f>
        <v/>
      </c>
      <c r="O76" s="14">
        <f>O19/O$57</f>
        <v/>
      </c>
      <c r="P76" s="14">
        <f>P19/P$57</f>
        <v/>
      </c>
      <c r="Q76" s="14">
        <f>Q19/Q$57</f>
        <v/>
      </c>
      <c r="R76" s="14">
        <f>R19/R$57</f>
        <v/>
      </c>
      <c r="S76" s="14">
        <f>S19/S$57</f>
        <v/>
      </c>
      <c r="T76" s="14">
        <f>T19/T$57</f>
        <v/>
      </c>
      <c r="U76" s="14">
        <f>U19/U$57</f>
        <v/>
      </c>
      <c r="V76" s="14">
        <f>V19/V$57</f>
        <v/>
      </c>
      <c r="W76" s="14">
        <f>W19/W$57</f>
        <v/>
      </c>
    </row>
    <row r="77">
      <c r="A77" s="10" t="n">
        <v>0.25</v>
      </c>
      <c r="B77" s="14">
        <f>B20/B$57</f>
        <v/>
      </c>
      <c r="C77" s="14">
        <f>C20/C$57</f>
        <v/>
      </c>
      <c r="D77" s="14">
        <f>D20/D$57</f>
        <v/>
      </c>
      <c r="E77" s="14">
        <f>E20/E$57</f>
        <v/>
      </c>
      <c r="F77" s="14">
        <f>F20/F$57</f>
        <v/>
      </c>
      <c r="G77" s="14">
        <f>G20/G$57</f>
        <v/>
      </c>
      <c r="H77" s="14">
        <f>H20/H$57</f>
        <v/>
      </c>
      <c r="I77" s="14">
        <f>I20/I$57</f>
        <v/>
      </c>
      <c r="J77" s="14">
        <f>J20/J$57</f>
        <v/>
      </c>
      <c r="K77" s="14">
        <f>K20/K$57</f>
        <v/>
      </c>
      <c r="L77" s="14" t="n"/>
      <c r="M77" s="10" t="n">
        <v>0.25</v>
      </c>
      <c r="N77" s="14">
        <f>N20/N$57</f>
        <v/>
      </c>
      <c r="O77" s="14">
        <f>O20/O$57</f>
        <v/>
      </c>
      <c r="P77" s="14">
        <f>P20/P$57</f>
        <v/>
      </c>
      <c r="Q77" s="14">
        <f>Q20/Q$57</f>
        <v/>
      </c>
      <c r="R77" s="14">
        <f>R20/R$57</f>
        <v/>
      </c>
      <c r="S77" s="14">
        <f>S20/S$57</f>
        <v/>
      </c>
      <c r="T77" s="14">
        <f>T20/T$57</f>
        <v/>
      </c>
      <c r="U77" s="14">
        <f>U20/U$57</f>
        <v/>
      </c>
      <c r="V77" s="14">
        <f>V20/V$57</f>
        <v/>
      </c>
      <c r="W77" s="14">
        <f>W20/W$57</f>
        <v/>
      </c>
    </row>
    <row r="78">
      <c r="A78" s="10" t="n">
        <v>0.2708333333333333</v>
      </c>
      <c r="B78" s="14">
        <f>B21/B$57</f>
        <v/>
      </c>
      <c r="C78" s="14">
        <f>C21/C$57</f>
        <v/>
      </c>
      <c r="D78" s="14">
        <f>D21/D$57</f>
        <v/>
      </c>
      <c r="E78" s="14">
        <f>E21/E$57</f>
        <v/>
      </c>
      <c r="F78" s="14">
        <f>F21/F$57</f>
        <v/>
      </c>
      <c r="G78" s="14">
        <f>G21/G$57</f>
        <v/>
      </c>
      <c r="H78" s="14">
        <f>H21/H$57</f>
        <v/>
      </c>
      <c r="I78" s="14">
        <f>I21/I$57</f>
        <v/>
      </c>
      <c r="J78" s="14">
        <f>J21/J$57</f>
        <v/>
      </c>
      <c r="K78" s="14">
        <f>K21/K$57</f>
        <v/>
      </c>
      <c r="L78" s="14" t="n"/>
      <c r="M78" s="10" t="n">
        <v>0.2708333333333333</v>
      </c>
      <c r="N78" s="14">
        <f>N21/N$57</f>
        <v/>
      </c>
      <c r="O78" s="14">
        <f>O21/O$57</f>
        <v/>
      </c>
      <c r="P78" s="14">
        <f>P21/P$57</f>
        <v/>
      </c>
      <c r="Q78" s="14">
        <f>Q21/Q$57</f>
        <v/>
      </c>
      <c r="R78" s="14">
        <f>R21/R$57</f>
        <v/>
      </c>
      <c r="S78" s="14">
        <f>S21/S$57</f>
        <v/>
      </c>
      <c r="T78" s="14">
        <f>T21/T$57</f>
        <v/>
      </c>
      <c r="U78" s="14">
        <f>U21/U$57</f>
        <v/>
      </c>
      <c r="V78" s="14">
        <f>V21/V$57</f>
        <v/>
      </c>
      <c r="W78" s="14">
        <f>W21/W$57</f>
        <v/>
      </c>
    </row>
    <row r="79">
      <c r="A79" s="10" t="n">
        <v>0.2916666666666667</v>
      </c>
      <c r="B79" s="14">
        <f>B22/B$57</f>
        <v/>
      </c>
      <c r="C79" s="14">
        <f>C22/C$57</f>
        <v/>
      </c>
      <c r="D79" s="14">
        <f>D22/D$57</f>
        <v/>
      </c>
      <c r="E79" s="14">
        <f>E22/E$57</f>
        <v/>
      </c>
      <c r="F79" s="14">
        <f>F22/F$57</f>
        <v/>
      </c>
      <c r="G79" s="14">
        <f>G22/G$57</f>
        <v/>
      </c>
      <c r="H79" s="14">
        <f>H22/H$57</f>
        <v/>
      </c>
      <c r="I79" s="14">
        <f>I22/I$57</f>
        <v/>
      </c>
      <c r="J79" s="14">
        <f>J22/J$57</f>
        <v/>
      </c>
      <c r="K79" s="14">
        <f>K22/K$57</f>
        <v/>
      </c>
      <c r="L79" s="14" t="n"/>
      <c r="M79" s="10" t="n">
        <v>0.2916666666666667</v>
      </c>
      <c r="N79" s="14">
        <f>N22/N$57</f>
        <v/>
      </c>
      <c r="O79" s="14">
        <f>O22/O$57</f>
        <v/>
      </c>
      <c r="P79" s="14">
        <f>P22/P$57</f>
        <v/>
      </c>
      <c r="Q79" s="14">
        <f>Q22/Q$57</f>
        <v/>
      </c>
      <c r="R79" s="14">
        <f>R22/R$57</f>
        <v/>
      </c>
      <c r="S79" s="14">
        <f>S22/S$57</f>
        <v/>
      </c>
      <c r="T79" s="14">
        <f>T22/T$57</f>
        <v/>
      </c>
      <c r="U79" s="14">
        <f>U22/U$57</f>
        <v/>
      </c>
      <c r="V79" s="14">
        <f>V22/V$57</f>
        <v/>
      </c>
      <c r="W79" s="14">
        <f>W22/W$57</f>
        <v/>
      </c>
    </row>
    <row r="80">
      <c r="A80" s="10" t="n">
        <v>0.3125</v>
      </c>
      <c r="B80" s="14">
        <f>B23/B$57</f>
        <v/>
      </c>
      <c r="C80" s="14">
        <f>C23/C$57</f>
        <v/>
      </c>
      <c r="D80" s="14">
        <f>D23/D$57</f>
        <v/>
      </c>
      <c r="E80" s="14">
        <f>E23/E$57</f>
        <v/>
      </c>
      <c r="F80" s="14">
        <f>F23/F$57</f>
        <v/>
      </c>
      <c r="G80" s="14">
        <f>G23/G$57</f>
        <v/>
      </c>
      <c r="H80" s="14">
        <f>H23/H$57</f>
        <v/>
      </c>
      <c r="I80" s="14">
        <f>I23/I$57</f>
        <v/>
      </c>
      <c r="J80" s="14">
        <f>J23/J$57</f>
        <v/>
      </c>
      <c r="K80" s="14">
        <f>K23/K$57</f>
        <v/>
      </c>
      <c r="L80" s="14" t="n"/>
      <c r="M80" s="10" t="n">
        <v>0.3125</v>
      </c>
      <c r="N80" s="14">
        <f>N23/N$57</f>
        <v/>
      </c>
      <c r="O80" s="14">
        <f>O23/O$57</f>
        <v/>
      </c>
      <c r="P80" s="14">
        <f>P23/P$57</f>
        <v/>
      </c>
      <c r="Q80" s="14">
        <f>Q23/Q$57</f>
        <v/>
      </c>
      <c r="R80" s="14">
        <f>R23/R$57</f>
        <v/>
      </c>
      <c r="S80" s="14">
        <f>S23/S$57</f>
        <v/>
      </c>
      <c r="T80" s="14">
        <f>T23/T$57</f>
        <v/>
      </c>
      <c r="U80" s="14">
        <f>U23/U$57</f>
        <v/>
      </c>
      <c r="V80" s="14">
        <f>V23/V$57</f>
        <v/>
      </c>
      <c r="W80" s="14">
        <f>W23/W$57</f>
        <v/>
      </c>
    </row>
    <row r="81">
      <c r="A81" s="10" t="n">
        <v>0.3333333333333333</v>
      </c>
      <c r="B81" s="14">
        <f>B24/B$57</f>
        <v/>
      </c>
      <c r="C81" s="14">
        <f>C24/C$57</f>
        <v/>
      </c>
      <c r="D81" s="14">
        <f>D24/D$57</f>
        <v/>
      </c>
      <c r="E81" s="14">
        <f>E24/E$57</f>
        <v/>
      </c>
      <c r="F81" s="14">
        <f>F24/F$57</f>
        <v/>
      </c>
      <c r="G81" s="14">
        <f>G24/G$57</f>
        <v/>
      </c>
      <c r="H81" s="14">
        <f>H24/H$57</f>
        <v/>
      </c>
      <c r="I81" s="14">
        <f>I24/I$57</f>
        <v/>
      </c>
      <c r="J81" s="14">
        <f>J24/J$57</f>
        <v/>
      </c>
      <c r="K81" s="14">
        <f>K24/K$57</f>
        <v/>
      </c>
      <c r="L81" s="14" t="n"/>
      <c r="M81" s="10" t="n">
        <v>0.3333333333333333</v>
      </c>
      <c r="N81" s="14">
        <f>N24/N$57</f>
        <v/>
      </c>
      <c r="O81" s="14">
        <f>O24/O$57</f>
        <v/>
      </c>
      <c r="P81" s="14">
        <f>P24/P$57</f>
        <v/>
      </c>
      <c r="Q81" s="14">
        <f>Q24/Q$57</f>
        <v/>
      </c>
      <c r="R81" s="14">
        <f>R24/R$57</f>
        <v/>
      </c>
      <c r="S81" s="14">
        <f>S24/S$57</f>
        <v/>
      </c>
      <c r="T81" s="14">
        <f>T24/T$57</f>
        <v/>
      </c>
      <c r="U81" s="14">
        <f>U24/U$57</f>
        <v/>
      </c>
      <c r="V81" s="14">
        <f>V24/V$57</f>
        <v/>
      </c>
      <c r="W81" s="14">
        <f>W24/W$57</f>
        <v/>
      </c>
    </row>
    <row r="82">
      <c r="A82" s="10" t="n">
        <v>0.3541666666666667</v>
      </c>
      <c r="B82" s="14">
        <f>B25/B$57</f>
        <v/>
      </c>
      <c r="C82" s="14">
        <f>C25/C$57</f>
        <v/>
      </c>
      <c r="D82" s="14">
        <f>D25/D$57</f>
        <v/>
      </c>
      <c r="E82" s="14">
        <f>E25/E$57</f>
        <v/>
      </c>
      <c r="F82" s="14">
        <f>F25/F$57</f>
        <v/>
      </c>
      <c r="G82" s="14">
        <f>G25/G$57</f>
        <v/>
      </c>
      <c r="H82" s="14">
        <f>H25/H$57</f>
        <v/>
      </c>
      <c r="I82" s="14">
        <f>I25/I$57</f>
        <v/>
      </c>
      <c r="J82" s="14">
        <f>J25/J$57</f>
        <v/>
      </c>
      <c r="K82" s="14">
        <f>K25/K$57</f>
        <v/>
      </c>
      <c r="L82" s="14" t="n"/>
      <c r="M82" s="10" t="n">
        <v>0.3541666666666667</v>
      </c>
      <c r="N82" s="14">
        <f>N25/N$57</f>
        <v/>
      </c>
      <c r="O82" s="14">
        <f>O25/O$57</f>
        <v/>
      </c>
      <c r="P82" s="14">
        <f>P25/P$57</f>
        <v/>
      </c>
      <c r="Q82" s="14">
        <f>Q25/Q$57</f>
        <v/>
      </c>
      <c r="R82" s="14">
        <f>R25/R$57</f>
        <v/>
      </c>
      <c r="S82" s="14">
        <f>S25/S$57</f>
        <v/>
      </c>
      <c r="T82" s="14">
        <f>T25/T$57</f>
        <v/>
      </c>
      <c r="U82" s="14">
        <f>U25/U$57</f>
        <v/>
      </c>
      <c r="V82" s="14">
        <f>V25/V$57</f>
        <v/>
      </c>
      <c r="W82" s="14">
        <f>W25/W$57</f>
        <v/>
      </c>
    </row>
    <row r="83">
      <c r="A83" s="10" t="n">
        <v>0.375</v>
      </c>
      <c r="B83" s="14">
        <f>B26/B$57</f>
        <v/>
      </c>
      <c r="C83" s="14">
        <f>C26/C$57</f>
        <v/>
      </c>
      <c r="D83" s="14">
        <f>D26/D$57</f>
        <v/>
      </c>
      <c r="E83" s="14">
        <f>E26/E$57</f>
        <v/>
      </c>
      <c r="F83" s="14">
        <f>F26/F$57</f>
        <v/>
      </c>
      <c r="G83" s="14">
        <f>G26/G$57</f>
        <v/>
      </c>
      <c r="H83" s="14">
        <f>H26/H$57</f>
        <v/>
      </c>
      <c r="I83" s="14">
        <f>I26/I$57</f>
        <v/>
      </c>
      <c r="J83" s="14">
        <f>J26/J$57</f>
        <v/>
      </c>
      <c r="K83" s="14">
        <f>K26/K$57</f>
        <v/>
      </c>
      <c r="L83" s="14" t="n"/>
      <c r="M83" s="10" t="n">
        <v>0.375</v>
      </c>
      <c r="N83" s="14">
        <f>N26/N$57</f>
        <v/>
      </c>
      <c r="O83" s="14">
        <f>O26/O$57</f>
        <v/>
      </c>
      <c r="P83" s="14">
        <f>P26/P$57</f>
        <v/>
      </c>
      <c r="Q83" s="14">
        <f>Q26/Q$57</f>
        <v/>
      </c>
      <c r="R83" s="14">
        <f>R26/R$57</f>
        <v/>
      </c>
      <c r="S83" s="14">
        <f>S26/S$57</f>
        <v/>
      </c>
      <c r="T83" s="14">
        <f>T26/T$57</f>
        <v/>
      </c>
      <c r="U83" s="14">
        <f>U26/U$57</f>
        <v/>
      </c>
      <c r="V83" s="14">
        <f>V26/V$57</f>
        <v/>
      </c>
      <c r="W83" s="14">
        <f>W26/W$57</f>
        <v/>
      </c>
    </row>
    <row r="84">
      <c r="A84" s="10" t="n">
        <v>0.3958333333333333</v>
      </c>
      <c r="B84" s="14">
        <f>B27/B$57</f>
        <v/>
      </c>
      <c r="C84" s="14">
        <f>C27/C$57</f>
        <v/>
      </c>
      <c r="D84" s="14">
        <f>D27/D$57</f>
        <v/>
      </c>
      <c r="E84" s="14">
        <f>E27/E$57</f>
        <v/>
      </c>
      <c r="F84" s="14">
        <f>F27/F$57</f>
        <v/>
      </c>
      <c r="G84" s="14">
        <f>G27/G$57</f>
        <v/>
      </c>
      <c r="H84" s="14">
        <f>H27/H$57</f>
        <v/>
      </c>
      <c r="I84" s="14">
        <f>I27/I$57</f>
        <v/>
      </c>
      <c r="J84" s="14">
        <f>J27/J$57</f>
        <v/>
      </c>
      <c r="K84" s="14">
        <f>K27/K$57</f>
        <v/>
      </c>
      <c r="L84" s="14" t="n"/>
      <c r="M84" s="10" t="n">
        <v>0.3958333333333333</v>
      </c>
      <c r="N84" s="14">
        <f>N27/N$57</f>
        <v/>
      </c>
      <c r="O84" s="14">
        <f>O27/O$57</f>
        <v/>
      </c>
      <c r="P84" s="14">
        <f>P27/P$57</f>
        <v/>
      </c>
      <c r="Q84" s="14">
        <f>Q27/Q$57</f>
        <v/>
      </c>
      <c r="R84" s="14">
        <f>R27/R$57</f>
        <v/>
      </c>
      <c r="S84" s="14">
        <f>S27/S$57</f>
        <v/>
      </c>
      <c r="T84" s="14">
        <f>T27/T$57</f>
        <v/>
      </c>
      <c r="U84" s="14">
        <f>U27/U$57</f>
        <v/>
      </c>
      <c r="V84" s="14">
        <f>V27/V$57</f>
        <v/>
      </c>
      <c r="W84" s="14">
        <f>W27/W$57</f>
        <v/>
      </c>
    </row>
    <row r="85">
      <c r="A85" s="10" t="n">
        <v>0.4166666666666667</v>
      </c>
      <c r="B85" s="14">
        <f>B28/B$57</f>
        <v/>
      </c>
      <c r="C85" s="14">
        <f>C28/C$57</f>
        <v/>
      </c>
      <c r="D85" s="14">
        <f>D28/D$57</f>
        <v/>
      </c>
      <c r="E85" s="14">
        <f>E28/E$57</f>
        <v/>
      </c>
      <c r="F85" s="14">
        <f>F28/F$57</f>
        <v/>
      </c>
      <c r="G85" s="14">
        <f>G28/G$57</f>
        <v/>
      </c>
      <c r="H85" s="14">
        <f>H28/H$57</f>
        <v/>
      </c>
      <c r="I85" s="14">
        <f>I28/I$57</f>
        <v/>
      </c>
      <c r="J85" s="14">
        <f>J28/J$57</f>
        <v/>
      </c>
      <c r="K85" s="14">
        <f>K28/K$57</f>
        <v/>
      </c>
      <c r="L85" s="14" t="n"/>
      <c r="M85" s="10" t="n">
        <v>0.4166666666666667</v>
      </c>
      <c r="N85" s="14">
        <f>N28/N$57</f>
        <v/>
      </c>
      <c r="O85" s="14">
        <f>O28/O$57</f>
        <v/>
      </c>
      <c r="P85" s="14">
        <f>P28/P$57</f>
        <v/>
      </c>
      <c r="Q85" s="14">
        <f>Q28/Q$57</f>
        <v/>
      </c>
      <c r="R85" s="14">
        <f>R28/R$57</f>
        <v/>
      </c>
      <c r="S85" s="14">
        <f>S28/S$57</f>
        <v/>
      </c>
      <c r="T85" s="14">
        <f>T28/T$57</f>
        <v/>
      </c>
      <c r="U85" s="14">
        <f>U28/U$57</f>
        <v/>
      </c>
      <c r="V85" s="14">
        <f>V28/V$57</f>
        <v/>
      </c>
      <c r="W85" s="14">
        <f>W28/W$57</f>
        <v/>
      </c>
    </row>
    <row r="86">
      <c r="A86" s="10" t="n">
        <v>0.4375</v>
      </c>
      <c r="B86" s="14">
        <f>B29/B$57</f>
        <v/>
      </c>
      <c r="C86" s="14">
        <f>C29/C$57</f>
        <v/>
      </c>
      <c r="D86" s="14">
        <f>D29/D$57</f>
        <v/>
      </c>
      <c r="E86" s="14">
        <f>E29/E$57</f>
        <v/>
      </c>
      <c r="F86" s="14">
        <f>F29/F$57</f>
        <v/>
      </c>
      <c r="G86" s="14">
        <f>G29/G$57</f>
        <v/>
      </c>
      <c r="H86" s="14">
        <f>H29/H$57</f>
        <v/>
      </c>
      <c r="I86" s="14">
        <f>I29/I$57</f>
        <v/>
      </c>
      <c r="J86" s="14">
        <f>J29/J$57</f>
        <v/>
      </c>
      <c r="K86" s="14">
        <f>K29/K$57</f>
        <v/>
      </c>
      <c r="L86" s="14" t="n"/>
      <c r="M86" s="10" t="n">
        <v>0.4375</v>
      </c>
      <c r="N86" s="14">
        <f>N29/N$57</f>
        <v/>
      </c>
      <c r="O86" s="14">
        <f>O29/O$57</f>
        <v/>
      </c>
      <c r="P86" s="14">
        <f>P29/P$57</f>
        <v/>
      </c>
      <c r="Q86" s="14">
        <f>Q29/Q$57</f>
        <v/>
      </c>
      <c r="R86" s="14">
        <f>R29/R$57</f>
        <v/>
      </c>
      <c r="S86" s="14">
        <f>S29/S$57</f>
        <v/>
      </c>
      <c r="T86" s="14">
        <f>T29/T$57</f>
        <v/>
      </c>
      <c r="U86" s="14">
        <f>U29/U$57</f>
        <v/>
      </c>
      <c r="V86" s="14">
        <f>V29/V$57</f>
        <v/>
      </c>
      <c r="W86" s="14">
        <f>W29/W$57</f>
        <v/>
      </c>
    </row>
    <row r="87">
      <c r="A87" s="10" t="n">
        <v>0.4583333333333333</v>
      </c>
      <c r="B87" s="14">
        <f>B30/B$57</f>
        <v/>
      </c>
      <c r="C87" s="14">
        <f>C30/C$57</f>
        <v/>
      </c>
      <c r="D87" s="14">
        <f>D30/D$57</f>
        <v/>
      </c>
      <c r="E87" s="14">
        <f>E30/E$57</f>
        <v/>
      </c>
      <c r="F87" s="14">
        <f>F30/F$57</f>
        <v/>
      </c>
      <c r="G87" s="14">
        <f>G30/G$57</f>
        <v/>
      </c>
      <c r="H87" s="14">
        <f>H30/H$57</f>
        <v/>
      </c>
      <c r="I87" s="14">
        <f>I30/I$57</f>
        <v/>
      </c>
      <c r="J87" s="14">
        <f>J30/J$57</f>
        <v/>
      </c>
      <c r="K87" s="14">
        <f>K30/K$57</f>
        <v/>
      </c>
      <c r="L87" s="14" t="n"/>
      <c r="M87" s="10" t="n">
        <v>0.4583333333333333</v>
      </c>
      <c r="N87" s="14">
        <f>N30/N$57</f>
        <v/>
      </c>
      <c r="O87" s="14">
        <f>O30/O$57</f>
        <v/>
      </c>
      <c r="P87" s="14">
        <f>P30/P$57</f>
        <v/>
      </c>
      <c r="Q87" s="14">
        <f>Q30/Q$57</f>
        <v/>
      </c>
      <c r="R87" s="14">
        <f>R30/R$57</f>
        <v/>
      </c>
      <c r="S87" s="14">
        <f>S30/S$57</f>
        <v/>
      </c>
      <c r="T87" s="14">
        <f>T30/T$57</f>
        <v/>
      </c>
      <c r="U87" s="14">
        <f>U30/U$57</f>
        <v/>
      </c>
      <c r="V87" s="14">
        <f>V30/V$57</f>
        <v/>
      </c>
      <c r="W87" s="14">
        <f>W30/W$57</f>
        <v/>
      </c>
    </row>
    <row r="88">
      <c r="A88" s="10" t="n">
        <v>0.4791666666666667</v>
      </c>
      <c r="B88" s="14">
        <f>B31/B$57</f>
        <v/>
      </c>
      <c r="C88" s="14">
        <f>C31/C$57</f>
        <v/>
      </c>
      <c r="D88" s="14">
        <f>D31/D$57</f>
        <v/>
      </c>
      <c r="E88" s="14">
        <f>E31/E$57</f>
        <v/>
      </c>
      <c r="F88" s="14">
        <f>F31/F$57</f>
        <v/>
      </c>
      <c r="G88" s="14">
        <f>G31/G$57</f>
        <v/>
      </c>
      <c r="H88" s="14">
        <f>H31/H$57</f>
        <v/>
      </c>
      <c r="I88" s="14">
        <f>I31/I$57</f>
        <v/>
      </c>
      <c r="J88" s="14">
        <f>J31/J$57</f>
        <v/>
      </c>
      <c r="K88" s="14">
        <f>K31/K$57</f>
        <v/>
      </c>
      <c r="L88" s="14" t="n"/>
      <c r="M88" s="10" t="n">
        <v>0.4791666666666667</v>
      </c>
      <c r="N88" s="14">
        <f>N31/N$57</f>
        <v/>
      </c>
      <c r="O88" s="14">
        <f>O31/O$57</f>
        <v/>
      </c>
      <c r="P88" s="14">
        <f>P31/P$57</f>
        <v/>
      </c>
      <c r="Q88" s="14">
        <f>Q31/Q$57</f>
        <v/>
      </c>
      <c r="R88" s="14">
        <f>R31/R$57</f>
        <v/>
      </c>
      <c r="S88" s="14">
        <f>S31/S$57</f>
        <v/>
      </c>
      <c r="T88" s="14">
        <f>T31/T$57</f>
        <v/>
      </c>
      <c r="U88" s="14">
        <f>U31/U$57</f>
        <v/>
      </c>
      <c r="V88" s="14">
        <f>V31/V$57</f>
        <v/>
      </c>
      <c r="W88" s="14">
        <f>W31/W$57</f>
        <v/>
      </c>
    </row>
    <row r="89">
      <c r="A89" s="10" t="n">
        <v>0.5</v>
      </c>
      <c r="B89" s="14">
        <f>B32/B$57</f>
        <v/>
      </c>
      <c r="C89" s="14">
        <f>C32/C$57</f>
        <v/>
      </c>
      <c r="D89" s="14">
        <f>D32/D$57</f>
        <v/>
      </c>
      <c r="E89" s="14">
        <f>E32/E$57</f>
        <v/>
      </c>
      <c r="F89" s="14">
        <f>F32/F$57</f>
        <v/>
      </c>
      <c r="G89" s="14">
        <f>G32/G$57</f>
        <v/>
      </c>
      <c r="H89" s="14">
        <f>H32/H$57</f>
        <v/>
      </c>
      <c r="I89" s="14">
        <f>I32/I$57</f>
        <v/>
      </c>
      <c r="J89" s="14">
        <f>J32/J$57</f>
        <v/>
      </c>
      <c r="K89" s="14">
        <f>K32/K$57</f>
        <v/>
      </c>
      <c r="L89" s="14" t="n"/>
      <c r="M89" s="10" t="n">
        <v>0.5</v>
      </c>
      <c r="N89" s="14">
        <f>N32/N$57</f>
        <v/>
      </c>
      <c r="O89" s="14">
        <f>O32/O$57</f>
        <v/>
      </c>
      <c r="P89" s="14">
        <f>P32/P$57</f>
        <v/>
      </c>
      <c r="Q89" s="14">
        <f>Q32/Q$57</f>
        <v/>
      </c>
      <c r="R89" s="14">
        <f>R32/R$57</f>
        <v/>
      </c>
      <c r="S89" s="14">
        <f>S32/S$57</f>
        <v/>
      </c>
      <c r="T89" s="14">
        <f>T32/T$57</f>
        <v/>
      </c>
      <c r="U89" s="14">
        <f>U32/U$57</f>
        <v/>
      </c>
      <c r="V89" s="14">
        <f>V32/V$57</f>
        <v/>
      </c>
      <c r="W89" s="14">
        <f>W32/W$57</f>
        <v/>
      </c>
    </row>
    <row r="90">
      <c r="A90" s="10" t="n">
        <v>0.5208333333333334</v>
      </c>
      <c r="B90" s="14">
        <f>B33/B$57</f>
        <v/>
      </c>
      <c r="C90" s="14">
        <f>C33/C$57</f>
        <v/>
      </c>
      <c r="D90" s="14">
        <f>D33/D$57</f>
        <v/>
      </c>
      <c r="E90" s="14">
        <f>E33/E$57</f>
        <v/>
      </c>
      <c r="F90" s="14">
        <f>F33/F$57</f>
        <v/>
      </c>
      <c r="G90" s="14">
        <f>G33/G$57</f>
        <v/>
      </c>
      <c r="H90" s="14">
        <f>H33/H$57</f>
        <v/>
      </c>
      <c r="I90" s="14">
        <f>I33/I$57</f>
        <v/>
      </c>
      <c r="J90" s="14">
        <f>J33/J$57</f>
        <v/>
      </c>
      <c r="K90" s="14">
        <f>K33/K$57</f>
        <v/>
      </c>
      <c r="L90" s="14" t="n"/>
      <c r="M90" s="10" t="n">
        <v>0.5208333333333334</v>
      </c>
      <c r="N90" s="14">
        <f>N33/N$57</f>
        <v/>
      </c>
      <c r="O90" s="14">
        <f>O33/O$57</f>
        <v/>
      </c>
      <c r="P90" s="14">
        <f>P33/P$57</f>
        <v/>
      </c>
      <c r="Q90" s="14">
        <f>Q33/Q$57</f>
        <v/>
      </c>
      <c r="R90" s="14">
        <f>R33/R$57</f>
        <v/>
      </c>
      <c r="S90" s="14">
        <f>S33/S$57</f>
        <v/>
      </c>
      <c r="T90" s="14">
        <f>T33/T$57</f>
        <v/>
      </c>
      <c r="U90" s="14">
        <f>U33/U$57</f>
        <v/>
      </c>
      <c r="V90" s="14">
        <f>V33/V$57</f>
        <v/>
      </c>
      <c r="W90" s="14">
        <f>W33/W$57</f>
        <v/>
      </c>
    </row>
    <row r="91">
      <c r="A91" s="10" t="n">
        <v>0.5416666666666666</v>
      </c>
      <c r="B91" s="14">
        <f>B34/B$57</f>
        <v/>
      </c>
      <c r="C91" s="14">
        <f>C34/C$57</f>
        <v/>
      </c>
      <c r="D91" s="14">
        <f>D34/D$57</f>
        <v/>
      </c>
      <c r="E91" s="14">
        <f>E34/E$57</f>
        <v/>
      </c>
      <c r="F91" s="14">
        <f>F34/F$57</f>
        <v/>
      </c>
      <c r="G91" s="14">
        <f>G34/G$57</f>
        <v/>
      </c>
      <c r="H91" s="14">
        <f>H34/H$57</f>
        <v/>
      </c>
      <c r="I91" s="14">
        <f>I34/I$57</f>
        <v/>
      </c>
      <c r="J91" s="14">
        <f>J34/J$57</f>
        <v/>
      </c>
      <c r="K91" s="14">
        <f>K34/K$57</f>
        <v/>
      </c>
      <c r="L91" s="14" t="n"/>
      <c r="M91" s="10" t="n">
        <v>0.5416666666666666</v>
      </c>
      <c r="N91" s="14">
        <f>N34/N$57</f>
        <v/>
      </c>
      <c r="O91" s="14">
        <f>O34/O$57</f>
        <v/>
      </c>
      <c r="P91" s="14">
        <f>P34/P$57</f>
        <v/>
      </c>
      <c r="Q91" s="14">
        <f>Q34/Q$57</f>
        <v/>
      </c>
      <c r="R91" s="14">
        <f>R34/R$57</f>
        <v/>
      </c>
      <c r="S91" s="14">
        <f>S34/S$57</f>
        <v/>
      </c>
      <c r="T91" s="14">
        <f>T34/T$57</f>
        <v/>
      </c>
      <c r="U91" s="14">
        <f>U34/U$57</f>
        <v/>
      </c>
      <c r="V91" s="14">
        <f>V34/V$57</f>
        <v/>
      </c>
      <c r="W91" s="14">
        <f>W34/W$57</f>
        <v/>
      </c>
    </row>
    <row r="92">
      <c r="A92" s="10" t="n">
        <v>0.5625</v>
      </c>
      <c r="B92" s="14">
        <f>B35/B$57</f>
        <v/>
      </c>
      <c r="C92" s="14">
        <f>C35/C$57</f>
        <v/>
      </c>
      <c r="D92" s="14">
        <f>D35/D$57</f>
        <v/>
      </c>
      <c r="E92" s="14">
        <f>E35/E$57</f>
        <v/>
      </c>
      <c r="F92" s="14">
        <f>F35/F$57</f>
        <v/>
      </c>
      <c r="G92" s="14">
        <f>G35/G$57</f>
        <v/>
      </c>
      <c r="H92" s="14">
        <f>H35/H$57</f>
        <v/>
      </c>
      <c r="I92" s="14">
        <f>I35/I$57</f>
        <v/>
      </c>
      <c r="J92" s="14">
        <f>J35/J$57</f>
        <v/>
      </c>
      <c r="K92" s="14">
        <f>K35/K$57</f>
        <v/>
      </c>
      <c r="L92" s="14" t="n"/>
      <c r="M92" s="10" t="n">
        <v>0.5625</v>
      </c>
      <c r="N92" s="14">
        <f>N35/N$57</f>
        <v/>
      </c>
      <c r="O92" s="14">
        <f>O35/O$57</f>
        <v/>
      </c>
      <c r="P92" s="14">
        <f>P35/P$57</f>
        <v/>
      </c>
      <c r="Q92" s="14">
        <f>Q35/Q$57</f>
        <v/>
      </c>
      <c r="R92" s="14">
        <f>R35/R$57</f>
        <v/>
      </c>
      <c r="S92" s="14">
        <f>S35/S$57</f>
        <v/>
      </c>
      <c r="T92" s="14">
        <f>T35/T$57</f>
        <v/>
      </c>
      <c r="U92" s="14">
        <f>U35/U$57</f>
        <v/>
      </c>
      <c r="V92" s="14">
        <f>V35/V$57</f>
        <v/>
      </c>
      <c r="W92" s="14">
        <f>W35/W$57</f>
        <v/>
      </c>
    </row>
    <row r="93">
      <c r="A93" s="10" t="n">
        <v>0.5833333333333334</v>
      </c>
      <c r="B93" s="14">
        <f>B36/B$57</f>
        <v/>
      </c>
      <c r="C93" s="14">
        <f>C36/C$57</f>
        <v/>
      </c>
      <c r="D93" s="14">
        <f>D36/D$57</f>
        <v/>
      </c>
      <c r="E93" s="14">
        <f>E36/E$57</f>
        <v/>
      </c>
      <c r="F93" s="14">
        <f>F36/F$57</f>
        <v/>
      </c>
      <c r="G93" s="14">
        <f>G36/G$57</f>
        <v/>
      </c>
      <c r="H93" s="14">
        <f>H36/H$57</f>
        <v/>
      </c>
      <c r="I93" s="14">
        <f>I36/I$57</f>
        <v/>
      </c>
      <c r="J93" s="14">
        <f>J36/J$57</f>
        <v/>
      </c>
      <c r="K93" s="14">
        <f>K36/K$57</f>
        <v/>
      </c>
      <c r="L93" s="14" t="n"/>
      <c r="M93" s="10" t="n">
        <v>0.5833333333333334</v>
      </c>
      <c r="N93" s="14">
        <f>N36/N$57</f>
        <v/>
      </c>
      <c r="O93" s="14">
        <f>O36/O$57</f>
        <v/>
      </c>
      <c r="P93" s="14">
        <f>P36/P$57</f>
        <v/>
      </c>
      <c r="Q93" s="14">
        <f>Q36/Q$57</f>
        <v/>
      </c>
      <c r="R93" s="14">
        <f>R36/R$57</f>
        <v/>
      </c>
      <c r="S93" s="14">
        <f>S36/S$57</f>
        <v/>
      </c>
      <c r="T93" s="14">
        <f>T36/T$57</f>
        <v/>
      </c>
      <c r="U93" s="14">
        <f>U36/U$57</f>
        <v/>
      </c>
      <c r="V93" s="14">
        <f>V36/V$57</f>
        <v/>
      </c>
      <c r="W93" s="14">
        <f>W36/W$57</f>
        <v/>
      </c>
    </row>
    <row r="94">
      <c r="A94" s="10" t="n">
        <v>0.6041666666666666</v>
      </c>
      <c r="B94" s="14">
        <f>B37/B$57</f>
        <v/>
      </c>
      <c r="C94" s="14">
        <f>C37/C$57</f>
        <v/>
      </c>
      <c r="D94" s="14">
        <f>D37/D$57</f>
        <v/>
      </c>
      <c r="E94" s="14">
        <f>E37/E$57</f>
        <v/>
      </c>
      <c r="F94" s="14">
        <f>F37/F$57</f>
        <v/>
      </c>
      <c r="G94" s="14">
        <f>G37/G$57</f>
        <v/>
      </c>
      <c r="H94" s="14">
        <f>H37/H$57</f>
        <v/>
      </c>
      <c r="I94" s="14">
        <f>I37/I$57</f>
        <v/>
      </c>
      <c r="J94" s="14">
        <f>J37/J$57</f>
        <v/>
      </c>
      <c r="K94" s="14">
        <f>K37/K$57</f>
        <v/>
      </c>
      <c r="L94" s="14" t="n"/>
      <c r="M94" s="10" t="n">
        <v>0.6041666666666666</v>
      </c>
      <c r="N94" s="14">
        <f>N37/N$57</f>
        <v/>
      </c>
      <c r="O94" s="14">
        <f>O37/O$57</f>
        <v/>
      </c>
      <c r="P94" s="14">
        <f>P37/P$57</f>
        <v/>
      </c>
      <c r="Q94" s="14">
        <f>Q37/Q$57</f>
        <v/>
      </c>
      <c r="R94" s="14">
        <f>R37/R$57</f>
        <v/>
      </c>
      <c r="S94" s="14">
        <f>S37/S$57</f>
        <v/>
      </c>
      <c r="T94" s="14">
        <f>T37/T$57</f>
        <v/>
      </c>
      <c r="U94" s="14">
        <f>U37/U$57</f>
        <v/>
      </c>
      <c r="V94" s="14">
        <f>V37/V$57</f>
        <v/>
      </c>
      <c r="W94" s="14">
        <f>W37/W$57</f>
        <v/>
      </c>
    </row>
    <row r="95">
      <c r="A95" s="10" t="n">
        <v>0.625</v>
      </c>
      <c r="B95" s="14">
        <f>B38/B$57</f>
        <v/>
      </c>
      <c r="C95" s="14">
        <f>C38/C$57</f>
        <v/>
      </c>
      <c r="D95" s="14">
        <f>D38/D$57</f>
        <v/>
      </c>
      <c r="E95" s="14">
        <f>E38/E$57</f>
        <v/>
      </c>
      <c r="F95" s="14">
        <f>F38/F$57</f>
        <v/>
      </c>
      <c r="G95" s="14">
        <f>G38/G$57</f>
        <v/>
      </c>
      <c r="H95" s="14">
        <f>H38/H$57</f>
        <v/>
      </c>
      <c r="I95" s="14">
        <f>I38/I$57</f>
        <v/>
      </c>
      <c r="J95" s="14">
        <f>J38/J$57</f>
        <v/>
      </c>
      <c r="K95" s="14">
        <f>K38/K$57</f>
        <v/>
      </c>
      <c r="L95" s="14" t="n"/>
      <c r="M95" s="10" t="n">
        <v>0.625</v>
      </c>
      <c r="N95" s="14">
        <f>N38/N$57</f>
        <v/>
      </c>
      <c r="O95" s="14">
        <f>O38/O$57</f>
        <v/>
      </c>
      <c r="P95" s="14">
        <f>P38/P$57</f>
        <v/>
      </c>
      <c r="Q95" s="14">
        <f>Q38/Q$57</f>
        <v/>
      </c>
      <c r="R95" s="14">
        <f>R38/R$57</f>
        <v/>
      </c>
      <c r="S95" s="14">
        <f>S38/S$57</f>
        <v/>
      </c>
      <c r="T95" s="14">
        <f>T38/T$57</f>
        <v/>
      </c>
      <c r="U95" s="14">
        <f>U38/U$57</f>
        <v/>
      </c>
      <c r="V95" s="14">
        <f>V38/V$57</f>
        <v/>
      </c>
      <c r="W95" s="14">
        <f>W38/W$57</f>
        <v/>
      </c>
    </row>
    <row r="96">
      <c r="A96" s="10" t="n">
        <v>0.6458333333333334</v>
      </c>
      <c r="B96" s="14">
        <f>B39/B$57</f>
        <v/>
      </c>
      <c r="C96" s="14">
        <f>C39/C$57</f>
        <v/>
      </c>
      <c r="D96" s="14">
        <f>D39/D$57</f>
        <v/>
      </c>
      <c r="E96" s="14">
        <f>E39/E$57</f>
        <v/>
      </c>
      <c r="F96" s="14">
        <f>F39/F$57</f>
        <v/>
      </c>
      <c r="G96" s="14">
        <f>G39/G$57</f>
        <v/>
      </c>
      <c r="H96" s="14">
        <f>H39/H$57</f>
        <v/>
      </c>
      <c r="I96" s="14">
        <f>I39/I$57</f>
        <v/>
      </c>
      <c r="J96" s="14">
        <f>J39/J$57</f>
        <v/>
      </c>
      <c r="K96" s="14">
        <f>K39/K$57</f>
        <v/>
      </c>
      <c r="L96" s="14" t="n"/>
      <c r="M96" s="10" t="n">
        <v>0.6458333333333334</v>
      </c>
      <c r="N96" s="14">
        <f>N39/N$57</f>
        <v/>
      </c>
      <c r="O96" s="14">
        <f>O39/O$57</f>
        <v/>
      </c>
      <c r="P96" s="14">
        <f>P39/P$57</f>
        <v/>
      </c>
      <c r="Q96" s="14">
        <f>Q39/Q$57</f>
        <v/>
      </c>
      <c r="R96" s="14">
        <f>R39/R$57</f>
        <v/>
      </c>
      <c r="S96" s="14">
        <f>S39/S$57</f>
        <v/>
      </c>
      <c r="T96" s="14">
        <f>T39/T$57</f>
        <v/>
      </c>
      <c r="U96" s="14">
        <f>U39/U$57</f>
        <v/>
      </c>
      <c r="V96" s="14">
        <f>V39/V$57</f>
        <v/>
      </c>
      <c r="W96" s="14">
        <f>W39/W$57</f>
        <v/>
      </c>
    </row>
    <row r="97">
      <c r="A97" s="10" t="n">
        <v>0.6666666666666666</v>
      </c>
      <c r="B97" s="14">
        <f>B40/B$57</f>
        <v/>
      </c>
      <c r="C97" s="14">
        <f>C40/C$57</f>
        <v/>
      </c>
      <c r="D97" s="14">
        <f>D40/D$57</f>
        <v/>
      </c>
      <c r="E97" s="14">
        <f>E40/E$57</f>
        <v/>
      </c>
      <c r="F97" s="14">
        <f>F40/F$57</f>
        <v/>
      </c>
      <c r="G97" s="14">
        <f>G40/G$57</f>
        <v/>
      </c>
      <c r="H97" s="14">
        <f>H40/H$57</f>
        <v/>
      </c>
      <c r="I97" s="14">
        <f>I40/I$57</f>
        <v/>
      </c>
      <c r="J97" s="14">
        <f>J40/J$57</f>
        <v/>
      </c>
      <c r="K97" s="14">
        <f>K40/K$57</f>
        <v/>
      </c>
      <c r="L97" s="14" t="n"/>
      <c r="M97" s="10" t="n">
        <v>0.6666666666666666</v>
      </c>
      <c r="N97" s="14">
        <f>N40/N$57</f>
        <v/>
      </c>
      <c r="O97" s="14">
        <f>O40/O$57</f>
        <v/>
      </c>
      <c r="P97" s="14">
        <f>P40/P$57</f>
        <v/>
      </c>
      <c r="Q97" s="14">
        <f>Q40/Q$57</f>
        <v/>
      </c>
      <c r="R97" s="14">
        <f>R40/R$57</f>
        <v/>
      </c>
      <c r="S97" s="14">
        <f>S40/S$57</f>
        <v/>
      </c>
      <c r="T97" s="14">
        <f>T40/T$57</f>
        <v/>
      </c>
      <c r="U97" s="14">
        <f>U40/U$57</f>
        <v/>
      </c>
      <c r="V97" s="14">
        <f>V40/V$57</f>
        <v/>
      </c>
      <c r="W97" s="14">
        <f>W40/W$57</f>
        <v/>
      </c>
    </row>
    <row r="98">
      <c r="A98" s="10" t="n">
        <v>0.6875</v>
      </c>
      <c r="B98" s="14">
        <f>B41/B$57</f>
        <v/>
      </c>
      <c r="C98" s="14">
        <f>C41/C$57</f>
        <v/>
      </c>
      <c r="D98" s="14">
        <f>D41/D$57</f>
        <v/>
      </c>
      <c r="E98" s="14">
        <f>E41/E$57</f>
        <v/>
      </c>
      <c r="F98" s="14">
        <f>F41/F$57</f>
        <v/>
      </c>
      <c r="G98" s="14">
        <f>G41/G$57</f>
        <v/>
      </c>
      <c r="H98" s="14">
        <f>H41/H$57</f>
        <v/>
      </c>
      <c r="I98" s="14">
        <f>I41/I$57</f>
        <v/>
      </c>
      <c r="J98" s="14">
        <f>J41/J$57</f>
        <v/>
      </c>
      <c r="K98" s="14">
        <f>K41/K$57</f>
        <v/>
      </c>
      <c r="L98" s="14" t="n"/>
      <c r="M98" s="10" t="n">
        <v>0.6875</v>
      </c>
      <c r="N98" s="14">
        <f>N41/N$57</f>
        <v/>
      </c>
      <c r="O98" s="14">
        <f>O41/O$57</f>
        <v/>
      </c>
      <c r="P98" s="14">
        <f>P41/P$57</f>
        <v/>
      </c>
      <c r="Q98" s="14">
        <f>Q41/Q$57</f>
        <v/>
      </c>
      <c r="R98" s="14">
        <f>R41/R$57</f>
        <v/>
      </c>
      <c r="S98" s="14">
        <f>S41/S$57</f>
        <v/>
      </c>
      <c r="T98" s="14">
        <f>T41/T$57</f>
        <v/>
      </c>
      <c r="U98" s="14">
        <f>U41/U$57</f>
        <v/>
      </c>
      <c r="V98" s="14">
        <f>V41/V$57</f>
        <v/>
      </c>
      <c r="W98" s="14">
        <f>W41/W$57</f>
        <v/>
      </c>
    </row>
    <row r="99">
      <c r="A99" s="10" t="n">
        <v>0.7083333333333334</v>
      </c>
      <c r="B99" s="14">
        <f>B42/B$57</f>
        <v/>
      </c>
      <c r="C99" s="14">
        <f>C42/C$57</f>
        <v/>
      </c>
      <c r="D99" s="14">
        <f>D42/D$57</f>
        <v/>
      </c>
      <c r="E99" s="14">
        <f>E42/E$57</f>
        <v/>
      </c>
      <c r="F99" s="14">
        <f>F42/F$57</f>
        <v/>
      </c>
      <c r="G99" s="14">
        <f>G42/G$57</f>
        <v/>
      </c>
      <c r="H99" s="14">
        <f>H42/H$57</f>
        <v/>
      </c>
      <c r="I99" s="14">
        <f>I42/I$57</f>
        <v/>
      </c>
      <c r="J99" s="14">
        <f>J42/J$57</f>
        <v/>
      </c>
      <c r="K99" s="14">
        <f>K42/K$57</f>
        <v/>
      </c>
      <c r="L99" s="14" t="n"/>
      <c r="M99" s="10" t="n">
        <v>0.7083333333333334</v>
      </c>
      <c r="N99" s="14">
        <f>N42/N$57</f>
        <v/>
      </c>
      <c r="O99" s="14">
        <f>O42/O$57</f>
        <v/>
      </c>
      <c r="P99" s="14">
        <f>P42/P$57</f>
        <v/>
      </c>
      <c r="Q99" s="14">
        <f>Q42/Q$57</f>
        <v/>
      </c>
      <c r="R99" s="14">
        <f>R42/R$57</f>
        <v/>
      </c>
      <c r="S99" s="14">
        <f>S42/S$57</f>
        <v/>
      </c>
      <c r="T99" s="14">
        <f>T42/T$57</f>
        <v/>
      </c>
      <c r="U99" s="14">
        <f>U42/U$57</f>
        <v/>
      </c>
      <c r="V99" s="14">
        <f>V42/V$57</f>
        <v/>
      </c>
      <c r="W99" s="14">
        <f>W42/W$57</f>
        <v/>
      </c>
    </row>
    <row r="100">
      <c r="A100" s="10" t="n">
        <v>0.7291666666666666</v>
      </c>
      <c r="B100" s="14">
        <f>B43/B$57</f>
        <v/>
      </c>
      <c r="C100" s="14">
        <f>C43/C$57</f>
        <v/>
      </c>
      <c r="D100" s="14">
        <f>D43/D$57</f>
        <v/>
      </c>
      <c r="E100" s="14">
        <f>E43/E$57</f>
        <v/>
      </c>
      <c r="F100" s="14">
        <f>F43/F$57</f>
        <v/>
      </c>
      <c r="G100" s="14">
        <f>G43/G$57</f>
        <v/>
      </c>
      <c r="H100" s="14">
        <f>H43/H$57</f>
        <v/>
      </c>
      <c r="I100" s="14">
        <f>I43/I$57</f>
        <v/>
      </c>
      <c r="J100" s="14">
        <f>J43/J$57</f>
        <v/>
      </c>
      <c r="K100" s="14">
        <f>K43/K$57</f>
        <v/>
      </c>
      <c r="L100" s="14" t="n"/>
      <c r="M100" s="10" t="n">
        <v>0.7291666666666666</v>
      </c>
      <c r="N100" s="14">
        <f>N43/N$57</f>
        <v/>
      </c>
      <c r="O100" s="14">
        <f>O43/O$57</f>
        <v/>
      </c>
      <c r="P100" s="14">
        <f>P43/P$57</f>
        <v/>
      </c>
      <c r="Q100" s="14">
        <f>Q43/Q$57</f>
        <v/>
      </c>
      <c r="R100" s="14">
        <f>R43/R$57</f>
        <v/>
      </c>
      <c r="S100" s="14">
        <f>S43/S$57</f>
        <v/>
      </c>
      <c r="T100" s="14">
        <f>T43/T$57</f>
        <v/>
      </c>
      <c r="U100" s="14">
        <f>U43/U$57</f>
        <v/>
      </c>
      <c r="V100" s="14">
        <f>V43/V$57</f>
        <v/>
      </c>
      <c r="W100" s="14">
        <f>W43/W$57</f>
        <v/>
      </c>
    </row>
    <row r="101">
      <c r="A101" s="10" t="n">
        <v>0.75</v>
      </c>
      <c r="B101" s="14">
        <f>B44/B$57</f>
        <v/>
      </c>
      <c r="C101" s="14">
        <f>C44/C$57</f>
        <v/>
      </c>
      <c r="D101" s="14">
        <f>D44/D$57</f>
        <v/>
      </c>
      <c r="E101" s="14">
        <f>E44/E$57</f>
        <v/>
      </c>
      <c r="F101" s="14">
        <f>F44/F$57</f>
        <v/>
      </c>
      <c r="G101" s="14">
        <f>G44/G$57</f>
        <v/>
      </c>
      <c r="H101" s="14">
        <f>H44/H$57</f>
        <v/>
      </c>
      <c r="I101" s="14">
        <f>I44/I$57</f>
        <v/>
      </c>
      <c r="J101" s="14">
        <f>J44/J$57</f>
        <v/>
      </c>
      <c r="K101" s="14">
        <f>K44/K$57</f>
        <v/>
      </c>
      <c r="L101" s="14" t="n"/>
      <c r="M101" s="10" t="n">
        <v>0.75</v>
      </c>
      <c r="N101" s="14">
        <f>N44/N$57</f>
        <v/>
      </c>
      <c r="O101" s="14">
        <f>O44/O$57</f>
        <v/>
      </c>
      <c r="P101" s="14">
        <f>P44/P$57</f>
        <v/>
      </c>
      <c r="Q101" s="14">
        <f>Q44/Q$57</f>
        <v/>
      </c>
      <c r="R101" s="14">
        <f>R44/R$57</f>
        <v/>
      </c>
      <c r="S101" s="14">
        <f>S44/S$57</f>
        <v/>
      </c>
      <c r="T101" s="14">
        <f>T44/T$57</f>
        <v/>
      </c>
      <c r="U101" s="14">
        <f>U44/U$57</f>
        <v/>
      </c>
      <c r="V101" s="14">
        <f>V44/V$57</f>
        <v/>
      </c>
      <c r="W101" s="14">
        <f>W44/W$57</f>
        <v/>
      </c>
    </row>
    <row r="102">
      <c r="A102" s="10" t="n">
        <v>0.7708333333333334</v>
      </c>
      <c r="B102" s="14">
        <f>B45/B$57</f>
        <v/>
      </c>
      <c r="C102" s="14">
        <f>C45/C$57</f>
        <v/>
      </c>
      <c r="D102" s="14">
        <f>D45/D$57</f>
        <v/>
      </c>
      <c r="E102" s="14">
        <f>E45/E$57</f>
        <v/>
      </c>
      <c r="F102" s="14">
        <f>F45/F$57</f>
        <v/>
      </c>
      <c r="G102" s="14">
        <f>G45/G$57</f>
        <v/>
      </c>
      <c r="H102" s="14">
        <f>H45/H$57</f>
        <v/>
      </c>
      <c r="I102" s="14">
        <f>I45/I$57</f>
        <v/>
      </c>
      <c r="J102" s="14">
        <f>J45/J$57</f>
        <v/>
      </c>
      <c r="K102" s="14">
        <f>K45/K$57</f>
        <v/>
      </c>
      <c r="L102" s="14" t="n"/>
      <c r="M102" s="10" t="n">
        <v>0.7708333333333334</v>
      </c>
      <c r="N102" s="14">
        <f>N45/N$57</f>
        <v/>
      </c>
      <c r="O102" s="14">
        <f>O45/O$57</f>
        <v/>
      </c>
      <c r="P102" s="14">
        <f>P45/P$57</f>
        <v/>
      </c>
      <c r="Q102" s="14">
        <f>Q45/Q$57</f>
        <v/>
      </c>
      <c r="R102" s="14">
        <f>R45/R$57</f>
        <v/>
      </c>
      <c r="S102" s="14">
        <f>S45/S$57</f>
        <v/>
      </c>
      <c r="T102" s="14">
        <f>T45/T$57</f>
        <v/>
      </c>
      <c r="U102" s="14">
        <f>U45/U$57</f>
        <v/>
      </c>
      <c r="V102" s="14">
        <f>V45/V$57</f>
        <v/>
      </c>
      <c r="W102" s="14">
        <f>W45/W$57</f>
        <v/>
      </c>
    </row>
    <row r="103">
      <c r="A103" s="10" t="n">
        <v>0.7916666666666666</v>
      </c>
      <c r="B103" s="14">
        <f>B46/B$57</f>
        <v/>
      </c>
      <c r="C103" s="14">
        <f>C46/C$57</f>
        <v/>
      </c>
      <c r="D103" s="14">
        <f>D46/D$57</f>
        <v/>
      </c>
      <c r="E103" s="14">
        <f>E46/E$57</f>
        <v/>
      </c>
      <c r="F103" s="14">
        <f>F46/F$57</f>
        <v/>
      </c>
      <c r="G103" s="14">
        <f>G46/G$57</f>
        <v/>
      </c>
      <c r="H103" s="14">
        <f>H46/H$57</f>
        <v/>
      </c>
      <c r="I103" s="14">
        <f>I46/I$57</f>
        <v/>
      </c>
      <c r="J103" s="14">
        <f>J46/J$57</f>
        <v/>
      </c>
      <c r="K103" s="14">
        <f>K46/K$57</f>
        <v/>
      </c>
      <c r="L103" s="14" t="n"/>
      <c r="M103" s="10" t="n">
        <v>0.7916666666666666</v>
      </c>
      <c r="N103" s="14">
        <f>N46/N$57</f>
        <v/>
      </c>
      <c r="O103" s="14">
        <f>O46/O$57</f>
        <v/>
      </c>
      <c r="P103" s="14">
        <f>P46/P$57</f>
        <v/>
      </c>
      <c r="Q103" s="14">
        <f>Q46/Q$57</f>
        <v/>
      </c>
      <c r="R103" s="14">
        <f>R46/R$57</f>
        <v/>
      </c>
      <c r="S103" s="14">
        <f>S46/S$57</f>
        <v/>
      </c>
      <c r="T103" s="14">
        <f>T46/T$57</f>
        <v/>
      </c>
      <c r="U103" s="14">
        <f>U46/U$57</f>
        <v/>
      </c>
      <c r="V103" s="14">
        <f>V46/V$57</f>
        <v/>
      </c>
      <c r="W103" s="14">
        <f>W46/W$57</f>
        <v/>
      </c>
    </row>
    <row r="104">
      <c r="A104" s="10" t="n">
        <v>0.8125</v>
      </c>
      <c r="B104" s="14">
        <f>B47/B$57</f>
        <v/>
      </c>
      <c r="C104" s="14">
        <f>C47/C$57</f>
        <v/>
      </c>
      <c r="D104" s="14">
        <f>D47/D$57</f>
        <v/>
      </c>
      <c r="E104" s="14">
        <f>E47/E$57</f>
        <v/>
      </c>
      <c r="F104" s="14">
        <f>F47/F$57</f>
        <v/>
      </c>
      <c r="G104" s="14">
        <f>G47/G$57</f>
        <v/>
      </c>
      <c r="H104" s="14">
        <f>H47/H$57</f>
        <v/>
      </c>
      <c r="I104" s="14">
        <f>I47/I$57</f>
        <v/>
      </c>
      <c r="J104" s="14">
        <f>J47/J$57</f>
        <v/>
      </c>
      <c r="K104" s="14">
        <f>K47/K$57</f>
        <v/>
      </c>
      <c r="L104" s="14" t="n"/>
      <c r="M104" s="10" t="n">
        <v>0.8125</v>
      </c>
      <c r="N104" s="14">
        <f>N47/N$57</f>
        <v/>
      </c>
      <c r="O104" s="14">
        <f>O47/O$57</f>
        <v/>
      </c>
      <c r="P104" s="14">
        <f>P47/P$57</f>
        <v/>
      </c>
      <c r="Q104" s="14">
        <f>Q47/Q$57</f>
        <v/>
      </c>
      <c r="R104" s="14">
        <f>R47/R$57</f>
        <v/>
      </c>
      <c r="S104" s="14">
        <f>S47/S$57</f>
        <v/>
      </c>
      <c r="T104" s="14">
        <f>T47/T$57</f>
        <v/>
      </c>
      <c r="U104" s="14">
        <f>U47/U$57</f>
        <v/>
      </c>
      <c r="V104" s="14">
        <f>V47/V$57</f>
        <v/>
      </c>
      <c r="W104" s="14">
        <f>W47/W$57</f>
        <v/>
      </c>
    </row>
    <row r="105">
      <c r="A105" s="10" t="n">
        <v>0.8333333333333334</v>
      </c>
      <c r="B105" s="14">
        <f>B48/B$57</f>
        <v/>
      </c>
      <c r="C105" s="14">
        <f>C48/C$57</f>
        <v/>
      </c>
      <c r="D105" s="14">
        <f>D48/D$57</f>
        <v/>
      </c>
      <c r="E105" s="14">
        <f>E48/E$57</f>
        <v/>
      </c>
      <c r="F105" s="14">
        <f>F48/F$57</f>
        <v/>
      </c>
      <c r="G105" s="14">
        <f>G48/G$57</f>
        <v/>
      </c>
      <c r="H105" s="14">
        <f>H48/H$57</f>
        <v/>
      </c>
      <c r="I105" s="14">
        <f>I48/I$57</f>
        <v/>
      </c>
      <c r="J105" s="14">
        <f>J48/J$57</f>
        <v/>
      </c>
      <c r="K105" s="14">
        <f>K48/K$57</f>
        <v/>
      </c>
      <c r="L105" s="14" t="n"/>
      <c r="M105" s="10" t="n">
        <v>0.8333333333333334</v>
      </c>
      <c r="N105" s="14">
        <f>N48/N$57</f>
        <v/>
      </c>
      <c r="O105" s="14">
        <f>O48/O$57</f>
        <v/>
      </c>
      <c r="P105" s="14">
        <f>P48/P$57</f>
        <v/>
      </c>
      <c r="Q105" s="14">
        <f>Q48/Q$57</f>
        <v/>
      </c>
      <c r="R105" s="14">
        <f>R48/R$57</f>
        <v/>
      </c>
      <c r="S105" s="14">
        <f>S48/S$57</f>
        <v/>
      </c>
      <c r="T105" s="14">
        <f>T48/T$57</f>
        <v/>
      </c>
      <c r="U105" s="14">
        <f>U48/U$57</f>
        <v/>
      </c>
      <c r="V105" s="14">
        <f>V48/V$57</f>
        <v/>
      </c>
      <c r="W105" s="14">
        <f>W48/W$57</f>
        <v/>
      </c>
    </row>
    <row r="106">
      <c r="A106" s="10" t="n">
        <v>0.8541666666666666</v>
      </c>
      <c r="B106" s="14">
        <f>B49/B$57</f>
        <v/>
      </c>
      <c r="C106" s="14">
        <f>C49/C$57</f>
        <v/>
      </c>
      <c r="D106" s="14">
        <f>D49/D$57</f>
        <v/>
      </c>
      <c r="E106" s="14">
        <f>E49/E$57</f>
        <v/>
      </c>
      <c r="F106" s="14">
        <f>F49/F$57</f>
        <v/>
      </c>
      <c r="G106" s="14">
        <f>G49/G$57</f>
        <v/>
      </c>
      <c r="H106" s="14">
        <f>H49/H$57</f>
        <v/>
      </c>
      <c r="I106" s="14">
        <f>I49/I$57</f>
        <v/>
      </c>
      <c r="J106" s="14">
        <f>J49/J$57</f>
        <v/>
      </c>
      <c r="K106" s="14">
        <f>K49/K$57</f>
        <v/>
      </c>
      <c r="L106" s="14" t="n"/>
      <c r="M106" s="10" t="n">
        <v>0.8541666666666666</v>
      </c>
      <c r="N106" s="14">
        <f>N49/N$57</f>
        <v/>
      </c>
      <c r="O106" s="14">
        <f>O49/O$57</f>
        <v/>
      </c>
      <c r="P106" s="14">
        <f>P49/P$57</f>
        <v/>
      </c>
      <c r="Q106" s="14">
        <f>Q49/Q$57</f>
        <v/>
      </c>
      <c r="R106" s="14">
        <f>R49/R$57</f>
        <v/>
      </c>
      <c r="S106" s="14">
        <f>S49/S$57</f>
        <v/>
      </c>
      <c r="T106" s="14">
        <f>T49/T$57</f>
        <v/>
      </c>
      <c r="U106" s="14">
        <f>U49/U$57</f>
        <v/>
      </c>
      <c r="V106" s="14">
        <f>V49/V$57</f>
        <v/>
      </c>
      <c r="W106" s="14">
        <f>W49/W$57</f>
        <v/>
      </c>
    </row>
    <row r="107">
      <c r="A107" s="10" t="n">
        <v>0.875</v>
      </c>
      <c r="B107" s="14">
        <f>B50/B$57</f>
        <v/>
      </c>
      <c r="C107" s="14">
        <f>C50/C$57</f>
        <v/>
      </c>
      <c r="D107" s="14">
        <f>D50/D$57</f>
        <v/>
      </c>
      <c r="E107" s="14">
        <f>E50/E$57</f>
        <v/>
      </c>
      <c r="F107" s="14">
        <f>F50/F$57</f>
        <v/>
      </c>
      <c r="G107" s="14">
        <f>G50/G$57</f>
        <v/>
      </c>
      <c r="H107" s="14">
        <f>H50/H$57</f>
        <v/>
      </c>
      <c r="I107" s="14">
        <f>I50/I$57</f>
        <v/>
      </c>
      <c r="J107" s="14">
        <f>J50/J$57</f>
        <v/>
      </c>
      <c r="K107" s="14">
        <f>K50/K$57</f>
        <v/>
      </c>
      <c r="L107" s="14" t="n"/>
      <c r="M107" s="10" t="n">
        <v>0.875</v>
      </c>
      <c r="N107" s="14">
        <f>N50/N$57</f>
        <v/>
      </c>
      <c r="O107" s="14">
        <f>O50/O$57</f>
        <v/>
      </c>
      <c r="P107" s="14">
        <f>P50/P$57</f>
        <v/>
      </c>
      <c r="Q107" s="14">
        <f>Q50/Q$57</f>
        <v/>
      </c>
      <c r="R107" s="14">
        <f>R50/R$57</f>
        <v/>
      </c>
      <c r="S107" s="14">
        <f>S50/S$57</f>
        <v/>
      </c>
      <c r="T107" s="14">
        <f>T50/T$57</f>
        <v/>
      </c>
      <c r="U107" s="14">
        <f>U50/U$57</f>
        <v/>
      </c>
      <c r="V107" s="14">
        <f>V50/V$57</f>
        <v/>
      </c>
      <c r="W107" s="14">
        <f>W50/W$57</f>
        <v/>
      </c>
    </row>
    <row r="108">
      <c r="A108" s="10" t="n">
        <v>0.8958333333333334</v>
      </c>
      <c r="B108" s="14">
        <f>B51/B$57</f>
        <v/>
      </c>
      <c r="C108" s="14">
        <f>C51/C$57</f>
        <v/>
      </c>
      <c r="D108" s="14">
        <f>D51/D$57</f>
        <v/>
      </c>
      <c r="E108" s="14">
        <f>E51/E$57</f>
        <v/>
      </c>
      <c r="F108" s="14">
        <f>F51/F$57</f>
        <v/>
      </c>
      <c r="G108" s="14">
        <f>G51/G$57</f>
        <v/>
      </c>
      <c r="H108" s="14">
        <f>H51/H$57</f>
        <v/>
      </c>
      <c r="I108" s="14">
        <f>I51/I$57</f>
        <v/>
      </c>
      <c r="J108" s="14">
        <f>J51/J$57</f>
        <v/>
      </c>
      <c r="K108" s="14">
        <f>K51/K$57</f>
        <v/>
      </c>
      <c r="L108" s="14" t="n"/>
      <c r="M108" s="10" t="n">
        <v>0.8958333333333334</v>
      </c>
      <c r="N108" s="14">
        <f>N51/N$57</f>
        <v/>
      </c>
      <c r="O108" s="14">
        <f>O51/O$57</f>
        <v/>
      </c>
      <c r="P108" s="14">
        <f>P51/P$57</f>
        <v/>
      </c>
      <c r="Q108" s="14">
        <f>Q51/Q$57</f>
        <v/>
      </c>
      <c r="R108" s="14">
        <f>R51/R$57</f>
        <v/>
      </c>
      <c r="S108" s="14">
        <f>S51/S$57</f>
        <v/>
      </c>
      <c r="T108" s="14">
        <f>T51/T$57</f>
        <v/>
      </c>
      <c r="U108" s="14">
        <f>U51/U$57</f>
        <v/>
      </c>
      <c r="V108" s="14">
        <f>V51/V$57</f>
        <v/>
      </c>
      <c r="W108" s="14">
        <f>W51/W$57</f>
        <v/>
      </c>
    </row>
    <row r="109">
      <c r="A109" s="10" t="n">
        <v>0.9166666666666666</v>
      </c>
      <c r="B109" s="14">
        <f>B52/B$57</f>
        <v/>
      </c>
      <c r="C109" s="14">
        <f>C52/C$57</f>
        <v/>
      </c>
      <c r="D109" s="14">
        <f>D52/D$57</f>
        <v/>
      </c>
      <c r="E109" s="14">
        <f>E52/E$57</f>
        <v/>
      </c>
      <c r="F109" s="14">
        <f>F52/F$57</f>
        <v/>
      </c>
      <c r="G109" s="14">
        <f>G52/G$57</f>
        <v/>
      </c>
      <c r="H109" s="14">
        <f>H52/H$57</f>
        <v/>
      </c>
      <c r="I109" s="14">
        <f>I52/I$57</f>
        <v/>
      </c>
      <c r="J109" s="14">
        <f>J52/J$57</f>
        <v/>
      </c>
      <c r="K109" s="14">
        <f>K52/K$57</f>
        <v/>
      </c>
      <c r="L109" s="14" t="n"/>
      <c r="M109" s="10" t="n">
        <v>0.9166666666666666</v>
      </c>
      <c r="N109" s="14">
        <f>N52/N$57</f>
        <v/>
      </c>
      <c r="O109" s="14">
        <f>O52/O$57</f>
        <v/>
      </c>
      <c r="P109" s="14">
        <f>P52/P$57</f>
        <v/>
      </c>
      <c r="Q109" s="14">
        <f>Q52/Q$57</f>
        <v/>
      </c>
      <c r="R109" s="14">
        <f>R52/R$57</f>
        <v/>
      </c>
      <c r="S109" s="14">
        <f>S52/S$57</f>
        <v/>
      </c>
      <c r="T109" s="14">
        <f>T52/T$57</f>
        <v/>
      </c>
      <c r="U109" s="14">
        <f>U52/U$57</f>
        <v/>
      </c>
      <c r="V109" s="14">
        <f>V52/V$57</f>
        <v/>
      </c>
      <c r="W109" s="14">
        <f>W52/W$57</f>
        <v/>
      </c>
    </row>
    <row r="110">
      <c r="A110" s="10" t="n">
        <v>0.9375</v>
      </c>
      <c r="B110" s="14">
        <f>B53/B$57</f>
        <v/>
      </c>
      <c r="C110" s="14">
        <f>C53/C$57</f>
        <v/>
      </c>
      <c r="D110" s="14">
        <f>D53/D$57</f>
        <v/>
      </c>
      <c r="E110" s="14">
        <f>E53/E$57</f>
        <v/>
      </c>
      <c r="F110" s="14">
        <f>F53/F$57</f>
        <v/>
      </c>
      <c r="G110" s="14">
        <f>G53/G$57</f>
        <v/>
      </c>
      <c r="H110" s="14">
        <f>H53/H$57</f>
        <v/>
      </c>
      <c r="I110" s="14">
        <f>I53/I$57</f>
        <v/>
      </c>
      <c r="J110" s="14">
        <f>J53/J$57</f>
        <v/>
      </c>
      <c r="K110" s="14">
        <f>K53/K$57</f>
        <v/>
      </c>
      <c r="L110" s="14" t="n"/>
      <c r="M110" s="10" t="n">
        <v>0.9375</v>
      </c>
      <c r="N110" s="14">
        <f>N53/N$57</f>
        <v/>
      </c>
      <c r="O110" s="14">
        <f>O53/O$57</f>
        <v/>
      </c>
      <c r="P110" s="14">
        <f>P53/P$57</f>
        <v/>
      </c>
      <c r="Q110" s="14">
        <f>Q53/Q$57</f>
        <v/>
      </c>
      <c r="R110" s="14">
        <f>R53/R$57</f>
        <v/>
      </c>
      <c r="S110" s="14">
        <f>S53/S$57</f>
        <v/>
      </c>
      <c r="T110" s="14">
        <f>T53/T$57</f>
        <v/>
      </c>
      <c r="U110" s="14">
        <f>U53/U$57</f>
        <v/>
      </c>
      <c r="V110" s="14">
        <f>V53/V$57</f>
        <v/>
      </c>
      <c r="W110" s="14">
        <f>W53/W$57</f>
        <v/>
      </c>
    </row>
    <row r="111">
      <c r="A111" s="10" t="n">
        <v>0.9583333333333334</v>
      </c>
      <c r="B111" s="14">
        <f>B54/B$57</f>
        <v/>
      </c>
      <c r="C111" s="14">
        <f>C54/C$57</f>
        <v/>
      </c>
      <c r="D111" s="14">
        <f>D54/D$57</f>
        <v/>
      </c>
      <c r="E111" s="14">
        <f>E54/E$57</f>
        <v/>
      </c>
      <c r="F111" s="14">
        <f>F54/F$57</f>
        <v/>
      </c>
      <c r="G111" s="14">
        <f>G54/G$57</f>
        <v/>
      </c>
      <c r="H111" s="14">
        <f>H54/H$57</f>
        <v/>
      </c>
      <c r="I111" s="14">
        <f>I54/I$57</f>
        <v/>
      </c>
      <c r="J111" s="14">
        <f>J54/J$57</f>
        <v/>
      </c>
      <c r="K111" s="14">
        <f>K54/K$57</f>
        <v/>
      </c>
      <c r="L111" s="14" t="n"/>
      <c r="M111" s="10" t="n">
        <v>0.9583333333333334</v>
      </c>
      <c r="N111" s="14">
        <f>N54/N$57</f>
        <v/>
      </c>
      <c r="O111" s="14">
        <f>O54/O$57</f>
        <v/>
      </c>
      <c r="P111" s="14">
        <f>P54/P$57</f>
        <v/>
      </c>
      <c r="Q111" s="14">
        <f>Q54/Q$57</f>
        <v/>
      </c>
      <c r="R111" s="14">
        <f>R54/R$57</f>
        <v/>
      </c>
      <c r="S111" s="14">
        <f>S54/S$57</f>
        <v/>
      </c>
      <c r="T111" s="14">
        <f>T54/T$57</f>
        <v/>
      </c>
      <c r="U111" s="14">
        <f>U54/U$57</f>
        <v/>
      </c>
      <c r="V111" s="14">
        <f>V54/V$57</f>
        <v/>
      </c>
      <c r="W111" s="14">
        <f>W54/W$57</f>
        <v/>
      </c>
    </row>
    <row r="112">
      <c r="A112" s="10" t="n">
        <v>0.9791666666666666</v>
      </c>
      <c r="B112" s="14">
        <f>B55/B$57</f>
        <v/>
      </c>
      <c r="C112" s="14">
        <f>C55/C$57</f>
        <v/>
      </c>
      <c r="D112" s="14">
        <f>D55/D$57</f>
        <v/>
      </c>
      <c r="E112" s="14">
        <f>E55/E$57</f>
        <v/>
      </c>
      <c r="F112" s="14">
        <f>F55/F$57</f>
        <v/>
      </c>
      <c r="G112" s="14">
        <f>G55/G$57</f>
        <v/>
      </c>
      <c r="H112" s="14">
        <f>H55/H$57</f>
        <v/>
      </c>
      <c r="I112" s="14">
        <f>I55/I$57</f>
        <v/>
      </c>
      <c r="J112" s="14">
        <f>J55/J$57</f>
        <v/>
      </c>
      <c r="K112" s="14">
        <f>K55/K$57</f>
        <v/>
      </c>
      <c r="L112" s="14" t="n"/>
      <c r="M112" s="10" t="n">
        <v>0.9791666666666666</v>
      </c>
      <c r="N112" s="14">
        <f>N55/N$57</f>
        <v/>
      </c>
      <c r="O112" s="14">
        <f>O55/O$57</f>
        <v/>
      </c>
      <c r="P112" s="14">
        <f>P55/P$57</f>
        <v/>
      </c>
      <c r="Q112" s="14">
        <f>Q55/Q$57</f>
        <v/>
      </c>
      <c r="R112" s="14">
        <f>R55/R$57</f>
        <v/>
      </c>
      <c r="S112" s="14">
        <f>S55/S$57</f>
        <v/>
      </c>
      <c r="T112" s="14">
        <f>T55/T$57</f>
        <v/>
      </c>
      <c r="U112" s="14">
        <f>U55/U$57</f>
        <v/>
      </c>
      <c r="V112" s="14">
        <f>V55/V$57</f>
        <v/>
      </c>
      <c r="W112" s="14">
        <f>W55/W$57</f>
        <v/>
      </c>
    </row>
    <row r="113" ht="15.75" customHeight="1" s="71" thickBot="1">
      <c r="A113" s="11" t="inlineStr">
        <is>
          <t>&gt; 24 hours</t>
        </is>
      </c>
      <c r="B113" s="14">
        <f>B56/B$57</f>
        <v/>
      </c>
      <c r="C113" s="14">
        <f>C56/C$57</f>
        <v/>
      </c>
      <c r="D113" s="14">
        <f>D56/D$57</f>
        <v/>
      </c>
      <c r="E113" s="14">
        <f>E56/E$57</f>
        <v/>
      </c>
      <c r="F113" s="14">
        <f>F56/F$57</f>
        <v/>
      </c>
      <c r="G113" s="14">
        <f>G56/G$57</f>
        <v/>
      </c>
      <c r="H113" s="14">
        <f>H56/H$57</f>
        <v/>
      </c>
      <c r="I113" s="14">
        <f>I56/I$57</f>
        <v/>
      </c>
      <c r="J113" s="14">
        <f>J56/J$57</f>
        <v/>
      </c>
      <c r="K113" s="14">
        <f>K56/K$57</f>
        <v/>
      </c>
      <c r="L113" s="14" t="n"/>
      <c r="M113" s="11" t="inlineStr">
        <is>
          <t>&gt; 24 hours</t>
        </is>
      </c>
      <c r="N113" s="14">
        <f>N56/N$57</f>
        <v/>
      </c>
      <c r="O113" s="14">
        <f>O56/O$57</f>
        <v/>
      </c>
      <c r="P113" s="14">
        <f>P56/P$57</f>
        <v/>
      </c>
      <c r="Q113" s="14">
        <f>Q56/Q$57</f>
        <v/>
      </c>
      <c r="R113" s="14">
        <f>R56/R$57</f>
        <v/>
      </c>
      <c r="S113" s="14">
        <f>S56/S$57</f>
        <v/>
      </c>
      <c r="T113" s="14">
        <f>T56/T$57</f>
        <v/>
      </c>
      <c r="U113" s="14">
        <f>U56/U$57</f>
        <v/>
      </c>
      <c r="V113" s="14">
        <f>V56/V$57</f>
        <v/>
      </c>
      <c r="W113" s="14">
        <f>W56/W$57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58"/>
  <sheetViews>
    <sheetView workbookViewId="0">
      <selection activeCell="A3" sqref="A3"/>
    </sheetView>
  </sheetViews>
  <sheetFormatPr baseColWidth="8" defaultRowHeight="15"/>
  <cols>
    <col collapsed="1" width="12.7109375" customWidth="1" style="71" min="1" max="1"/>
    <col collapsed="1" width="10.7109375" customWidth="1" style="71" min="2" max="10"/>
    <col collapsed="1" width="6.42578125" customWidth="1" style="71" min="11" max="11"/>
    <col collapsed="1" width="12.7109375" customWidth="1" style="71" min="12" max="12"/>
    <col collapsed="1" width="10.7109375" customWidth="1" style="71" min="13" max="21"/>
  </cols>
  <sheetData>
    <row r="1">
      <c r="A1" t="inlineStr">
        <is>
          <t>Work Tour arrival time at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4">
      <c r="A4" t="inlineStr">
        <is>
          <t>Distance values reflect start time of time period</t>
        </is>
      </c>
    </row>
    <row r="6" ht="15.75" customHeight="1" s="71" thickBot="1">
      <c r="A6" s="3" t="inlineStr">
        <is>
          <t>Table X. Observed Work Tour Arrival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L6" s="3" t="inlineStr">
        <is>
          <t>Table X. Estimated Work Tour Arrival at PD Times: DaySim</t>
        </is>
      </c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W6" s="7" t="n"/>
    </row>
    <row r="7">
      <c r="A7" s="2" t="inlineStr">
        <is>
          <t>Timeperiod</t>
        </is>
      </c>
      <c r="B7" s="4" t="inlineStr">
        <is>
          <t>FT Worker</t>
        </is>
      </c>
      <c r="C7" s="4" t="inlineStr">
        <is>
          <t>PT Worker</t>
        </is>
      </c>
      <c r="D7" s="4" t="inlineStr">
        <is>
          <t>Retired</t>
        </is>
      </c>
      <c r="E7" s="4" t="inlineStr">
        <is>
          <t>Nonworker</t>
        </is>
      </c>
      <c r="F7" s="4" t="inlineStr">
        <is>
          <t>Univ Stud</t>
        </is>
      </c>
      <c r="G7" s="4" t="inlineStr">
        <is>
          <t>Stud 16+</t>
        </is>
      </c>
      <c r="H7" s="4" t="inlineStr">
        <is>
          <t>Stud 5-15</t>
        </is>
      </c>
      <c r="I7" s="4" t="inlineStr">
        <is>
          <t>Child&lt;5</t>
        </is>
      </c>
      <c r="J7" s="4" t="inlineStr">
        <is>
          <t>Total</t>
        </is>
      </c>
      <c r="L7" s="2" t="inlineStr">
        <is>
          <t>Timeperiod</t>
        </is>
      </c>
      <c r="M7" s="4" t="inlineStr">
        <is>
          <t>FT Worker</t>
        </is>
      </c>
      <c r="N7" s="4" t="inlineStr">
        <is>
          <t>PT Worker</t>
        </is>
      </c>
      <c r="O7" s="4" t="inlineStr">
        <is>
          <t>Retired</t>
        </is>
      </c>
      <c r="P7" s="4" t="inlineStr">
        <is>
          <t>Nonworker</t>
        </is>
      </c>
      <c r="Q7" s="4" t="inlineStr">
        <is>
          <t>Univ Stud</t>
        </is>
      </c>
      <c r="R7" s="4" t="inlineStr">
        <is>
          <t>Stud 16+</t>
        </is>
      </c>
      <c r="S7" s="4" t="inlineStr">
        <is>
          <t>Stud 5-15</t>
        </is>
      </c>
      <c r="T7" s="4" t="inlineStr">
        <is>
          <t>Child&lt;5</t>
        </is>
      </c>
      <c r="U7" s="4" t="inlineStr">
        <is>
          <t>Total</t>
        </is>
      </c>
      <c r="X7" s="12" t="n"/>
      <c r="Y7" s="12" t="n"/>
    </row>
    <row r="8">
      <c r="A8" t="inlineStr">
        <is>
          <t>Before 3:00am</t>
        </is>
      </c>
      <c r="B8" s="5" t="n">
        <v>562.3747441545361</v>
      </c>
      <c r="C8" s="5" t="n">
        <v>0</v>
      </c>
      <c r="D8" s="5" t="n">
        <v>0</v>
      </c>
      <c r="E8" s="5" t="n">
        <v>0</v>
      </c>
      <c r="F8" s="5" t="n">
        <v>0</v>
      </c>
      <c r="G8" s="5" t="n">
        <v>0</v>
      </c>
      <c r="H8" s="5" t="n">
        <v>0</v>
      </c>
      <c r="I8" s="5" t="n">
        <v>0</v>
      </c>
      <c r="J8" s="5">
        <f>SUM(B8:I8)</f>
        <v/>
      </c>
      <c r="L8" t="inlineStr">
        <is>
          <t>Before 3:00am</t>
        </is>
      </c>
      <c r="M8" s="8" t="n">
        <v>794.65</v>
      </c>
      <c r="N8" s="8" t="n">
        <v>648.5999999999999</v>
      </c>
      <c r="O8" s="8" t="n">
        <v>0</v>
      </c>
      <c r="P8" s="8" t="n">
        <v>0</v>
      </c>
      <c r="Q8" s="8" t="n">
        <v>361.1670251085568</v>
      </c>
      <c r="R8" s="8" t="n">
        <v>47.1033114229576</v>
      </c>
      <c r="S8" s="8" t="n">
        <v>0</v>
      </c>
      <c r="T8" s="8" t="n">
        <v>0</v>
      </c>
      <c r="U8">
        <f>SUM(M8:T8)</f>
        <v/>
      </c>
      <c r="X8" s="5" t="n"/>
      <c r="Y8" s="5" t="n"/>
    </row>
    <row r="9">
      <c r="A9" s="10" t="n">
        <v>0.125</v>
      </c>
      <c r="B9" s="5" t="n">
        <v>5385.462636078693</v>
      </c>
      <c r="C9" s="5" t="n">
        <v>385.5152352384521</v>
      </c>
      <c r="D9" s="5" t="n">
        <v>1.24794931057698</v>
      </c>
      <c r="E9" s="5" t="n">
        <v>0.02452841712591865</v>
      </c>
      <c r="F9" s="5" t="n">
        <v>1.902066492972851</v>
      </c>
      <c r="G9" s="5" t="n">
        <v>0.0007163321583832836</v>
      </c>
      <c r="H9" s="5" t="n">
        <v>0</v>
      </c>
      <c r="I9" s="5" t="n">
        <v>0</v>
      </c>
      <c r="J9" s="5">
        <f>SUM(B9:I9)</f>
        <v/>
      </c>
      <c r="L9" s="10" t="n">
        <v>0.125</v>
      </c>
      <c r="M9" s="8" t="n">
        <v>5013.927959394456</v>
      </c>
      <c r="N9" s="8" t="n">
        <v>672.1532157421111</v>
      </c>
      <c r="O9" s="8" t="n">
        <v>0</v>
      </c>
      <c r="P9" s="8" t="n">
        <v>0</v>
      </c>
      <c r="Q9" s="8" t="n">
        <v>279.8471702955986</v>
      </c>
      <c r="R9" s="8" t="n">
        <v>31.75297504644083</v>
      </c>
      <c r="S9" s="8" t="n">
        <v>0</v>
      </c>
      <c r="T9" s="8" t="n">
        <v>0</v>
      </c>
      <c r="U9">
        <f>SUM(M9:T9)</f>
        <v/>
      </c>
      <c r="X9" s="5" t="n"/>
      <c r="Y9" s="5" t="n"/>
    </row>
    <row r="10">
      <c r="A10" s="10" t="n">
        <v>0.1458333333333333</v>
      </c>
      <c r="B10" s="5" t="n">
        <v>10827.60635255141</v>
      </c>
      <c r="C10" s="5" t="n">
        <v>841.6497475029644</v>
      </c>
      <c r="D10" s="5" t="n">
        <v>5.518255863607973</v>
      </c>
      <c r="E10" s="5" t="n">
        <v>0.1479491826642712</v>
      </c>
      <c r="F10" s="5" t="n">
        <v>9.121499491731385</v>
      </c>
      <c r="G10" s="5" t="n">
        <v>0.007809141816521197</v>
      </c>
      <c r="H10" s="5" t="n">
        <v>3.503531136021747e-05</v>
      </c>
      <c r="I10" s="5" t="n">
        <v>0</v>
      </c>
      <c r="J10" s="5">
        <f>SUM(B10:I10)</f>
        <v/>
      </c>
      <c r="L10" s="10" t="n">
        <v>0.1458333333333333</v>
      </c>
      <c r="M10" s="8" t="n">
        <v>9731.607690715789</v>
      </c>
      <c r="N10" s="8" t="n">
        <v>774.8078279495238</v>
      </c>
      <c r="O10" s="8" t="n">
        <v>0</v>
      </c>
      <c r="P10" s="8" t="n">
        <v>0</v>
      </c>
      <c r="Q10" s="8" t="n">
        <v>229.0268627630402</v>
      </c>
      <c r="R10" s="8" t="n">
        <v>19.09423762836016</v>
      </c>
      <c r="S10" s="8" t="n">
        <v>0</v>
      </c>
      <c r="T10" s="8" t="n">
        <v>0</v>
      </c>
      <c r="U10">
        <f>SUM(M10:T10)</f>
        <v/>
      </c>
      <c r="X10" s="5" t="n"/>
      <c r="Y10" s="5" t="n"/>
    </row>
    <row r="11">
      <c r="A11" s="10" t="n">
        <v>0.1666666666666667</v>
      </c>
      <c r="B11" s="5" t="n">
        <v>17608.01952952074</v>
      </c>
      <c r="C11" s="5" t="n">
        <v>1420.75366291865</v>
      </c>
      <c r="D11" s="5" t="n">
        <v>18.63358986144219</v>
      </c>
      <c r="E11" s="5" t="n">
        <v>0.6287840263231527</v>
      </c>
      <c r="F11" s="5" t="n">
        <v>33.78255318128282</v>
      </c>
      <c r="G11" s="5" t="n">
        <v>0.06091065926544723</v>
      </c>
      <c r="H11" s="5" t="n">
        <v>0.0007007062272043496</v>
      </c>
      <c r="I11" s="5" t="n">
        <v>0</v>
      </c>
      <c r="J11" s="5">
        <f>SUM(B11:I11)</f>
        <v/>
      </c>
      <c r="L11" s="10" t="n">
        <v>0.1666666666666667</v>
      </c>
      <c r="M11" s="8" t="n">
        <v>15898.74737114906</v>
      </c>
      <c r="N11" s="8" t="n">
        <v>1055.129809141159</v>
      </c>
      <c r="O11" s="8" t="n">
        <v>0</v>
      </c>
      <c r="P11" s="8" t="n">
        <v>0</v>
      </c>
      <c r="Q11" s="8" t="n">
        <v>237.3882815907099</v>
      </c>
      <c r="R11" s="8" t="n">
        <v>10.79143335939083</v>
      </c>
      <c r="S11" s="8" t="n">
        <v>0</v>
      </c>
      <c r="T11" s="8" t="n">
        <v>0</v>
      </c>
      <c r="U11">
        <f>SUM(M11:T11)</f>
        <v/>
      </c>
      <c r="X11" s="5" t="n"/>
      <c r="Y11" s="5" t="n"/>
    </row>
    <row r="12">
      <c r="A12" s="10" t="n">
        <v>0.1875</v>
      </c>
      <c r="B12" s="5" t="n">
        <v>26596.9024074303</v>
      </c>
      <c r="C12" s="5" t="n">
        <v>2162.948406830996</v>
      </c>
      <c r="D12" s="5" t="n">
        <v>51.71203804494572</v>
      </c>
      <c r="E12" s="5" t="n">
        <v>2.012163868938546</v>
      </c>
      <c r="F12" s="5" t="n">
        <v>99.86112494516507</v>
      </c>
      <c r="G12" s="5" t="n">
        <v>0.364288864625551</v>
      </c>
      <c r="H12" s="5" t="n">
        <v>0.006656709158441319</v>
      </c>
      <c r="I12" s="5" t="n">
        <v>0</v>
      </c>
      <c r="J12" s="5">
        <f>SUM(B12:I12)</f>
        <v/>
      </c>
      <c r="L12" s="10" t="n">
        <v>0.1875</v>
      </c>
      <c r="M12" s="8" t="n">
        <v>25083.51454539299</v>
      </c>
      <c r="N12" s="8" t="n">
        <v>1643.768178129196</v>
      </c>
      <c r="O12" s="8" t="n">
        <v>0</v>
      </c>
      <c r="P12" s="8" t="n">
        <v>0</v>
      </c>
      <c r="Q12" s="8" t="n">
        <v>333.2202278639144</v>
      </c>
      <c r="R12" s="8" t="n">
        <v>7.27102393393274</v>
      </c>
      <c r="S12" s="8" t="n">
        <v>0</v>
      </c>
      <c r="T12" s="8" t="n">
        <v>0</v>
      </c>
      <c r="U12">
        <f>SUM(M12:T12)</f>
        <v/>
      </c>
    </row>
    <row r="13">
      <c r="A13" s="10" t="n">
        <v>0.2083333333333333</v>
      </c>
      <c r="B13" s="5" t="n">
        <v>38652.17047548033</v>
      </c>
      <c r="C13" s="5" t="n">
        <v>3119.02121772147</v>
      </c>
      <c r="D13" s="5" t="n">
        <v>123.2041599164964</v>
      </c>
      <c r="E13" s="5" t="n">
        <v>5.032271344977893</v>
      </c>
      <c r="F13" s="5" t="n">
        <v>239.0299404757247</v>
      </c>
      <c r="G13" s="5" t="n">
        <v>1.699845084721925</v>
      </c>
      <c r="H13" s="5" t="n">
        <v>0.03994025495064792</v>
      </c>
      <c r="I13" s="5" t="n">
        <v>0</v>
      </c>
      <c r="J13" s="5">
        <f>SUM(B13:I13)</f>
        <v/>
      </c>
      <c r="L13" s="10" t="n">
        <v>0.2083333333333333</v>
      </c>
      <c r="M13" s="8" t="n">
        <v>39091.79661746026</v>
      </c>
      <c r="N13" s="8" t="n">
        <v>2692.473304796219</v>
      </c>
      <c r="O13" s="8" t="n">
        <v>0</v>
      </c>
      <c r="P13" s="8" t="n">
        <v>0</v>
      </c>
      <c r="Q13" s="8" t="n">
        <v>545.920288284976</v>
      </c>
      <c r="R13" s="8" t="n">
        <v>8.299709374982271</v>
      </c>
      <c r="S13" s="8" t="n">
        <v>0</v>
      </c>
      <c r="T13" s="8" t="n">
        <v>0</v>
      </c>
      <c r="U13">
        <f>SUM(M13:T13)</f>
        <v/>
      </c>
    </row>
    <row r="14">
      <c r="A14" s="10" t="n">
        <v>0.2291666666666667</v>
      </c>
      <c r="B14" s="5" t="n">
        <v>54075.90492874616</v>
      </c>
      <c r="C14" s="5" t="n">
        <v>4366.618385967956</v>
      </c>
      <c r="D14" s="5" t="n">
        <v>259.0555282295066</v>
      </c>
      <c r="E14" s="5" t="n">
        <v>10.08898032108781</v>
      </c>
      <c r="F14" s="5" t="n">
        <v>470.1079318342274</v>
      </c>
      <c r="G14" s="5" t="n">
        <v>6.25256540400542</v>
      </c>
      <c r="H14" s="5" t="n">
        <v>0.1697460835402537</v>
      </c>
      <c r="I14" s="5" t="n">
        <v>0</v>
      </c>
      <c r="J14" s="5">
        <f>SUM(B14:I14)</f>
        <v/>
      </c>
      <c r="L14" s="10" t="n">
        <v>0.2291666666666667</v>
      </c>
      <c r="M14" s="8" t="n">
        <v>59020.19041957855</v>
      </c>
      <c r="N14" s="8" t="n">
        <v>4324.837546205521</v>
      </c>
      <c r="O14" s="8" t="n">
        <v>0</v>
      </c>
      <c r="P14" s="8" t="n">
        <v>0</v>
      </c>
      <c r="Q14" s="8" t="n">
        <v>900.5961077504302</v>
      </c>
      <c r="R14" s="8" t="n">
        <v>13.60472550011766</v>
      </c>
      <c r="S14" s="8" t="n">
        <v>0</v>
      </c>
      <c r="T14" s="8" t="n">
        <v>0</v>
      </c>
      <c r="U14">
        <f>SUM(M14:T14)</f>
        <v/>
      </c>
    </row>
    <row r="15">
      <c r="A15" s="10" t="n">
        <v>0.25</v>
      </c>
      <c r="B15" s="5" t="n">
        <v>71851.13207906608</v>
      </c>
      <c r="C15" s="5" t="n">
        <v>6001.997995670348</v>
      </c>
      <c r="D15" s="5" t="n">
        <v>484.9156563867303</v>
      </c>
      <c r="E15" s="5" t="n">
        <v>16.5819609051528</v>
      </c>
      <c r="F15" s="5" t="n">
        <v>771.9511783141166</v>
      </c>
      <c r="G15" s="5" t="n">
        <v>18.34230722528118</v>
      </c>
      <c r="H15" s="5" t="n">
        <v>0.5431874673288117</v>
      </c>
      <c r="I15" s="5" t="n">
        <v>0</v>
      </c>
      <c r="J15" s="5">
        <f>SUM(B15:I15)</f>
        <v/>
      </c>
      <c r="L15" s="10" t="n">
        <v>0.25</v>
      </c>
      <c r="M15" s="8" t="n">
        <v>84143.04734129908</v>
      </c>
      <c r="N15" s="8" t="n">
        <v>6558.199221658708</v>
      </c>
      <c r="O15" s="8" t="n">
        <v>0</v>
      </c>
      <c r="P15" s="8" t="n">
        <v>0</v>
      </c>
      <c r="Q15" s="8" t="n">
        <v>1403.367006248651</v>
      </c>
      <c r="R15" s="8" t="n">
        <v>22.91431485007558</v>
      </c>
      <c r="S15" s="8" t="n">
        <v>0</v>
      </c>
      <c r="T15" s="8" t="n">
        <v>0</v>
      </c>
      <c r="U15">
        <f>SUM(M15:T15)</f>
        <v/>
      </c>
    </row>
    <row r="16">
      <c r="A16" s="10" t="n">
        <v>0.2708333333333333</v>
      </c>
      <c r="B16" s="5" t="n">
        <v>89280.71512184403</v>
      </c>
      <c r="C16" s="5" t="n">
        <v>8086.40529585201</v>
      </c>
      <c r="D16" s="5" t="n">
        <v>802.5139241478619</v>
      </c>
      <c r="E16" s="5" t="n">
        <v>23.08962198764319</v>
      </c>
      <c r="F16" s="5" t="n">
        <v>1079.655890472018</v>
      </c>
      <c r="G16" s="5" t="n">
        <v>43.42632754804604</v>
      </c>
      <c r="H16" s="5" t="n">
        <v>1.357968668322029</v>
      </c>
      <c r="I16" s="5" t="n">
        <v>0</v>
      </c>
      <c r="J16" s="5">
        <f>SUM(B16:I16)</f>
        <v/>
      </c>
      <c r="L16" s="10" t="n">
        <v>0.2708333333333333</v>
      </c>
      <c r="M16" s="8" t="n">
        <v>111334.2694039822</v>
      </c>
      <c r="N16" s="8" t="n">
        <v>9233.947870016098</v>
      </c>
      <c r="O16" s="8" t="n">
        <v>0</v>
      </c>
      <c r="P16" s="8" t="n">
        <v>0</v>
      </c>
      <c r="Q16" s="8" t="n">
        <v>2023.761814217774</v>
      </c>
      <c r="R16" s="8" t="n">
        <v>35.48656556486285</v>
      </c>
      <c r="S16" s="8" t="n">
        <v>0</v>
      </c>
      <c r="T16" s="8" t="n">
        <v>0</v>
      </c>
      <c r="U16">
        <f>SUM(M16:T16)</f>
        <v/>
      </c>
    </row>
    <row r="17">
      <c r="A17" s="10" t="n">
        <v>0.2916666666666667</v>
      </c>
      <c r="B17" s="5" t="n">
        <v>102641.0427720335</v>
      </c>
      <c r="C17" s="5" t="n">
        <v>10537.35155928641</v>
      </c>
      <c r="D17" s="5" t="n">
        <v>1157.845493554628</v>
      </c>
      <c r="E17" s="5" t="n">
        <v>29.18867999679633</v>
      </c>
      <c r="F17" s="5" t="n">
        <v>1321.278775606929</v>
      </c>
      <c r="G17" s="5" t="n">
        <v>83.84477636304067</v>
      </c>
      <c r="H17" s="5" t="n">
        <v>2.715937336644058</v>
      </c>
      <c r="I17" s="5" t="n">
        <v>0</v>
      </c>
      <c r="J17" s="5">
        <f>SUM(B17:I17)</f>
        <v/>
      </c>
      <c r="L17" s="10" t="n">
        <v>0.2916666666666667</v>
      </c>
      <c r="M17" s="8" t="n">
        <v>135572.0893610002</v>
      </c>
      <c r="N17" s="8" t="n">
        <v>12000.9596493721</v>
      </c>
      <c r="O17" s="8" t="n">
        <v>0</v>
      </c>
      <c r="P17" s="8" t="n">
        <v>0</v>
      </c>
      <c r="Q17" s="8" t="n">
        <v>2685.824710242749</v>
      </c>
      <c r="R17" s="8" t="n">
        <v>49.69561303373131</v>
      </c>
      <c r="S17" s="8" t="n">
        <v>0</v>
      </c>
      <c r="T17" s="8" t="n">
        <v>0</v>
      </c>
      <c r="U17">
        <f>SUM(M17:T17)</f>
        <v/>
      </c>
    </row>
    <row r="18">
      <c r="A18" s="10" t="n">
        <v>0.3125</v>
      </c>
      <c r="B18" s="5" t="n">
        <v>108705.3517986712</v>
      </c>
      <c r="C18" s="5" t="n">
        <v>13026.19689480681</v>
      </c>
      <c r="D18" s="5" t="n">
        <v>1435.886337775548</v>
      </c>
      <c r="E18" s="5" t="n">
        <v>37.88682625482461</v>
      </c>
      <c r="F18" s="5" t="n">
        <v>1464.453588223781</v>
      </c>
      <c r="G18" s="5" t="n">
        <v>133.0894889202371</v>
      </c>
      <c r="H18" s="5" t="n">
        <v>4.413398172046595</v>
      </c>
      <c r="I18" s="5" t="n">
        <v>0</v>
      </c>
      <c r="J18" s="5">
        <f>SUM(B18:I18)</f>
        <v/>
      </c>
      <c r="L18" s="10" t="n">
        <v>0.3125</v>
      </c>
      <c r="M18" s="8" t="n">
        <v>151503.4002933503</v>
      </c>
      <c r="N18" s="8" t="n">
        <v>14379.50912094116</v>
      </c>
      <c r="O18" s="8" t="n">
        <v>0</v>
      </c>
      <c r="P18" s="8" t="n">
        <v>0</v>
      </c>
      <c r="Q18" s="8" t="n">
        <v>3277.866506223341</v>
      </c>
      <c r="R18" s="8" t="n">
        <v>63.16095892108764</v>
      </c>
      <c r="S18" s="8" t="n">
        <v>0</v>
      </c>
      <c r="T18" s="8" t="n">
        <v>0</v>
      </c>
      <c r="U18">
        <f>SUM(M18:T18)</f>
        <v/>
      </c>
    </row>
    <row r="19">
      <c r="A19" s="10" t="n">
        <v>0.3333333333333333</v>
      </c>
      <c r="B19" s="5" t="n">
        <v>106157.6274577587</v>
      </c>
      <c r="C19" s="5" t="n">
        <v>15008.02188045041</v>
      </c>
      <c r="D19" s="5" t="n">
        <v>1513.240820755701</v>
      </c>
      <c r="E19" s="5" t="n">
        <v>55.58660365311761</v>
      </c>
      <c r="F19" s="5" t="n">
        <v>1520.445660967046</v>
      </c>
      <c r="G19" s="5" t="n">
        <v>174.6452984094682</v>
      </c>
      <c r="H19" s="5" t="n">
        <v>5.884530896062127</v>
      </c>
      <c r="I19" s="5" t="n">
        <v>0</v>
      </c>
      <c r="J19" s="5">
        <f>SUM(B19:I19)</f>
        <v/>
      </c>
      <c r="L19" s="10" t="n">
        <v>0.3333333333333333</v>
      </c>
      <c r="M19" s="8" t="n">
        <v>155420.4690355302</v>
      </c>
      <c r="N19" s="8" t="n">
        <v>15900.44317083359</v>
      </c>
      <c r="O19" s="8" t="n">
        <v>0</v>
      </c>
      <c r="P19" s="8" t="n">
        <v>0</v>
      </c>
      <c r="Q19" s="8" t="n">
        <v>3683.243141271861</v>
      </c>
      <c r="R19" s="8" t="n">
        <v>73.44046542559755</v>
      </c>
      <c r="S19" s="8" t="n">
        <v>0</v>
      </c>
      <c r="T19" s="8" t="n">
        <v>0</v>
      </c>
      <c r="U19">
        <f>SUM(M19:T19)</f>
        <v/>
      </c>
    </row>
    <row r="20">
      <c r="A20" s="10" t="n">
        <v>0.3541666666666667</v>
      </c>
      <c r="B20" s="5" t="n">
        <v>95974.64865632143</v>
      </c>
      <c r="C20" s="5" t="n">
        <v>15939.02143893837</v>
      </c>
      <c r="D20" s="5" t="n">
        <v>1343.613924299827</v>
      </c>
      <c r="E20" s="5" t="n">
        <v>87.3668302490087</v>
      </c>
      <c r="F20" s="5" t="n">
        <v>1502.674518691386</v>
      </c>
      <c r="G20" s="5" t="n">
        <v>190.0044251639385</v>
      </c>
      <c r="H20" s="5" t="n">
        <v>6.472983985668339</v>
      </c>
      <c r="I20" s="5" t="n">
        <v>0</v>
      </c>
      <c r="J20" s="5">
        <f>SUM(B20:I20)</f>
        <v/>
      </c>
      <c r="L20" s="10" t="n">
        <v>0.3541666666666667</v>
      </c>
      <c r="M20" s="8" t="n">
        <v>146717.0699941159</v>
      </c>
      <c r="N20" s="8" t="n">
        <v>16275.75144662857</v>
      </c>
      <c r="O20" s="8" t="n">
        <v>0</v>
      </c>
      <c r="P20" s="8" t="n">
        <v>0</v>
      </c>
      <c r="Q20" s="8" t="n">
        <v>3823.263864972436</v>
      </c>
      <c r="R20" s="8" t="n">
        <v>78.91977149307112</v>
      </c>
      <c r="S20" s="8" t="n">
        <v>0</v>
      </c>
      <c r="T20" s="8" t="n">
        <v>0</v>
      </c>
      <c r="U20">
        <f>SUM(M20:T20)</f>
        <v/>
      </c>
    </row>
    <row r="21">
      <c r="A21" s="10" t="n">
        <v>0.375</v>
      </c>
      <c r="B21" s="5" t="n">
        <v>80756.21253801815</v>
      </c>
      <c r="C21" s="5" t="n">
        <v>15558.27387944922</v>
      </c>
      <c r="D21" s="5" t="n">
        <v>999.3286430194909</v>
      </c>
      <c r="E21" s="5" t="n">
        <v>130.2871728242956</v>
      </c>
      <c r="F21" s="5" t="n">
        <v>1398.31001451785</v>
      </c>
      <c r="G21" s="5" t="n">
        <v>171.4089729107907</v>
      </c>
      <c r="H21" s="5" t="n">
        <v>5.884530896062126</v>
      </c>
      <c r="I21" s="5" t="n">
        <v>0</v>
      </c>
      <c r="J21" s="5">
        <f>SUM(B21:I21)</f>
        <v/>
      </c>
      <c r="L21" s="10" t="n">
        <v>0.375</v>
      </c>
      <c r="M21" s="8" t="n">
        <v>128107.8446043492</v>
      </c>
      <c r="N21" s="8" t="n">
        <v>15524.74071545601</v>
      </c>
      <c r="O21" s="8" t="n">
        <v>0</v>
      </c>
      <c r="P21" s="8" t="n">
        <v>0</v>
      </c>
      <c r="Q21" s="8" t="n">
        <v>3692.710303897519</v>
      </c>
      <c r="R21" s="8" t="n">
        <v>79.46485313335833</v>
      </c>
      <c r="S21" s="8" t="n">
        <v>0</v>
      </c>
      <c r="T21" s="8" t="n">
        <v>0</v>
      </c>
      <c r="U21">
        <f>SUM(M21:T21)</f>
        <v/>
      </c>
    </row>
    <row r="22">
      <c r="A22" s="10" t="n">
        <v>0.3958333333333333</v>
      </c>
      <c r="B22" s="5" t="n">
        <v>63679.29237770724</v>
      </c>
      <c r="C22" s="5" t="n">
        <v>14023.27784284695</v>
      </c>
      <c r="D22" s="5" t="n">
        <v>623.22818928068</v>
      </c>
      <c r="E22" s="5" t="n">
        <v>171.8021850953914</v>
      </c>
      <c r="F22" s="5" t="n">
        <v>1193.205919701302</v>
      </c>
      <c r="G22" s="5" t="n">
        <v>127.8980508914683</v>
      </c>
      <c r="H22" s="5" t="n">
        <v>4.413398172046595</v>
      </c>
      <c r="I22" s="5" t="n">
        <v>0</v>
      </c>
      <c r="J22" s="5">
        <f>SUM(B22:I22)</f>
        <v/>
      </c>
      <c r="L22" s="10" t="n">
        <v>0.3958333333333333</v>
      </c>
      <c r="M22" s="8" t="n">
        <v>104499.3492630005</v>
      </c>
      <c r="N22" s="8" t="n">
        <v>13980.05713486672</v>
      </c>
      <c r="O22" s="8" t="n">
        <v>0</v>
      </c>
      <c r="P22" s="8" t="n">
        <v>0</v>
      </c>
      <c r="Q22" s="8" t="n">
        <v>3366.416312312624</v>
      </c>
      <c r="R22" s="8" t="n">
        <v>76.53620695935135</v>
      </c>
      <c r="S22" s="8" t="n">
        <v>0</v>
      </c>
      <c r="T22" s="8" t="n">
        <v>0</v>
      </c>
      <c r="U22">
        <f>SUM(M22:T22)</f>
        <v/>
      </c>
    </row>
    <row r="23">
      <c r="A23" s="10" t="n">
        <v>0.4166666666666667</v>
      </c>
      <c r="B23" s="5" t="n">
        <v>47623.12398168982</v>
      </c>
      <c r="C23" s="5" t="n">
        <v>11802.99068067999</v>
      </c>
      <c r="D23" s="5" t="n">
        <v>334.4614562098249</v>
      </c>
      <c r="E23" s="5" t="n">
        <v>197.1942760634207</v>
      </c>
      <c r="F23" s="5" t="n">
        <v>914.1430314997418</v>
      </c>
      <c r="G23" s="5" t="n">
        <v>78.6947203399491</v>
      </c>
      <c r="H23" s="5" t="n">
        <v>2.715937336644058</v>
      </c>
      <c r="I23" s="5" t="n">
        <v>0</v>
      </c>
      <c r="J23" s="5">
        <f>SUM(B23:I23)</f>
        <v/>
      </c>
      <c r="L23" s="10" t="n">
        <v>0.4166666666666667</v>
      </c>
      <c r="M23" s="8" t="n">
        <v>81075.05220522881</v>
      </c>
      <c r="N23" s="8" t="n">
        <v>12150.25399470329</v>
      </c>
      <c r="O23" s="8" t="n">
        <v>0</v>
      </c>
      <c r="P23" s="8" t="n">
        <v>0</v>
      </c>
      <c r="Q23" s="8" t="n">
        <v>2968.040614849429</v>
      </c>
      <c r="R23" s="8" t="n">
        <v>72.62544593932331</v>
      </c>
      <c r="S23" s="8" t="n">
        <v>0</v>
      </c>
      <c r="T23" s="8" t="n">
        <v>0</v>
      </c>
      <c r="U23">
        <f>SUM(M23:T23)</f>
        <v/>
      </c>
    </row>
    <row r="24">
      <c r="A24" s="10" t="n">
        <v>0.4375</v>
      </c>
      <c r="B24" s="5" t="n">
        <v>34574.29227776422</v>
      </c>
      <c r="C24" s="5" t="n">
        <v>9426.875294141762</v>
      </c>
      <c r="D24" s="5" t="n">
        <v>171.2490139303276</v>
      </c>
      <c r="E24" s="5" t="n">
        <v>200.0758221333546</v>
      </c>
      <c r="F24" s="5" t="n">
        <v>628.5728136270187</v>
      </c>
      <c r="G24" s="5" t="n">
        <v>40.91389969933155</v>
      </c>
      <c r="H24" s="5" t="n">
        <v>1.357968668322029</v>
      </c>
      <c r="I24" s="5" t="n">
        <v>0</v>
      </c>
      <c r="J24" s="5">
        <f>SUM(B24:I24)</f>
        <v/>
      </c>
      <c r="L24" s="10" t="n">
        <v>0.4375</v>
      </c>
      <c r="M24" s="8" t="n">
        <v>61531.53691477775</v>
      </c>
      <c r="N24" s="8" t="n">
        <v>10502.35433440208</v>
      </c>
      <c r="O24" s="8" t="n">
        <v>0</v>
      </c>
      <c r="P24" s="8" t="n">
        <v>0</v>
      </c>
      <c r="Q24" s="8" t="n">
        <v>2615.114040530706</v>
      </c>
      <c r="R24" s="8" t="n">
        <v>70.14821610837704</v>
      </c>
      <c r="S24" s="8" t="n">
        <v>0</v>
      </c>
      <c r="T24" s="8" t="n">
        <v>0</v>
      </c>
      <c r="U24">
        <f>SUM(M24:T24)</f>
        <v/>
      </c>
    </row>
    <row r="25">
      <c r="A25" s="10" t="n">
        <v>0.4583333333333333</v>
      </c>
      <c r="B25" s="5" t="n">
        <v>25320.24134330527</v>
      </c>
      <c r="C25" s="5" t="n">
        <v>7274.118012536688</v>
      </c>
      <c r="D25" s="5" t="n">
        <v>103.4003252876583</v>
      </c>
      <c r="E25" s="5" t="n">
        <v>185.25412418267</v>
      </c>
      <c r="F25" s="5" t="n">
        <v>400.3764370180887</v>
      </c>
      <c r="G25" s="5" t="n">
        <v>23.74010502331704</v>
      </c>
      <c r="H25" s="5" t="n">
        <v>0.5431874673288116</v>
      </c>
      <c r="I25" s="5" t="n">
        <v>0</v>
      </c>
      <c r="J25" s="5">
        <f>SUM(B25:I25)</f>
        <v/>
      </c>
      <c r="L25" s="10" t="n">
        <v>0.4583333333333333</v>
      </c>
      <c r="M25" s="8" t="n">
        <v>47258.50654845237</v>
      </c>
      <c r="N25" s="8" t="n">
        <v>9286.926096153258</v>
      </c>
      <c r="O25" s="8" t="n">
        <v>0</v>
      </c>
      <c r="P25" s="8" t="n">
        <v>0</v>
      </c>
      <c r="Q25" s="8" t="n">
        <v>2371.618754669197</v>
      </c>
      <c r="R25" s="8" t="n">
        <v>70.34917926240642</v>
      </c>
      <c r="S25" s="8" t="n">
        <v>0</v>
      </c>
      <c r="T25" s="8" t="n">
        <v>0</v>
      </c>
      <c r="U25">
        <f>SUM(M25:T25)</f>
        <v/>
      </c>
    </row>
    <row r="26">
      <c r="A26" s="10" t="n">
        <v>0.4791666666666667</v>
      </c>
      <c r="B26" s="5" t="n">
        <v>19536.33418485783</v>
      </c>
      <c r="C26" s="5" t="n">
        <v>5515.887025075758</v>
      </c>
      <c r="D26" s="5" t="n">
        <v>80.06435690100655</v>
      </c>
      <c r="E26" s="5" t="n">
        <v>161.57216005305</v>
      </c>
      <c r="F26" s="5" t="n">
        <v>252.4000066443055</v>
      </c>
      <c r="G26" s="5" t="n">
        <v>33.43122362628822</v>
      </c>
      <c r="H26" s="5" t="n">
        <v>0.1697460835402537</v>
      </c>
      <c r="I26" s="5" t="n">
        <v>0</v>
      </c>
      <c r="J26" s="5">
        <f>SUM(B26:I26)</f>
        <v/>
      </c>
      <c r="L26" s="10" t="n">
        <v>0.4791666666666667</v>
      </c>
      <c r="M26" s="8" t="n">
        <v>37670.50744156836</v>
      </c>
      <c r="N26" s="8" t="n">
        <v>8502.408469629287</v>
      </c>
      <c r="O26" s="8" t="n">
        <v>0</v>
      </c>
      <c r="P26" s="8" t="n">
        <v>0</v>
      </c>
      <c r="Q26" s="8" t="n">
        <v>2235.303030260904</v>
      </c>
      <c r="R26" s="8" t="n">
        <v>72.96194795061982</v>
      </c>
      <c r="S26" s="8" t="n">
        <v>0</v>
      </c>
      <c r="T26" s="8" t="n">
        <v>0</v>
      </c>
      <c r="U26">
        <f>SUM(M26:T26)</f>
        <v/>
      </c>
    </row>
    <row r="27">
      <c r="A27" s="10" t="n">
        <v>0.5</v>
      </c>
      <c r="B27" s="5" t="n">
        <v>16247.34244023418</v>
      </c>
      <c r="C27" s="5" t="n">
        <v>4192.121062655778</v>
      </c>
      <c r="D27" s="5" t="n">
        <v>65.71216752488466</v>
      </c>
      <c r="E27" s="5" t="n">
        <v>133.9449407679388</v>
      </c>
      <c r="F27" s="5" t="n">
        <v>168.615254749576</v>
      </c>
      <c r="G27" s="5" t="n">
        <v>82.59008526150808</v>
      </c>
      <c r="H27" s="5" t="n">
        <v>0.03994025495064792</v>
      </c>
      <c r="I27" s="5" t="n">
        <v>0</v>
      </c>
      <c r="J27" s="5">
        <f>SUM(B27:I27)</f>
        <v/>
      </c>
      <c r="L27" s="10" t="n">
        <v>0.5</v>
      </c>
      <c r="M27" s="8" t="n">
        <v>31248.32735714912</v>
      </c>
      <c r="N27" s="8" t="n">
        <v>7996.098408889769</v>
      </c>
      <c r="O27" s="8" t="n">
        <v>0</v>
      </c>
      <c r="P27" s="8" t="n">
        <v>0</v>
      </c>
      <c r="Q27" s="8" t="n">
        <v>2162.580709722738</v>
      </c>
      <c r="R27" s="8" t="n">
        <v>76.89452383836675</v>
      </c>
      <c r="S27" s="8" t="n">
        <v>0</v>
      </c>
      <c r="T27" s="8" t="n">
        <v>0</v>
      </c>
      <c r="U27">
        <f>SUM(M27:T27)</f>
        <v/>
      </c>
    </row>
    <row r="28">
      <c r="A28" s="10" t="n">
        <v>0.5208333333333334</v>
      </c>
      <c r="B28" s="5" t="n">
        <v>14383.45300067978</v>
      </c>
      <c r="C28" s="5" t="n">
        <v>3321.165994872631</v>
      </c>
      <c r="D28" s="5" t="n">
        <v>48.25413082130363</v>
      </c>
      <c r="E28" s="5" t="n">
        <v>103.1665724851755</v>
      </c>
      <c r="F28" s="5" t="n">
        <v>120.9252789402979</v>
      </c>
      <c r="G28" s="5" t="n">
        <v>193.3205871184721</v>
      </c>
      <c r="H28" s="5" t="n">
        <v>0.00665670915844132</v>
      </c>
      <c r="I28" s="5" t="n">
        <v>0</v>
      </c>
      <c r="J28" s="5">
        <f>SUM(B28:I28)</f>
        <v/>
      </c>
      <c r="L28" s="10" t="n">
        <v>0.5208333333333334</v>
      </c>
      <c r="M28" s="8" t="n">
        <v>26562.70435729027</v>
      </c>
      <c r="N28" s="8" t="n">
        <v>7608.043874597548</v>
      </c>
      <c r="O28" s="8" t="n">
        <v>0</v>
      </c>
      <c r="P28" s="8" t="n">
        <v>0</v>
      </c>
      <c r="Q28" s="8" t="n">
        <v>2108.315270496849</v>
      </c>
      <c r="R28" s="8" t="n">
        <v>81.34741669777269</v>
      </c>
      <c r="S28" s="8" t="n">
        <v>0</v>
      </c>
      <c r="T28" s="8" t="n">
        <v>0</v>
      </c>
      <c r="U28">
        <f>SUM(M28:T28)</f>
        <v/>
      </c>
    </row>
    <row r="29">
      <c r="A29" s="10" t="n">
        <v>0.5416666666666666</v>
      </c>
      <c r="B29" s="5" t="n">
        <v>13122.49474265147</v>
      </c>
      <c r="C29" s="5" t="n">
        <v>2941.802466781171</v>
      </c>
      <c r="D29" s="5" t="n">
        <v>29.90454467871359</v>
      </c>
      <c r="E29" s="5" t="n">
        <v>70.91811079760872</v>
      </c>
      <c r="F29" s="5" t="n">
        <v>90.76607009926627</v>
      </c>
      <c r="G29" s="5" t="n">
        <v>388.3010324978085</v>
      </c>
      <c r="H29" s="5" t="n">
        <v>0.0007007062272043496</v>
      </c>
      <c r="I29" s="5" t="n">
        <v>0</v>
      </c>
      <c r="J29" s="5">
        <f>SUM(B29:I29)</f>
        <v/>
      </c>
      <c r="L29" s="10" t="n">
        <v>0.5416666666666666</v>
      </c>
      <c r="M29" s="8" t="n">
        <v>22774.99878911972</v>
      </c>
      <c r="N29" s="8" t="n">
        <v>7255.965024995801</v>
      </c>
      <c r="O29" s="8" t="n">
        <v>0</v>
      </c>
      <c r="P29" s="8" t="n">
        <v>0</v>
      </c>
      <c r="Q29" s="8" t="n">
        <v>2051.512490879757</v>
      </c>
      <c r="R29" s="8" t="n">
        <v>86.37451317317004</v>
      </c>
      <c r="S29" s="8" t="n">
        <v>0</v>
      </c>
      <c r="T29" s="8" t="n">
        <v>0</v>
      </c>
      <c r="U29">
        <f>SUM(M29:T29)</f>
        <v/>
      </c>
    </row>
    <row r="30">
      <c r="A30" s="10" t="n">
        <v>0.5625</v>
      </c>
      <c r="B30" s="5" t="n">
        <v>11953.68311078201</v>
      </c>
      <c r="C30" s="5" t="n">
        <v>3054.63834341658</v>
      </c>
      <c r="D30" s="5" t="n">
        <v>15.80497670955303</v>
      </c>
      <c r="E30" s="5" t="n">
        <v>41.84202428938374</v>
      </c>
      <c r="F30" s="5" t="n">
        <v>75.01168924710686</v>
      </c>
      <c r="G30" s="5" t="n">
        <v>672.5158478556209</v>
      </c>
      <c r="H30" s="5" t="n">
        <v>3.503531136021747e-05</v>
      </c>
      <c r="I30" s="5" t="n">
        <v>0</v>
      </c>
      <c r="J30" s="5">
        <f>SUM(B30:I30)</f>
        <v/>
      </c>
      <c r="L30" s="10" t="n">
        <v>0.5625</v>
      </c>
      <c r="M30" s="8" t="n">
        <v>19583.7050637722</v>
      </c>
      <c r="N30" s="8" t="n">
        <v>6928.891671705244</v>
      </c>
      <c r="O30" s="8" t="n">
        <v>0</v>
      </c>
      <c r="P30" s="8" t="n">
        <v>0</v>
      </c>
      <c r="Q30" s="8" t="n">
        <v>1994.143324225838</v>
      </c>
      <c r="R30" s="8" t="n">
        <v>92.43680527361512</v>
      </c>
      <c r="S30" s="8" t="n">
        <v>0</v>
      </c>
      <c r="T30" s="8" t="n">
        <v>0</v>
      </c>
      <c r="U30">
        <f>SUM(M30:T30)</f>
        <v/>
      </c>
    </row>
    <row r="31">
      <c r="A31" s="10" t="n">
        <v>0.5833333333333334</v>
      </c>
      <c r="B31" s="5" t="n">
        <v>10616.63132151817</v>
      </c>
      <c r="C31" s="5" t="n">
        <v>3526.471459073887</v>
      </c>
      <c r="D31" s="5" t="n">
        <v>8.055556763289982</v>
      </c>
      <c r="E31" s="5" t="n">
        <v>20.52511103964338</v>
      </c>
      <c r="F31" s="5" t="n">
        <v>82.67347002220025</v>
      </c>
      <c r="G31" s="5" t="n">
        <v>1016.33474553305</v>
      </c>
      <c r="H31" s="5" t="n">
        <v>0</v>
      </c>
      <c r="I31" s="5" t="n">
        <v>0</v>
      </c>
      <c r="J31" s="5">
        <f>SUM(B31:I31)</f>
        <v/>
      </c>
      <c r="L31" s="10" t="n">
        <v>0.5833333333333334</v>
      </c>
      <c r="M31" s="8" t="n">
        <v>16921.05661683083</v>
      </c>
      <c r="N31" s="8" t="n">
        <v>6632.640888261794</v>
      </c>
      <c r="O31" s="8" t="n">
        <v>0</v>
      </c>
      <c r="P31" s="8" t="n">
        <v>0</v>
      </c>
      <c r="Q31" s="8" t="n">
        <v>1943.199526252869</v>
      </c>
      <c r="R31" s="8" t="n">
        <v>99.4681883736216</v>
      </c>
      <c r="S31" s="8" t="n">
        <v>0</v>
      </c>
      <c r="T31" s="8" t="n">
        <v>0</v>
      </c>
      <c r="U31">
        <f>SUM(M31:T31)</f>
        <v/>
      </c>
    </row>
    <row r="32">
      <c r="A32" s="10" t="n">
        <v>0.6041666666666666</v>
      </c>
      <c r="B32" s="5" t="n">
        <v>9058.342128372182</v>
      </c>
      <c r="C32" s="5" t="n">
        <v>4079.06721452709</v>
      </c>
      <c r="D32" s="5" t="n">
        <v>5.364009155198365</v>
      </c>
      <c r="E32" s="5" t="n">
        <v>8.142194378403975</v>
      </c>
      <c r="F32" s="5" t="n">
        <v>127.4874360849599</v>
      </c>
      <c r="G32" s="5" t="n">
        <v>1352.540693646381</v>
      </c>
      <c r="H32" s="5" t="n">
        <v>0</v>
      </c>
      <c r="I32" s="5" t="n">
        <v>0</v>
      </c>
      <c r="J32" s="5">
        <f>SUM(B32:I32)</f>
        <v/>
      </c>
      <c r="L32" s="10" t="n">
        <v>0.6041666666666666</v>
      </c>
      <c r="M32" s="8" t="n">
        <v>14717.86580295563</v>
      </c>
      <c r="N32" s="8" t="n">
        <v>6350.161642599105</v>
      </c>
      <c r="O32" s="8" t="n">
        <v>0</v>
      </c>
      <c r="P32" s="8" t="n">
        <v>0</v>
      </c>
      <c r="Q32" s="8" t="n">
        <v>1896.191936793463</v>
      </c>
      <c r="R32" s="8" t="n">
        <v>106.4124482356267</v>
      </c>
      <c r="S32" s="8" t="n">
        <v>0</v>
      </c>
      <c r="T32" s="8" t="n">
        <v>0</v>
      </c>
      <c r="U32">
        <f>SUM(M32:T32)</f>
        <v/>
      </c>
    </row>
    <row r="33">
      <c r="A33" s="10" t="n">
        <v>0.625</v>
      </c>
      <c r="B33" s="5" t="n">
        <v>7403.046346805022</v>
      </c>
      <c r="C33" s="5" t="n">
        <v>4420.218907416232</v>
      </c>
      <c r="D33" s="5" t="n">
        <v>5.132272635741145</v>
      </c>
      <c r="E33" s="5" t="n">
        <v>2.538688187161941</v>
      </c>
      <c r="F33" s="5" t="n">
        <v>215.3773659781564</v>
      </c>
      <c r="G33" s="5" t="n">
        <v>1593.7925484216</v>
      </c>
      <c r="H33" s="5" t="n">
        <v>0</v>
      </c>
      <c r="I33" s="5" t="n">
        <v>0</v>
      </c>
      <c r="J33" s="5">
        <f>SUM(B33:I33)</f>
        <v/>
      </c>
      <c r="L33" s="10" t="n">
        <v>0.625</v>
      </c>
      <c r="M33" s="8" t="n">
        <v>12854.59225549698</v>
      </c>
      <c r="N33" s="8" t="n">
        <v>6044.276363945006</v>
      </c>
      <c r="O33" s="8" t="n">
        <v>0</v>
      </c>
      <c r="P33" s="8" t="n">
        <v>0</v>
      </c>
      <c r="Q33" s="8" t="n">
        <v>1841.589892034585</v>
      </c>
      <c r="R33" s="8" t="n">
        <v>111.6904861347864</v>
      </c>
      <c r="S33" s="8" t="n">
        <v>0</v>
      </c>
      <c r="T33" s="8" t="n">
        <v>0</v>
      </c>
      <c r="U33">
        <f>SUM(M33:T33)</f>
        <v/>
      </c>
    </row>
    <row r="34">
      <c r="A34" s="10" t="n">
        <v>0.6458333333333334</v>
      </c>
      <c r="B34" s="5" t="n">
        <v>5862.026494962829</v>
      </c>
      <c r="C34" s="5" t="n">
        <v>4415.218666468728</v>
      </c>
      <c r="D34" s="5" t="n">
        <v>5.241559729777723</v>
      </c>
      <c r="E34" s="5" t="n">
        <v>0.6188761314686401</v>
      </c>
      <c r="F34" s="5" t="n">
        <v>330.1400501193613</v>
      </c>
      <c r="G34" s="5" t="n">
        <v>1666.011827505888</v>
      </c>
      <c r="H34" s="5" t="n">
        <v>0</v>
      </c>
      <c r="I34" s="5" t="n">
        <v>0</v>
      </c>
      <c r="J34" s="5">
        <f>SUM(B34:I34)</f>
        <v/>
      </c>
      <c r="L34" s="10" t="n">
        <v>0.6458333333333334</v>
      </c>
      <c r="M34" s="8" t="n">
        <v>11223.87857494354</v>
      </c>
      <c r="N34" s="8" t="n">
        <v>5684.770459890365</v>
      </c>
      <c r="O34" s="8" t="n">
        <v>0</v>
      </c>
      <c r="P34" s="8" t="n">
        <v>0</v>
      </c>
      <c r="Q34" s="8" t="n">
        <v>1769.271265784135</v>
      </c>
      <c r="R34" s="8" t="n">
        <v>114.1421305595761</v>
      </c>
      <c r="S34" s="8" t="n">
        <v>0</v>
      </c>
      <c r="T34" s="8" t="n">
        <v>0</v>
      </c>
      <c r="U34">
        <f>SUM(M34:T34)</f>
        <v/>
      </c>
    </row>
    <row r="35">
      <c r="A35" s="10" t="n">
        <v>0.6666666666666666</v>
      </c>
      <c r="B35" s="5" t="n">
        <v>4594.365668343543</v>
      </c>
      <c r="C35" s="5" t="n">
        <v>4125.587644922143</v>
      </c>
      <c r="D35" s="5" t="n">
        <v>4.707072457280581</v>
      </c>
      <c r="E35" s="5" t="n">
        <v>0.1997204376614113</v>
      </c>
      <c r="F35" s="5" t="n">
        <v>430.7839129073873</v>
      </c>
      <c r="G35" s="5" t="n">
        <v>1542.521708978164</v>
      </c>
      <c r="H35" s="5" t="n">
        <v>0</v>
      </c>
      <c r="I35" s="5" t="n">
        <v>0</v>
      </c>
      <c r="J35" s="5">
        <f>SUM(B35:I35)</f>
        <v/>
      </c>
      <c r="L35" s="10" t="n">
        <v>0.6666666666666666</v>
      </c>
      <c r="M35" s="8" t="n">
        <v>9779.018796920776</v>
      </c>
      <c r="N35" s="8" t="n">
        <v>5266.357629251479</v>
      </c>
      <c r="O35" s="8" t="n">
        <v>0</v>
      </c>
      <c r="P35" s="8" t="n">
        <v>0</v>
      </c>
      <c r="Q35" s="8" t="n">
        <v>1677.965534866225</v>
      </c>
      <c r="R35" s="8" t="n">
        <v>113.5690616867873</v>
      </c>
      <c r="S35" s="8" t="n">
        <v>0</v>
      </c>
      <c r="T35" s="8" t="n">
        <v>0</v>
      </c>
      <c r="U35">
        <f>SUM(M35:T35)</f>
        <v/>
      </c>
    </row>
    <row r="36">
      <c r="A36" s="10" t="n">
        <v>0.6875</v>
      </c>
      <c r="B36" s="5" t="n">
        <v>3624.064697154177</v>
      </c>
      <c r="C36" s="5" t="n">
        <v>3682.377774471419</v>
      </c>
      <c r="D36" s="5" t="n">
        <v>3.524989340729679</v>
      </c>
      <c r="E36" s="5" t="n">
        <v>0.3325650875564774</v>
      </c>
      <c r="F36" s="5" t="n">
        <v>470.980007925456</v>
      </c>
      <c r="G36" s="5" t="n">
        <v>1259.389168367596</v>
      </c>
      <c r="H36" s="5" t="n">
        <v>0</v>
      </c>
      <c r="I36" s="5" t="n">
        <v>0</v>
      </c>
      <c r="J36" s="5">
        <f>SUM(B36:I36)</f>
        <v/>
      </c>
      <c r="L36" s="10" t="n">
        <v>0.6875</v>
      </c>
      <c r="M36" s="8" t="n">
        <v>8514.580906009673</v>
      </c>
      <c r="N36" s="8" t="n">
        <v>4802.45903892517</v>
      </c>
      <c r="O36" s="8" t="n">
        <v>0</v>
      </c>
      <c r="P36" s="8" t="n">
        <v>0</v>
      </c>
      <c r="Q36" s="8" t="n">
        <v>1572.526363812516</v>
      </c>
      <c r="R36" s="8" t="n">
        <v>110.4675250386194</v>
      </c>
      <c r="S36" s="8" t="n">
        <v>0</v>
      </c>
      <c r="T36" s="8" t="n">
        <v>0</v>
      </c>
      <c r="U36">
        <f>SUM(M36:T36)</f>
        <v/>
      </c>
    </row>
    <row r="37">
      <c r="A37" s="10" t="n">
        <v>0.7083333333333334</v>
      </c>
      <c r="B37" s="5" t="n">
        <v>2876.433242561646</v>
      </c>
      <c r="C37" s="5" t="n">
        <v>3151.369923348697</v>
      </c>
      <c r="D37" s="5" t="n">
        <v>2.16899058320812</v>
      </c>
      <c r="E37" s="5" t="n">
        <v>0.8059031751300475</v>
      </c>
      <c r="F37" s="5" t="n">
        <v>429.8347940859472</v>
      </c>
      <c r="G37" s="5" t="n">
        <v>900.295161329627</v>
      </c>
      <c r="H37" s="5" t="n">
        <v>0</v>
      </c>
      <c r="I37" s="5" t="n">
        <v>0</v>
      </c>
      <c r="J37" s="5">
        <f>SUM(B37:I37)</f>
        <v/>
      </c>
      <c r="L37" s="10" t="n">
        <v>0.7083333333333334</v>
      </c>
      <c r="M37" s="8" t="n">
        <v>7414.274134492874</v>
      </c>
      <c r="N37" s="8" t="n">
        <v>4306.649038743972</v>
      </c>
      <c r="O37" s="8" t="n">
        <v>0</v>
      </c>
      <c r="P37" s="8" t="n">
        <v>0</v>
      </c>
      <c r="Q37" s="8" t="n">
        <v>1455.513284810545</v>
      </c>
      <c r="R37" s="8" t="n">
        <v>105.3535067881401</v>
      </c>
      <c r="S37" s="8" t="n">
        <v>0</v>
      </c>
      <c r="T37" s="8" t="n">
        <v>0</v>
      </c>
      <c r="U37">
        <f>SUM(M37:T37)</f>
        <v/>
      </c>
    </row>
    <row r="38">
      <c r="A38" s="10" t="n">
        <v>0.7291666666666666</v>
      </c>
      <c r="B38" s="5" t="n">
        <v>2271.15936408639</v>
      </c>
      <c r="C38" s="5" t="n">
        <v>2533.177121402801</v>
      </c>
      <c r="D38" s="5" t="n">
        <v>1.08449529160406</v>
      </c>
      <c r="E38" s="5" t="n">
        <v>1.610766460990396</v>
      </c>
      <c r="F38" s="5" t="n">
        <v>326.8717615968856</v>
      </c>
      <c r="G38" s="5" t="n">
        <v>558.0630516878989</v>
      </c>
      <c r="H38" s="5" t="n">
        <v>0</v>
      </c>
      <c r="I38" s="5" t="n">
        <v>0</v>
      </c>
      <c r="J38" s="5">
        <f>SUM(B38:I38)</f>
        <v/>
      </c>
      <c r="L38" s="10" t="n">
        <v>0.7291666666666666</v>
      </c>
      <c r="M38" s="8" t="n">
        <v>6426.591593503951</v>
      </c>
      <c r="N38" s="8" t="n">
        <v>3783.378137350082</v>
      </c>
      <c r="O38" s="8" t="n">
        <v>0</v>
      </c>
      <c r="P38" s="8" t="n">
        <v>0</v>
      </c>
      <c r="Q38" s="8" t="n">
        <v>1323.081551387918</v>
      </c>
      <c r="R38" s="8" t="n">
        <v>98.39457969429323</v>
      </c>
      <c r="S38" s="8" t="n">
        <v>0</v>
      </c>
      <c r="T38" s="8" t="n">
        <v>0</v>
      </c>
      <c r="U38">
        <f>SUM(M38:T38)</f>
        <v/>
      </c>
    </row>
    <row r="39">
      <c r="A39" s="10" t="n">
        <v>0.75</v>
      </c>
      <c r="B39" s="5" t="n">
        <v>1770.051560215756</v>
      </c>
      <c r="C39" s="5" t="n">
        <v>1853.363181071187</v>
      </c>
      <c r="D39" s="5" t="n">
        <v>0.433798116641624</v>
      </c>
      <c r="E39" s="5" t="n">
        <v>2.617495499109393</v>
      </c>
      <c r="F39" s="5" t="n">
        <v>206.7619458158068</v>
      </c>
      <c r="G39" s="5" t="n">
        <v>296.1710550928024</v>
      </c>
      <c r="H39" s="5" t="n">
        <v>0</v>
      </c>
      <c r="I39" s="5" t="n">
        <v>0</v>
      </c>
      <c r="J39" s="5">
        <f>SUM(B39:I39)</f>
        <v/>
      </c>
      <c r="L39" s="10" t="n">
        <v>0.75</v>
      </c>
      <c r="M39" s="8" t="n">
        <v>5489.754894495009</v>
      </c>
      <c r="N39" s="8" t="n">
        <v>3236.91915192604</v>
      </c>
      <c r="O39" s="8" t="n">
        <v>0</v>
      </c>
      <c r="P39" s="8" t="n">
        <v>0</v>
      </c>
      <c r="Q39" s="8" t="n">
        <v>1170.130820853741</v>
      </c>
      <c r="R39" s="8" t="n">
        <v>89.63322002257706</v>
      </c>
      <c r="S39" s="8" t="n">
        <v>0</v>
      </c>
      <c r="T39" s="8" t="n">
        <v>0</v>
      </c>
      <c r="U39">
        <f>SUM(M39:T39)</f>
        <v/>
      </c>
    </row>
    <row r="40">
      <c r="A40" s="10" t="n">
        <v>0.7708333333333334</v>
      </c>
      <c r="B40" s="5" t="n">
        <v>1359.434536271593</v>
      </c>
      <c r="C40" s="5" t="n">
        <v>1202.156649823984</v>
      </c>
      <c r="D40" s="5" t="n">
        <v>0.1355619114505075</v>
      </c>
      <c r="E40" s="5" t="n">
        <v>3.489993998812523</v>
      </c>
      <c r="F40" s="5" t="n">
        <v>108.9423803591026</v>
      </c>
      <c r="G40" s="5" t="n">
        <v>132.3841935411183</v>
      </c>
      <c r="H40" s="5" t="n">
        <v>0</v>
      </c>
      <c r="I40" s="5" t="n">
        <v>0</v>
      </c>
      <c r="J40" s="5">
        <f>SUM(B40:I40)</f>
        <v/>
      </c>
      <c r="L40" s="10" t="n">
        <v>0.7708333333333334</v>
      </c>
      <c r="M40" s="8" t="n">
        <v>4576.23209695816</v>
      </c>
      <c r="N40" s="8" t="n">
        <v>2687.184663200378</v>
      </c>
      <c r="O40" s="8" t="n">
        <v>0</v>
      </c>
      <c r="P40" s="8" t="n">
        <v>0</v>
      </c>
      <c r="Q40" s="8" t="n">
        <v>999.7260301436152</v>
      </c>
      <c r="R40" s="8" t="n">
        <v>79.46430294224481</v>
      </c>
      <c r="S40" s="8" t="n">
        <v>0</v>
      </c>
      <c r="T40" s="8" t="n">
        <v>0</v>
      </c>
      <c r="U40">
        <f>SUM(M40:T40)</f>
        <v/>
      </c>
    </row>
    <row r="41">
      <c r="A41" s="10" t="n">
        <v>0.7916666666666666</v>
      </c>
      <c r="B41" s="5" t="n">
        <v>1022.734575772918</v>
      </c>
      <c r="C41" s="5" t="n">
        <v>681.4748884074345</v>
      </c>
      <c r="D41" s="5" t="n">
        <v>0.03189692034129588</v>
      </c>
      <c r="E41" s="5" t="n">
        <v>3.838993398693776</v>
      </c>
      <c r="F41" s="5" t="n">
        <v>48.82950087390576</v>
      </c>
      <c r="G41" s="5" t="n">
        <v>48.77863724663963</v>
      </c>
      <c r="H41" s="5" t="n">
        <v>0</v>
      </c>
      <c r="I41" s="5" t="n">
        <v>0</v>
      </c>
      <c r="J41" s="5">
        <f>SUM(B41:I41)</f>
        <v/>
      </c>
      <c r="L41" s="10" t="n">
        <v>0.7916666666666666</v>
      </c>
      <c r="M41" s="8" t="n">
        <v>3711.509978723526</v>
      </c>
      <c r="N41" s="8" t="n">
        <v>2172.99931192398</v>
      </c>
      <c r="O41" s="8" t="n">
        <v>0</v>
      </c>
      <c r="P41" s="8" t="n">
        <v>0</v>
      </c>
      <c r="Q41" s="8" t="n">
        <v>826.8553107408327</v>
      </c>
      <c r="R41" s="8" t="n">
        <v>68.82333903595531</v>
      </c>
      <c r="S41" s="8" t="n">
        <v>0</v>
      </c>
      <c r="T41" s="8" t="n">
        <v>0</v>
      </c>
      <c r="U41">
        <f>SUM(M41:T41)</f>
        <v/>
      </c>
    </row>
    <row r="42">
      <c r="A42" s="10" t="n">
        <v>0.8125</v>
      </c>
      <c r="B42" s="5" t="n">
        <v>741.6774560126031</v>
      </c>
      <c r="C42" s="5" t="n">
        <v>337.389360004562</v>
      </c>
      <c r="D42" s="5" t="n">
        <v>0.005316153390215982</v>
      </c>
      <c r="E42" s="5" t="n">
        <v>3.489993998812523</v>
      </c>
      <c r="F42" s="5" t="n">
        <v>20.57093049217384</v>
      </c>
      <c r="G42" s="5" t="n">
        <v>14.39099629482559</v>
      </c>
      <c r="H42" s="5" t="n">
        <v>0</v>
      </c>
      <c r="I42" s="5" t="n">
        <v>0</v>
      </c>
      <c r="J42" s="5">
        <f>SUM(B42:I42)</f>
        <v/>
      </c>
      <c r="L42" s="10" t="n">
        <v>0.8125</v>
      </c>
      <c r="M42" s="8" t="n">
        <v>2949.754974746704</v>
      </c>
      <c r="N42" s="8" t="n">
        <v>1735.47191748619</v>
      </c>
      <c r="O42" s="8" t="n">
        <v>0</v>
      </c>
      <c r="P42" s="8" t="n">
        <v>0</v>
      </c>
      <c r="Q42" s="8" t="n">
        <v>671.6853948557155</v>
      </c>
      <c r="R42" s="8" t="n">
        <v>58.8449154939109</v>
      </c>
      <c r="S42" s="8" t="n">
        <v>0</v>
      </c>
      <c r="T42" s="8" t="n">
        <v>0</v>
      </c>
      <c r="U42">
        <f>SUM(M42:T42)</f>
        <v/>
      </c>
    </row>
    <row r="43">
      <c r="A43" s="10" t="n">
        <v>0.8333333333333334</v>
      </c>
      <c r="B43" s="5" t="n">
        <v>510.3564303906795</v>
      </c>
      <c r="C43" s="5" t="n">
        <v>148.8398047905488</v>
      </c>
      <c r="D43" s="5" t="n">
        <v>0.0005595950937069455</v>
      </c>
      <c r="E43" s="5" t="n">
        <v>2.617495499109393</v>
      </c>
      <c r="F43" s="5" t="n">
        <v>10.53655530551354</v>
      </c>
      <c r="G43" s="5" t="n">
        <v>3.260902973253389</v>
      </c>
      <c r="H43" s="5" t="n">
        <v>0</v>
      </c>
      <c r="I43" s="5" t="n">
        <v>0</v>
      </c>
      <c r="J43" s="5">
        <f>SUM(B43:I43)</f>
        <v/>
      </c>
      <c r="L43" s="10" t="n">
        <v>0.8333333333333334</v>
      </c>
      <c r="M43" s="8" t="n">
        <v>2329.7523478508</v>
      </c>
      <c r="N43" s="8" t="n">
        <v>1394.499363183975</v>
      </c>
      <c r="O43" s="8" t="n">
        <v>0</v>
      </c>
      <c r="P43" s="8" t="n">
        <v>0</v>
      </c>
      <c r="Q43" s="8" t="n">
        <v>547.6917533614561</v>
      </c>
      <c r="R43" s="8" t="n">
        <v>50.25105417081267</v>
      </c>
      <c r="S43" s="8" t="n">
        <v>0</v>
      </c>
      <c r="T43" s="8" t="n">
        <v>0</v>
      </c>
      <c r="U43">
        <f>SUM(M43:T43)</f>
        <v/>
      </c>
    </row>
    <row r="44">
      <c r="A44" s="10" t="n">
        <v>0.8541666666666666</v>
      </c>
      <c r="B44" s="5" t="n">
        <v>335.1205400356925</v>
      </c>
      <c r="C44" s="5" t="n">
        <v>63.1133592267058</v>
      </c>
      <c r="D44" s="5" t="n">
        <v>2.797975468534727e-05</v>
      </c>
      <c r="E44" s="5" t="n">
        <v>1.610766460990396</v>
      </c>
      <c r="F44" s="5" t="n">
        <v>7.63533177588156</v>
      </c>
      <c r="G44" s="5" t="n">
        <v>0.5317158282166197</v>
      </c>
      <c r="H44" s="5" t="n">
        <v>0</v>
      </c>
      <c r="I44" s="5" t="n">
        <v>0</v>
      </c>
      <c r="J44" s="5">
        <f>SUM(B44:I44)</f>
        <v/>
      </c>
      <c r="L44" s="10" t="n">
        <v>0.8541666666666666</v>
      </c>
      <c r="M44" s="8" t="n">
        <v>1849.182042217255</v>
      </c>
      <c r="N44" s="8" t="n">
        <v>1139.050307226181</v>
      </c>
      <c r="O44" s="8" t="n">
        <v>0</v>
      </c>
      <c r="P44" s="8" t="n">
        <v>0</v>
      </c>
      <c r="Q44" s="8" t="n">
        <v>454.8956144083564</v>
      </c>
      <c r="R44" s="8" t="n">
        <v>43.00910577236748</v>
      </c>
      <c r="S44" s="8" t="n">
        <v>0</v>
      </c>
      <c r="T44" s="8" t="n">
        <v>0</v>
      </c>
      <c r="U44">
        <f>SUM(M44:T44)</f>
        <v/>
      </c>
    </row>
    <row r="45">
      <c r="A45" s="10" t="n">
        <v>0.875</v>
      </c>
      <c r="B45" s="5" t="n">
        <v>220.4632240443041</v>
      </c>
      <c r="C45" s="5" t="n">
        <v>31.83561001138354</v>
      </c>
      <c r="D45" s="5" t="n">
        <v>0</v>
      </c>
      <c r="E45" s="5" t="n">
        <v>0.8053832304951978</v>
      </c>
      <c r="F45" s="5" t="n">
        <v>6.196830465152469</v>
      </c>
      <c r="G45" s="5" t="n">
        <v>0.05543919993292484</v>
      </c>
      <c r="H45" s="5" t="n">
        <v>0</v>
      </c>
      <c r="I45" s="5" t="n">
        <v>0</v>
      </c>
      <c r="J45" s="5">
        <f>SUM(B45:I45)</f>
        <v/>
      </c>
      <c r="L45" s="10" t="n">
        <v>0.875</v>
      </c>
      <c r="M45" s="8" t="n">
        <v>1473.486500597</v>
      </c>
      <c r="N45" s="8" t="n">
        <v>938.7558512210844</v>
      </c>
      <c r="O45" s="8" t="n">
        <v>0</v>
      </c>
      <c r="P45" s="8" t="n">
        <v>0</v>
      </c>
      <c r="Q45" s="8" t="n">
        <v>383.0984487826838</v>
      </c>
      <c r="R45" s="8" t="n">
        <v>36.57288941210356</v>
      </c>
      <c r="S45" s="8" t="n">
        <v>0</v>
      </c>
      <c r="T45" s="8" t="n">
        <v>0</v>
      </c>
      <c r="U45">
        <f>SUM(M45:T45)</f>
        <v/>
      </c>
    </row>
    <row r="46">
      <c r="A46" s="10" t="n">
        <v>0.8958333333333334</v>
      </c>
      <c r="B46" s="5" t="n">
        <v>158.2791428401185</v>
      </c>
      <c r="C46" s="5" t="n">
        <v>24.25570561478612</v>
      </c>
      <c r="D46" s="5" t="n">
        <v>0</v>
      </c>
      <c r="E46" s="5" t="n">
        <v>0.322153292198079</v>
      </c>
      <c r="F46" s="5" t="n">
        <v>4.536492370386084</v>
      </c>
      <c r="G46" s="5" t="n">
        <v>0.002771959996646242</v>
      </c>
      <c r="H46" s="5" t="n">
        <v>0</v>
      </c>
      <c r="I46" s="5" t="n">
        <v>0</v>
      </c>
      <c r="J46" s="5">
        <f>SUM(B46:I46)</f>
        <v/>
      </c>
      <c r="L46" s="10" t="n">
        <v>0.8958333333333334</v>
      </c>
      <c r="M46" s="8" t="n">
        <v>1163.545989608765</v>
      </c>
      <c r="N46" s="8" t="n">
        <v>765.0273004531859</v>
      </c>
      <c r="O46" s="8" t="n">
        <v>0</v>
      </c>
      <c r="P46" s="8" t="n">
        <v>0</v>
      </c>
      <c r="Q46" s="8" t="n">
        <v>320.7119552542928</v>
      </c>
      <c r="R46" s="8" t="n">
        <v>30.45454122574635</v>
      </c>
      <c r="S46" s="8" t="n">
        <v>0</v>
      </c>
      <c r="T46" s="8" t="n">
        <v>0</v>
      </c>
      <c r="U46">
        <f>SUM(M46:T46)</f>
        <v/>
      </c>
    </row>
    <row r="47">
      <c r="A47" s="10" t="n">
        <v>0.9166666666666666</v>
      </c>
      <c r="B47" s="5" t="n">
        <v>129.5287150769592</v>
      </c>
      <c r="C47" s="5" t="n">
        <v>24.25254950961722</v>
      </c>
      <c r="D47" s="5" t="n">
        <v>0</v>
      </c>
      <c r="E47" s="5" t="n">
        <v>0.1006729038118997</v>
      </c>
      <c r="F47" s="5" t="n">
        <v>2.778853028447227</v>
      </c>
      <c r="G47" s="5" t="n">
        <v>0</v>
      </c>
      <c r="H47" s="5" t="n">
        <v>0</v>
      </c>
      <c r="I47" s="5" t="n">
        <v>0</v>
      </c>
      <c r="J47" s="5">
        <f>SUM(B47:I47)</f>
        <v/>
      </c>
      <c r="L47" s="10" t="n">
        <v>0.9166666666666666</v>
      </c>
      <c r="M47" s="8" t="n">
        <v>895.8755690574644</v>
      </c>
      <c r="N47" s="8" t="n">
        <v>604.2765872478484</v>
      </c>
      <c r="O47" s="8" t="n">
        <v>0</v>
      </c>
      <c r="P47" s="8" t="n">
        <v>0</v>
      </c>
      <c r="Q47" s="8" t="n">
        <v>261.2492360825823</v>
      </c>
      <c r="R47" s="8" t="n">
        <v>24.57008502146609</v>
      </c>
      <c r="S47" s="8" t="n">
        <v>0</v>
      </c>
      <c r="T47" s="8" t="n">
        <v>0</v>
      </c>
      <c r="U47">
        <f>SUM(M47:T47)</f>
        <v/>
      </c>
    </row>
    <row r="48">
      <c r="A48" s="10" t="n">
        <v>0.9375</v>
      </c>
      <c r="B48" s="5" t="n">
        <v>113.5054369715189</v>
      </c>
      <c r="C48" s="5" t="n">
        <v>24.15177312404319</v>
      </c>
      <c r="D48" s="5" t="n">
        <v>0</v>
      </c>
      <c r="E48" s="5" t="n">
        <v>0.02368774207338817</v>
      </c>
      <c r="F48" s="5" t="n">
        <v>1.388369202074485</v>
      </c>
      <c r="G48" s="5" t="n">
        <v>0</v>
      </c>
      <c r="H48" s="5" t="n">
        <v>0</v>
      </c>
      <c r="I48" s="5" t="n">
        <v>0</v>
      </c>
      <c r="J48" s="5">
        <f>SUM(B48:I48)</f>
        <v/>
      </c>
      <c r="L48" s="10" t="n">
        <v>0.9375</v>
      </c>
      <c r="M48" s="8" t="n">
        <v>664.0425799846648</v>
      </c>
      <c r="N48" s="8" t="n">
        <v>456.7226509094238</v>
      </c>
      <c r="O48" s="8" t="n">
        <v>0</v>
      </c>
      <c r="P48" s="8" t="n">
        <v>0</v>
      </c>
      <c r="Q48" s="8" t="n">
        <v>203.9129291118062</v>
      </c>
      <c r="R48" s="8" t="n">
        <v>19.11649784180208</v>
      </c>
      <c r="S48" s="8" t="n">
        <v>0</v>
      </c>
      <c r="T48" s="8" t="n">
        <v>0</v>
      </c>
      <c r="U48">
        <f>SUM(M48:T48)</f>
        <v/>
      </c>
    </row>
    <row r="49">
      <c r="A49" s="10" t="n">
        <v>0.9583333333333334</v>
      </c>
      <c r="B49" s="5" t="n">
        <v>96.24898773496226</v>
      </c>
      <c r="C49" s="5" t="n">
        <v>21.14010043425683</v>
      </c>
      <c r="D49" s="5" t="n">
        <v>0</v>
      </c>
      <c r="E49" s="5" t="n">
        <v>0.003947957012231361</v>
      </c>
      <c r="F49" s="5" t="n">
        <v>0.5553006891787214</v>
      </c>
      <c r="G49" s="5" t="n">
        <v>0</v>
      </c>
      <c r="H49" s="5" t="n">
        <v>0</v>
      </c>
      <c r="I49" s="5" t="n">
        <v>0</v>
      </c>
      <c r="J49" s="5">
        <f>SUM(B49:I49)</f>
        <v/>
      </c>
      <c r="L49" s="10" t="n">
        <v>0.9583333333333334</v>
      </c>
      <c r="M49" s="8" t="n">
        <v>469.170980644226</v>
      </c>
      <c r="N49" s="8" t="n">
        <v>327.6380912303924</v>
      </c>
      <c r="O49" s="8" t="n">
        <v>0</v>
      </c>
      <c r="P49" s="8" t="n">
        <v>0</v>
      </c>
      <c r="Q49" s="8" t="n">
        <v>150.7085227745872</v>
      </c>
      <c r="R49" s="8" t="n">
        <v>14.26750894923948</v>
      </c>
      <c r="S49" s="8" t="n">
        <v>0</v>
      </c>
      <c r="T49" s="8" t="n">
        <v>0</v>
      </c>
      <c r="U49">
        <f>SUM(M49:T49)</f>
        <v/>
      </c>
    </row>
    <row r="50">
      <c r="A50" s="10" t="n">
        <v>0.9791666666666666</v>
      </c>
      <c r="B50" s="5" t="n">
        <v>73.60453091361074</v>
      </c>
      <c r="C50" s="5" t="n">
        <v>15.60698154185061</v>
      </c>
      <c r="D50" s="5" t="n">
        <v>0</v>
      </c>
      <c r="E50" s="5" t="n">
        <v>0.0004155744223401433</v>
      </c>
      <c r="F50" s="5" t="n">
        <v>0.1735314653683505</v>
      </c>
      <c r="G50" s="5" t="n">
        <v>0</v>
      </c>
      <c r="H50" s="5" t="n">
        <v>0</v>
      </c>
      <c r="I50" s="5" t="n">
        <v>0</v>
      </c>
      <c r="J50" s="5">
        <f>SUM(B50:I50)</f>
        <v/>
      </c>
      <c r="L50" s="10" t="n">
        <v>0.9791666666666666</v>
      </c>
      <c r="M50" s="8" t="n">
        <v>312.1824547290802</v>
      </c>
      <c r="N50" s="8" t="n">
        <v>220.8324356555939</v>
      </c>
      <c r="O50" s="8" t="n">
        <v>0</v>
      </c>
      <c r="P50" s="8" t="n">
        <v>0</v>
      </c>
      <c r="Q50" s="8" t="n">
        <v>103.9976346690731</v>
      </c>
      <c r="R50" s="8" t="n">
        <v>10.06980177573644</v>
      </c>
      <c r="S50" s="8" t="n">
        <v>0</v>
      </c>
      <c r="T50" s="8" t="n">
        <v>0</v>
      </c>
      <c r="U50">
        <f>SUM(M50:T50)</f>
        <v/>
      </c>
    </row>
    <row r="51">
      <c r="A51" s="10" t="n">
        <v>1</v>
      </c>
      <c r="B51" s="5" t="n">
        <v>48.84197016476642</v>
      </c>
      <c r="C51" s="5" t="n">
        <v>9.540198378189453</v>
      </c>
      <c r="D51" s="5" t="n">
        <v>0</v>
      </c>
      <c r="E51" s="5" t="n">
        <v>2.077872111700716e-05</v>
      </c>
      <c r="F51" s="5" t="n">
        <v>0.04083093302784718</v>
      </c>
      <c r="G51" s="5" t="n">
        <v>0</v>
      </c>
      <c r="H51" s="5" t="n">
        <v>0</v>
      </c>
      <c r="I51" s="5" t="n">
        <v>0</v>
      </c>
      <c r="J51" s="5">
        <f>SUM(B51:I51)</f>
        <v/>
      </c>
      <c r="L51" s="10" t="n">
        <v>1</v>
      </c>
      <c r="M51" s="8" t="n">
        <v>192.1014868736267</v>
      </c>
      <c r="N51" s="8" t="n">
        <v>137.5070964813232</v>
      </c>
      <c r="O51" s="8" t="n">
        <v>0</v>
      </c>
      <c r="P51" s="8" t="n">
        <v>0</v>
      </c>
      <c r="Q51" s="8" t="n">
        <v>65.72306959311518</v>
      </c>
      <c r="R51" s="8" t="n">
        <v>6.55616491946456</v>
      </c>
      <c r="S51" s="8" t="n">
        <v>0</v>
      </c>
      <c r="T51" s="8" t="n">
        <v>0</v>
      </c>
      <c r="U51">
        <f>SUM(M51:T51)</f>
        <v/>
      </c>
    </row>
    <row r="52">
      <c r="A52" s="10" t="n">
        <v>1.020833333333333</v>
      </c>
      <c r="B52" s="5" t="n">
        <v>27.46617211413935</v>
      </c>
      <c r="C52" s="5" t="n">
        <v>4.757156170923603</v>
      </c>
      <c r="D52" s="5" t="n">
        <v>0</v>
      </c>
      <c r="E52" s="5" t="n">
        <v>0</v>
      </c>
      <c r="F52" s="5" t="n">
        <v>0.006805155504641195</v>
      </c>
      <c r="G52" s="5" t="n">
        <v>0</v>
      </c>
      <c r="H52" s="5" t="n">
        <v>0</v>
      </c>
      <c r="I52" s="5" t="n">
        <v>0</v>
      </c>
      <c r="J52" s="5">
        <f>SUM(B52:I52)</f>
        <v/>
      </c>
      <c r="L52" s="10" t="n">
        <v>1.020833333333333</v>
      </c>
      <c r="M52" s="8" t="n">
        <v>106.7141338348389</v>
      </c>
      <c r="N52" s="8" t="n">
        <v>77.25884943008421</v>
      </c>
      <c r="O52" s="8" t="n">
        <v>0</v>
      </c>
      <c r="P52" s="8" t="n">
        <v>0</v>
      </c>
      <c r="Q52" s="8" t="n">
        <v>37.15265024213559</v>
      </c>
      <c r="R52" s="8" t="n">
        <v>3.821060324865315</v>
      </c>
      <c r="S52" s="8" t="n">
        <v>0</v>
      </c>
      <c r="T52" s="8" t="n">
        <v>0</v>
      </c>
      <c r="U52">
        <f>SUM(M52:T52)</f>
        <v/>
      </c>
    </row>
    <row r="53">
      <c r="A53" s="10" t="n">
        <v>0.04166666666666666</v>
      </c>
      <c r="B53" s="5" t="n">
        <v>12.83477127947611</v>
      </c>
      <c r="C53" s="5" t="n">
        <v>1.900981563089711</v>
      </c>
      <c r="D53" s="5" t="n">
        <v>0</v>
      </c>
      <c r="E53" s="5" t="n">
        <v>0</v>
      </c>
      <c r="F53" s="5" t="n">
        <v>0.0007163321583832836</v>
      </c>
      <c r="G53" s="5" t="n">
        <v>0</v>
      </c>
      <c r="H53" s="5" t="n">
        <v>0</v>
      </c>
      <c r="I53" s="5" t="n">
        <v>0</v>
      </c>
      <c r="J53" s="5">
        <f>SUM(B53:I53)</f>
        <v/>
      </c>
      <c r="L53" s="10" t="n">
        <v>0.04166666666666666</v>
      </c>
      <c r="M53" s="8" t="n">
        <v>52.07512755393982</v>
      </c>
      <c r="N53" s="8" t="n">
        <v>38.11865882873535</v>
      </c>
      <c r="O53" s="8" t="n">
        <v>0</v>
      </c>
      <c r="P53" s="8" t="n">
        <v>0</v>
      </c>
      <c r="Q53" s="8" t="n">
        <v>18.31537160795986</v>
      </c>
      <c r="R53" s="8" t="n">
        <v>1.93517695173379</v>
      </c>
      <c r="S53" s="8" t="n">
        <v>0</v>
      </c>
      <c r="T53" s="8" t="n">
        <v>0</v>
      </c>
      <c r="U53">
        <f>SUM(M53:T53)</f>
        <v/>
      </c>
    </row>
    <row r="54">
      <c r="A54" s="10" t="n">
        <v>0.0625</v>
      </c>
      <c r="B54" s="5" t="n">
        <v>4.877878264431187</v>
      </c>
      <c r="C54" s="5" t="n">
        <v>0.5938826502498648</v>
      </c>
      <c r="D54" s="5" t="n">
        <v>0</v>
      </c>
      <c r="E54" s="5" t="n">
        <v>0</v>
      </c>
      <c r="F54" s="5" t="n">
        <v>3.581660791916418e-05</v>
      </c>
      <c r="G54" s="5" t="n">
        <v>0</v>
      </c>
      <c r="H54" s="5" t="n">
        <v>0</v>
      </c>
      <c r="I54" s="5" t="n">
        <v>0</v>
      </c>
      <c r="J54" s="5">
        <f>SUM(B54:I54)</f>
        <v/>
      </c>
      <c r="L54" s="10" t="n">
        <v>0.0625</v>
      </c>
      <c r="M54" s="8" t="n">
        <v>21.69971680641174</v>
      </c>
      <c r="N54" s="8" t="n">
        <v>16.05448260307312</v>
      </c>
      <c r="O54" s="8" t="n">
        <v>0</v>
      </c>
      <c r="P54" s="8" t="n">
        <v>0</v>
      </c>
      <c r="Q54" s="8" t="n">
        <v>7.671797370424242</v>
      </c>
      <c r="R54" s="8" t="n">
        <v>0.8283889999319625</v>
      </c>
      <c r="S54" s="8" t="n">
        <v>0</v>
      </c>
      <c r="T54" s="8" t="n">
        <v>0</v>
      </c>
      <c r="U54">
        <f>SUM(M54:T54)</f>
        <v/>
      </c>
    </row>
    <row r="55">
      <c r="A55" s="10" t="n">
        <v>0.08333333333333333</v>
      </c>
      <c r="B55" s="5" t="n">
        <v>1.46650861270528</v>
      </c>
      <c r="C55" s="5" t="n">
        <v>0.1397293834401848</v>
      </c>
      <c r="D55" s="5" t="n">
        <v>0</v>
      </c>
      <c r="E55" s="5" t="n">
        <v>0</v>
      </c>
      <c r="F55" s="5" t="n">
        <v>0</v>
      </c>
      <c r="G55" s="5" t="n">
        <v>0</v>
      </c>
      <c r="H55" s="5" t="n">
        <v>0</v>
      </c>
      <c r="I55" s="5" t="n">
        <v>0</v>
      </c>
      <c r="J55" s="5">
        <f>SUM(B55:I55)</f>
        <v/>
      </c>
      <c r="L55" s="10" t="n">
        <v>0.08333333333333333</v>
      </c>
      <c r="M55" s="8" t="n">
        <v>7.4959979057312</v>
      </c>
      <c r="N55" s="8" t="n">
        <v>5.603666114807129</v>
      </c>
      <c r="O55" s="8" t="n">
        <v>0</v>
      </c>
      <c r="P55" s="8" t="n">
        <v>0</v>
      </c>
      <c r="Q55" s="8" t="n">
        <v>2.656080905276384</v>
      </c>
      <c r="R55" s="8" t="n">
        <v>0.2915818859663704</v>
      </c>
      <c r="S55" s="8" t="n">
        <v>0</v>
      </c>
      <c r="T55" s="8" t="n">
        <v>0</v>
      </c>
      <c r="U55">
        <f>SUM(M55:T55)</f>
        <v/>
      </c>
    </row>
    <row r="56">
      <c r="A56" s="10" t="n">
        <v>0.1041666666666667</v>
      </c>
      <c r="B56" s="5" t="n">
        <v>0.3351761730521026</v>
      </c>
      <c r="C56" s="5" t="n">
        <v>0.02328823057336414</v>
      </c>
      <c r="D56" s="5" t="n">
        <v>0</v>
      </c>
      <c r="E56" s="5" t="n">
        <v>0</v>
      </c>
      <c r="F56" s="5" t="n">
        <v>0</v>
      </c>
      <c r="G56" s="5" t="n">
        <v>0</v>
      </c>
      <c r="H56" s="5" t="n">
        <v>0</v>
      </c>
      <c r="I56" s="5" t="n">
        <v>0</v>
      </c>
      <c r="J56" s="5">
        <f>SUM(B56:I56)</f>
        <v/>
      </c>
      <c r="L56" s="10" t="n">
        <v>0.1041666666666667</v>
      </c>
      <c r="M56" s="8" t="n">
        <v>2.075060510635375</v>
      </c>
      <c r="N56" s="8" t="n">
        <v>1.566970634460449</v>
      </c>
      <c r="O56" s="8" t="n">
        <v>0</v>
      </c>
      <c r="P56" s="8" t="n">
        <v>0</v>
      </c>
      <c r="Q56" s="8" t="n">
        <v>0.7357853084111657</v>
      </c>
      <c r="R56" s="8" t="n">
        <v>0.08176382154474884</v>
      </c>
      <c r="S56" s="8" t="n">
        <v>0</v>
      </c>
      <c r="T56" s="8" t="n">
        <v>0</v>
      </c>
      <c r="U56">
        <f>SUM(M56:T56)</f>
        <v/>
      </c>
    </row>
    <row r="57">
      <c r="A57" s="10" t="n">
        <v>0.125</v>
      </c>
      <c r="B57" s="5" t="n">
        <v>0.05438901447476816</v>
      </c>
      <c r="C57" s="5" t="n">
        <v>0.002451392691933067</v>
      </c>
      <c r="D57" s="5" t="n">
        <v>0</v>
      </c>
      <c r="E57" s="5" t="n">
        <v>0</v>
      </c>
      <c r="F57" s="5" t="n">
        <v>0</v>
      </c>
      <c r="G57" s="5" t="n">
        <v>0</v>
      </c>
      <c r="H57" s="5" t="n">
        <v>0</v>
      </c>
      <c r="I57" s="5" t="n">
        <v>0</v>
      </c>
      <c r="J57" s="5">
        <f>SUM(B57:I57)</f>
        <v/>
      </c>
      <c r="L57" s="10" t="n">
        <v>0.125</v>
      </c>
      <c r="M57" s="8" t="n">
        <v>0.4342440605163573</v>
      </c>
      <c r="N57" s="8" t="n">
        <v>0.3310871601104736</v>
      </c>
      <c r="O57" s="8" t="n">
        <v>0</v>
      </c>
      <c r="P57" s="8" t="n">
        <v>0</v>
      </c>
      <c r="Q57" s="8" t="n">
        <v>0.1539932449365789</v>
      </c>
      <c r="R57" s="8" t="n">
        <v>0.01726140357379141</v>
      </c>
      <c r="S57" s="8" t="n">
        <v>0</v>
      </c>
      <c r="T57" s="8" t="n">
        <v>0</v>
      </c>
      <c r="U57">
        <f>SUM(M57:T57)</f>
        <v/>
      </c>
    </row>
    <row r="58" ht="15.75" customHeight="1" s="71" thickBot="1">
      <c r="A58" s="11" t="inlineStr">
        <is>
          <t>After 27:00</t>
        </is>
      </c>
      <c r="B58" s="6" t="n">
        <v>0</v>
      </c>
      <c r="C58" s="6" t="n">
        <v>0</v>
      </c>
      <c r="D58" s="6" t="n">
        <v>0</v>
      </c>
      <c r="E58" s="6" t="n">
        <v>0</v>
      </c>
      <c r="F58" s="6" t="n">
        <v>0</v>
      </c>
      <c r="G58" s="6" t="n">
        <v>0</v>
      </c>
      <c r="H58" s="6" t="n">
        <v>0</v>
      </c>
      <c r="I58" s="6" t="n">
        <v>0</v>
      </c>
      <c r="J58" s="6">
        <f>SUM(B58:I58)</f>
        <v/>
      </c>
      <c r="L58" s="11" t="inlineStr">
        <is>
          <t>After 27:00</t>
        </is>
      </c>
      <c r="M58" s="9" t="n">
        <v>0</v>
      </c>
      <c r="N58" s="9" t="n">
        <v>0</v>
      </c>
      <c r="O58" s="9" t="n">
        <v>0</v>
      </c>
      <c r="P58" s="9" t="n">
        <v>0</v>
      </c>
      <c r="Q58" s="9" t="n">
        <v>0</v>
      </c>
      <c r="R58" s="9" t="n">
        <v>0</v>
      </c>
      <c r="S58" s="9" t="n">
        <v>0</v>
      </c>
      <c r="T58" s="9" t="n">
        <v>0</v>
      </c>
      <c r="U58" s="1">
        <f>SUM(M58:T58)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Y58"/>
  <sheetViews>
    <sheetView topLeftCell="E1" workbookViewId="0">
      <selection activeCell="W25" sqref="W25"/>
    </sheetView>
  </sheetViews>
  <sheetFormatPr baseColWidth="8" defaultRowHeight="15"/>
  <cols>
    <col collapsed="1" width="12.7109375" customWidth="1" style="71" min="1" max="1"/>
    <col collapsed="1" width="10.7109375" customWidth="1" style="71" min="2" max="10"/>
    <col collapsed="1" width="6.42578125" customWidth="1" style="71" min="11" max="11"/>
    <col collapsed="1" width="12.7109375" customWidth="1" style="71" min="12" max="12"/>
    <col collapsed="1" width="10.7109375" customWidth="1" style="71" min="13" max="21"/>
  </cols>
  <sheetData>
    <row r="1">
      <c r="A1" t="inlineStr">
        <is>
          <t>School Tour arrival time at primary destination</t>
        </is>
      </c>
    </row>
    <row r="2">
      <c r="A2" t="inlineStr">
        <is>
          <t xml:space="preserve">Observed Sources: Survey </t>
        </is>
      </c>
    </row>
    <row r="3">
      <c r="A3" t="inlineStr">
        <is>
          <t>Half-hour time periods</t>
        </is>
      </c>
    </row>
    <row r="4">
      <c r="A4" t="inlineStr">
        <is>
          <t>Distance values reflect start time of time period</t>
        </is>
      </c>
    </row>
    <row r="6" ht="15.75" customHeight="1" s="71" thickBot="1">
      <c r="A6" s="3" t="inlineStr">
        <is>
          <t>Table X. Observed School Tour Arrival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L6" s="3" t="inlineStr">
        <is>
          <t>Table X. Estimated School Tour Arrival at PD Times: DaySim</t>
        </is>
      </c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W6" s="7" t="n"/>
    </row>
    <row r="7">
      <c r="A7" s="2" t="inlineStr">
        <is>
          <t>Timeperiod</t>
        </is>
      </c>
      <c r="B7" s="4" t="inlineStr">
        <is>
          <t>FT Worker</t>
        </is>
      </c>
      <c r="C7" s="4" t="inlineStr">
        <is>
          <t>PT Worker</t>
        </is>
      </c>
      <c r="D7" s="4" t="inlineStr">
        <is>
          <t>Retired</t>
        </is>
      </c>
      <c r="E7" s="4" t="inlineStr">
        <is>
          <t>Nonworker</t>
        </is>
      </c>
      <c r="F7" s="4" t="inlineStr">
        <is>
          <t>Univ Stud</t>
        </is>
      </c>
      <c r="G7" s="4" t="inlineStr">
        <is>
          <t>Stud 16+</t>
        </is>
      </c>
      <c r="H7" s="4" t="inlineStr">
        <is>
          <t>Stud 5-15</t>
        </is>
      </c>
      <c r="I7" s="4" t="inlineStr">
        <is>
          <t>Child&lt;5</t>
        </is>
      </c>
      <c r="J7" s="4" t="inlineStr">
        <is>
          <t>Total</t>
        </is>
      </c>
      <c r="L7" s="2" t="inlineStr">
        <is>
          <t>Timeperiod</t>
        </is>
      </c>
      <c r="M7" s="4" t="inlineStr">
        <is>
          <t>FT Worker</t>
        </is>
      </c>
      <c r="N7" s="4" t="inlineStr">
        <is>
          <t>PT Worker</t>
        </is>
      </c>
      <c r="O7" s="4" t="inlineStr">
        <is>
          <t>Retired</t>
        </is>
      </c>
      <c r="P7" s="4" t="inlineStr">
        <is>
          <t>Nonworker</t>
        </is>
      </c>
      <c r="Q7" s="4" t="inlineStr">
        <is>
          <t>Univ Stud</t>
        </is>
      </c>
      <c r="R7" s="4" t="inlineStr">
        <is>
          <t>Stud 16+</t>
        </is>
      </c>
      <c r="S7" s="4" t="inlineStr">
        <is>
          <t>Stud 5-15</t>
        </is>
      </c>
      <c r="T7" s="4" t="inlineStr">
        <is>
          <t>Child&lt;5</t>
        </is>
      </c>
      <c r="U7" s="4" t="inlineStr">
        <is>
          <t>Total</t>
        </is>
      </c>
      <c r="X7" s="12" t="n"/>
      <c r="Y7" s="12" t="n"/>
    </row>
    <row r="8">
      <c r="A8" t="inlineStr">
        <is>
          <t>Before 3:00am</t>
        </is>
      </c>
      <c r="B8" s="5" t="n">
        <v>0</v>
      </c>
      <c r="C8" s="5" t="n">
        <v>0</v>
      </c>
      <c r="D8" s="5" t="n">
        <v>0</v>
      </c>
      <c r="E8" s="5" t="n">
        <v>0</v>
      </c>
      <c r="F8" s="5" t="n">
        <v>0</v>
      </c>
      <c r="G8" s="5" t="n">
        <v>0</v>
      </c>
      <c r="H8" s="5" t="n">
        <v>0</v>
      </c>
      <c r="I8" s="5" t="n">
        <v>0</v>
      </c>
      <c r="J8" s="5">
        <f>SUM(B8:I8)</f>
        <v/>
      </c>
      <c r="L8" t="inlineStr">
        <is>
          <t>Before 3:00am</t>
        </is>
      </c>
      <c r="M8" s="8" t="n">
        <v>5.75</v>
      </c>
      <c r="N8" s="8" t="n">
        <v>0</v>
      </c>
      <c r="O8" s="8" t="n">
        <v>0</v>
      </c>
      <c r="P8" s="8" t="n">
        <v>0</v>
      </c>
      <c r="Q8" s="8" t="n">
        <v>15.06152010007258</v>
      </c>
      <c r="R8" s="8" t="n">
        <v>0</v>
      </c>
      <c r="S8" s="8" t="n">
        <v>0</v>
      </c>
      <c r="T8" s="8" t="n">
        <v>0</v>
      </c>
      <c r="U8">
        <f>SUM(M8:T8)</f>
        <v/>
      </c>
      <c r="X8" s="5" t="n"/>
      <c r="Y8" s="5" t="n"/>
    </row>
    <row r="9">
      <c r="A9" s="10" t="n">
        <v>0.125</v>
      </c>
      <c r="B9" s="5" t="n">
        <v>0.1634859581075416</v>
      </c>
      <c r="C9" s="5" t="n">
        <v>0</v>
      </c>
      <c r="D9" s="5" t="n">
        <v>0</v>
      </c>
      <c r="E9" s="5" t="n">
        <v>0</v>
      </c>
      <c r="F9" s="5" t="n">
        <v>0.8795666580025754</v>
      </c>
      <c r="G9" s="5" t="n">
        <v>13.17957991616686</v>
      </c>
      <c r="H9" s="5" t="n">
        <v>11.86450453933365</v>
      </c>
      <c r="I9" s="5" t="n">
        <v>0</v>
      </c>
      <c r="J9" s="5">
        <f>SUM(B9:I9)</f>
        <v/>
      </c>
      <c r="L9" s="10" t="n">
        <v>0.125</v>
      </c>
      <c r="M9" s="8" t="n">
        <v>11.51199598312378</v>
      </c>
      <c r="N9" s="8" t="n">
        <v>0</v>
      </c>
      <c r="O9" s="8" t="n">
        <v>0</v>
      </c>
      <c r="P9" s="8" t="n">
        <v>0</v>
      </c>
      <c r="Q9" s="8" t="n">
        <v>29.94922256002059</v>
      </c>
      <c r="R9" s="8" t="n">
        <v>46.90926934292413</v>
      </c>
      <c r="S9" s="8" t="n">
        <v>52.20460864272226</v>
      </c>
      <c r="T9" s="8" t="n">
        <v>7.257293914449756</v>
      </c>
      <c r="U9">
        <f>SUM(M9:T9)</f>
        <v/>
      </c>
      <c r="X9" s="5" t="n"/>
      <c r="Y9" s="5" t="n"/>
    </row>
    <row r="10">
      <c r="A10" s="10" t="n">
        <v>0.1458333333333333</v>
      </c>
      <c r="B10" s="5" t="n">
        <v>0.7070767688151176</v>
      </c>
      <c r="C10" s="5" t="n">
        <v>0</v>
      </c>
      <c r="D10" s="5" t="n">
        <v>2.617452691206417e-05</v>
      </c>
      <c r="E10" s="5" t="n">
        <v>0</v>
      </c>
      <c r="F10" s="5" t="n">
        <v>3.14448211438897</v>
      </c>
      <c r="G10" s="5" t="n">
        <v>68.11872457029324</v>
      </c>
      <c r="H10" s="5" t="n">
        <v>62.80337885644424</v>
      </c>
      <c r="I10" s="5" t="n">
        <v>0</v>
      </c>
      <c r="J10" s="5">
        <f>SUM(B10:I10)</f>
        <v/>
      </c>
      <c r="L10" s="10" t="n">
        <v>0.1458333333333333</v>
      </c>
      <c r="M10" s="8" t="n">
        <v>14.33611998558045</v>
      </c>
      <c r="N10" s="8" t="n">
        <v>0</v>
      </c>
      <c r="O10" s="8" t="n">
        <v>0</v>
      </c>
      <c r="P10" s="8" t="n">
        <v>0</v>
      </c>
      <c r="Q10" s="8" t="n">
        <v>45.40145060054051</v>
      </c>
      <c r="R10" s="8" t="n">
        <v>137.8794971371583</v>
      </c>
      <c r="S10" s="8" t="n">
        <v>195.0686972933331</v>
      </c>
      <c r="T10" s="8" t="n">
        <v>24.95707737715713</v>
      </c>
      <c r="U10">
        <f>SUM(M10:T10)</f>
        <v/>
      </c>
      <c r="X10" s="5" t="n"/>
      <c r="Y10" s="5" t="n"/>
    </row>
    <row r="11">
      <c r="A11" s="10" t="n">
        <v>0.1666666666666667</v>
      </c>
      <c r="B11" s="5" t="n">
        <v>2.263112762945826</v>
      </c>
      <c r="C11" s="5" t="n">
        <v>0</v>
      </c>
      <c r="D11" s="5" t="n">
        <v>0.0005234905382412834</v>
      </c>
      <c r="E11" s="5" t="n">
        <v>9.8075923520648e-05</v>
      </c>
      <c r="F11" s="5" t="n">
        <v>9.107689570313486</v>
      </c>
      <c r="G11" s="5" t="n">
        <v>263.3884322150093</v>
      </c>
      <c r="H11" s="5" t="n">
        <v>278.6714831043967</v>
      </c>
      <c r="I11" s="5" t="n">
        <v>0</v>
      </c>
      <c r="J11" s="5">
        <f>SUM(B11:I11)</f>
        <v/>
      </c>
      <c r="L11" s="10" t="n">
        <v>0.1666666666666667</v>
      </c>
      <c r="M11" s="8" t="n">
        <v>14.01283931732178</v>
      </c>
      <c r="N11" s="8" t="n">
        <v>0</v>
      </c>
      <c r="O11" s="8" t="n">
        <v>0</v>
      </c>
      <c r="P11" s="8" t="n">
        <v>0</v>
      </c>
      <c r="Q11" s="8" t="n">
        <v>77.85883978810983</v>
      </c>
      <c r="R11" s="8" t="n">
        <v>368.8179615739471</v>
      </c>
      <c r="S11" s="8" t="n">
        <v>640.5615409206321</v>
      </c>
      <c r="T11" s="8" t="n">
        <v>76.78246541313723</v>
      </c>
      <c r="U11">
        <f>SUM(M11:T11)</f>
        <v/>
      </c>
      <c r="X11" s="5" t="n"/>
      <c r="Y11" s="5" t="n"/>
    </row>
    <row r="12">
      <c r="A12" s="10" t="n">
        <v>0.1875</v>
      </c>
      <c r="B12" s="5" t="n">
        <v>5.65795001848889</v>
      </c>
      <c r="C12" s="5" t="n">
        <v>0</v>
      </c>
      <c r="D12" s="5" t="n">
        <v>0.004973160113292192</v>
      </c>
      <c r="E12" s="5" t="n">
        <v>0.00196151847041296</v>
      </c>
      <c r="F12" s="5" t="n">
        <v>24.0631648191825</v>
      </c>
      <c r="G12" s="5" t="n">
        <v>800.2972442293253</v>
      </c>
      <c r="H12" s="5" t="n">
        <v>1014.843245706673</v>
      </c>
      <c r="I12" s="5" t="n">
        <v>0</v>
      </c>
      <c r="J12" s="5">
        <f>SUM(B12:I12)</f>
        <v/>
      </c>
      <c r="L12" s="10" t="n">
        <v>0.1875</v>
      </c>
      <c r="M12" s="8" t="n">
        <v>13.63641133308411</v>
      </c>
      <c r="N12" s="8" t="n">
        <v>0</v>
      </c>
      <c r="O12" s="8" t="n">
        <v>0</v>
      </c>
      <c r="P12" s="8" t="n">
        <v>0</v>
      </c>
      <c r="Q12" s="8" t="n">
        <v>174.1971396974058</v>
      </c>
      <c r="R12" s="8" t="n">
        <v>929.4114758064035</v>
      </c>
      <c r="S12" s="8" t="n">
        <v>1857.428889811972</v>
      </c>
      <c r="T12" s="8" t="n">
        <v>213.2810960379776</v>
      </c>
      <c r="U12">
        <f>SUM(M12:T12)</f>
        <v/>
      </c>
    </row>
    <row r="13">
      <c r="A13" s="10" t="n">
        <v>0.2083333333333333</v>
      </c>
      <c r="B13" s="5" t="n">
        <v>11.31894006550987</v>
      </c>
      <c r="C13" s="5" t="n">
        <v>0</v>
      </c>
      <c r="D13" s="5" t="n">
        <v>0.02983896067975315</v>
      </c>
      <c r="E13" s="5" t="n">
        <v>0.01863442546892312</v>
      </c>
      <c r="F13" s="5" t="n">
        <v>61.9521387331432</v>
      </c>
      <c r="G13" s="5" t="n">
        <v>1960.221794411435</v>
      </c>
      <c r="H13" s="5" t="n">
        <v>3015.44113598112</v>
      </c>
      <c r="I13" s="5" t="n">
        <v>0</v>
      </c>
      <c r="J13" s="5">
        <f>SUM(B13:I13)</f>
        <v/>
      </c>
      <c r="L13" s="10" t="n">
        <v>0.2083333333333333</v>
      </c>
      <c r="M13" s="8" t="n">
        <v>18.13432593345642</v>
      </c>
      <c r="N13" s="8" t="n">
        <v>0</v>
      </c>
      <c r="O13" s="8" t="n">
        <v>0</v>
      </c>
      <c r="P13" s="8" t="n">
        <v>0</v>
      </c>
      <c r="Q13" s="8" t="n">
        <v>421.6296524539246</v>
      </c>
      <c r="R13" s="8" t="n">
        <v>2097.953880594626</v>
      </c>
      <c r="S13" s="8" t="n">
        <v>4650.443051372777</v>
      </c>
      <c r="T13" s="8" t="n">
        <v>517.226789180134</v>
      </c>
      <c r="U13">
        <f>SUM(M13:T13)</f>
        <v/>
      </c>
    </row>
    <row r="14">
      <c r="A14" s="10" t="n">
        <v>0.2291666666666667</v>
      </c>
      <c r="B14" s="5" t="n">
        <v>18.42001287844151</v>
      </c>
      <c r="C14" s="5" t="n">
        <v>0</v>
      </c>
      <c r="D14" s="5" t="n">
        <v>0.1268155828889509</v>
      </c>
      <c r="E14" s="5" t="n">
        <v>0.1118479985527952</v>
      </c>
      <c r="F14" s="5" t="n">
        <v>155.6201789954938</v>
      </c>
      <c r="G14" s="5" t="n">
        <v>3942.411667898993</v>
      </c>
      <c r="H14" s="5" t="n">
        <v>7376.470702592964</v>
      </c>
      <c r="I14" s="5" t="n">
        <v>0</v>
      </c>
      <c r="J14" s="5">
        <f>SUM(B14:I14)</f>
        <v/>
      </c>
      <c r="L14" s="10" t="n">
        <v>0.2291666666666667</v>
      </c>
      <c r="M14" s="8" t="n">
        <v>32.29898605346679</v>
      </c>
      <c r="N14" s="8" t="n">
        <v>0</v>
      </c>
      <c r="O14" s="8" t="n">
        <v>0</v>
      </c>
      <c r="P14" s="8" t="n">
        <v>0</v>
      </c>
      <c r="Q14" s="8" t="n">
        <v>942.1386807192728</v>
      </c>
      <c r="R14" s="8" t="n">
        <v>4135.517401658471</v>
      </c>
      <c r="S14" s="8" t="n">
        <v>10015.75143838061</v>
      </c>
      <c r="T14" s="8" t="n">
        <v>1083.104762278329</v>
      </c>
      <c r="U14">
        <f>SUM(M14:T14)</f>
        <v/>
      </c>
    </row>
    <row r="15">
      <c r="A15" s="10" t="n">
        <v>0.25</v>
      </c>
      <c r="B15" s="5" t="n">
        <v>24.7113669895512</v>
      </c>
      <c r="C15" s="5" t="n">
        <v>0</v>
      </c>
      <c r="D15" s="5" t="n">
        <v>0.4058098652446429</v>
      </c>
      <c r="E15" s="5" t="n">
        <v>0.4760067642426685</v>
      </c>
      <c r="F15" s="5" t="n">
        <v>362.7520220411129</v>
      </c>
      <c r="G15" s="5" t="n">
        <v>6602.445802086288</v>
      </c>
      <c r="H15" s="5" t="n">
        <v>15029.77226770331</v>
      </c>
      <c r="I15" s="5" t="n">
        <v>0</v>
      </c>
      <c r="J15" s="5">
        <f>SUM(B15:I15)</f>
        <v/>
      </c>
      <c r="L15" s="10" t="n">
        <v>0.25</v>
      </c>
      <c r="M15" s="8" t="n">
        <v>59.12857480049132</v>
      </c>
      <c r="N15" s="8" t="n">
        <v>0</v>
      </c>
      <c r="O15" s="8" t="n">
        <v>0</v>
      </c>
      <c r="P15" s="8" t="n">
        <v>0</v>
      </c>
      <c r="Q15" s="8" t="n">
        <v>1854.882885663127</v>
      </c>
      <c r="R15" s="8" t="n">
        <v>7076.631567066845</v>
      </c>
      <c r="S15" s="8" t="n">
        <v>18642.09535422058</v>
      </c>
      <c r="T15" s="8" t="n">
        <v>1960.801139059292</v>
      </c>
      <c r="U15">
        <f>SUM(M15:T15)</f>
        <v/>
      </c>
    </row>
    <row r="16">
      <c r="A16" s="10" t="n">
        <v>0.2708333333333333</v>
      </c>
      <c r="B16" s="5" t="n">
        <v>27.79925107790701</v>
      </c>
      <c r="C16" s="5" t="n">
        <v>0</v>
      </c>
      <c r="D16" s="5" t="n">
        <v>1.014524663111607</v>
      </c>
      <c r="E16" s="5" t="n">
        <v>1.528443808722852</v>
      </c>
      <c r="F16" s="5" t="n">
        <v>746.0250072652916</v>
      </c>
      <c r="G16" s="5" t="n">
        <v>9311.811655820544</v>
      </c>
      <c r="H16" s="5" t="n">
        <v>25778.79647160222</v>
      </c>
      <c r="I16" s="5" t="n">
        <v>0</v>
      </c>
      <c r="J16" s="5">
        <f>SUM(B16:I16)</f>
        <v/>
      </c>
      <c r="L16" s="10" t="n">
        <v>0.2708333333333333</v>
      </c>
      <c r="M16" s="8" t="n">
        <v>98.31617245674133</v>
      </c>
      <c r="N16" s="8" t="n">
        <v>0</v>
      </c>
      <c r="O16" s="8" t="n">
        <v>0</v>
      </c>
      <c r="P16" s="8" t="n">
        <v>0</v>
      </c>
      <c r="Q16" s="8" t="n">
        <v>3203.124462566662</v>
      </c>
      <c r="R16" s="8" t="n">
        <v>10531.89588961773</v>
      </c>
      <c r="S16" s="8" t="n">
        <v>30194.61654586998</v>
      </c>
      <c r="T16" s="8" t="n">
        <v>3085.107109979296</v>
      </c>
      <c r="U16">
        <f>SUM(M16:T16)</f>
        <v/>
      </c>
    </row>
    <row r="17">
      <c r="A17" s="10" t="n">
        <v>0.2916666666666667</v>
      </c>
      <c r="B17" s="5" t="n">
        <v>27.19141688910803</v>
      </c>
      <c r="C17" s="5" t="n">
        <v>0</v>
      </c>
      <c r="D17" s="5" t="n">
        <v>2.029049326223215</v>
      </c>
      <c r="E17" s="5" t="n">
        <v>3.848677476707641</v>
      </c>
      <c r="F17" s="5" t="n">
        <v>1315.540747116082</v>
      </c>
      <c r="G17" s="5" t="n">
        <v>11169.66683054891</v>
      </c>
      <c r="H17" s="5" t="n">
        <v>37548.11529525593</v>
      </c>
      <c r="I17" s="5" t="n">
        <v>0</v>
      </c>
      <c r="J17" s="5">
        <f>SUM(B17:I17)</f>
        <v/>
      </c>
      <c r="L17" s="10" t="n">
        <v>0.2916666666666667</v>
      </c>
      <c r="M17" s="8" t="n">
        <v>145.1933948993683</v>
      </c>
      <c r="N17" s="8" t="n">
        <v>0</v>
      </c>
      <c r="O17" s="8" t="n">
        <v>0</v>
      </c>
      <c r="P17" s="8" t="n">
        <v>0</v>
      </c>
      <c r="Q17" s="8" t="n">
        <v>4877.294799186765</v>
      </c>
      <c r="R17" s="8" t="n">
        <v>13692.46283844905</v>
      </c>
      <c r="S17" s="8" t="n">
        <v>42857.66079834563</v>
      </c>
      <c r="T17" s="8" t="n">
        <v>4245.02035371495</v>
      </c>
      <c r="U17">
        <f>SUM(M17:T17)</f>
        <v/>
      </c>
    </row>
    <row r="18">
      <c r="A18" s="10" t="n">
        <v>0.3125</v>
      </c>
      <c r="B18" s="5" t="n">
        <v>25.12127305189765</v>
      </c>
      <c r="C18" s="5" t="n">
        <v>0</v>
      </c>
      <c r="D18" s="5" t="n">
        <v>3.297205155112723</v>
      </c>
      <c r="E18" s="5" t="n">
        <v>7.803964233367879</v>
      </c>
      <c r="F18" s="5" t="n">
        <v>1967.656073738976</v>
      </c>
      <c r="G18" s="5" t="n">
        <v>11505.4895700619</v>
      </c>
      <c r="H18" s="5" t="n">
        <v>46768.90019824026</v>
      </c>
      <c r="I18" s="5" t="n">
        <v>0</v>
      </c>
      <c r="J18" s="5">
        <f>SUM(B18:I18)</f>
        <v/>
      </c>
      <c r="L18" s="10" t="n">
        <v>0.3125</v>
      </c>
      <c r="M18" s="8" t="n">
        <v>191.2725280284882</v>
      </c>
      <c r="N18" s="8" t="n">
        <v>0</v>
      </c>
      <c r="O18" s="8" t="n">
        <v>0</v>
      </c>
      <c r="P18" s="8" t="n">
        <v>0</v>
      </c>
      <c r="Q18" s="8" t="n">
        <v>6594.805200209346</v>
      </c>
      <c r="R18" s="8" t="n">
        <v>15628.10037390657</v>
      </c>
      <c r="S18" s="8" t="n">
        <v>53656.82339529663</v>
      </c>
      <c r="T18" s="8" t="n">
        <v>5139.336209929273</v>
      </c>
      <c r="U18">
        <f>SUM(M18:T18)</f>
        <v/>
      </c>
    </row>
    <row r="19">
      <c r="A19" s="10" t="n">
        <v>0.3333333333333333</v>
      </c>
      <c r="B19" s="5" t="n">
        <v>24.89127485774165</v>
      </c>
      <c r="C19" s="5" t="n">
        <v>7.50813047784522e-05</v>
      </c>
      <c r="D19" s="5" t="n">
        <v>4.396273540150299</v>
      </c>
      <c r="E19" s="5" t="n">
        <v>13.00210649237878</v>
      </c>
      <c r="F19" s="5" t="n">
        <v>2494.168033283147</v>
      </c>
      <c r="G19" s="5" t="n">
        <v>10283.9297841896</v>
      </c>
      <c r="H19" s="5" t="n">
        <v>50082.62072742319</v>
      </c>
      <c r="I19" s="5" t="n">
        <v>0</v>
      </c>
      <c r="J19" s="5">
        <f>SUM(B19:I19)</f>
        <v/>
      </c>
      <c r="L19" s="10" t="n">
        <v>0.3333333333333333</v>
      </c>
      <c r="M19" s="8" t="n">
        <v>227.0053384780884</v>
      </c>
      <c r="N19" s="8" t="n">
        <v>0</v>
      </c>
      <c r="O19" s="8" t="n">
        <v>0</v>
      </c>
      <c r="P19" s="8" t="n">
        <v>0</v>
      </c>
      <c r="Q19" s="8" t="n">
        <v>7980.269059467428</v>
      </c>
      <c r="R19" s="8" t="n">
        <v>15736.44335784561</v>
      </c>
      <c r="S19" s="8" t="n">
        <v>59623.09038982543</v>
      </c>
      <c r="T19" s="8" t="n">
        <v>5506.643559492539</v>
      </c>
      <c r="U19">
        <f>SUM(M19:T19)</f>
        <v/>
      </c>
    </row>
    <row r="20">
      <c r="A20" s="10" t="n">
        <v>0.3541666666666667</v>
      </c>
      <c r="B20" s="5" t="n">
        <v>27.92221360929786</v>
      </c>
      <c r="C20" s="5" t="n">
        <v>0.003543701167454084</v>
      </c>
      <c r="D20" s="5" t="n">
        <v>4.835900894165328</v>
      </c>
      <c r="E20" s="5" t="n">
        <v>18.12154381993359</v>
      </c>
      <c r="F20" s="5" t="n">
        <v>2695.908098548426</v>
      </c>
      <c r="G20" s="5" t="n">
        <v>8073.912296339095</v>
      </c>
      <c r="H20" s="5" t="n">
        <v>46284.54692650925</v>
      </c>
      <c r="I20" s="5" t="n">
        <v>0</v>
      </c>
      <c r="J20" s="5">
        <f>SUM(B20:I20)</f>
        <v/>
      </c>
      <c r="L20" s="10" t="n">
        <v>0.3541666666666667</v>
      </c>
      <c r="M20" s="8" t="n">
        <v>245.6831236839295</v>
      </c>
      <c r="N20" s="8" t="n">
        <v>0</v>
      </c>
      <c r="O20" s="8" t="n">
        <v>0</v>
      </c>
      <c r="P20" s="8" t="n">
        <v>0</v>
      </c>
      <c r="Q20" s="8" t="n">
        <v>8721.705498877744</v>
      </c>
      <c r="R20" s="8" t="n">
        <v>14046.82575174632</v>
      </c>
      <c r="S20" s="8" t="n">
        <v>59187.15440509446</v>
      </c>
      <c r="T20" s="8" t="n">
        <v>5253.16005829061</v>
      </c>
      <c r="U20">
        <f>SUM(M20:T20)</f>
        <v/>
      </c>
    </row>
    <row r="21">
      <c r="A21" s="10" t="n">
        <v>0.375</v>
      </c>
      <c r="B21" s="5" t="n">
        <v>32.266201432027</v>
      </c>
      <c r="C21" s="5" t="n">
        <v>0.05510694934560675</v>
      </c>
      <c r="D21" s="5" t="n">
        <v>4.396273540150299</v>
      </c>
      <c r="E21" s="5" t="n">
        <v>21.57359424562414</v>
      </c>
      <c r="F21" s="5" t="n">
        <v>2524.641096138645</v>
      </c>
      <c r="G21" s="5" t="n">
        <v>5652.014456993348</v>
      </c>
      <c r="H21" s="5" t="n">
        <v>37002.86479726332</v>
      </c>
      <c r="I21" s="5" t="n">
        <v>0</v>
      </c>
      <c r="J21" s="5">
        <f>SUM(B21:I21)</f>
        <v/>
      </c>
      <c r="L21" s="10" t="n">
        <v>0.375</v>
      </c>
      <c r="M21" s="8" t="n">
        <v>246.2564742088318</v>
      </c>
      <c r="N21" s="8" t="n">
        <v>0</v>
      </c>
      <c r="O21" s="8" t="n">
        <v>0</v>
      </c>
      <c r="P21" s="8" t="n">
        <v>0</v>
      </c>
      <c r="Q21" s="8" t="n">
        <v>8711.225074761653</v>
      </c>
      <c r="R21" s="8" t="n">
        <v>11173.41519480676</v>
      </c>
      <c r="S21" s="8" t="n">
        <v>52903.57676937921</v>
      </c>
      <c r="T21" s="8" t="n">
        <v>4493.111839434581</v>
      </c>
      <c r="U21">
        <f>SUM(M21:T21)</f>
        <v/>
      </c>
    </row>
    <row r="22">
      <c r="A22" s="10" t="n">
        <v>0.3958333333333333</v>
      </c>
      <c r="B22" s="5" t="n">
        <v>34.12295392753104</v>
      </c>
      <c r="C22" s="5" t="n">
        <v>0.4735869511055934</v>
      </c>
      <c r="D22" s="5" t="n">
        <v>3.297205155112723</v>
      </c>
      <c r="E22" s="5" t="n">
        <v>22.68306210061845</v>
      </c>
      <c r="F22" s="5" t="n">
        <v>2123.085321332826</v>
      </c>
      <c r="G22" s="5" t="n">
        <v>3602.907503026815</v>
      </c>
      <c r="H22" s="5" t="n">
        <v>25618.68329255765</v>
      </c>
      <c r="I22" s="5" t="n">
        <v>0</v>
      </c>
      <c r="J22" s="5">
        <f>SUM(B22:I22)</f>
        <v/>
      </c>
      <c r="L22" s="10" t="n">
        <v>0.3958333333333333</v>
      </c>
      <c r="M22" s="8" t="n">
        <v>233.40689868927</v>
      </c>
      <c r="N22" s="8" t="n">
        <v>0</v>
      </c>
      <c r="O22" s="8" t="n">
        <v>0</v>
      </c>
      <c r="P22" s="8" t="n">
        <v>0</v>
      </c>
      <c r="Q22" s="8" t="n">
        <v>8079.337544816145</v>
      </c>
      <c r="R22" s="8" t="n">
        <v>7972.253704694597</v>
      </c>
      <c r="S22" s="8" t="n">
        <v>43036.47814185992</v>
      </c>
      <c r="T22" s="8" t="n">
        <v>3477.851047154319</v>
      </c>
      <c r="U22">
        <f>SUM(M22:T22)</f>
        <v/>
      </c>
    </row>
    <row r="23">
      <c r="A23" s="10" t="n">
        <v>0.4166666666666667</v>
      </c>
      <c r="B23" s="5" t="n">
        <v>30.99416132554013</v>
      </c>
      <c r="C23" s="5" t="n">
        <v>2.691734503600548</v>
      </c>
      <c r="D23" s="5" t="n">
        <v>2.029049326223214</v>
      </c>
      <c r="E23" s="5" t="n">
        <v>22.41068432198952</v>
      </c>
      <c r="F23" s="5" t="n">
        <v>1722.376202233769</v>
      </c>
      <c r="G23" s="5" t="n">
        <v>2169.203180715189</v>
      </c>
      <c r="H23" s="5" t="n">
        <v>15366.35491599272</v>
      </c>
      <c r="I23" s="5" t="n">
        <v>0</v>
      </c>
      <c r="J23" s="5">
        <f>SUM(B23:I23)</f>
        <v/>
      </c>
      <c r="L23" s="10" t="n">
        <v>0.4166666666666667</v>
      </c>
      <c r="M23" s="8" t="n">
        <v>214.9991623878479</v>
      </c>
      <c r="N23" s="8" t="n">
        <v>0</v>
      </c>
      <c r="O23" s="8" t="n">
        <v>0</v>
      </c>
      <c r="P23" s="8" t="n">
        <v>0</v>
      </c>
      <c r="Q23" s="8" t="n">
        <v>7107.235937960949</v>
      </c>
      <c r="R23" s="8" t="n">
        <v>5150.671012814077</v>
      </c>
      <c r="S23" s="8" t="n">
        <v>32353.46112894887</v>
      </c>
      <c r="T23" s="8" t="n">
        <v>2468.842502898949</v>
      </c>
      <c r="U23">
        <f>SUM(M23:T23)</f>
        <v/>
      </c>
    </row>
    <row r="24">
      <c r="A24" s="10" t="n">
        <v>0.4375</v>
      </c>
      <c r="B24" s="5" t="n">
        <v>23.56088485964992</v>
      </c>
      <c r="C24" s="5" t="n">
        <v>11.05793501086372</v>
      </c>
      <c r="D24" s="5" t="n">
        <v>1.014524663111607</v>
      </c>
      <c r="E24" s="5" t="n">
        <v>22.87056711326924</v>
      </c>
      <c r="F24" s="5" t="n">
        <v>1494.862813573897</v>
      </c>
      <c r="G24" s="5" t="n">
        <v>1318.972051020733</v>
      </c>
      <c r="H24" s="5" t="n">
        <v>7998.664053790423</v>
      </c>
      <c r="I24" s="5" t="n">
        <v>0</v>
      </c>
      <c r="J24" s="5">
        <f>SUM(B24:I24)</f>
        <v/>
      </c>
      <c r="L24" s="10" t="n">
        <v>0.4375</v>
      </c>
      <c r="M24" s="8" t="n">
        <v>198.6408714771271</v>
      </c>
      <c r="N24" s="8" t="n">
        <v>0</v>
      </c>
      <c r="O24" s="8" t="n">
        <v>0</v>
      </c>
      <c r="P24" s="8" t="n">
        <v>0</v>
      </c>
      <c r="Q24" s="8" t="n">
        <v>6084.478224747099</v>
      </c>
      <c r="R24" s="8" t="n">
        <v>3056.928362656648</v>
      </c>
      <c r="S24" s="8" t="n">
        <v>22959.05654832765</v>
      </c>
      <c r="T24" s="8" t="n">
        <v>1638.07792167777</v>
      </c>
      <c r="U24">
        <f>SUM(M24:T24)</f>
        <v/>
      </c>
    </row>
    <row r="25">
      <c r="A25" s="10" t="n">
        <v>0.4583333333333333</v>
      </c>
      <c r="B25" s="5" t="n">
        <v>14.80203797734924</v>
      </c>
      <c r="C25" s="5" t="n">
        <v>34.57089805362998</v>
      </c>
      <c r="D25" s="5" t="n">
        <v>0.4058098652446429</v>
      </c>
      <c r="E25" s="5" t="n">
        <v>25.79332596609176</v>
      </c>
      <c r="F25" s="5" t="n">
        <v>1483.439279315471</v>
      </c>
      <c r="G25" s="5" t="n">
        <v>880.3076024066481</v>
      </c>
      <c r="H25" s="5" t="n">
        <v>3647.210590188871</v>
      </c>
      <c r="I25" s="5" t="n">
        <v>0</v>
      </c>
      <c r="J25" s="5">
        <f>SUM(B25:I25)</f>
        <v/>
      </c>
      <c r="L25" s="10" t="n">
        <v>0.4583333333333333</v>
      </c>
      <c r="M25" s="8" t="n">
        <v>189.3306516647339</v>
      </c>
      <c r="N25" s="8" t="n">
        <v>0</v>
      </c>
      <c r="O25" s="8" t="n">
        <v>0</v>
      </c>
      <c r="P25" s="8" t="n">
        <v>0</v>
      </c>
      <c r="Q25" s="8" t="n">
        <v>5201.341901433042</v>
      </c>
      <c r="R25" s="8" t="n">
        <v>1703.198017896174</v>
      </c>
      <c r="S25" s="8" t="n">
        <v>15790.77325557063</v>
      </c>
      <c r="T25" s="8" t="n">
        <v>1041.617770093991</v>
      </c>
      <c r="U25">
        <f>SUM(M25:T25)</f>
        <v/>
      </c>
    </row>
    <row r="26">
      <c r="A26" s="10" t="n">
        <v>0.4791666666666667</v>
      </c>
      <c r="B26" s="5" t="n">
        <v>7.603606519263483</v>
      </c>
      <c r="C26" s="5" t="n">
        <v>84.97507280884901</v>
      </c>
      <c r="D26" s="5" t="n">
        <v>0.1268155828889509</v>
      </c>
      <c r="E26" s="5" t="n">
        <v>30.92611357023364</v>
      </c>
      <c r="F26" s="5" t="n">
        <v>1626.08717700074</v>
      </c>
      <c r="G26" s="5" t="n">
        <v>656.2634085572546</v>
      </c>
      <c r="H26" s="5" t="n">
        <v>1512.084119020205</v>
      </c>
      <c r="I26" s="5" t="n">
        <v>0</v>
      </c>
      <c r="J26" s="5">
        <f>SUM(B26:I26)</f>
        <v/>
      </c>
      <c r="L26" s="10" t="n">
        <v>0.4791666666666667</v>
      </c>
      <c r="M26" s="8" t="n">
        <v>189.0820876121521</v>
      </c>
      <c r="N26" s="8" t="n">
        <v>0</v>
      </c>
      <c r="O26" s="8" t="n">
        <v>0</v>
      </c>
      <c r="P26" s="8" t="n">
        <v>0</v>
      </c>
      <c r="Q26" s="8" t="n">
        <v>4521.714466820832</v>
      </c>
      <c r="R26" s="8" t="n">
        <v>918.6750562486616</v>
      </c>
      <c r="S26" s="8" t="n">
        <v>10810.12473992438</v>
      </c>
      <c r="T26" s="8" t="n">
        <v>652.8640832079371</v>
      </c>
      <c r="U26">
        <f>SUM(M26:T26)</f>
        <v/>
      </c>
    </row>
    <row r="27">
      <c r="A27" s="10" t="n">
        <v>0.5</v>
      </c>
      <c r="B27" s="5" t="n">
        <v>3.150157719978801</v>
      </c>
      <c r="C27" s="5" t="n">
        <v>167.7832931924252</v>
      </c>
      <c r="D27" s="5" t="n">
        <v>0.02983896067975315</v>
      </c>
      <c r="E27" s="5" t="n">
        <v>35.67797765489562</v>
      </c>
      <c r="F27" s="5" t="n">
        <v>1810.294010334907</v>
      </c>
      <c r="G27" s="5" t="n">
        <v>502.2509084092623</v>
      </c>
      <c r="H27" s="5" t="n">
        <v>644.5469482684367</v>
      </c>
      <c r="I27" s="5" t="n">
        <v>0</v>
      </c>
      <c r="J27" s="5">
        <f>SUM(B27:I27)</f>
        <v/>
      </c>
      <c r="L27" s="10" t="n">
        <v>0.5</v>
      </c>
      <c r="M27" s="8" t="n">
        <v>197.9785798072815</v>
      </c>
      <c r="N27" s="8" t="n">
        <v>0</v>
      </c>
      <c r="O27" s="8" t="n">
        <v>0</v>
      </c>
      <c r="P27" s="8" t="n">
        <v>0</v>
      </c>
      <c r="Q27" s="8" t="n">
        <v>4022.506054451238</v>
      </c>
      <c r="R27" s="8" t="n">
        <v>499.1973150084228</v>
      </c>
      <c r="S27" s="8" t="n">
        <v>7506.29412071785</v>
      </c>
      <c r="T27" s="8" t="n">
        <v>413.1308875026692</v>
      </c>
      <c r="U27">
        <f>SUM(M27:T27)</f>
        <v/>
      </c>
    </row>
    <row r="28">
      <c r="A28" s="10" t="n">
        <v>0.5208333333333334</v>
      </c>
      <c r="B28" s="5" t="n">
        <v>1.032516332096159</v>
      </c>
      <c r="C28" s="5" t="n">
        <v>269.9513297980066</v>
      </c>
      <c r="D28" s="5" t="n">
        <v>0.004973160113292192</v>
      </c>
      <c r="E28" s="5" t="n">
        <v>36.67654598954826</v>
      </c>
      <c r="F28" s="5" t="n">
        <v>1913.9572975858</v>
      </c>
      <c r="G28" s="5" t="n">
        <v>356.4194342271002</v>
      </c>
      <c r="H28" s="5" t="n">
        <v>369.9013144944929</v>
      </c>
      <c r="I28" s="5" t="n">
        <v>0</v>
      </c>
      <c r="J28" s="5">
        <f>SUM(B28:I28)</f>
        <v/>
      </c>
      <c r="L28" s="10" t="n">
        <v>0.5208333333333334</v>
      </c>
      <c r="M28" s="8" t="n">
        <v>215.4424697875976</v>
      </c>
      <c r="N28" s="8" t="n">
        <v>0</v>
      </c>
      <c r="O28" s="8" t="n">
        <v>0</v>
      </c>
      <c r="P28" s="8" t="n">
        <v>0</v>
      </c>
      <c r="Q28" s="8" t="n">
        <v>3653.776212216447</v>
      </c>
      <c r="R28" s="8" t="n">
        <v>286.3663226812507</v>
      </c>
      <c r="S28" s="8" t="n">
        <v>5324.236871696727</v>
      </c>
      <c r="T28" s="8" t="n">
        <v>267.4185664831951</v>
      </c>
      <c r="U28">
        <f>SUM(M28:T28)</f>
        <v/>
      </c>
    </row>
    <row r="29">
      <c r="A29" s="10" t="n">
        <v>0.5416666666666666</v>
      </c>
      <c r="B29" s="5" t="n">
        <v>0.2645847428588226</v>
      </c>
      <c r="C29" s="5" t="n">
        <v>357.1801771540482</v>
      </c>
      <c r="D29" s="5" t="n">
        <v>0.0005234905382412834</v>
      </c>
      <c r="E29" s="5" t="n">
        <v>32.26677505692705</v>
      </c>
      <c r="F29" s="5" t="n">
        <v>1845.215172036641</v>
      </c>
      <c r="G29" s="5" t="n">
        <v>220.2767973988163</v>
      </c>
      <c r="H29" s="5" t="n">
        <v>338.7825146619361</v>
      </c>
      <c r="I29" s="5" t="n">
        <v>0</v>
      </c>
      <c r="J29" s="5">
        <f>SUM(B29:I29)</f>
        <v/>
      </c>
      <c r="L29" s="10" t="n">
        <v>0.5416666666666666</v>
      </c>
      <c r="M29" s="8" t="n">
        <v>240.8405027866363</v>
      </c>
      <c r="N29" s="8" t="n">
        <v>0</v>
      </c>
      <c r="O29" s="8" t="n">
        <v>0</v>
      </c>
      <c r="P29" s="8" t="n">
        <v>0</v>
      </c>
      <c r="Q29" s="8" t="n">
        <v>3379.413319636954</v>
      </c>
      <c r="R29" s="8" t="n">
        <v>182.2530580448785</v>
      </c>
      <c r="S29" s="8" t="n">
        <v>3859.836024922075</v>
      </c>
      <c r="T29" s="8" t="n">
        <v>177.8045933169832</v>
      </c>
      <c r="U29">
        <f>SUM(M29:T29)</f>
        <v/>
      </c>
    </row>
    <row r="30">
      <c r="A30" s="10" t="n">
        <v>0.5625</v>
      </c>
      <c r="B30" s="5" t="n">
        <v>0.0777592217779917</v>
      </c>
      <c r="C30" s="5" t="n">
        <v>390.7000942682538</v>
      </c>
      <c r="D30" s="5" t="n">
        <v>2.617452691206417e-05</v>
      </c>
      <c r="E30" s="5" t="n">
        <v>23.79606740569175</v>
      </c>
      <c r="F30" s="5" t="n">
        <v>1587.33511871001</v>
      </c>
      <c r="G30" s="5" t="n">
        <v>114.9882433153352</v>
      </c>
      <c r="H30" s="5" t="n">
        <v>409.3939927973224</v>
      </c>
      <c r="I30" s="5" t="n">
        <v>0</v>
      </c>
      <c r="J30" s="5">
        <f>SUM(B30:I30)</f>
        <v/>
      </c>
      <c r="L30" s="10" t="n">
        <v>0.5625</v>
      </c>
      <c r="M30" s="8" t="n">
        <v>273.3272932052612</v>
      </c>
      <c r="N30" s="8" t="n">
        <v>0</v>
      </c>
      <c r="O30" s="8" t="n">
        <v>0</v>
      </c>
      <c r="P30" s="8" t="n">
        <v>0</v>
      </c>
      <c r="Q30" s="8" t="n">
        <v>3184.632572825029</v>
      </c>
      <c r="R30" s="8" t="n">
        <v>133.998029328881</v>
      </c>
      <c r="S30" s="8" t="n">
        <v>2869.347344973129</v>
      </c>
      <c r="T30" s="8" t="n">
        <v>122.202072003087</v>
      </c>
      <c r="U30">
        <f>SUM(M30:T30)</f>
        <v/>
      </c>
    </row>
    <row r="31">
      <c r="A31" s="10" t="n">
        <v>0.5833333333333334</v>
      </c>
      <c r="B31" s="5" t="n">
        <v>0.132787472381181</v>
      </c>
      <c r="C31" s="5" t="n">
        <v>354.0525537096975</v>
      </c>
      <c r="D31" s="5" t="n">
        <v>0</v>
      </c>
      <c r="E31" s="5" t="n">
        <v>14.50781831904442</v>
      </c>
      <c r="F31" s="5" t="n">
        <v>1212.025358114546</v>
      </c>
      <c r="G31" s="5" t="n">
        <v>49.91872989036742</v>
      </c>
      <c r="H31" s="5" t="n">
        <v>528.6436630274023</v>
      </c>
      <c r="I31" s="5" t="n">
        <v>0</v>
      </c>
      <c r="J31" s="5">
        <f>SUM(B31:I31)</f>
        <v/>
      </c>
      <c r="L31" s="10" t="n">
        <v>0.5833333333333334</v>
      </c>
      <c r="M31" s="8" t="n">
        <v>311.4971065998077</v>
      </c>
      <c r="N31" s="8" t="n">
        <v>0</v>
      </c>
      <c r="O31" s="8" t="n">
        <v>0</v>
      </c>
      <c r="P31" s="8" t="n">
        <v>0</v>
      </c>
      <c r="Q31" s="8" t="n">
        <v>3061.99109993057</v>
      </c>
      <c r="R31" s="8" t="n">
        <v>114.5983500393872</v>
      </c>
      <c r="S31" s="8" t="n">
        <v>2207.10200511619</v>
      </c>
      <c r="T31" s="8" t="n">
        <v>88.33916202814871</v>
      </c>
      <c r="U31">
        <f>SUM(M31:T31)</f>
        <v/>
      </c>
    </row>
    <row r="32">
      <c r="A32" s="10" t="n">
        <v>0.6041666666666666</v>
      </c>
      <c r="B32" s="5" t="n">
        <v>0.4060802737637626</v>
      </c>
      <c r="C32" s="5" t="n">
        <v>265.6729026453187</v>
      </c>
      <c r="D32" s="5" t="n">
        <v>0</v>
      </c>
      <c r="E32" s="5" t="n">
        <v>7.212768309329681</v>
      </c>
      <c r="F32" s="5" t="n">
        <v>833.6731496393209</v>
      </c>
      <c r="G32" s="5" t="n">
        <v>17.84389813530708</v>
      </c>
      <c r="H32" s="5" t="n">
        <v>667.9868447328666</v>
      </c>
      <c r="I32" s="5" t="n">
        <v>0</v>
      </c>
      <c r="J32" s="5">
        <f>SUM(B32:I32)</f>
        <v/>
      </c>
      <c r="L32" s="10" t="n">
        <v>0.6041666666666666</v>
      </c>
      <c r="M32" s="8" t="n">
        <v>353.7402241706848</v>
      </c>
      <c r="N32" s="8" t="n">
        <v>0</v>
      </c>
      <c r="O32" s="8" t="n">
        <v>0</v>
      </c>
      <c r="P32" s="8" t="n">
        <v>0</v>
      </c>
      <c r="Q32" s="8" t="n">
        <v>2997.809028969577</v>
      </c>
      <c r="R32" s="8" t="n">
        <v>109.7944010225197</v>
      </c>
      <c r="S32" s="8" t="n">
        <v>1771.4435096788</v>
      </c>
      <c r="T32" s="8" t="n">
        <v>68.67617390040101</v>
      </c>
      <c r="U32">
        <f>SUM(M32:T32)</f>
        <v/>
      </c>
    </row>
    <row r="33">
      <c r="A33" s="10" t="n">
        <v>0.625</v>
      </c>
      <c r="B33" s="5" t="n">
        <v>1.014093020179962</v>
      </c>
      <c r="C33" s="5" t="n">
        <v>164.6950150704537</v>
      </c>
      <c r="D33" s="5" t="n">
        <v>0</v>
      </c>
      <c r="E33" s="5" t="n">
        <v>2.87391651137385</v>
      </c>
      <c r="F33" s="5" t="n">
        <v>538.1992791238074</v>
      </c>
      <c r="G33" s="5" t="n">
        <v>5.208108632214831</v>
      </c>
      <c r="H33" s="5" t="n">
        <v>802.3256487325721</v>
      </c>
      <c r="I33" s="5" t="n">
        <v>0</v>
      </c>
      <c r="J33" s="5">
        <f>SUM(B33:I33)</f>
        <v/>
      </c>
      <c r="L33" s="10" t="n">
        <v>0.625</v>
      </c>
      <c r="M33" s="8" t="n">
        <v>399.7845680713654</v>
      </c>
      <c r="N33" s="8" t="n">
        <v>0</v>
      </c>
      <c r="O33" s="8" t="n">
        <v>0</v>
      </c>
      <c r="P33" s="8" t="n">
        <v>0</v>
      </c>
      <c r="Q33" s="8" t="n">
        <v>2972.86402678804</v>
      </c>
      <c r="R33" s="8" t="n">
        <v>111.2111654787927</v>
      </c>
      <c r="S33" s="8" t="n">
        <v>1481.944440295117</v>
      </c>
      <c r="T33" s="8" t="n">
        <v>57.79928545611367</v>
      </c>
      <c r="U33">
        <f>SUM(M33:T33)</f>
        <v/>
      </c>
    </row>
    <row r="34">
      <c r="A34" s="10" t="n">
        <v>0.6458333333333334</v>
      </c>
      <c r="B34" s="5" t="n">
        <v>2.028157983771409</v>
      </c>
      <c r="C34" s="5" t="n">
        <v>84.14641487273305</v>
      </c>
      <c r="D34" s="5" t="n">
        <v>0</v>
      </c>
      <c r="E34" s="5" t="n">
        <v>0.8954355887100897</v>
      </c>
      <c r="F34" s="5" t="n">
        <v>347.0034208255074</v>
      </c>
      <c r="G34" s="5" t="n">
        <v>1.228946144251196</v>
      </c>
      <c r="H34" s="5" t="n">
        <v>907.4195147313512</v>
      </c>
      <c r="I34" s="5" t="n">
        <v>0</v>
      </c>
      <c r="J34" s="5">
        <f>SUM(B34:I34)</f>
        <v/>
      </c>
      <c r="L34" s="10" t="n">
        <v>0.6458333333333334</v>
      </c>
      <c r="M34" s="8" t="n">
        <v>452.4470304965972</v>
      </c>
      <c r="N34" s="8" t="n">
        <v>0</v>
      </c>
      <c r="O34" s="8" t="n">
        <v>0</v>
      </c>
      <c r="P34" s="8" t="n">
        <v>0</v>
      </c>
      <c r="Q34" s="8" t="n">
        <v>2973.384205080337</v>
      </c>
      <c r="R34" s="8" t="n">
        <v>113.3430072075223</v>
      </c>
      <c r="S34" s="8" t="n">
        <v>1277.004978977507</v>
      </c>
      <c r="T34" s="8" t="n">
        <v>51.63634776415649</v>
      </c>
      <c r="U34">
        <f>SUM(M34:T34)</f>
        <v/>
      </c>
    </row>
    <row r="35">
      <c r="A35" s="10" t="n">
        <v>0.6666666666666666</v>
      </c>
      <c r="B35" s="5" t="n">
        <v>3.295756723628539</v>
      </c>
      <c r="C35" s="5" t="n">
        <v>35.50730496086974</v>
      </c>
      <c r="D35" s="5" t="n">
        <v>0</v>
      </c>
      <c r="E35" s="5" t="n">
        <v>0.2101694493864671</v>
      </c>
      <c r="F35" s="5" t="n">
        <v>233.9955490753232</v>
      </c>
      <c r="G35" s="5" t="n">
        <v>0.2302895719262183</v>
      </c>
      <c r="H35" s="5" t="n">
        <v>962.0100584555569</v>
      </c>
      <c r="I35" s="5" t="n">
        <v>0</v>
      </c>
      <c r="J35" s="5">
        <f>SUM(B35:I35)</f>
        <v/>
      </c>
      <c r="L35" s="10" t="n">
        <v>0.6666666666666666</v>
      </c>
      <c r="M35" s="8" t="n">
        <v>517.1390610694885</v>
      </c>
      <c r="N35" s="8" t="n">
        <v>0</v>
      </c>
      <c r="O35" s="8" t="n">
        <v>0</v>
      </c>
      <c r="P35" s="8" t="n">
        <v>0</v>
      </c>
      <c r="Q35" s="8" t="n">
        <v>2996.319492691296</v>
      </c>
      <c r="R35" s="8" t="n">
        <v>112.5097984843704</v>
      </c>
      <c r="S35" s="8" t="n">
        <v>1115.192505160603</v>
      </c>
      <c r="T35" s="8" t="n">
        <v>47.35426867172807</v>
      </c>
      <c r="U35">
        <f>SUM(M35:T35)</f>
        <v/>
      </c>
    </row>
    <row r="36">
      <c r="A36" s="10" t="n">
        <v>0.6875</v>
      </c>
      <c r="B36" s="5" t="n">
        <v>4.394342298171385</v>
      </c>
      <c r="C36" s="5" t="n">
        <v>12.5918495042648</v>
      </c>
      <c r="D36" s="5" t="n">
        <v>0</v>
      </c>
      <c r="E36" s="5" t="n">
        <v>0.03495196145639896</v>
      </c>
      <c r="F36" s="5" t="n">
        <v>163.1352718921512</v>
      </c>
      <c r="G36" s="5" t="n">
        <v>0.03284550683856115</v>
      </c>
      <c r="H36" s="5" t="n">
        <v>952.9848893985391</v>
      </c>
      <c r="I36" s="5" t="n">
        <v>0</v>
      </c>
      <c r="J36" s="5">
        <f>SUM(B36:I36)</f>
        <v/>
      </c>
      <c r="L36" s="10" t="n">
        <v>0.6875</v>
      </c>
      <c r="M36" s="8" t="n">
        <v>597.3464448451996</v>
      </c>
      <c r="N36" s="8" t="n">
        <v>0</v>
      </c>
      <c r="O36" s="8" t="n">
        <v>0</v>
      </c>
      <c r="P36" s="8" t="n">
        <v>0</v>
      </c>
      <c r="Q36" s="8" t="n">
        <v>3038.179199324108</v>
      </c>
      <c r="R36" s="8" t="n">
        <v>106.7035845311648</v>
      </c>
      <c r="S36" s="8" t="n">
        <v>972.2708332611758</v>
      </c>
      <c r="T36" s="8" t="n">
        <v>43.22981215104461</v>
      </c>
      <c r="U36">
        <f>SUM(M36:T36)</f>
        <v/>
      </c>
    </row>
    <row r="37">
      <c r="A37" s="10" t="n">
        <v>0.7083333333333334</v>
      </c>
      <c r="B37" s="5" t="n">
        <v>4.833776527988524</v>
      </c>
      <c r="C37" s="5" t="n">
        <v>3.949863702801061</v>
      </c>
      <c r="D37" s="5" t="n">
        <v>0</v>
      </c>
      <c r="E37" s="5" t="n">
        <v>0.003671927300967153</v>
      </c>
      <c r="F37" s="5" t="n">
        <v>111.3646287299291</v>
      </c>
      <c r="G37" s="5" t="n">
        <v>0.003208452048389359</v>
      </c>
      <c r="H37" s="5" t="n">
        <v>882.4560198068179</v>
      </c>
      <c r="I37" s="5" t="n">
        <v>0</v>
      </c>
      <c r="J37" s="5">
        <f>SUM(B37:I37)</f>
        <v/>
      </c>
      <c r="L37" s="10" t="n">
        <v>0.7083333333333334</v>
      </c>
      <c r="M37" s="8" t="n">
        <v>688.0055521011352</v>
      </c>
      <c r="N37" s="8" t="n">
        <v>0</v>
      </c>
      <c r="O37" s="8" t="n">
        <v>0</v>
      </c>
      <c r="P37" s="8" t="n">
        <v>0</v>
      </c>
      <c r="Q37" s="8" t="n">
        <v>3075.507820742723</v>
      </c>
      <c r="R37" s="8" t="n">
        <v>95.61671808289196</v>
      </c>
      <c r="S37" s="8" t="n">
        <v>835.1314413631569</v>
      </c>
      <c r="T37" s="8" t="n">
        <v>38.38656730639326</v>
      </c>
      <c r="U37">
        <f>SUM(M37:T37)</f>
        <v/>
      </c>
    </row>
    <row r="38">
      <c r="A38" s="10" t="n">
        <v>0.7291666666666666</v>
      </c>
      <c r="B38" s="5" t="n">
        <v>4.394342298171385</v>
      </c>
      <c r="C38" s="5" t="n">
        <v>1.19331222622583</v>
      </c>
      <c r="D38" s="5" t="n">
        <v>0</v>
      </c>
      <c r="E38" s="5" t="n">
        <v>0.0001832694502997338</v>
      </c>
      <c r="F38" s="5" t="n">
        <v>70.48816012425645</v>
      </c>
      <c r="G38" s="5" t="n">
        <v>0.0001604226024194679</v>
      </c>
      <c r="H38" s="5" t="n">
        <v>768.2773098465813</v>
      </c>
      <c r="I38" s="5" t="n">
        <v>0</v>
      </c>
      <c r="J38" s="5">
        <f>SUM(B38:I38)</f>
        <v/>
      </c>
      <c r="L38" s="10" t="n">
        <v>0.7291666666666666</v>
      </c>
      <c r="M38" s="8" t="n">
        <v>772.7199971675873</v>
      </c>
      <c r="N38" s="8" t="n">
        <v>0</v>
      </c>
      <c r="O38" s="8" t="n">
        <v>0</v>
      </c>
      <c r="P38" s="8" t="n">
        <v>0</v>
      </c>
      <c r="Q38" s="8" t="n">
        <v>3059.206673412817</v>
      </c>
      <c r="R38" s="8" t="n">
        <v>80.42530039444881</v>
      </c>
      <c r="S38" s="8" t="n">
        <v>697.2295543213557</v>
      </c>
      <c r="T38" s="8" t="n">
        <v>32.56446382393329</v>
      </c>
      <c r="U38">
        <f>SUM(M38:T38)</f>
        <v/>
      </c>
    </row>
    <row r="39">
      <c r="A39" s="10" t="n">
        <v>0.75</v>
      </c>
      <c r="B39" s="5" t="n">
        <v>3.295756723628539</v>
      </c>
      <c r="C39" s="5" t="n">
        <v>0.3624431173313207</v>
      </c>
      <c r="D39" s="5" t="n">
        <v>0</v>
      </c>
      <c r="E39" s="5" t="n">
        <v>0</v>
      </c>
      <c r="F39" s="5" t="n">
        <v>39.76964184367072</v>
      </c>
      <c r="G39" s="5" t="n">
        <v>0</v>
      </c>
      <c r="H39" s="5" t="n">
        <v>633.1314484546122</v>
      </c>
      <c r="I39" s="5" t="n">
        <v>0</v>
      </c>
      <c r="J39" s="5">
        <f>SUM(B39:I39)</f>
        <v/>
      </c>
      <c r="L39" s="10" t="n">
        <v>0.75</v>
      </c>
      <c r="M39" s="8" t="n">
        <v>829.9668751239777</v>
      </c>
      <c r="N39" s="8" t="n">
        <v>0</v>
      </c>
      <c r="O39" s="8" t="n">
        <v>0</v>
      </c>
      <c r="P39" s="8" t="n">
        <v>0</v>
      </c>
      <c r="Q39" s="8" t="n">
        <v>2937.169998694896</v>
      </c>
      <c r="R39" s="8" t="n">
        <v>63.25284171166185</v>
      </c>
      <c r="S39" s="8" t="n">
        <v>557.6760493758793</v>
      </c>
      <c r="T39" s="8" t="n">
        <v>25.99633076639022</v>
      </c>
      <c r="U39">
        <f>SUM(M39:T39)</f>
        <v/>
      </c>
    </row>
    <row r="40">
      <c r="A40" s="10" t="n">
        <v>0.7708333333333334</v>
      </c>
      <c r="B40" s="5" t="n">
        <v>2.028157983771409</v>
      </c>
      <c r="C40" s="5" t="n">
        <v>0.102519117130898</v>
      </c>
      <c r="D40" s="5" t="n">
        <v>0</v>
      </c>
      <c r="E40" s="5" t="n">
        <v>0</v>
      </c>
      <c r="F40" s="5" t="n">
        <v>19.42728320331883</v>
      </c>
      <c r="G40" s="5" t="n">
        <v>0</v>
      </c>
      <c r="H40" s="5" t="n">
        <v>492.5949164881289</v>
      </c>
      <c r="I40" s="5" t="n">
        <v>0</v>
      </c>
      <c r="J40" s="5">
        <f>SUM(B40:I40)</f>
        <v/>
      </c>
      <c r="L40" s="10" t="n">
        <v>0.7708333333333334</v>
      </c>
      <c r="M40" s="8" t="n">
        <v>845.7849541664123</v>
      </c>
      <c r="N40" s="8" t="n">
        <v>0</v>
      </c>
      <c r="O40" s="8" t="n">
        <v>0</v>
      </c>
      <c r="P40" s="8" t="n">
        <v>0</v>
      </c>
      <c r="Q40" s="8" t="n">
        <v>2692.06414274486</v>
      </c>
      <c r="R40" s="8" t="n">
        <v>46.47590332812116</v>
      </c>
      <c r="S40" s="8" t="n">
        <v>421.8301896484259</v>
      </c>
      <c r="T40" s="8" t="n">
        <v>19.29475229839926</v>
      </c>
      <c r="U40">
        <f>SUM(M40:T40)</f>
        <v/>
      </c>
    </row>
    <row r="41">
      <c r="A41" s="10" t="n">
        <v>0.7916666666666666</v>
      </c>
      <c r="B41" s="5" t="n">
        <v>1.014078991885704</v>
      </c>
      <c r="C41" s="5" t="n">
        <v>0.02364165695506186</v>
      </c>
      <c r="D41" s="5" t="n">
        <v>0</v>
      </c>
      <c r="E41" s="5" t="n">
        <v>0</v>
      </c>
      <c r="F41" s="5" t="n">
        <v>8.010340368759843</v>
      </c>
      <c r="G41" s="5" t="n">
        <v>0</v>
      </c>
      <c r="H41" s="5" t="n">
        <v>355.107520197226</v>
      </c>
      <c r="I41" s="5" t="n">
        <v>0</v>
      </c>
      <c r="J41" s="5">
        <f>SUM(B41:I41)</f>
        <v/>
      </c>
      <c r="L41" s="10" t="n">
        <v>0.7916666666666666</v>
      </c>
      <c r="M41" s="8" t="n">
        <v>822.2747761249541</v>
      </c>
      <c r="N41" s="8" t="n">
        <v>0</v>
      </c>
      <c r="O41" s="8" t="n">
        <v>0</v>
      </c>
      <c r="P41" s="8" t="n">
        <v>0</v>
      </c>
      <c r="Q41" s="8" t="n">
        <v>2359.760300389186</v>
      </c>
      <c r="R41" s="8" t="n">
        <v>32.06379782909821</v>
      </c>
      <c r="S41" s="8" t="n">
        <v>299.6562802762904</v>
      </c>
      <c r="T41" s="8" t="n">
        <v>13.23300263038443</v>
      </c>
      <c r="U41">
        <f>SUM(M41:T41)</f>
        <v/>
      </c>
    </row>
    <row r="42">
      <c r="A42" s="10" t="n">
        <v>0.8125</v>
      </c>
      <c r="B42" s="5" t="n">
        <v>0.4056315967542817</v>
      </c>
      <c r="C42" s="5" t="n">
        <v>0.003940276159176977</v>
      </c>
      <c r="D42" s="5" t="n">
        <v>0</v>
      </c>
      <c r="E42" s="5" t="n">
        <v>0</v>
      </c>
      <c r="F42" s="5" t="n">
        <v>2.71601293841971</v>
      </c>
      <c r="G42" s="5" t="n">
        <v>0</v>
      </c>
      <c r="H42" s="5" t="n">
        <v>229.9717946650527</v>
      </c>
      <c r="I42" s="5" t="n">
        <v>0</v>
      </c>
      <c r="J42" s="5">
        <f>SUM(B42:I42)</f>
        <v/>
      </c>
      <c r="L42" s="10" t="n">
        <v>0.8125</v>
      </c>
      <c r="M42" s="8" t="n">
        <v>773.0666655063628</v>
      </c>
      <c r="N42" s="8" t="n">
        <v>0</v>
      </c>
      <c r="O42" s="8" t="n">
        <v>0</v>
      </c>
      <c r="P42" s="8" t="n">
        <v>0</v>
      </c>
      <c r="Q42" s="8" t="n">
        <v>2006.607861253587</v>
      </c>
      <c r="R42" s="8" t="n">
        <v>21.10421738101902</v>
      </c>
      <c r="S42" s="8" t="n">
        <v>200.8106470397675</v>
      </c>
      <c r="T42" s="8" t="n">
        <v>8.435176209129251</v>
      </c>
      <c r="U42">
        <f>SUM(M42:T42)</f>
        <v/>
      </c>
    </row>
    <row r="43">
      <c r="A43" s="10" t="n">
        <v>0.8333333333333334</v>
      </c>
      <c r="B43" s="5" t="n">
        <v>0.126759873985713</v>
      </c>
      <c r="C43" s="5" t="n">
        <v>0.0004147659114923133</v>
      </c>
      <c r="D43" s="5" t="n">
        <v>0</v>
      </c>
      <c r="E43" s="5" t="n">
        <v>0</v>
      </c>
      <c r="F43" s="5" t="n">
        <v>0.7343716345965088</v>
      </c>
      <c r="G43" s="5" t="n">
        <v>0</v>
      </c>
      <c r="H43" s="5" t="n">
        <v>129.3368025936025</v>
      </c>
      <c r="I43" s="5" t="n">
        <v>0</v>
      </c>
      <c r="J43" s="5">
        <f>SUM(B43:I43)</f>
        <v/>
      </c>
      <c r="L43" s="10" t="n">
        <v>0.8333333333333334</v>
      </c>
      <c r="M43" s="8" t="n">
        <v>709.6335211277008</v>
      </c>
      <c r="N43" s="8" t="n">
        <v>0</v>
      </c>
      <c r="O43" s="8" t="n">
        <v>0</v>
      </c>
      <c r="P43" s="8" t="n">
        <v>0</v>
      </c>
      <c r="Q43" s="8" t="n">
        <v>1683.353148918588</v>
      </c>
      <c r="R43" s="8" t="n">
        <v>13.65380621920966</v>
      </c>
      <c r="S43" s="8" t="n">
        <v>129.4624033768855</v>
      </c>
      <c r="T43" s="8" t="n">
        <v>5.129040209762015</v>
      </c>
      <c r="U43">
        <f>SUM(M43:T43)</f>
        <v/>
      </c>
    </row>
    <row r="44">
      <c r="A44" s="10" t="n">
        <v>0.8541666666666666</v>
      </c>
      <c r="B44" s="5" t="n">
        <v>0.02982585270252072</v>
      </c>
      <c r="C44" s="5" t="n">
        <v>2.073829557461567e-05</v>
      </c>
      <c r="D44" s="5" t="n">
        <v>0</v>
      </c>
      <c r="E44" s="5" t="n">
        <v>0</v>
      </c>
      <c r="F44" s="5" t="n">
        <v>0.1519466900464887</v>
      </c>
      <c r="G44" s="5" t="n">
        <v>0</v>
      </c>
      <c r="H44" s="5" t="n">
        <v>61.2092164173465</v>
      </c>
      <c r="I44" s="5" t="n">
        <v>0</v>
      </c>
      <c r="J44" s="5">
        <f>SUM(B44:I44)</f>
        <v/>
      </c>
      <c r="L44" s="10" t="n">
        <v>0.8541666666666666</v>
      </c>
      <c r="M44" s="8" t="n">
        <v>632.3643778324126</v>
      </c>
      <c r="N44" s="8" t="n">
        <v>0</v>
      </c>
      <c r="O44" s="8" t="n">
        <v>0</v>
      </c>
      <c r="P44" s="8" t="n">
        <v>0</v>
      </c>
      <c r="Q44" s="8" t="n">
        <v>1397.610294467506</v>
      </c>
      <c r="R44" s="8" t="n">
        <v>8.980434611524705</v>
      </c>
      <c r="S44" s="8" t="n">
        <v>82.73912588411322</v>
      </c>
      <c r="T44" s="8" t="n">
        <v>3.11728550625276</v>
      </c>
      <c r="U44">
        <f>SUM(M44:T44)</f>
        <v/>
      </c>
    </row>
    <row r="45">
      <c r="A45" s="10" t="n">
        <v>0.875</v>
      </c>
      <c r="B45" s="5" t="n">
        <v>0.004970975450420119</v>
      </c>
      <c r="C45" s="5" t="n">
        <v>0</v>
      </c>
      <c r="D45" s="5" t="n">
        <v>0</v>
      </c>
      <c r="E45" s="5" t="n">
        <v>0</v>
      </c>
      <c r="F45" s="5" t="n">
        <v>0.02257709781631467</v>
      </c>
      <c r="G45" s="5" t="n">
        <v>0</v>
      </c>
      <c r="H45" s="5" t="n">
        <v>23.66163663684427</v>
      </c>
      <c r="I45" s="5" t="n">
        <v>0</v>
      </c>
      <c r="J45" s="5">
        <f>SUM(B45:I45)</f>
        <v/>
      </c>
      <c r="L45" s="10" t="n">
        <v>0.875</v>
      </c>
      <c r="M45" s="8" t="n">
        <v>535.2378651618957</v>
      </c>
      <c r="N45" s="8" t="n">
        <v>0</v>
      </c>
      <c r="O45" s="8" t="n">
        <v>0</v>
      </c>
      <c r="P45" s="8" t="n">
        <v>0</v>
      </c>
      <c r="Q45" s="8" t="n">
        <v>1127.031596008248</v>
      </c>
      <c r="R45" s="8" t="n">
        <v>6.068825321049666</v>
      </c>
      <c r="S45" s="8" t="n">
        <v>53.51535008595252</v>
      </c>
      <c r="T45" s="8" t="n">
        <v>1.970225030093857</v>
      </c>
      <c r="U45">
        <f>SUM(M45:T45)</f>
        <v/>
      </c>
    </row>
    <row r="46">
      <c r="A46" s="10" t="n">
        <v>0.8958333333333334</v>
      </c>
      <c r="B46" s="5" t="n">
        <v>0.0005232605737284336</v>
      </c>
      <c r="C46" s="5" t="n">
        <v>0</v>
      </c>
      <c r="D46" s="5" t="n">
        <v>0</v>
      </c>
      <c r="E46" s="5" t="n">
        <v>0</v>
      </c>
      <c r="F46" s="5" t="n">
        <v>0.002145403461355213</v>
      </c>
      <c r="G46" s="5" t="n">
        <v>0</v>
      </c>
      <c r="H46" s="5" t="n">
        <v>7.234447443289395</v>
      </c>
      <c r="I46" s="5" t="n">
        <v>0</v>
      </c>
      <c r="J46" s="5">
        <f>SUM(B46:I46)</f>
        <v/>
      </c>
      <c r="L46" s="10" t="n">
        <v>0.8958333333333334</v>
      </c>
      <c r="M46" s="8" t="n">
        <v>418.2050220012665</v>
      </c>
      <c r="N46" s="8" t="n">
        <v>0</v>
      </c>
      <c r="O46" s="8" t="n">
        <v>0</v>
      </c>
      <c r="P46" s="8" t="n">
        <v>0</v>
      </c>
      <c r="Q46" s="8" t="n">
        <v>854.4977655280945</v>
      </c>
      <c r="R46" s="8" t="n">
        <v>4.093923717338268</v>
      </c>
      <c r="S46" s="8" t="n">
        <v>34.68947902482785</v>
      </c>
      <c r="T46" s="8" t="n">
        <v>1.28023859620047</v>
      </c>
      <c r="U46">
        <f>SUM(M46:T46)</f>
        <v/>
      </c>
    </row>
    <row r="47">
      <c r="A47" s="10" t="n">
        <v>0.9166666666666666</v>
      </c>
      <c r="B47" s="5" t="n">
        <v>2.616302868642168e-05</v>
      </c>
      <c r="C47" s="5" t="n">
        <v>0</v>
      </c>
      <c r="D47" s="5" t="n">
        <v>0</v>
      </c>
      <c r="E47" s="5" t="n">
        <v>0</v>
      </c>
      <c r="F47" s="5" t="n">
        <v>9.801263675635719e-05</v>
      </c>
      <c r="G47" s="5" t="n">
        <v>0</v>
      </c>
      <c r="H47" s="5" t="n">
        <v>1.677917878603124</v>
      </c>
      <c r="I47" s="5" t="n">
        <v>0</v>
      </c>
      <c r="J47" s="5">
        <f>SUM(B47:I47)</f>
        <v/>
      </c>
      <c r="L47" s="10" t="n">
        <v>0.9166666666666666</v>
      </c>
      <c r="M47" s="8" t="n">
        <v>293.8472130775451</v>
      </c>
      <c r="N47" s="8" t="n">
        <v>0</v>
      </c>
      <c r="O47" s="8" t="n">
        <v>0</v>
      </c>
      <c r="P47" s="8" t="n">
        <v>0</v>
      </c>
      <c r="Q47" s="8" t="n">
        <v>589.6665081553303</v>
      </c>
      <c r="R47" s="8" t="n">
        <v>2.620139329276888</v>
      </c>
      <c r="S47" s="8" t="n">
        <v>21.72737410690821</v>
      </c>
      <c r="T47" s="8" t="n">
        <v>0.8056033789643413</v>
      </c>
      <c r="U47">
        <f>SUM(M47:T47)</f>
        <v/>
      </c>
    </row>
    <row r="48">
      <c r="A48" s="10" t="n">
        <v>0.9375</v>
      </c>
      <c r="B48" s="5" t="n">
        <v>0</v>
      </c>
      <c r="C48" s="5" t="n">
        <v>0</v>
      </c>
      <c r="D48" s="5" t="n">
        <v>0</v>
      </c>
      <c r="E48" s="5" t="n">
        <v>0</v>
      </c>
      <c r="F48" s="5" t="n">
        <v>0</v>
      </c>
      <c r="G48" s="5" t="n">
        <v>0</v>
      </c>
      <c r="H48" s="5" t="n">
        <v>0.2769912795345214</v>
      </c>
      <c r="I48" s="5" t="n">
        <v>0</v>
      </c>
      <c r="J48" s="5">
        <f>SUM(B48:I48)</f>
        <v/>
      </c>
      <c r="L48" s="10" t="n">
        <v>0.9375</v>
      </c>
      <c r="M48" s="8" t="n">
        <v>181.9272382259369</v>
      </c>
      <c r="N48" s="8" t="n">
        <v>0</v>
      </c>
      <c r="O48" s="8" t="n">
        <v>0</v>
      </c>
      <c r="P48" s="8" t="n">
        <v>0</v>
      </c>
      <c r="Q48" s="8" t="n">
        <v>361.1068659059366</v>
      </c>
      <c r="R48" s="8" t="n">
        <v>1.517372323065864</v>
      </c>
      <c r="S48" s="8" t="n">
        <v>12.63196205533895</v>
      </c>
      <c r="T48" s="8" t="n">
        <v>0.4601881525354301</v>
      </c>
      <c r="U48">
        <f>SUM(M48:T48)</f>
        <v/>
      </c>
    </row>
    <row r="49">
      <c r="A49" s="10" t="n">
        <v>0.9583333333333334</v>
      </c>
      <c r="B49" s="5" t="n">
        <v>0</v>
      </c>
      <c r="C49" s="5" t="n">
        <v>0</v>
      </c>
      <c r="D49" s="5" t="n">
        <v>0</v>
      </c>
      <c r="E49" s="5" t="n">
        <v>0</v>
      </c>
      <c r="F49" s="5" t="n">
        <v>0</v>
      </c>
      <c r="G49" s="5" t="n">
        <v>0</v>
      </c>
      <c r="H49" s="5" t="n">
        <v>0.0289776104537527</v>
      </c>
      <c r="I49" s="5" t="n">
        <v>0</v>
      </c>
      <c r="J49" s="5">
        <f>SUM(B49:I49)</f>
        <v/>
      </c>
      <c r="L49" s="10" t="n">
        <v>0.9583333333333334</v>
      </c>
      <c r="M49" s="8" t="n">
        <v>97.82178945541381</v>
      </c>
      <c r="N49" s="8" t="n">
        <v>0</v>
      </c>
      <c r="O49" s="8" t="n">
        <v>0</v>
      </c>
      <c r="P49" s="8" t="n">
        <v>0</v>
      </c>
      <c r="Q49" s="8" t="n">
        <v>192.9096239658012</v>
      </c>
      <c r="R49" s="8" t="n">
        <v>0.7672547263866573</v>
      </c>
      <c r="S49" s="8" t="n">
        <v>6.633553444341752</v>
      </c>
      <c r="T49" s="8" t="n">
        <v>0.2278022354056251</v>
      </c>
      <c r="U49">
        <f>SUM(M49:T49)</f>
        <v/>
      </c>
    </row>
    <row r="50">
      <c r="A50" s="10" t="n">
        <v>0.9791666666666666</v>
      </c>
      <c r="B50" s="5" t="n">
        <v>0</v>
      </c>
      <c r="C50" s="5" t="n">
        <v>0</v>
      </c>
      <c r="D50" s="5" t="n">
        <v>0</v>
      </c>
      <c r="E50" s="5" t="n">
        <v>0</v>
      </c>
      <c r="F50" s="5" t="n">
        <v>0</v>
      </c>
      <c r="G50" s="5" t="n">
        <v>0</v>
      </c>
      <c r="H50" s="5" t="n">
        <v>0.00144376005402647</v>
      </c>
      <c r="I50" s="5" t="n">
        <v>0</v>
      </c>
      <c r="J50" s="5">
        <f>SUM(B50:I50)</f>
        <v/>
      </c>
      <c r="L50" s="10" t="n">
        <v>0.9791666666666666</v>
      </c>
      <c r="M50" s="8" t="n">
        <v>45.29946331977843</v>
      </c>
      <c r="N50" s="8" t="n">
        <v>0</v>
      </c>
      <c r="O50" s="8" t="n">
        <v>0</v>
      </c>
      <c r="P50" s="8" t="n">
        <v>0</v>
      </c>
      <c r="Q50" s="8" t="n">
        <v>89.10225577588538</v>
      </c>
      <c r="R50" s="8" t="n">
        <v>0.3293638104874541</v>
      </c>
      <c r="S50" s="8" t="n">
        <v>3.118074152786567</v>
      </c>
      <c r="T50" s="8" t="n">
        <v>0.0946676708659866</v>
      </c>
      <c r="U50">
        <f>SUM(M50:T50)</f>
        <v/>
      </c>
    </row>
    <row r="51">
      <c r="A51" s="10" t="n">
        <v>1</v>
      </c>
      <c r="B51" s="5" t="n">
        <v>0</v>
      </c>
      <c r="C51" s="5" t="n">
        <v>0</v>
      </c>
      <c r="D51" s="5" t="n">
        <v>0</v>
      </c>
      <c r="E51" s="5" t="n">
        <v>0</v>
      </c>
      <c r="F51" s="5" t="n">
        <v>0</v>
      </c>
      <c r="G51" s="5" t="n">
        <v>0</v>
      </c>
      <c r="H51" s="5" t="n">
        <v>0</v>
      </c>
      <c r="I51" s="5" t="n">
        <v>0</v>
      </c>
      <c r="J51" s="5">
        <f>SUM(B51:I51)</f>
        <v/>
      </c>
      <c r="L51" s="10" t="n">
        <v>1</v>
      </c>
      <c r="M51" s="8" t="n">
        <v>18.07045593261719</v>
      </c>
      <c r="N51" s="8" t="n">
        <v>0</v>
      </c>
      <c r="O51" s="8" t="n">
        <v>0</v>
      </c>
      <c r="P51" s="8" t="n">
        <v>0</v>
      </c>
      <c r="Q51" s="8" t="n">
        <v>35.65881437479561</v>
      </c>
      <c r="R51" s="8" t="n">
        <v>0.1168602653324844</v>
      </c>
      <c r="S51" s="8" t="n">
        <v>1.327052432098285</v>
      </c>
      <c r="T51" s="8" t="n">
        <v>0.03215767643187445</v>
      </c>
      <c r="U51">
        <f>SUM(M51:T51)</f>
        <v/>
      </c>
    </row>
    <row r="52">
      <c r="A52" s="10" t="n">
        <v>1.020833333333333</v>
      </c>
      <c r="B52" s="5" t="n">
        <v>0</v>
      </c>
      <c r="C52" s="5" t="n">
        <v>0</v>
      </c>
      <c r="D52" s="5" t="n">
        <v>0</v>
      </c>
      <c r="E52" s="5" t="n">
        <v>0</v>
      </c>
      <c r="F52" s="5" t="n">
        <v>0</v>
      </c>
      <c r="G52" s="5" t="n">
        <v>0</v>
      </c>
      <c r="H52" s="5" t="n">
        <v>0</v>
      </c>
      <c r="I52" s="5" t="n">
        <v>0</v>
      </c>
      <c r="J52" s="5">
        <f>SUM(B52:I52)</f>
        <v/>
      </c>
      <c r="L52" s="10" t="n">
        <v>1.020833333333333</v>
      </c>
      <c r="M52" s="8" t="n">
        <v>6.299462747573852</v>
      </c>
      <c r="N52" s="8" t="n">
        <v>0</v>
      </c>
      <c r="O52" s="8" t="n">
        <v>0</v>
      </c>
      <c r="P52" s="8" t="n">
        <v>0</v>
      </c>
      <c r="Q52" s="8" t="n">
        <v>12.60750290570761</v>
      </c>
      <c r="R52" s="8" t="n">
        <v>0.03321363277760933</v>
      </c>
      <c r="S52" s="8" t="n">
        <v>0.5276921815297969</v>
      </c>
      <c r="T52" s="8" t="n">
        <v>0.008668108441047396</v>
      </c>
      <c r="U52">
        <f>SUM(M52:T52)</f>
        <v/>
      </c>
    </row>
    <row r="53">
      <c r="A53" s="10" t="n">
        <v>0.04166666666666666</v>
      </c>
      <c r="B53" s="5" t="n">
        <v>0</v>
      </c>
      <c r="C53" s="5" t="n">
        <v>0</v>
      </c>
      <c r="D53" s="5" t="n">
        <v>0</v>
      </c>
      <c r="E53" s="5" t="n">
        <v>0</v>
      </c>
      <c r="F53" s="5" t="n">
        <v>0</v>
      </c>
      <c r="G53" s="5" t="n">
        <v>0</v>
      </c>
      <c r="H53" s="5" t="n">
        <v>0</v>
      </c>
      <c r="I53" s="5" t="n">
        <v>0</v>
      </c>
      <c r="J53" s="5">
        <f>SUM(B53:I53)</f>
        <v/>
      </c>
      <c r="L53" s="10" t="n">
        <v>0.04166666666666666</v>
      </c>
      <c r="M53" s="8" t="n">
        <v>1.982167863845825</v>
      </c>
      <c r="N53" s="8" t="n">
        <v>0</v>
      </c>
      <c r="O53" s="8" t="n">
        <v>0</v>
      </c>
      <c r="P53" s="8" t="n">
        <v>0</v>
      </c>
      <c r="Q53" s="8" t="n">
        <v>4.095539945456263</v>
      </c>
      <c r="R53" s="8" t="n">
        <v>0.007247385022926698</v>
      </c>
      <c r="S53" s="8" t="n">
        <v>0.2027230055353388</v>
      </c>
      <c r="T53" s="8" t="n">
        <v>0.001780648307272548</v>
      </c>
      <c r="U53">
        <f>SUM(M53:T53)</f>
        <v/>
      </c>
    </row>
    <row r="54">
      <c r="A54" s="10" t="n">
        <v>0.0625</v>
      </c>
      <c r="B54" s="5" t="n">
        <v>0</v>
      </c>
      <c r="C54" s="5" t="n">
        <v>0</v>
      </c>
      <c r="D54" s="5" t="n">
        <v>0</v>
      </c>
      <c r="E54" s="5" t="n">
        <v>0</v>
      </c>
      <c r="F54" s="5" t="n">
        <v>0</v>
      </c>
      <c r="G54" s="5" t="n">
        <v>0</v>
      </c>
      <c r="H54" s="5" t="n">
        <v>0</v>
      </c>
      <c r="I54" s="5" t="n">
        <v>0</v>
      </c>
      <c r="J54" s="5">
        <f>SUM(B54:I54)</f>
        <v/>
      </c>
      <c r="L54" s="10" t="n">
        <v>0.0625</v>
      </c>
      <c r="M54" s="8" t="n">
        <v>0.5838714122772217</v>
      </c>
      <c r="N54" s="8" t="n">
        <v>0</v>
      </c>
      <c r="O54" s="8" t="n">
        <v>0</v>
      </c>
      <c r="P54" s="8" t="n">
        <v>0</v>
      </c>
      <c r="Q54" s="8" t="n">
        <v>1.269209092068644</v>
      </c>
      <c r="R54" s="8" t="n">
        <v>0.001137304306030274</v>
      </c>
      <c r="S54" s="8" t="n">
        <v>0.07511289178078945</v>
      </c>
      <c r="T54" s="8" t="n">
        <v>0.0002616676611093841</v>
      </c>
      <c r="U54">
        <f>SUM(M54:T54)</f>
        <v/>
      </c>
    </row>
    <row r="55">
      <c r="A55" s="10" t="n">
        <v>0.08333333333333333</v>
      </c>
      <c r="B55" s="5" t="n">
        <v>0</v>
      </c>
      <c r="C55" s="5" t="n">
        <v>0</v>
      </c>
      <c r="D55" s="5" t="n">
        <v>0</v>
      </c>
      <c r="E55" s="5" t="n">
        <v>0</v>
      </c>
      <c r="F55" s="5" t="n">
        <v>0</v>
      </c>
      <c r="G55" s="5" t="n">
        <v>0</v>
      </c>
      <c r="H55" s="5" t="n">
        <v>0</v>
      </c>
      <c r="I55" s="5" t="n">
        <v>0</v>
      </c>
      <c r="J55" s="5">
        <f>SUM(B55:I55)</f>
        <v/>
      </c>
      <c r="L55" s="10" t="n">
        <v>0.08333333333333333</v>
      </c>
      <c r="M55" s="8" t="n">
        <v>0.1611517429351807</v>
      </c>
      <c r="N55" s="8" t="n">
        <v>0</v>
      </c>
      <c r="O55" s="8" t="n">
        <v>0</v>
      </c>
      <c r="P55" s="8" t="n">
        <v>0</v>
      </c>
      <c r="Q55" s="8" t="n">
        <v>0.3715240926627912</v>
      </c>
      <c r="R55" s="8" t="n">
        <v>0.0001140594482421875</v>
      </c>
      <c r="S55" s="8" t="n">
        <v>0.02547271372404308</v>
      </c>
      <c r="T55" s="8" t="n">
        <v>2.448932787968796e-05</v>
      </c>
      <c r="U55">
        <f>SUM(M55:T55)</f>
        <v/>
      </c>
    </row>
    <row r="56">
      <c r="A56" s="10" t="n">
        <v>0.1041666666666667</v>
      </c>
      <c r="B56" s="5" t="n">
        <v>0</v>
      </c>
      <c r="C56" s="5" t="n">
        <v>0</v>
      </c>
      <c r="D56" s="5" t="n">
        <v>0</v>
      </c>
      <c r="E56" s="5" t="n">
        <v>0</v>
      </c>
      <c r="F56" s="5" t="n">
        <v>0</v>
      </c>
      <c r="G56" s="5" t="n">
        <v>0</v>
      </c>
      <c r="H56" s="5" t="n">
        <v>0</v>
      </c>
      <c r="I56" s="5" t="n">
        <v>0</v>
      </c>
      <c r="J56" s="5">
        <f>SUM(B56:I56)</f>
        <v/>
      </c>
      <c r="L56" s="10" t="n">
        <v>0.1041666666666667</v>
      </c>
      <c r="M56" s="8" t="n">
        <v>0.03932199478149414</v>
      </c>
      <c r="N56" s="8" t="n">
        <v>0</v>
      </c>
      <c r="O56" s="8" t="n">
        <v>0</v>
      </c>
      <c r="P56" s="8" t="n">
        <v>0</v>
      </c>
      <c r="Q56" s="8" t="n">
        <v>0.09575632882085289</v>
      </c>
      <c r="R56" s="8" t="n">
        <v>5.483627319335938e-06</v>
      </c>
      <c r="S56" s="8" t="n">
        <v>0.007323938772379259</v>
      </c>
      <c r="T56" s="8" t="n">
        <v>1.096725463867187e-06</v>
      </c>
      <c r="U56">
        <f>SUM(M56:T56)</f>
        <v/>
      </c>
    </row>
    <row r="57">
      <c r="A57" s="10" t="n">
        <v>0.125</v>
      </c>
      <c r="B57" s="5" t="n">
        <v>0</v>
      </c>
      <c r="C57" s="5" t="n">
        <v>0</v>
      </c>
      <c r="D57" s="5" t="n">
        <v>0</v>
      </c>
      <c r="E57" s="5" t="n">
        <v>0</v>
      </c>
      <c r="F57" s="5" t="n">
        <v>0</v>
      </c>
      <c r="G57" s="5" t="n">
        <v>0</v>
      </c>
      <c r="H57" s="5" t="n">
        <v>0</v>
      </c>
      <c r="I57" s="5" t="n">
        <v>0</v>
      </c>
      <c r="J57" s="5">
        <f>SUM(B57:I57)</f>
        <v/>
      </c>
      <c r="L57" s="10" t="n">
        <v>0.125</v>
      </c>
      <c r="M57" s="8" t="n">
        <v>0.007636499404907227</v>
      </c>
      <c r="N57" s="8" t="n">
        <v>0</v>
      </c>
      <c r="O57" s="8" t="n">
        <v>0</v>
      </c>
      <c r="P57" s="8" t="n">
        <v>0</v>
      </c>
      <c r="Q57" s="8" t="n">
        <v>0.01949877010838061</v>
      </c>
      <c r="R57" s="8" t="n">
        <v>0</v>
      </c>
      <c r="S57" s="8" t="n">
        <v>0.001626689698399507</v>
      </c>
      <c r="T57" s="8" t="n">
        <v>0</v>
      </c>
      <c r="U57">
        <f>SUM(M57:T57)</f>
        <v/>
      </c>
    </row>
    <row r="58" ht="15.75" customHeight="1" s="71" thickBot="1">
      <c r="A58" s="11" t="inlineStr">
        <is>
          <t>After 27:00</t>
        </is>
      </c>
      <c r="B58" s="6" t="n">
        <v>0</v>
      </c>
      <c r="C58" s="6" t="n">
        <v>0</v>
      </c>
      <c r="D58" s="6" t="n">
        <v>0</v>
      </c>
      <c r="E58" s="6" t="n">
        <v>0</v>
      </c>
      <c r="F58" s="6" t="n">
        <v>0</v>
      </c>
      <c r="G58" s="6" t="n">
        <v>0</v>
      </c>
      <c r="H58" s="6" t="n">
        <v>0</v>
      </c>
      <c r="I58" s="6" t="n">
        <v>0</v>
      </c>
      <c r="J58" s="6">
        <f>SUM(B58:I58)</f>
        <v/>
      </c>
      <c r="L58" s="11" t="inlineStr">
        <is>
          <t>After 27:00</t>
        </is>
      </c>
      <c r="M58" s="9" t="n">
        <v>0</v>
      </c>
      <c r="N58" s="9" t="n">
        <v>0</v>
      </c>
      <c r="O58" s="9" t="n">
        <v>0</v>
      </c>
      <c r="P58" s="9" t="n">
        <v>0</v>
      </c>
      <c r="Q58" s="9" t="n">
        <v>0</v>
      </c>
      <c r="R58" s="9" t="n">
        <v>0</v>
      </c>
      <c r="S58" s="9" t="n">
        <v>0</v>
      </c>
      <c r="T58" s="9" t="n">
        <v>0</v>
      </c>
      <c r="U58" s="1">
        <f>SUM(M58:T58)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Y58"/>
  <sheetViews>
    <sheetView workbookViewId="0">
      <selection activeCell="A3" sqref="A3"/>
    </sheetView>
  </sheetViews>
  <sheetFormatPr baseColWidth="8" defaultRowHeight="15"/>
  <cols>
    <col collapsed="1" width="12.7109375" customWidth="1" style="71" min="1" max="1"/>
    <col collapsed="1" width="10.7109375" customWidth="1" style="71" min="2" max="10"/>
    <col collapsed="1" width="6.42578125" customWidth="1" style="71" min="11" max="11"/>
    <col collapsed="1" width="12.7109375" customWidth="1" style="71" min="12" max="12"/>
    <col collapsed="1" width="10.7109375" customWidth="1" style="71" min="13" max="21"/>
  </cols>
  <sheetData>
    <row r="1">
      <c r="A1" t="inlineStr">
        <is>
          <t>Other Tour arrival time at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4">
      <c r="A4" t="inlineStr">
        <is>
          <t>Distance values reflect start time of time period</t>
        </is>
      </c>
    </row>
    <row r="6" ht="15.75" customHeight="1" s="71" thickBot="1">
      <c r="A6" s="3" t="inlineStr">
        <is>
          <t>Table X. Observed Other Tour Arrival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L6" s="3" t="inlineStr">
        <is>
          <t>Table X. Estimated Other Tour Arrival at PD Times: DaySim</t>
        </is>
      </c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W6" s="7" t="n"/>
    </row>
    <row r="7">
      <c r="A7" s="2" t="inlineStr">
        <is>
          <t>Timeperiod</t>
        </is>
      </c>
      <c r="B7" s="4" t="inlineStr">
        <is>
          <t>FT Worker</t>
        </is>
      </c>
      <c r="C7" s="4" t="inlineStr">
        <is>
          <t>PT Worker</t>
        </is>
      </c>
      <c r="D7" s="4" t="inlineStr">
        <is>
          <t>Retired</t>
        </is>
      </c>
      <c r="E7" s="4" t="inlineStr">
        <is>
          <t>Nonworker</t>
        </is>
      </c>
      <c r="F7" s="4" t="inlineStr">
        <is>
          <t>Univ Stud</t>
        </is>
      </c>
      <c r="G7" s="4" t="inlineStr">
        <is>
          <t>Stud 16+</t>
        </is>
      </c>
      <c r="H7" s="4" t="inlineStr">
        <is>
          <t>Stud 5-15</t>
        </is>
      </c>
      <c r="I7" s="4" t="inlineStr">
        <is>
          <t>Child&lt;5</t>
        </is>
      </c>
      <c r="J7" s="4" t="inlineStr">
        <is>
          <t>Total</t>
        </is>
      </c>
      <c r="L7" s="2" t="inlineStr">
        <is>
          <t>Timeperiod</t>
        </is>
      </c>
      <c r="M7" s="4" t="inlineStr">
        <is>
          <t>FT Worker</t>
        </is>
      </c>
      <c r="N7" s="4" t="inlineStr">
        <is>
          <t>PT Worker</t>
        </is>
      </c>
      <c r="O7" s="4" t="inlineStr">
        <is>
          <t>Retired</t>
        </is>
      </c>
      <c r="P7" s="4" t="inlineStr">
        <is>
          <t>Nonworker</t>
        </is>
      </c>
      <c r="Q7" s="4" t="inlineStr">
        <is>
          <t>Univ Stud</t>
        </is>
      </c>
      <c r="R7" s="4" t="inlineStr">
        <is>
          <t>Stud 16+</t>
        </is>
      </c>
      <c r="S7" s="4" t="inlineStr">
        <is>
          <t>Stud 5-15</t>
        </is>
      </c>
      <c r="T7" s="4" t="inlineStr">
        <is>
          <t>Child&lt;5</t>
        </is>
      </c>
      <c r="U7" s="4" t="inlineStr">
        <is>
          <t>Total</t>
        </is>
      </c>
      <c r="X7" s="12" t="n"/>
      <c r="Y7" s="12" t="n"/>
    </row>
    <row r="8">
      <c r="A8" t="inlineStr">
        <is>
          <t>Before 3:00am</t>
        </is>
      </c>
      <c r="B8" s="5" t="n">
        <v>0</v>
      </c>
      <c r="C8" s="5" t="n">
        <v>9.16501889224752</v>
      </c>
      <c r="D8" s="5" t="n">
        <v>0</v>
      </c>
      <c r="E8" s="5" t="n">
        <v>0</v>
      </c>
      <c r="F8" s="5" t="n">
        <v>0</v>
      </c>
      <c r="G8" s="5" t="n">
        <v>0</v>
      </c>
      <c r="H8" s="5" t="n">
        <v>0</v>
      </c>
      <c r="I8" s="5" t="n">
        <v>0</v>
      </c>
      <c r="J8" s="5">
        <f>SUM(B8:I8)</f>
        <v/>
      </c>
      <c r="L8" t="inlineStr">
        <is>
          <t>Before 3:00am</t>
        </is>
      </c>
      <c r="M8" s="8" t="n">
        <v>4678.2</v>
      </c>
      <c r="N8" s="8" t="n">
        <v>832.5999999999999</v>
      </c>
      <c r="O8" s="8" t="n">
        <v>156.2090936576363</v>
      </c>
      <c r="P8" s="8" t="n">
        <v>948.0473534306594</v>
      </c>
      <c r="Q8" s="8" t="n">
        <v>422.6041690546697</v>
      </c>
      <c r="R8" s="8" t="n">
        <v>168.4116857478176</v>
      </c>
      <c r="S8" s="8" t="n">
        <v>906.8084091156852</v>
      </c>
      <c r="T8" s="8" t="n">
        <v>511.9120521759202</v>
      </c>
      <c r="U8">
        <f>SUM(M8:T8)</f>
        <v/>
      </c>
      <c r="X8" s="5" t="n"/>
      <c r="Y8" s="5" t="n"/>
    </row>
    <row r="9">
      <c r="A9" s="10" t="n">
        <v>0.125</v>
      </c>
      <c r="B9" s="5" t="n">
        <v>2.082568832664133</v>
      </c>
      <c r="C9" s="5" t="n">
        <v>6.611922193406272</v>
      </c>
      <c r="D9" s="5" t="n">
        <v>15.81806043889038</v>
      </c>
      <c r="E9" s="5" t="n">
        <v>2.235876608755639</v>
      </c>
      <c r="F9" s="5" t="n">
        <v>0.03265806192397715</v>
      </c>
      <c r="G9" s="5" t="n">
        <v>0.09241693545315929</v>
      </c>
      <c r="H9" s="5" t="n">
        <v>0.631632503424897</v>
      </c>
      <c r="I9" s="5" t="n">
        <v>0</v>
      </c>
      <c r="J9" s="5">
        <f>SUM(B9:I9)</f>
        <v/>
      </c>
      <c r="L9" s="10" t="n">
        <v>0.125</v>
      </c>
      <c r="M9" s="8" t="n">
        <v>5281.313889360428</v>
      </c>
      <c r="N9" s="8" t="n">
        <v>873.6371999263762</v>
      </c>
      <c r="O9" s="8" t="n">
        <v>296.8446440059936</v>
      </c>
      <c r="P9" s="8" t="n">
        <v>1120.02896140086</v>
      </c>
      <c r="Q9" s="8" t="n">
        <v>322.9635648771896</v>
      </c>
      <c r="R9" s="8" t="n">
        <v>147.2641601475163</v>
      </c>
      <c r="S9" s="8" t="n">
        <v>931.1996883253439</v>
      </c>
      <c r="T9" s="8" t="n">
        <v>639.6266620273034</v>
      </c>
      <c r="U9">
        <f>SUM(M9:T9)</f>
        <v/>
      </c>
      <c r="X9" s="5" t="n"/>
      <c r="Y9" s="5" t="n"/>
    </row>
    <row r="10">
      <c r="A10" s="10" t="n">
        <v>0.1458333333333333</v>
      </c>
      <c r="B10" s="5" t="n">
        <v>12.84247393008123</v>
      </c>
      <c r="C10" s="5" t="n">
        <v>6.107191193822588</v>
      </c>
      <c r="D10" s="5" t="n">
        <v>54.10390874321162</v>
      </c>
      <c r="E10" s="5" t="n">
        <v>10.83850002934546</v>
      </c>
      <c r="F10" s="5" t="n">
        <v>0.3121534288392052</v>
      </c>
      <c r="G10" s="5" t="n">
        <v>0.58216515348455</v>
      </c>
      <c r="H10" s="5" t="n">
        <v>4.094687383454773</v>
      </c>
      <c r="I10" s="5" t="n">
        <v>0</v>
      </c>
      <c r="J10" s="5">
        <f>SUM(B10:I10)</f>
        <v/>
      </c>
      <c r="L10" s="10" t="n">
        <v>0.1458333333333333</v>
      </c>
      <c r="M10" s="8" t="n">
        <v>5579.226902818679</v>
      </c>
      <c r="N10" s="8" t="n">
        <v>912.0128357887265</v>
      </c>
      <c r="O10" s="8" t="n">
        <v>424.1644476704578</v>
      </c>
      <c r="P10" s="8" t="n">
        <v>1287.047192806518</v>
      </c>
      <c r="Q10" s="8" t="n">
        <v>234.9305365069371</v>
      </c>
      <c r="R10" s="8" t="n">
        <v>127.6649627110836</v>
      </c>
      <c r="S10" s="8" t="n">
        <v>932.43265659289</v>
      </c>
      <c r="T10" s="8" t="n">
        <v>736.0876624100712</v>
      </c>
      <c r="U10">
        <f>SUM(M10:T10)</f>
        <v/>
      </c>
      <c r="X10" s="5" t="n"/>
      <c r="Y10" s="5" t="n"/>
    </row>
    <row r="11">
      <c r="A11" s="10" t="n">
        <v>0.1666666666666667</v>
      </c>
      <c r="B11" s="5" t="n">
        <v>59.94166110651588</v>
      </c>
      <c r="C11" s="5" t="n">
        <v>13.38461137343667</v>
      </c>
      <c r="D11" s="5" t="n">
        <v>141.1808480336548</v>
      </c>
      <c r="E11" s="5" t="n">
        <v>42.66111168092482</v>
      </c>
      <c r="F11" s="5" t="n">
        <v>1.88766625057501</v>
      </c>
      <c r="G11" s="5" t="n">
        <v>2.615085437145109</v>
      </c>
      <c r="H11" s="5" t="n">
        <v>19.45616295356686</v>
      </c>
      <c r="I11" s="5" t="n">
        <v>0</v>
      </c>
      <c r="J11" s="5">
        <f>SUM(B11:I11)</f>
        <v/>
      </c>
      <c r="L11" s="10" t="n">
        <v>0.1666666666666667</v>
      </c>
      <c r="M11" s="8" t="n">
        <v>5572.226927518845</v>
      </c>
      <c r="N11" s="8" t="n">
        <v>980.6868198871611</v>
      </c>
      <c r="O11" s="8" t="n">
        <v>555.1715423871808</v>
      </c>
      <c r="P11" s="8" t="n">
        <v>1504.495105675746</v>
      </c>
      <c r="Q11" s="8" t="n">
        <v>170.0890310736345</v>
      </c>
      <c r="R11" s="8" t="n">
        <v>113.1916734898392</v>
      </c>
      <c r="S11" s="8" t="n">
        <v>929.1670603069426</v>
      </c>
      <c r="T11" s="8" t="n">
        <v>820.4710848394476</v>
      </c>
      <c r="U11">
        <f>SUM(M11:T11)</f>
        <v/>
      </c>
      <c r="X11" s="5" t="n"/>
      <c r="Y11" s="5" t="n"/>
    </row>
    <row r="12">
      <c r="A12" s="10" t="n">
        <v>0.1875</v>
      </c>
      <c r="B12" s="5" t="n">
        <v>220.6616499885555</v>
      </c>
      <c r="C12" s="5" t="n">
        <v>45.84779354654407</v>
      </c>
      <c r="D12" s="5" t="n">
        <v>299.9542361471731</v>
      </c>
      <c r="E12" s="5" t="n">
        <v>140.1661715514042</v>
      </c>
      <c r="F12" s="5" t="n">
        <v>8.103473920691806</v>
      </c>
      <c r="G12" s="5" t="n">
        <v>9.016769805896175</v>
      </c>
      <c r="H12" s="5" t="n">
        <v>72.82266308967026</v>
      </c>
      <c r="I12" s="5" t="n">
        <v>0</v>
      </c>
      <c r="J12" s="5">
        <f>SUM(B12:I12)</f>
        <v/>
      </c>
      <c r="L12" s="10" t="n">
        <v>0.1875</v>
      </c>
      <c r="M12" s="8" t="n">
        <v>5599.148236513138</v>
      </c>
      <c r="N12" s="8" t="n">
        <v>1159.297044849396</v>
      </c>
      <c r="O12" s="8" t="n">
        <v>749.3082405097242</v>
      </c>
      <c r="P12" s="8" t="n">
        <v>1915.332885682468</v>
      </c>
      <c r="Q12" s="8" t="n">
        <v>138.6167471410904</v>
      </c>
      <c r="R12" s="8" t="n">
        <v>109.1596437750185</v>
      </c>
      <c r="S12" s="8" t="n">
        <v>986.9747470562939</v>
      </c>
      <c r="T12" s="8" t="n">
        <v>976.0407289087675</v>
      </c>
      <c r="U12">
        <f>SUM(M12:T12)</f>
        <v/>
      </c>
    </row>
    <row r="13">
      <c r="A13" s="10" t="n">
        <v>0.2083333333333333</v>
      </c>
      <c r="B13" s="5" t="n">
        <v>657.1640914971737</v>
      </c>
      <c r="C13" s="5" t="n">
        <v>145.1964699437223</v>
      </c>
      <c r="D13" s="5" t="n">
        <v>532.8383036929881</v>
      </c>
      <c r="E13" s="5" t="n">
        <v>387.0389168852752</v>
      </c>
      <c r="F13" s="5" t="n">
        <v>26.26573057664288</v>
      </c>
      <c r="G13" s="5" t="n">
        <v>25.00740069743307</v>
      </c>
      <c r="H13" s="5" t="n">
        <v>223.3816760732021</v>
      </c>
      <c r="I13" s="5" t="n">
        <v>0</v>
      </c>
      <c r="J13" s="5">
        <f>SUM(B13:I13)</f>
        <v/>
      </c>
      <c r="L13" s="10" t="n">
        <v>0.2083333333333333</v>
      </c>
      <c r="M13" s="8" t="n">
        <v>6093.672765874862</v>
      </c>
      <c r="N13" s="8" t="n">
        <v>1554.236159181595</v>
      </c>
      <c r="O13" s="8" t="n">
        <v>1096.54785854285</v>
      </c>
      <c r="P13" s="8" t="n">
        <v>2730.064179394583</v>
      </c>
      <c r="Q13" s="8" t="n">
        <v>147.2711727745693</v>
      </c>
      <c r="R13" s="8" t="n">
        <v>119.8548986708074</v>
      </c>
      <c r="S13" s="8" t="n">
        <v>1184.066222364358</v>
      </c>
      <c r="T13" s="8" t="n">
        <v>1322.990472115771</v>
      </c>
      <c r="U13">
        <f>SUM(M13:T13)</f>
        <v/>
      </c>
    </row>
    <row r="14">
      <c r="A14" s="10" t="n">
        <v>0.2291666666666667</v>
      </c>
      <c r="B14" s="5" t="n">
        <v>1615.289037411971</v>
      </c>
      <c r="C14" s="5" t="n">
        <v>385.0394043068722</v>
      </c>
      <c r="D14" s="5" t="n">
        <v>812.2313819692249</v>
      </c>
      <c r="E14" s="5" t="n">
        <v>904.4861505959793</v>
      </c>
      <c r="F14" s="5" t="n">
        <v>66.74983776865446</v>
      </c>
      <c r="G14" s="5" t="n">
        <v>57.78112628136836</v>
      </c>
      <c r="H14" s="5" t="n">
        <v>574.4176703930111</v>
      </c>
      <c r="I14" s="5" t="n">
        <v>0</v>
      </c>
      <c r="J14" s="5">
        <f>SUM(B14:I14)</f>
        <v/>
      </c>
      <c r="L14" s="10" t="n">
        <v>0.2291666666666667</v>
      </c>
      <c r="M14" s="8" t="n">
        <v>7290.535275745393</v>
      </c>
      <c r="N14" s="8" t="n">
        <v>2261.678364706039</v>
      </c>
      <c r="O14" s="8" t="n">
        <v>1690.22816791019</v>
      </c>
      <c r="P14" s="8" t="n">
        <v>4171.657813503136</v>
      </c>
      <c r="Q14" s="8" t="n">
        <v>198.4601084498508</v>
      </c>
      <c r="R14" s="8" t="n">
        <v>145.4082856779301</v>
      </c>
      <c r="S14" s="8" t="n">
        <v>1565.948804369093</v>
      </c>
      <c r="T14" s="8" t="n">
        <v>1975.487583083184</v>
      </c>
      <c r="U14">
        <f>SUM(M14:T14)</f>
        <v/>
      </c>
    </row>
    <row r="15">
      <c r="A15" s="10" t="n">
        <v>0.25</v>
      </c>
      <c r="B15" s="5" t="n">
        <v>3328.75408049848</v>
      </c>
      <c r="C15" s="5" t="n">
        <v>853.1029601720669</v>
      </c>
      <c r="D15" s="5" t="n">
        <v>1096.850138634246</v>
      </c>
      <c r="E15" s="5" t="n">
        <v>1800.498330611177</v>
      </c>
      <c r="F15" s="5" t="n">
        <v>136.3342569041264</v>
      </c>
      <c r="G15" s="5" t="n">
        <v>114.2097564069253</v>
      </c>
      <c r="H15" s="5" t="n">
        <v>1252.59759811727</v>
      </c>
      <c r="I15" s="5" t="n">
        <v>0</v>
      </c>
      <c r="J15" s="5">
        <f>SUM(B15:I15)</f>
        <v/>
      </c>
      <c r="L15" s="10" t="n">
        <v>0.25</v>
      </c>
      <c r="M15" s="8" t="n">
        <v>9094.028626775742</v>
      </c>
      <c r="N15" s="8" t="n">
        <v>3334.980419063568</v>
      </c>
      <c r="O15" s="8" t="n">
        <v>2599.587183366761</v>
      </c>
      <c r="P15" s="8" t="n">
        <v>6413.576646673484</v>
      </c>
      <c r="Q15" s="8" t="n">
        <v>290.7512024309735</v>
      </c>
      <c r="R15" s="8" t="n">
        <v>180.8630777922044</v>
      </c>
      <c r="S15" s="8" t="n">
        <v>2118.969233352092</v>
      </c>
      <c r="T15" s="8" t="n">
        <v>3008.684576513082</v>
      </c>
      <c r="U15">
        <f>SUM(M15:T15)</f>
        <v/>
      </c>
    </row>
    <row r="16">
      <c r="A16" s="10" t="n">
        <v>0.2708333333333333</v>
      </c>
      <c r="B16" s="5" t="n">
        <v>5823.308656155546</v>
      </c>
      <c r="C16" s="5" t="n">
        <v>1593.348255015728</v>
      </c>
      <c r="D16" s="5" t="n">
        <v>1367.907154486352</v>
      </c>
      <c r="E16" s="5" t="n">
        <v>3069.768042796478</v>
      </c>
      <c r="F16" s="5" t="n">
        <v>227.6090093479603</v>
      </c>
      <c r="G16" s="5" t="n">
        <v>196.560606287727</v>
      </c>
      <c r="H16" s="5" t="n">
        <v>2327.198930748044</v>
      </c>
      <c r="I16" s="5" t="n">
        <v>0</v>
      </c>
      <c r="J16" s="5">
        <f>SUM(B16:I16)</f>
        <v/>
      </c>
      <c r="L16" s="10" t="n">
        <v>0.2708333333333333</v>
      </c>
      <c r="M16" s="8" t="n">
        <v>11151.76021595001</v>
      </c>
      <c r="N16" s="8" t="n">
        <v>4769.933770990372</v>
      </c>
      <c r="O16" s="8" t="n">
        <v>3851.774544465454</v>
      </c>
      <c r="P16" s="8" t="n">
        <v>9533.351510896282</v>
      </c>
      <c r="Q16" s="8" t="n">
        <v>419.5795497849014</v>
      </c>
      <c r="R16" s="8" t="n">
        <v>218.3584574648823</v>
      </c>
      <c r="S16" s="8" t="n">
        <v>2773.970553212367</v>
      </c>
      <c r="T16" s="8" t="n">
        <v>4443.816711280182</v>
      </c>
      <c r="U16">
        <f>SUM(M16:T16)</f>
        <v/>
      </c>
    </row>
    <row r="17">
      <c r="A17" s="10" t="n">
        <v>0.2916666666666667</v>
      </c>
      <c r="B17" s="5" t="n">
        <v>8734.442780880268</v>
      </c>
      <c r="C17" s="5" t="n">
        <v>2528.455414982667</v>
      </c>
      <c r="D17" s="5" t="n">
        <v>1649.198684803049</v>
      </c>
      <c r="E17" s="5" t="n">
        <v>4503.10037651148</v>
      </c>
      <c r="F17" s="5" t="n">
        <v>314.249547503738</v>
      </c>
      <c r="G17" s="5" t="n">
        <v>296.9666215289516</v>
      </c>
      <c r="H17" s="5" t="n">
        <v>3687.294066532957</v>
      </c>
      <c r="I17" s="5" t="n">
        <v>0</v>
      </c>
      <c r="J17" s="5">
        <f>SUM(B17:I17)</f>
        <v/>
      </c>
      <c r="L17" s="10" t="n">
        <v>0.2916666666666667</v>
      </c>
      <c r="M17" s="8" t="n">
        <v>13039.56947407723</v>
      </c>
      <c r="N17" s="8" t="n">
        <v>6506.064619779587</v>
      </c>
      <c r="O17" s="8" t="n">
        <v>5422.399573735811</v>
      </c>
      <c r="P17" s="8" t="n">
        <v>13483.45782924701</v>
      </c>
      <c r="Q17" s="8" t="n">
        <v>576.9661915416175</v>
      </c>
      <c r="R17" s="8" t="n">
        <v>250.9878139950119</v>
      </c>
      <c r="S17" s="8" t="n">
        <v>3432.918800139239</v>
      </c>
      <c r="T17" s="8" t="n">
        <v>6244.175093454664</v>
      </c>
      <c r="U17">
        <f>SUM(M17:T17)</f>
        <v/>
      </c>
    </row>
    <row r="18">
      <c r="A18" s="10" t="n">
        <v>0.3125</v>
      </c>
      <c r="B18" s="5" t="n">
        <v>11323.46385760563</v>
      </c>
      <c r="C18" s="5" t="n">
        <v>3427.786384841151</v>
      </c>
      <c r="D18" s="5" t="n">
        <v>1977.376393299252</v>
      </c>
      <c r="E18" s="5" t="n">
        <v>5706.233156858759</v>
      </c>
      <c r="F18" s="5" t="n">
        <v>361.679302648432</v>
      </c>
      <c r="G18" s="5" t="n">
        <v>393.6280208354201</v>
      </c>
      <c r="H18" s="5" t="n">
        <v>4978.439403649881</v>
      </c>
      <c r="I18" s="5" t="n">
        <v>0</v>
      </c>
      <c r="J18" s="5">
        <f>SUM(B18:I18)</f>
        <v/>
      </c>
      <c r="L18" s="10" t="n">
        <v>0.3125</v>
      </c>
      <c r="M18" s="8" t="n">
        <v>14432.28291416168</v>
      </c>
      <c r="N18" s="8" t="n">
        <v>8432.204716920853</v>
      </c>
      <c r="O18" s="8" t="n">
        <v>7228.035070273266</v>
      </c>
      <c r="P18" s="8" t="n">
        <v>18068.66600434319</v>
      </c>
      <c r="Q18" s="8" t="n">
        <v>750.3830286136269</v>
      </c>
      <c r="R18" s="8" t="n">
        <v>275.6531827843037</v>
      </c>
      <c r="S18" s="8" t="n">
        <v>4002.476846213555</v>
      </c>
      <c r="T18" s="8" t="n">
        <v>8311.456757163136</v>
      </c>
      <c r="U18">
        <f>SUM(M18:T18)</f>
        <v/>
      </c>
    </row>
    <row r="19">
      <c r="A19" s="10" t="n">
        <v>0.3333333333333333</v>
      </c>
      <c r="B19" s="5" t="n">
        <v>12772.53935044255</v>
      </c>
      <c r="C19" s="5" t="n">
        <v>3984.886107274003</v>
      </c>
      <c r="D19" s="5" t="n">
        <v>2336.54124806199</v>
      </c>
      <c r="E19" s="5" t="n">
        <v>6273.409156204716</v>
      </c>
      <c r="F19" s="5" t="n">
        <v>348.8101357174867</v>
      </c>
      <c r="G19" s="5" t="n">
        <v>454.6805939744116</v>
      </c>
      <c r="H19" s="5" t="n">
        <v>5720.373368373376</v>
      </c>
      <c r="I19" s="5" t="n">
        <v>0</v>
      </c>
      <c r="J19" s="5">
        <f>SUM(B19:I19)</f>
        <v/>
      </c>
      <c r="L19" s="10" t="n">
        <v>0.3333333333333333</v>
      </c>
      <c r="M19" s="8" t="n">
        <v>15181.2621928215</v>
      </c>
      <c r="N19" s="8" t="n">
        <v>10389.14924955368</v>
      </c>
      <c r="O19" s="8" t="n">
        <v>9120.466463906929</v>
      </c>
      <c r="P19" s="8" t="n">
        <v>22931.31750511421</v>
      </c>
      <c r="Q19" s="8" t="n">
        <v>922.1834480108789</v>
      </c>
      <c r="R19" s="8" t="n">
        <v>293.1587452059309</v>
      </c>
      <c r="S19" s="8" t="n">
        <v>4418.967842918196</v>
      </c>
      <c r="T19" s="8" t="n">
        <v>10481.03740445095</v>
      </c>
      <c r="U19">
        <f>SUM(M19:T19)</f>
        <v/>
      </c>
    </row>
    <row r="20">
      <c r="A20" s="10" t="n">
        <v>0.3541666666666667</v>
      </c>
      <c r="B20" s="5" t="n">
        <v>12604.08542401144</v>
      </c>
      <c r="C20" s="5" t="n">
        <v>3987.351984686006</v>
      </c>
      <c r="D20" s="5" t="n">
        <v>2623.946689180347</v>
      </c>
      <c r="E20" s="5" t="n">
        <v>6023.594423201792</v>
      </c>
      <c r="F20" s="5" t="n">
        <v>282.7511674352312</v>
      </c>
      <c r="G20" s="5" t="n">
        <v>453.1822482582476</v>
      </c>
      <c r="H20" s="5" t="n">
        <v>5590.26679378687</v>
      </c>
      <c r="I20" s="5" t="n">
        <v>0</v>
      </c>
      <c r="J20" s="5">
        <f>SUM(B20:I20)</f>
        <v/>
      </c>
      <c r="L20" s="10" t="n">
        <v>0.3541666666666667</v>
      </c>
      <c r="M20" s="8" t="n">
        <v>15294.97500014305</v>
      </c>
      <c r="N20" s="8" t="n">
        <v>12177.72735910416</v>
      </c>
      <c r="O20" s="8" t="n">
        <v>10895.26554468231</v>
      </c>
      <c r="P20" s="8" t="n">
        <v>27571.58256017102</v>
      </c>
      <c r="Q20" s="8" t="n">
        <v>1071.332594892464</v>
      </c>
      <c r="R20" s="8" t="n">
        <v>306.0641426089236</v>
      </c>
      <c r="S20" s="8" t="n">
        <v>4657.023113997799</v>
      </c>
      <c r="T20" s="8" t="n">
        <v>12529.22331468929</v>
      </c>
      <c r="U20">
        <f>SUM(M20:T20)</f>
        <v/>
      </c>
    </row>
    <row r="21">
      <c r="A21" s="10" t="n">
        <v>0.375</v>
      </c>
      <c r="B21" s="5" t="n">
        <v>10931.3361416922</v>
      </c>
      <c r="C21" s="5" t="n">
        <v>3457.891122494947</v>
      </c>
      <c r="D21" s="5" t="n">
        <v>2701.932537072492</v>
      </c>
      <c r="E21" s="5" t="n">
        <v>5120.436643629325</v>
      </c>
      <c r="F21" s="5" t="n">
        <v>193.1612508918528</v>
      </c>
      <c r="G21" s="5" t="n">
        <v>385.4809419421759</v>
      </c>
      <c r="H21" s="5" t="n">
        <v>4659.148815262669</v>
      </c>
      <c r="I21" s="5" t="n">
        <v>0</v>
      </c>
      <c r="J21" s="5">
        <f>SUM(B21:I21)</f>
        <v/>
      </c>
      <c r="L21" s="10" t="n">
        <v>0.375</v>
      </c>
      <c r="M21" s="8" t="n">
        <v>14876.33956823349</v>
      </c>
      <c r="N21" s="8" t="n">
        <v>13589.66332464218</v>
      </c>
      <c r="O21" s="8" t="n">
        <v>12330.02470453595</v>
      </c>
      <c r="P21" s="8" t="n">
        <v>31435.68544838311</v>
      </c>
      <c r="Q21" s="8" t="n">
        <v>1178.152700271062</v>
      </c>
      <c r="R21" s="8" t="n">
        <v>316.4121116457478</v>
      </c>
      <c r="S21" s="8" t="n">
        <v>4724.753811861032</v>
      </c>
      <c r="T21" s="8" t="n">
        <v>14210.26506167676</v>
      </c>
      <c r="U21">
        <f>SUM(M21:T21)</f>
        <v/>
      </c>
    </row>
    <row r="22">
      <c r="A22" s="10" t="n">
        <v>0.3958333333333333</v>
      </c>
      <c r="B22" s="5" t="n">
        <v>8367.005629307667</v>
      </c>
      <c r="C22" s="5" t="n">
        <v>2640.46841187774</v>
      </c>
      <c r="D22" s="5" t="n">
        <v>2504.160708454659</v>
      </c>
      <c r="E22" s="5" t="n">
        <v>3974.526086483837</v>
      </c>
      <c r="F22" s="5" t="n">
        <v>112.8859052860805</v>
      </c>
      <c r="G22" s="5" t="n">
        <v>276.6589366853669</v>
      </c>
      <c r="H22" s="5" t="n">
        <v>3358.162705060318</v>
      </c>
      <c r="I22" s="5" t="n">
        <v>0</v>
      </c>
      <c r="J22" s="5">
        <f>SUM(B22:I22)</f>
        <v/>
      </c>
      <c r="L22" s="10" t="n">
        <v>0.3958333333333333</v>
      </c>
      <c r="M22" s="8" t="n">
        <v>14076.00308508873</v>
      </c>
      <c r="N22" s="8" t="n">
        <v>14466.00790433884</v>
      </c>
      <c r="O22" s="8" t="n">
        <v>13249.94820765863</v>
      </c>
      <c r="P22" s="8" t="n">
        <v>34070.36378242439</v>
      </c>
      <c r="Q22" s="8" t="n">
        <v>1230.78421920875</v>
      </c>
      <c r="R22" s="8" t="n">
        <v>325.0672099417391</v>
      </c>
      <c r="S22" s="8" t="n">
        <v>4654.308703043544</v>
      </c>
      <c r="T22" s="8" t="n">
        <v>15324.52013785638</v>
      </c>
      <c r="U22">
        <f>SUM(M22:T22)</f>
        <v/>
      </c>
    </row>
    <row r="23">
      <c r="A23" s="10" t="n">
        <v>0.4166666666666667</v>
      </c>
      <c r="B23" s="5" t="n">
        <v>5683.888922285564</v>
      </c>
      <c r="C23" s="5" t="n">
        <v>1837.16637909451</v>
      </c>
      <c r="D23" s="5" t="n">
        <v>2095.910261321481</v>
      </c>
      <c r="E23" s="5" t="n">
        <v>3006.567758929706</v>
      </c>
      <c r="F23" s="5" t="n">
        <v>63.3577248463812</v>
      </c>
      <c r="G23" s="5" t="n">
        <v>165.6016396276931</v>
      </c>
      <c r="H23" s="5" t="n">
        <v>2193.395186783214</v>
      </c>
      <c r="I23" s="5" t="n">
        <v>0</v>
      </c>
      <c r="J23" s="5">
        <f>SUM(B23:I23)</f>
        <v/>
      </c>
      <c r="L23" s="10" t="n">
        <v>0.4166666666666667</v>
      </c>
      <c r="M23" s="8" t="n">
        <v>13079.81488866806</v>
      </c>
      <c r="N23" s="8" t="n">
        <v>14760.29613485336</v>
      </c>
      <c r="O23" s="8" t="n">
        <v>13592.1824273435</v>
      </c>
      <c r="P23" s="8" t="n">
        <v>35284.92253637907</v>
      </c>
      <c r="Q23" s="8" t="n">
        <v>1230.237856574139</v>
      </c>
      <c r="R23" s="8" t="n">
        <v>332.7340354337002</v>
      </c>
      <c r="S23" s="8" t="n">
        <v>4494.758143307241</v>
      </c>
      <c r="T23" s="8" t="n">
        <v>15791.19532089272</v>
      </c>
      <c r="U23">
        <f>SUM(M23:T23)</f>
        <v/>
      </c>
    </row>
    <row r="24">
      <c r="A24" s="10" t="n">
        <v>0.4375</v>
      </c>
      <c r="B24" s="5" t="n">
        <v>3476.714544581897</v>
      </c>
      <c r="C24" s="5" t="n">
        <v>1238.953748870799</v>
      </c>
      <c r="D24" s="5" t="n">
        <v>1633.280390830073</v>
      </c>
      <c r="E24" s="5" t="n">
        <v>2452.271043757345</v>
      </c>
      <c r="F24" s="5" t="n">
        <v>54.25652404132425</v>
      </c>
      <c r="G24" s="5" t="n">
        <v>81.94441409707575</v>
      </c>
      <c r="H24" s="5" t="n">
        <v>1460.630681828689</v>
      </c>
      <c r="I24" s="5" t="n">
        <v>0</v>
      </c>
      <c r="J24" s="5">
        <f>SUM(B24:I24)</f>
        <v/>
      </c>
      <c r="L24" s="10" t="n">
        <v>0.4375</v>
      </c>
      <c r="M24" s="8" t="n">
        <v>12105.97935552597</v>
      </c>
      <c r="N24" s="8" t="n">
        <v>14567.42824635506</v>
      </c>
      <c r="O24" s="8" t="n">
        <v>13430.96362272033</v>
      </c>
      <c r="P24" s="8" t="n">
        <v>35231.56423441399</v>
      </c>
      <c r="Q24" s="8" t="n">
        <v>1190.859696872694</v>
      </c>
      <c r="R24" s="8" t="n">
        <v>341.4861508926359</v>
      </c>
      <c r="S24" s="8" t="n">
        <v>4308.288953879962</v>
      </c>
      <c r="T24" s="8" t="n">
        <v>15684.6109566984</v>
      </c>
      <c r="U24">
        <f>SUM(M24:T24)</f>
        <v/>
      </c>
    </row>
    <row r="25">
      <c r="A25" s="10" t="n">
        <v>0.4583333333333333</v>
      </c>
      <c r="B25" s="5" t="n">
        <v>2009.827527703541</v>
      </c>
      <c r="C25" s="5" t="n">
        <v>882.563399949325</v>
      </c>
      <c r="D25" s="5" t="n">
        <v>1274.532177075576</v>
      </c>
      <c r="E25" s="5" t="n">
        <v>2325.048487878153</v>
      </c>
      <c r="F25" s="5" t="n">
        <v>89.63808578223436</v>
      </c>
      <c r="G25" s="5" t="n">
        <v>34.08144922384904</v>
      </c>
      <c r="H25" s="5" t="n">
        <v>1170.659815783571</v>
      </c>
      <c r="I25" s="5" t="n">
        <v>0</v>
      </c>
      <c r="J25" s="5">
        <f>SUM(B25:I25)</f>
        <v/>
      </c>
      <c r="L25" s="10" t="n">
        <v>0.4583333333333333</v>
      </c>
      <c r="M25" s="8" t="n">
        <v>11381.40600762367</v>
      </c>
      <c r="N25" s="8" t="n">
        <v>14093.45630064011</v>
      </c>
      <c r="O25" s="8" t="n">
        <v>12945.22277251451</v>
      </c>
      <c r="P25" s="8" t="n">
        <v>34345.11668190297</v>
      </c>
      <c r="Q25" s="8" t="n">
        <v>1135.396509619235</v>
      </c>
      <c r="R25" s="8" t="n">
        <v>355.7244683340772</v>
      </c>
      <c r="S25" s="8" t="n">
        <v>4166.945144332598</v>
      </c>
      <c r="T25" s="8" t="n">
        <v>15207.16865441071</v>
      </c>
      <c r="U25">
        <f>SUM(M25:T25)</f>
        <v/>
      </c>
    </row>
    <row r="26">
      <c r="A26" s="10" t="n">
        <v>0.4791666666666667</v>
      </c>
      <c r="B26" s="5" t="n">
        <v>1267.49297424611</v>
      </c>
      <c r="C26" s="5" t="n">
        <v>729.2580620376948</v>
      </c>
      <c r="D26" s="5" t="n">
        <v>1128.746965108623</v>
      </c>
      <c r="E26" s="5" t="n">
        <v>2511.840226982016</v>
      </c>
      <c r="F26" s="5" t="n">
        <v>167.196884118822</v>
      </c>
      <c r="G26" s="5" t="n">
        <v>13.96439569535017</v>
      </c>
      <c r="H26" s="5" t="n">
        <v>1167.958934116787</v>
      </c>
      <c r="I26" s="5" t="n">
        <v>0</v>
      </c>
      <c r="J26" s="5">
        <f>SUM(B26:I26)</f>
        <v/>
      </c>
      <c r="L26" s="10" t="n">
        <v>0.4791666666666667</v>
      </c>
      <c r="M26" s="8" t="n">
        <v>11094.03907990456</v>
      </c>
      <c r="N26" s="8" t="n">
        <v>13576.16867713929</v>
      </c>
      <c r="O26" s="8" t="n">
        <v>12343.60495356046</v>
      </c>
      <c r="P26" s="8" t="n">
        <v>33160.91802545644</v>
      </c>
      <c r="Q26" s="8" t="n">
        <v>1087.155072329247</v>
      </c>
      <c r="R26" s="8" t="n">
        <v>382.2946804770044</v>
      </c>
      <c r="S26" s="8" t="n">
        <v>4147.408240317825</v>
      </c>
      <c r="T26" s="8" t="n">
        <v>14606.75397524697</v>
      </c>
      <c r="U26">
        <f>SUM(M26:T26)</f>
        <v/>
      </c>
    </row>
    <row r="27">
      <c r="A27" s="10" t="n">
        <v>0.5</v>
      </c>
      <c r="B27" s="5" t="n">
        <v>1108.775571636322</v>
      </c>
      <c r="C27" s="5" t="n">
        <v>761.0654212800683</v>
      </c>
      <c r="D27" s="5" t="n">
        <v>1254.122009432288</v>
      </c>
      <c r="E27" s="5" t="n">
        <v>2901.096366972853</v>
      </c>
      <c r="F27" s="5" t="n">
        <v>269.1229688506446</v>
      </c>
      <c r="G27" s="5" t="n">
        <v>8.853405231785922</v>
      </c>
      <c r="H27" s="5" t="n">
        <v>1292.545620415316</v>
      </c>
      <c r="I27" s="5" t="n">
        <v>0</v>
      </c>
      <c r="J27" s="5">
        <f>SUM(B27:I27)</f>
        <v/>
      </c>
      <c r="L27" s="10" t="n">
        <v>0.5</v>
      </c>
      <c r="M27" s="8" t="n">
        <v>11345.63450798989</v>
      </c>
      <c r="N27" s="8" t="n">
        <v>13195.27547388077</v>
      </c>
      <c r="O27" s="8" t="n">
        <v>11784.76051766704</v>
      </c>
      <c r="P27" s="8" t="n">
        <v>32102.26453618733</v>
      </c>
      <c r="Q27" s="8" t="n">
        <v>1063.396082674689</v>
      </c>
      <c r="R27" s="8" t="n">
        <v>429.9789891007039</v>
      </c>
      <c r="S27" s="8" t="n">
        <v>4323.202557396216</v>
      </c>
      <c r="T27" s="8" t="n">
        <v>14079.00935721505</v>
      </c>
      <c r="U27">
        <f>SUM(M27:T27)</f>
        <v/>
      </c>
    </row>
    <row r="28">
      <c r="A28" s="10" t="n">
        <v>0.5208333333333334</v>
      </c>
      <c r="B28" s="5" t="n">
        <v>1409.197915358975</v>
      </c>
      <c r="C28" s="5" t="n">
        <v>1009.436160363317</v>
      </c>
      <c r="D28" s="5" t="n">
        <v>1655.335242217282</v>
      </c>
      <c r="E28" s="5" t="n">
        <v>3461.695610559386</v>
      </c>
      <c r="F28" s="5" t="n">
        <v>358.590900821124</v>
      </c>
      <c r="G28" s="5" t="n">
        <v>9.085898144390661</v>
      </c>
      <c r="H28" s="5" t="n">
        <v>1481.735425530326</v>
      </c>
      <c r="I28" s="5" t="n">
        <v>0</v>
      </c>
      <c r="J28" s="5">
        <f>SUM(B28:I28)</f>
        <v/>
      </c>
      <c r="L28" s="10" t="n">
        <v>0.5208333333333334</v>
      </c>
      <c r="M28" s="8" t="n">
        <v>12134.98320031166</v>
      </c>
      <c r="N28" s="8" t="n">
        <v>13017.18372368813</v>
      </c>
      <c r="O28" s="8" t="n">
        <v>11331.76811679275</v>
      </c>
      <c r="P28" s="8" t="n">
        <v>31347.939104357</v>
      </c>
      <c r="Q28" s="8" t="n">
        <v>1072.976590833236</v>
      </c>
      <c r="R28" s="8" t="n">
        <v>508.5525560023364</v>
      </c>
      <c r="S28" s="8" t="n">
        <v>4755.750418173668</v>
      </c>
      <c r="T28" s="8" t="n">
        <v>13705.76412918828</v>
      </c>
      <c r="U28">
        <f>SUM(M28:T28)</f>
        <v/>
      </c>
    </row>
    <row r="29">
      <c r="A29" s="10" t="n">
        <v>0.5416666666666666</v>
      </c>
      <c r="B29" s="5" t="n">
        <v>2111.00355682879</v>
      </c>
      <c r="C29" s="5" t="n">
        <v>1506.375405823354</v>
      </c>
      <c r="D29" s="5" t="n">
        <v>2256.103184595664</v>
      </c>
      <c r="E29" s="5" t="n">
        <v>4238.418619721356</v>
      </c>
      <c r="F29" s="5" t="n">
        <v>395.1201953630107</v>
      </c>
      <c r="G29" s="5" t="n">
        <v>9.631030859620321</v>
      </c>
      <c r="H29" s="5" t="n">
        <v>1787.591401549877</v>
      </c>
      <c r="I29" s="5" t="n">
        <v>0</v>
      </c>
      <c r="J29" s="5">
        <f>SUM(B29:I29)</f>
        <v/>
      </c>
      <c r="L29" s="10" t="n">
        <v>0.5416666666666666</v>
      </c>
      <c r="M29" s="8" t="n">
        <v>13387.4299929142</v>
      </c>
      <c r="N29" s="8" t="n">
        <v>13001.58699235916</v>
      </c>
      <c r="O29" s="8" t="n">
        <v>10960.45106341945</v>
      </c>
      <c r="P29" s="8" t="n">
        <v>30842.3604671481</v>
      </c>
      <c r="Q29" s="8" t="n">
        <v>1118.58804698306</v>
      </c>
      <c r="R29" s="8" t="n">
        <v>627.7030302491737</v>
      </c>
      <c r="S29" s="8" t="n">
        <v>5488.249968270538</v>
      </c>
      <c r="T29" s="8" t="n">
        <v>13460.9298433541</v>
      </c>
      <c r="U29">
        <f>SUM(M29:T29)</f>
        <v/>
      </c>
    </row>
    <row r="30">
      <c r="A30" s="10" t="n">
        <v>0.5625</v>
      </c>
      <c r="B30" s="5" t="n">
        <v>3173.718564745525</v>
      </c>
      <c r="C30" s="5" t="n">
        <v>2201.844142842606</v>
      </c>
      <c r="D30" s="5" t="n">
        <v>2886.108387454105</v>
      </c>
      <c r="E30" s="5" t="n">
        <v>5262.723577627805</v>
      </c>
      <c r="F30" s="5" t="n">
        <v>361.29673585841</v>
      </c>
      <c r="G30" s="5" t="n">
        <v>8.848892181115623</v>
      </c>
      <c r="H30" s="5" t="n">
        <v>2304.386302780777</v>
      </c>
      <c r="I30" s="5" t="n">
        <v>0</v>
      </c>
      <c r="J30" s="5">
        <f>SUM(B30:I30)</f>
        <v/>
      </c>
      <c r="L30" s="10" t="n">
        <v>0.5625</v>
      </c>
      <c r="M30" s="8" t="n">
        <v>15023.77168908119</v>
      </c>
      <c r="N30" s="8" t="n">
        <v>13062.67603631019</v>
      </c>
      <c r="O30" s="8" t="n">
        <v>10610.52538580563</v>
      </c>
      <c r="P30" s="8" t="n">
        <v>30423.39546177712</v>
      </c>
      <c r="Q30" s="8" t="n">
        <v>1201.574533726837</v>
      </c>
      <c r="R30" s="8" t="n">
        <v>796.4414012736127</v>
      </c>
      <c r="S30" s="8" t="n">
        <v>6547.007330589613</v>
      </c>
      <c r="T30" s="8" t="n">
        <v>13273.00475023561</v>
      </c>
      <c r="U30">
        <f>SUM(M30:T30)</f>
        <v/>
      </c>
    </row>
    <row r="31">
      <c r="A31" s="10" t="n">
        <v>0.5833333333333334</v>
      </c>
      <c r="B31" s="5" t="n">
        <v>4490.741904919796</v>
      </c>
      <c r="C31" s="5" t="n">
        <v>2916.414732846601</v>
      </c>
      <c r="D31" s="5" t="n">
        <v>3332.676733595876</v>
      </c>
      <c r="E31" s="5" t="n">
        <v>6426.482840521664</v>
      </c>
      <c r="F31" s="5" t="n">
        <v>276.1549550593523</v>
      </c>
      <c r="G31" s="5" t="n">
        <v>7.164981670528642</v>
      </c>
      <c r="H31" s="5" t="n">
        <v>3030.82728887172</v>
      </c>
      <c r="I31" s="5" t="n">
        <v>0</v>
      </c>
      <c r="J31" s="5">
        <f>SUM(B31:I31)</f>
        <v/>
      </c>
      <c r="L31" s="10" t="n">
        <v>0.5833333333333334</v>
      </c>
      <c r="M31" s="8" t="n">
        <v>17038.01364226341</v>
      </c>
      <c r="N31" s="8" t="n">
        <v>13143.54190831184</v>
      </c>
      <c r="O31" s="8" t="n">
        <v>10242.48943708374</v>
      </c>
      <c r="P31" s="8" t="n">
        <v>29971.52230602952</v>
      </c>
      <c r="Q31" s="8" t="n">
        <v>1326.181499267849</v>
      </c>
      <c r="R31" s="8" t="n">
        <v>1023.044354812975</v>
      </c>
      <c r="S31" s="8" t="n">
        <v>7947.989737491757</v>
      </c>
      <c r="T31" s="8" t="n">
        <v>13096.34681706494</v>
      </c>
      <c r="U31">
        <f>SUM(M31:T31)</f>
        <v/>
      </c>
    </row>
    <row r="32">
      <c r="A32" s="10" t="n">
        <v>0.6041666666666666</v>
      </c>
      <c r="B32" s="5" t="n">
        <v>5861.89289311525</v>
      </c>
      <c r="C32" s="5" t="n">
        <v>3392.474860060384</v>
      </c>
      <c r="D32" s="5" t="n">
        <v>3451.229850914073</v>
      </c>
      <c r="E32" s="5" t="n">
        <v>7427.480583151142</v>
      </c>
      <c r="F32" s="5" t="n">
        <v>180.97886408005</v>
      </c>
      <c r="G32" s="5" t="n">
        <v>6.072107993215766</v>
      </c>
      <c r="H32" s="5" t="n">
        <v>3774.583260864984</v>
      </c>
      <c r="I32" s="5" t="n">
        <v>0</v>
      </c>
      <c r="J32" s="5">
        <f>SUM(B32:I32)</f>
        <v/>
      </c>
      <c r="L32" s="10" t="n">
        <v>0.6041666666666666</v>
      </c>
      <c r="M32" s="8" t="n">
        <v>19540.50510368347</v>
      </c>
      <c r="N32" s="8" t="n">
        <v>13253.36286249161</v>
      </c>
      <c r="O32" s="8" t="n">
        <v>9861.798045912727</v>
      </c>
      <c r="P32" s="8" t="n">
        <v>29479.54865471229</v>
      </c>
      <c r="Q32" s="8" t="n">
        <v>1500.36614777903</v>
      </c>
      <c r="R32" s="8" t="n">
        <v>1313.680205772074</v>
      </c>
      <c r="S32" s="8" t="n">
        <v>9693.919835829463</v>
      </c>
      <c r="T32" s="8" t="n">
        <v>12940.55476795236</v>
      </c>
      <c r="U32">
        <f>SUM(M32:T32)</f>
        <v/>
      </c>
    </row>
    <row r="33">
      <c r="A33" s="10" t="n">
        <v>0.625</v>
      </c>
      <c r="B33" s="5" t="n">
        <v>7051.938576363762</v>
      </c>
      <c r="C33" s="5" t="n">
        <v>3440.595488087722</v>
      </c>
      <c r="D33" s="5" t="n">
        <v>3258.859348502338</v>
      </c>
      <c r="E33" s="5" t="n">
        <v>7879.137673318235</v>
      </c>
      <c r="F33" s="5" t="n">
        <v>110.9267201976022</v>
      </c>
      <c r="G33" s="5" t="n">
        <v>7.153682672336611</v>
      </c>
      <c r="H33" s="5" t="n">
        <v>4223.243214208867</v>
      </c>
      <c r="I33" s="5" t="n">
        <v>0</v>
      </c>
      <c r="J33" s="5">
        <f>SUM(B33:I33)</f>
        <v/>
      </c>
      <c r="L33" s="10" t="n">
        <v>0.625</v>
      </c>
      <c r="M33" s="8" t="n">
        <v>22736.26950206756</v>
      </c>
      <c r="N33" s="8" t="n">
        <v>13445.73526577949</v>
      </c>
      <c r="O33" s="8" t="n">
        <v>9499.330437935094</v>
      </c>
      <c r="P33" s="8" t="n">
        <v>29010.12635884015</v>
      </c>
      <c r="Q33" s="8" t="n">
        <v>1732.054695592464</v>
      </c>
      <c r="R33" s="8" t="n">
        <v>1667.306209759125</v>
      </c>
      <c r="S33" s="8" t="n">
        <v>11746.80455493865</v>
      </c>
      <c r="T33" s="8" t="n">
        <v>12842.87867304419</v>
      </c>
      <c r="U33">
        <f>SUM(M33:T33)</f>
        <v/>
      </c>
    </row>
    <row r="34">
      <c r="A34" s="10" t="n">
        <v>0.6458333333333334</v>
      </c>
      <c r="B34" s="5" t="n">
        <v>7877.220331464097</v>
      </c>
      <c r="C34" s="5" t="n">
        <v>3077.223472105456</v>
      </c>
      <c r="D34" s="5" t="n">
        <v>2923.826230290651</v>
      </c>
      <c r="E34" s="5" t="n">
        <v>7539.264467459328</v>
      </c>
      <c r="F34" s="5" t="n">
        <v>77.42387637862801</v>
      </c>
      <c r="G34" s="5" t="n">
        <v>11.0967304203921</v>
      </c>
      <c r="H34" s="5" t="n">
        <v>4159.798483581354</v>
      </c>
      <c r="I34" s="5" t="n">
        <v>0</v>
      </c>
      <c r="J34" s="5">
        <f>SUM(B34:I34)</f>
        <v/>
      </c>
      <c r="L34" s="10" t="n">
        <v>0.6458333333333334</v>
      </c>
      <c r="M34" s="8" t="n">
        <v>26844.49893369674</v>
      </c>
      <c r="N34" s="8" t="n">
        <v>13762.43994731903</v>
      </c>
      <c r="O34" s="8" t="n">
        <v>9172.070609927418</v>
      </c>
      <c r="P34" s="8" t="n">
        <v>28597.15525987511</v>
      </c>
      <c r="Q34" s="8" t="n">
        <v>2022.472394739471</v>
      </c>
      <c r="R34" s="8" t="n">
        <v>2067.980127727435</v>
      </c>
      <c r="S34" s="8" t="n">
        <v>13985.93372266865</v>
      </c>
      <c r="T34" s="8" t="n">
        <v>12814.50925236626</v>
      </c>
      <c r="U34">
        <f>SUM(M34:T34)</f>
        <v/>
      </c>
    </row>
    <row r="35">
      <c r="A35" s="10" t="n">
        <v>0.6666666666666666</v>
      </c>
      <c r="B35" s="5" t="n">
        <v>8245.185569594132</v>
      </c>
      <c r="C35" s="5" t="n">
        <v>2526.756012105503</v>
      </c>
      <c r="D35" s="5" t="n">
        <v>2640.70257557987</v>
      </c>
      <c r="E35" s="5" t="n">
        <v>6477.320046045517</v>
      </c>
      <c r="F35" s="5" t="n">
        <v>71.07049588540727</v>
      </c>
      <c r="G35" s="5" t="n">
        <v>16.97869734860742</v>
      </c>
      <c r="H35" s="5" t="n">
        <v>3627.212579154469</v>
      </c>
      <c r="I35" s="5" t="n">
        <v>0</v>
      </c>
      <c r="J35" s="5">
        <f>SUM(B35:I35)</f>
        <v/>
      </c>
      <c r="L35" s="10" t="n">
        <v>0.6666666666666666</v>
      </c>
      <c r="M35" s="8" t="n">
        <v>31988.41522693634</v>
      </c>
      <c r="N35" s="8" t="n">
        <v>14188.72509307861</v>
      </c>
      <c r="O35" s="8" t="n">
        <v>8859.996895476468</v>
      </c>
      <c r="P35" s="8" t="n">
        <v>28182.36731687518</v>
      </c>
      <c r="Q35" s="8" t="n">
        <v>2359.982659155293</v>
      </c>
      <c r="R35" s="8" t="n">
        <v>2480.478198980083</v>
      </c>
      <c r="S35" s="8" t="n">
        <v>16189.63508417749</v>
      </c>
      <c r="T35" s="8" t="n">
        <v>12808.9517143711</v>
      </c>
      <c r="U35">
        <f>SUM(M35:T35)</f>
        <v/>
      </c>
    </row>
    <row r="36">
      <c r="A36" s="10" t="n">
        <v>0.6875</v>
      </c>
      <c r="B36" s="5" t="n">
        <v>8137.461730514971</v>
      </c>
      <c r="C36" s="5" t="n">
        <v>2070.923290344775</v>
      </c>
      <c r="D36" s="5" t="n">
        <v>2487.843838347225</v>
      </c>
      <c r="E36" s="5" t="n">
        <v>5033.285076417403</v>
      </c>
      <c r="F36" s="5" t="n">
        <v>75.30372115908116</v>
      </c>
      <c r="G36" s="5" t="n">
        <v>22.36284101787401</v>
      </c>
      <c r="H36" s="5" t="n">
        <v>2876.866353577487</v>
      </c>
      <c r="I36" s="5" t="n">
        <v>0</v>
      </c>
      <c r="J36" s="5">
        <f>SUM(B36:I36)</f>
        <v/>
      </c>
      <c r="L36" s="10" t="n">
        <v>0.6875</v>
      </c>
      <c r="M36" s="8" t="n">
        <v>38071.66041045188</v>
      </c>
      <c r="N36" s="8" t="n">
        <v>14644.30414996147</v>
      </c>
      <c r="O36" s="8" t="n">
        <v>8514.312763357506</v>
      </c>
      <c r="P36" s="8" t="n">
        <v>27628.81948356441</v>
      </c>
      <c r="Q36" s="8" t="n">
        <v>2716.918990510945</v>
      </c>
      <c r="R36" s="8" t="n">
        <v>2854.305142221815</v>
      </c>
      <c r="S36" s="8" t="n">
        <v>18068.90005847274</v>
      </c>
      <c r="T36" s="8" t="n">
        <v>12734.4039395224</v>
      </c>
      <c r="U36">
        <f>SUM(M36:T36)</f>
        <v/>
      </c>
    </row>
    <row r="37">
      <c r="A37" s="10" t="n">
        <v>0.7083333333333334</v>
      </c>
      <c r="B37" s="5" t="n">
        <v>7586.855248181666</v>
      </c>
      <c r="C37" s="5" t="n">
        <v>1865.9885713743</v>
      </c>
      <c r="D37" s="5" t="n">
        <v>2389.694322408026</v>
      </c>
      <c r="E37" s="5" t="n">
        <v>3606.395494611952</v>
      </c>
      <c r="F37" s="5" t="n">
        <v>77.53941592347624</v>
      </c>
      <c r="G37" s="5" t="n">
        <v>24.5440406969409</v>
      </c>
      <c r="H37" s="5" t="n">
        <v>2162.071221251708</v>
      </c>
      <c r="I37" s="5" t="n">
        <v>0</v>
      </c>
      <c r="J37" s="5">
        <f>SUM(B37:I37)</f>
        <v/>
      </c>
      <c r="L37" s="10" t="n">
        <v>0.7083333333333334</v>
      </c>
      <c r="M37" s="8" t="n">
        <v>44654.56830844878</v>
      </c>
      <c r="N37" s="8" t="n">
        <v>14998.48283619881</v>
      </c>
      <c r="O37" s="8" t="n">
        <v>8081.580924870606</v>
      </c>
      <c r="P37" s="8" t="n">
        <v>26775.05184035206</v>
      </c>
      <c r="Q37" s="8" t="n">
        <v>3050.050382587806</v>
      </c>
      <c r="R37" s="8" t="n">
        <v>3134.725282302346</v>
      </c>
      <c r="S37" s="8" t="n">
        <v>19336.94888665254</v>
      </c>
      <c r="T37" s="8" t="n">
        <v>12490.50781991737</v>
      </c>
      <c r="U37">
        <f>SUM(M37:T37)</f>
        <v/>
      </c>
    </row>
    <row r="38">
      <c r="A38" s="10" t="n">
        <v>0.7291666666666666</v>
      </c>
      <c r="B38" s="5" t="n">
        <v>6683.008233617124</v>
      </c>
      <c r="C38" s="5" t="n">
        <v>1867.715287422163</v>
      </c>
      <c r="D38" s="5" t="n">
        <v>2210.916960072463</v>
      </c>
      <c r="E38" s="5" t="n">
        <v>2452.288147997721</v>
      </c>
      <c r="F38" s="5" t="n">
        <v>72.8572857186351</v>
      </c>
      <c r="G38" s="5" t="n">
        <v>22.30485741501032</v>
      </c>
      <c r="H38" s="5" t="n">
        <v>1588.263919815617</v>
      </c>
      <c r="I38" s="5" t="n">
        <v>0</v>
      </c>
      <c r="J38" s="5">
        <f>SUM(B38:I38)</f>
        <v/>
      </c>
      <c r="L38" s="10" t="n">
        <v>0.7291666666666666</v>
      </c>
      <c r="M38" s="8" t="n">
        <v>50906.82676920889</v>
      </c>
      <c r="N38" s="8" t="n">
        <v>15093.83640990257</v>
      </c>
      <c r="O38" s="8" t="n">
        <v>7521.730837155059</v>
      </c>
      <c r="P38" s="8" t="n">
        <v>25478.66961057205</v>
      </c>
      <c r="Q38" s="8" t="n">
        <v>3306.381612373882</v>
      </c>
      <c r="R38" s="8" t="n">
        <v>3275.744628559088</v>
      </c>
      <c r="S38" s="8" t="n">
        <v>19777.8956155138</v>
      </c>
      <c r="T38" s="8" t="n">
        <v>11998.71096269134</v>
      </c>
      <c r="U38">
        <f>SUM(M38:T38)</f>
        <v/>
      </c>
    </row>
    <row r="39">
      <c r="A39" s="10" t="n">
        <v>0.75</v>
      </c>
      <c r="B39" s="5" t="n">
        <v>5581.173790667945</v>
      </c>
      <c r="C39" s="5" t="n">
        <v>1900.233278524725</v>
      </c>
      <c r="D39" s="5" t="n">
        <v>1886.095610462391</v>
      </c>
      <c r="E39" s="5" t="n">
        <v>1626.784391142964</v>
      </c>
      <c r="F39" s="5" t="n">
        <v>62.29176700444212</v>
      </c>
      <c r="G39" s="5" t="n">
        <v>16.72791826622194</v>
      </c>
      <c r="H39" s="5" t="n">
        <v>1133.03978565959</v>
      </c>
      <c r="I39" s="5" t="n">
        <v>0</v>
      </c>
      <c r="J39" s="5">
        <f>SUM(B39:I39)</f>
        <v/>
      </c>
      <c r="L39" s="10" t="n">
        <v>0.75</v>
      </c>
      <c r="M39" s="8" t="n">
        <v>55765.47708673475</v>
      </c>
      <c r="N39" s="8" t="n">
        <v>14785.98761539459</v>
      </c>
      <c r="O39" s="8" t="n">
        <v>6817.271368649786</v>
      </c>
      <c r="P39" s="8" t="n">
        <v>23650.42386895636</v>
      </c>
      <c r="Q39" s="8" t="n">
        <v>3437.466833330188</v>
      </c>
      <c r="R39" s="8" t="n">
        <v>3252.490132822398</v>
      </c>
      <c r="S39" s="8" t="n">
        <v>19300.65594100664</v>
      </c>
      <c r="T39" s="8" t="n">
        <v>11220.06591924633</v>
      </c>
      <c r="U39">
        <f>SUM(M39:T39)</f>
        <v/>
      </c>
    </row>
    <row r="40">
      <c r="A40" s="10" t="n">
        <v>0.7708333333333334</v>
      </c>
      <c r="B40" s="5" t="n">
        <v>4466.250324888488</v>
      </c>
      <c r="C40" s="5" t="n">
        <v>1795.188954504985</v>
      </c>
      <c r="D40" s="5" t="n">
        <v>1466.259003730354</v>
      </c>
      <c r="E40" s="5" t="n">
        <v>1064.406195078842</v>
      </c>
      <c r="F40" s="5" t="n">
        <v>49.34173920343632</v>
      </c>
      <c r="G40" s="5" t="n">
        <v>10.29407168932182</v>
      </c>
      <c r="H40" s="5" t="n">
        <v>753.4940098681644</v>
      </c>
      <c r="I40" s="5" t="n">
        <v>0</v>
      </c>
      <c r="J40" s="5">
        <f>SUM(B40:I40)</f>
        <v/>
      </c>
      <c r="L40" s="10" t="n">
        <v>0.7708333333333334</v>
      </c>
      <c r="M40" s="8" t="n">
        <v>58311.55280303952</v>
      </c>
      <c r="N40" s="8" t="n">
        <v>14004.24789247513</v>
      </c>
      <c r="O40" s="8" t="n">
        <v>5982.92714683906</v>
      </c>
      <c r="P40" s="8" t="n">
        <v>21302.46589995534</v>
      </c>
      <c r="Q40" s="8" t="n">
        <v>3419.516058107295</v>
      </c>
      <c r="R40" s="8" t="n">
        <v>3071.330071012132</v>
      </c>
      <c r="S40" s="8" t="n">
        <v>17977.53185625112</v>
      </c>
      <c r="T40" s="8" t="n">
        <v>10170.47890302772</v>
      </c>
      <c r="U40">
        <f>SUM(M40:T40)</f>
        <v/>
      </c>
    </row>
    <row r="41">
      <c r="A41" s="10" t="n">
        <v>0.7916666666666666</v>
      </c>
      <c r="B41" s="5" t="n">
        <v>3475.579386462649</v>
      </c>
      <c r="C41" s="5" t="n">
        <v>1497.338414633979</v>
      </c>
      <c r="D41" s="5" t="n">
        <v>1058.415245269377</v>
      </c>
      <c r="E41" s="5" t="n">
        <v>684.0089040644937</v>
      </c>
      <c r="F41" s="5" t="n">
        <v>37.20245656080617</v>
      </c>
      <c r="G41" s="5" t="n">
        <v>5.147035844660909</v>
      </c>
      <c r="H41" s="5" t="n">
        <v>446.0104818940918</v>
      </c>
      <c r="I41" s="5" t="n">
        <v>0</v>
      </c>
      <c r="J41" s="5">
        <f>SUM(B41:I41)</f>
        <v/>
      </c>
      <c r="L41" s="10" t="n">
        <v>0.7916666666666666</v>
      </c>
      <c r="M41" s="8" t="n">
        <v>58138.15472087858</v>
      </c>
      <c r="N41" s="8" t="n">
        <v>12796.83296327591</v>
      </c>
      <c r="O41" s="8" t="n">
        <v>5071.519352506805</v>
      </c>
      <c r="P41" s="8" t="n">
        <v>18582.77461138196</v>
      </c>
      <c r="Q41" s="8" t="n">
        <v>3265.559278697385</v>
      </c>
      <c r="R41" s="8" t="n">
        <v>2771.24132815607</v>
      </c>
      <c r="S41" s="8" t="n">
        <v>16040.72734493521</v>
      </c>
      <c r="T41" s="8" t="n">
        <v>8926.624128669417</v>
      </c>
      <c r="U41">
        <f>SUM(M41:T41)</f>
        <v/>
      </c>
    </row>
    <row r="42">
      <c r="A42" s="10" t="n">
        <v>0.8125</v>
      </c>
      <c r="B42" s="5" t="n">
        <v>2648.004636452878</v>
      </c>
      <c r="C42" s="5" t="n">
        <v>1076.539500762184</v>
      </c>
      <c r="D42" s="5" t="n">
        <v>736.7141024094981</v>
      </c>
      <c r="E42" s="5" t="n">
        <v>440.7329620518297</v>
      </c>
      <c r="F42" s="5" t="n">
        <v>27.57095776701658</v>
      </c>
      <c r="G42" s="5" t="n">
        <v>2.058814337864364</v>
      </c>
      <c r="H42" s="5" t="n">
        <v>227.4943093198624</v>
      </c>
      <c r="I42" s="5" t="n">
        <v>0</v>
      </c>
      <c r="J42" s="5">
        <f>SUM(B42:I42)</f>
        <v/>
      </c>
      <c r="L42" s="10" t="n">
        <v>0.8125</v>
      </c>
      <c r="M42" s="8" t="n">
        <v>55417.10855917929</v>
      </c>
      <c r="N42" s="8" t="n">
        <v>11309.76948399544</v>
      </c>
      <c r="O42" s="8" t="n">
        <v>4160.242862532667</v>
      </c>
      <c r="P42" s="8" t="n">
        <v>15734.51849082945</v>
      </c>
      <c r="Q42" s="8" t="n">
        <v>3015.955027547319</v>
      </c>
      <c r="R42" s="8" t="n">
        <v>2409.57298511794</v>
      </c>
      <c r="S42" s="8" t="n">
        <v>13804.22406407221</v>
      </c>
      <c r="T42" s="8" t="n">
        <v>7602.497645571032</v>
      </c>
      <c r="U42">
        <f>SUM(M42:T42)</f>
        <v/>
      </c>
    </row>
    <row r="43">
      <c r="A43" s="10" t="n">
        <v>0.8333333333333334</v>
      </c>
      <c r="B43" s="5" t="n">
        <v>1951.264635862844</v>
      </c>
      <c r="C43" s="5" t="n">
        <v>658.6160974088359</v>
      </c>
      <c r="D43" s="5" t="n">
        <v>508.9488291225614</v>
      </c>
      <c r="E43" s="5" t="n">
        <v>323.5750029857958</v>
      </c>
      <c r="F43" s="5" t="n">
        <v>20.62306272384353</v>
      </c>
      <c r="G43" s="5" t="n">
        <v>0.6433794805826136</v>
      </c>
      <c r="H43" s="5" t="n">
        <v>98.45478812935713</v>
      </c>
      <c r="I43" s="5" t="n">
        <v>0</v>
      </c>
      <c r="J43" s="5">
        <f>SUM(B43:I43)</f>
        <v/>
      </c>
      <c r="L43" s="10" t="n">
        <v>0.8333333333333334</v>
      </c>
      <c r="M43" s="8" t="n">
        <v>50637.60974202154</v>
      </c>
      <c r="N43" s="8" t="n">
        <v>9704.506507778167</v>
      </c>
      <c r="O43" s="8" t="n">
        <v>3318.111365644482</v>
      </c>
      <c r="P43" s="8" t="n">
        <v>12984.86237839754</v>
      </c>
      <c r="Q43" s="8" t="n">
        <v>2711.803183746706</v>
      </c>
      <c r="R43" s="8" t="n">
        <v>2037.364825491857</v>
      </c>
      <c r="S43" s="8" t="n">
        <v>11539.30973140154</v>
      </c>
      <c r="T43" s="8" t="n">
        <v>6301.668327430889</v>
      </c>
      <c r="U43">
        <f>SUM(M43:T43)</f>
        <v/>
      </c>
    </row>
    <row r="44">
      <c r="A44" s="10" t="n">
        <v>0.8541666666666666</v>
      </c>
      <c r="B44" s="5" t="n">
        <v>1353.578179561744</v>
      </c>
      <c r="C44" s="5" t="n">
        <v>340.1146857706656</v>
      </c>
      <c r="D44" s="5" t="n">
        <v>345.8719406286924</v>
      </c>
      <c r="E44" s="5" t="n">
        <v>335.1339940942162</v>
      </c>
      <c r="F44" s="5" t="n">
        <v>15.55535735138546</v>
      </c>
      <c r="G44" s="5" t="n">
        <v>0.1513834071959091</v>
      </c>
      <c r="H44" s="5" t="n">
        <v>36.16212272137968</v>
      </c>
      <c r="I44" s="5" t="n">
        <v>0</v>
      </c>
      <c r="J44" s="5">
        <f>SUM(B44:I44)</f>
        <v/>
      </c>
      <c r="L44" s="10" t="n">
        <v>0.8541666666666666</v>
      </c>
      <c r="M44" s="8" t="n">
        <v>44308.41676864622</v>
      </c>
      <c r="N44" s="8" t="n">
        <v>8085.434746789932</v>
      </c>
      <c r="O44" s="8" t="n">
        <v>2579.827563120457</v>
      </c>
      <c r="P44" s="8" t="n">
        <v>10454.99821231135</v>
      </c>
      <c r="Q44" s="8" t="n">
        <v>2374.023564210264</v>
      </c>
      <c r="R44" s="8" t="n">
        <v>1681.733879700846</v>
      </c>
      <c r="S44" s="8" t="n">
        <v>9392.38842391941</v>
      </c>
      <c r="T44" s="8" t="n">
        <v>5082.734205031552</v>
      </c>
      <c r="U44">
        <f>SUM(M44:T44)</f>
        <v/>
      </c>
    </row>
    <row r="45">
      <c r="A45" s="10" t="n">
        <v>0.875</v>
      </c>
      <c r="B45" s="5" t="n">
        <v>861.2232961189643</v>
      </c>
      <c r="C45" s="5" t="n">
        <v>148.1620411151027</v>
      </c>
      <c r="D45" s="5" t="n">
        <v>222.107456628376</v>
      </c>
      <c r="E45" s="5" t="n">
        <v>470.2659171331762</v>
      </c>
      <c r="F45" s="5" t="n">
        <v>11.38589007863128</v>
      </c>
      <c r="G45" s="5" t="n">
        <v>0.02523056786598485</v>
      </c>
      <c r="H45" s="5" t="n">
        <v>11.44418392076701</v>
      </c>
      <c r="I45" s="5" t="n">
        <v>0</v>
      </c>
      <c r="J45" s="5">
        <f>SUM(B45:I45)</f>
        <v/>
      </c>
      <c r="L45" s="10" t="n">
        <v>0.875</v>
      </c>
      <c r="M45" s="8" t="n">
        <v>36900.39932241439</v>
      </c>
      <c r="N45" s="8" t="n">
        <v>6497.699362754822</v>
      </c>
      <c r="O45" s="8" t="n">
        <v>1947.335887721581</v>
      </c>
      <c r="P45" s="8" t="n">
        <v>8167.05975762146</v>
      </c>
      <c r="Q45" s="8" t="n">
        <v>2006.042395836754</v>
      </c>
      <c r="R45" s="8" t="n">
        <v>1348.088145585979</v>
      </c>
      <c r="S45" s="8" t="n">
        <v>7403.04397746096</v>
      </c>
      <c r="T45" s="8" t="n">
        <v>3965.419658219031</v>
      </c>
      <c r="U45">
        <f>SUM(M45:T45)</f>
        <v/>
      </c>
    </row>
    <row r="46">
      <c r="A46" s="10" t="n">
        <v>0.8958333333333334</v>
      </c>
      <c r="B46" s="5" t="n">
        <v>496.8339475296581</v>
      </c>
      <c r="C46" s="5" t="n">
        <v>55.99754201400133</v>
      </c>
      <c r="D46" s="5" t="n">
        <v>129.4458188454367</v>
      </c>
      <c r="E46" s="5" t="n">
        <v>691.4449193191762</v>
      </c>
      <c r="F46" s="5" t="n">
        <v>7.640318563302753</v>
      </c>
      <c r="G46" s="5" t="n">
        <v>0.002655849249051036</v>
      </c>
      <c r="H46" s="5" t="n">
        <v>3.191079560754939</v>
      </c>
      <c r="I46" s="5" t="n">
        <v>0</v>
      </c>
      <c r="J46" s="5">
        <f>SUM(B46:I46)</f>
        <v/>
      </c>
      <c r="L46" s="10" t="n">
        <v>0.8958333333333334</v>
      </c>
      <c r="M46" s="8" t="n">
        <v>28985.94703660011</v>
      </c>
      <c r="N46" s="8" t="n">
        <v>4978.563654184341</v>
      </c>
      <c r="O46" s="8" t="n">
        <v>1411.63207327922</v>
      </c>
      <c r="P46" s="8" t="n">
        <v>6120.44158915636</v>
      </c>
      <c r="Q46" s="8" t="n">
        <v>1613.870915647318</v>
      </c>
      <c r="R46" s="8" t="n">
        <v>1036.321704572992</v>
      </c>
      <c r="S46" s="8" t="n">
        <v>5585.165734237848</v>
      </c>
      <c r="T46" s="8" t="n">
        <v>2962.058961787609</v>
      </c>
      <c r="U46">
        <f>SUM(M46:T46)</f>
        <v/>
      </c>
    </row>
    <row r="47">
      <c r="A47" s="10" t="n">
        <v>0.9166666666666666</v>
      </c>
      <c r="B47" s="5" t="n">
        <v>262.4054653099523</v>
      </c>
      <c r="C47" s="5" t="n">
        <v>20.8471095039607</v>
      </c>
      <c r="D47" s="5" t="n">
        <v>66.95476096175098</v>
      </c>
      <c r="E47" s="5" t="n">
        <v>914.8239049150069</v>
      </c>
      <c r="F47" s="5" t="n">
        <v>4.463844216179026</v>
      </c>
      <c r="G47" s="5" t="n">
        <v>0.0001327924624525519</v>
      </c>
      <c r="H47" s="5" t="n">
        <v>0.787542266713499</v>
      </c>
      <c r="I47" s="5" t="n">
        <v>0</v>
      </c>
      <c r="J47" s="5">
        <f>SUM(B47:I47)</f>
        <v/>
      </c>
      <c r="L47" s="10" t="n">
        <v>0.9166666666666666</v>
      </c>
      <c r="M47" s="8" t="n">
        <v>21303.11002230644</v>
      </c>
      <c r="N47" s="8" t="n">
        <v>3595.104994440079</v>
      </c>
      <c r="O47" s="8" t="n">
        <v>970.156459658011</v>
      </c>
      <c r="P47" s="8" t="n">
        <v>4348.217363775151</v>
      </c>
      <c r="Q47" s="8" t="n">
        <v>1220.777225342619</v>
      </c>
      <c r="R47" s="8" t="n">
        <v>753.6282829362837</v>
      </c>
      <c r="S47" s="8" t="n">
        <v>3984.105131016255</v>
      </c>
      <c r="T47" s="8" t="n">
        <v>2097.315047815828</v>
      </c>
      <c r="U47">
        <f>SUM(M47:T47)</f>
        <v/>
      </c>
    </row>
    <row r="48">
      <c r="A48" s="10" t="n">
        <v>0.9375</v>
      </c>
      <c r="B48" s="5" t="n">
        <v>130.8840358149257</v>
      </c>
      <c r="C48" s="5" t="n">
        <v>9.989213890367695</v>
      </c>
      <c r="D48" s="5" t="n">
        <v>30.60398105749835</v>
      </c>
      <c r="E48" s="5" t="n">
        <v>1035.057551476642</v>
      </c>
      <c r="F48" s="5" t="n">
        <v>2.183350321838839</v>
      </c>
      <c r="G48" s="5" t="n">
        <v>0</v>
      </c>
      <c r="H48" s="5" t="n">
        <v>0.1646049105729333</v>
      </c>
      <c r="I48" s="5" t="n">
        <v>0</v>
      </c>
      <c r="J48" s="5">
        <f>SUM(B48:I48)</f>
        <v/>
      </c>
      <c r="L48" s="10" t="n">
        <v>0.9375</v>
      </c>
      <c r="M48" s="8" t="n">
        <v>14588.79380407333</v>
      </c>
      <c r="N48" s="8" t="n">
        <v>2429.156500482559</v>
      </c>
      <c r="O48" s="8" t="n">
        <v>626.3049241212595</v>
      </c>
      <c r="P48" s="8" t="n">
        <v>2905.680251784855</v>
      </c>
      <c r="Q48" s="8" t="n">
        <v>862.0862490342272</v>
      </c>
      <c r="R48" s="8" t="n">
        <v>513.6523900018038</v>
      </c>
      <c r="S48" s="8" t="n">
        <v>2665.929112406956</v>
      </c>
      <c r="T48" s="8" t="n">
        <v>1399.49171623581</v>
      </c>
      <c r="U48">
        <f>SUM(M48:T48)</f>
        <v/>
      </c>
    </row>
    <row r="49">
      <c r="A49" s="10" t="n">
        <v>0.9583333333333334</v>
      </c>
      <c r="B49" s="5" t="n">
        <v>64.14549444238089</v>
      </c>
      <c r="C49" s="5" t="n">
        <v>6.5523582406621</v>
      </c>
      <c r="D49" s="5" t="n">
        <v>12.43199389045055</v>
      </c>
      <c r="E49" s="5" t="n">
        <v>985.6679314849921</v>
      </c>
      <c r="F49" s="5" t="n">
        <v>0.8662029475798073</v>
      </c>
      <c r="G49" s="5" t="n">
        <v>0</v>
      </c>
      <c r="H49" s="5" t="n">
        <v>0.02636799638148895</v>
      </c>
      <c r="I49" s="5" t="n">
        <v>0</v>
      </c>
      <c r="J49" s="5">
        <f>SUM(B49:I49)</f>
        <v/>
      </c>
      <c r="L49" s="10" t="n">
        <v>0.9583333333333334</v>
      </c>
      <c r="M49" s="8" t="n">
        <v>9312.027393627166</v>
      </c>
      <c r="N49" s="8" t="n">
        <v>1533.060104656219</v>
      </c>
      <c r="O49" s="8" t="n">
        <v>378.6870131460565</v>
      </c>
      <c r="P49" s="8" t="n">
        <v>1821.865176537034</v>
      </c>
      <c r="Q49" s="8" t="n">
        <v>567.3833986693242</v>
      </c>
      <c r="R49" s="8" t="n">
        <v>326.9525104697556</v>
      </c>
      <c r="S49" s="8" t="n">
        <v>1669.739615674547</v>
      </c>
      <c r="T49" s="8" t="n">
        <v>879.3279814622949</v>
      </c>
      <c r="U49">
        <f>SUM(M49:T49)</f>
        <v/>
      </c>
    </row>
    <row r="50">
      <c r="A50" s="10" t="n">
        <v>0.9791666666666666</v>
      </c>
      <c r="B50" s="5" t="n">
        <v>31.48318796026653</v>
      </c>
      <c r="C50" s="5" t="n">
        <v>4.521076610140066</v>
      </c>
      <c r="D50" s="5" t="n">
        <v>4.502732984879509</v>
      </c>
      <c r="E50" s="5" t="n">
        <v>784.5768033083684</v>
      </c>
      <c r="F50" s="5" t="n">
        <v>0.2700193103853403</v>
      </c>
      <c r="G50" s="5" t="n">
        <v>0</v>
      </c>
      <c r="H50" s="5" t="n">
        <v>0.002763931005119629</v>
      </c>
      <c r="I50" s="5" t="n">
        <v>0</v>
      </c>
      <c r="J50" s="5">
        <f>SUM(B50:I50)</f>
        <v/>
      </c>
      <c r="L50" s="10" t="n">
        <v>0.9791666666666666</v>
      </c>
      <c r="M50" s="8" t="n">
        <v>5548.529148006439</v>
      </c>
      <c r="N50" s="8" t="n">
        <v>904.1965194702148</v>
      </c>
      <c r="O50" s="8" t="n">
        <v>214.761856997773</v>
      </c>
      <c r="P50" s="8" t="n">
        <v>1071.604766792532</v>
      </c>
      <c r="Q50" s="8" t="n">
        <v>347.9162860913628</v>
      </c>
      <c r="R50" s="8" t="n">
        <v>194.1784443360474</v>
      </c>
      <c r="S50" s="8" t="n">
        <v>979.4935488914928</v>
      </c>
      <c r="T50" s="8" t="n">
        <v>520.5831165494521</v>
      </c>
      <c r="U50">
        <f>SUM(M50:T50)</f>
        <v/>
      </c>
    </row>
    <row r="51">
      <c r="A51" s="10" t="n">
        <v>1</v>
      </c>
      <c r="B51" s="5" t="n">
        <v>15.13448965882775</v>
      </c>
      <c r="C51" s="5" t="n">
        <v>2.735385437661751</v>
      </c>
      <c r="D51" s="5" t="n">
        <v>1.435708328256643</v>
      </c>
      <c r="E51" s="5" t="n">
        <v>518.9357912003104</v>
      </c>
      <c r="F51" s="5" t="n">
        <v>0.06350396722866943</v>
      </c>
      <c r="G51" s="5" t="n">
        <v>0</v>
      </c>
      <c r="H51" s="5" t="n">
        <v>0.0001381965502559814</v>
      </c>
      <c r="I51" s="5" t="n">
        <v>0</v>
      </c>
      <c r="J51" s="5">
        <f>SUM(B51:I51)</f>
        <v/>
      </c>
      <c r="L51" s="10" t="n">
        <v>1</v>
      </c>
      <c r="M51" s="8" t="n">
        <v>3076.411966609954</v>
      </c>
      <c r="N51" s="8" t="n">
        <v>496.7663009166717</v>
      </c>
      <c r="O51" s="8" t="n">
        <v>114.1830188906674</v>
      </c>
      <c r="P51" s="8" t="n">
        <v>588.8466773473012</v>
      </c>
      <c r="Q51" s="8" t="n">
        <v>197.7385510981267</v>
      </c>
      <c r="R51" s="8" t="n">
        <v>107.1417777170898</v>
      </c>
      <c r="S51" s="8" t="n">
        <v>536.5407238072369</v>
      </c>
      <c r="T51" s="8" t="n">
        <v>289.0894403217089</v>
      </c>
      <c r="U51">
        <f>SUM(M51:T51)</f>
        <v/>
      </c>
    </row>
    <row r="52">
      <c r="A52" s="10" t="n">
        <v>1.020833333333333</v>
      </c>
      <c r="B52" s="5" t="n">
        <v>6.774582958942498</v>
      </c>
      <c r="C52" s="5" t="n">
        <v>1.3638129317311</v>
      </c>
      <c r="D52" s="5" t="n">
        <v>0.3887966167953432</v>
      </c>
      <c r="E52" s="5" t="n">
        <v>282.9978228522817</v>
      </c>
      <c r="F52" s="5" t="n">
        <v>0.01058399453811157</v>
      </c>
      <c r="G52" s="5" t="n">
        <v>0</v>
      </c>
      <c r="H52" s="5" t="n">
        <v>0</v>
      </c>
      <c r="I52" s="5" t="n">
        <v>0</v>
      </c>
      <c r="J52" s="5">
        <f>SUM(B52:I52)</f>
        <v/>
      </c>
      <c r="L52" s="10" t="n">
        <v>1.020833333333333</v>
      </c>
      <c r="M52" s="8" t="n">
        <v>1566.690141439438</v>
      </c>
      <c r="N52" s="8" t="n">
        <v>251.0162418842315</v>
      </c>
      <c r="O52" s="8" t="n">
        <v>56.35029974925699</v>
      </c>
      <c r="P52" s="8" t="n">
        <v>298.169803451028</v>
      </c>
      <c r="Q52" s="8" t="n">
        <v>102.65360330425</v>
      </c>
      <c r="R52" s="8" t="n">
        <v>54.21684388436736</v>
      </c>
      <c r="S52" s="8" t="n">
        <v>270.9693643159771</v>
      </c>
      <c r="T52" s="8" t="n">
        <v>148.3119533725044</v>
      </c>
      <c r="U52">
        <f>SUM(M52:T52)</f>
        <v/>
      </c>
    </row>
    <row r="53">
      <c r="A53" s="10" t="n">
        <v>0.04166666666666666</v>
      </c>
      <c r="B53" s="5" t="n">
        <v>2.674959931225108</v>
      </c>
      <c r="C53" s="5" t="n">
        <v>0.5453563456529869</v>
      </c>
      <c r="D53" s="5" t="n">
        <v>0.08436680357260029</v>
      </c>
      <c r="E53" s="5" t="n">
        <v>125.8127718579594</v>
      </c>
      <c r="F53" s="5" t="n">
        <v>0.001114104688222271</v>
      </c>
      <c r="G53" s="5" t="n">
        <v>0</v>
      </c>
      <c r="H53" s="5" t="n">
        <v>0</v>
      </c>
      <c r="I53" s="5" t="n">
        <v>0</v>
      </c>
      <c r="J53" s="5">
        <f>SUM(B53:I53)</f>
        <v/>
      </c>
      <c r="L53" s="10" t="n">
        <v>0.04166666666666666</v>
      </c>
      <c r="M53" s="8" t="n">
        <v>715.7534323692321</v>
      </c>
      <c r="N53" s="8" t="n">
        <v>113.9666444301605</v>
      </c>
      <c r="O53" s="8" t="n">
        <v>25.23705526488041</v>
      </c>
      <c r="P53" s="8" t="n">
        <v>135.8021529123925</v>
      </c>
      <c r="Q53" s="8" t="n">
        <v>47.5241147123956</v>
      </c>
      <c r="R53" s="8" t="n">
        <v>24.59546378289686</v>
      </c>
      <c r="S53" s="8" t="n">
        <v>123.1976732427637</v>
      </c>
      <c r="T53" s="8" t="n">
        <v>68.48596277797098</v>
      </c>
      <c r="U53">
        <f>SUM(M53:T53)</f>
        <v/>
      </c>
    </row>
    <row r="54">
      <c r="A54" s="10" t="n">
        <v>0.0625</v>
      </c>
      <c r="B54" s="5" t="n">
        <v>0.8881372212809703</v>
      </c>
      <c r="C54" s="5" t="n">
        <v>0.1704238580165584</v>
      </c>
      <c r="D54" s="5" t="n">
        <v>0.01351082064247318</v>
      </c>
      <c r="E54" s="5" t="n">
        <v>44.84577237431778</v>
      </c>
      <c r="F54" s="5" t="n">
        <v>5.570523441111355e-05</v>
      </c>
      <c r="G54" s="5" t="n">
        <v>0</v>
      </c>
      <c r="H54" s="5" t="n">
        <v>0</v>
      </c>
      <c r="I54" s="5" t="n">
        <v>0</v>
      </c>
      <c r="J54" s="5">
        <f>SUM(B54:I54)</f>
        <v/>
      </c>
      <c r="L54" s="10" t="n">
        <v>0.0625</v>
      </c>
      <c r="M54" s="8" t="n">
        <v>284.493648481369</v>
      </c>
      <c r="N54" s="8" t="n">
        <v>45.08541431427001</v>
      </c>
      <c r="O54" s="8" t="n">
        <v>9.93165361832015</v>
      </c>
      <c r="P54" s="8" t="n">
        <v>53.9183086177424</v>
      </c>
      <c r="Q54" s="8" t="n">
        <v>19.04241532276132</v>
      </c>
      <c r="R54" s="8" t="n">
        <v>9.7098111198154</v>
      </c>
      <c r="S54" s="8" t="n">
        <v>48.86143939602327</v>
      </c>
      <c r="T54" s="8" t="n">
        <v>27.54855231508588</v>
      </c>
      <c r="U54">
        <f>SUM(M54:T54)</f>
        <v/>
      </c>
    </row>
    <row r="55">
      <c r="A55" s="10" t="n">
        <v>0.08333333333333333</v>
      </c>
      <c r="B55" s="5" t="n">
        <v>0.2370653815388447</v>
      </c>
      <c r="C55" s="5" t="n">
        <v>0.04009973129801373</v>
      </c>
      <c r="D55" s="5" t="n">
        <v>0.001401209403966368</v>
      </c>
      <c r="E55" s="5" t="n">
        <v>12.50485255042692</v>
      </c>
      <c r="F55" s="5" t="n">
        <v>0</v>
      </c>
      <c r="G55" s="5" t="n">
        <v>0</v>
      </c>
      <c r="H55" s="5" t="n">
        <v>0</v>
      </c>
      <c r="I55" s="5" t="n">
        <v>0</v>
      </c>
      <c r="J55" s="5">
        <f>SUM(B55:I55)</f>
        <v/>
      </c>
      <c r="L55" s="10" t="n">
        <v>0.08333333333333333</v>
      </c>
      <c r="M55" s="8" t="n">
        <v>95.05030608177184</v>
      </c>
      <c r="N55" s="8" t="n">
        <v>15.01079258918762</v>
      </c>
      <c r="O55" s="8" t="n">
        <v>3.30872783872859</v>
      </c>
      <c r="P55" s="8" t="n">
        <v>18.01981925652219</v>
      </c>
      <c r="Q55" s="8" t="n">
        <v>6.388415057362172</v>
      </c>
      <c r="R55" s="8" t="n">
        <v>3.22492282459878</v>
      </c>
      <c r="S55" s="8" t="n">
        <v>16.31630641020899</v>
      </c>
      <c r="T55" s="8" t="n">
        <v>9.314465296710289</v>
      </c>
      <c r="U55">
        <f>SUM(M55:T55)</f>
        <v/>
      </c>
    </row>
    <row r="56">
      <c r="A56" s="10" t="n">
        <v>0.1041666666666667</v>
      </c>
      <c r="B56" s="5" t="n">
        <v>0.04836777817552922</v>
      </c>
      <c r="C56" s="5" t="n">
        <v>0.006683288549668954</v>
      </c>
      <c r="D56" s="5" t="n">
        <v>7.006047019831838e-05</v>
      </c>
      <c r="E56" s="5" t="n">
        <v>2.626741373471707</v>
      </c>
      <c r="F56" s="5" t="n">
        <v>0</v>
      </c>
      <c r="G56" s="5" t="n">
        <v>0</v>
      </c>
      <c r="H56" s="5" t="n">
        <v>0</v>
      </c>
      <c r="I56" s="5" t="n">
        <v>0</v>
      </c>
      <c r="J56" s="5">
        <f>SUM(B56:I56)</f>
        <v/>
      </c>
      <c r="L56" s="10" t="n">
        <v>0.1041666666666667</v>
      </c>
      <c r="M56" s="8" t="n">
        <v>25.68547267913818</v>
      </c>
      <c r="N56" s="8" t="n">
        <v>4.046069192886351</v>
      </c>
      <c r="O56" s="8" t="n">
        <v>0.8955335691341921</v>
      </c>
      <c r="P56" s="8" t="n">
        <v>4.875790201420621</v>
      </c>
      <c r="Q56" s="8" t="n">
        <v>1.728770754662937</v>
      </c>
      <c r="R56" s="8" t="n">
        <v>0.8673366704055774</v>
      </c>
      <c r="S56" s="8" t="n">
        <v>4.410647164586747</v>
      </c>
      <c r="T56" s="8" t="n">
        <v>2.545589016964561</v>
      </c>
      <c r="U56">
        <f>SUM(M56:T56)</f>
        <v/>
      </c>
    </row>
    <row r="57">
      <c r="A57" s="10" t="n">
        <v>0.125</v>
      </c>
      <c r="B57" s="5" t="n">
        <v>0.007005213575990685</v>
      </c>
      <c r="C57" s="5" t="n">
        <v>0.0007035040578598899</v>
      </c>
      <c r="D57" s="5" t="n">
        <v>0</v>
      </c>
      <c r="E57" s="5" t="n">
        <v>0.3891049704137295</v>
      </c>
      <c r="F57" s="5" t="n">
        <v>0</v>
      </c>
      <c r="G57" s="5" t="n">
        <v>0</v>
      </c>
      <c r="H57" s="5" t="n">
        <v>0</v>
      </c>
      <c r="I57" s="5" t="n">
        <v>0</v>
      </c>
      <c r="J57" s="5">
        <f>SUM(B57:I57)</f>
        <v/>
      </c>
      <c r="L57" s="10" t="n">
        <v>0.125</v>
      </c>
      <c r="M57" s="8" t="n">
        <v>5.280397510528564</v>
      </c>
      <c r="N57" s="8" t="n">
        <v>0.8302880764007566</v>
      </c>
      <c r="O57" s="8" t="n">
        <v>0.184829199139557</v>
      </c>
      <c r="P57" s="8" t="n">
        <v>1.004273609398527</v>
      </c>
      <c r="Q57" s="8" t="n">
        <v>0.3552785790593478</v>
      </c>
      <c r="R57" s="8" t="n">
        <v>0.1776867382931257</v>
      </c>
      <c r="S57" s="8" t="n">
        <v>0.9073330651076854</v>
      </c>
      <c r="T57" s="8" t="n">
        <v>0.5286455202949872</v>
      </c>
      <c r="U57">
        <f>SUM(M57:T57)</f>
        <v/>
      </c>
    </row>
    <row r="58" ht="15.75" customHeight="1" s="71" thickBot="1">
      <c r="A58" s="11" t="inlineStr">
        <is>
          <t>After 27:00</t>
        </is>
      </c>
      <c r="B58" s="6" t="n">
        <v>0</v>
      </c>
      <c r="C58" s="6" t="n">
        <v>0</v>
      </c>
      <c r="D58" s="6" t="n">
        <v>0</v>
      </c>
      <c r="E58" s="6" t="n">
        <v>0</v>
      </c>
      <c r="F58" s="6" t="n">
        <v>0</v>
      </c>
      <c r="G58" s="6" t="n">
        <v>0</v>
      </c>
      <c r="H58" s="6" t="n">
        <v>0</v>
      </c>
      <c r="I58" s="6" t="n">
        <v>0</v>
      </c>
      <c r="J58" s="6">
        <f>SUM(B58:I58)</f>
        <v/>
      </c>
      <c r="L58" s="11" t="inlineStr">
        <is>
          <t>After 27:00</t>
        </is>
      </c>
      <c r="M58" s="9" t="n">
        <v>0</v>
      </c>
      <c r="N58" s="9" t="n">
        <v>0</v>
      </c>
      <c r="O58" s="9" t="n">
        <v>0</v>
      </c>
      <c r="P58" s="9" t="n">
        <v>0</v>
      </c>
      <c r="Q58" s="9" t="n">
        <v>0</v>
      </c>
      <c r="R58" s="9" t="n">
        <v>0</v>
      </c>
      <c r="S58" s="9" t="n">
        <v>0</v>
      </c>
      <c r="T58" s="9" t="n">
        <v>0</v>
      </c>
      <c r="U58" s="1">
        <f>SUM(M58:T58)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Y58"/>
  <sheetViews>
    <sheetView workbookViewId="0">
      <selection activeCell="J1" sqref="J1:J1048576"/>
    </sheetView>
  </sheetViews>
  <sheetFormatPr baseColWidth="8" defaultRowHeight="15"/>
  <cols>
    <col collapsed="1" width="12.7109375" customWidth="1" style="71" min="1" max="1"/>
    <col collapsed="1" width="10.7109375" customWidth="1" style="71" min="2" max="10"/>
    <col collapsed="1" width="6.42578125" customWidth="1" style="71" min="11" max="11"/>
    <col collapsed="1" width="12.7109375" customWidth="1" style="71" min="12" max="12"/>
    <col collapsed="1" width="10.7109375" customWidth="1" style="71" min="13" max="21"/>
  </cols>
  <sheetData>
    <row r="1">
      <c r="A1" t="inlineStr">
        <is>
          <t>Workbased Tour arrival time at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4">
      <c r="A4" t="inlineStr">
        <is>
          <t>Distance values reflect start time of time period</t>
        </is>
      </c>
    </row>
    <row r="6" ht="15.75" customHeight="1" s="71" thickBot="1">
      <c r="A6" s="3" t="inlineStr">
        <is>
          <t>Table X. Observed Workbased Tour Arrival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L6" s="3" t="inlineStr">
        <is>
          <t>Table X. Estimated Workbased Tour Arrival at PD Times: DaySim</t>
        </is>
      </c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W6" s="7" t="n"/>
    </row>
    <row r="7">
      <c r="A7" s="2" t="inlineStr">
        <is>
          <t>Timeperiod</t>
        </is>
      </c>
      <c r="B7" s="4" t="inlineStr">
        <is>
          <t>FT Worker</t>
        </is>
      </c>
      <c r="C7" s="4" t="inlineStr">
        <is>
          <t>PT Worker</t>
        </is>
      </c>
      <c r="D7" s="4" t="inlineStr">
        <is>
          <t>Retired</t>
        </is>
      </c>
      <c r="E7" s="4" t="inlineStr">
        <is>
          <t>Nonworker</t>
        </is>
      </c>
      <c r="F7" s="4" t="inlineStr">
        <is>
          <t>Univ Stud</t>
        </is>
      </c>
      <c r="G7" s="4" t="inlineStr">
        <is>
          <t>Stud 16+</t>
        </is>
      </c>
      <c r="H7" s="4" t="inlineStr">
        <is>
          <t>Stud 5-15</t>
        </is>
      </c>
      <c r="I7" s="4" t="inlineStr">
        <is>
          <t>Child&lt;5</t>
        </is>
      </c>
      <c r="J7" s="4" t="inlineStr">
        <is>
          <t>Total</t>
        </is>
      </c>
      <c r="L7" s="2" t="inlineStr">
        <is>
          <t>Timeperiod</t>
        </is>
      </c>
      <c r="M7" s="4" t="inlineStr">
        <is>
          <t>FT Worker</t>
        </is>
      </c>
      <c r="N7" s="4" t="inlineStr">
        <is>
          <t>PT Worker</t>
        </is>
      </c>
      <c r="O7" s="4" t="inlineStr">
        <is>
          <t>Retired</t>
        </is>
      </c>
      <c r="P7" s="4" t="inlineStr">
        <is>
          <t>Nonworker</t>
        </is>
      </c>
      <c r="Q7" s="4" t="inlineStr">
        <is>
          <t>Univ Stud</t>
        </is>
      </c>
      <c r="R7" s="4" t="inlineStr">
        <is>
          <t>Stud 16+</t>
        </is>
      </c>
      <c r="S7" s="4" t="inlineStr">
        <is>
          <t>Stud 5-15</t>
        </is>
      </c>
      <c r="T7" s="4" t="inlineStr">
        <is>
          <t>Child&lt;5</t>
        </is>
      </c>
      <c r="U7" s="4" t="inlineStr">
        <is>
          <t>Total</t>
        </is>
      </c>
      <c r="X7" s="12" t="n"/>
      <c r="Y7" s="12" t="n"/>
    </row>
    <row r="8">
      <c r="A8" t="inlineStr">
        <is>
          <t>Before 3:00am</t>
        </is>
      </c>
      <c r="B8" s="5" t="n">
        <v>0</v>
      </c>
      <c r="C8" s="5" t="n">
        <v>0</v>
      </c>
      <c r="D8" s="5" t="n">
        <v>0</v>
      </c>
      <c r="E8" s="5" t="n">
        <v>0</v>
      </c>
      <c r="F8" s="5" t="n">
        <v>0</v>
      </c>
      <c r="G8" s="5" t="n">
        <v>0</v>
      </c>
      <c r="H8" s="5" t="n">
        <v>0</v>
      </c>
      <c r="I8" s="5" t="n">
        <v>0</v>
      </c>
      <c r="J8" s="5">
        <f>SUM(B8:I8)</f>
        <v/>
      </c>
      <c r="L8" t="inlineStr">
        <is>
          <t>Before 3:00am</t>
        </is>
      </c>
      <c r="M8" s="8" t="n">
        <v>16.1</v>
      </c>
      <c r="N8" s="8" t="n">
        <v>14.95</v>
      </c>
      <c r="O8" s="8" t="n">
        <v>0</v>
      </c>
      <c r="P8" s="8" t="n">
        <v>0</v>
      </c>
      <c r="Q8" s="8" t="n">
        <v>10.6141799517402</v>
      </c>
      <c r="R8" s="8" t="n">
        <v>0</v>
      </c>
      <c r="S8" s="8" t="n">
        <v>0</v>
      </c>
      <c r="T8" s="8" t="n">
        <v>0</v>
      </c>
      <c r="U8">
        <f>SUM(M8:T8)</f>
        <v/>
      </c>
      <c r="X8" s="5" t="n"/>
      <c r="Y8" s="5" t="n"/>
    </row>
    <row r="9">
      <c r="A9" s="10" t="n">
        <v>0.125</v>
      </c>
      <c r="B9" s="5" t="n">
        <v>3.92749245065914</v>
      </c>
      <c r="C9" s="5" t="n">
        <v>0.5548316049230946</v>
      </c>
      <c r="D9" s="5" t="n">
        <v>1.348708982378875</v>
      </c>
      <c r="E9" s="5" t="n">
        <v>1.944395872106533</v>
      </c>
      <c r="F9" s="5" t="n">
        <v>0.007739978085795703</v>
      </c>
      <c r="G9" s="5" t="n">
        <v>0</v>
      </c>
      <c r="H9" s="5" t="n">
        <v>0</v>
      </c>
      <c r="I9" s="5" t="n">
        <v>0</v>
      </c>
      <c r="J9" s="5">
        <f>SUM(B9:I9)</f>
        <v/>
      </c>
      <c r="L9" s="10" t="n">
        <v>0.125</v>
      </c>
      <c r="M9" s="8" t="n">
        <v>146.6505833148956</v>
      </c>
      <c r="N9" s="8" t="n">
        <v>16.58149209022522</v>
      </c>
      <c r="O9" s="8" t="n">
        <v>0</v>
      </c>
      <c r="P9" s="8" t="n">
        <v>0</v>
      </c>
      <c r="Q9" s="8" t="n">
        <v>9.230915505250145</v>
      </c>
      <c r="R9" s="8" t="n">
        <v>1.096725463867187e-06</v>
      </c>
      <c r="S9" s="8" t="n">
        <v>0</v>
      </c>
      <c r="T9" s="8" t="n">
        <v>0</v>
      </c>
      <c r="U9">
        <f>SUM(M9:T9)</f>
        <v/>
      </c>
      <c r="X9" s="5" t="n"/>
      <c r="Y9" s="5" t="n"/>
    </row>
    <row r="10">
      <c r="A10" s="10" t="n">
        <v>0.1458333333333333</v>
      </c>
      <c r="B10" s="5" t="n">
        <v>17.22471653830959</v>
      </c>
      <c r="C10" s="5" t="n">
        <v>3.007680375971197</v>
      </c>
      <c r="D10" s="5" t="n">
        <v>6.386990337732538</v>
      </c>
      <c r="E10" s="5" t="n">
        <v>7.774633551421172</v>
      </c>
      <c r="F10" s="5" t="n">
        <v>0.1284969486108894</v>
      </c>
      <c r="G10" s="5" t="n">
        <v>0</v>
      </c>
      <c r="H10" s="5" t="n">
        <v>0</v>
      </c>
      <c r="I10" s="5" t="n">
        <v>0</v>
      </c>
      <c r="J10" s="5">
        <f>SUM(B10:I10)</f>
        <v/>
      </c>
      <c r="L10" s="10" t="n">
        <v>0.1458333333333333</v>
      </c>
      <c r="M10" s="8" t="n">
        <v>236.7881153583526</v>
      </c>
      <c r="N10" s="8" t="n">
        <v>17.6682165145874</v>
      </c>
      <c r="O10" s="8" t="n">
        <v>0</v>
      </c>
      <c r="P10" s="8" t="n">
        <v>0</v>
      </c>
      <c r="Q10" s="8" t="n">
        <v>7.712200482891271</v>
      </c>
      <c r="R10" s="8" t="n">
        <v>2.522468566894532e-05</v>
      </c>
      <c r="S10" s="8" t="n">
        <v>0</v>
      </c>
      <c r="T10" s="8" t="n">
        <v>0</v>
      </c>
      <c r="U10">
        <f>SUM(M10:T10)</f>
        <v/>
      </c>
      <c r="X10" s="5" t="n"/>
      <c r="Y10" s="5" t="n"/>
    </row>
    <row r="11">
      <c r="A11" s="10" t="n">
        <v>0.1666666666666667</v>
      </c>
      <c r="B11" s="5" t="n">
        <v>58.1912342771514</v>
      </c>
      <c r="C11" s="5" t="n">
        <v>12.76187375150009</v>
      </c>
      <c r="D11" s="5" t="n">
        <v>23.13459420696403</v>
      </c>
      <c r="E11" s="5" t="n">
        <v>23.99700691580502</v>
      </c>
      <c r="F11" s="5" t="n">
        <v>1.137493607139346</v>
      </c>
      <c r="G11" s="5" t="n">
        <v>0</v>
      </c>
      <c r="H11" s="5" t="n">
        <v>0</v>
      </c>
      <c r="I11" s="5" t="n">
        <v>0</v>
      </c>
      <c r="J11" s="5">
        <f>SUM(B11:I11)</f>
        <v/>
      </c>
      <c r="L11" s="10" t="n">
        <v>0.1666666666666667</v>
      </c>
      <c r="M11" s="8" t="n">
        <v>281.0545466423034</v>
      </c>
      <c r="N11" s="8" t="n">
        <v>18.7423439502716</v>
      </c>
      <c r="O11" s="8" t="n">
        <v>0</v>
      </c>
      <c r="P11" s="8" t="n">
        <v>0</v>
      </c>
      <c r="Q11" s="8" t="n">
        <v>6.298696275968117</v>
      </c>
      <c r="R11" s="8" t="n">
        <v>0.0002741813659667969</v>
      </c>
      <c r="S11" s="8" t="n">
        <v>0</v>
      </c>
      <c r="T11" s="8" t="n">
        <v>0</v>
      </c>
      <c r="U11">
        <f>SUM(M11:T11)</f>
        <v/>
      </c>
      <c r="X11" s="5" t="n"/>
      <c r="Y11" s="5" t="n"/>
    </row>
    <row r="12">
      <c r="A12" s="10" t="n">
        <v>0.1875</v>
      </c>
      <c r="B12" s="5" t="n">
        <v>159.9432100563406</v>
      </c>
      <c r="C12" s="5" t="n">
        <v>43.84737942616439</v>
      </c>
      <c r="D12" s="5" t="n">
        <v>67.70577902757763</v>
      </c>
      <c r="E12" s="5" t="n">
        <v>60.76222257734141</v>
      </c>
      <c r="F12" s="5" t="n">
        <v>6.575616497228267</v>
      </c>
      <c r="G12" s="5" t="n">
        <v>0</v>
      </c>
      <c r="H12" s="5" t="n">
        <v>0</v>
      </c>
      <c r="I12" s="5" t="n">
        <v>0</v>
      </c>
      <c r="J12" s="5">
        <f>SUM(B12:I12)</f>
        <v/>
      </c>
      <c r="L12" s="10" t="n">
        <v>0.1875</v>
      </c>
      <c r="M12" s="8" t="n">
        <v>311.5177919387817</v>
      </c>
      <c r="N12" s="8" t="n">
        <v>21.53502593040466</v>
      </c>
      <c r="O12" s="8" t="n">
        <v>0</v>
      </c>
      <c r="P12" s="8" t="n">
        <v>0</v>
      </c>
      <c r="Q12" s="8" t="n">
        <v>5.586465791743689</v>
      </c>
      <c r="R12" s="8" t="n">
        <v>0.00187978744506836</v>
      </c>
      <c r="S12" s="8" t="n">
        <v>0</v>
      </c>
      <c r="T12" s="8" t="n">
        <v>0</v>
      </c>
      <c r="U12">
        <f>SUM(M12:T12)</f>
        <v/>
      </c>
    </row>
    <row r="13">
      <c r="A13" s="10" t="n">
        <v>0.2083333333333333</v>
      </c>
      <c r="B13" s="5" t="n">
        <v>366.9681152538617</v>
      </c>
      <c r="C13" s="5" t="n">
        <v>123.5891113355365</v>
      </c>
      <c r="D13" s="5" t="n">
        <v>164.3546850010192</v>
      </c>
      <c r="E13" s="5" t="n">
        <v>130.6777247734544</v>
      </c>
      <c r="F13" s="5" t="n">
        <v>27.3118882654582</v>
      </c>
      <c r="G13" s="5" t="n">
        <v>0</v>
      </c>
      <c r="H13" s="5" t="n">
        <v>0</v>
      </c>
      <c r="I13" s="5" t="n">
        <v>0</v>
      </c>
      <c r="J13" s="5">
        <f>SUM(B13:I13)</f>
        <v/>
      </c>
      <c r="L13" s="10" t="n">
        <v>0.2083333333333333</v>
      </c>
      <c r="M13" s="8" t="n">
        <v>373.4381790161133</v>
      </c>
      <c r="N13" s="8" t="n">
        <v>28.40366067886352</v>
      </c>
      <c r="O13" s="8" t="n">
        <v>0</v>
      </c>
      <c r="P13" s="8" t="n">
        <v>0</v>
      </c>
      <c r="Q13" s="8" t="n">
        <v>6.226932459592644</v>
      </c>
      <c r="R13" s="8" t="n">
        <v>0.009156560897827147</v>
      </c>
      <c r="S13" s="8" t="n">
        <v>0</v>
      </c>
      <c r="T13" s="8" t="n">
        <v>0</v>
      </c>
      <c r="U13">
        <f>SUM(M13:T13)</f>
        <v/>
      </c>
    </row>
    <row r="14">
      <c r="A14" s="10" t="n">
        <v>0.2291666666666667</v>
      </c>
      <c r="B14" s="5" t="n">
        <v>716.782109491122</v>
      </c>
      <c r="C14" s="5" t="n">
        <v>289.3445847244842</v>
      </c>
      <c r="D14" s="5" t="n">
        <v>337.4594120938682</v>
      </c>
      <c r="E14" s="5" t="n">
        <v>247.7956346838337</v>
      </c>
      <c r="F14" s="5" t="n">
        <v>86.04883206916338</v>
      </c>
      <c r="G14" s="5" t="n">
        <v>0</v>
      </c>
      <c r="H14" s="5" t="n">
        <v>0</v>
      </c>
      <c r="I14" s="5" t="n">
        <v>0</v>
      </c>
      <c r="J14" s="5">
        <f>SUM(B14:I14)</f>
        <v/>
      </c>
      <c r="L14" s="10" t="n">
        <v>0.2291666666666667</v>
      </c>
      <c r="M14" s="8" t="n">
        <v>505.6986154556275</v>
      </c>
      <c r="N14" s="8" t="n">
        <v>42.07628369331359</v>
      </c>
      <c r="O14" s="8" t="n">
        <v>0</v>
      </c>
      <c r="P14" s="8" t="n">
        <v>0</v>
      </c>
      <c r="Q14" s="8" t="n">
        <v>8.789261996357665</v>
      </c>
      <c r="R14" s="8" t="n">
        <v>0.03387017250061035</v>
      </c>
      <c r="S14" s="8" t="n">
        <v>0</v>
      </c>
      <c r="T14" s="8" t="n">
        <v>0</v>
      </c>
      <c r="U14">
        <f>SUM(M14:T14)</f>
        <v/>
      </c>
    </row>
    <row r="15">
      <c r="A15" s="10" t="n">
        <v>0.25</v>
      </c>
      <c r="B15" s="5" t="n">
        <v>1211.615937462027</v>
      </c>
      <c r="C15" s="5" t="n">
        <v>571.2478801289786</v>
      </c>
      <c r="D15" s="5" t="n">
        <v>597.2414146427628</v>
      </c>
      <c r="E15" s="5" t="n">
        <v>431.3824127257826</v>
      </c>
      <c r="F15" s="5" t="n">
        <v>212.7250332677137</v>
      </c>
      <c r="G15" s="5" t="n">
        <v>0</v>
      </c>
      <c r="H15" s="5" t="n">
        <v>0</v>
      </c>
      <c r="I15" s="5" t="n">
        <v>0</v>
      </c>
      <c r="J15" s="5">
        <f>SUM(B15:I15)</f>
        <v/>
      </c>
      <c r="L15" s="10" t="n">
        <v>0.25</v>
      </c>
      <c r="M15" s="8" t="n">
        <v>742.999918270111</v>
      </c>
      <c r="N15" s="8" t="n">
        <v>66.02868776321409</v>
      </c>
      <c r="O15" s="8" t="n">
        <v>0</v>
      </c>
      <c r="P15" s="8" t="n">
        <v>0</v>
      </c>
      <c r="Q15" s="8" t="n">
        <v>13.95566481393912</v>
      </c>
      <c r="R15" s="8" t="n">
        <v>0.09944777488708495</v>
      </c>
      <c r="S15" s="8" t="n">
        <v>0</v>
      </c>
      <c r="T15" s="8" t="n">
        <v>0</v>
      </c>
      <c r="U15">
        <f>SUM(M15:T15)</f>
        <v/>
      </c>
    </row>
    <row r="16">
      <c r="A16" s="10" t="n">
        <v>0.2708333333333333</v>
      </c>
      <c r="B16" s="5" t="n">
        <v>1799.536737173411</v>
      </c>
      <c r="C16" s="5" t="n">
        <v>970.2637421629006</v>
      </c>
      <c r="D16" s="5" t="n">
        <v>933.5227202771389</v>
      </c>
      <c r="E16" s="5" t="n">
        <v>714.4309998813832</v>
      </c>
      <c r="F16" s="5" t="n">
        <v>421.8878946790812</v>
      </c>
      <c r="G16" s="5" t="n">
        <v>0</v>
      </c>
      <c r="H16" s="5" t="n">
        <v>0</v>
      </c>
      <c r="I16" s="5" t="n">
        <v>0</v>
      </c>
      <c r="J16" s="5">
        <f>SUM(B16:I16)</f>
        <v/>
      </c>
      <c r="L16" s="10" t="n">
        <v>0.2708333333333333</v>
      </c>
      <c r="M16" s="8" t="n">
        <v>1127.098380661011</v>
      </c>
      <c r="N16" s="8" t="n">
        <v>104.7034390449524</v>
      </c>
      <c r="O16" s="8" t="n">
        <v>0</v>
      </c>
      <c r="P16" s="8" t="n">
        <v>0</v>
      </c>
      <c r="Q16" s="8" t="n">
        <v>22.7700635062873</v>
      </c>
      <c r="R16" s="8" t="n">
        <v>0.2397619200239814</v>
      </c>
      <c r="S16" s="8" t="n">
        <v>0</v>
      </c>
      <c r="T16" s="8" t="n">
        <v>0</v>
      </c>
      <c r="U16">
        <f>SUM(M16:T16)</f>
        <v/>
      </c>
    </row>
    <row r="17">
      <c r="A17" s="10" t="n">
        <v>0.2916666666666667</v>
      </c>
      <c r="B17" s="5" t="n">
        <v>2385.918087260467</v>
      </c>
      <c r="C17" s="5" t="n">
        <v>1455.030455036167</v>
      </c>
      <c r="D17" s="5" t="n">
        <v>1333.686775150642</v>
      </c>
      <c r="E17" s="5" t="n">
        <v>1145.791205945662</v>
      </c>
      <c r="F17" s="5" t="n">
        <v>681.1593222030408</v>
      </c>
      <c r="G17" s="5" t="n">
        <v>0</v>
      </c>
      <c r="H17" s="5" t="n">
        <v>0</v>
      </c>
      <c r="I17" s="5" t="n">
        <v>0</v>
      </c>
      <c r="J17" s="5">
        <f>SUM(B17:I17)</f>
        <v/>
      </c>
      <c r="L17" s="10" t="n">
        <v>0.2916666666666667</v>
      </c>
      <c r="M17" s="8" t="n">
        <v>1709.042594051361</v>
      </c>
      <c r="N17" s="8" t="n">
        <v>162.9389360427856</v>
      </c>
      <c r="O17" s="8" t="n">
        <v>0</v>
      </c>
      <c r="P17" s="8" t="n">
        <v>0</v>
      </c>
      <c r="Q17" s="8" t="n">
        <v>36.65671015163338</v>
      </c>
      <c r="R17" s="8" t="n">
        <v>0.4888822565282132</v>
      </c>
      <c r="S17" s="8" t="n">
        <v>0</v>
      </c>
      <c r="T17" s="8" t="n">
        <v>0</v>
      </c>
      <c r="U17">
        <f>SUM(M17:T17)</f>
        <v/>
      </c>
    </row>
    <row r="18">
      <c r="A18" s="10" t="n">
        <v>0.3125</v>
      </c>
      <c r="B18" s="5" t="n">
        <v>2873.904611685726</v>
      </c>
      <c r="C18" s="5" t="n">
        <v>1984.21770319471</v>
      </c>
      <c r="D18" s="5" t="n">
        <v>1814.485884231609</v>
      </c>
      <c r="E18" s="5" t="n">
        <v>1769.508847678188</v>
      </c>
      <c r="F18" s="5" t="n">
        <v>903.7706235077496</v>
      </c>
      <c r="G18" s="5" t="n">
        <v>0</v>
      </c>
      <c r="H18" s="5" t="n">
        <v>0</v>
      </c>
      <c r="I18" s="5" t="n">
        <v>0</v>
      </c>
      <c r="J18" s="5">
        <f>SUM(B18:I18)</f>
        <v/>
      </c>
      <c r="L18" s="10" t="n">
        <v>0.3125</v>
      </c>
      <c r="M18" s="8" t="n">
        <v>2544.925359869003</v>
      </c>
      <c r="N18" s="8" t="n">
        <v>245.3123317718505</v>
      </c>
      <c r="O18" s="8" t="n">
        <v>0</v>
      </c>
      <c r="P18" s="8" t="n">
        <v>0</v>
      </c>
      <c r="Q18" s="8" t="n">
        <v>57.32703084237985</v>
      </c>
      <c r="R18" s="8" t="n">
        <v>0.8677436921144613</v>
      </c>
      <c r="S18" s="8" t="n">
        <v>0</v>
      </c>
      <c r="T18" s="8" t="n">
        <v>0</v>
      </c>
      <c r="U18">
        <f>SUM(M18:T18)</f>
        <v/>
      </c>
    </row>
    <row r="19">
      <c r="A19" s="10" t="n">
        <v>0.3333333333333333</v>
      </c>
      <c r="B19" s="5" t="n">
        <v>3202.780840478099</v>
      </c>
      <c r="C19" s="5" t="n">
        <v>2522.391581138476</v>
      </c>
      <c r="D19" s="5" t="n">
        <v>2423.951908566009</v>
      </c>
      <c r="E19" s="5" t="n">
        <v>2578.599279438685</v>
      </c>
      <c r="F19" s="5" t="n">
        <v>990.8135830594848</v>
      </c>
      <c r="G19" s="5" t="n">
        <v>0</v>
      </c>
      <c r="H19" s="5" t="n">
        <v>0</v>
      </c>
      <c r="I19" s="5" t="n">
        <v>0</v>
      </c>
      <c r="J19" s="5">
        <f>SUM(B19:I19)</f>
        <v/>
      </c>
      <c r="L19" s="10" t="n">
        <v>0.3333333333333333</v>
      </c>
      <c r="M19" s="8" t="n">
        <v>3698.073425865174</v>
      </c>
      <c r="N19" s="8" t="n">
        <v>356.3277000427245</v>
      </c>
      <c r="O19" s="8" t="n">
        <v>0</v>
      </c>
      <c r="P19" s="8" t="n">
        <v>0</v>
      </c>
      <c r="Q19" s="8" t="n">
        <v>86.78557362704957</v>
      </c>
      <c r="R19" s="8" t="n">
        <v>1.381735189643555</v>
      </c>
      <c r="S19" s="8" t="n">
        <v>0</v>
      </c>
      <c r="T19" s="8" t="n">
        <v>0</v>
      </c>
      <c r="U19">
        <f>SUM(M19:T19)</f>
        <v/>
      </c>
    </row>
    <row r="20">
      <c r="A20" s="10" t="n">
        <v>0.3541666666666667</v>
      </c>
      <c r="B20" s="5" t="n">
        <v>3352.256324746052</v>
      </c>
      <c r="C20" s="5" t="n">
        <v>3017.815895006245</v>
      </c>
      <c r="D20" s="5" t="n">
        <v>3187.19769229075</v>
      </c>
      <c r="E20" s="5" t="n">
        <v>3470.543783850322</v>
      </c>
      <c r="F20" s="5" t="n">
        <v>899.6793058207927</v>
      </c>
      <c r="G20" s="5" t="n">
        <v>5.625576058043308e-05</v>
      </c>
      <c r="H20" s="5" t="n">
        <v>0.0001125115211608662</v>
      </c>
      <c r="I20" s="5" t="n">
        <v>0</v>
      </c>
      <c r="J20" s="5">
        <f>SUM(B20:I20)</f>
        <v/>
      </c>
      <c r="L20" s="10" t="n">
        <v>0.3541666666666667</v>
      </c>
      <c r="M20" s="8" t="n">
        <v>5238.45001859665</v>
      </c>
      <c r="N20" s="8" t="n">
        <v>500.2586103916168</v>
      </c>
      <c r="O20" s="8" t="n">
        <v>0</v>
      </c>
      <c r="P20" s="8" t="n">
        <v>0</v>
      </c>
      <c r="Q20" s="8" t="n">
        <v>127.1119249865113</v>
      </c>
      <c r="R20" s="8" t="n">
        <v>2.036450025955812</v>
      </c>
      <c r="S20" s="8" t="n">
        <v>0</v>
      </c>
      <c r="T20" s="8" t="n">
        <v>0</v>
      </c>
      <c r="U20">
        <f>SUM(M20:T20)</f>
        <v/>
      </c>
    </row>
    <row r="21">
      <c r="A21" s="10" t="n">
        <v>0.375</v>
      </c>
      <c r="B21" s="5" t="n">
        <v>3319.502484691301</v>
      </c>
      <c r="C21" s="5" t="n">
        <v>3371.352161750646</v>
      </c>
      <c r="D21" s="5" t="n">
        <v>4043.968354743334</v>
      </c>
      <c r="E21" s="5" t="n">
        <v>4253.823486295695</v>
      </c>
      <c r="F21" s="5" t="n">
        <v>676.8350210757291</v>
      </c>
      <c r="G21" s="5" t="n">
        <v>0.004893801356839213</v>
      </c>
      <c r="H21" s="5" t="n">
        <v>0.005276575594652942</v>
      </c>
      <c r="I21" s="5" t="n">
        <v>0</v>
      </c>
      <c r="J21" s="5">
        <f>SUM(B21:I21)</f>
        <v/>
      </c>
      <c r="L21" s="10" t="n">
        <v>0.375</v>
      </c>
      <c r="M21" s="8" t="n">
        <v>7208.58782954216</v>
      </c>
      <c r="N21" s="8" t="n">
        <v>678.0448402881623</v>
      </c>
      <c r="O21" s="8" t="n">
        <v>0</v>
      </c>
      <c r="P21" s="8" t="n">
        <v>0</v>
      </c>
      <c r="Q21" s="8" t="n">
        <v>179.4197548602946</v>
      </c>
      <c r="R21" s="8" t="n">
        <v>2.859173843129398</v>
      </c>
      <c r="S21" s="8" t="n">
        <v>0</v>
      </c>
      <c r="T21" s="8" t="n">
        <v>0</v>
      </c>
      <c r="U21">
        <f>SUM(M21:T21)</f>
        <v/>
      </c>
    </row>
    <row r="22">
      <c r="A22" s="10" t="n">
        <v>0.3958333333333333</v>
      </c>
      <c r="B22" s="5" t="n">
        <v>3109.994203253751</v>
      </c>
      <c r="C22" s="5" t="n">
        <v>3462.737643151764</v>
      </c>
      <c r="D22" s="5" t="n">
        <v>4859.154357319971</v>
      </c>
      <c r="E22" s="5" t="n">
        <v>4733.649437735391</v>
      </c>
      <c r="F22" s="5" t="n">
        <v>421.9668611941041</v>
      </c>
      <c r="G22" s="5" t="n">
        <v>0.08606231741489331</v>
      </c>
      <c r="H22" s="5" t="n">
        <v>0.08196128766961747</v>
      </c>
      <c r="I22" s="5" t="n">
        <v>0</v>
      </c>
      <c r="J22" s="5">
        <f>SUM(B22:I22)</f>
        <v/>
      </c>
      <c r="L22" s="10" t="n">
        <v>0.3958333333333333</v>
      </c>
      <c r="M22" s="8" t="n">
        <v>9553.478577280046</v>
      </c>
      <c r="N22" s="8" t="n">
        <v>881.6979533195497</v>
      </c>
      <c r="O22" s="8" t="n">
        <v>0</v>
      </c>
      <c r="P22" s="8" t="n">
        <v>0</v>
      </c>
      <c r="Q22" s="8" t="n">
        <v>242.2728440162863</v>
      </c>
      <c r="R22" s="8" t="n">
        <v>3.89874284680665</v>
      </c>
      <c r="S22" s="8" t="n">
        <v>0</v>
      </c>
      <c r="T22" s="8" t="n">
        <v>0</v>
      </c>
      <c r="U22">
        <f>SUM(M22:T22)</f>
        <v/>
      </c>
    </row>
    <row r="23">
      <c r="A23" s="10" t="n">
        <v>0.4166666666666667</v>
      </c>
      <c r="B23" s="5" t="n">
        <v>2762.862864752756</v>
      </c>
      <c r="C23" s="5" t="n">
        <v>3238.727281312502</v>
      </c>
      <c r="D23" s="5" t="n">
        <v>5506.934028428471</v>
      </c>
      <c r="E23" s="5" t="n">
        <v>4833.822912971924</v>
      </c>
      <c r="F23" s="5" t="n">
        <v>219.2125489114999</v>
      </c>
      <c r="G23" s="5" t="n">
        <v>0.7801819346554983</v>
      </c>
      <c r="H23" s="5" t="n">
        <v>0.7044126211029655</v>
      </c>
      <c r="I23" s="5" t="n">
        <v>0</v>
      </c>
      <c r="J23" s="5">
        <f>SUM(B23:I23)</f>
        <v/>
      </c>
      <c r="L23" s="10" t="n">
        <v>0.4166666666666667</v>
      </c>
      <c r="M23" s="8" t="n">
        <v>12066.5561132431</v>
      </c>
      <c r="N23" s="8" t="n">
        <v>1091.218296432495</v>
      </c>
      <c r="O23" s="8" t="n">
        <v>0</v>
      </c>
      <c r="P23" s="8" t="n">
        <v>0</v>
      </c>
      <c r="Q23" s="8" t="n">
        <v>310.8735562187407</v>
      </c>
      <c r="R23" s="8" t="n">
        <v>5.182169445673235</v>
      </c>
      <c r="S23" s="8" t="n">
        <v>0</v>
      </c>
      <c r="T23" s="8" t="n">
        <v>0</v>
      </c>
      <c r="U23">
        <f>SUM(M23:T23)</f>
        <v/>
      </c>
    </row>
    <row r="24">
      <c r="A24" s="10" t="n">
        <v>0.4375</v>
      </c>
      <c r="B24" s="5" t="n">
        <v>2378.725228936406</v>
      </c>
      <c r="C24" s="5" t="n">
        <v>2778.121303522409</v>
      </c>
      <c r="D24" s="5" t="n">
        <v>5931.698411553005</v>
      </c>
      <c r="E24" s="5" t="n">
        <v>4651.836380616503</v>
      </c>
      <c r="F24" s="5" t="n">
        <v>97.34566577368503</v>
      </c>
      <c r="G24" s="5" t="n">
        <v>4.568861365575026</v>
      </c>
      <c r="H24" s="5" t="n">
        <v>4.006018907325704</v>
      </c>
      <c r="I24" s="5" t="n">
        <v>0</v>
      </c>
      <c r="J24" s="5">
        <f>SUM(B24:I24)</f>
        <v/>
      </c>
      <c r="L24" s="10" t="n">
        <v>0.4375</v>
      </c>
      <c r="M24" s="8" t="n">
        <v>14405.22863378525</v>
      </c>
      <c r="N24" s="8" t="n">
        <v>1277.900518417358</v>
      </c>
      <c r="O24" s="8" t="n">
        <v>0</v>
      </c>
      <c r="P24" s="8" t="n">
        <v>0</v>
      </c>
      <c r="Q24" s="8" t="n">
        <v>377.734054167155</v>
      </c>
      <c r="R24" s="8" t="n">
        <v>6.6392786291921</v>
      </c>
      <c r="S24" s="8" t="n">
        <v>0</v>
      </c>
      <c r="T24" s="8" t="n">
        <v>0</v>
      </c>
      <c r="U24">
        <f>SUM(M24:T24)</f>
        <v/>
      </c>
    </row>
    <row r="25">
      <c r="A25" s="10" t="n">
        <v>0.4583333333333333</v>
      </c>
      <c r="B25" s="5" t="n">
        <v>2105.614811204146</v>
      </c>
      <c r="C25" s="5" t="n">
        <v>2259.869251298239</v>
      </c>
      <c r="D25" s="5" t="n">
        <v>6122.965399011638</v>
      </c>
      <c r="E25" s="5" t="n">
        <v>4382.706046818827</v>
      </c>
      <c r="F25" s="5" t="n">
        <v>40.02334123841162</v>
      </c>
      <c r="G25" s="5" t="n">
        <v>19.13147368568105</v>
      </c>
      <c r="H25" s="5" t="n">
        <v>16.47222353087185</v>
      </c>
      <c r="I25" s="5" t="n">
        <v>0</v>
      </c>
      <c r="J25" s="5">
        <f>SUM(B25:I25)</f>
        <v/>
      </c>
      <c r="L25" s="10" t="n">
        <v>0.4583333333333333</v>
      </c>
      <c r="M25" s="8" t="n">
        <v>16169.4434773922</v>
      </c>
      <c r="N25" s="8" t="n">
        <v>1411.791807556152</v>
      </c>
      <c r="O25" s="8" t="n">
        <v>0</v>
      </c>
      <c r="P25" s="8" t="n">
        <v>0</v>
      </c>
      <c r="Q25" s="8" t="n">
        <v>434.004512708671</v>
      </c>
      <c r="R25" s="8" t="n">
        <v>8.054466989642671</v>
      </c>
      <c r="S25" s="8" t="n">
        <v>0</v>
      </c>
      <c r="T25" s="8" t="n">
        <v>0</v>
      </c>
      <c r="U25">
        <f>SUM(M25:T25)</f>
        <v/>
      </c>
    </row>
    <row r="26">
      <c r="A26" s="10" t="n">
        <v>0.4791666666666667</v>
      </c>
      <c r="B26" s="5" t="n">
        <v>2083.456807465011</v>
      </c>
      <c r="C26" s="5" t="n">
        <v>1862.211039730856</v>
      </c>
      <c r="D26" s="5" t="n">
        <v>6063.175382796243</v>
      </c>
      <c r="E26" s="5" t="n">
        <v>4172.25821389391</v>
      </c>
      <c r="F26" s="5" t="n">
        <v>18.28987981234593</v>
      </c>
      <c r="G26" s="5" t="n">
        <v>60.6109275595382</v>
      </c>
      <c r="H26" s="5" t="n">
        <v>51.55943413820168</v>
      </c>
      <c r="I26" s="5" t="n">
        <v>0</v>
      </c>
      <c r="J26" s="5">
        <f>SUM(B26:I26)</f>
        <v/>
      </c>
      <c r="L26" s="10" t="n">
        <v>0.4791666666666667</v>
      </c>
      <c r="M26" s="8" t="n">
        <v>17003.85791425705</v>
      </c>
      <c r="N26" s="8" t="n">
        <v>1469.005764007568</v>
      </c>
      <c r="O26" s="8" t="n">
        <v>0</v>
      </c>
      <c r="P26" s="8" t="n">
        <v>0</v>
      </c>
      <c r="Q26" s="8" t="n">
        <v>470.7905552174946</v>
      </c>
      <c r="R26" s="8" t="n">
        <v>9.119955076717247</v>
      </c>
      <c r="S26" s="8" t="n">
        <v>0</v>
      </c>
      <c r="T26" s="8" t="n">
        <v>0</v>
      </c>
      <c r="U26">
        <f>SUM(M26:T26)</f>
        <v/>
      </c>
    </row>
    <row r="27">
      <c r="A27" s="10" t="n">
        <v>0.5</v>
      </c>
      <c r="B27" s="5" t="n">
        <v>2386.851323290703</v>
      </c>
      <c r="C27" s="5" t="n">
        <v>1681.44989389141</v>
      </c>
      <c r="D27" s="5" t="n">
        <v>5733.891700770258</v>
      </c>
      <c r="E27" s="5" t="n">
        <v>4035.993923346963</v>
      </c>
      <c r="F27" s="5" t="n">
        <v>12.45970176498878</v>
      </c>
      <c r="G27" s="5" t="n">
        <v>150.4501072250545</v>
      </c>
      <c r="H27" s="5" t="n">
        <v>126.9319135659697</v>
      </c>
      <c r="I27" s="5" t="n">
        <v>0</v>
      </c>
      <c r="J27" s="5">
        <f>SUM(B27:I27)</f>
        <v/>
      </c>
      <c r="L27" s="10" t="n">
        <v>0.5</v>
      </c>
      <c r="M27" s="8" t="n">
        <v>16708.79787855149</v>
      </c>
      <c r="N27" s="8" t="n">
        <v>1438.51497335434</v>
      </c>
      <c r="O27" s="8" t="n">
        <v>0</v>
      </c>
      <c r="P27" s="8" t="n">
        <v>0</v>
      </c>
      <c r="Q27" s="8" t="n">
        <v>481.3468849780373</v>
      </c>
      <c r="R27" s="8" t="n">
        <v>9.597349105192096</v>
      </c>
      <c r="S27" s="8" t="n">
        <v>0</v>
      </c>
      <c r="T27" s="8" t="n">
        <v>0</v>
      </c>
      <c r="U27">
        <f>SUM(M27:T27)</f>
        <v/>
      </c>
    </row>
    <row r="28">
      <c r="A28" s="10" t="n">
        <v>0.5208333333333334</v>
      </c>
      <c r="B28" s="5" t="n">
        <v>2996.770187543398</v>
      </c>
      <c r="C28" s="5" t="n">
        <v>1717.386410190953</v>
      </c>
      <c r="D28" s="5" t="n">
        <v>5167.926729791939</v>
      </c>
      <c r="E28" s="5" t="n">
        <v>3906.261671337402</v>
      </c>
      <c r="F28" s="5" t="n">
        <v>16.08342930002474</v>
      </c>
      <c r="G28" s="5" t="n">
        <v>299.3765020579593</v>
      </c>
      <c r="H28" s="5" t="n">
        <v>251.2413744967733</v>
      </c>
      <c r="I28" s="5" t="n">
        <v>0</v>
      </c>
      <c r="J28" s="5">
        <f>SUM(B28:I28)</f>
        <v/>
      </c>
      <c r="L28" s="10" t="n">
        <v>0.5208333333333334</v>
      </c>
      <c r="M28" s="8" t="n">
        <v>15342.11976327896</v>
      </c>
      <c r="N28" s="8" t="n">
        <v>1328.641314935684</v>
      </c>
      <c r="O28" s="8" t="n">
        <v>0</v>
      </c>
      <c r="P28" s="8" t="n">
        <v>0</v>
      </c>
      <c r="Q28" s="8" t="n">
        <v>464.4586660034794</v>
      </c>
      <c r="R28" s="8" t="n">
        <v>9.478545952129725</v>
      </c>
      <c r="S28" s="8" t="n">
        <v>0</v>
      </c>
      <c r="T28" s="8" t="n">
        <v>0</v>
      </c>
      <c r="U28">
        <f>SUM(M28:T28)</f>
        <v/>
      </c>
    </row>
    <row r="29">
      <c r="A29" s="10" t="n">
        <v>0.5416666666666666</v>
      </c>
      <c r="B29" s="5" t="n">
        <v>3804.542674569389</v>
      </c>
      <c r="C29" s="5" t="n">
        <v>1901.804944700053</v>
      </c>
      <c r="D29" s="5" t="n">
        <v>4469.552197469448</v>
      </c>
      <c r="E29" s="5" t="n">
        <v>3731.861242826015</v>
      </c>
      <c r="F29" s="5" t="n">
        <v>31.91363702346365</v>
      </c>
      <c r="G29" s="5" t="n">
        <v>485.0385947780011</v>
      </c>
      <c r="H29" s="5" t="n">
        <v>406.3147350452245</v>
      </c>
      <c r="I29" s="5" t="n">
        <v>0</v>
      </c>
      <c r="J29" s="5">
        <f>SUM(B29:I29)</f>
        <v/>
      </c>
      <c r="L29" s="10" t="n">
        <v>0.5416666666666666</v>
      </c>
      <c r="M29" s="8" t="n">
        <v>13237.51743659974</v>
      </c>
      <c r="N29" s="8" t="n">
        <v>1167.878641939163</v>
      </c>
      <c r="O29" s="8" t="n">
        <v>0</v>
      </c>
      <c r="P29" s="8" t="n">
        <v>0</v>
      </c>
      <c r="Q29" s="8" t="n">
        <v>426.362522690891</v>
      </c>
      <c r="R29" s="8" t="n">
        <v>8.998481479090346</v>
      </c>
      <c r="S29" s="8" t="n">
        <v>0</v>
      </c>
      <c r="T29" s="8" t="n">
        <v>0</v>
      </c>
      <c r="U29">
        <f>SUM(M29:T29)</f>
        <v/>
      </c>
    </row>
    <row r="30">
      <c r="A30" s="10" t="n">
        <v>0.5625</v>
      </c>
      <c r="B30" s="5" t="n">
        <v>4642.973705903154</v>
      </c>
      <c r="C30" s="5" t="n">
        <v>2130.054297264593</v>
      </c>
      <c r="D30" s="5" t="n">
        <v>3772.22563323475</v>
      </c>
      <c r="E30" s="5" t="n">
        <v>3517.976994653231</v>
      </c>
      <c r="F30" s="5" t="n">
        <v>66.90229420396098</v>
      </c>
      <c r="G30" s="5" t="n">
        <v>646.9881691986529</v>
      </c>
      <c r="H30" s="5" t="n">
        <v>544.9936423405544</v>
      </c>
      <c r="I30" s="5" t="n">
        <v>0</v>
      </c>
      <c r="J30" s="5">
        <f>SUM(B30:I30)</f>
        <v/>
      </c>
      <c r="L30" s="10" t="n">
        <v>0.5625</v>
      </c>
      <c r="M30" s="8" t="n">
        <v>10873.71730155945</v>
      </c>
      <c r="N30" s="8" t="n">
        <v>994.2215779304504</v>
      </c>
      <c r="O30" s="8" t="n">
        <v>0</v>
      </c>
      <c r="P30" s="8" t="n">
        <v>0</v>
      </c>
      <c r="Q30" s="8" t="n">
        <v>378.1586727153212</v>
      </c>
      <c r="R30" s="8" t="n">
        <v>8.46735314628428</v>
      </c>
      <c r="S30" s="8" t="n">
        <v>0</v>
      </c>
      <c r="T30" s="8" t="n">
        <v>0</v>
      </c>
      <c r="U30">
        <f>SUM(M30:T30)</f>
        <v/>
      </c>
    </row>
    <row r="31">
      <c r="A31" s="10" t="n">
        <v>0.5833333333333334</v>
      </c>
      <c r="B31" s="5" t="n">
        <v>5339.303512602687</v>
      </c>
      <c r="C31" s="5" t="n">
        <v>2287.275038908228</v>
      </c>
      <c r="D31" s="5" t="n">
        <v>3172.862639533282</v>
      </c>
      <c r="E31" s="5" t="n">
        <v>3292.70689545399</v>
      </c>
      <c r="F31" s="5" t="n">
        <v>125.3835205225129</v>
      </c>
      <c r="G31" s="5" t="n">
        <v>717.2754708158852</v>
      </c>
      <c r="H31" s="5" t="n">
        <v>619.9495092424875</v>
      </c>
      <c r="I31" s="5" t="n">
        <v>0</v>
      </c>
      <c r="J31" s="5">
        <f>SUM(B31:I31)</f>
        <v/>
      </c>
      <c r="L31" s="10" t="n">
        <v>0.5833333333333334</v>
      </c>
      <c r="M31" s="8" t="n">
        <v>8658.576552772523</v>
      </c>
      <c r="N31" s="8" t="n">
        <v>837.7008800029753</v>
      </c>
      <c r="O31" s="8" t="n">
        <v>0</v>
      </c>
      <c r="P31" s="8" t="n">
        <v>0</v>
      </c>
      <c r="Q31" s="8" t="n">
        <v>330.0018611679656</v>
      </c>
      <c r="R31" s="8" t="n">
        <v>8.065426145614026</v>
      </c>
      <c r="S31" s="8" t="n">
        <v>0</v>
      </c>
      <c r="T31" s="8" t="n">
        <v>0</v>
      </c>
      <c r="U31">
        <f>SUM(M31:T31)</f>
        <v/>
      </c>
    </row>
    <row r="32">
      <c r="A32" s="10" t="n">
        <v>0.6041666666666666</v>
      </c>
      <c r="B32" s="5" t="n">
        <v>5773.461914964824</v>
      </c>
      <c r="C32" s="5" t="n">
        <v>2281.343906924137</v>
      </c>
      <c r="D32" s="5" t="n">
        <v>2692.939936439399</v>
      </c>
      <c r="E32" s="5" t="n">
        <v>3077.877913562345</v>
      </c>
      <c r="F32" s="5" t="n">
        <v>200.5120173103474</v>
      </c>
      <c r="G32" s="5" t="n">
        <v>668.9235026646904</v>
      </c>
      <c r="H32" s="5" t="n">
        <v>626.6414606779095</v>
      </c>
      <c r="I32" s="5" t="n">
        <v>0</v>
      </c>
      <c r="J32" s="5">
        <f>SUM(B32:I32)</f>
        <v/>
      </c>
      <c r="L32" s="10" t="n">
        <v>0.6041666666666666</v>
      </c>
      <c r="M32" s="8" t="n">
        <v>6790.388121175765</v>
      </c>
      <c r="N32" s="8" t="n">
        <v>709.5685763359069</v>
      </c>
      <c r="O32" s="8" t="n">
        <v>0</v>
      </c>
      <c r="P32" s="8" t="n">
        <v>0</v>
      </c>
      <c r="Q32" s="8" t="n">
        <v>287.0626480758203</v>
      </c>
      <c r="R32" s="8" t="n">
        <v>7.791085452925133</v>
      </c>
      <c r="S32" s="8" t="n">
        <v>0</v>
      </c>
      <c r="T32" s="8" t="n">
        <v>0</v>
      </c>
      <c r="U32">
        <f>SUM(M32:T32)</f>
        <v/>
      </c>
    </row>
    <row r="33">
      <c r="A33" s="10" t="n">
        <v>0.625</v>
      </c>
      <c r="B33" s="5" t="n">
        <v>5911.70595465651</v>
      </c>
      <c r="C33" s="5" t="n">
        <v>2079.185302936138</v>
      </c>
      <c r="D33" s="5" t="n">
        <v>2289.645718655315</v>
      </c>
      <c r="E33" s="5" t="n">
        <v>2906.046445856637</v>
      </c>
      <c r="F33" s="5" t="n">
        <v>271.0095731718367</v>
      </c>
      <c r="G33" s="5" t="n">
        <v>536.7992193777875</v>
      </c>
      <c r="H33" s="5" t="n">
        <v>616.6826692765791</v>
      </c>
      <c r="I33" s="5" t="n">
        <v>0</v>
      </c>
      <c r="J33" s="5">
        <f>SUM(B33:I33)</f>
        <v/>
      </c>
      <c r="L33" s="10" t="n">
        <v>0.625</v>
      </c>
      <c r="M33" s="8" t="n">
        <v>5282.044682502747</v>
      </c>
      <c r="N33" s="8" t="n">
        <v>605.6558050632476</v>
      </c>
      <c r="O33" s="8" t="n">
        <v>0</v>
      </c>
      <c r="P33" s="8" t="n">
        <v>0</v>
      </c>
      <c r="Q33" s="8" t="n">
        <v>250.1378540385685</v>
      </c>
      <c r="R33" s="8" t="n">
        <v>7.597393927355026</v>
      </c>
      <c r="S33" s="8" t="n">
        <v>0</v>
      </c>
      <c r="T33" s="8" t="n">
        <v>0</v>
      </c>
      <c r="U33">
        <f>SUM(M33:T33)</f>
        <v/>
      </c>
    </row>
    <row r="34">
      <c r="A34" s="10" t="n">
        <v>0.6458333333333334</v>
      </c>
      <c r="B34" s="5" t="n">
        <v>5791.838655677251</v>
      </c>
      <c r="C34" s="5" t="n">
        <v>1722.231774643772</v>
      </c>
      <c r="D34" s="5" t="n">
        <v>1906.675573541939</v>
      </c>
      <c r="E34" s="5" t="n">
        <v>2828.578991136906</v>
      </c>
      <c r="F34" s="5" t="n">
        <v>310.2454298188414</v>
      </c>
      <c r="G34" s="5" t="n">
        <v>388.0864518005822</v>
      </c>
      <c r="H34" s="5" t="n">
        <v>657.7162371509256</v>
      </c>
      <c r="I34" s="5" t="n">
        <v>0</v>
      </c>
      <c r="J34" s="5">
        <f>SUM(B34:I34)</f>
        <v/>
      </c>
      <c r="L34" s="10" t="n">
        <v>0.6458333333333334</v>
      </c>
      <c r="M34" s="8" t="n">
        <v>4075.449578619003</v>
      </c>
      <c r="N34" s="8" t="n">
        <v>517.8058515071868</v>
      </c>
      <c r="O34" s="8" t="n">
        <v>0</v>
      </c>
      <c r="P34" s="8" t="n">
        <v>0</v>
      </c>
      <c r="Q34" s="8" t="n">
        <v>218.7717993582319</v>
      </c>
      <c r="R34" s="8" t="n">
        <v>7.544348126715669</v>
      </c>
      <c r="S34" s="8" t="n">
        <v>0</v>
      </c>
      <c r="T34" s="8" t="n">
        <v>0</v>
      </c>
      <c r="U34">
        <f>SUM(M34:T34)</f>
        <v/>
      </c>
    </row>
    <row r="35">
      <c r="A35" s="10" t="n">
        <v>0.6666666666666666</v>
      </c>
      <c r="B35" s="5" t="n">
        <v>5470.89638399732</v>
      </c>
      <c r="C35" s="5" t="n">
        <v>1304.466620991315</v>
      </c>
      <c r="D35" s="5" t="n">
        <v>1523.650613258112</v>
      </c>
      <c r="E35" s="5" t="n">
        <v>2858.828164155459</v>
      </c>
      <c r="F35" s="5" t="n">
        <v>302.957533471787</v>
      </c>
      <c r="G35" s="5" t="n">
        <v>271.956369024125</v>
      </c>
      <c r="H35" s="5" t="n">
        <v>772.2397947617389</v>
      </c>
      <c r="I35" s="5" t="n">
        <v>0</v>
      </c>
      <c r="J35" s="5">
        <f>SUM(B35:I35)</f>
        <v/>
      </c>
      <c r="L35" s="10" t="n">
        <v>0.6666666666666666</v>
      </c>
      <c r="M35" s="8" t="n">
        <v>3123.512293720245</v>
      </c>
      <c r="N35" s="8" t="n">
        <v>442.0154736042022</v>
      </c>
      <c r="O35" s="8" t="n">
        <v>0</v>
      </c>
      <c r="P35" s="8" t="n">
        <v>0</v>
      </c>
      <c r="Q35" s="8" t="n">
        <v>193.1133205274902</v>
      </c>
      <c r="R35" s="8" t="n">
        <v>7.770622363422635</v>
      </c>
      <c r="S35" s="8" t="n">
        <v>0</v>
      </c>
      <c r="T35" s="8" t="n">
        <v>0</v>
      </c>
      <c r="U35">
        <f>SUM(M35:T35)</f>
        <v/>
      </c>
    </row>
    <row r="36">
      <c r="A36" s="10" t="n">
        <v>0.6875</v>
      </c>
      <c r="B36" s="5" t="n">
        <v>4986.206274021719</v>
      </c>
      <c r="C36" s="5" t="n">
        <v>925.0013407780061</v>
      </c>
      <c r="D36" s="5" t="n">
        <v>1163.164315213212</v>
      </c>
      <c r="E36" s="5" t="n">
        <v>2903.917005459264</v>
      </c>
      <c r="F36" s="5" t="n">
        <v>254.9187532741916</v>
      </c>
      <c r="G36" s="5" t="n">
        <v>196.2131643509115</v>
      </c>
      <c r="H36" s="5" t="n">
        <v>917.0529482005091</v>
      </c>
      <c r="I36" s="5" t="n">
        <v>0</v>
      </c>
      <c r="J36" s="5">
        <f>SUM(B36:I36)</f>
        <v/>
      </c>
      <c r="L36" s="10" t="n">
        <v>0.6875</v>
      </c>
      <c r="M36" s="8" t="n">
        <v>2397.794144296646</v>
      </c>
      <c r="N36" s="8" t="n">
        <v>378.3946465969085</v>
      </c>
      <c r="O36" s="8" t="n">
        <v>0</v>
      </c>
      <c r="P36" s="8" t="n">
        <v>0</v>
      </c>
      <c r="Q36" s="8" t="n">
        <v>173.3256804386306</v>
      </c>
      <c r="R36" s="8" t="n">
        <v>8.296744446488432</v>
      </c>
      <c r="S36" s="8" t="n">
        <v>0</v>
      </c>
      <c r="T36" s="8" t="n">
        <v>0</v>
      </c>
      <c r="U36">
        <f>SUM(M36:T36)</f>
        <v/>
      </c>
    </row>
    <row r="37">
      <c r="A37" s="10" t="n">
        <v>0.7083333333333334</v>
      </c>
      <c r="B37" s="5" t="n">
        <v>4371.620309902757</v>
      </c>
      <c r="C37" s="5" t="n">
        <v>645.0724186385941</v>
      </c>
      <c r="D37" s="5" t="n">
        <v>857.8494588118626</v>
      </c>
      <c r="E37" s="5" t="n">
        <v>2793.908436033415</v>
      </c>
      <c r="F37" s="5" t="n">
        <v>187.0342439118958</v>
      </c>
      <c r="G37" s="5" t="n">
        <v>143.3333206636535</v>
      </c>
      <c r="H37" s="5" t="n">
        <v>1025.094587392534</v>
      </c>
      <c r="I37" s="5" t="n">
        <v>0</v>
      </c>
      <c r="J37" s="5">
        <f>SUM(B37:I37)</f>
        <v/>
      </c>
      <c r="L37" s="10" t="n">
        <v>0.7083333333333334</v>
      </c>
      <c r="M37" s="8" t="n">
        <v>1863.134301710129</v>
      </c>
      <c r="N37" s="8" t="n">
        <v>326.5821793079376</v>
      </c>
      <c r="O37" s="8" t="n">
        <v>0</v>
      </c>
      <c r="P37" s="8" t="n">
        <v>0</v>
      </c>
      <c r="Q37" s="8" t="n">
        <v>158.1458076398753</v>
      </c>
      <c r="R37" s="8" t="n">
        <v>8.881423433045004</v>
      </c>
      <c r="S37" s="8" t="n">
        <v>0</v>
      </c>
      <c r="T37" s="8" t="n">
        <v>0</v>
      </c>
      <c r="U37">
        <f>SUM(M37:T37)</f>
        <v/>
      </c>
    </row>
    <row r="38">
      <c r="A38" s="10" t="n">
        <v>0.7291666666666666</v>
      </c>
      <c r="B38" s="5" t="n">
        <v>3699.386983178119</v>
      </c>
      <c r="C38" s="5" t="n">
        <v>472.6518157460455</v>
      </c>
      <c r="D38" s="5" t="n">
        <v>618.8682797090073</v>
      </c>
      <c r="E38" s="5" t="n">
        <v>2413.958333387403</v>
      </c>
      <c r="F38" s="5" t="n">
        <v>120.9833776171247</v>
      </c>
      <c r="G38" s="5" t="n">
        <v>98.06441934228548</v>
      </c>
      <c r="H38" s="5" t="n">
        <v>1062.606197316746</v>
      </c>
      <c r="I38" s="5" t="n">
        <v>0</v>
      </c>
      <c r="J38" s="5">
        <f>SUM(B38:I38)</f>
        <v/>
      </c>
      <c r="L38" s="10" t="n">
        <v>0.7291666666666666</v>
      </c>
      <c r="M38" s="8" t="n">
        <v>1467.262216186523</v>
      </c>
      <c r="N38" s="8" t="n">
        <v>282.8170107841491</v>
      </c>
      <c r="O38" s="8" t="n">
        <v>0</v>
      </c>
      <c r="P38" s="8" t="n">
        <v>0</v>
      </c>
      <c r="Q38" s="8" t="n">
        <v>144.5927697834567</v>
      </c>
      <c r="R38" s="8" t="n">
        <v>9.118319014924221</v>
      </c>
      <c r="S38" s="8" t="n">
        <v>0</v>
      </c>
      <c r="T38" s="8" t="n">
        <v>0</v>
      </c>
      <c r="U38">
        <f>SUM(M38:T38)</f>
        <v/>
      </c>
    </row>
    <row r="39">
      <c r="A39" s="10" t="n">
        <v>0.75</v>
      </c>
      <c r="B39" s="5" t="n">
        <v>3072.430634336093</v>
      </c>
      <c r="C39" s="5" t="n">
        <v>376.9641328011384</v>
      </c>
      <c r="D39" s="5" t="n">
        <v>434.864749414231</v>
      </c>
      <c r="E39" s="5" t="n">
        <v>1809.757451433871</v>
      </c>
      <c r="F39" s="5" t="n">
        <v>69.37195571275889</v>
      </c>
      <c r="G39" s="5" t="n">
        <v>58.41405458570532</v>
      </c>
      <c r="H39" s="5" t="n">
        <v>1039.924739425041</v>
      </c>
      <c r="I39" s="5" t="n">
        <v>0</v>
      </c>
      <c r="J39" s="5">
        <f>SUM(B39:I39)</f>
        <v/>
      </c>
      <c r="L39" s="10" t="n">
        <v>0.75</v>
      </c>
      <c r="M39" s="8" t="n">
        <v>1155.864370918274</v>
      </c>
      <c r="N39" s="8" t="n">
        <v>241.641518163681</v>
      </c>
      <c r="O39" s="8" t="n">
        <v>0</v>
      </c>
      <c r="P39" s="8" t="n">
        <v>0</v>
      </c>
      <c r="Q39" s="8" t="n">
        <v>129.5171952448421</v>
      </c>
      <c r="R39" s="8" t="n">
        <v>8.718643613846723</v>
      </c>
      <c r="S39" s="8" t="n">
        <v>0</v>
      </c>
      <c r="T39" s="8" t="n">
        <v>0</v>
      </c>
      <c r="U39">
        <f>SUM(M39:T39)</f>
        <v/>
      </c>
    </row>
    <row r="40">
      <c r="A40" s="10" t="n">
        <v>0.7708333333333334</v>
      </c>
      <c r="B40" s="5" t="n">
        <v>2554.083868759692</v>
      </c>
      <c r="C40" s="5" t="n">
        <v>316.9726232984465</v>
      </c>
      <c r="D40" s="5" t="n">
        <v>290.4670440703065</v>
      </c>
      <c r="E40" s="5" t="n">
        <v>1155.273930098881</v>
      </c>
      <c r="F40" s="5" t="n">
        <v>35.0764616431138</v>
      </c>
      <c r="G40" s="5" t="n">
        <v>28.92386953011515</v>
      </c>
      <c r="H40" s="5" t="n">
        <v>974.5245168958787</v>
      </c>
      <c r="I40" s="5" t="n">
        <v>0</v>
      </c>
      <c r="J40" s="5">
        <f>SUM(B40:I40)</f>
        <v/>
      </c>
      <c r="L40" s="10" t="n">
        <v>0.7708333333333334</v>
      </c>
      <c r="M40" s="8" t="n">
        <v>895.3150787353513</v>
      </c>
      <c r="N40" s="8" t="n">
        <v>200.3186037063599</v>
      </c>
      <c r="O40" s="8" t="n">
        <v>0</v>
      </c>
      <c r="P40" s="8" t="n">
        <v>0</v>
      </c>
      <c r="Q40" s="8" t="n">
        <v>111.9808661706013</v>
      </c>
      <c r="R40" s="8" t="n">
        <v>7.738631491986917</v>
      </c>
      <c r="S40" s="8" t="n">
        <v>0</v>
      </c>
      <c r="T40" s="8" t="n">
        <v>0</v>
      </c>
      <c r="U40">
        <f>SUM(M40:T40)</f>
        <v/>
      </c>
    </row>
    <row r="41">
      <c r="A41" s="10" t="n">
        <v>0.7916666666666666</v>
      </c>
      <c r="B41" s="5" t="n">
        <v>2118.841079440297</v>
      </c>
      <c r="C41" s="5" t="n">
        <v>263.7543350266582</v>
      </c>
      <c r="D41" s="5" t="n">
        <v>178.5976690513606</v>
      </c>
      <c r="E41" s="5" t="n">
        <v>622.5602770261096</v>
      </c>
      <c r="F41" s="5" t="n">
        <v>15.35655207937277</v>
      </c>
      <c r="G41" s="5" t="n">
        <v>11.54314450672521</v>
      </c>
      <c r="H41" s="5" t="n">
        <v>862.6237532706594</v>
      </c>
      <c r="I41" s="5" t="n">
        <v>0</v>
      </c>
      <c r="J41" s="5">
        <f>SUM(B41:I41)</f>
        <v/>
      </c>
      <c r="L41" s="10" t="n">
        <v>0.7916666666666666</v>
      </c>
      <c r="M41" s="8" t="n">
        <v>681.4575483322142</v>
      </c>
      <c r="N41" s="8" t="n">
        <v>161.3771551132202</v>
      </c>
      <c r="O41" s="8" t="n">
        <v>0</v>
      </c>
      <c r="P41" s="8" t="n">
        <v>0</v>
      </c>
      <c r="Q41" s="8" t="n">
        <v>94.357183685726</v>
      </c>
      <c r="R41" s="8" t="n">
        <v>6.556350297334662</v>
      </c>
      <c r="S41" s="8" t="n">
        <v>0</v>
      </c>
      <c r="T41" s="8" t="n">
        <v>0</v>
      </c>
      <c r="U41">
        <f>SUM(M41:T41)</f>
        <v/>
      </c>
    </row>
    <row r="42">
      <c r="A42" s="10" t="n">
        <v>0.8125</v>
      </c>
      <c r="B42" s="5" t="n">
        <v>1693.663272905854</v>
      </c>
      <c r="C42" s="5" t="n">
        <v>207.0148521916034</v>
      </c>
      <c r="D42" s="5" t="n">
        <v>98.26302929943252</v>
      </c>
      <c r="E42" s="5" t="n">
        <v>283.3902392348714</v>
      </c>
      <c r="F42" s="5" t="n">
        <v>5.650658938040707</v>
      </c>
      <c r="G42" s="5" t="n">
        <v>3.606054943931245</v>
      </c>
      <c r="H42" s="5" t="n">
        <v>695.3413753121592</v>
      </c>
      <c r="I42" s="5" t="n">
        <v>0</v>
      </c>
      <c r="J42" s="5">
        <f>SUM(B42:I42)</f>
        <v/>
      </c>
      <c r="L42" s="10" t="n">
        <v>0.8125</v>
      </c>
      <c r="M42" s="8" t="n">
        <v>526.2806911468505</v>
      </c>
      <c r="N42" s="8" t="n">
        <v>130.3726768970489</v>
      </c>
      <c r="O42" s="8" t="n">
        <v>0</v>
      </c>
      <c r="P42" s="8" t="n">
        <v>0</v>
      </c>
      <c r="Q42" s="8" t="n">
        <v>80.67497257303862</v>
      </c>
      <c r="R42" s="8" t="n">
        <v>5.612670539100417</v>
      </c>
      <c r="S42" s="8" t="n">
        <v>0</v>
      </c>
      <c r="T42" s="8" t="n">
        <v>0</v>
      </c>
      <c r="U42">
        <f>SUM(M42:T42)</f>
        <v/>
      </c>
    </row>
    <row r="43">
      <c r="A43" s="10" t="n">
        <v>0.8333333333333334</v>
      </c>
      <c r="B43" s="5" t="n">
        <v>1245.289580295065</v>
      </c>
      <c r="C43" s="5" t="n">
        <v>149.503826109847</v>
      </c>
      <c r="D43" s="5" t="n">
        <v>47.31054412890925</v>
      </c>
      <c r="E43" s="5" t="n">
        <v>110.50299726392</v>
      </c>
      <c r="F43" s="5" t="n">
        <v>1.680634993761327</v>
      </c>
      <c r="G43" s="5" t="n">
        <v>0.8484835162191164</v>
      </c>
      <c r="H43" s="5" t="n">
        <v>490.4272669235526</v>
      </c>
      <c r="I43" s="5" t="n">
        <v>0</v>
      </c>
      <c r="J43" s="5">
        <f>SUM(B43:I43)</f>
        <v/>
      </c>
      <c r="L43" s="10" t="n">
        <v>0.8333333333333334</v>
      </c>
      <c r="M43" s="8" t="n">
        <v>433.7003226757049</v>
      </c>
      <c r="N43" s="8" t="n">
        <v>110.6048540592193</v>
      </c>
      <c r="O43" s="8" t="n">
        <v>0</v>
      </c>
      <c r="P43" s="8" t="n">
        <v>0</v>
      </c>
      <c r="Q43" s="8" t="n">
        <v>73.15920706295162</v>
      </c>
      <c r="R43" s="8" t="n">
        <v>5.115607162985944</v>
      </c>
      <c r="S43" s="8" t="n">
        <v>0</v>
      </c>
      <c r="T43" s="8" t="n">
        <v>0</v>
      </c>
      <c r="U43">
        <f>SUM(M43:T43)</f>
        <v/>
      </c>
    </row>
    <row r="44">
      <c r="A44" s="10" t="n">
        <v>0.8541666666666666</v>
      </c>
      <c r="B44" s="5" t="n">
        <v>814.2940613017033</v>
      </c>
      <c r="C44" s="5" t="n">
        <v>98.29363443043412</v>
      </c>
      <c r="D44" s="5" t="n">
        <v>19.54083242432893</v>
      </c>
      <c r="E44" s="5" t="n">
        <v>38.16307158291818</v>
      </c>
      <c r="F44" s="5" t="n">
        <v>0.3843521502627088</v>
      </c>
      <c r="G44" s="5" t="n">
        <v>0.1414139193698527</v>
      </c>
      <c r="H44" s="5" t="n">
        <v>292.9866507151765</v>
      </c>
      <c r="I44" s="5" t="n">
        <v>0</v>
      </c>
      <c r="J44" s="5">
        <f>SUM(B44:I44)</f>
        <v/>
      </c>
      <c r="L44" s="10" t="n">
        <v>0.8541666666666666</v>
      </c>
      <c r="M44" s="8" t="n">
        <v>385.5389520645141</v>
      </c>
      <c r="N44" s="8" t="n">
        <v>99.66543869972227</v>
      </c>
      <c r="O44" s="8" t="n">
        <v>0</v>
      </c>
      <c r="P44" s="8" t="n">
        <v>0</v>
      </c>
      <c r="Q44" s="8" t="n">
        <v>69.97998194598506</v>
      </c>
      <c r="R44" s="8" t="n">
        <v>4.927286342509938</v>
      </c>
      <c r="S44" s="8" t="n">
        <v>0</v>
      </c>
      <c r="T44" s="8" t="n">
        <v>0</v>
      </c>
      <c r="U44">
        <f>SUM(M44:T44)</f>
        <v/>
      </c>
    </row>
    <row r="45">
      <c r="A45" s="10" t="n">
        <v>0.875</v>
      </c>
      <c r="B45" s="5" t="n">
        <v>469.3732502617507</v>
      </c>
      <c r="C45" s="5" t="n">
        <v>58.68520667228647</v>
      </c>
      <c r="D45" s="5" t="n">
        <v>6.770148608264042</v>
      </c>
      <c r="E45" s="5" t="n">
        <v>12.21866124974316</v>
      </c>
      <c r="F45" s="5" t="n">
        <v>0.06297797459583607</v>
      </c>
      <c r="G45" s="5" t="n">
        <v>0.01488567572314239</v>
      </c>
      <c r="H45" s="5" t="n">
        <v>144.5029241342355</v>
      </c>
      <c r="I45" s="5" t="n">
        <v>0</v>
      </c>
      <c r="J45" s="5">
        <f>SUM(B45:I45)</f>
        <v/>
      </c>
      <c r="L45" s="10" t="n">
        <v>0.875</v>
      </c>
      <c r="M45" s="8" t="n">
        <v>349.2697342872619</v>
      </c>
      <c r="N45" s="8" t="n">
        <v>90.98942999839781</v>
      </c>
      <c r="O45" s="8" t="n">
        <v>0</v>
      </c>
      <c r="P45" s="8" t="n">
        <v>0</v>
      </c>
      <c r="Q45" s="8" t="n">
        <v>66.43231285517842</v>
      </c>
      <c r="R45" s="8" t="n">
        <v>4.704073001257015</v>
      </c>
      <c r="S45" s="8" t="n">
        <v>0</v>
      </c>
      <c r="T45" s="8" t="n">
        <v>0</v>
      </c>
      <c r="U45">
        <f>SUM(M45:T45)</f>
        <v/>
      </c>
    </row>
    <row r="46">
      <c r="A46" s="10" t="n">
        <v>0.8958333333333334</v>
      </c>
      <c r="B46" s="5" t="n">
        <v>245.3461377445721</v>
      </c>
      <c r="C46" s="5" t="n">
        <v>31.96610452125529</v>
      </c>
      <c r="D46" s="5" t="n">
        <v>1.909608614200592</v>
      </c>
      <c r="E46" s="5" t="n">
        <v>3.696654123187832</v>
      </c>
      <c r="F46" s="5" t="n">
        <v>0.006550328313169812</v>
      </c>
      <c r="G46" s="5" t="n">
        <v>0.0007442837861571198</v>
      </c>
      <c r="H46" s="5" t="n">
        <v>57.45026221828717</v>
      </c>
      <c r="I46" s="5" t="n">
        <v>0</v>
      </c>
      <c r="J46" s="5">
        <f>SUM(B46:I46)</f>
        <v/>
      </c>
      <c r="L46" s="10" t="n">
        <v>0.8958333333333334</v>
      </c>
      <c r="M46" s="8" t="n">
        <v>298.8710711479187</v>
      </c>
      <c r="N46" s="8" t="n">
        <v>78.78781194686889</v>
      </c>
      <c r="O46" s="8" t="n">
        <v>0</v>
      </c>
      <c r="P46" s="8" t="n">
        <v>0</v>
      </c>
      <c r="Q46" s="8" t="n">
        <v>58.57224875007458</v>
      </c>
      <c r="R46" s="8" t="n">
        <v>4.164456084022432</v>
      </c>
      <c r="S46" s="8" t="n">
        <v>0</v>
      </c>
      <c r="T46" s="8" t="n">
        <v>0</v>
      </c>
      <c r="U46">
        <f>SUM(M46:T46)</f>
        <v/>
      </c>
    </row>
    <row r="47">
      <c r="A47" s="10" t="n">
        <v>0.9166666666666666</v>
      </c>
      <c r="B47" s="5" t="n">
        <v>126.2284015610749</v>
      </c>
      <c r="C47" s="5" t="n">
        <v>16.07137327064015</v>
      </c>
      <c r="D47" s="5" t="n">
        <v>0.4199600087912829</v>
      </c>
      <c r="E47" s="5" t="n">
        <v>1.009272521414395</v>
      </c>
      <c r="F47" s="5" t="n">
        <v>0.0003239456746074295</v>
      </c>
      <c r="G47" s="5" t="n">
        <v>0</v>
      </c>
      <c r="H47" s="5" t="n">
        <v>17.90567348886387</v>
      </c>
      <c r="I47" s="5" t="n">
        <v>0</v>
      </c>
      <c r="J47" s="5">
        <f>SUM(B47:I47)</f>
        <v/>
      </c>
      <c r="L47" s="10" t="n">
        <v>0.9166666666666666</v>
      </c>
      <c r="M47" s="8" t="n">
        <v>229.3853544712066</v>
      </c>
      <c r="N47" s="8" t="n">
        <v>61.81593933105468</v>
      </c>
      <c r="O47" s="8" t="n">
        <v>0</v>
      </c>
      <c r="P47" s="8" t="n">
        <v>0</v>
      </c>
      <c r="Q47" s="8" t="n">
        <v>46.02265670374667</v>
      </c>
      <c r="R47" s="8" t="n">
        <v>3.274678582164385</v>
      </c>
      <c r="S47" s="8" t="n">
        <v>0</v>
      </c>
      <c r="T47" s="8" t="n">
        <v>0</v>
      </c>
      <c r="U47">
        <f>SUM(M47:T47)</f>
        <v/>
      </c>
    </row>
    <row r="48">
      <c r="A48" s="10" t="n">
        <v>0.9375</v>
      </c>
      <c r="B48" s="5" t="n">
        <v>71.08180489407306</v>
      </c>
      <c r="C48" s="5" t="n">
        <v>7.55673405560615</v>
      </c>
      <c r="D48" s="5" t="n">
        <v>0.06730818580937589</v>
      </c>
      <c r="E48" s="5" t="n">
        <v>0.2262779106939763</v>
      </c>
      <c r="F48" s="5" t="n">
        <v>0</v>
      </c>
      <c r="G48" s="5" t="n">
        <v>0</v>
      </c>
      <c r="H48" s="5" t="n">
        <v>4.208197463641237</v>
      </c>
      <c r="I48" s="5" t="n">
        <v>0</v>
      </c>
      <c r="J48" s="5">
        <f>SUM(B48:I48)</f>
        <v/>
      </c>
      <c r="L48" s="10" t="n">
        <v>0.9375</v>
      </c>
      <c r="M48" s="8" t="n">
        <v>154.093003988266</v>
      </c>
      <c r="N48" s="8" t="n">
        <v>43.09052333831787</v>
      </c>
      <c r="O48" s="8" t="n">
        <v>0</v>
      </c>
      <c r="P48" s="8" t="n">
        <v>0</v>
      </c>
      <c r="Q48" s="8" t="n">
        <v>31.67456498793333</v>
      </c>
      <c r="R48" s="8" t="n">
        <v>2.231824693427189</v>
      </c>
      <c r="S48" s="8" t="n">
        <v>0</v>
      </c>
      <c r="T48" s="8" t="n">
        <v>0</v>
      </c>
      <c r="U48">
        <f>SUM(M48:T48)</f>
        <v/>
      </c>
    </row>
    <row r="49">
      <c r="A49" s="10" t="n">
        <v>0.9583333333333334</v>
      </c>
      <c r="B49" s="5" t="n">
        <v>44.43351323309732</v>
      </c>
      <c r="C49" s="5" t="n">
        <v>3.328967582161043</v>
      </c>
      <c r="D49" s="5" t="n">
        <v>0.006966911566492557</v>
      </c>
      <c r="E49" s="5" t="n">
        <v>0.03731138566482047</v>
      </c>
      <c r="F49" s="5" t="n">
        <v>0</v>
      </c>
      <c r="G49" s="5" t="n">
        <v>0</v>
      </c>
      <c r="H49" s="5" t="n">
        <v>0.7009941892093908</v>
      </c>
      <c r="I49" s="5" t="n">
        <v>0</v>
      </c>
      <c r="J49" s="5">
        <f>SUM(B49:I49)</f>
        <v/>
      </c>
      <c r="L49" s="10" t="n">
        <v>0.9583333333333334</v>
      </c>
      <c r="M49" s="8" t="n">
        <v>90.11877694129944</v>
      </c>
      <c r="N49" s="8" t="n">
        <v>26.69079484939575</v>
      </c>
      <c r="O49" s="8" t="n">
        <v>0</v>
      </c>
      <c r="P49" s="8" t="n">
        <v>0</v>
      </c>
      <c r="Q49" s="8" t="n">
        <v>19.0931036427652</v>
      </c>
      <c r="R49" s="8" t="n">
        <v>1.297348424781713</v>
      </c>
      <c r="S49" s="8" t="n">
        <v>0</v>
      </c>
      <c r="T49" s="8" t="n">
        <v>0</v>
      </c>
      <c r="U49">
        <f>SUM(M49:T49)</f>
        <v/>
      </c>
    </row>
    <row r="50">
      <c r="A50" s="10" t="n">
        <v>0.9791666666666666</v>
      </c>
      <c r="B50" s="5" t="n">
        <v>27.84813740704423</v>
      </c>
      <c r="C50" s="5" t="n">
        <v>1.344794814234452</v>
      </c>
      <c r="D50" s="5" t="n">
        <v>0.0003483455783246279</v>
      </c>
      <c r="E50" s="5" t="n">
        <v>0.003927514280507418</v>
      </c>
      <c r="F50" s="5" t="n">
        <v>0</v>
      </c>
      <c r="G50" s="5" t="n">
        <v>0</v>
      </c>
      <c r="H50" s="5" t="n">
        <v>0.07377243198524641</v>
      </c>
      <c r="I50" s="5" t="n">
        <v>0</v>
      </c>
      <c r="J50" s="5">
        <f>SUM(B50:I50)</f>
        <v/>
      </c>
      <c r="L50" s="10" t="n">
        <v>0.9791666666666666</v>
      </c>
      <c r="M50" s="8" t="n">
        <v>46.37171974182129</v>
      </c>
      <c r="N50" s="8" t="n">
        <v>14.90693817138672</v>
      </c>
      <c r="O50" s="8" t="n">
        <v>0</v>
      </c>
      <c r="P50" s="8" t="n">
        <v>0</v>
      </c>
      <c r="Q50" s="8" t="n">
        <v>10.22408608287628</v>
      </c>
      <c r="R50" s="8" t="n">
        <v>0.6342103904660278</v>
      </c>
      <c r="S50" s="8" t="n">
        <v>0</v>
      </c>
      <c r="T50" s="8" t="n">
        <v>0</v>
      </c>
      <c r="U50">
        <f>SUM(M50:T50)</f>
        <v/>
      </c>
    </row>
    <row r="51">
      <c r="A51" s="10" t="n">
        <v>1</v>
      </c>
      <c r="B51" s="5" t="n">
        <v>15.75319452874991</v>
      </c>
      <c r="C51" s="5" t="n">
        <v>0.4769097490149486</v>
      </c>
      <c r="D51" s="5" t="n">
        <v>0</v>
      </c>
      <c r="E51" s="5" t="n">
        <v>0.0001963757140253709</v>
      </c>
      <c r="F51" s="5" t="n">
        <v>0</v>
      </c>
      <c r="G51" s="5" t="n">
        <v>0</v>
      </c>
      <c r="H51" s="5" t="n">
        <v>0.003688621599262321</v>
      </c>
      <c r="I51" s="5" t="n">
        <v>0</v>
      </c>
      <c r="J51" s="5">
        <f>SUM(B51:I51)</f>
        <v/>
      </c>
      <c r="L51" s="10" t="n">
        <v>1</v>
      </c>
      <c r="M51" s="8" t="n">
        <v>21.56713256835938</v>
      </c>
      <c r="N51" s="8" t="n">
        <v>7.675166654586792</v>
      </c>
      <c r="O51" s="8" t="n">
        <v>0</v>
      </c>
      <c r="P51" s="8" t="n">
        <v>0</v>
      </c>
      <c r="Q51" s="8" t="n">
        <v>4.989686619346044</v>
      </c>
      <c r="R51" s="8" t="n">
        <v>0.256641435623169</v>
      </c>
      <c r="S51" s="8" t="n">
        <v>0</v>
      </c>
      <c r="T51" s="8" t="n">
        <v>0</v>
      </c>
      <c r="U51">
        <f>SUM(M51:T51)</f>
        <v/>
      </c>
    </row>
    <row r="52">
      <c r="A52" s="10" t="n">
        <v>1.020833333333333</v>
      </c>
      <c r="B52" s="5" t="n">
        <v>7.558586206559381</v>
      </c>
      <c r="C52" s="5" t="n">
        <v>0.1404466279524684</v>
      </c>
      <c r="D52" s="5" t="n">
        <v>0</v>
      </c>
      <c r="E52" s="5" t="n">
        <v>0</v>
      </c>
      <c r="F52" s="5" t="n">
        <v>0</v>
      </c>
      <c r="G52" s="5" t="n">
        <v>0</v>
      </c>
      <c r="H52" s="5" t="n">
        <v>0</v>
      </c>
      <c r="I52" s="5" t="n">
        <v>0</v>
      </c>
      <c r="J52" s="5">
        <f>SUM(B52:I52)</f>
        <v/>
      </c>
      <c r="L52" s="10" t="n">
        <v>1.020833333333333</v>
      </c>
      <c r="M52" s="8" t="n">
        <v>9.402863502502441</v>
      </c>
      <c r="N52" s="8" t="n">
        <v>3.699377822875976</v>
      </c>
      <c r="O52" s="8" t="n">
        <v>0</v>
      </c>
      <c r="P52" s="8" t="n">
        <v>0</v>
      </c>
      <c r="Q52" s="8" t="n">
        <v>2.276625310112136</v>
      </c>
      <c r="R52" s="8" t="n">
        <v>0.08425154685974121</v>
      </c>
      <c r="S52" s="8" t="n">
        <v>0</v>
      </c>
      <c r="T52" s="8" t="n">
        <v>0</v>
      </c>
      <c r="U52">
        <f>SUM(M52:T52)</f>
        <v/>
      </c>
    </row>
    <row r="53">
      <c r="A53" s="10" t="n">
        <v>0.04166666666666666</v>
      </c>
      <c r="B53" s="5" t="n">
        <v>2.96204053104905</v>
      </c>
      <c r="C53" s="5" t="n">
        <v>0.03225602448974214</v>
      </c>
      <c r="D53" s="5" t="n">
        <v>0</v>
      </c>
      <c r="E53" s="5" t="n">
        <v>0</v>
      </c>
      <c r="F53" s="5" t="n">
        <v>0</v>
      </c>
      <c r="G53" s="5" t="n">
        <v>0</v>
      </c>
      <c r="H53" s="5" t="n">
        <v>0</v>
      </c>
      <c r="I53" s="5" t="n">
        <v>0</v>
      </c>
      <c r="J53" s="5">
        <f>SUM(B53:I53)</f>
        <v/>
      </c>
      <c r="L53" s="10" t="n">
        <v>0.04166666666666666</v>
      </c>
      <c r="M53" s="8" t="n">
        <v>3.9225022315979</v>
      </c>
      <c r="N53" s="8" t="n">
        <v>1.65583062171936</v>
      </c>
      <c r="O53" s="8" t="n">
        <v>0</v>
      </c>
      <c r="P53" s="8" t="n">
        <v>0</v>
      </c>
      <c r="Q53" s="8" t="n">
        <v>0.9749121509436733</v>
      </c>
      <c r="R53" s="8" t="n">
        <v>0.0218259334564209</v>
      </c>
      <c r="S53" s="8" t="n">
        <v>0</v>
      </c>
      <c r="T53" s="8" t="n">
        <v>0</v>
      </c>
      <c r="U53">
        <f>SUM(M53:T53)</f>
        <v/>
      </c>
    </row>
    <row r="54">
      <c r="A54" s="10" t="n">
        <v>0.0625</v>
      </c>
      <c r="B54" s="5" t="n">
        <v>0.9167272322032229</v>
      </c>
      <c r="C54" s="5" t="n">
        <v>0.005340464146480152</v>
      </c>
      <c r="D54" s="5" t="n">
        <v>0</v>
      </c>
      <c r="E54" s="5" t="n">
        <v>0</v>
      </c>
      <c r="F54" s="5" t="n">
        <v>0</v>
      </c>
      <c r="G54" s="5" t="n">
        <v>0</v>
      </c>
      <c r="H54" s="5" t="n">
        <v>0</v>
      </c>
      <c r="I54" s="5" t="n">
        <v>0</v>
      </c>
      <c r="J54" s="5">
        <f>SUM(B54:I54)</f>
        <v/>
      </c>
      <c r="L54" s="10" t="n">
        <v>0.0625</v>
      </c>
      <c r="M54" s="8" t="n">
        <v>1.531265640258789</v>
      </c>
      <c r="N54" s="8" t="n">
        <v>0.665115737915039</v>
      </c>
      <c r="O54" s="8" t="n">
        <v>0</v>
      </c>
      <c r="P54" s="8" t="n">
        <v>0</v>
      </c>
      <c r="Q54" s="8" t="n">
        <v>0.3803318209718033</v>
      </c>
      <c r="R54" s="8" t="n">
        <v>0.004284906387329101</v>
      </c>
      <c r="S54" s="8" t="n">
        <v>0</v>
      </c>
      <c r="T54" s="8" t="n">
        <v>0</v>
      </c>
      <c r="U54">
        <f>SUM(M54:T54)</f>
        <v/>
      </c>
    </row>
    <row r="55">
      <c r="A55" s="10" t="n">
        <v>0.08333333333333333</v>
      </c>
      <c r="B55" s="5" t="n">
        <v>0.2148634339877732</v>
      </c>
      <c r="C55" s="5" t="n">
        <v>0.0005621541206821211</v>
      </c>
      <c r="D55" s="5" t="n">
        <v>0</v>
      </c>
      <c r="E55" s="5" t="n">
        <v>0</v>
      </c>
      <c r="F55" s="5" t="n">
        <v>0</v>
      </c>
      <c r="G55" s="5" t="n">
        <v>0</v>
      </c>
      <c r="H55" s="5" t="n">
        <v>0</v>
      </c>
      <c r="I55" s="5" t="n">
        <v>0</v>
      </c>
      <c r="J55" s="5">
        <f>SUM(B55:I55)</f>
        <v/>
      </c>
      <c r="L55" s="10" t="n">
        <v>0.08333333333333333</v>
      </c>
      <c r="M55" s="8" t="n">
        <v>0.5278111934661865</v>
      </c>
      <c r="N55" s="8" t="n">
        <v>0.2285652637481689</v>
      </c>
      <c r="O55" s="8" t="n">
        <v>0</v>
      </c>
      <c r="P55" s="8" t="n">
        <v>0</v>
      </c>
      <c r="Q55" s="8" t="n">
        <v>0.128338229205342</v>
      </c>
      <c r="R55" s="8" t="n">
        <v>0.0005977153778076172</v>
      </c>
      <c r="S55" s="8" t="n">
        <v>0</v>
      </c>
      <c r="T55" s="8" t="n">
        <v>0</v>
      </c>
      <c r="U55">
        <f>SUM(M55:T55)</f>
        <v/>
      </c>
    </row>
    <row r="56">
      <c r="A56" s="10" t="n">
        <v>0.1041666666666667</v>
      </c>
      <c r="B56" s="5" t="n">
        <v>0.035772980384737</v>
      </c>
      <c r="C56" s="5" t="n">
        <v>2.810770603410606e-05</v>
      </c>
      <c r="D56" s="5" t="n">
        <v>0</v>
      </c>
      <c r="E56" s="5" t="n">
        <v>0</v>
      </c>
      <c r="F56" s="5" t="n">
        <v>0</v>
      </c>
      <c r="G56" s="5" t="n">
        <v>0</v>
      </c>
      <c r="H56" s="5" t="n">
        <v>0</v>
      </c>
      <c r="I56" s="5" t="n">
        <v>0</v>
      </c>
      <c r="J56" s="5">
        <f>SUM(B56:I56)</f>
        <v/>
      </c>
      <c r="L56" s="10" t="n">
        <v>0.1041666666666667</v>
      </c>
      <c r="M56" s="8" t="n">
        <v>0.1502086162567139</v>
      </c>
      <c r="N56" s="8" t="n">
        <v>0.06387438774108886</v>
      </c>
      <c r="O56" s="8" t="n">
        <v>0</v>
      </c>
      <c r="P56" s="8" t="n">
        <v>0</v>
      </c>
      <c r="Q56" s="8" t="n">
        <v>0.035383756449589</v>
      </c>
      <c r="R56" s="8" t="n">
        <v>5.264282226562501e-05</v>
      </c>
      <c r="S56" s="8" t="n">
        <v>0</v>
      </c>
      <c r="T56" s="8" t="n">
        <v>0</v>
      </c>
      <c r="U56">
        <f>SUM(M56:T56)</f>
        <v/>
      </c>
    </row>
    <row r="57">
      <c r="A57" s="10" t="n">
        <v>0.125</v>
      </c>
      <c r="B57" s="5" t="n">
        <v>0.003765576882603893</v>
      </c>
      <c r="C57" s="5" t="n">
        <v>0</v>
      </c>
      <c r="D57" s="5" t="n">
        <v>0</v>
      </c>
      <c r="E57" s="5" t="n">
        <v>0</v>
      </c>
      <c r="F57" s="5" t="n">
        <v>0</v>
      </c>
      <c r="G57" s="5" t="n">
        <v>0</v>
      </c>
      <c r="H57" s="5" t="n">
        <v>0</v>
      </c>
      <c r="I57" s="5" t="n">
        <v>0</v>
      </c>
      <c r="J57" s="5">
        <f>SUM(B57:I57)</f>
        <v/>
      </c>
      <c r="L57" s="10" t="n">
        <v>0.125</v>
      </c>
      <c r="M57" s="8" t="n">
        <v>0.03255739212036133</v>
      </c>
      <c r="N57" s="8" t="n">
        <v>0.0135467529296875</v>
      </c>
      <c r="O57" s="8" t="n">
        <v>0</v>
      </c>
      <c r="P57" s="8" t="n">
        <v>0</v>
      </c>
      <c r="Q57" s="8" t="n">
        <v>0.007410133483904858</v>
      </c>
      <c r="R57" s="8" t="n">
        <v>2.193450927734375e-06</v>
      </c>
      <c r="S57" s="8" t="n">
        <v>0</v>
      </c>
      <c r="T57" s="8" t="n">
        <v>0</v>
      </c>
      <c r="U57">
        <f>SUM(M57:T57)</f>
        <v/>
      </c>
    </row>
    <row r="58" ht="15.75" customHeight="1" s="71" thickBot="1">
      <c r="A58" s="11" t="inlineStr">
        <is>
          <t>After 27:00</t>
        </is>
      </c>
      <c r="B58" s="6" t="n">
        <v>0</v>
      </c>
      <c r="C58" s="6" t="n">
        <v>0</v>
      </c>
      <c r="D58" s="6" t="n">
        <v>0</v>
      </c>
      <c r="E58" s="6" t="n">
        <v>0</v>
      </c>
      <c r="F58" s="6" t="n">
        <v>0</v>
      </c>
      <c r="G58" s="6" t="n">
        <v>0</v>
      </c>
      <c r="H58" s="6" t="n">
        <v>0</v>
      </c>
      <c r="I58" s="6" t="n">
        <v>0</v>
      </c>
      <c r="J58" s="6">
        <f>SUM(B58:I58)</f>
        <v/>
      </c>
      <c r="L58" s="11" t="inlineStr">
        <is>
          <t>After 27:00</t>
        </is>
      </c>
      <c r="M58" s="9" t="n">
        <v>0</v>
      </c>
      <c r="N58" s="9" t="n">
        <v>0</v>
      </c>
      <c r="O58" s="9" t="n">
        <v>0</v>
      </c>
      <c r="P58" s="9" t="n">
        <v>0</v>
      </c>
      <c r="Q58" s="9" t="n">
        <v>0</v>
      </c>
      <c r="R58" s="9" t="n">
        <v>0</v>
      </c>
      <c r="S58" s="9" t="n">
        <v>0</v>
      </c>
      <c r="T58" s="9" t="n">
        <v>0</v>
      </c>
      <c r="U58" s="1">
        <f>SUM(M58:T58)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Y58"/>
  <sheetViews>
    <sheetView workbookViewId="0">
      <selection activeCell="A3" sqref="A3"/>
    </sheetView>
  </sheetViews>
  <sheetFormatPr baseColWidth="8" defaultRowHeight="15"/>
  <cols>
    <col collapsed="1" width="12.7109375" customWidth="1" style="71" min="1" max="1"/>
    <col collapsed="1" width="10.7109375" customWidth="1" style="71" min="2" max="10"/>
    <col collapsed="1" width="6.42578125" customWidth="1" style="71" min="11" max="11"/>
    <col collapsed="1" width="12.7109375" customWidth="1" style="71" min="12" max="12"/>
    <col collapsed="1" width="10.7109375" customWidth="1" style="71" min="13" max="21"/>
  </cols>
  <sheetData>
    <row r="1">
      <c r="A1" t="inlineStr">
        <is>
          <t>Work Tour Departure time at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4">
      <c r="A4" t="inlineStr">
        <is>
          <t>Distance values reflect start time of time period</t>
        </is>
      </c>
    </row>
    <row r="6" ht="15.75" customHeight="1" s="71" thickBot="1">
      <c r="A6" s="3" t="inlineStr">
        <is>
          <t>Table X. Observed Work Tour Departure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L6" s="3" t="inlineStr">
        <is>
          <t>Table X. Estimated Work Tour Departure at PD Times: DaySim</t>
        </is>
      </c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W6" s="7" t="n"/>
    </row>
    <row r="7">
      <c r="A7" s="2" t="inlineStr">
        <is>
          <t>Timeperiod</t>
        </is>
      </c>
      <c r="B7" s="4" t="inlineStr">
        <is>
          <t>FT Worker</t>
        </is>
      </c>
      <c r="C7" s="4" t="inlineStr">
        <is>
          <t>PT Worker</t>
        </is>
      </c>
      <c r="D7" s="4" t="inlineStr">
        <is>
          <t>Retired</t>
        </is>
      </c>
      <c r="E7" s="4" t="inlineStr">
        <is>
          <t>Nonworker</t>
        </is>
      </c>
      <c r="F7" s="4" t="inlineStr">
        <is>
          <t>Univ Stud</t>
        </is>
      </c>
      <c r="G7" s="4" t="inlineStr">
        <is>
          <t>Stud 16+</t>
        </is>
      </c>
      <c r="H7" s="4" t="inlineStr">
        <is>
          <t>Stud 5-15</t>
        </is>
      </c>
      <c r="I7" s="4" t="inlineStr">
        <is>
          <t>Child&lt;5</t>
        </is>
      </c>
      <c r="J7" s="4" t="inlineStr">
        <is>
          <t>Total</t>
        </is>
      </c>
      <c r="L7" s="2" t="inlineStr">
        <is>
          <t>Timeperiod</t>
        </is>
      </c>
      <c r="M7" s="4" t="inlineStr">
        <is>
          <t>FT Worker</t>
        </is>
      </c>
      <c r="N7" s="4" t="inlineStr">
        <is>
          <t>PT Worker</t>
        </is>
      </c>
      <c r="O7" s="4" t="inlineStr">
        <is>
          <t>Retired</t>
        </is>
      </c>
      <c r="P7" s="4" t="inlineStr">
        <is>
          <t>Nonworker</t>
        </is>
      </c>
      <c r="Q7" s="4" t="inlineStr">
        <is>
          <t>Univ Stud</t>
        </is>
      </c>
      <c r="R7" s="4" t="inlineStr">
        <is>
          <t>Stud 16+</t>
        </is>
      </c>
      <c r="S7" s="4" t="inlineStr">
        <is>
          <t>Stud 5-15</t>
        </is>
      </c>
      <c r="T7" s="4" t="inlineStr">
        <is>
          <t>Child&lt;5</t>
        </is>
      </c>
      <c r="U7" s="4" t="inlineStr">
        <is>
          <t>Total</t>
        </is>
      </c>
      <c r="X7" s="12" t="n"/>
      <c r="Y7" s="12" t="n"/>
    </row>
    <row r="8">
      <c r="A8" t="inlineStr">
        <is>
          <t>Before 3:00am</t>
        </is>
      </c>
      <c r="B8" s="5" t="n">
        <v>1575.340037224493</v>
      </c>
      <c r="C8" s="5" t="n">
        <v>90.3528140440585</v>
      </c>
      <c r="D8" s="5" t="n">
        <v>0</v>
      </c>
      <c r="E8" s="5" t="n">
        <v>0</v>
      </c>
      <c r="F8" s="5" t="n">
        <v>0</v>
      </c>
      <c r="G8" s="5" t="n">
        <v>0</v>
      </c>
      <c r="H8" s="5" t="n">
        <v>0</v>
      </c>
      <c r="I8" s="5" t="n">
        <v>0</v>
      </c>
      <c r="J8" s="5">
        <f>SUM(B8:I8)</f>
        <v/>
      </c>
      <c r="L8" t="inlineStr">
        <is>
          <t>Before 3:00am</t>
        </is>
      </c>
      <c r="M8" s="8" t="n">
        <v>8292.65</v>
      </c>
      <c r="N8" s="8" t="n">
        <v>2763.45</v>
      </c>
      <c r="O8" s="8" t="n">
        <v>0</v>
      </c>
      <c r="P8" s="8" t="n">
        <v>0</v>
      </c>
      <c r="Q8" s="8" t="n">
        <v>1760.975856957297</v>
      </c>
      <c r="R8" s="8" t="n">
        <v>172.946580362772</v>
      </c>
      <c r="S8" s="8" t="n">
        <v>0</v>
      </c>
      <c r="T8" s="8" t="n">
        <v>0</v>
      </c>
      <c r="U8">
        <f>SUM(M8:T8)</f>
        <v/>
      </c>
      <c r="X8" s="5" t="n"/>
      <c r="Y8" s="5" t="n"/>
    </row>
    <row r="9">
      <c r="A9" s="10" t="n">
        <v>0.125</v>
      </c>
      <c r="B9" s="5" t="n">
        <v>1049.467203373357</v>
      </c>
      <c r="C9" s="5" t="n">
        <v>60.23596051814297</v>
      </c>
      <c r="D9" s="5" t="n">
        <v>0</v>
      </c>
      <c r="E9" s="5" t="n">
        <v>0</v>
      </c>
      <c r="F9" s="5" t="n">
        <v>0</v>
      </c>
      <c r="G9" s="5" t="n">
        <v>0</v>
      </c>
      <c r="H9" s="5" t="n">
        <v>0</v>
      </c>
      <c r="I9" s="5" t="n">
        <v>0</v>
      </c>
      <c r="J9" s="5">
        <f>SUM(B9:I9)</f>
        <v/>
      </c>
      <c r="L9" s="10" t="n">
        <v>0.125</v>
      </c>
      <c r="M9" s="8" t="n">
        <v>5563.437238836288</v>
      </c>
      <c r="N9" s="8" t="n">
        <v>1842.677432584763</v>
      </c>
      <c r="O9" s="8" t="n">
        <v>0</v>
      </c>
      <c r="P9" s="8" t="n">
        <v>0</v>
      </c>
      <c r="Q9" s="8" t="n">
        <v>1170.154658612334</v>
      </c>
      <c r="R9" s="8" t="n">
        <v>114.7714926826845</v>
      </c>
      <c r="S9" s="8" t="n">
        <v>0</v>
      </c>
      <c r="T9" s="8" t="n">
        <v>0</v>
      </c>
      <c r="U9">
        <f>SUM(M9:T9)</f>
        <v/>
      </c>
      <c r="X9" s="5" t="n"/>
      <c r="Y9" s="5" t="n"/>
    </row>
    <row r="10">
      <c r="A10" s="10" t="n">
        <v>0.1458333333333333</v>
      </c>
      <c r="B10" s="5" t="n">
        <v>616.2719168973431</v>
      </c>
      <c r="C10" s="5" t="n">
        <v>35.67248561344189</v>
      </c>
      <c r="D10" s="5" t="n">
        <v>0</v>
      </c>
      <c r="E10" s="5" t="n">
        <v>0</v>
      </c>
      <c r="F10" s="5" t="n">
        <v>0</v>
      </c>
      <c r="G10" s="5" t="n">
        <v>0</v>
      </c>
      <c r="H10" s="5" t="n">
        <v>0</v>
      </c>
      <c r="I10" s="5" t="n">
        <v>0</v>
      </c>
      <c r="J10" s="5">
        <f>SUM(B10:I10)</f>
        <v/>
      </c>
      <c r="L10" s="10" t="n">
        <v>0.1458333333333333</v>
      </c>
      <c r="M10" s="8" t="n">
        <v>3293.252941226959</v>
      </c>
      <c r="N10" s="8" t="n">
        <v>1077.244250488281</v>
      </c>
      <c r="O10" s="8" t="n">
        <v>0</v>
      </c>
      <c r="P10" s="8" t="n">
        <v>0</v>
      </c>
      <c r="Q10" s="8" t="n">
        <v>677.827602235148</v>
      </c>
      <c r="R10" s="8" t="n">
        <v>66.29246425171752</v>
      </c>
      <c r="S10" s="8" t="n">
        <v>0</v>
      </c>
      <c r="T10" s="8" t="n">
        <v>0</v>
      </c>
      <c r="U10">
        <f>SUM(M10:T10)</f>
        <v/>
      </c>
      <c r="X10" s="5" t="n"/>
      <c r="Y10" s="5" t="n"/>
    </row>
    <row r="11">
      <c r="A11" s="10" t="n">
        <v>0.1666666666666667</v>
      </c>
      <c r="B11" s="5" t="n">
        <v>331.5474560266142</v>
      </c>
      <c r="C11" s="5" t="n">
        <v>20.1476175250994</v>
      </c>
      <c r="D11" s="5" t="n">
        <v>0</v>
      </c>
      <c r="E11" s="5" t="n">
        <v>0</v>
      </c>
      <c r="F11" s="5" t="n">
        <v>0</v>
      </c>
      <c r="G11" s="5" t="n">
        <v>0</v>
      </c>
      <c r="H11" s="5" t="n">
        <v>0</v>
      </c>
      <c r="I11" s="5" t="n">
        <v>0</v>
      </c>
      <c r="J11" s="5">
        <f>SUM(B11:I11)</f>
        <v/>
      </c>
      <c r="L11" s="10" t="n">
        <v>0.1666666666666667</v>
      </c>
      <c r="M11" s="8" t="n">
        <v>1740.358668422699</v>
      </c>
      <c r="N11" s="8" t="n">
        <v>553.1001077651977</v>
      </c>
      <c r="O11" s="8" t="n">
        <v>0</v>
      </c>
      <c r="P11" s="8" t="n">
        <v>0</v>
      </c>
      <c r="Q11" s="8" t="n">
        <v>337.2856175427686</v>
      </c>
      <c r="R11" s="8" t="n">
        <v>32.73137813299988</v>
      </c>
      <c r="S11" s="8" t="n">
        <v>0</v>
      </c>
      <c r="T11" s="8" t="n">
        <v>0</v>
      </c>
      <c r="U11">
        <f>SUM(M11:T11)</f>
        <v/>
      </c>
      <c r="X11" s="5" t="n"/>
      <c r="Y11" s="5" t="n"/>
    </row>
    <row r="12">
      <c r="A12" s="10" t="n">
        <v>0.1875</v>
      </c>
      <c r="B12" s="5" t="n">
        <v>210.8977980619476</v>
      </c>
      <c r="C12" s="5" t="n">
        <v>14.77611237120515</v>
      </c>
      <c r="D12" s="5" t="n">
        <v>0</v>
      </c>
      <c r="E12" s="5" t="n">
        <v>0</v>
      </c>
      <c r="F12" s="5" t="n">
        <v>0</v>
      </c>
      <c r="G12" s="5" t="n">
        <v>0</v>
      </c>
      <c r="H12" s="5" t="n">
        <v>0</v>
      </c>
      <c r="I12" s="5" t="n">
        <v>0</v>
      </c>
      <c r="J12" s="5">
        <f>SUM(B12:I12)</f>
        <v/>
      </c>
      <c r="L12" s="10" t="n">
        <v>0.1875</v>
      </c>
      <c r="M12" s="8" t="n">
        <v>907.6844892024994</v>
      </c>
      <c r="N12" s="8" t="n">
        <v>267.9589207649231</v>
      </c>
      <c r="O12" s="8" t="n">
        <v>0</v>
      </c>
      <c r="P12" s="8" t="n">
        <v>0</v>
      </c>
      <c r="Q12" s="8" t="n">
        <v>143.7405574708188</v>
      </c>
      <c r="R12" s="8" t="n">
        <v>13.55949935207877</v>
      </c>
      <c r="S12" s="8" t="n">
        <v>0</v>
      </c>
      <c r="T12" s="8" t="n">
        <v>0</v>
      </c>
      <c r="U12">
        <f>SUM(M12:T12)</f>
        <v/>
      </c>
    </row>
    <row r="13">
      <c r="A13" s="10" t="n">
        <v>0.2083333333333333</v>
      </c>
      <c r="B13" s="5" t="n">
        <v>261.6445547595987</v>
      </c>
      <c r="C13" s="5" t="n">
        <v>20.77177401856905</v>
      </c>
      <c r="D13" s="5" t="n">
        <v>0.001107355339936867</v>
      </c>
      <c r="E13" s="5" t="n">
        <v>0</v>
      </c>
      <c r="F13" s="5" t="n">
        <v>0.0002295896596656303</v>
      </c>
      <c r="G13" s="5" t="n">
        <v>0</v>
      </c>
      <c r="H13" s="5" t="n">
        <v>0</v>
      </c>
      <c r="I13" s="5" t="n">
        <v>0</v>
      </c>
      <c r="J13" s="5">
        <f>SUM(B13:I13)</f>
        <v/>
      </c>
      <c r="L13" s="10" t="n">
        <v>0.2083333333333333</v>
      </c>
      <c r="M13" s="8" t="n">
        <v>643.5641942024231</v>
      </c>
      <c r="N13" s="8" t="n">
        <v>165.8650215148926</v>
      </c>
      <c r="O13" s="8" t="n">
        <v>0</v>
      </c>
      <c r="P13" s="8" t="n">
        <v>0</v>
      </c>
      <c r="Q13" s="8" t="n">
        <v>55.94991976676035</v>
      </c>
      <c r="R13" s="8" t="n">
        <v>4.632663775180395</v>
      </c>
      <c r="S13" s="8" t="n">
        <v>0</v>
      </c>
      <c r="T13" s="8" t="n">
        <v>0</v>
      </c>
      <c r="U13">
        <f>SUM(M13:T13)</f>
        <v/>
      </c>
    </row>
    <row r="14">
      <c r="A14" s="10" t="n">
        <v>0.2291666666666667</v>
      </c>
      <c r="B14" s="5" t="n">
        <v>515.2020728734739</v>
      </c>
      <c r="C14" s="5" t="n">
        <v>44.95857252145513</v>
      </c>
      <c r="D14" s="5" t="n">
        <v>0.02214710679873734</v>
      </c>
      <c r="E14" s="5" t="n">
        <v>0.0008490297760930396</v>
      </c>
      <c r="F14" s="5" t="n">
        <v>0.004591793193312607</v>
      </c>
      <c r="G14" s="5" t="n">
        <v>0</v>
      </c>
      <c r="H14" s="5" t="n">
        <v>0</v>
      </c>
      <c r="I14" s="5" t="n">
        <v>0</v>
      </c>
      <c r="J14" s="5">
        <f>SUM(B14:I14)</f>
        <v/>
      </c>
      <c r="L14" s="10" t="n">
        <v>0.2291666666666667</v>
      </c>
      <c r="M14" s="8" t="n">
        <v>783.9213215351105</v>
      </c>
      <c r="N14" s="8" t="n">
        <v>185.971008682251</v>
      </c>
      <c r="O14" s="8" t="n">
        <v>0</v>
      </c>
      <c r="P14" s="8" t="n">
        <v>0</v>
      </c>
      <c r="Q14" s="8" t="n">
        <v>28.06383582062554</v>
      </c>
      <c r="R14" s="8" t="n">
        <v>1.339122906180618</v>
      </c>
      <c r="S14" s="8" t="n">
        <v>0</v>
      </c>
      <c r="T14" s="8" t="n">
        <v>0</v>
      </c>
      <c r="U14">
        <f>SUM(M14:T14)</f>
        <v/>
      </c>
    </row>
    <row r="15">
      <c r="A15" s="10" t="n">
        <v>0.25</v>
      </c>
      <c r="B15" s="5" t="n">
        <v>1016.213105587744</v>
      </c>
      <c r="C15" s="5" t="n">
        <v>106.4839115782091</v>
      </c>
      <c r="D15" s="5" t="n">
        <v>0.2103975145880047</v>
      </c>
      <c r="E15" s="5" t="n">
        <v>0.01703100604929092</v>
      </c>
      <c r="F15" s="5" t="n">
        <v>0.04362203533646976</v>
      </c>
      <c r="G15" s="5" t="n">
        <v>0</v>
      </c>
      <c r="H15" s="5" t="n">
        <v>0</v>
      </c>
      <c r="I15" s="5" t="n">
        <v>0</v>
      </c>
      <c r="J15" s="5">
        <f>SUM(B15:I15)</f>
        <v/>
      </c>
      <c r="L15" s="10" t="n">
        <v>0.25</v>
      </c>
      <c r="M15" s="8" t="n">
        <v>1227.575719738007</v>
      </c>
      <c r="N15" s="8" t="n">
        <v>288.8469675064087</v>
      </c>
      <c r="O15" s="8" t="n">
        <v>0</v>
      </c>
      <c r="P15" s="8" t="n">
        <v>0</v>
      </c>
      <c r="Q15" s="8" t="n">
        <v>28.69865110812636</v>
      </c>
      <c r="R15" s="8" t="n">
        <v>0.4888982335208458</v>
      </c>
      <c r="S15" s="8" t="n">
        <v>0</v>
      </c>
      <c r="T15" s="8" t="n">
        <v>0</v>
      </c>
      <c r="U15">
        <f>SUM(M15:T15)</f>
        <v/>
      </c>
    </row>
    <row r="16">
      <c r="A16" s="10" t="n">
        <v>0.2708333333333333</v>
      </c>
      <c r="B16" s="5" t="n">
        <v>1759.041480034398</v>
      </c>
      <c r="C16" s="5" t="n">
        <v>238.5202510108705</v>
      </c>
      <c r="D16" s="5" t="n">
        <v>1.262385087528028</v>
      </c>
      <c r="E16" s="5" t="n">
        <v>0.16232386800628</v>
      </c>
      <c r="F16" s="5" t="n">
        <v>0.2617949019506888</v>
      </c>
      <c r="G16" s="5" t="n">
        <v>0</v>
      </c>
      <c r="H16" s="5" t="n">
        <v>0</v>
      </c>
      <c r="I16" s="5" t="n">
        <v>0</v>
      </c>
      <c r="J16" s="5">
        <f>SUM(B16:I16)</f>
        <v/>
      </c>
      <c r="L16" s="10" t="n">
        <v>0.2708333333333333</v>
      </c>
      <c r="M16" s="8" t="n">
        <v>1933.158751869202</v>
      </c>
      <c r="N16" s="8" t="n">
        <v>456.0004824161529</v>
      </c>
      <c r="O16" s="8" t="n">
        <v>0</v>
      </c>
      <c r="P16" s="8" t="n">
        <v>0</v>
      </c>
      <c r="Q16" s="8" t="n">
        <v>43.04022430212288</v>
      </c>
      <c r="R16" s="8" t="n">
        <v>0.5172847805995791</v>
      </c>
      <c r="S16" s="8" t="n">
        <v>0</v>
      </c>
      <c r="T16" s="8" t="n">
        <v>0</v>
      </c>
      <c r="U16">
        <f>SUM(M16:T16)</f>
        <v/>
      </c>
    </row>
    <row r="17">
      <c r="A17" s="10" t="n">
        <v>0.2916666666666667</v>
      </c>
      <c r="B17" s="5" t="n">
        <v>2623.698436841823</v>
      </c>
      <c r="C17" s="5" t="n">
        <v>478.6974853186581</v>
      </c>
      <c r="D17" s="5" t="n">
        <v>5.36513662199412</v>
      </c>
      <c r="E17" s="5" t="n">
        <v>0.9774848476191911</v>
      </c>
      <c r="F17" s="5" t="n">
        <v>1.113660211958656</v>
      </c>
      <c r="G17" s="5" t="n">
        <v>0</v>
      </c>
      <c r="H17" s="5" t="n">
        <v>0</v>
      </c>
      <c r="I17" s="5" t="n">
        <v>0</v>
      </c>
      <c r="J17" s="5">
        <f>SUM(B17:I17)</f>
        <v/>
      </c>
      <c r="L17" s="10" t="n">
        <v>0.2916666666666667</v>
      </c>
      <c r="M17" s="8" t="n">
        <v>2902.88019580841</v>
      </c>
      <c r="N17" s="8" t="n">
        <v>682.3498979091644</v>
      </c>
      <c r="O17" s="8" t="n">
        <v>0</v>
      </c>
      <c r="P17" s="8" t="n">
        <v>0</v>
      </c>
      <c r="Q17" s="8" t="n">
        <v>67.06313759975897</v>
      </c>
      <c r="R17" s="8" t="n">
        <v>0.8689641865473671</v>
      </c>
      <c r="S17" s="8" t="n">
        <v>0</v>
      </c>
      <c r="T17" s="8" t="n">
        <v>0</v>
      </c>
      <c r="U17">
        <f>SUM(M17:T17)</f>
        <v/>
      </c>
    </row>
    <row r="18">
      <c r="A18" s="10" t="n">
        <v>0.3125</v>
      </c>
      <c r="B18" s="5" t="n">
        <v>3396.14095666565</v>
      </c>
      <c r="C18" s="5" t="n">
        <v>853.3743961978191</v>
      </c>
      <c r="D18" s="5" t="n">
        <v>17.16843719038118</v>
      </c>
      <c r="E18" s="5" t="n">
        <v>4.171330304373627</v>
      </c>
      <c r="F18" s="5" t="n">
        <v>3.572359415336713</v>
      </c>
      <c r="G18" s="5" t="n">
        <v>0</v>
      </c>
      <c r="H18" s="5" t="n">
        <v>0</v>
      </c>
      <c r="I18" s="5" t="n">
        <v>0</v>
      </c>
      <c r="J18" s="5">
        <f>SUM(B18:I18)</f>
        <v/>
      </c>
      <c r="L18" s="10" t="n">
        <v>0.3125</v>
      </c>
      <c r="M18" s="8" t="n">
        <v>4209.973616933822</v>
      </c>
      <c r="N18" s="8" t="n">
        <v>978.7783552646637</v>
      </c>
      <c r="O18" s="8" t="n">
        <v>0</v>
      </c>
      <c r="P18" s="8" t="n">
        <v>0</v>
      </c>
      <c r="Q18" s="8" t="n">
        <v>102.6355530080882</v>
      </c>
      <c r="R18" s="8" t="n">
        <v>1.418418665802965</v>
      </c>
      <c r="S18" s="8" t="n">
        <v>0</v>
      </c>
      <c r="T18" s="8" t="n">
        <v>0</v>
      </c>
      <c r="U18">
        <f>SUM(M18:T18)</f>
        <v/>
      </c>
    </row>
    <row r="19">
      <c r="A19" s="10" t="n">
        <v>0.3333333333333333</v>
      </c>
      <c r="B19" s="5" t="n">
        <v>3906.340818194472</v>
      </c>
      <c r="C19" s="5" t="n">
        <v>1370.7805802507</v>
      </c>
      <c r="D19" s="5" t="n">
        <v>42.92109297595295</v>
      </c>
      <c r="E19" s="5" t="n">
        <v>13.41114785370108</v>
      </c>
      <c r="F19" s="5" t="n">
        <v>8.979045807620912</v>
      </c>
      <c r="G19" s="5" t="n">
        <v>0.001039802919799167</v>
      </c>
      <c r="H19" s="5" t="n">
        <v>0</v>
      </c>
      <c r="I19" s="5" t="n">
        <v>0</v>
      </c>
      <c r="J19" s="5">
        <f>SUM(B19:I19)</f>
        <v/>
      </c>
      <c r="L19" s="10" t="n">
        <v>0.3333333333333333</v>
      </c>
      <c r="M19" s="8" t="n">
        <v>6047.912227106093</v>
      </c>
      <c r="N19" s="8" t="n">
        <v>1381.012912607193</v>
      </c>
      <c r="O19" s="8" t="n">
        <v>0</v>
      </c>
      <c r="P19" s="8" t="n">
        <v>0</v>
      </c>
      <c r="Q19" s="8" t="n">
        <v>155.5696343251734</v>
      </c>
      <c r="R19" s="8" t="n">
        <v>2.204979280729698</v>
      </c>
      <c r="S19" s="8" t="n">
        <v>0</v>
      </c>
      <c r="T19" s="8" t="n">
        <v>0</v>
      </c>
      <c r="U19">
        <f>SUM(M19:T19)</f>
        <v/>
      </c>
    </row>
    <row r="20">
      <c r="A20" s="10" t="n">
        <v>0.3541666666666667</v>
      </c>
      <c r="B20" s="5" t="n">
        <v>4202.481940920648</v>
      </c>
      <c r="C20" s="5" t="n">
        <v>2023.277691904746</v>
      </c>
      <c r="D20" s="5" t="n">
        <v>85.84218595190589</v>
      </c>
      <c r="E20" s="5" t="n">
        <v>33.71511506648872</v>
      </c>
      <c r="F20" s="5" t="n">
        <v>18.1568021083887</v>
      </c>
      <c r="G20" s="5" t="n">
        <v>0.02079605839598335</v>
      </c>
      <c r="H20" s="5" t="n">
        <v>0</v>
      </c>
      <c r="I20" s="5" t="n">
        <v>0</v>
      </c>
      <c r="J20" s="5">
        <f>SUM(B20:I20)</f>
        <v/>
      </c>
      <c r="L20" s="10" t="n">
        <v>0.3541666666666667</v>
      </c>
      <c r="M20" s="8" t="n">
        <v>8705.861704444884</v>
      </c>
      <c r="N20" s="8" t="n">
        <v>1943.331230401993</v>
      </c>
      <c r="O20" s="8" t="n">
        <v>0</v>
      </c>
      <c r="P20" s="8" t="n">
        <v>0</v>
      </c>
      <c r="Q20" s="8" t="n">
        <v>233.8649076258282</v>
      </c>
      <c r="R20" s="8" t="n">
        <v>3.366979297442544</v>
      </c>
      <c r="S20" s="8" t="n">
        <v>0</v>
      </c>
      <c r="T20" s="8" t="n">
        <v>0</v>
      </c>
      <c r="U20">
        <f>SUM(M20:T20)</f>
        <v/>
      </c>
    </row>
    <row r="21">
      <c r="A21" s="10" t="n">
        <v>0.375</v>
      </c>
      <c r="B21" s="5" t="n">
        <v>4609.177116402279</v>
      </c>
      <c r="C21" s="5" t="n">
        <v>2774.449706968486</v>
      </c>
      <c r="D21" s="5" t="n">
        <v>139.5012635016948</v>
      </c>
      <c r="E21" s="5" t="n">
        <v>67.89589624350106</v>
      </c>
      <c r="F21" s="5" t="n">
        <v>30.15212695882526</v>
      </c>
      <c r="G21" s="5" t="n">
        <v>0.1975625547618418</v>
      </c>
      <c r="H21" s="5" t="n">
        <v>0</v>
      </c>
      <c r="I21" s="5" t="n">
        <v>0</v>
      </c>
      <c r="J21" s="5">
        <f>SUM(B21:I21)</f>
        <v/>
      </c>
      <c r="L21" s="10" t="n">
        <v>0.375</v>
      </c>
      <c r="M21" s="8" t="n">
        <v>12402.50208849907</v>
      </c>
      <c r="N21" s="8" t="n">
        <v>2702.271128749847</v>
      </c>
      <c r="O21" s="8" t="n">
        <v>0</v>
      </c>
      <c r="P21" s="8" t="n">
        <v>0</v>
      </c>
      <c r="Q21" s="8" t="n">
        <v>343.4563402541951</v>
      </c>
      <c r="R21" s="8" t="n">
        <v>5.092022028560225</v>
      </c>
      <c r="S21" s="8" t="n">
        <v>0</v>
      </c>
      <c r="T21" s="8" t="n">
        <v>0</v>
      </c>
      <c r="U21">
        <f>SUM(M21:T21)</f>
        <v/>
      </c>
    </row>
    <row r="22">
      <c r="A22" s="10" t="n">
        <v>0.3958333333333333</v>
      </c>
      <c r="B22" s="5" t="n">
        <v>5583.298675600754</v>
      </c>
      <c r="C22" s="5" t="n">
        <v>3524.500568224003</v>
      </c>
      <c r="D22" s="5" t="n">
        <v>186.1456294927499</v>
      </c>
      <c r="E22" s="5" t="n">
        <v>111.3270686809403</v>
      </c>
      <c r="F22" s="5" t="n">
        <v>41.94120156125533</v>
      </c>
      <c r="G22" s="5" t="n">
        <v>1.185375328571051</v>
      </c>
      <c r="H22" s="5" t="n">
        <v>3.503531136021747e-05</v>
      </c>
      <c r="I22" s="5" t="n">
        <v>0</v>
      </c>
      <c r="J22" s="5">
        <f>SUM(B22:I22)</f>
        <v/>
      </c>
      <c r="L22" s="10" t="n">
        <v>0.3958333333333333</v>
      </c>
      <c r="M22" s="8" t="n">
        <v>17059.30494399071</v>
      </c>
      <c r="N22" s="8" t="n">
        <v>3628.712903690338</v>
      </c>
      <c r="O22" s="8" t="n">
        <v>0</v>
      </c>
      <c r="P22" s="8" t="n">
        <v>0</v>
      </c>
      <c r="Q22" s="8" t="n">
        <v>482.6524766253394</v>
      </c>
      <c r="R22" s="8" t="n">
        <v>7.509265216660369</v>
      </c>
      <c r="S22" s="8" t="n">
        <v>0</v>
      </c>
      <c r="T22" s="8" t="n">
        <v>0</v>
      </c>
      <c r="U22">
        <f>SUM(M22:T22)</f>
        <v/>
      </c>
    </row>
    <row r="23">
      <c r="A23" s="10" t="n">
        <v>0.4166666666666667</v>
      </c>
      <c r="B23" s="5" t="n">
        <v>7450.397666854752</v>
      </c>
      <c r="C23" s="5" t="n">
        <v>4105.362950274584</v>
      </c>
      <c r="D23" s="5" t="n">
        <v>206.0556958564367</v>
      </c>
      <c r="E23" s="5" t="n">
        <v>150.316244239529</v>
      </c>
      <c r="F23" s="5" t="n">
        <v>50.11343890157885</v>
      </c>
      <c r="G23" s="5" t="n">
        <v>5.037845146426966</v>
      </c>
      <c r="H23" s="5" t="n">
        <v>0.0007007062272043496</v>
      </c>
      <c r="I23" s="5" t="n">
        <v>0</v>
      </c>
      <c r="J23" s="5">
        <f>SUM(B23:I23)</f>
        <v/>
      </c>
      <c r="L23" s="10" t="n">
        <v>0.4166666666666667</v>
      </c>
      <c r="M23" s="8" t="n">
        <v>22224.40318226815</v>
      </c>
      <c r="N23" s="8" t="n">
        <v>4614.24297838211</v>
      </c>
      <c r="O23" s="8" t="n">
        <v>0</v>
      </c>
      <c r="P23" s="8" t="n">
        <v>0</v>
      </c>
      <c r="Q23" s="8" t="n">
        <v>640.0598217329173</v>
      </c>
      <c r="R23" s="8" t="n">
        <v>10.58271647692643</v>
      </c>
      <c r="S23" s="8" t="n">
        <v>0</v>
      </c>
      <c r="T23" s="8" t="n">
        <v>0</v>
      </c>
      <c r="U23">
        <f>SUM(M23:T23)</f>
        <v/>
      </c>
    </row>
    <row r="24">
      <c r="A24" s="10" t="n">
        <v>0.4375</v>
      </c>
      <c r="B24" s="5" t="n">
        <v>10234.08528483249</v>
      </c>
      <c r="C24" s="5" t="n">
        <v>4364.581937002014</v>
      </c>
      <c r="D24" s="5" t="n">
        <v>194.7823189221621</v>
      </c>
      <c r="E24" s="5" t="n">
        <v>168.5605084363292</v>
      </c>
      <c r="F24" s="5" t="n">
        <v>53.52582712446593</v>
      </c>
      <c r="G24" s="5" t="n">
        <v>16.12110446856629</v>
      </c>
      <c r="H24" s="5" t="n">
        <v>0.006656709158441319</v>
      </c>
      <c r="I24" s="5" t="n">
        <v>0</v>
      </c>
      <c r="J24" s="5">
        <f>SUM(B24:I24)</f>
        <v/>
      </c>
      <c r="L24" s="10" t="n">
        <v>0.4375</v>
      </c>
      <c r="M24" s="8" t="n">
        <v>27280.9334499836</v>
      </c>
      <c r="N24" s="8" t="n">
        <v>5518.995334768295</v>
      </c>
      <c r="O24" s="8" t="n">
        <v>0</v>
      </c>
      <c r="P24" s="8" t="n">
        <v>0</v>
      </c>
      <c r="Q24" s="8" t="n">
        <v>799.4429168636368</v>
      </c>
      <c r="R24" s="8" t="n">
        <v>14.11045009749615</v>
      </c>
      <c r="S24" s="8" t="n">
        <v>0</v>
      </c>
      <c r="T24" s="8" t="n">
        <v>0</v>
      </c>
      <c r="U24">
        <f>SUM(M24:T24)</f>
        <v/>
      </c>
    </row>
    <row r="25">
      <c r="A25" s="10" t="n">
        <v>0.4583333333333333</v>
      </c>
      <c r="B25" s="5" t="n">
        <v>13745.51696901795</v>
      </c>
      <c r="C25" s="5" t="n">
        <v>4304.828103255702</v>
      </c>
      <c r="D25" s="5" t="n">
        <v>176.8549452839027</v>
      </c>
      <c r="E25" s="5" t="n">
        <v>158.3973178086039</v>
      </c>
      <c r="F25" s="5" t="n">
        <v>54.45321745690767</v>
      </c>
      <c r="G25" s="5" t="n">
        <v>40.30276117141572</v>
      </c>
      <c r="H25" s="5" t="n">
        <v>0.03994025495064792</v>
      </c>
      <c r="I25" s="5" t="n">
        <v>0</v>
      </c>
      <c r="J25" s="5">
        <f>SUM(B25:I25)</f>
        <v/>
      </c>
      <c r="L25" s="10" t="n">
        <v>0.4583333333333333</v>
      </c>
      <c r="M25" s="8" t="n">
        <v>31813.39077987671</v>
      </c>
      <c r="N25" s="8" t="n">
        <v>6250.628804588318</v>
      </c>
      <c r="O25" s="8" t="n">
        <v>0</v>
      </c>
      <c r="P25" s="8" t="n">
        <v>0</v>
      </c>
      <c r="Q25" s="8" t="n">
        <v>948.8805230486279</v>
      </c>
      <c r="R25" s="8" t="n">
        <v>17.85865482039552</v>
      </c>
      <c r="S25" s="8" t="n">
        <v>0</v>
      </c>
      <c r="T25" s="8" t="n">
        <v>0</v>
      </c>
      <c r="U25">
        <f>SUM(M25:T25)</f>
        <v/>
      </c>
    </row>
    <row r="26">
      <c r="A26" s="10" t="n">
        <v>0.4791666666666667</v>
      </c>
      <c r="B26" s="5" t="n">
        <v>17884.21551502959</v>
      </c>
      <c r="C26" s="5" t="n">
        <v>4150.759081504755</v>
      </c>
      <c r="D26" s="5" t="n">
        <v>205.3986439104838</v>
      </c>
      <c r="E26" s="5" t="n">
        <v>127.0345146668266</v>
      </c>
      <c r="F26" s="5" t="n">
        <v>57.19636346369752</v>
      </c>
      <c r="G26" s="5" t="n">
        <v>80.60552234283146</v>
      </c>
      <c r="H26" s="5" t="n">
        <v>0.1697460835402537</v>
      </c>
      <c r="I26" s="5" t="n">
        <v>0</v>
      </c>
      <c r="J26" s="5">
        <f>SUM(B26:I26)</f>
        <v/>
      </c>
      <c r="L26" s="10" t="n">
        <v>0.4791666666666667</v>
      </c>
      <c r="M26" s="8" t="n">
        <v>35841.7572324276</v>
      </c>
      <c r="N26" s="8" t="n">
        <v>6810.169020271301</v>
      </c>
      <c r="O26" s="8" t="n">
        <v>0</v>
      </c>
      <c r="P26" s="8" t="n">
        <v>0</v>
      </c>
      <c r="Q26" s="8" t="n">
        <v>1087.302292993387</v>
      </c>
      <c r="R26" s="8" t="n">
        <v>21.74234235172297</v>
      </c>
      <c r="S26" s="8" t="n">
        <v>0</v>
      </c>
      <c r="T26" s="8" t="n">
        <v>0</v>
      </c>
      <c r="U26">
        <f>SUM(M26:T26)</f>
        <v/>
      </c>
    </row>
    <row r="27">
      <c r="A27" s="10" t="n">
        <v>0.5</v>
      </c>
      <c r="B27" s="5" t="n">
        <v>22893.9990687328</v>
      </c>
      <c r="C27" s="5" t="n">
        <v>4247.543015737399</v>
      </c>
      <c r="D27" s="5" t="n">
        <v>341.8122378723977</v>
      </c>
      <c r="E27" s="5" t="n">
        <v>91.87195726969092</v>
      </c>
      <c r="F27" s="5" t="n">
        <v>66.2655751676056</v>
      </c>
      <c r="G27" s="5" t="n">
        <v>130.9839738071011</v>
      </c>
      <c r="H27" s="5" t="n">
        <v>0.5431874673288117</v>
      </c>
      <c r="I27" s="5" t="n">
        <v>0</v>
      </c>
      <c r="J27" s="5">
        <f>SUM(B27:I27)</f>
        <v/>
      </c>
      <c r="L27" s="10" t="n">
        <v>0.5</v>
      </c>
      <c r="M27" s="8" t="n">
        <v>39774.05920724869</v>
      </c>
      <c r="N27" s="8" t="n">
        <v>7273.763483142853</v>
      </c>
      <c r="O27" s="8" t="n">
        <v>0</v>
      </c>
      <c r="P27" s="8" t="n">
        <v>0</v>
      </c>
      <c r="Q27" s="8" t="n">
        <v>1224.479103211946</v>
      </c>
      <c r="R27" s="8" t="n">
        <v>25.93442397642687</v>
      </c>
      <c r="S27" s="8" t="n">
        <v>0</v>
      </c>
      <c r="T27" s="8" t="n">
        <v>0</v>
      </c>
      <c r="U27">
        <f>SUM(M27:T27)</f>
        <v/>
      </c>
    </row>
    <row r="28">
      <c r="A28" s="10" t="n">
        <v>0.5208333333333334</v>
      </c>
      <c r="B28" s="5" t="n">
        <v>29333.07201180319</v>
      </c>
      <c r="C28" s="5" t="n">
        <v>4843.612727000862</v>
      </c>
      <c r="D28" s="5" t="n">
        <v>614.9507560258974</v>
      </c>
      <c r="E28" s="5" t="n">
        <v>69.44310650310373</v>
      </c>
      <c r="F28" s="5" t="n">
        <v>87.37579807986866</v>
      </c>
      <c r="G28" s="5" t="n">
        <v>174.6452984094682</v>
      </c>
      <c r="H28" s="5" t="n">
        <v>1.357968668322029</v>
      </c>
      <c r="I28" s="5" t="n">
        <v>0</v>
      </c>
      <c r="J28" s="5">
        <f>SUM(B28:I28)</f>
        <v/>
      </c>
      <c r="L28" s="10" t="n">
        <v>0.5208333333333334</v>
      </c>
      <c r="M28" s="8" t="n">
        <v>44219.35049939155</v>
      </c>
      <c r="N28" s="8" t="n">
        <v>7743.342244958878</v>
      </c>
      <c r="O28" s="8" t="n">
        <v>0</v>
      </c>
      <c r="P28" s="8" t="n">
        <v>0</v>
      </c>
      <c r="Q28" s="8" t="n">
        <v>1377.541143033425</v>
      </c>
      <c r="R28" s="8" t="n">
        <v>30.87781181463951</v>
      </c>
      <c r="S28" s="8" t="n">
        <v>0</v>
      </c>
      <c r="T28" s="8" t="n">
        <v>0</v>
      </c>
      <c r="U28">
        <f>SUM(M28:T28)</f>
        <v/>
      </c>
    </row>
    <row r="29">
      <c r="A29" s="10" t="n">
        <v>0.5416666666666666</v>
      </c>
      <c r="B29" s="5" t="n">
        <v>37762.92471946454</v>
      </c>
      <c r="C29" s="5" t="n">
        <v>5928.836006890138</v>
      </c>
      <c r="D29" s="5" t="n">
        <v>976.7619663677292</v>
      </c>
      <c r="E29" s="5" t="n">
        <v>66.91274102916724</v>
      </c>
      <c r="F29" s="5" t="n">
        <v>131.6523831469866</v>
      </c>
      <c r="G29" s="5" t="n">
        <v>192.109828250415</v>
      </c>
      <c r="H29" s="5" t="n">
        <v>2.715937336644058</v>
      </c>
      <c r="I29" s="5" t="n">
        <v>0</v>
      </c>
      <c r="J29" s="5">
        <f>SUM(B29:I29)</f>
        <v/>
      </c>
      <c r="L29" s="10" t="n">
        <v>0.5416666666666666</v>
      </c>
      <c r="M29" s="8" t="n">
        <v>49893.61107754706</v>
      </c>
      <c r="N29" s="8" t="n">
        <v>8318.807117271424</v>
      </c>
      <c r="O29" s="8" t="n">
        <v>0</v>
      </c>
      <c r="P29" s="8" t="n">
        <v>0</v>
      </c>
      <c r="Q29" s="8" t="n">
        <v>1569.36615207112</v>
      </c>
      <c r="R29" s="8" t="n">
        <v>37.2692084998498</v>
      </c>
      <c r="S29" s="8" t="n">
        <v>0</v>
      </c>
      <c r="T29" s="8" t="n">
        <v>0</v>
      </c>
      <c r="U29">
        <f>SUM(M29:T29)</f>
        <v/>
      </c>
    </row>
    <row r="30">
      <c r="A30" s="10" t="n">
        <v>0.5625</v>
      </c>
      <c r="B30" s="5" t="n">
        <v>48384.65555685491</v>
      </c>
      <c r="C30" s="5" t="n">
        <v>7266.025214777861</v>
      </c>
      <c r="D30" s="5" t="n">
        <v>1296.463803642647</v>
      </c>
      <c r="E30" s="5" t="n">
        <v>80.33128615113736</v>
      </c>
      <c r="F30" s="5" t="n">
        <v>218.4160077799945</v>
      </c>
      <c r="G30" s="5" t="n">
        <v>174.6452984094682</v>
      </c>
      <c r="H30" s="5" t="n">
        <v>4.413398172046595</v>
      </c>
      <c r="I30" s="5" t="n">
        <v>0</v>
      </c>
      <c r="J30" s="5">
        <f>SUM(B30:I30)</f>
        <v/>
      </c>
      <c r="L30" s="10" t="n">
        <v>0.5625</v>
      </c>
      <c r="M30" s="8" t="n">
        <v>57626.83434991835</v>
      </c>
      <c r="N30" s="8" t="n">
        <v>9100.165289402008</v>
      </c>
      <c r="O30" s="8" t="n">
        <v>0</v>
      </c>
      <c r="P30" s="8" t="n">
        <v>0</v>
      </c>
      <c r="Q30" s="8" t="n">
        <v>1828.471391883317</v>
      </c>
      <c r="R30" s="8" t="n">
        <v>46.02909574241261</v>
      </c>
      <c r="S30" s="8" t="n">
        <v>0</v>
      </c>
      <c r="T30" s="8" t="n">
        <v>0</v>
      </c>
      <c r="U30">
        <f>SUM(M30:T30)</f>
        <v/>
      </c>
    </row>
    <row r="31">
      <c r="A31" s="10" t="n">
        <v>0.5833333333333334</v>
      </c>
      <c r="B31" s="5" t="n">
        <v>60823.65742192311</v>
      </c>
      <c r="C31" s="5" t="n">
        <v>8585.927949550243</v>
      </c>
      <c r="D31" s="5" t="n">
        <v>1424.970872462517</v>
      </c>
      <c r="E31" s="5" t="n">
        <v>98.33482747560279</v>
      </c>
      <c r="F31" s="5" t="n">
        <v>369.0163721255137</v>
      </c>
      <c r="G31" s="5" t="n">
        <v>130.9839738071011</v>
      </c>
      <c r="H31" s="5" t="n">
        <v>5.884530896062127</v>
      </c>
      <c r="I31" s="5" t="n">
        <v>0</v>
      </c>
      <c r="J31" s="5">
        <f>SUM(B31:I31)</f>
        <v/>
      </c>
      <c r="L31" s="10" t="n">
        <v>0.5833333333333334</v>
      </c>
      <c r="M31" s="8" t="n">
        <v>68222.2155341148</v>
      </c>
      <c r="N31" s="8" t="n">
        <v>10178.83014922142</v>
      </c>
      <c r="O31" s="8" t="n">
        <v>0</v>
      </c>
      <c r="P31" s="8" t="n">
        <v>0</v>
      </c>
      <c r="Q31" s="8" t="n">
        <v>2183.555014755063</v>
      </c>
      <c r="R31" s="8" t="n">
        <v>58.12779773941025</v>
      </c>
      <c r="S31" s="8" t="n">
        <v>0</v>
      </c>
      <c r="T31" s="8" t="n">
        <v>0</v>
      </c>
      <c r="U31">
        <f>SUM(M31:T31)</f>
        <v/>
      </c>
    </row>
    <row r="32">
      <c r="A32" s="10" t="n">
        <v>0.6041666666666666</v>
      </c>
      <c r="B32" s="5" t="n">
        <v>74064.58910523547</v>
      </c>
      <c r="C32" s="5" t="n">
        <v>9764.804624406786</v>
      </c>
      <c r="D32" s="5" t="n">
        <v>1295.461848944779</v>
      </c>
      <c r="E32" s="5" t="n">
        <v>108.6734690433604</v>
      </c>
      <c r="F32" s="5" t="n">
        <v>589.2018542094663</v>
      </c>
      <c r="G32" s="5" t="n">
        <v>80.60582883771426</v>
      </c>
      <c r="H32" s="5" t="n">
        <v>6.472983985668339</v>
      </c>
      <c r="I32" s="5" t="n">
        <v>0</v>
      </c>
      <c r="J32" s="5">
        <f>SUM(B32:I32)</f>
        <v/>
      </c>
      <c r="L32" s="10" t="n">
        <v>0.6041666666666666</v>
      </c>
      <c r="M32" s="8" t="n">
        <v>81976.63692784306</v>
      </c>
      <c r="N32" s="8" t="n">
        <v>11585.59799451828</v>
      </c>
      <c r="O32" s="8" t="n">
        <v>0</v>
      </c>
      <c r="P32" s="8" t="n">
        <v>0</v>
      </c>
      <c r="Q32" s="8" t="n">
        <v>2647.892440877628</v>
      </c>
      <c r="R32" s="8" t="n">
        <v>74.14712747214949</v>
      </c>
      <c r="S32" s="8" t="n">
        <v>0</v>
      </c>
      <c r="T32" s="8" t="n">
        <v>0</v>
      </c>
      <c r="U32">
        <f>SUM(M32:T32)</f>
        <v/>
      </c>
    </row>
    <row r="33">
      <c r="A33" s="10" t="n">
        <v>0.625</v>
      </c>
      <c r="B33" s="5" t="n">
        <v>86452.1556727133</v>
      </c>
      <c r="C33" s="5" t="n">
        <v>10824.25707596428</v>
      </c>
      <c r="D33" s="5" t="n">
        <v>972.4159601040831</v>
      </c>
      <c r="E33" s="5" t="n">
        <v>104.61986118063</v>
      </c>
      <c r="F33" s="5" t="n">
        <v>851.9984856904248</v>
      </c>
      <c r="G33" s="5" t="n">
        <v>40.31148969791754</v>
      </c>
      <c r="H33" s="5" t="n">
        <v>5.884530896062126</v>
      </c>
      <c r="I33" s="5" t="n">
        <v>0</v>
      </c>
      <c r="J33" s="5">
        <f>SUM(B33:I33)</f>
        <v/>
      </c>
      <c r="L33" s="10" t="n">
        <v>0.625</v>
      </c>
      <c r="M33" s="8" t="n">
        <v>98032.33750376698</v>
      </c>
      <c r="N33" s="8" t="n">
        <v>13218.53852458</v>
      </c>
      <c r="O33" s="8" t="n">
        <v>0</v>
      </c>
      <c r="P33" s="8" t="n">
        <v>0</v>
      </c>
      <c r="Q33" s="8" t="n">
        <v>3198.932984865088</v>
      </c>
      <c r="R33" s="8" t="n">
        <v>93.6957574707413</v>
      </c>
      <c r="S33" s="8" t="n">
        <v>0</v>
      </c>
      <c r="T33" s="8" t="n">
        <v>0</v>
      </c>
      <c r="U33">
        <f>SUM(M33:T33)</f>
        <v/>
      </c>
    </row>
    <row r="34">
      <c r="A34" s="10" t="n">
        <v>0.6458333333333334</v>
      </c>
      <c r="B34" s="5" t="n">
        <v>95810.81379446998</v>
      </c>
      <c r="C34" s="5" t="n">
        <v>11774.97613823482</v>
      </c>
      <c r="D34" s="5" t="n">
        <v>601.181150537032</v>
      </c>
      <c r="E34" s="5" t="n">
        <v>87.57865463973903</v>
      </c>
      <c r="F34" s="5" t="n">
        <v>1103.138578052842</v>
      </c>
      <c r="G34" s="5" t="n">
        <v>16.23211108822042</v>
      </c>
      <c r="H34" s="5" t="n">
        <v>4.413398172046595</v>
      </c>
      <c r="I34" s="5" t="n">
        <v>0</v>
      </c>
      <c r="J34" s="5">
        <f>SUM(B34:I34)</f>
        <v/>
      </c>
      <c r="L34" s="10" t="n">
        <v>0.6458333333333334</v>
      </c>
      <c r="M34" s="8" t="n">
        <v>114026.2275373459</v>
      </c>
      <c r="N34" s="8" t="n">
        <v>14811.71882920265</v>
      </c>
      <c r="O34" s="8" t="n">
        <v>0</v>
      </c>
      <c r="P34" s="8" t="n">
        <v>0</v>
      </c>
      <c r="Q34" s="8" t="n">
        <v>3766.61584131588</v>
      </c>
      <c r="R34" s="8" t="n">
        <v>115.0104868497187</v>
      </c>
      <c r="S34" s="8" t="n">
        <v>0</v>
      </c>
      <c r="T34" s="8" t="n">
        <v>0</v>
      </c>
      <c r="U34">
        <f>SUM(M34:T34)</f>
        <v/>
      </c>
    </row>
    <row r="35">
      <c r="A35" s="10" t="n">
        <v>0.6666666666666666</v>
      </c>
      <c r="B35" s="5" t="n">
        <v>99880.10943868215</v>
      </c>
      <c r="C35" s="5" t="n">
        <v>12482.07874048336</v>
      </c>
      <c r="D35" s="5" t="n">
        <v>308.1130099408807</v>
      </c>
      <c r="E35" s="5" t="n">
        <v>64.35287140029928</v>
      </c>
      <c r="F35" s="5" t="n">
        <v>1294.312028419608</v>
      </c>
      <c r="G35" s="5" t="n">
        <v>5.899761053611465</v>
      </c>
      <c r="H35" s="5" t="n">
        <v>2.715937336644058</v>
      </c>
      <c r="I35" s="5" t="n">
        <v>0</v>
      </c>
      <c r="J35" s="5">
        <f>SUM(B35:I35)</f>
        <v/>
      </c>
      <c r="L35" s="10" t="n">
        <v>0.6666666666666666</v>
      </c>
      <c r="M35" s="8" t="n">
        <v>126445.6493842601</v>
      </c>
      <c r="N35" s="8" t="n">
        <v>15986.97338418961</v>
      </c>
      <c r="O35" s="8" t="n">
        <v>0</v>
      </c>
      <c r="P35" s="8" t="n">
        <v>0</v>
      </c>
      <c r="Q35" s="8" t="n">
        <v>4242.486600558081</v>
      </c>
      <c r="R35" s="8" t="n">
        <v>135.0469598113879</v>
      </c>
      <c r="S35" s="8" t="n">
        <v>0</v>
      </c>
      <c r="T35" s="8" t="n">
        <v>0</v>
      </c>
      <c r="U35">
        <f>SUM(M35:T35)</f>
        <v/>
      </c>
    </row>
    <row r="36">
      <c r="A36" s="10" t="n">
        <v>0.6875</v>
      </c>
      <c r="B36" s="5" t="n">
        <v>97124.74891857196</v>
      </c>
      <c r="C36" s="5" t="n">
        <v>12697.42561090935</v>
      </c>
      <c r="D36" s="5" t="n">
        <v>140.0989115517414</v>
      </c>
      <c r="E36" s="5" t="n">
        <v>41.98529318179537</v>
      </c>
      <c r="F36" s="5" t="n">
        <v>1413.126413000143</v>
      </c>
      <c r="G36" s="5" t="n">
        <v>5.840221970641222</v>
      </c>
      <c r="H36" s="5" t="n">
        <v>1.357968668322029</v>
      </c>
      <c r="I36" s="5" t="n">
        <v>0</v>
      </c>
      <c r="J36" s="5">
        <f>SUM(B36:I36)</f>
        <v/>
      </c>
      <c r="L36" s="10" t="n">
        <v>0.6875</v>
      </c>
      <c r="M36" s="8" t="n">
        <v>131736.2839660644</v>
      </c>
      <c r="N36" s="8" t="n">
        <v>16380.05853786469</v>
      </c>
      <c r="O36" s="8" t="n">
        <v>0</v>
      </c>
      <c r="P36" s="8" t="n">
        <v>0</v>
      </c>
      <c r="Q36" s="8" t="n">
        <v>4511.974442277708</v>
      </c>
      <c r="R36" s="8" t="n">
        <v>150.1887547265719</v>
      </c>
      <c r="S36" s="8" t="n">
        <v>0</v>
      </c>
      <c r="T36" s="8" t="n">
        <v>0</v>
      </c>
      <c r="U36">
        <f>SUM(M36:T36)</f>
        <v/>
      </c>
    </row>
    <row r="37">
      <c r="A37" s="10" t="n">
        <v>0.7083333333333334</v>
      </c>
      <c r="B37" s="5" t="n">
        <v>87581.73188687995</v>
      </c>
      <c r="C37" s="5" t="n">
        <v>12230.65958874789</v>
      </c>
      <c r="D37" s="5" t="n">
        <v>75.19392903562088</v>
      </c>
      <c r="E37" s="5" t="n">
        <v>24.51139180367552</v>
      </c>
      <c r="F37" s="5" t="n">
        <v>1472.424604609402</v>
      </c>
      <c r="G37" s="5" t="n">
        <v>18.98324241301167</v>
      </c>
      <c r="H37" s="5" t="n">
        <v>0.5431874673288116</v>
      </c>
      <c r="I37" s="5" t="n">
        <v>0</v>
      </c>
      <c r="J37" s="5">
        <f>SUM(B37:I37)</f>
        <v/>
      </c>
      <c r="L37" s="10" t="n">
        <v>0.7083333333333334</v>
      </c>
      <c r="M37" s="8" t="n">
        <v>127757.8684889317</v>
      </c>
      <c r="N37" s="8" t="n">
        <v>15789.57238607407</v>
      </c>
      <c r="O37" s="8" t="n">
        <v>0</v>
      </c>
      <c r="P37" s="8" t="n">
        <v>0</v>
      </c>
      <c r="Q37" s="8" t="n">
        <v>4499.278853591431</v>
      </c>
      <c r="R37" s="8" t="n">
        <v>157.4869183053987</v>
      </c>
      <c r="S37" s="8" t="n">
        <v>0</v>
      </c>
      <c r="T37" s="8" t="n">
        <v>0</v>
      </c>
      <c r="U37">
        <f>SUM(M37:T37)</f>
        <v/>
      </c>
    </row>
    <row r="38">
      <c r="A38" s="10" t="n">
        <v>0.7291666666666666</v>
      </c>
      <c r="B38" s="5" t="n">
        <v>73142.63537635746</v>
      </c>
      <c r="C38" s="5" t="n">
        <v>11104.62693263988</v>
      </c>
      <c r="D38" s="5" t="n">
        <v>66.67982595656501</v>
      </c>
      <c r="E38" s="5" t="n">
        <v>12.9018844539202</v>
      </c>
      <c r="F38" s="5" t="n">
        <v>1470.633131023921</v>
      </c>
      <c r="G38" s="5" t="n">
        <v>59.32052510763141</v>
      </c>
      <c r="H38" s="5" t="n">
        <v>0.1697460835402537</v>
      </c>
      <c r="I38" s="5" t="n">
        <v>0</v>
      </c>
      <c r="J38" s="5">
        <f>SUM(B38:I38)</f>
        <v/>
      </c>
      <c r="L38" s="10" t="n">
        <v>0.7291666666666666</v>
      </c>
      <c r="M38" s="8" t="n">
        <v>114857.5998266697</v>
      </c>
      <c r="N38" s="8" t="n">
        <v>14277.02747001648</v>
      </c>
      <c r="O38" s="8" t="n">
        <v>0</v>
      </c>
      <c r="P38" s="8" t="n">
        <v>0</v>
      </c>
      <c r="Q38" s="8" t="n">
        <v>4203.393881458879</v>
      </c>
      <c r="R38" s="8" t="n">
        <v>155.9765856585942</v>
      </c>
      <c r="S38" s="8" t="n">
        <v>0</v>
      </c>
      <c r="T38" s="8" t="n">
        <v>0</v>
      </c>
      <c r="U38">
        <f>SUM(M38:T38)</f>
        <v/>
      </c>
    </row>
    <row r="39">
      <c r="A39" s="10" t="n">
        <v>0.75</v>
      </c>
      <c r="B39" s="5" t="n">
        <v>56911.76194980008</v>
      </c>
      <c r="C39" s="5" t="n">
        <v>9570.725974617941</v>
      </c>
      <c r="D39" s="5" t="n">
        <v>75.27742086424971</v>
      </c>
      <c r="E39" s="5" t="n">
        <v>6.428392324809177</v>
      </c>
      <c r="F39" s="5" t="n">
        <v>1379.210816028723</v>
      </c>
      <c r="G39" s="5" t="n">
        <v>151.2169734272894</v>
      </c>
      <c r="H39" s="5" t="n">
        <v>0.03994025495064792</v>
      </c>
      <c r="I39" s="5" t="n">
        <v>0</v>
      </c>
      <c r="J39" s="5">
        <f>SUM(B39:I39)</f>
        <v/>
      </c>
      <c r="L39" s="10" t="n">
        <v>0.75</v>
      </c>
      <c r="M39" s="8" t="n">
        <v>95875.32591128349</v>
      </c>
      <c r="N39" s="8" t="n">
        <v>12157.10203185082</v>
      </c>
      <c r="O39" s="8" t="n">
        <v>0</v>
      </c>
      <c r="P39" s="8" t="n">
        <v>0</v>
      </c>
      <c r="Q39" s="8" t="n">
        <v>3702.856316586795</v>
      </c>
      <c r="R39" s="8" t="n">
        <v>147.2475710936843</v>
      </c>
      <c r="S39" s="8" t="n">
        <v>0</v>
      </c>
      <c r="T39" s="8" t="n">
        <v>0</v>
      </c>
      <c r="U39">
        <f>SUM(M39:T39)</f>
        <v/>
      </c>
    </row>
    <row r="40">
      <c r="A40" s="10" t="n">
        <v>0.7708333333333334</v>
      </c>
      <c r="B40" s="5" t="n">
        <v>41928.0072255733</v>
      </c>
      <c r="C40" s="5" t="n">
        <v>7982.245253642566</v>
      </c>
      <c r="D40" s="5" t="n">
        <v>78.65353103826061</v>
      </c>
      <c r="E40" s="5" t="n">
        <v>3.721664825845943</v>
      </c>
      <c r="F40" s="5" t="n">
        <v>1181.858685058031</v>
      </c>
      <c r="G40" s="5" t="n">
        <v>319.4400225427011</v>
      </c>
      <c r="H40" s="5" t="n">
        <v>0.00665670915844132</v>
      </c>
      <c r="I40" s="5" t="n">
        <v>0</v>
      </c>
      <c r="J40" s="5">
        <f>SUM(B40:I40)</f>
        <v/>
      </c>
      <c r="L40" s="10" t="n">
        <v>0.7708333333333334</v>
      </c>
      <c r="M40" s="8" t="n">
        <v>74958.48582282066</v>
      </c>
      <c r="N40" s="8" t="n">
        <v>9869.826751756669</v>
      </c>
      <c r="O40" s="8" t="n">
        <v>0</v>
      </c>
      <c r="P40" s="8" t="n">
        <v>0</v>
      </c>
      <c r="Q40" s="8" t="n">
        <v>3122.32059297869</v>
      </c>
      <c r="R40" s="8" t="n">
        <v>134.6677592854744</v>
      </c>
      <c r="S40" s="8" t="n">
        <v>0</v>
      </c>
      <c r="T40" s="8" t="n">
        <v>0</v>
      </c>
      <c r="U40">
        <f>SUM(M40:T40)</f>
        <v/>
      </c>
    </row>
    <row r="41">
      <c r="A41" s="10" t="n">
        <v>0.7916666666666666</v>
      </c>
      <c r="B41" s="5" t="n">
        <v>30033.53284846192</v>
      </c>
      <c r="C41" s="5" t="n">
        <v>6620.391239595958</v>
      </c>
      <c r="D41" s="5" t="n">
        <v>69.54854650127116</v>
      </c>
      <c r="E41" s="5" t="n">
        <v>3.256678418129541</v>
      </c>
      <c r="F41" s="5" t="n">
        <v>918.4905654789773</v>
      </c>
      <c r="G41" s="5" t="n">
        <v>571.2369338013928</v>
      </c>
      <c r="H41" s="5" t="n">
        <v>0.0007007062272043496</v>
      </c>
      <c r="I41" s="5" t="n">
        <v>0</v>
      </c>
      <c r="J41" s="5">
        <f>SUM(B41:I41)</f>
        <v/>
      </c>
      <c r="L41" s="10" t="n">
        <v>0.7916666666666666</v>
      </c>
      <c r="M41" s="8" t="n">
        <v>55849.67925791739</v>
      </c>
      <c r="N41" s="8" t="n">
        <v>7801.44574995041</v>
      </c>
      <c r="O41" s="8" t="n">
        <v>0</v>
      </c>
      <c r="P41" s="8" t="n">
        <v>0</v>
      </c>
      <c r="Q41" s="8" t="n">
        <v>2578.90281461653</v>
      </c>
      <c r="R41" s="8" t="n">
        <v>121.6493712747581</v>
      </c>
      <c r="S41" s="8" t="n">
        <v>0</v>
      </c>
      <c r="T41" s="8" t="n">
        <v>0</v>
      </c>
      <c r="U41">
        <f>SUM(M41:T41)</f>
        <v/>
      </c>
    </row>
    <row r="42">
      <c r="A42" s="10" t="n">
        <v>0.8125</v>
      </c>
      <c r="B42" s="5" t="n">
        <v>21553.9216253475</v>
      </c>
      <c r="C42" s="5" t="n">
        <v>5585.736789134608</v>
      </c>
      <c r="D42" s="5" t="n">
        <v>51.11831358216961</v>
      </c>
      <c r="E42" s="5" t="n">
        <v>3.638463126111644</v>
      </c>
      <c r="F42" s="5" t="n">
        <v>675.4109672955269</v>
      </c>
      <c r="G42" s="5" t="n">
        <v>882.1941226322518</v>
      </c>
      <c r="H42" s="5" t="n">
        <v>3.503531136021747e-05</v>
      </c>
      <c r="I42" s="5" t="n">
        <v>0</v>
      </c>
      <c r="J42" s="5">
        <f>SUM(B42:I42)</f>
        <v/>
      </c>
      <c r="L42" s="10" t="n">
        <v>0.8125</v>
      </c>
      <c r="M42" s="8" t="n">
        <v>40656.5625617504</v>
      </c>
      <c r="N42" s="8" t="n">
        <v>6157.656867837906</v>
      </c>
      <c r="O42" s="8" t="n">
        <v>0</v>
      </c>
      <c r="P42" s="8" t="n">
        <v>0</v>
      </c>
      <c r="Q42" s="8" t="n">
        <v>2140.435141339432</v>
      </c>
      <c r="R42" s="8" t="n">
        <v>110.2133369765293</v>
      </c>
      <c r="S42" s="8" t="n">
        <v>0</v>
      </c>
      <c r="T42" s="8" t="n">
        <v>0</v>
      </c>
      <c r="U42">
        <f>SUM(M42:T42)</f>
        <v/>
      </c>
    </row>
    <row r="43">
      <c r="A43" s="10" t="n">
        <v>0.8333333333333334</v>
      </c>
      <c r="B43" s="5" t="n">
        <v>15824.78044531754</v>
      </c>
      <c r="C43" s="5" t="n">
        <v>4813.59106549367</v>
      </c>
      <c r="D43" s="5" t="n">
        <v>30.96469881439583</v>
      </c>
      <c r="E43" s="5" t="n">
        <v>3.863651595804487</v>
      </c>
      <c r="F43" s="5" t="n">
        <v>526.5218480994731</v>
      </c>
      <c r="G43" s="5" t="n">
        <v>1198.749032896567</v>
      </c>
      <c r="H43" s="5" t="n">
        <v>0</v>
      </c>
      <c r="I43" s="5" t="n">
        <v>0</v>
      </c>
      <c r="J43" s="5">
        <f>SUM(B43:I43)</f>
        <v/>
      </c>
      <c r="L43" s="10" t="n">
        <v>0.8333333333333334</v>
      </c>
      <c r="M43" s="8" t="n">
        <v>29687.75000920296</v>
      </c>
      <c r="N43" s="8" t="n">
        <v>4952.143672657013</v>
      </c>
      <c r="O43" s="8" t="n">
        <v>0</v>
      </c>
      <c r="P43" s="8" t="n">
        <v>0</v>
      </c>
      <c r="Q43" s="8" t="n">
        <v>1817.843741384419</v>
      </c>
      <c r="R43" s="8" t="n">
        <v>100.8262358407344</v>
      </c>
      <c r="S43" s="8" t="n">
        <v>0</v>
      </c>
      <c r="T43" s="8" t="n">
        <v>0</v>
      </c>
      <c r="U43">
        <f>SUM(M43:T43)</f>
        <v/>
      </c>
    </row>
    <row r="44">
      <c r="A44" s="10" t="n">
        <v>0.8541666666666666</v>
      </c>
      <c r="B44" s="5" t="n">
        <v>12007.96881250776</v>
      </c>
      <c r="C44" s="5" t="n">
        <v>4178.507294291921</v>
      </c>
      <c r="D44" s="5" t="n">
        <v>15.28947296208932</v>
      </c>
      <c r="E44" s="5" t="n">
        <v>3.492589598508388</v>
      </c>
      <c r="F44" s="5" t="n">
        <v>482.7815089200617</v>
      </c>
      <c r="G44" s="5" t="n">
        <v>1455.667955624561</v>
      </c>
      <c r="H44" s="5" t="n">
        <v>0</v>
      </c>
      <c r="I44" s="5" t="n">
        <v>0</v>
      </c>
      <c r="J44" s="5">
        <f>SUM(B44:I44)</f>
        <v/>
      </c>
      <c r="L44" s="10" t="n">
        <v>0.8541666666666666</v>
      </c>
      <c r="M44" s="8" t="n">
        <v>22141.23314819336</v>
      </c>
      <c r="N44" s="8" t="n">
        <v>4087.797092962265</v>
      </c>
      <c r="O44" s="8" t="n">
        <v>0</v>
      </c>
      <c r="P44" s="8" t="n">
        <v>0</v>
      </c>
      <c r="Q44" s="8" t="n">
        <v>1587.682624849568</v>
      </c>
      <c r="R44" s="8" t="n">
        <v>93.27360802239065</v>
      </c>
      <c r="S44" s="8" t="n">
        <v>0</v>
      </c>
      <c r="T44" s="8" t="n">
        <v>0</v>
      </c>
      <c r="U44">
        <f>SUM(M44:T44)</f>
        <v/>
      </c>
    </row>
    <row r="45">
      <c r="A45" s="10" t="n">
        <v>0.875</v>
      </c>
      <c r="B45" s="5" t="n">
        <v>9560.986703445202</v>
      </c>
      <c r="C45" s="5" t="n">
        <v>3590.287484747079</v>
      </c>
      <c r="D45" s="5" t="n">
        <v>6.054655833486948</v>
      </c>
      <c r="E45" s="5" t="n">
        <v>2.617625279094186</v>
      </c>
      <c r="F45" s="5" t="n">
        <v>492.4351656061038</v>
      </c>
      <c r="G45" s="5" t="n">
        <v>1594.327092325953</v>
      </c>
      <c r="H45" s="5" t="n">
        <v>0</v>
      </c>
      <c r="I45" s="5" t="n">
        <v>0</v>
      </c>
      <c r="J45" s="5">
        <f>SUM(B45:I45)</f>
        <v/>
      </c>
      <c r="L45" s="10" t="n">
        <v>0.875</v>
      </c>
      <c r="M45" s="8" t="n">
        <v>16960.92374887467</v>
      </c>
      <c r="N45" s="8" t="n">
        <v>3452.092909717559</v>
      </c>
      <c r="O45" s="8" t="n">
        <v>0</v>
      </c>
      <c r="P45" s="8" t="n">
        <v>0</v>
      </c>
      <c r="Q45" s="8" t="n">
        <v>1420.63056414968</v>
      </c>
      <c r="R45" s="8" t="n">
        <v>87.44461795344191</v>
      </c>
      <c r="S45" s="8" t="n">
        <v>0</v>
      </c>
      <c r="T45" s="8" t="n">
        <v>0</v>
      </c>
      <c r="U45">
        <f>SUM(M45:T45)</f>
        <v/>
      </c>
    </row>
    <row r="46">
      <c r="A46" s="10" t="n">
        <v>0.8958333333333334</v>
      </c>
      <c r="B46" s="5" t="n">
        <v>8161.242513998866</v>
      </c>
      <c r="C46" s="5" t="n">
        <v>3014.714276346114</v>
      </c>
      <c r="D46" s="5" t="n">
        <v>1.876785434281301</v>
      </c>
      <c r="E46" s="5" t="n">
        <v>1.610766460990396</v>
      </c>
      <c r="F46" s="5" t="n">
        <v>485.0546903558172</v>
      </c>
      <c r="G46" s="5" t="n">
        <v>1575.297170466661</v>
      </c>
      <c r="H46" s="5" t="n">
        <v>0</v>
      </c>
      <c r="I46" s="5" t="n">
        <v>0</v>
      </c>
      <c r="J46" s="5">
        <f>SUM(B46:I46)</f>
        <v/>
      </c>
      <c r="L46" s="10" t="n">
        <v>0.8958333333333334</v>
      </c>
      <c r="M46" s="8" t="n">
        <v>13320.35540084839</v>
      </c>
      <c r="N46" s="8" t="n">
        <v>2962.822288656234</v>
      </c>
      <c r="O46" s="8" t="n">
        <v>0</v>
      </c>
      <c r="P46" s="8" t="n">
        <v>0</v>
      </c>
      <c r="Q46" s="8" t="n">
        <v>1293.855677451916</v>
      </c>
      <c r="R46" s="8" t="n">
        <v>83.20080367351687</v>
      </c>
      <c r="S46" s="8" t="n">
        <v>0</v>
      </c>
      <c r="T46" s="8" t="n">
        <v>0</v>
      </c>
      <c r="U46">
        <f>SUM(M46:T46)</f>
        <v/>
      </c>
    </row>
    <row r="47">
      <c r="A47" s="10" t="n">
        <v>0.9166666666666666</v>
      </c>
      <c r="B47" s="5" t="n">
        <v>7408.718781287758</v>
      </c>
      <c r="C47" s="5" t="n">
        <v>2442.682997128723</v>
      </c>
      <c r="D47" s="5" t="n">
        <v>0.4386900447153368</v>
      </c>
      <c r="E47" s="5" t="n">
        <v>0.8053832304951978</v>
      </c>
      <c r="F47" s="5" t="n">
        <v>420.6697302290727</v>
      </c>
      <c r="G47" s="5" t="n">
        <v>1391.852687252123</v>
      </c>
      <c r="H47" s="5" t="n">
        <v>0</v>
      </c>
      <c r="I47" s="5" t="n">
        <v>0</v>
      </c>
      <c r="J47" s="5">
        <f>SUM(B47:I47)</f>
        <v/>
      </c>
      <c r="L47" s="10" t="n">
        <v>0.9166666666666666</v>
      </c>
      <c r="M47" s="8" t="n">
        <v>10665.51159777641</v>
      </c>
      <c r="N47" s="8" t="n">
        <v>2560.390814256668</v>
      </c>
      <c r="O47" s="8" t="n">
        <v>0</v>
      </c>
      <c r="P47" s="8" t="n">
        <v>0</v>
      </c>
      <c r="Q47" s="8" t="n">
        <v>1185.65252244832</v>
      </c>
      <c r="R47" s="8" t="n">
        <v>79.62318076029482</v>
      </c>
      <c r="S47" s="8" t="n">
        <v>0</v>
      </c>
      <c r="T47" s="8" t="n">
        <v>0</v>
      </c>
      <c r="U47">
        <f>SUM(M47:T47)</f>
        <v/>
      </c>
    </row>
    <row r="48">
      <c r="A48" s="10" t="n">
        <v>0.9375</v>
      </c>
      <c r="B48" s="5" t="n">
        <v>6754.204402803904</v>
      </c>
      <c r="C48" s="5" t="n">
        <v>1872.400667206734</v>
      </c>
      <c r="D48" s="5" t="n">
        <v>0.07272081085215504</v>
      </c>
      <c r="E48" s="5" t="n">
        <v>0.322153292198079</v>
      </c>
      <c r="F48" s="5" t="n">
        <v>308.4139447918704</v>
      </c>
      <c r="G48" s="5" t="n">
        <v>1083.28045954533</v>
      </c>
      <c r="H48" s="5" t="n">
        <v>0</v>
      </c>
      <c r="I48" s="5" t="n">
        <v>0</v>
      </c>
      <c r="J48" s="5">
        <f>SUM(B48:I48)</f>
        <v/>
      </c>
      <c r="L48" s="10" t="n">
        <v>0.9375</v>
      </c>
      <c r="M48" s="8" t="n">
        <v>8584.889390516282</v>
      </c>
      <c r="N48" s="8" t="n">
        <v>2188.354167032242</v>
      </c>
      <c r="O48" s="8" t="n">
        <v>0</v>
      </c>
      <c r="P48" s="8" t="n">
        <v>0</v>
      </c>
      <c r="Q48" s="8" t="n">
        <v>1068.922488418555</v>
      </c>
      <c r="R48" s="8" t="n">
        <v>74.73159336406876</v>
      </c>
      <c r="S48" s="8" t="n">
        <v>0</v>
      </c>
      <c r="T48" s="8" t="n">
        <v>0</v>
      </c>
      <c r="U48">
        <f>SUM(M48:T48)</f>
        <v/>
      </c>
    </row>
    <row r="49">
      <c r="A49" s="10" t="n">
        <v>0.9583333333333334</v>
      </c>
      <c r="B49" s="5" t="n">
        <v>5752.226997367437</v>
      </c>
      <c r="C49" s="5" t="n">
        <v>1322.107932521495</v>
      </c>
      <c r="D49" s="5" t="n">
        <v>0.007620840084338287</v>
      </c>
      <c r="E49" s="5" t="n">
        <v>0.1006729038118997</v>
      </c>
      <c r="F49" s="5" t="n">
        <v>187.43156139091</v>
      </c>
      <c r="G49" s="5" t="n">
        <v>729.4959353251674</v>
      </c>
      <c r="H49" s="5" t="n">
        <v>0</v>
      </c>
      <c r="I49" s="5" t="n">
        <v>0</v>
      </c>
      <c r="J49" s="5">
        <f>SUM(B49:I49)</f>
        <v/>
      </c>
      <c r="L49" s="10" t="n">
        <v>0.9583333333333334</v>
      </c>
      <c r="M49" s="8" t="n">
        <v>6759.816355991364</v>
      </c>
      <c r="N49" s="8" t="n">
        <v>1798.235082149506</v>
      </c>
      <c r="O49" s="8" t="n">
        <v>0</v>
      </c>
      <c r="P49" s="8" t="n">
        <v>0</v>
      </c>
      <c r="Q49" s="8" t="n">
        <v>918.195571976785</v>
      </c>
      <c r="R49" s="8" t="n">
        <v>66.40145858968428</v>
      </c>
      <c r="S49" s="8" t="n">
        <v>0</v>
      </c>
      <c r="T49" s="8" t="n">
        <v>0</v>
      </c>
      <c r="U49">
        <f>SUM(M49:T49)</f>
        <v/>
      </c>
    </row>
    <row r="50">
      <c r="A50" s="10" t="n">
        <v>0.9791666666666666</v>
      </c>
      <c r="B50" s="5" t="n">
        <v>4335.547315174873</v>
      </c>
      <c r="C50" s="5" t="n">
        <v>836.5436343527307</v>
      </c>
      <c r="D50" s="5" t="n">
        <v>0.0003796430164826469</v>
      </c>
      <c r="E50" s="5" t="n">
        <v>0.02368774207338817</v>
      </c>
      <c r="F50" s="5" t="n">
        <v>93.00238670051388</v>
      </c>
      <c r="G50" s="5" t="n">
        <v>417.0803328224202</v>
      </c>
      <c r="H50" s="5" t="n">
        <v>0</v>
      </c>
      <c r="I50" s="5" t="n">
        <v>0</v>
      </c>
      <c r="J50" s="5">
        <f>SUM(B50:I50)</f>
        <v/>
      </c>
      <c r="L50" s="10" t="n">
        <v>0.9791666666666666</v>
      </c>
      <c r="M50" s="8" t="n">
        <v>5023.645702648162</v>
      </c>
      <c r="N50" s="8" t="n">
        <v>1374.45993847847</v>
      </c>
      <c r="O50" s="8" t="n">
        <v>0</v>
      </c>
      <c r="P50" s="8" t="n">
        <v>0</v>
      </c>
      <c r="Q50" s="8" t="n">
        <v>726.4220974955368</v>
      </c>
      <c r="R50" s="8" t="n">
        <v>53.94314920503257</v>
      </c>
      <c r="S50" s="8" t="n">
        <v>0</v>
      </c>
      <c r="T50" s="8" t="n">
        <v>0</v>
      </c>
      <c r="U50">
        <f>SUM(M50:T50)</f>
        <v/>
      </c>
    </row>
    <row r="51">
      <c r="A51" s="10" t="n">
        <v>1</v>
      </c>
      <c r="B51" s="5" t="n">
        <v>2798.04601111108</v>
      </c>
      <c r="C51" s="5" t="n">
        <v>463.0895307705816</v>
      </c>
      <c r="D51" s="5" t="n">
        <v>0</v>
      </c>
      <c r="E51" s="5" t="n">
        <v>0.003947957012231361</v>
      </c>
      <c r="F51" s="5" t="n">
        <v>37.01582631666814</v>
      </c>
      <c r="G51" s="5" t="n">
        <v>198.445593382741</v>
      </c>
      <c r="H51" s="5" t="n">
        <v>0</v>
      </c>
      <c r="I51" s="5" t="n">
        <v>0</v>
      </c>
      <c r="J51" s="5">
        <f>SUM(B51:I51)</f>
        <v/>
      </c>
      <c r="L51" s="10" t="n">
        <v>1</v>
      </c>
      <c r="M51" s="8" t="n">
        <v>3400.876083898544</v>
      </c>
      <c r="N51" s="8" t="n">
        <v>947.2655656337738</v>
      </c>
      <c r="O51" s="8" t="n">
        <v>0</v>
      </c>
      <c r="P51" s="8" t="n">
        <v>0</v>
      </c>
      <c r="Q51" s="8" t="n">
        <v>513.7794356176928</v>
      </c>
      <c r="R51" s="8" t="n">
        <v>38.92900466578295</v>
      </c>
      <c r="S51" s="8" t="n">
        <v>0</v>
      </c>
      <c r="T51" s="8" t="n">
        <v>0</v>
      </c>
      <c r="U51">
        <f>SUM(M51:T51)</f>
        <v/>
      </c>
    </row>
    <row r="52">
      <c r="A52" s="10" t="n">
        <v>1.020833333333333</v>
      </c>
      <c r="B52" s="5" t="n">
        <v>1513.669664518167</v>
      </c>
      <c r="C52" s="5" t="n">
        <v>219.8938441087219</v>
      </c>
      <c r="D52" s="5" t="n">
        <v>0</v>
      </c>
      <c r="E52" s="5" t="n">
        <v>0.0004155744223401433</v>
      </c>
      <c r="F52" s="5" t="n">
        <v>11.52820326066238</v>
      </c>
      <c r="G52" s="5" t="n">
        <v>76.80574060559231</v>
      </c>
      <c r="H52" s="5" t="n">
        <v>0</v>
      </c>
      <c r="I52" s="5" t="n">
        <v>0</v>
      </c>
      <c r="J52" s="5">
        <f>SUM(B52:I52)</f>
        <v/>
      </c>
      <c r="L52" s="10" t="n">
        <v>1.020833333333333</v>
      </c>
      <c r="M52" s="8" t="n">
        <v>2034.825877952575</v>
      </c>
      <c r="N52" s="8" t="n">
        <v>573.2813324928284</v>
      </c>
      <c r="O52" s="8" t="n">
        <v>0</v>
      </c>
      <c r="P52" s="8" t="n">
        <v>0</v>
      </c>
      <c r="Q52" s="8" t="n">
        <v>317.0046807386913</v>
      </c>
      <c r="R52" s="8" t="n">
        <v>24.39013877822113</v>
      </c>
      <c r="S52" s="8" t="n">
        <v>0</v>
      </c>
      <c r="T52" s="8" t="n">
        <v>0</v>
      </c>
      <c r="U52">
        <f>SUM(M52:T52)</f>
        <v/>
      </c>
    </row>
    <row r="53">
      <c r="A53" s="10" t="n">
        <v>0.04166666666666666</v>
      </c>
      <c r="B53" s="5" t="n">
        <v>674.3880060000713</v>
      </c>
      <c r="C53" s="5" t="n">
        <v>87.9828651587025</v>
      </c>
      <c r="D53" s="5" t="n">
        <v>0</v>
      </c>
      <c r="E53" s="5" t="n">
        <v>2.077872111700716e-05</v>
      </c>
      <c r="F53" s="5" t="n">
        <v>2.70609485552934</v>
      </c>
      <c r="G53" s="5" t="n">
        <v>23.49571641799575</v>
      </c>
      <c r="H53" s="5" t="n">
        <v>0</v>
      </c>
      <c r="I53" s="5" t="n">
        <v>0</v>
      </c>
      <c r="J53" s="5">
        <f>SUM(B53:I53)</f>
        <v/>
      </c>
      <c r="L53" s="10" t="n">
        <v>0.04166666666666666</v>
      </c>
      <c r="M53" s="8" t="n">
        <v>1049.106889009475</v>
      </c>
      <c r="N53" s="8" t="n">
        <v>297.7746527671814</v>
      </c>
      <c r="O53" s="8" t="n">
        <v>0</v>
      </c>
      <c r="P53" s="8" t="n">
        <v>0</v>
      </c>
      <c r="Q53" s="8" t="n">
        <v>167.0713833406688</v>
      </c>
      <c r="R53" s="8" t="n">
        <v>13.00729739301845</v>
      </c>
      <c r="S53" s="8" t="n">
        <v>0</v>
      </c>
      <c r="T53" s="8" t="n">
        <v>0</v>
      </c>
      <c r="U53">
        <f>SUM(M53:T53)</f>
        <v/>
      </c>
    </row>
    <row r="54">
      <c r="A54" s="10" t="n">
        <v>0.0625</v>
      </c>
      <c r="B54" s="5" t="n">
        <v>242.6886843605694</v>
      </c>
      <c r="C54" s="5" t="n">
        <v>29.09511392019811</v>
      </c>
      <c r="D54" s="5" t="n">
        <v>0</v>
      </c>
      <c r="E54" s="5" t="n">
        <v>0</v>
      </c>
      <c r="F54" s="5" t="n">
        <v>0.4502658852248997</v>
      </c>
      <c r="G54" s="5" t="n">
        <v>5.456343941932999</v>
      </c>
      <c r="H54" s="5" t="n">
        <v>0</v>
      </c>
      <c r="I54" s="5" t="n">
        <v>0</v>
      </c>
      <c r="J54" s="5">
        <f>SUM(B54:I54)</f>
        <v/>
      </c>
      <c r="L54" s="10" t="n">
        <v>0.0625</v>
      </c>
      <c r="M54" s="8" t="n">
        <v>455.3598269462585</v>
      </c>
      <c r="N54" s="8" t="n">
        <v>129.8836448192596</v>
      </c>
      <c r="O54" s="8" t="n">
        <v>0</v>
      </c>
      <c r="P54" s="8" t="n">
        <v>0</v>
      </c>
      <c r="Q54" s="8" t="n">
        <v>73.68831874570117</v>
      </c>
      <c r="R54" s="8" t="n">
        <v>5.790783810205384</v>
      </c>
      <c r="S54" s="8" t="n">
        <v>0</v>
      </c>
      <c r="T54" s="8" t="n">
        <v>0</v>
      </c>
      <c r="U54">
        <f>SUM(M54:T54)</f>
        <v/>
      </c>
    </row>
    <row r="55">
      <c r="A55" s="10" t="n">
        <v>0.08333333333333333</v>
      </c>
      <c r="B55" s="5" t="n">
        <v>68.75341218759786</v>
      </c>
      <c r="C55" s="5" t="n">
        <v>7.753113746658555</v>
      </c>
      <c r="D55" s="5" t="n">
        <v>0</v>
      </c>
      <c r="E55" s="5" t="n">
        <v>0</v>
      </c>
      <c r="F55" s="5" t="n">
        <v>0.04734196264811165</v>
      </c>
      <c r="G55" s="5" t="n">
        <v>0.9027894144962724</v>
      </c>
      <c r="H55" s="5" t="n">
        <v>0</v>
      </c>
      <c r="I55" s="5" t="n">
        <v>0</v>
      </c>
      <c r="J55" s="5">
        <f>SUM(B55:I55)</f>
        <v/>
      </c>
      <c r="L55" s="10" t="n">
        <v>0.08333333333333333</v>
      </c>
      <c r="M55" s="8" t="n">
        <v>162.3360825061798</v>
      </c>
      <c r="N55" s="8" t="n">
        <v>46.45372190475464</v>
      </c>
      <c r="O55" s="8" t="n">
        <v>0</v>
      </c>
      <c r="P55" s="8" t="n">
        <v>0</v>
      </c>
      <c r="Q55" s="8" t="n">
        <v>26.58442706576793</v>
      </c>
      <c r="R55" s="8" t="n">
        <v>2.104949278246444</v>
      </c>
      <c r="S55" s="8" t="n">
        <v>0</v>
      </c>
      <c r="T55" s="8" t="n">
        <v>0</v>
      </c>
      <c r="U55">
        <f>SUM(M55:T55)</f>
        <v/>
      </c>
    </row>
    <row r="56">
      <c r="A56" s="10" t="n">
        <v>0.1041666666666667</v>
      </c>
      <c r="B56" s="5" t="n">
        <v>14.76625238155292</v>
      </c>
      <c r="C56" s="5" t="n">
        <v>1.603026759241791</v>
      </c>
      <c r="D56" s="5" t="n">
        <v>0</v>
      </c>
      <c r="E56" s="5" t="n">
        <v>0</v>
      </c>
      <c r="F56" s="5" t="n">
        <v>0.002365307302009624</v>
      </c>
      <c r="G56" s="5" t="n">
        <v>0.09473867942101326</v>
      </c>
      <c r="H56" s="5" t="n">
        <v>0</v>
      </c>
      <c r="I56" s="5" t="n">
        <v>0</v>
      </c>
      <c r="J56" s="5">
        <f>SUM(B56:I56)</f>
        <v/>
      </c>
      <c r="L56" s="10" t="n">
        <v>0.1041666666666667</v>
      </c>
      <c r="M56" s="8" t="n">
        <v>46.11682977676391</v>
      </c>
      <c r="N56" s="8" t="n">
        <v>13.22416868209839</v>
      </c>
      <c r="O56" s="8" t="n">
        <v>0</v>
      </c>
      <c r="P56" s="8" t="n">
        <v>0</v>
      </c>
      <c r="Q56" s="8" t="n">
        <v>7.62013870010704</v>
      </c>
      <c r="R56" s="8" t="n">
        <v>0.6071364762710715</v>
      </c>
      <c r="S56" s="8" t="n">
        <v>0</v>
      </c>
      <c r="T56" s="8" t="n">
        <v>0</v>
      </c>
      <c r="U56">
        <f>SUM(M56:T56)</f>
        <v/>
      </c>
    </row>
    <row r="57">
      <c r="A57" s="10" t="n">
        <v>0.125</v>
      </c>
      <c r="B57" s="5" t="n">
        <v>2.252158464125841</v>
      </c>
      <c r="C57" s="5" t="n">
        <v>0.2405061440075963</v>
      </c>
      <c r="D57" s="5" t="n">
        <v>0</v>
      </c>
      <c r="E57" s="5" t="n">
        <v>0</v>
      </c>
      <c r="F57" s="5" t="n">
        <v>0</v>
      </c>
      <c r="G57" s="5" t="n">
        <v>0.004736933971050663</v>
      </c>
      <c r="H57" s="5" t="n">
        <v>0</v>
      </c>
      <c r="I57" s="5" t="n">
        <v>0</v>
      </c>
      <c r="J57" s="5">
        <f>SUM(B57:I57)</f>
        <v/>
      </c>
      <c r="L57" s="10" t="n">
        <v>0.125</v>
      </c>
      <c r="M57" s="8" t="n">
        <v>9.865480947494508</v>
      </c>
      <c r="N57" s="8" t="n">
        <v>2.832486534118652</v>
      </c>
      <c r="O57" s="8" t="n">
        <v>0</v>
      </c>
      <c r="P57" s="8" t="n">
        <v>0</v>
      </c>
      <c r="Q57" s="8" t="n">
        <v>1.64106926905544</v>
      </c>
      <c r="R57" s="8" t="n">
        <v>0.1314278596669046</v>
      </c>
      <c r="S57" s="8" t="n">
        <v>0</v>
      </c>
      <c r="T57" s="8" t="n">
        <v>0</v>
      </c>
      <c r="U57">
        <f>SUM(M57:T57)</f>
        <v/>
      </c>
    </row>
    <row r="58" ht="15.75" customHeight="1" s="71" thickBot="1">
      <c r="A58" s="11" t="inlineStr">
        <is>
          <t>After 27:00</t>
        </is>
      </c>
      <c r="B58" s="6" t="n">
        <v>0</v>
      </c>
      <c r="C58" s="6" t="n">
        <v>0</v>
      </c>
      <c r="D58" s="6" t="n">
        <v>0</v>
      </c>
      <c r="E58" s="6" t="n">
        <v>0</v>
      </c>
      <c r="F58" s="6" t="n">
        <v>0</v>
      </c>
      <c r="G58" s="6" t="n">
        <v>0</v>
      </c>
      <c r="H58" s="6" t="n">
        <v>0</v>
      </c>
      <c r="I58" s="6" t="n">
        <v>0</v>
      </c>
      <c r="J58" s="6">
        <f>SUM(B58:I58)</f>
        <v/>
      </c>
      <c r="L58" s="11" t="inlineStr">
        <is>
          <t>After 27:00</t>
        </is>
      </c>
      <c r="M58" s="9" t="n">
        <v>0</v>
      </c>
      <c r="N58" s="9" t="n">
        <v>0</v>
      </c>
      <c r="O58" s="9" t="n">
        <v>0</v>
      </c>
      <c r="P58" s="9" t="n">
        <v>0</v>
      </c>
      <c r="Q58" s="9" t="n">
        <v>0</v>
      </c>
      <c r="R58" s="9" t="n">
        <v>0</v>
      </c>
      <c r="S58" s="9" t="n">
        <v>0</v>
      </c>
      <c r="T58" s="9" t="n">
        <v>0</v>
      </c>
      <c r="U58" s="1">
        <f>SUM(M58:T58)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Y58"/>
  <sheetViews>
    <sheetView topLeftCell="H4" workbookViewId="0">
      <selection activeCell="U33" sqref="U33:U36"/>
    </sheetView>
  </sheetViews>
  <sheetFormatPr baseColWidth="8" defaultRowHeight="15"/>
  <cols>
    <col collapsed="1" width="12.7109375" customWidth="1" style="71" min="1" max="1"/>
    <col collapsed="1" width="10.7109375" customWidth="1" style="71" min="2" max="10"/>
    <col collapsed="1" width="6.42578125" customWidth="1" style="71" min="11" max="11"/>
    <col collapsed="1" width="12.7109375" customWidth="1" style="71" min="12" max="12"/>
    <col collapsed="1" width="10.7109375" customWidth="1" style="71" min="13" max="21"/>
  </cols>
  <sheetData>
    <row r="1">
      <c r="A1" t="inlineStr">
        <is>
          <t>School Tour Departure time at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4">
      <c r="A4" t="inlineStr">
        <is>
          <t>Distance values reflect start time of time period</t>
        </is>
      </c>
    </row>
    <row r="6" ht="15.75" customHeight="1" s="71" thickBot="1">
      <c r="A6" s="3" t="inlineStr">
        <is>
          <t>Table X. Observed School Tour Departure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L6" s="3" t="inlineStr">
        <is>
          <t>Table X. Estimated School Tour Departure at PD Times: DaySim</t>
        </is>
      </c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W6" s="7" t="n"/>
    </row>
    <row r="7">
      <c r="A7" s="2" t="inlineStr">
        <is>
          <t>Timeperiod</t>
        </is>
      </c>
      <c r="B7" s="4" t="inlineStr">
        <is>
          <t>FT Worker</t>
        </is>
      </c>
      <c r="C7" s="4" t="inlineStr">
        <is>
          <t>PT Worker</t>
        </is>
      </c>
      <c r="D7" s="4" t="inlineStr">
        <is>
          <t>Retired</t>
        </is>
      </c>
      <c r="E7" s="4" t="inlineStr">
        <is>
          <t>Nonworker</t>
        </is>
      </c>
      <c r="F7" s="4" t="inlineStr">
        <is>
          <t>Univ Stud</t>
        </is>
      </c>
      <c r="G7" s="4" t="inlineStr">
        <is>
          <t>Stud 16+</t>
        </is>
      </c>
      <c r="H7" s="4" t="inlineStr">
        <is>
          <t>Stud 5-15</t>
        </is>
      </c>
      <c r="I7" s="4" t="inlineStr">
        <is>
          <t>Child&lt;5</t>
        </is>
      </c>
      <c r="J7" s="4" t="inlineStr">
        <is>
          <t>Total</t>
        </is>
      </c>
      <c r="L7" s="2" t="inlineStr">
        <is>
          <t>Timeperiod</t>
        </is>
      </c>
      <c r="M7" s="4" t="inlineStr">
        <is>
          <t>FT Worker</t>
        </is>
      </c>
      <c r="N7" s="4" t="inlineStr">
        <is>
          <t>PT Worker</t>
        </is>
      </c>
      <c r="O7" s="4" t="inlineStr">
        <is>
          <t>Retired</t>
        </is>
      </c>
      <c r="P7" s="4" t="inlineStr">
        <is>
          <t>Nonworker</t>
        </is>
      </c>
      <c r="Q7" s="4" t="inlineStr">
        <is>
          <t>Univ Stud</t>
        </is>
      </c>
      <c r="R7" s="4" t="inlineStr">
        <is>
          <t>Stud 16+</t>
        </is>
      </c>
      <c r="S7" s="4" t="inlineStr">
        <is>
          <t>Stud 5-15</t>
        </is>
      </c>
      <c r="T7" s="4" t="inlineStr">
        <is>
          <t>Child&lt;5</t>
        </is>
      </c>
      <c r="U7" s="4" t="inlineStr">
        <is>
          <t>Total</t>
        </is>
      </c>
      <c r="X7" s="12" t="n"/>
      <c r="Y7" s="12" t="n"/>
    </row>
    <row r="8">
      <c r="A8" t="inlineStr">
        <is>
          <t>Before 3:00am</t>
        </is>
      </c>
      <c r="B8" s="5" t="n">
        <v>0</v>
      </c>
      <c r="C8" s="5" t="n">
        <v>0</v>
      </c>
      <c r="D8" s="5" t="n">
        <v>0</v>
      </c>
      <c r="E8" s="5" t="n">
        <v>0</v>
      </c>
      <c r="F8" s="5" t="n">
        <v>0</v>
      </c>
      <c r="G8" s="5" t="n">
        <v>0</v>
      </c>
      <c r="H8" s="5" t="n">
        <v>0</v>
      </c>
      <c r="I8" s="5" t="n">
        <v>0</v>
      </c>
      <c r="J8" s="5">
        <f>SUM(B8:I8)</f>
        <v/>
      </c>
      <c r="L8" t="inlineStr">
        <is>
          <t>Before 3:00am</t>
        </is>
      </c>
      <c r="M8" s="8" t="n">
        <v>13.8</v>
      </c>
      <c r="N8" s="8" t="n">
        <v>0</v>
      </c>
      <c r="O8" s="8" t="n">
        <v>0</v>
      </c>
      <c r="P8" s="8" t="n">
        <v>0</v>
      </c>
      <c r="Q8" s="8" t="n">
        <v>28.47206394823425</v>
      </c>
      <c r="R8" s="8" t="n">
        <v>2.3</v>
      </c>
      <c r="S8" s="8" t="n">
        <v>16.78672459712168</v>
      </c>
      <c r="T8" s="8" t="n">
        <v>0</v>
      </c>
      <c r="U8">
        <f>SUM(M8:T8)</f>
        <v/>
      </c>
      <c r="X8" s="5" t="n"/>
      <c r="Y8" s="5" t="n"/>
    </row>
    <row r="9">
      <c r="A9" s="10" t="n">
        <v>0.125</v>
      </c>
      <c r="B9" s="5" t="n">
        <v>0</v>
      </c>
      <c r="C9" s="5" t="n">
        <v>0</v>
      </c>
      <c r="D9" s="5" t="n">
        <v>0</v>
      </c>
      <c r="E9" s="5" t="n">
        <v>0</v>
      </c>
      <c r="F9" s="5" t="n">
        <v>0</v>
      </c>
      <c r="G9" s="5" t="n">
        <v>0</v>
      </c>
      <c r="H9" s="5" t="n">
        <v>1.492035729748535</v>
      </c>
      <c r="I9" s="5" t="n">
        <v>0</v>
      </c>
      <c r="J9" s="5">
        <f>SUM(B9:I9)</f>
        <v/>
      </c>
      <c r="L9" s="10" t="n">
        <v>0.125</v>
      </c>
      <c r="M9" s="8" t="n">
        <v>16.7736186504364</v>
      </c>
      <c r="N9" s="8" t="n">
        <v>0</v>
      </c>
      <c r="O9" s="8" t="n">
        <v>0</v>
      </c>
      <c r="P9" s="8" t="n">
        <v>0</v>
      </c>
      <c r="Q9" s="8" t="n">
        <v>35.34892750901329</v>
      </c>
      <c r="R9" s="8" t="n">
        <v>1.771341949968352</v>
      </c>
      <c r="S9" s="8" t="n">
        <v>13.15869032084105</v>
      </c>
      <c r="T9" s="8" t="n">
        <v>0.2637119637832315</v>
      </c>
      <c r="U9">
        <f>SUM(M9:T9)</f>
        <v/>
      </c>
      <c r="X9" s="5" t="n"/>
      <c r="Y9" s="5" t="n"/>
    </row>
    <row r="10">
      <c r="A10" s="10" t="n">
        <v>0.1458333333333333</v>
      </c>
      <c r="B10" s="5" t="n">
        <v>0</v>
      </c>
      <c r="C10" s="5" t="n">
        <v>0</v>
      </c>
      <c r="D10" s="5" t="n">
        <v>0</v>
      </c>
      <c r="E10" s="5" t="n">
        <v>0</v>
      </c>
      <c r="F10" s="5" t="n">
        <v>0</v>
      </c>
      <c r="G10" s="5" t="n">
        <v>0</v>
      </c>
      <c r="H10" s="5" t="n">
        <v>4.08491178317935</v>
      </c>
      <c r="I10" s="5" t="n">
        <v>0</v>
      </c>
      <c r="J10" s="5">
        <f>SUM(B10:I10)</f>
        <v/>
      </c>
      <c r="L10" s="10" t="n">
        <v>0.1458333333333333</v>
      </c>
      <c r="M10" s="8" t="n">
        <v>17.04227032661438</v>
      </c>
      <c r="N10" s="8" t="n">
        <v>0</v>
      </c>
      <c r="O10" s="8" t="n">
        <v>0</v>
      </c>
      <c r="P10" s="8" t="n">
        <v>0</v>
      </c>
      <c r="Q10" s="8" t="n">
        <v>36.47716098768008</v>
      </c>
      <c r="R10" s="8" t="n">
        <v>1.594715180295363</v>
      </c>
      <c r="S10" s="8" t="n">
        <v>9.722091609649862</v>
      </c>
      <c r="T10" s="8" t="n">
        <v>0.4349626476942609</v>
      </c>
      <c r="U10">
        <f>SUM(M10:T10)</f>
        <v/>
      </c>
      <c r="X10" s="5" t="n"/>
      <c r="Y10" s="5" t="n"/>
    </row>
    <row r="11">
      <c r="A11" s="10" t="n">
        <v>0.1666666666666667</v>
      </c>
      <c r="B11" s="5" t="n">
        <v>0</v>
      </c>
      <c r="C11" s="5" t="n">
        <v>0</v>
      </c>
      <c r="D11" s="5" t="n">
        <v>0</v>
      </c>
      <c r="E11" s="5" t="n">
        <v>0</v>
      </c>
      <c r="F11" s="5" t="n">
        <v>0</v>
      </c>
      <c r="G11" s="5" t="n">
        <v>0</v>
      </c>
      <c r="H11" s="5" t="n">
        <v>8.568145951036861</v>
      </c>
      <c r="I11" s="5" t="n">
        <v>0</v>
      </c>
      <c r="J11" s="5">
        <f>SUM(B11:I11)</f>
        <v/>
      </c>
      <c r="L11" s="10" t="n">
        <v>0.1666666666666667</v>
      </c>
      <c r="M11" s="8" t="n">
        <v>14.11410765647888</v>
      </c>
      <c r="N11" s="8" t="n">
        <v>0</v>
      </c>
      <c r="O11" s="8" t="n">
        <v>0</v>
      </c>
      <c r="P11" s="8" t="n">
        <v>0</v>
      </c>
      <c r="Q11" s="8" t="n">
        <v>31.259340973744</v>
      </c>
      <c r="R11" s="8" t="n">
        <v>2.606071935170244</v>
      </c>
      <c r="S11" s="8" t="n">
        <v>7.247844920710154</v>
      </c>
      <c r="T11" s="8" t="n">
        <v>0.5621387986461408</v>
      </c>
      <c r="U11">
        <f>SUM(M11:T11)</f>
        <v/>
      </c>
      <c r="X11" s="5" t="n"/>
      <c r="Y11" s="5" t="n"/>
    </row>
    <row r="12">
      <c r="A12" s="10" t="n">
        <v>0.1875</v>
      </c>
      <c r="B12" s="5" t="n">
        <v>0</v>
      </c>
      <c r="C12" s="5" t="n">
        <v>0</v>
      </c>
      <c r="D12" s="5" t="n">
        <v>0</v>
      </c>
      <c r="E12" s="5" t="n">
        <v>0</v>
      </c>
      <c r="F12" s="5" t="n">
        <v>0</v>
      </c>
      <c r="G12" s="5" t="n">
        <v>0</v>
      </c>
      <c r="H12" s="5" t="n">
        <v>15.28554760188438</v>
      </c>
      <c r="I12" s="5" t="n">
        <v>0</v>
      </c>
      <c r="J12" s="5">
        <f>SUM(B12:I12)</f>
        <v/>
      </c>
      <c r="L12" s="10" t="n">
        <v>0.1875</v>
      </c>
      <c r="M12" s="8" t="n">
        <v>9.856850814819335</v>
      </c>
      <c r="N12" s="8" t="n">
        <v>0</v>
      </c>
      <c r="O12" s="8" t="n">
        <v>0</v>
      </c>
      <c r="P12" s="8" t="n">
        <v>0</v>
      </c>
      <c r="Q12" s="8" t="n">
        <v>25.11113248914988</v>
      </c>
      <c r="R12" s="8" t="n">
        <v>6.690427225640088</v>
      </c>
      <c r="S12" s="8" t="n">
        <v>7.558260103206212</v>
      </c>
      <c r="T12" s="8" t="n">
        <v>0.9195206725110561</v>
      </c>
      <c r="U12">
        <f>SUM(M12:T12)</f>
        <v/>
      </c>
    </row>
    <row r="13">
      <c r="A13" s="10" t="n">
        <v>0.2083333333333333</v>
      </c>
      <c r="B13" s="5" t="n">
        <v>0</v>
      </c>
      <c r="C13" s="5" t="n">
        <v>0</v>
      </c>
      <c r="D13" s="5" t="n">
        <v>0</v>
      </c>
      <c r="E13" s="5" t="n">
        <v>9.8075923520648e-05</v>
      </c>
      <c r="F13" s="5" t="n">
        <v>0.0001351240063689583</v>
      </c>
      <c r="G13" s="5" t="n">
        <v>0</v>
      </c>
      <c r="H13" s="5" t="n">
        <v>24.92139456339919</v>
      </c>
      <c r="I13" s="5" t="n">
        <v>0</v>
      </c>
      <c r="J13" s="5">
        <f>SUM(B13:I13)</f>
        <v/>
      </c>
      <c r="L13" s="10" t="n">
        <v>0.2083333333333333</v>
      </c>
      <c r="M13" s="8" t="n">
        <v>6.849367475509642</v>
      </c>
      <c r="N13" s="8" t="n">
        <v>0</v>
      </c>
      <c r="O13" s="8" t="n">
        <v>0</v>
      </c>
      <c r="P13" s="8" t="n">
        <v>0</v>
      </c>
      <c r="Q13" s="8" t="n">
        <v>26.50039902791729</v>
      </c>
      <c r="R13" s="8" t="n">
        <v>16.98511199079012</v>
      </c>
      <c r="S13" s="8" t="n">
        <v>13.87292665165173</v>
      </c>
      <c r="T13" s="8" t="n">
        <v>2.015852902378233</v>
      </c>
      <c r="U13">
        <f>SUM(M13:T13)</f>
        <v/>
      </c>
    </row>
    <row r="14">
      <c r="A14" s="10" t="n">
        <v>0.2291666666666667</v>
      </c>
      <c r="B14" s="5" t="n">
        <v>0</v>
      </c>
      <c r="C14" s="5" t="n">
        <v>0</v>
      </c>
      <c r="D14" s="5" t="n">
        <v>0</v>
      </c>
      <c r="E14" s="5" t="n">
        <v>0.00196151847041296</v>
      </c>
      <c r="F14" s="5" t="n">
        <v>0.002702480127379165</v>
      </c>
      <c r="G14" s="5" t="n">
        <v>0.004756206860531883</v>
      </c>
      <c r="H14" s="5" t="n">
        <v>40.8485218652114</v>
      </c>
      <c r="I14" s="5" t="n">
        <v>0</v>
      </c>
      <c r="J14" s="5">
        <f>SUM(B14:I14)</f>
        <v/>
      </c>
      <c r="L14" s="10" t="n">
        <v>0.2291666666666667</v>
      </c>
      <c r="M14" s="8" t="n">
        <v>6.795208978652952</v>
      </c>
      <c r="N14" s="8" t="n">
        <v>0</v>
      </c>
      <c r="O14" s="8" t="n">
        <v>0</v>
      </c>
      <c r="P14" s="8" t="n">
        <v>0</v>
      </c>
      <c r="Q14" s="8" t="n">
        <v>43.6025215681349</v>
      </c>
      <c r="R14" s="8" t="n">
        <v>36.82942519341339</v>
      </c>
      <c r="S14" s="8" t="n">
        <v>30.80293313894284</v>
      </c>
      <c r="T14" s="8" t="n">
        <v>4.499134709189746</v>
      </c>
      <c r="U14">
        <f>SUM(M14:T14)</f>
        <v/>
      </c>
    </row>
    <row r="15">
      <c r="A15" s="10" t="n">
        <v>0.25</v>
      </c>
      <c r="B15" s="5" t="n">
        <v>0</v>
      </c>
      <c r="C15" s="5" t="n">
        <v>0</v>
      </c>
      <c r="D15" s="5" t="n">
        <v>0</v>
      </c>
      <c r="E15" s="5" t="n">
        <v>0.01863442546892312</v>
      </c>
      <c r="F15" s="5" t="n">
        <v>0.0265184593358628</v>
      </c>
      <c r="G15" s="5" t="n">
        <v>0.09512413721063766</v>
      </c>
      <c r="H15" s="5" t="n">
        <v>71.64458396490964</v>
      </c>
      <c r="I15" s="5" t="n">
        <v>0</v>
      </c>
      <c r="J15" s="5">
        <f>SUM(B15:I15)</f>
        <v/>
      </c>
      <c r="L15" s="10" t="n">
        <v>0.25</v>
      </c>
      <c r="M15" s="8" t="n">
        <v>10.08522744178772</v>
      </c>
      <c r="N15" s="8" t="n">
        <v>0</v>
      </c>
      <c r="O15" s="8" t="n">
        <v>0</v>
      </c>
      <c r="P15" s="8" t="n">
        <v>0</v>
      </c>
      <c r="Q15" s="8" t="n">
        <v>82.30055425779057</v>
      </c>
      <c r="R15" s="8" t="n">
        <v>67.25324124865665</v>
      </c>
      <c r="S15" s="8" t="n">
        <v>63.619409708881</v>
      </c>
      <c r="T15" s="8" t="n">
        <v>8.92432589193937</v>
      </c>
      <c r="U15">
        <f>SUM(M15:T15)</f>
        <v/>
      </c>
    </row>
    <row r="16">
      <c r="A16" s="10" t="n">
        <v>0.2708333333333333</v>
      </c>
      <c r="B16" s="5" t="n">
        <v>1.402829425785637e-05</v>
      </c>
      <c r="C16" s="5" t="n">
        <v>0</v>
      </c>
      <c r="D16" s="5" t="n">
        <v>0</v>
      </c>
      <c r="E16" s="5" t="n">
        <v>0.1118065528135387</v>
      </c>
      <c r="F16" s="5" t="n">
        <v>0.1714213632874335</v>
      </c>
      <c r="G16" s="5" t="n">
        <v>0.9038397261034772</v>
      </c>
      <c r="H16" s="5" t="n">
        <v>129.3658152602946</v>
      </c>
      <c r="I16" s="5" t="n">
        <v>0</v>
      </c>
      <c r="J16" s="5">
        <f>SUM(B16:I16)</f>
        <v/>
      </c>
      <c r="L16" s="10" t="n">
        <v>0.2708333333333333</v>
      </c>
      <c r="M16" s="8" t="n">
        <v>16.14582228660583</v>
      </c>
      <c r="N16" s="8" t="n">
        <v>0</v>
      </c>
      <c r="O16" s="8" t="n">
        <v>0</v>
      </c>
      <c r="P16" s="8" t="n">
        <v>0</v>
      </c>
      <c r="Q16" s="8" t="n">
        <v>145.1420747403919</v>
      </c>
      <c r="R16" s="8" t="n">
        <v>104.7845332914195</v>
      </c>
      <c r="S16" s="8" t="n">
        <v>117.3952846000184</v>
      </c>
      <c r="T16" s="8" t="n">
        <v>15.49406753234439</v>
      </c>
      <c r="U16">
        <f>SUM(M16:T16)</f>
        <v/>
      </c>
    </row>
    <row r="17">
      <c r="A17" s="10" t="n">
        <v>0.2916666666666667</v>
      </c>
      <c r="B17" s="5" t="n">
        <v>0.0002805658851571274</v>
      </c>
      <c r="C17" s="5" t="n">
        <v>0</v>
      </c>
      <c r="D17" s="5" t="n">
        <v>0</v>
      </c>
      <c r="E17" s="5" t="n">
        <v>0.4751778494575395</v>
      </c>
      <c r="F17" s="5" t="n">
        <v>0.8252967191705203</v>
      </c>
      <c r="G17" s="5" t="n">
        <v>5.428088355008033</v>
      </c>
      <c r="H17" s="5" t="n">
        <v>219.7453769519213</v>
      </c>
      <c r="I17" s="5" t="n">
        <v>0</v>
      </c>
      <c r="J17" s="5">
        <f>SUM(B17:I17)</f>
        <v/>
      </c>
      <c r="L17" s="10" t="n">
        <v>0.2916666666666667</v>
      </c>
      <c r="M17" s="8" t="n">
        <v>23.93456034660338</v>
      </c>
      <c r="N17" s="8" t="n">
        <v>0</v>
      </c>
      <c r="O17" s="8" t="n">
        <v>0</v>
      </c>
      <c r="P17" s="8" t="n">
        <v>0</v>
      </c>
      <c r="Q17" s="8" t="n">
        <v>231.8953746702706</v>
      </c>
      <c r="R17" s="8" t="n">
        <v>142.615216088454</v>
      </c>
      <c r="S17" s="8" t="n">
        <v>198.5126934675461</v>
      </c>
      <c r="T17" s="8" t="n">
        <v>24.1225416507455</v>
      </c>
      <c r="U17">
        <f>SUM(M17:T17)</f>
        <v/>
      </c>
    </row>
    <row r="18">
      <c r="A18" s="10" t="n">
        <v>0.3125</v>
      </c>
      <c r="B18" s="5" t="n">
        <v>0.00266537590899271</v>
      </c>
      <c r="C18" s="5" t="n">
        <v>0</v>
      </c>
      <c r="D18" s="5" t="n">
        <v>0</v>
      </c>
      <c r="E18" s="5" t="n">
        <v>1.520610564003383</v>
      </c>
      <c r="F18" s="5" t="n">
        <v>3.158794194473352</v>
      </c>
      <c r="G18" s="5" t="n">
        <v>23.13277760308003</v>
      </c>
      <c r="H18" s="5" t="n">
        <v>328.6955684931485</v>
      </c>
      <c r="I18" s="5" t="n">
        <v>0</v>
      </c>
      <c r="J18" s="5">
        <f>SUM(B18:I18)</f>
        <v/>
      </c>
      <c r="L18" s="10" t="n">
        <v>0.3125</v>
      </c>
      <c r="M18" s="8" t="n">
        <v>32.47422633171081</v>
      </c>
      <c r="N18" s="8" t="n">
        <v>0</v>
      </c>
      <c r="O18" s="8" t="n">
        <v>0</v>
      </c>
      <c r="P18" s="8" t="n">
        <v>0</v>
      </c>
      <c r="Q18" s="8" t="n">
        <v>343.4996225483101</v>
      </c>
      <c r="R18" s="8" t="n">
        <v>176.1597782047199</v>
      </c>
      <c r="S18" s="8" t="n">
        <v>320.957479020066</v>
      </c>
      <c r="T18" s="8" t="n">
        <v>35.12606695085876</v>
      </c>
      <c r="U18">
        <f>SUM(M18:T18)</f>
        <v/>
      </c>
    </row>
    <row r="19">
      <c r="A19" s="10" t="n">
        <v>0.3333333333333333</v>
      </c>
      <c r="B19" s="5" t="n">
        <v>0.01599225545395626</v>
      </c>
      <c r="C19" s="5" t="n">
        <v>0</v>
      </c>
      <c r="D19" s="5" t="n">
        <v>0</v>
      </c>
      <c r="E19" s="5" t="n">
        <v>3.802251710445445</v>
      </c>
      <c r="F19" s="5" t="n">
        <v>9.967725127876474</v>
      </c>
      <c r="G19" s="5" t="n">
        <v>74.50484225536404</v>
      </c>
      <c r="H19" s="5" t="n">
        <v>419.4893556577513</v>
      </c>
      <c r="I19" s="5" t="n">
        <v>0</v>
      </c>
      <c r="J19" s="5">
        <f>SUM(B19:I19)</f>
        <v/>
      </c>
      <c r="L19" s="10" t="n">
        <v>0.3333333333333333</v>
      </c>
      <c r="M19" s="8" t="n">
        <v>41.40033559799195</v>
      </c>
      <c r="N19" s="8" t="n">
        <v>0</v>
      </c>
      <c r="O19" s="8" t="n">
        <v>0</v>
      </c>
      <c r="P19" s="8" t="n">
        <v>0</v>
      </c>
      <c r="Q19" s="8" t="n">
        <v>487.8525243302206</v>
      </c>
      <c r="R19" s="8" t="n">
        <v>209.5398345926695</v>
      </c>
      <c r="S19" s="8" t="n">
        <v>514.7674106154581</v>
      </c>
      <c r="T19" s="8" t="n">
        <v>50.23251231115704</v>
      </c>
      <c r="U19">
        <f>SUM(M19:T19)</f>
        <v/>
      </c>
    </row>
    <row r="20">
      <c r="A20" s="10" t="n">
        <v>0.3541666666666667</v>
      </c>
      <c r="B20" s="5" t="n">
        <v>0.06796708567931412</v>
      </c>
      <c r="C20" s="5" t="n">
        <v>0</v>
      </c>
      <c r="D20" s="5" t="n">
        <v>0</v>
      </c>
      <c r="E20" s="5" t="n">
        <v>7.610726820074329</v>
      </c>
      <c r="F20" s="5" t="n">
        <v>26.44549458442092</v>
      </c>
      <c r="G20" s="5" t="n">
        <v>188.8043505397493</v>
      </c>
      <c r="H20" s="5" t="n">
        <v>451.6917585091055</v>
      </c>
      <c r="I20" s="5" t="n">
        <v>0</v>
      </c>
      <c r="J20" s="5">
        <f>SUM(B20:I20)</f>
        <v/>
      </c>
      <c r="L20" s="10" t="n">
        <v>0.3541666666666667</v>
      </c>
      <c r="M20" s="8" t="n">
        <v>51.08359560966493</v>
      </c>
      <c r="N20" s="8" t="n">
        <v>0</v>
      </c>
      <c r="O20" s="8" t="n">
        <v>0</v>
      </c>
      <c r="P20" s="8" t="n">
        <v>0</v>
      </c>
      <c r="Q20" s="8" t="n">
        <v>680.348186550078</v>
      </c>
      <c r="R20" s="8" t="n">
        <v>257.1426854597546</v>
      </c>
      <c r="S20" s="8" t="n">
        <v>827.0843960329588</v>
      </c>
      <c r="T20" s="8" t="n">
        <v>72.89700893405148</v>
      </c>
      <c r="U20">
        <f>SUM(M20:T20)</f>
        <v/>
      </c>
    </row>
    <row r="21">
      <c r="A21" s="10" t="n">
        <v>0.375</v>
      </c>
      <c r="B21" s="5" t="n">
        <v>0.2176406437792583</v>
      </c>
      <c r="C21" s="5" t="n">
        <v>0</v>
      </c>
      <c r="D21" s="5" t="n">
        <v>0</v>
      </c>
      <c r="E21" s="5" t="n">
        <v>12.40200299454783</v>
      </c>
      <c r="F21" s="5" t="n">
        <v>59.60870220658516</v>
      </c>
      <c r="G21" s="5" t="n">
        <v>387.8089068421534</v>
      </c>
      <c r="H21" s="5" t="n">
        <v>412.8622012645208</v>
      </c>
      <c r="I21" s="5" t="n">
        <v>0</v>
      </c>
      <c r="J21" s="5">
        <f>SUM(B21:I21)</f>
        <v/>
      </c>
      <c r="L21" s="10" t="n">
        <v>0.375</v>
      </c>
      <c r="M21" s="8" t="n">
        <v>61.94991092681884</v>
      </c>
      <c r="N21" s="8" t="n">
        <v>0</v>
      </c>
      <c r="O21" s="8" t="n">
        <v>0</v>
      </c>
      <c r="P21" s="8" t="n">
        <v>0</v>
      </c>
      <c r="Q21" s="8" t="n">
        <v>933.5653733645017</v>
      </c>
      <c r="R21" s="8" t="n">
        <v>337.9877784257696</v>
      </c>
      <c r="S21" s="8" t="n">
        <v>1308.862495046164</v>
      </c>
      <c r="T21" s="8" t="n">
        <v>107.2518187818295</v>
      </c>
      <c r="U21">
        <f>SUM(M21:T21)</f>
        <v/>
      </c>
    </row>
    <row r="22">
      <c r="A22" s="10" t="n">
        <v>0.3958333333333333</v>
      </c>
      <c r="B22" s="5" t="n">
        <v>0.5468241886678998</v>
      </c>
      <c r="C22" s="5" t="n">
        <v>0</v>
      </c>
      <c r="D22" s="5" t="n">
        <v>0</v>
      </c>
      <c r="E22" s="5" t="n">
        <v>16.67487899727031</v>
      </c>
      <c r="F22" s="5" t="n">
        <v>114.905874650726</v>
      </c>
      <c r="G22" s="5" t="n">
        <v>662.9591439623447</v>
      </c>
      <c r="H22" s="5" t="n">
        <v>339.4685284336242</v>
      </c>
      <c r="I22" s="5" t="n">
        <v>0</v>
      </c>
      <c r="J22" s="5">
        <f>SUM(B22:I22)</f>
        <v/>
      </c>
      <c r="L22" s="10" t="n">
        <v>0.3958333333333333</v>
      </c>
      <c r="M22" s="8" t="n">
        <v>73.5141198158264</v>
      </c>
      <c r="N22" s="8" t="n">
        <v>0</v>
      </c>
      <c r="O22" s="8" t="n">
        <v>0</v>
      </c>
      <c r="P22" s="8" t="n">
        <v>0</v>
      </c>
      <c r="Q22" s="8" t="n">
        <v>1243.238683666679</v>
      </c>
      <c r="R22" s="8" t="n">
        <v>468.6183281896993</v>
      </c>
      <c r="S22" s="8" t="n">
        <v>2000.233412302912</v>
      </c>
      <c r="T22" s="8" t="n">
        <v>156.8993793568691</v>
      </c>
      <c r="U22">
        <f>SUM(M22:T22)</f>
        <v/>
      </c>
    </row>
    <row r="23">
      <c r="A23" s="10" t="n">
        <v>0.4166666666666667</v>
      </c>
      <c r="B23" s="5" t="n">
        <v>1.118569818391602</v>
      </c>
      <c r="C23" s="5" t="n">
        <v>7.50813047784522e-05</v>
      </c>
      <c r="D23" s="5" t="n">
        <v>0</v>
      </c>
      <c r="E23" s="5" t="n">
        <v>18.77014372368145</v>
      </c>
      <c r="F23" s="5" t="n">
        <v>190.7167254130991</v>
      </c>
      <c r="G23" s="5" t="n">
        <v>972.4738560739681</v>
      </c>
      <c r="H23" s="5" t="n">
        <v>316.7109907820783</v>
      </c>
      <c r="I23" s="5" t="n">
        <v>0</v>
      </c>
      <c r="J23" s="5">
        <f>SUM(B23:I23)</f>
        <v/>
      </c>
      <c r="L23" s="10" t="n">
        <v>0.4166666666666667</v>
      </c>
      <c r="M23" s="8" t="n">
        <v>84.35490446090698</v>
      </c>
      <c r="N23" s="8" t="n">
        <v>0</v>
      </c>
      <c r="O23" s="8" t="n">
        <v>0</v>
      </c>
      <c r="P23" s="8" t="n">
        <v>0</v>
      </c>
      <c r="Q23" s="8" t="n">
        <v>1589.767644421465</v>
      </c>
      <c r="R23" s="8" t="n">
        <v>665.5836204251193</v>
      </c>
      <c r="S23" s="8" t="n">
        <v>2949.710642779678</v>
      </c>
      <c r="T23" s="8" t="n">
        <v>226.5831517130379</v>
      </c>
      <c r="U23">
        <f>SUM(M23:T23)</f>
        <v/>
      </c>
    </row>
    <row r="24">
      <c r="A24" s="10" t="n">
        <v>0.4375</v>
      </c>
      <c r="B24" s="5" t="n">
        <v>1.965490691500286</v>
      </c>
      <c r="C24" s="5" t="n">
        <v>0.001501626095569044</v>
      </c>
      <c r="D24" s="5" t="n">
        <v>2.617452691206417e-05</v>
      </c>
      <c r="E24" s="5" t="n">
        <v>18.11094700724966</v>
      </c>
      <c r="F24" s="5" t="n">
        <v>275.3948319235942</v>
      </c>
      <c r="G24" s="5" t="n">
        <v>1280.731050498337</v>
      </c>
      <c r="H24" s="5" t="n">
        <v>476.6122678685731</v>
      </c>
      <c r="I24" s="5" t="n">
        <v>0</v>
      </c>
      <c r="J24" s="5">
        <f>SUM(B24:I24)</f>
        <v/>
      </c>
      <c r="L24" s="10" t="n">
        <v>0.4375</v>
      </c>
      <c r="M24" s="8" t="n">
        <v>93.58910255432129</v>
      </c>
      <c r="N24" s="8" t="n">
        <v>0</v>
      </c>
      <c r="O24" s="8" t="n">
        <v>0</v>
      </c>
      <c r="P24" s="8" t="n">
        <v>0</v>
      </c>
      <c r="Q24" s="8" t="n">
        <v>1966.435672490878</v>
      </c>
      <c r="R24" s="8" t="n">
        <v>963.2474582000638</v>
      </c>
      <c r="S24" s="8" t="n">
        <v>4289.601877662373</v>
      </c>
      <c r="T24" s="8" t="n">
        <v>328.4642353904941</v>
      </c>
      <c r="U24">
        <f>SUM(M24:T24)</f>
        <v/>
      </c>
    </row>
    <row r="25">
      <c r="A25" s="10" t="n">
        <v>0.4583333333333333</v>
      </c>
      <c r="B25" s="5" t="n">
        <v>3.255061723699215</v>
      </c>
      <c r="C25" s="5" t="n">
        <v>0.01426544790790592</v>
      </c>
      <c r="D25" s="5" t="n">
        <v>0.0005234905382412834</v>
      </c>
      <c r="E25" s="5" t="n">
        <v>15.66886751830926</v>
      </c>
      <c r="F25" s="5" t="n">
        <v>352.3937322932779</v>
      </c>
      <c r="G25" s="5" t="n">
        <v>1626.651406510767</v>
      </c>
      <c r="H25" s="5" t="n">
        <v>1028.503458177101</v>
      </c>
      <c r="I25" s="5" t="n">
        <v>0</v>
      </c>
      <c r="J25" s="5">
        <f>SUM(B25:I25)</f>
        <v/>
      </c>
      <c r="L25" s="10" t="n">
        <v>0.4583333333333333</v>
      </c>
      <c r="M25" s="8" t="n">
        <v>102.7403574943542</v>
      </c>
      <c r="N25" s="8" t="n">
        <v>0</v>
      </c>
      <c r="O25" s="8" t="n">
        <v>0</v>
      </c>
      <c r="P25" s="8" t="n">
        <v>0</v>
      </c>
      <c r="Q25" s="8" t="n">
        <v>2415.736606003704</v>
      </c>
      <c r="R25" s="8" t="n">
        <v>1435.538134874283</v>
      </c>
      <c r="S25" s="8" t="n">
        <v>6324.106791169317</v>
      </c>
      <c r="T25" s="8" t="n">
        <v>489.2540260853032</v>
      </c>
      <c r="U25">
        <f>SUM(M25:T25)</f>
        <v/>
      </c>
    </row>
    <row r="26">
      <c r="A26" s="10" t="n">
        <v>0.4791666666666667</v>
      </c>
      <c r="B26" s="5" t="n">
        <v>5.669422694198963</v>
      </c>
      <c r="C26" s="5" t="n">
        <v>0.08559268744743552</v>
      </c>
      <c r="D26" s="5" t="n">
        <v>0.004973160113292192</v>
      </c>
      <c r="E26" s="5" t="n">
        <v>13.07718967858874</v>
      </c>
      <c r="F26" s="5" t="n">
        <v>413.1739992116337</v>
      </c>
      <c r="G26" s="5" t="n">
        <v>2170.398777647055</v>
      </c>
      <c r="H26" s="5" t="n">
        <v>2337.92253810844</v>
      </c>
      <c r="I26" s="5" t="n">
        <v>0</v>
      </c>
      <c r="J26" s="5">
        <f>SUM(B26:I26)</f>
        <v/>
      </c>
      <c r="L26" s="10" t="n">
        <v>0.4791666666666667</v>
      </c>
      <c r="M26" s="8" t="n">
        <v>116.1010915279388</v>
      </c>
      <c r="N26" s="8" t="n">
        <v>0</v>
      </c>
      <c r="O26" s="8" t="n">
        <v>0</v>
      </c>
      <c r="P26" s="8" t="n">
        <v>0</v>
      </c>
      <c r="Q26" s="8" t="n">
        <v>3032.846136900206</v>
      </c>
      <c r="R26" s="8" t="n">
        <v>2195.004350874127</v>
      </c>
      <c r="S26" s="8" t="n">
        <v>9520.082569828692</v>
      </c>
      <c r="T26" s="8" t="n">
        <v>749.3572330179472</v>
      </c>
      <c r="U26">
        <f>SUM(M26:T26)</f>
        <v/>
      </c>
    </row>
    <row r="27">
      <c r="A27" s="10" t="n">
        <v>0.5</v>
      </c>
      <c r="B27" s="5" t="n">
        <v>10.62036908242972</v>
      </c>
      <c r="C27" s="5" t="n">
        <v>0.363768921651601</v>
      </c>
      <c r="D27" s="5" t="n">
        <v>0.02983896067975315</v>
      </c>
      <c r="E27" s="5" t="n">
        <v>11.26949778743992</v>
      </c>
      <c r="F27" s="5" t="n">
        <v>470.2414725418676</v>
      </c>
      <c r="G27" s="5" t="n">
        <v>3157.151784666562</v>
      </c>
      <c r="H27" s="5" t="n">
        <v>5005.894434479219</v>
      </c>
      <c r="I27" s="5" t="n">
        <v>0</v>
      </c>
      <c r="J27" s="5">
        <f>SUM(B27:I27)</f>
        <v/>
      </c>
      <c r="L27" s="10" t="n">
        <v>0.5</v>
      </c>
      <c r="M27" s="8" t="n">
        <v>138.9049191474915</v>
      </c>
      <c r="N27" s="8" t="n">
        <v>0</v>
      </c>
      <c r="O27" s="8" t="n">
        <v>0</v>
      </c>
      <c r="P27" s="8" t="n">
        <v>0</v>
      </c>
      <c r="Q27" s="8" t="n">
        <v>3914.107590151877</v>
      </c>
      <c r="R27" s="8" t="n">
        <v>3351.366296942359</v>
      </c>
      <c r="S27" s="8" t="n">
        <v>14324.61768127503</v>
      </c>
      <c r="T27" s="8" t="n">
        <v>1148.232329804687</v>
      </c>
      <c r="U27">
        <f>SUM(M27:T27)</f>
        <v/>
      </c>
    </row>
    <row r="28">
      <c r="A28" s="10" t="n">
        <v>0.5208333333333334</v>
      </c>
      <c r="B28" s="5" t="n">
        <v>19.5986952211803</v>
      </c>
      <c r="C28" s="5" t="n">
        <v>1.164060549285123</v>
      </c>
      <c r="D28" s="5" t="n">
        <v>0.1268155828889509</v>
      </c>
      <c r="E28" s="5" t="n">
        <v>10.00173040746183</v>
      </c>
      <c r="F28" s="5" t="n">
        <v>562.5474612349121</v>
      </c>
      <c r="G28" s="5" t="n">
        <v>4764.430008272664</v>
      </c>
      <c r="H28" s="5" t="n">
        <v>9794.9639963052</v>
      </c>
      <c r="I28" s="5" t="n">
        <v>0</v>
      </c>
      <c r="J28" s="5">
        <f>SUM(B28:I28)</f>
        <v/>
      </c>
      <c r="L28" s="10" t="n">
        <v>0.5208333333333334</v>
      </c>
      <c r="M28" s="8" t="n">
        <v>174.7109557628632</v>
      </c>
      <c r="N28" s="8" t="n">
        <v>0</v>
      </c>
      <c r="O28" s="8" t="n">
        <v>0</v>
      </c>
      <c r="P28" s="8" t="n">
        <v>0</v>
      </c>
      <c r="Q28" s="8" t="n">
        <v>5081.44837511068</v>
      </c>
      <c r="R28" s="8" t="n">
        <v>4946.576403557712</v>
      </c>
      <c r="S28" s="8" t="n">
        <v>20885.56271191605</v>
      </c>
      <c r="T28" s="8" t="n">
        <v>1702.062534418963</v>
      </c>
      <c r="U28">
        <f>SUM(M28:T28)</f>
        <v/>
      </c>
    </row>
    <row r="29">
      <c r="A29" s="10" t="n">
        <v>0.5416666666666666</v>
      </c>
      <c r="B29" s="5" t="n">
        <v>32.50723892738188</v>
      </c>
      <c r="C29" s="5" t="n">
        <v>2.910151373212808</v>
      </c>
      <c r="D29" s="5" t="n">
        <v>0.4058098652446429</v>
      </c>
      <c r="E29" s="5" t="n">
        <v>8.538241627553893</v>
      </c>
      <c r="F29" s="5" t="n">
        <v>749.8074634313723</v>
      </c>
      <c r="G29" s="5" t="n">
        <v>6884.451065940695</v>
      </c>
      <c r="H29" s="5" t="n">
        <v>17216.60267580629</v>
      </c>
      <c r="I29" s="5" t="n">
        <v>0</v>
      </c>
      <c r="J29" s="5">
        <f>SUM(B29:I29)</f>
        <v/>
      </c>
      <c r="L29" s="10" t="n">
        <v>0.5416666666666666</v>
      </c>
      <c r="M29" s="8" t="n">
        <v>224.0112066745758</v>
      </c>
      <c r="N29" s="8" t="n">
        <v>0</v>
      </c>
      <c r="O29" s="8" t="n">
        <v>0</v>
      </c>
      <c r="P29" s="8" t="n">
        <v>0</v>
      </c>
      <c r="Q29" s="8" t="n">
        <v>6444.553681510784</v>
      </c>
      <c r="R29" s="8" t="n">
        <v>6907.455851533568</v>
      </c>
      <c r="S29" s="8" t="n">
        <v>28862.52161092083</v>
      </c>
      <c r="T29" s="8" t="n">
        <v>2387.889178468413</v>
      </c>
      <c r="U29">
        <f>SUM(M29:T29)</f>
        <v/>
      </c>
    </row>
    <row r="30">
      <c r="A30" s="10" t="n">
        <v>0.5625</v>
      </c>
      <c r="B30" s="5" t="n">
        <v>46.23774994841189</v>
      </c>
      <c r="C30" s="5" t="n">
        <v>5.8223448214975</v>
      </c>
      <c r="D30" s="5" t="n">
        <v>1.014524663111607</v>
      </c>
      <c r="E30" s="5" t="n">
        <v>6.575536748440249</v>
      </c>
      <c r="F30" s="5" t="n">
        <v>1091.296655147646</v>
      </c>
      <c r="G30" s="5" t="n">
        <v>9010.26308938476</v>
      </c>
      <c r="H30" s="5" t="n">
        <v>26832.78390413427</v>
      </c>
      <c r="I30" s="5" t="n">
        <v>0</v>
      </c>
      <c r="J30" s="5">
        <f>SUM(B30:I30)</f>
        <v/>
      </c>
      <c r="L30" s="10" t="n">
        <v>0.5625</v>
      </c>
      <c r="M30" s="8" t="n">
        <v>284.4377867698669</v>
      </c>
      <c r="N30" s="8" t="n">
        <v>0</v>
      </c>
      <c r="O30" s="8" t="n">
        <v>0</v>
      </c>
      <c r="P30" s="8" t="n">
        <v>0</v>
      </c>
      <c r="Q30" s="8" t="n">
        <v>7827.322896217667</v>
      </c>
      <c r="R30" s="8" t="n">
        <v>9035.900457723814</v>
      </c>
      <c r="S30" s="8" t="n">
        <v>37423.61317827694</v>
      </c>
      <c r="T30" s="8" t="n">
        <v>3140.711661429312</v>
      </c>
      <c r="U30">
        <f>SUM(M30:T30)</f>
        <v/>
      </c>
    </row>
    <row r="31">
      <c r="A31" s="10" t="n">
        <v>0.5833333333333334</v>
      </c>
      <c r="B31" s="5" t="n">
        <v>55.42219954069725</v>
      </c>
      <c r="C31" s="5" t="n">
        <v>9.498833464379326</v>
      </c>
      <c r="D31" s="5" t="n">
        <v>2.029049326223215</v>
      </c>
      <c r="E31" s="5" t="n">
        <v>4.538607329547696</v>
      </c>
      <c r="F31" s="5" t="n">
        <v>1605.927460669952</v>
      </c>
      <c r="G31" s="5" t="n">
        <v>10400.88957675251</v>
      </c>
      <c r="H31" s="5" t="n">
        <v>36776.63112855768</v>
      </c>
      <c r="I31" s="5" t="n">
        <v>0</v>
      </c>
      <c r="J31" s="5">
        <f>SUM(B31:I31)</f>
        <v/>
      </c>
      <c r="L31" s="10" t="n">
        <v>0.5833333333333334</v>
      </c>
      <c r="M31" s="8" t="n">
        <v>351.1786057949066</v>
      </c>
      <c r="N31" s="8" t="n">
        <v>0</v>
      </c>
      <c r="O31" s="8" t="n">
        <v>0</v>
      </c>
      <c r="P31" s="8" t="n">
        <v>0</v>
      </c>
      <c r="Q31" s="8" t="n">
        <v>9021.694956783333</v>
      </c>
      <c r="R31" s="8" t="n">
        <v>11020.95916579601</v>
      </c>
      <c r="S31" s="8" t="n">
        <v>45343.75416419756</v>
      </c>
      <c r="T31" s="8" t="n">
        <v>3857.209661365867</v>
      </c>
      <c r="U31">
        <f>SUM(M31:T31)</f>
        <v/>
      </c>
    </row>
    <row r="32">
      <c r="A32" s="10" t="n">
        <v>0.6041666666666666</v>
      </c>
      <c r="B32" s="5" t="n">
        <v>55.64456090315336</v>
      </c>
      <c r="C32" s="5" t="n">
        <v>12.99865021424699</v>
      </c>
      <c r="D32" s="5" t="n">
        <v>3.297205155112723</v>
      </c>
      <c r="E32" s="5" t="n">
        <v>3.319967876435442</v>
      </c>
      <c r="F32" s="5" t="n">
        <v>2231.682466000948</v>
      </c>
      <c r="G32" s="5" t="n">
        <v>10487.6074833383</v>
      </c>
      <c r="H32" s="5" t="n">
        <v>44153.45876114222</v>
      </c>
      <c r="I32" s="5" t="n">
        <v>0</v>
      </c>
      <c r="J32" s="5">
        <f>SUM(B32:I32)</f>
        <v/>
      </c>
      <c r="L32" s="10" t="n">
        <v>0.6041666666666666</v>
      </c>
      <c r="M32" s="8" t="n">
        <v>416.8602907180787</v>
      </c>
      <c r="N32" s="8" t="n">
        <v>0</v>
      </c>
      <c r="O32" s="8" t="n">
        <v>0</v>
      </c>
      <c r="P32" s="8" t="n">
        <v>0</v>
      </c>
      <c r="Q32" s="8" t="n">
        <v>9824.096639253976</v>
      </c>
      <c r="R32" s="8" t="n">
        <v>12469.62441692528</v>
      </c>
      <c r="S32" s="8" t="n">
        <v>51140.02066582496</v>
      </c>
      <c r="T32" s="8" t="n">
        <v>4404.021812040321</v>
      </c>
      <c r="U32">
        <f>SUM(M32:T32)</f>
        <v/>
      </c>
    </row>
    <row r="33">
      <c r="A33" s="10" t="n">
        <v>0.625</v>
      </c>
      <c r="B33" s="5" t="n">
        <v>46.63972789580782</v>
      </c>
      <c r="C33" s="5" t="n">
        <v>16.19970786589224</v>
      </c>
      <c r="D33" s="5" t="n">
        <v>4.396273540150299</v>
      </c>
      <c r="E33" s="5" t="n">
        <v>3.990931001068948</v>
      </c>
      <c r="F33" s="5" t="n">
        <v>2826.007166381082</v>
      </c>
      <c r="G33" s="5" t="n">
        <v>9224.484129772416</v>
      </c>
      <c r="H33" s="5" t="n">
        <v>46401.17464476843</v>
      </c>
      <c r="I33" s="5" t="n">
        <v>0</v>
      </c>
      <c r="J33" s="5">
        <f>SUM(B33:I33)</f>
        <v/>
      </c>
      <c r="L33" s="10" t="n">
        <v>0.625</v>
      </c>
      <c r="M33" s="8" t="n">
        <v>472.3564537525177</v>
      </c>
      <c r="N33" s="8" t="n">
        <v>0</v>
      </c>
      <c r="O33" s="8" t="n">
        <v>0</v>
      </c>
      <c r="P33" s="8" t="n">
        <v>0</v>
      </c>
      <c r="Q33" s="8" t="n">
        <v>10064.14185474191</v>
      </c>
      <c r="R33" s="8" t="n">
        <v>12995.73029560602</v>
      </c>
      <c r="S33" s="8" t="n">
        <v>53370.89879578457</v>
      </c>
      <c r="T33" s="8" t="n">
        <v>4644.689850939702</v>
      </c>
      <c r="U33">
        <f>SUM(M33:T33)</f>
        <v/>
      </c>
    </row>
    <row r="34">
      <c r="A34" s="10" t="n">
        <v>0.6458333333333334</v>
      </c>
      <c r="B34" s="5" t="n">
        <v>32.49521368473108</v>
      </c>
      <c r="C34" s="5" t="n">
        <v>22.50492443978335</v>
      </c>
      <c r="D34" s="5" t="n">
        <v>4.835900894165328</v>
      </c>
      <c r="E34" s="5" t="n">
        <v>7.557752813448361</v>
      </c>
      <c r="F34" s="5" t="n">
        <v>3226.910403491025</v>
      </c>
      <c r="G34" s="5" t="n">
        <v>7097.895775579575</v>
      </c>
      <c r="H34" s="5" t="n">
        <v>42756.4075742454</v>
      </c>
      <c r="I34" s="5" t="n">
        <v>0</v>
      </c>
      <c r="J34" s="5">
        <f>SUM(B34:I34)</f>
        <v/>
      </c>
      <c r="L34" s="10" t="n">
        <v>0.6458333333333334</v>
      </c>
      <c r="M34" s="8" t="n">
        <v>510.0611974239349</v>
      </c>
      <c r="N34" s="8" t="n">
        <v>0</v>
      </c>
      <c r="O34" s="8" t="n">
        <v>0</v>
      </c>
      <c r="P34" s="8" t="n">
        <v>0</v>
      </c>
      <c r="Q34" s="8" t="n">
        <v>9659.953321628847</v>
      </c>
      <c r="R34" s="8" t="n">
        <v>12381.59079687503</v>
      </c>
      <c r="S34" s="8" t="n">
        <v>51193.63746445211</v>
      </c>
      <c r="T34" s="8" t="n">
        <v>4493.25613843996</v>
      </c>
      <c r="U34">
        <f>SUM(M34:T34)</f>
        <v/>
      </c>
    </row>
    <row r="35">
      <c r="A35" s="10" t="n">
        <v>0.6666666666666666</v>
      </c>
      <c r="B35" s="5" t="n">
        <v>18.69056009140146</v>
      </c>
      <c r="C35" s="5" t="n">
        <v>41.12226415360649</v>
      </c>
      <c r="D35" s="5" t="n">
        <v>4.396273540150299</v>
      </c>
      <c r="E35" s="5" t="n">
        <v>14.35566565524099</v>
      </c>
      <c r="F35" s="5" t="n">
        <v>3333.631575003546</v>
      </c>
      <c r="G35" s="5" t="n">
        <v>4810.263318838425</v>
      </c>
      <c r="H35" s="5" t="n">
        <v>34694.07089957179</v>
      </c>
      <c r="I35" s="5" t="n">
        <v>0</v>
      </c>
      <c r="J35" s="5">
        <f>SUM(B35:I35)</f>
        <v/>
      </c>
      <c r="L35" s="10" t="n">
        <v>0.6666666666666666</v>
      </c>
      <c r="M35" s="8" t="n">
        <v>528.1616970539094</v>
      </c>
      <c r="N35" s="8" t="n">
        <v>0</v>
      </c>
      <c r="O35" s="8" t="n">
        <v>0</v>
      </c>
      <c r="P35" s="8" t="n">
        <v>0</v>
      </c>
      <c r="Q35" s="8" t="n">
        <v>8681.288280637777</v>
      </c>
      <c r="R35" s="8" t="n">
        <v>10723.55965605335</v>
      </c>
      <c r="S35" s="8" t="n">
        <v>44904.70094384227</v>
      </c>
      <c r="T35" s="8" t="n">
        <v>3967.199918648816</v>
      </c>
      <c r="U35">
        <f>SUM(M35:T35)</f>
        <v/>
      </c>
    </row>
    <row r="36">
      <c r="A36" s="10" t="n">
        <v>0.6875</v>
      </c>
      <c r="B36" s="5" t="n">
        <v>8.784084945479508</v>
      </c>
      <c r="C36" s="5" t="n">
        <v>84.9947741896449</v>
      </c>
      <c r="D36" s="5" t="n">
        <v>3.297205155112723</v>
      </c>
      <c r="E36" s="5" t="n">
        <v>23.12600538385784</v>
      </c>
      <c r="F36" s="5" t="n">
        <v>3144.003703691897</v>
      </c>
      <c r="G36" s="5" t="n">
        <v>2910.401810365997</v>
      </c>
      <c r="H36" s="5" t="n">
        <v>25003.37779928489</v>
      </c>
      <c r="I36" s="5" t="n">
        <v>0</v>
      </c>
      <c r="J36" s="5">
        <f>SUM(B36:I36)</f>
        <v/>
      </c>
      <c r="L36" s="10" t="n">
        <v>0.6875</v>
      </c>
      <c r="M36" s="8" t="n">
        <v>532.2260969161987</v>
      </c>
      <c r="N36" s="8" t="n">
        <v>0</v>
      </c>
      <c r="O36" s="8" t="n">
        <v>0</v>
      </c>
      <c r="P36" s="8" t="n">
        <v>0</v>
      </c>
      <c r="Q36" s="8" t="n">
        <v>7351.576913083043</v>
      </c>
      <c r="R36" s="8" t="n">
        <v>8427.567918756253</v>
      </c>
      <c r="S36" s="8" t="n">
        <v>35972.94995987536</v>
      </c>
      <c r="T36" s="8" t="n">
        <v>3193.29198623277</v>
      </c>
      <c r="U36">
        <f>SUM(M36:T36)</f>
        <v/>
      </c>
    </row>
    <row r="37">
      <c r="A37" s="10" t="n">
        <v>0.7083333333333334</v>
      </c>
      <c r="B37" s="5" t="n">
        <v>3.343443462638693</v>
      </c>
      <c r="C37" s="5" t="n">
        <v>161.3122879878003</v>
      </c>
      <c r="D37" s="5" t="n">
        <v>2.029049326223214</v>
      </c>
      <c r="E37" s="5" t="n">
        <v>30.79021944339704</v>
      </c>
      <c r="F37" s="5" t="n">
        <v>2735.230853972464</v>
      </c>
      <c r="G37" s="5" t="n">
        <v>1615.146648733403</v>
      </c>
      <c r="H37" s="5" t="n">
        <v>16264.32309043231</v>
      </c>
      <c r="I37" s="5" t="n">
        <v>0</v>
      </c>
      <c r="J37" s="5">
        <f>SUM(B37:I37)</f>
        <v/>
      </c>
      <c r="L37" s="10" t="n">
        <v>0.7083333333333334</v>
      </c>
      <c r="M37" s="8" t="n">
        <v>532.3627313613891</v>
      </c>
      <c r="N37" s="8" t="n">
        <v>0</v>
      </c>
      <c r="O37" s="8" t="n">
        <v>0</v>
      </c>
      <c r="P37" s="8" t="n">
        <v>0</v>
      </c>
      <c r="Q37" s="8" t="n">
        <v>5960.283214382411</v>
      </c>
      <c r="R37" s="8" t="n">
        <v>6028.4882629394</v>
      </c>
      <c r="S37" s="8" t="n">
        <v>26420.09509431597</v>
      </c>
      <c r="T37" s="8" t="n">
        <v>2352.452152753942</v>
      </c>
      <c r="U37">
        <f>SUM(M37:T37)</f>
        <v/>
      </c>
    </row>
    <row r="38">
      <c r="A38" s="10" t="n">
        <v>0.7291666666666666</v>
      </c>
      <c r="B38" s="5" t="n">
        <v>1.107663621550943</v>
      </c>
      <c r="C38" s="5" t="n">
        <v>258.7257838892327</v>
      </c>
      <c r="D38" s="5" t="n">
        <v>1.014524663111607</v>
      </c>
      <c r="E38" s="5" t="n">
        <v>33.86141428136165</v>
      </c>
      <c r="F38" s="5" t="n">
        <v>2222.241923564703</v>
      </c>
      <c r="G38" s="5" t="n">
        <v>859.9601837666268</v>
      </c>
      <c r="H38" s="5" t="n">
        <v>9819.994089338532</v>
      </c>
      <c r="I38" s="5" t="n">
        <v>0</v>
      </c>
      <c r="J38" s="5">
        <f>SUM(B38:I38)</f>
        <v/>
      </c>
      <c r="L38" s="10" t="n">
        <v>0.7291666666666666</v>
      </c>
      <c r="M38" s="8" t="n">
        <v>538.2032276630401</v>
      </c>
      <c r="N38" s="8" t="n">
        <v>0</v>
      </c>
      <c r="O38" s="8" t="n">
        <v>0</v>
      </c>
      <c r="P38" s="8" t="n">
        <v>0</v>
      </c>
      <c r="Q38" s="8" t="n">
        <v>4743.646050612812</v>
      </c>
      <c r="R38" s="8" t="n">
        <v>3959.940558259143</v>
      </c>
      <c r="S38" s="8" t="n">
        <v>17967.52806801596</v>
      </c>
      <c r="T38" s="8" t="n">
        <v>1601.751709830777</v>
      </c>
      <c r="U38">
        <f>SUM(M38:T38)</f>
        <v/>
      </c>
    </row>
    <row r="39">
      <c r="A39" s="10" t="n">
        <v>0.75</v>
      </c>
      <c r="B39" s="5" t="n">
        <v>0.6250125035194709</v>
      </c>
      <c r="C39" s="5" t="n">
        <v>344.1545143319353</v>
      </c>
      <c r="D39" s="5" t="n">
        <v>0.4058098652446429</v>
      </c>
      <c r="E39" s="5" t="n">
        <v>30.78206763824274</v>
      </c>
      <c r="F39" s="5" t="n">
        <v>1716.860105583421</v>
      </c>
      <c r="G39" s="5" t="n">
        <v>460.1704273573233</v>
      </c>
      <c r="H39" s="5" t="n">
        <v>5724.883478830825</v>
      </c>
      <c r="I39" s="5" t="n">
        <v>0</v>
      </c>
      <c r="J39" s="5">
        <f>SUM(B39:I39)</f>
        <v/>
      </c>
      <c r="L39" s="10" t="n">
        <v>0.75</v>
      </c>
      <c r="M39" s="8" t="n">
        <v>555.3166184425354</v>
      </c>
      <c r="N39" s="8" t="n">
        <v>0</v>
      </c>
      <c r="O39" s="8" t="n">
        <v>0</v>
      </c>
      <c r="P39" s="8" t="n">
        <v>0</v>
      </c>
      <c r="Q39" s="8" t="n">
        <v>3816.515698209901</v>
      </c>
      <c r="R39" s="8" t="n">
        <v>2427.083922023085</v>
      </c>
      <c r="S39" s="8" t="n">
        <v>11513.20684747361</v>
      </c>
      <c r="T39" s="8" t="n">
        <v>1025.32594732734</v>
      </c>
      <c r="U39">
        <f>SUM(M39:T39)</f>
        <v/>
      </c>
    </row>
    <row r="40">
      <c r="A40" s="10" t="n">
        <v>0.7708333333333334</v>
      </c>
      <c r="B40" s="5" t="n">
        <v>1.048939497616282</v>
      </c>
      <c r="C40" s="5" t="n">
        <v>378.9788473415844</v>
      </c>
      <c r="D40" s="5" t="n">
        <v>0.1268155828889509</v>
      </c>
      <c r="E40" s="5" t="n">
        <v>23.08645919255244</v>
      </c>
      <c r="F40" s="5" t="n">
        <v>1290.13856885565</v>
      </c>
      <c r="G40" s="5" t="n">
        <v>248.6600996370356</v>
      </c>
      <c r="H40" s="5" t="n">
        <v>3340.341505002019</v>
      </c>
      <c r="I40" s="5" t="n">
        <v>0</v>
      </c>
      <c r="J40" s="5">
        <f>SUM(B40:I40)</f>
        <v/>
      </c>
      <c r="L40" s="10" t="n">
        <v>0.7708333333333334</v>
      </c>
      <c r="M40" s="8" t="n">
        <v>584.2611183166505</v>
      </c>
      <c r="N40" s="8" t="n">
        <v>0</v>
      </c>
      <c r="O40" s="8" t="n">
        <v>0</v>
      </c>
      <c r="P40" s="8" t="n">
        <v>0</v>
      </c>
      <c r="Q40" s="8" t="n">
        <v>3180.740403031441</v>
      </c>
      <c r="R40" s="8" t="n">
        <v>1424.870829007105</v>
      </c>
      <c r="S40" s="8" t="n">
        <v>7138.72424568841</v>
      </c>
      <c r="T40" s="8" t="n">
        <v>633.3451684238485</v>
      </c>
      <c r="U40">
        <f>SUM(M40:T40)</f>
        <v/>
      </c>
    </row>
    <row r="41">
      <c r="A41" s="10" t="n">
        <v>0.7916666666666666</v>
      </c>
      <c r="B41" s="5" t="n">
        <v>2.031666175863337</v>
      </c>
      <c r="C41" s="5" t="n">
        <v>345.6135976152539</v>
      </c>
      <c r="D41" s="5" t="n">
        <v>0.02983896067975315</v>
      </c>
      <c r="E41" s="5" t="n">
        <v>14.20704778723537</v>
      </c>
      <c r="F41" s="5" t="n">
        <v>953.9753215605936</v>
      </c>
      <c r="G41" s="5" t="n">
        <v>128.6546336030132</v>
      </c>
      <c r="H41" s="5" t="n">
        <v>1962.038691621701</v>
      </c>
      <c r="I41" s="5" t="n">
        <v>0</v>
      </c>
      <c r="J41" s="5">
        <f>SUM(B41:I41)</f>
        <v/>
      </c>
      <c r="L41" s="10" t="n">
        <v>0.7916666666666666</v>
      </c>
      <c r="M41" s="8" t="n">
        <v>620.8885792732239</v>
      </c>
      <c r="N41" s="8" t="n">
        <v>0</v>
      </c>
      <c r="O41" s="8" t="n">
        <v>0</v>
      </c>
      <c r="P41" s="8" t="n">
        <v>0</v>
      </c>
      <c r="Q41" s="8" t="n">
        <v>2773.488574142473</v>
      </c>
      <c r="R41" s="8" t="n">
        <v>834.6906174142653</v>
      </c>
      <c r="S41" s="8" t="n">
        <v>4439.811607727202</v>
      </c>
      <c r="T41" s="8" t="n">
        <v>391.1717884743317</v>
      </c>
      <c r="U41">
        <f>SUM(M41:T41)</f>
        <v/>
      </c>
    </row>
    <row r="42">
      <c r="A42" s="10" t="n">
        <v>0.8125</v>
      </c>
      <c r="B42" s="5" t="n">
        <v>3.295924834752863</v>
      </c>
      <c r="C42" s="5" t="n">
        <v>260.7249025561667</v>
      </c>
      <c r="D42" s="5" t="n">
        <v>0.004973160113292192</v>
      </c>
      <c r="E42" s="5" t="n">
        <v>7.103523893617684</v>
      </c>
      <c r="F42" s="5" t="n">
        <v>682.1889087010054</v>
      </c>
      <c r="G42" s="5" t="n">
        <v>59.19455890751787</v>
      </c>
      <c r="H42" s="5" t="n">
        <v>1124.092260019229</v>
      </c>
      <c r="I42" s="5" t="n">
        <v>0</v>
      </c>
      <c r="J42" s="5">
        <f>SUM(B42:I42)</f>
        <v/>
      </c>
      <c r="L42" s="10" t="n">
        <v>0.8125</v>
      </c>
      <c r="M42" s="8" t="n">
        <v>657.0936243534088</v>
      </c>
      <c r="N42" s="8" t="n">
        <v>0</v>
      </c>
      <c r="O42" s="8" t="n">
        <v>0</v>
      </c>
      <c r="P42" s="8" t="n">
        <v>0</v>
      </c>
      <c r="Q42" s="8" t="n">
        <v>2511.905809515286</v>
      </c>
      <c r="R42" s="8" t="n">
        <v>515.6880737869647</v>
      </c>
      <c r="S42" s="8" t="n">
        <v>2877.232793056382</v>
      </c>
      <c r="T42" s="8" t="n">
        <v>251.3066427434522</v>
      </c>
      <c r="U42">
        <f>SUM(M42:T42)</f>
        <v/>
      </c>
    </row>
    <row r="43">
      <c r="A43" s="10" t="n">
        <v>0.8333333333333334</v>
      </c>
      <c r="B43" s="5" t="n">
        <v>4.394342298171385</v>
      </c>
      <c r="C43" s="5" t="n">
        <v>162.1332591910169</v>
      </c>
      <c r="D43" s="5" t="n">
        <v>0.0005234905382412834</v>
      </c>
      <c r="E43" s="5" t="n">
        <v>2.841409557447073</v>
      </c>
      <c r="F43" s="5" t="n">
        <v>453.1498289631227</v>
      </c>
      <c r="G43" s="5" t="n">
        <v>22.76699290980468</v>
      </c>
      <c r="H43" s="5" t="n">
        <v>599.8426958132394</v>
      </c>
      <c r="I43" s="5" t="n">
        <v>0</v>
      </c>
      <c r="J43" s="5">
        <f>SUM(B43:I43)</f>
        <v/>
      </c>
      <c r="L43" s="10" t="n">
        <v>0.8333333333333334</v>
      </c>
      <c r="M43" s="8" t="n">
        <v>683.3755676269531</v>
      </c>
      <c r="N43" s="8" t="n">
        <v>0</v>
      </c>
      <c r="O43" s="8" t="n">
        <v>0</v>
      </c>
      <c r="P43" s="8" t="n">
        <v>0</v>
      </c>
      <c r="Q43" s="8" t="n">
        <v>2320.978883459229</v>
      </c>
      <c r="R43" s="8" t="n">
        <v>353.9675739501727</v>
      </c>
      <c r="S43" s="8" t="n">
        <v>1990.354353264956</v>
      </c>
      <c r="T43" s="8" t="n">
        <v>173.1171627855047</v>
      </c>
      <c r="U43">
        <f>SUM(M43:T43)</f>
        <v/>
      </c>
    </row>
    <row r="44">
      <c r="A44" s="10" t="n">
        <v>0.8541666666666666</v>
      </c>
      <c r="B44" s="5" t="n">
        <v>4.833776527988524</v>
      </c>
      <c r="C44" s="5" t="n">
        <v>82.63403391097668</v>
      </c>
      <c r="D44" s="5" t="n">
        <v>2.617452691206417e-05</v>
      </c>
      <c r="E44" s="5" t="n">
        <v>0.8879404867022105</v>
      </c>
      <c r="F44" s="5" t="n">
        <v>270.3387517985638</v>
      </c>
      <c r="G44" s="5" t="n">
        <v>6.971981413501282</v>
      </c>
      <c r="H44" s="5" t="n">
        <v>287.1878818377778</v>
      </c>
      <c r="I44" s="5" t="n">
        <v>0</v>
      </c>
      <c r="J44" s="5">
        <f>SUM(B44:I44)</f>
        <v/>
      </c>
      <c r="L44" s="10" t="n">
        <v>0.8541666666666666</v>
      </c>
      <c r="M44" s="8" t="n">
        <v>693.7235145568848</v>
      </c>
      <c r="N44" s="8" t="n">
        <v>0</v>
      </c>
      <c r="O44" s="8" t="n">
        <v>0</v>
      </c>
      <c r="P44" s="8" t="n">
        <v>0</v>
      </c>
      <c r="Q44" s="8" t="n">
        <v>2150.809208519237</v>
      </c>
      <c r="R44" s="8" t="n">
        <v>275.2436564841604</v>
      </c>
      <c r="S44" s="8" t="n">
        <v>1470.271805883901</v>
      </c>
      <c r="T44" s="8" t="n">
        <v>129.4472996015792</v>
      </c>
      <c r="U44">
        <f>SUM(M44:T44)</f>
        <v/>
      </c>
    </row>
    <row r="45">
      <c r="A45" s="10" t="n">
        <v>0.875</v>
      </c>
      <c r="B45" s="5" t="n">
        <v>4.394342298171385</v>
      </c>
      <c r="C45" s="5" t="n">
        <v>34.27273500804003</v>
      </c>
      <c r="D45" s="5" t="n">
        <v>0</v>
      </c>
      <c r="E45" s="5" t="n">
        <v>0.2089271733416966</v>
      </c>
      <c r="F45" s="5" t="n">
        <v>147.176742800964</v>
      </c>
      <c r="G45" s="5" t="n">
        <v>1.619635739633102</v>
      </c>
      <c r="H45" s="5" t="n">
        <v>120.7771517646345</v>
      </c>
      <c r="I45" s="5" t="n">
        <v>0</v>
      </c>
      <c r="J45" s="5">
        <f>SUM(B45:I45)</f>
        <v/>
      </c>
      <c r="L45" s="10" t="n">
        <v>0.875</v>
      </c>
      <c r="M45" s="8" t="n">
        <v>689.1196716308594</v>
      </c>
      <c r="N45" s="8" t="n">
        <v>0</v>
      </c>
      <c r="O45" s="8" t="n">
        <v>0</v>
      </c>
      <c r="P45" s="8" t="n">
        <v>0</v>
      </c>
      <c r="Q45" s="8" t="n">
        <v>1983.152940057119</v>
      </c>
      <c r="R45" s="8" t="n">
        <v>238.4853534662852</v>
      </c>
      <c r="S45" s="8" t="n">
        <v>1147.174736626881</v>
      </c>
      <c r="T45" s="8" t="n">
        <v>105.1780582836967</v>
      </c>
      <c r="U45">
        <f>SUM(M45:T45)</f>
        <v/>
      </c>
    </row>
    <row r="46">
      <c r="A46" s="10" t="n">
        <v>0.8958333333333334</v>
      </c>
      <c r="B46" s="5" t="n">
        <v>3.295756723628539</v>
      </c>
      <c r="C46" s="5" t="n">
        <v>11.50148639622724</v>
      </c>
      <c r="D46" s="5" t="n">
        <v>0</v>
      </c>
      <c r="E46" s="5" t="n">
        <v>0.03482119555694943</v>
      </c>
      <c r="F46" s="5" t="n">
        <v>83.78045739748735</v>
      </c>
      <c r="G46" s="5" t="n">
        <v>0.2672521437599485</v>
      </c>
      <c r="H46" s="5" t="n">
        <v>44.3549073698134</v>
      </c>
      <c r="I46" s="5" t="n">
        <v>0</v>
      </c>
      <c r="J46" s="5">
        <f>SUM(B46:I46)</f>
        <v/>
      </c>
      <c r="L46" s="10" t="n">
        <v>0.8958333333333334</v>
      </c>
      <c r="M46" s="8" t="n">
        <v>674.6831617832183</v>
      </c>
      <c r="N46" s="8" t="n">
        <v>0</v>
      </c>
      <c r="O46" s="8" t="n">
        <v>0</v>
      </c>
      <c r="P46" s="8" t="n">
        <v>0</v>
      </c>
      <c r="Q46" s="8" t="n">
        <v>1820.135139306048</v>
      </c>
      <c r="R46" s="8" t="n">
        <v>223.1637702839422</v>
      </c>
      <c r="S46" s="8" t="n">
        <v>940.8192057336256</v>
      </c>
      <c r="T46" s="8" t="n">
        <v>92.59829475243123</v>
      </c>
      <c r="U46">
        <f>SUM(M46:T46)</f>
        <v/>
      </c>
    </row>
    <row r="47">
      <c r="A47" s="10" t="n">
        <v>0.9166666666666666</v>
      </c>
      <c r="B47" s="5" t="n">
        <v>2.028157983771409</v>
      </c>
      <c r="C47" s="5" t="n">
        <v>3.131781918421051</v>
      </c>
      <c r="D47" s="5" t="n">
        <v>0</v>
      </c>
      <c r="E47" s="5" t="n">
        <v>0.003665389005994677</v>
      </c>
      <c r="F47" s="5" t="n">
        <v>62.3139037046567</v>
      </c>
      <c r="G47" s="5" t="n">
        <v>0.02788344162367041</v>
      </c>
      <c r="H47" s="5" t="n">
        <v>14.30580262395057</v>
      </c>
      <c r="I47" s="5" t="n">
        <v>0</v>
      </c>
      <c r="J47" s="5">
        <f>SUM(B47:I47)</f>
        <v/>
      </c>
      <c r="L47" s="10" t="n">
        <v>0.9166666666666666</v>
      </c>
      <c r="M47" s="8" t="n">
        <v>651.4509268760681</v>
      </c>
      <c r="N47" s="8" t="n">
        <v>0</v>
      </c>
      <c r="O47" s="8" t="n">
        <v>0</v>
      </c>
      <c r="P47" s="8" t="n">
        <v>0</v>
      </c>
      <c r="Q47" s="8" t="n">
        <v>1660.363826008228</v>
      </c>
      <c r="R47" s="8" t="n">
        <v>217.1733016434333</v>
      </c>
      <c r="S47" s="8" t="n">
        <v>807.9756616507656</v>
      </c>
      <c r="T47" s="8" t="n">
        <v>86.75321972611303</v>
      </c>
      <c r="U47">
        <f>SUM(M47:T47)</f>
        <v/>
      </c>
    </row>
    <row r="48">
      <c r="A48" s="10" t="n">
        <v>0.9375</v>
      </c>
      <c r="B48" s="5" t="n">
        <v>1.014078991885704</v>
      </c>
      <c r="C48" s="5" t="n">
        <v>0.7095207982469994</v>
      </c>
      <c r="D48" s="5" t="n">
        <v>0</v>
      </c>
      <c r="E48" s="5" t="n">
        <v>0.0001832694502997338</v>
      </c>
      <c r="F48" s="5" t="n">
        <v>59.01628270870995</v>
      </c>
      <c r="G48" s="5" t="n">
        <v>0.001382936612921236</v>
      </c>
      <c r="H48" s="5" t="n">
        <v>4.081691990772608</v>
      </c>
      <c r="I48" s="5" t="n">
        <v>0</v>
      </c>
      <c r="J48" s="5">
        <f>SUM(B48:I48)</f>
        <v/>
      </c>
      <c r="L48" s="10" t="n">
        <v>0.9375</v>
      </c>
      <c r="M48" s="8" t="n">
        <v>611.2239109516144</v>
      </c>
      <c r="N48" s="8" t="n">
        <v>0</v>
      </c>
      <c r="O48" s="8" t="n">
        <v>0</v>
      </c>
      <c r="P48" s="8" t="n">
        <v>0</v>
      </c>
      <c r="Q48" s="8" t="n">
        <v>1484.269546192892</v>
      </c>
      <c r="R48" s="8" t="n">
        <v>209.9256349279412</v>
      </c>
      <c r="S48" s="8" t="n">
        <v>710.4015045086842</v>
      </c>
      <c r="T48" s="8" t="n">
        <v>82.77899941537092</v>
      </c>
      <c r="U48">
        <f>SUM(M48:T48)</f>
        <v/>
      </c>
    </row>
    <row r="49">
      <c r="A49" s="10" t="n">
        <v>0.9583333333333334</v>
      </c>
      <c r="B49" s="5" t="n">
        <v>0.4056315967542817</v>
      </c>
      <c r="C49" s="5" t="n">
        <v>0.1413185434967138</v>
      </c>
      <c r="D49" s="5" t="n">
        <v>0</v>
      </c>
      <c r="E49" s="5" t="n">
        <v>0</v>
      </c>
      <c r="F49" s="5" t="n">
        <v>56.6602636085106</v>
      </c>
      <c r="G49" s="5" t="n">
        <v>0</v>
      </c>
      <c r="H49" s="5" t="n">
        <v>1.019038226933799</v>
      </c>
      <c r="I49" s="5" t="n">
        <v>0</v>
      </c>
      <c r="J49" s="5">
        <f>SUM(B49:I49)</f>
        <v/>
      </c>
      <c r="L49" s="10" t="n">
        <v>0.9583333333333334</v>
      </c>
      <c r="M49" s="8" t="n">
        <v>541.8099025726317</v>
      </c>
      <c r="N49" s="8" t="n">
        <v>0</v>
      </c>
      <c r="O49" s="8" t="n">
        <v>0</v>
      </c>
      <c r="P49" s="8" t="n">
        <v>0</v>
      </c>
      <c r="Q49" s="8" t="n">
        <v>1264.98466777838</v>
      </c>
      <c r="R49" s="8" t="n">
        <v>192.2393496463823</v>
      </c>
      <c r="S49" s="8" t="n">
        <v>611.6304665774053</v>
      </c>
      <c r="T49" s="8" t="n">
        <v>76.03017775046224</v>
      </c>
      <c r="U49">
        <f>SUM(M49:T49)</f>
        <v/>
      </c>
    </row>
    <row r="50">
      <c r="A50" s="10" t="n">
        <v>0.9791666666666666</v>
      </c>
      <c r="B50" s="5" t="n">
        <v>0.126759873985713</v>
      </c>
      <c r="C50" s="5" t="n">
        <v>0.0256837320269469</v>
      </c>
      <c r="D50" s="5" t="n">
        <v>0</v>
      </c>
      <c r="E50" s="5" t="n">
        <v>0</v>
      </c>
      <c r="F50" s="5" t="n">
        <v>48.57685477375181</v>
      </c>
      <c r="G50" s="5" t="n">
        <v>0</v>
      </c>
      <c r="H50" s="5" t="n">
        <v>0.2121531954641608</v>
      </c>
      <c r="I50" s="5" t="n">
        <v>0</v>
      </c>
      <c r="J50" s="5">
        <f>SUM(B50:I50)</f>
        <v/>
      </c>
      <c r="L50" s="10" t="n">
        <v>0.9791666666666666</v>
      </c>
      <c r="M50" s="8" t="n">
        <v>439.5415143013</v>
      </c>
      <c r="N50" s="8" t="n">
        <v>0</v>
      </c>
      <c r="O50" s="8" t="n">
        <v>0</v>
      </c>
      <c r="P50" s="8" t="n">
        <v>0</v>
      </c>
      <c r="Q50" s="8" t="n">
        <v>994.9813954826383</v>
      </c>
      <c r="R50" s="8" t="n">
        <v>160.2950193956194</v>
      </c>
      <c r="S50" s="8" t="n">
        <v>490.9795295312537</v>
      </c>
      <c r="T50" s="8" t="n">
        <v>63.99442677366645</v>
      </c>
      <c r="U50">
        <f>SUM(M50:T50)</f>
        <v/>
      </c>
    </row>
    <row r="51">
      <c r="A51" s="10" t="n">
        <v>1</v>
      </c>
      <c r="B51" s="5" t="n">
        <v>0.02982585270252072</v>
      </c>
      <c r="C51" s="5" t="n">
        <v>0.003940276159176977</v>
      </c>
      <c r="D51" s="5" t="n">
        <v>0</v>
      </c>
      <c r="E51" s="5" t="n">
        <v>0</v>
      </c>
      <c r="F51" s="5" t="n">
        <v>35.87372953302909</v>
      </c>
      <c r="G51" s="5" t="n">
        <v>0</v>
      </c>
      <c r="H51" s="5" t="n">
        <v>0.03360482956677694</v>
      </c>
      <c r="I51" s="5" t="n">
        <v>0</v>
      </c>
      <c r="J51" s="5">
        <f>SUM(B51:I51)</f>
        <v/>
      </c>
      <c r="L51" s="10" t="n">
        <v>1</v>
      </c>
      <c r="M51" s="8" t="n">
        <v>317.1983615398407</v>
      </c>
      <c r="N51" s="8" t="n">
        <v>0</v>
      </c>
      <c r="O51" s="8" t="n">
        <v>0</v>
      </c>
      <c r="P51" s="8" t="n">
        <v>0</v>
      </c>
      <c r="Q51" s="8" t="n">
        <v>701.0894746953821</v>
      </c>
      <c r="R51" s="8" t="n">
        <v>118.1594994851297</v>
      </c>
      <c r="S51" s="8" t="n">
        <v>353.2071149663055</v>
      </c>
      <c r="T51" s="8" t="n">
        <v>47.65686746135369</v>
      </c>
      <c r="U51">
        <f>SUM(M51:T51)</f>
        <v/>
      </c>
    </row>
    <row r="52">
      <c r="A52" s="10" t="n">
        <v>1.020833333333333</v>
      </c>
      <c r="B52" s="5" t="n">
        <v>0.004970975450420119</v>
      </c>
      <c r="C52" s="5" t="n">
        <v>0.0004147659114923133</v>
      </c>
      <c r="D52" s="5" t="n">
        <v>0</v>
      </c>
      <c r="E52" s="5" t="n">
        <v>0</v>
      </c>
      <c r="F52" s="5" t="n">
        <v>22.59713073591662</v>
      </c>
      <c r="G52" s="5" t="n">
        <v>0</v>
      </c>
      <c r="H52" s="5" t="n">
        <v>0.003492540343514461</v>
      </c>
      <c r="I52" s="5" t="n">
        <v>0</v>
      </c>
      <c r="J52" s="5">
        <f>SUM(B52:I52)</f>
        <v/>
      </c>
      <c r="L52" s="10" t="n">
        <v>1.020833333333333</v>
      </c>
      <c r="M52" s="8" t="n">
        <v>198.912284708023</v>
      </c>
      <c r="N52" s="8" t="n">
        <v>0</v>
      </c>
      <c r="O52" s="8" t="n">
        <v>0</v>
      </c>
      <c r="P52" s="8" t="n">
        <v>0</v>
      </c>
      <c r="Q52" s="8" t="n">
        <v>431.6884125136122</v>
      </c>
      <c r="R52" s="8" t="n">
        <v>75.31001010591143</v>
      </c>
      <c r="S52" s="8" t="n">
        <v>221.2677259768325</v>
      </c>
      <c r="T52" s="8" t="n">
        <v>30.63852767523004</v>
      </c>
      <c r="U52">
        <f>SUM(M52:T52)</f>
        <v/>
      </c>
    </row>
    <row r="53">
      <c r="A53" s="10" t="n">
        <v>0.04166666666666666</v>
      </c>
      <c r="B53" s="5" t="n">
        <v>0.0005232605737284336</v>
      </c>
      <c r="C53" s="5" t="n">
        <v>2.073829557461567e-05</v>
      </c>
      <c r="D53" s="5" t="n">
        <v>0</v>
      </c>
      <c r="E53" s="5" t="n">
        <v>0</v>
      </c>
      <c r="F53" s="5" t="n">
        <v>12.05173555533017</v>
      </c>
      <c r="G53" s="5" t="n">
        <v>0</v>
      </c>
      <c r="H53" s="5" t="n">
        <v>0.0001746270171757231</v>
      </c>
      <c r="I53" s="5" t="n">
        <v>0</v>
      </c>
      <c r="J53" s="5">
        <f>SUM(B53:I53)</f>
        <v/>
      </c>
      <c r="L53" s="10" t="n">
        <v>0.04166666666666666</v>
      </c>
      <c r="M53" s="8" t="n">
        <v>106.2153409004211</v>
      </c>
      <c r="N53" s="8" t="n">
        <v>0</v>
      </c>
      <c r="O53" s="8" t="n">
        <v>0</v>
      </c>
      <c r="P53" s="8" t="n">
        <v>0</v>
      </c>
      <c r="Q53" s="8" t="n">
        <v>227.3497185028846</v>
      </c>
      <c r="R53" s="8" t="n">
        <v>40.73322557814225</v>
      </c>
      <c r="S53" s="8" t="n">
        <v>118.0614322137423</v>
      </c>
      <c r="T53" s="8" t="n">
        <v>16.6783804487769</v>
      </c>
      <c r="U53">
        <f>SUM(M53:T53)</f>
        <v/>
      </c>
    </row>
    <row r="54">
      <c r="A54" s="10" t="n">
        <v>0.0625</v>
      </c>
      <c r="B54" s="5" t="n">
        <v>2.616302868642168e-05</v>
      </c>
      <c r="C54" s="5" t="n">
        <v>0</v>
      </c>
      <c r="D54" s="5" t="n">
        <v>0</v>
      </c>
      <c r="E54" s="5" t="n">
        <v>0</v>
      </c>
      <c r="F54" s="5" t="n">
        <v>5.380239087200969</v>
      </c>
      <c r="G54" s="5" t="n">
        <v>0</v>
      </c>
      <c r="H54" s="5" t="n">
        <v>0</v>
      </c>
      <c r="I54" s="5" t="n">
        <v>0</v>
      </c>
      <c r="J54" s="5">
        <f>SUM(B54:I54)</f>
        <v/>
      </c>
      <c r="L54" s="10" t="n">
        <v>0.0625</v>
      </c>
      <c r="M54" s="8" t="n">
        <v>47.34651346206665</v>
      </c>
      <c r="N54" s="8" t="n">
        <v>0</v>
      </c>
      <c r="O54" s="8" t="n">
        <v>0</v>
      </c>
      <c r="P54" s="8" t="n">
        <v>0</v>
      </c>
      <c r="Q54" s="8" t="n">
        <v>100.3057471416077</v>
      </c>
      <c r="R54" s="8" t="n">
        <v>18.35164075899502</v>
      </c>
      <c r="S54" s="8" t="n">
        <v>52.57621391335757</v>
      </c>
      <c r="T54" s="8" t="n">
        <v>7.546080301901887</v>
      </c>
      <c r="U54">
        <f>SUM(M54:T54)</f>
        <v/>
      </c>
    </row>
    <row r="55">
      <c r="A55" s="10" t="n">
        <v>0.08333333333333333</v>
      </c>
      <c r="B55" s="5" t="n">
        <v>0</v>
      </c>
      <c r="C55" s="5" t="n">
        <v>0</v>
      </c>
      <c r="D55" s="5" t="n">
        <v>0</v>
      </c>
      <c r="E55" s="5" t="n">
        <v>0</v>
      </c>
      <c r="F55" s="5" t="n">
        <v>1.974864229654944</v>
      </c>
      <c r="G55" s="5" t="n">
        <v>0</v>
      </c>
      <c r="H55" s="5" t="n">
        <v>0</v>
      </c>
      <c r="I55" s="5" t="n">
        <v>0</v>
      </c>
      <c r="J55" s="5">
        <f>SUM(B55:I55)</f>
        <v/>
      </c>
      <c r="L55" s="10" t="n">
        <v>0.08333333333333333</v>
      </c>
      <c r="M55" s="8" t="n">
        <v>17.22827496528625</v>
      </c>
      <c r="N55" s="8" t="n">
        <v>0</v>
      </c>
      <c r="O55" s="8" t="n">
        <v>0</v>
      </c>
      <c r="P55" s="8" t="n">
        <v>0</v>
      </c>
      <c r="Q55" s="8" t="n">
        <v>36.22631978975371</v>
      </c>
      <c r="R55" s="8" t="n">
        <v>6.740212310917384</v>
      </c>
      <c r="S55" s="8" t="n">
        <v>19.10967634010269</v>
      </c>
      <c r="T55" s="8" t="n">
        <v>2.778035348807442</v>
      </c>
      <c r="U55">
        <f>SUM(M55:T55)</f>
        <v/>
      </c>
    </row>
    <row r="56">
      <c r="A56" s="10" t="n">
        <v>0.1041666666666667</v>
      </c>
      <c r="B56" s="5" t="n">
        <v>0</v>
      </c>
      <c r="C56" s="5" t="n">
        <v>0</v>
      </c>
      <c r="D56" s="5" t="n">
        <v>0</v>
      </c>
      <c r="E56" s="5" t="n">
        <v>0</v>
      </c>
      <c r="F56" s="5" t="n">
        <v>0.5801108150988207</v>
      </c>
      <c r="G56" s="5" t="n">
        <v>0</v>
      </c>
      <c r="H56" s="5" t="n">
        <v>0</v>
      </c>
      <c r="I56" s="5" t="n">
        <v>0</v>
      </c>
      <c r="J56" s="5">
        <f>SUM(B56:I56)</f>
        <v/>
      </c>
      <c r="L56" s="10" t="n">
        <v>0.1041666666666667</v>
      </c>
      <c r="M56" s="8" t="n">
        <v>4.972600412368775</v>
      </c>
      <c r="N56" s="8" t="n">
        <v>0</v>
      </c>
      <c r="O56" s="8" t="n">
        <v>0</v>
      </c>
      <c r="P56" s="8" t="n">
        <v>0</v>
      </c>
      <c r="Q56" s="8" t="n">
        <v>10.40083054694749</v>
      </c>
      <c r="R56" s="8" t="n">
        <v>1.962037261326914</v>
      </c>
      <c r="S56" s="8" t="n">
        <v>5.509179162393462</v>
      </c>
      <c r="T56" s="8" t="n">
        <v>0.8092981946965232</v>
      </c>
      <c r="U56">
        <f>SUM(M56:T56)</f>
        <v/>
      </c>
    </row>
    <row r="57">
      <c r="A57" s="10" t="n">
        <v>0.125</v>
      </c>
      <c r="B57" s="5" t="n">
        <v>0</v>
      </c>
      <c r="C57" s="5" t="n">
        <v>0</v>
      </c>
      <c r="D57" s="5" t="n">
        <v>0</v>
      </c>
      <c r="E57" s="5" t="n">
        <v>0</v>
      </c>
      <c r="F57" s="5" t="n">
        <v>0.1288148058029541</v>
      </c>
      <c r="G57" s="5" t="n">
        <v>0</v>
      </c>
      <c r="H57" s="5" t="n">
        <v>0</v>
      </c>
      <c r="I57" s="5" t="n">
        <v>0</v>
      </c>
      <c r="J57" s="5">
        <f>SUM(B57:I57)</f>
        <v/>
      </c>
      <c r="L57" s="10" t="n">
        <v>0.125</v>
      </c>
      <c r="M57" s="8" t="n">
        <v>1.076742029190064</v>
      </c>
      <c r="N57" s="8" t="n">
        <v>0</v>
      </c>
      <c r="O57" s="8" t="n">
        <v>0</v>
      </c>
      <c r="P57" s="8" t="n">
        <v>0</v>
      </c>
      <c r="Q57" s="8" t="n">
        <v>2.244240498606081</v>
      </c>
      <c r="R57" s="8" t="n">
        <v>0.4281661689995612</v>
      </c>
      <c r="S57" s="8" t="n">
        <v>1.191626940221834</v>
      </c>
      <c r="T57" s="8" t="n">
        <v>0.1765327136490539</v>
      </c>
      <c r="U57">
        <f>SUM(M57:T57)</f>
        <v/>
      </c>
    </row>
    <row r="58" ht="15.75" customHeight="1" s="71" thickBot="1">
      <c r="A58" s="11" t="inlineStr">
        <is>
          <t>After 27:00</t>
        </is>
      </c>
      <c r="B58" s="6" t="n">
        <v>0</v>
      </c>
      <c r="C58" s="6" t="n">
        <v>0</v>
      </c>
      <c r="D58" s="6" t="n">
        <v>0</v>
      </c>
      <c r="E58" s="6" t="n">
        <v>0</v>
      </c>
      <c r="F58" s="6" t="n">
        <v>0</v>
      </c>
      <c r="G58" s="6" t="n">
        <v>0</v>
      </c>
      <c r="H58" s="6" t="n">
        <v>0</v>
      </c>
      <c r="I58" s="6" t="n">
        <v>0</v>
      </c>
      <c r="J58" s="6">
        <f>SUM(B58:I58)</f>
        <v/>
      </c>
      <c r="L58" s="11" t="inlineStr">
        <is>
          <t>After 27:00</t>
        </is>
      </c>
      <c r="M58" s="9" t="n">
        <v>0</v>
      </c>
      <c r="N58" s="9" t="n">
        <v>0</v>
      </c>
      <c r="O58" s="9" t="n">
        <v>0</v>
      </c>
      <c r="P58" s="9" t="n">
        <v>0</v>
      </c>
      <c r="Q58" s="9" t="n">
        <v>0</v>
      </c>
      <c r="R58" s="9" t="n">
        <v>0</v>
      </c>
      <c r="S58" s="9" t="n">
        <v>0</v>
      </c>
      <c r="T58" s="9" t="n">
        <v>0</v>
      </c>
      <c r="U58" s="1">
        <f>SUM(M58:T58)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Y58"/>
  <sheetViews>
    <sheetView workbookViewId="0">
      <selection activeCell="A3" sqref="A3"/>
    </sheetView>
  </sheetViews>
  <sheetFormatPr baseColWidth="8" defaultRowHeight="15"/>
  <cols>
    <col collapsed="1" width="12.7109375" customWidth="1" style="71" min="1" max="1"/>
    <col collapsed="1" width="10.7109375" customWidth="1" style="71" min="2" max="10"/>
    <col collapsed="1" width="6.42578125" customWidth="1" style="71" min="11" max="11"/>
    <col collapsed="1" width="12.7109375" customWidth="1" style="71" min="12" max="12"/>
    <col collapsed="1" width="10.7109375" customWidth="1" style="71" min="13" max="21"/>
  </cols>
  <sheetData>
    <row r="1">
      <c r="A1" t="inlineStr">
        <is>
          <t>Other Tour Departure time at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4">
      <c r="A4" t="inlineStr">
        <is>
          <t>Distance values reflect start time of time period</t>
        </is>
      </c>
    </row>
    <row r="6" ht="15.75" customHeight="1" s="71" thickBot="1">
      <c r="A6" s="3" t="inlineStr">
        <is>
          <t>Table X. Observed Other Tour Departure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L6" s="3" t="inlineStr">
        <is>
          <t>Table X. Estimated Other Tour Departure at PD Times: DaySim</t>
        </is>
      </c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W6" s="7" t="n"/>
    </row>
    <row r="7">
      <c r="A7" s="2" t="inlineStr">
        <is>
          <t>Timeperiod</t>
        </is>
      </c>
      <c r="B7" s="4" t="inlineStr">
        <is>
          <t>FT Worker</t>
        </is>
      </c>
      <c r="C7" s="4" t="inlineStr">
        <is>
          <t>PT Worker</t>
        </is>
      </c>
      <c r="D7" s="4" t="inlineStr">
        <is>
          <t>Retired</t>
        </is>
      </c>
      <c r="E7" s="4" t="inlineStr">
        <is>
          <t>Nonworker</t>
        </is>
      </c>
      <c r="F7" s="4" t="inlineStr">
        <is>
          <t>Univ Stud</t>
        </is>
      </c>
      <c r="G7" s="4" t="inlineStr">
        <is>
          <t>Stud 16+</t>
        </is>
      </c>
      <c r="H7" s="4" t="inlineStr">
        <is>
          <t>Stud 5-15</t>
        </is>
      </c>
      <c r="I7" s="4" t="inlineStr">
        <is>
          <t>Child&lt;5</t>
        </is>
      </c>
      <c r="J7" s="4" t="inlineStr">
        <is>
          <t>Total</t>
        </is>
      </c>
      <c r="L7" s="2" t="inlineStr">
        <is>
          <t>Timeperiod</t>
        </is>
      </c>
      <c r="M7" s="4" t="inlineStr">
        <is>
          <t>FT Worker</t>
        </is>
      </c>
      <c r="N7" s="4" t="inlineStr">
        <is>
          <t>PT Worker</t>
        </is>
      </c>
      <c r="O7" s="4" t="inlineStr">
        <is>
          <t>Retired</t>
        </is>
      </c>
      <c r="P7" s="4" t="inlineStr">
        <is>
          <t>Nonworker</t>
        </is>
      </c>
      <c r="Q7" s="4" t="inlineStr">
        <is>
          <t>Univ Stud</t>
        </is>
      </c>
      <c r="R7" s="4" t="inlineStr">
        <is>
          <t>Stud 16+</t>
        </is>
      </c>
      <c r="S7" s="4" t="inlineStr">
        <is>
          <t>Stud 5-15</t>
        </is>
      </c>
      <c r="T7" s="4" t="inlineStr">
        <is>
          <t>Child&lt;5</t>
        </is>
      </c>
      <c r="U7" s="4" t="inlineStr">
        <is>
          <t>Total</t>
        </is>
      </c>
      <c r="X7" s="12" t="n"/>
      <c r="Y7" s="12" t="n"/>
    </row>
    <row r="8">
      <c r="A8" t="inlineStr">
        <is>
          <t>Before 3:00am</t>
        </is>
      </c>
      <c r="B8" s="5" t="n">
        <v>0</v>
      </c>
      <c r="C8" s="5" t="n">
        <v>9.16501889224752</v>
      </c>
      <c r="D8" s="5" t="n">
        <v>0</v>
      </c>
      <c r="E8" s="5" t="n">
        <v>0</v>
      </c>
      <c r="F8" s="5" t="n">
        <v>0</v>
      </c>
      <c r="G8" s="5" t="n">
        <v>0</v>
      </c>
      <c r="H8" s="5" t="n">
        <v>0</v>
      </c>
      <c r="I8" s="5" t="n">
        <v>0</v>
      </c>
      <c r="J8" s="5">
        <f>SUM(B8:I8)</f>
        <v/>
      </c>
      <c r="L8" t="inlineStr">
        <is>
          <t>Before 3:00am</t>
        </is>
      </c>
      <c r="M8" s="8" t="n">
        <v>9418.5</v>
      </c>
      <c r="N8" s="8" t="n">
        <v>1774.45</v>
      </c>
      <c r="O8" s="8" t="n">
        <v>445.0015460425649</v>
      </c>
      <c r="P8" s="8" t="n">
        <v>2069.890429320508</v>
      </c>
      <c r="Q8" s="8" t="n">
        <v>969.1804814787457</v>
      </c>
      <c r="R8" s="8" t="n">
        <v>439.1646703885735</v>
      </c>
      <c r="S8" s="8" t="n">
        <v>1927.710567194455</v>
      </c>
      <c r="T8" s="8" t="n">
        <v>1407.820907018528</v>
      </c>
      <c r="U8">
        <f>SUM(M8:T8)</f>
        <v/>
      </c>
      <c r="X8" s="5" t="n"/>
      <c r="Y8" s="5" t="n"/>
    </row>
    <row r="9">
      <c r="A9" s="10" t="n">
        <v>0.125</v>
      </c>
      <c r="B9" s="5" t="n">
        <v>1.296404040795722</v>
      </c>
      <c r="C9" s="5" t="n">
        <v>6.504306749539273</v>
      </c>
      <c r="D9" s="5" t="n">
        <v>15.04956184103884</v>
      </c>
      <c r="E9" s="5" t="n">
        <v>1.801921008644456</v>
      </c>
      <c r="F9" s="5" t="n">
        <v>0.001667518084871574</v>
      </c>
      <c r="G9" s="5" t="n">
        <v>0</v>
      </c>
      <c r="H9" s="5" t="n">
        <v>0.002171180452164741</v>
      </c>
      <c r="I9" s="5" t="n">
        <v>0</v>
      </c>
      <c r="J9" s="5">
        <f>SUM(B9:I9)</f>
        <v/>
      </c>
      <c r="L9" s="10" t="n">
        <v>0.125</v>
      </c>
      <c r="M9" s="8" t="n">
        <v>8045.81172170639</v>
      </c>
      <c r="N9" s="8" t="n">
        <v>1415.583770942688</v>
      </c>
      <c r="O9" s="8" t="n">
        <v>420.4602480279052</v>
      </c>
      <c r="P9" s="8" t="n">
        <v>1729.316579059381</v>
      </c>
      <c r="Q9" s="8" t="n">
        <v>677.4976615212967</v>
      </c>
      <c r="R9" s="8" t="n">
        <v>318.8097898800575</v>
      </c>
      <c r="S9" s="8" t="n">
        <v>1528.643507727171</v>
      </c>
      <c r="T9" s="8" t="n">
        <v>1148.087364258898</v>
      </c>
      <c r="U9">
        <f>SUM(M9:T9)</f>
        <v/>
      </c>
      <c r="X9" s="5" t="n"/>
      <c r="Y9" s="5" t="n"/>
    </row>
    <row r="10">
      <c r="A10" s="10" t="n">
        <v>0.1458333333333333</v>
      </c>
      <c r="B10" s="5" t="n">
        <v>8.346464364102351</v>
      </c>
      <c r="C10" s="5" t="n">
        <v>5.089667264864666</v>
      </c>
      <c r="D10" s="5" t="n">
        <v>50.59396256181748</v>
      </c>
      <c r="E10" s="5" t="n">
        <v>9.093648414822091</v>
      </c>
      <c r="F10" s="5" t="n">
        <v>0.03374414749671008</v>
      </c>
      <c r="G10" s="5" t="n">
        <v>0.002039187325007982</v>
      </c>
      <c r="H10" s="5" t="n">
        <v>0.0436478951383175</v>
      </c>
      <c r="I10" s="5" t="n">
        <v>0</v>
      </c>
      <c r="J10" s="5">
        <f>SUM(B10:I10)</f>
        <v/>
      </c>
      <c r="L10" s="10" t="n">
        <v>0.1458333333333333</v>
      </c>
      <c r="M10" s="8" t="n">
        <v>6781.977509069443</v>
      </c>
      <c r="N10" s="8" t="n">
        <v>1124.811844062805</v>
      </c>
      <c r="O10" s="8" t="n">
        <v>411.4714796862461</v>
      </c>
      <c r="P10" s="8" t="n">
        <v>1467.506434561</v>
      </c>
      <c r="Q10" s="8" t="n">
        <v>429.27281787352</v>
      </c>
      <c r="R10" s="8" t="n">
        <v>218.0116180839881</v>
      </c>
      <c r="S10" s="8" t="n">
        <v>1186.832439978336</v>
      </c>
      <c r="T10" s="8" t="n">
        <v>921.9803207769047</v>
      </c>
      <c r="U10">
        <f>SUM(M10:T10)</f>
        <v/>
      </c>
      <c r="X10" s="5" t="n"/>
      <c r="Y10" s="5" t="n"/>
    </row>
    <row r="11">
      <c r="A11" s="10" t="n">
        <v>0.1666666666666667</v>
      </c>
      <c r="B11" s="5" t="n">
        <v>40.37084855150385</v>
      </c>
      <c r="C11" s="5" t="n">
        <v>7.31733182787237</v>
      </c>
      <c r="D11" s="5" t="n">
        <v>129.1128828463235</v>
      </c>
      <c r="E11" s="5" t="n">
        <v>36.64625349615395</v>
      </c>
      <c r="F11" s="5" t="n">
        <v>0.3247041521111711</v>
      </c>
      <c r="G11" s="5" t="n">
        <v>0.04078374650015965</v>
      </c>
      <c r="H11" s="5" t="n">
        <v>0.4170100078117544</v>
      </c>
      <c r="I11" s="5" t="n">
        <v>0</v>
      </c>
      <c r="J11" s="5">
        <f>SUM(B11:I11)</f>
        <v/>
      </c>
      <c r="L11" s="10" t="n">
        <v>0.1666666666666667</v>
      </c>
      <c r="M11" s="8" t="n">
        <v>5787.119425678254</v>
      </c>
      <c r="N11" s="8" t="n">
        <v>953.1949921131131</v>
      </c>
      <c r="O11" s="8" t="n">
        <v>433.6853565090985</v>
      </c>
      <c r="P11" s="8" t="n">
        <v>1349.451649390867</v>
      </c>
      <c r="Q11" s="8" t="n">
        <v>251.5824522210952</v>
      </c>
      <c r="R11" s="8" t="n">
        <v>148.7429645922777</v>
      </c>
      <c r="S11" s="8" t="n">
        <v>951.33505229871</v>
      </c>
      <c r="T11" s="8" t="n">
        <v>765.8221904344193</v>
      </c>
      <c r="U11">
        <f>SUM(M11:T11)</f>
        <v/>
      </c>
      <c r="X11" s="5" t="n"/>
      <c r="Y11" s="5" t="n"/>
    </row>
    <row r="12">
      <c r="A12" s="10" t="n">
        <v>0.1875</v>
      </c>
      <c r="B12" s="5" t="n">
        <v>153.0461378499025</v>
      </c>
      <c r="C12" s="5" t="n">
        <v>20.29835474618904</v>
      </c>
      <c r="D12" s="5" t="n">
        <v>267.1562636134096</v>
      </c>
      <c r="E12" s="5" t="n">
        <v>121.7716293471452</v>
      </c>
      <c r="F12" s="5" t="n">
        <v>1.975789918616529</v>
      </c>
      <c r="G12" s="5" t="n">
        <v>0.3874455917515167</v>
      </c>
      <c r="H12" s="5" t="n">
        <v>2.517800048479197</v>
      </c>
      <c r="I12" s="5" t="n">
        <v>0</v>
      </c>
      <c r="J12" s="5">
        <f>SUM(B12:I12)</f>
        <v/>
      </c>
      <c r="L12" s="10" t="n">
        <v>0.1875</v>
      </c>
      <c r="M12" s="8" t="n">
        <v>5259.705453014374</v>
      </c>
      <c r="N12" s="8" t="n">
        <v>934.6610698699949</v>
      </c>
      <c r="O12" s="8" t="n">
        <v>507.911115459425</v>
      </c>
      <c r="P12" s="8" t="n">
        <v>1435.74533007752</v>
      </c>
      <c r="Q12" s="8" t="n">
        <v>149.2380805255148</v>
      </c>
      <c r="R12" s="8" t="n">
        <v>112.9408514446564</v>
      </c>
      <c r="S12" s="8" t="n">
        <v>858.6588470629863</v>
      </c>
      <c r="T12" s="8" t="n">
        <v>719.6140717494873</v>
      </c>
      <c r="U12">
        <f>SUM(M12:T12)</f>
        <v/>
      </c>
    </row>
    <row r="13">
      <c r="A13" s="10" t="n">
        <v>0.2083333333333333</v>
      </c>
      <c r="B13" s="5" t="n">
        <v>467.6292184328986</v>
      </c>
      <c r="C13" s="5" t="n">
        <v>64.63376419588576</v>
      </c>
      <c r="D13" s="5" t="n">
        <v>461.1140623548546</v>
      </c>
      <c r="E13" s="5" t="n">
        <v>338.0839908781095</v>
      </c>
      <c r="F13" s="5" t="n">
        <v>8.528040932380387</v>
      </c>
      <c r="G13" s="5" t="n">
        <v>2.3246735505091</v>
      </c>
      <c r="H13" s="5" t="n">
        <v>10.77585493820568</v>
      </c>
      <c r="I13" s="5" t="n">
        <v>0</v>
      </c>
      <c r="J13" s="5">
        <f>SUM(B13:I13)</f>
        <v/>
      </c>
      <c r="L13" s="10" t="n">
        <v>0.2083333333333333</v>
      </c>
      <c r="M13" s="8" t="n">
        <v>5367.401323938369</v>
      </c>
      <c r="N13" s="8" t="n">
        <v>1100.818547487259</v>
      </c>
      <c r="O13" s="8" t="n">
        <v>667.9706662143265</v>
      </c>
      <c r="P13" s="8" t="n">
        <v>1808.849065716523</v>
      </c>
      <c r="Q13" s="8" t="n">
        <v>111.1734280036523</v>
      </c>
      <c r="R13" s="8" t="n">
        <v>105.5046869758246</v>
      </c>
      <c r="S13" s="8" t="n">
        <v>932.7855250655202</v>
      </c>
      <c r="T13" s="8" t="n">
        <v>827.2754973647637</v>
      </c>
      <c r="U13">
        <f>SUM(M13:T13)</f>
        <v/>
      </c>
    </row>
    <row r="14">
      <c r="A14" s="10" t="n">
        <v>0.2291666666666667</v>
      </c>
      <c r="B14" s="5" t="n">
        <v>1176.941499154972</v>
      </c>
      <c r="C14" s="5" t="n">
        <v>188.5197035484337</v>
      </c>
      <c r="D14" s="5" t="n">
        <v>685.0558813361242</v>
      </c>
      <c r="E14" s="5" t="n">
        <v>793.6163033088196</v>
      </c>
      <c r="F14" s="5" t="n">
        <v>27.76109258535373</v>
      </c>
      <c r="G14" s="5" t="n">
        <v>9.879862589663675</v>
      </c>
      <c r="H14" s="5" t="n">
        <v>34.75663400657778</v>
      </c>
      <c r="I14" s="5" t="n">
        <v>0</v>
      </c>
      <c r="J14" s="5">
        <f>SUM(B14:I14)</f>
        <v/>
      </c>
      <c r="L14" s="10" t="n">
        <v>0.2291666666666667</v>
      </c>
      <c r="M14" s="8" t="n">
        <v>6173.79448223114</v>
      </c>
      <c r="N14" s="8" t="n">
        <v>1492.397882843017</v>
      </c>
      <c r="O14" s="8" t="n">
        <v>963.2779898210551</v>
      </c>
      <c r="P14" s="8" t="n">
        <v>2587.03270307471</v>
      </c>
      <c r="Q14" s="8" t="n">
        <v>121.9785123805437</v>
      </c>
      <c r="R14" s="8" t="n">
        <v>118.8049646183689</v>
      </c>
      <c r="S14" s="8" t="n">
        <v>1184.474754832996</v>
      </c>
      <c r="T14" s="8" t="n">
        <v>1135.726715110802</v>
      </c>
      <c r="U14">
        <f>SUM(M14:T14)</f>
        <v/>
      </c>
    </row>
    <row r="15">
      <c r="A15" s="10" t="n">
        <v>0.25</v>
      </c>
      <c r="B15" s="5" t="n">
        <v>2481.121862302965</v>
      </c>
      <c r="C15" s="5" t="n">
        <v>476.2471018963546</v>
      </c>
      <c r="D15" s="5" t="n">
        <v>913.9944401589278</v>
      </c>
      <c r="E15" s="5" t="n">
        <v>1590.555335717077</v>
      </c>
      <c r="F15" s="5" t="n">
        <v>70.73825600163772</v>
      </c>
      <c r="G15" s="5" t="n">
        <v>31.61556028692376</v>
      </c>
      <c r="H15" s="5" t="n">
        <v>87.69041721945132</v>
      </c>
      <c r="I15" s="5" t="n">
        <v>0</v>
      </c>
      <c r="J15" s="5">
        <f>SUM(B15:I15)</f>
        <v/>
      </c>
      <c r="L15" s="10" t="n">
        <v>0.25</v>
      </c>
      <c r="M15" s="8" t="n">
        <v>7593.729122114182</v>
      </c>
      <c r="N15" s="8" t="n">
        <v>2152.684535646438</v>
      </c>
      <c r="O15" s="8" t="n">
        <v>1450.322098582798</v>
      </c>
      <c r="P15" s="8" t="n">
        <v>3905.481202841537</v>
      </c>
      <c r="Q15" s="8" t="n">
        <v>169.9932749158982</v>
      </c>
      <c r="R15" s="8" t="n">
        <v>145.1384026413648</v>
      </c>
      <c r="S15" s="8" t="n">
        <v>1603.836468260962</v>
      </c>
      <c r="T15" s="8" t="n">
        <v>1688.716524607476</v>
      </c>
      <c r="U15">
        <f>SUM(M15:T15)</f>
        <v/>
      </c>
    </row>
    <row r="16">
      <c r="A16" s="10" t="n">
        <v>0.2708333333333333</v>
      </c>
      <c r="B16" s="5" t="n">
        <v>4438.463769118029</v>
      </c>
      <c r="C16" s="5" t="n">
        <v>1024.616950973329</v>
      </c>
      <c r="D16" s="5" t="n">
        <v>1155.947783437579</v>
      </c>
      <c r="E16" s="5" t="n">
        <v>2741.794076112516</v>
      </c>
      <c r="F16" s="5" t="n">
        <v>144.5291395192832</v>
      </c>
      <c r="G16" s="5" t="n">
        <v>79.0389007173094</v>
      </c>
      <c r="H16" s="5" t="n">
        <v>177.3660230299003</v>
      </c>
      <c r="I16" s="5" t="n">
        <v>0</v>
      </c>
      <c r="J16" s="5">
        <f>SUM(B16:I16)</f>
        <v/>
      </c>
      <c r="L16" s="10" t="n">
        <v>0.2708333333333333</v>
      </c>
      <c r="M16" s="8" t="n">
        <v>9388.823679351808</v>
      </c>
      <c r="N16" s="8" t="n">
        <v>3106.264794254302</v>
      </c>
      <c r="O16" s="8" t="n">
        <v>2175.590348998795</v>
      </c>
      <c r="P16" s="8" t="n">
        <v>5871.960908369858</v>
      </c>
      <c r="Q16" s="8" t="n">
        <v>248.6516333441173</v>
      </c>
      <c r="R16" s="8" t="n">
        <v>177.0087868413015</v>
      </c>
      <c r="S16" s="8" t="n">
        <v>2149.340971825513</v>
      </c>
      <c r="T16" s="8" t="n">
        <v>2514.247173219479</v>
      </c>
      <c r="U16">
        <f>SUM(M16:T16)</f>
        <v/>
      </c>
    </row>
    <row r="17">
      <c r="A17" s="10" t="n">
        <v>0.2916666666666667</v>
      </c>
      <c r="B17" s="5" t="n">
        <v>6808.316718497879</v>
      </c>
      <c r="C17" s="5" t="n">
        <v>1866.756641270951</v>
      </c>
      <c r="D17" s="5" t="n">
        <v>1452.646320044794</v>
      </c>
      <c r="E17" s="5" t="n">
        <v>4085.745955244995</v>
      </c>
      <c r="F17" s="5" t="n">
        <v>240.5835283113497</v>
      </c>
      <c r="G17" s="5" t="n">
        <v>158.0778014346188</v>
      </c>
      <c r="H17" s="5" t="n">
        <v>292.8566198486316</v>
      </c>
      <c r="I17" s="5" t="n">
        <v>0</v>
      </c>
      <c r="J17" s="5">
        <f>SUM(B17:I17)</f>
        <v/>
      </c>
      <c r="L17" s="10" t="n">
        <v>0.2916666666666667</v>
      </c>
      <c r="M17" s="8" t="n">
        <v>11218.97294278145</v>
      </c>
      <c r="N17" s="8" t="n">
        <v>4339.581948566436</v>
      </c>
      <c r="O17" s="8" t="n">
        <v>3158.777315148971</v>
      </c>
      <c r="P17" s="8" t="n">
        <v>8522.702813912894</v>
      </c>
      <c r="Q17" s="8" t="n">
        <v>353.4446204263776</v>
      </c>
      <c r="R17" s="8" t="n">
        <v>207.3123187464262</v>
      </c>
      <c r="S17" s="8" t="n">
        <v>2746.813785027708</v>
      </c>
      <c r="T17" s="8" t="n">
        <v>3612.631866483785</v>
      </c>
      <c r="U17">
        <f>SUM(M17:T17)</f>
        <v/>
      </c>
    </row>
    <row r="18">
      <c r="A18" s="10" t="n">
        <v>0.3125</v>
      </c>
      <c r="B18" s="5" t="n">
        <v>9034.436151132111</v>
      </c>
      <c r="C18" s="5" t="n">
        <v>2876.301884586362</v>
      </c>
      <c r="D18" s="5" t="n">
        <v>1829.954484001017</v>
      </c>
      <c r="E18" s="5" t="n">
        <v>5280.208471888407</v>
      </c>
      <c r="F18" s="5" t="n">
        <v>329.6815346701555</v>
      </c>
      <c r="G18" s="5" t="n">
        <v>256.8764273312555</v>
      </c>
      <c r="H18" s="5" t="n">
        <v>401.7743898968836</v>
      </c>
      <c r="I18" s="5" t="n">
        <v>0</v>
      </c>
      <c r="J18" s="5">
        <f>SUM(B18:I18)</f>
        <v/>
      </c>
      <c r="L18" s="10" t="n">
        <v>0.3125</v>
      </c>
      <c r="M18" s="8" t="n">
        <v>12749.87826595307</v>
      </c>
      <c r="N18" s="8" t="n">
        <v>5796.700827312469</v>
      </c>
      <c r="O18" s="8" t="n">
        <v>4383.582461940167</v>
      </c>
      <c r="P18" s="8" t="n">
        <v>11799.2073857231</v>
      </c>
      <c r="Q18" s="8" t="n">
        <v>478.5056273951506</v>
      </c>
      <c r="R18" s="8" t="n">
        <v>230.6518407107353</v>
      </c>
      <c r="S18" s="8" t="n">
        <v>3308.127933411863</v>
      </c>
      <c r="T18" s="8" t="n">
        <v>4953.262537015724</v>
      </c>
      <c r="U18">
        <f>SUM(M18:T18)</f>
        <v/>
      </c>
    </row>
    <row r="19">
      <c r="A19" s="10" t="n">
        <v>0.3333333333333333</v>
      </c>
      <c r="B19" s="5" t="n">
        <v>10454.89980117644</v>
      </c>
      <c r="C19" s="5" t="n">
        <v>3750.332195788122</v>
      </c>
      <c r="D19" s="5" t="n">
        <v>2235.976264844837</v>
      </c>
      <c r="E19" s="5" t="n">
        <v>5930.106095035188</v>
      </c>
      <c r="F19" s="5" t="n">
        <v>374.2242341353672</v>
      </c>
      <c r="G19" s="5" t="n">
        <v>342.5019031083407</v>
      </c>
      <c r="H19" s="5" t="n">
        <v>470.9504360018063</v>
      </c>
      <c r="I19" s="5" t="n">
        <v>0</v>
      </c>
      <c r="J19" s="5">
        <f>SUM(B19:I19)</f>
        <v/>
      </c>
      <c r="L19" s="10" t="n">
        <v>0.3333333333333333</v>
      </c>
      <c r="M19" s="8" t="n">
        <v>13767.51756358147</v>
      </c>
      <c r="N19" s="8" t="n">
        <v>7389.316023302078</v>
      </c>
      <c r="O19" s="8" t="n">
        <v>5796.156406855987</v>
      </c>
      <c r="P19" s="8" t="n">
        <v>15546.95838505586</v>
      </c>
      <c r="Q19" s="8" t="n">
        <v>615.0397082950678</v>
      </c>
      <c r="R19" s="8" t="n">
        <v>244.9352173451562</v>
      </c>
      <c r="S19" s="8" t="n">
        <v>3761.491135532107</v>
      </c>
      <c r="T19" s="8" t="n">
        <v>6478.261514814699</v>
      </c>
      <c r="U19">
        <f>SUM(M19:T19)</f>
        <v/>
      </c>
    </row>
    <row r="20">
      <c r="A20" s="10" t="n">
        <v>0.3541666666666667</v>
      </c>
      <c r="B20" s="5" t="n">
        <v>10636.43001307125</v>
      </c>
      <c r="C20" s="5" t="n">
        <v>4146.63161369995</v>
      </c>
      <c r="D20" s="5" t="n">
        <v>2536.552293000518</v>
      </c>
      <c r="E20" s="5" t="n">
        <v>5800.260504406353</v>
      </c>
      <c r="F20" s="5" t="n">
        <v>352.8306266665477</v>
      </c>
      <c r="G20" s="5" t="n">
        <v>376.7520934191747</v>
      </c>
      <c r="H20" s="5" t="n">
        <v>499.8691042314358</v>
      </c>
      <c r="I20" s="5" t="n">
        <v>0</v>
      </c>
      <c r="J20" s="5">
        <f>SUM(B20:I20)</f>
        <v/>
      </c>
      <c r="L20" s="10" t="n">
        <v>0.3541666666666667</v>
      </c>
      <c r="M20" s="8" t="n">
        <v>14227.41490130425</v>
      </c>
      <c r="N20" s="8" t="n">
        <v>9008.945781755447</v>
      </c>
      <c r="O20" s="8" t="n">
        <v>7306.486955888098</v>
      </c>
      <c r="P20" s="8" t="n">
        <v>19522.57091940825</v>
      </c>
      <c r="Q20" s="8" t="n">
        <v>751.5921953034313</v>
      </c>
      <c r="R20" s="8" t="n">
        <v>251.6629353545395</v>
      </c>
      <c r="S20" s="8" t="n">
        <v>4072.573642170599</v>
      </c>
      <c r="T20" s="8" t="n">
        <v>8103.194282936351</v>
      </c>
      <c r="U20">
        <f>SUM(M20:T20)</f>
        <v/>
      </c>
    </row>
    <row r="21">
      <c r="A21" s="10" t="n">
        <v>0.375</v>
      </c>
      <c r="B21" s="5" t="n">
        <v>9595.744477934506</v>
      </c>
      <c r="C21" s="5" t="n">
        <v>3906.814138023849</v>
      </c>
      <c r="D21" s="5" t="n">
        <v>2595.059841290704</v>
      </c>
      <c r="E21" s="5" t="n">
        <v>4966.555703400017</v>
      </c>
      <c r="F21" s="5" t="n">
        <v>276.1975159981068</v>
      </c>
      <c r="G21" s="5" t="n">
        <v>342.5019031083407</v>
      </c>
      <c r="H21" s="5" t="n">
        <v>532.2982397447774</v>
      </c>
      <c r="I21" s="5" t="n">
        <v>0</v>
      </c>
      <c r="J21" s="5">
        <f>SUM(B21:I21)</f>
        <v/>
      </c>
      <c r="L21" s="10" t="n">
        <v>0.375</v>
      </c>
      <c r="M21" s="8" t="n">
        <v>14212.46003184319</v>
      </c>
      <c r="N21" s="8" t="n">
        <v>10532.61329374313</v>
      </c>
      <c r="O21" s="8" t="n">
        <v>8791.72150632448</v>
      </c>
      <c r="P21" s="8" t="n">
        <v>23403.38619560807</v>
      </c>
      <c r="Q21" s="8" t="n">
        <v>875.3365581415075</v>
      </c>
      <c r="R21" s="8" t="n">
        <v>254.4132938059108</v>
      </c>
      <c r="S21" s="8" t="n">
        <v>4243.252032194347</v>
      </c>
      <c r="T21" s="8" t="n">
        <v>9711.967618540624</v>
      </c>
      <c r="U21">
        <f>SUM(M21:T21)</f>
        <v/>
      </c>
    </row>
    <row r="22">
      <c r="A22" s="10" t="n">
        <v>0.3958333333333333</v>
      </c>
      <c r="B22" s="5" t="n">
        <v>7750.902783930771</v>
      </c>
      <c r="C22" s="5" t="n">
        <v>3174.210124633954</v>
      </c>
      <c r="D22" s="5" t="n">
        <v>2375.863021727952</v>
      </c>
      <c r="E22" s="5" t="n">
        <v>3781.320985713175</v>
      </c>
      <c r="F22" s="5" t="n">
        <v>178.8711990743704</v>
      </c>
      <c r="G22" s="5" t="n">
        <v>256.8764273312555</v>
      </c>
      <c r="H22" s="5" t="n">
        <v>622.22107124585</v>
      </c>
      <c r="I22" s="5" t="n">
        <v>0</v>
      </c>
      <c r="J22" s="5">
        <f>SUM(B22:I22)</f>
        <v/>
      </c>
      <c r="L22" s="10" t="n">
        <v>0.3958333333333333</v>
      </c>
      <c r="M22" s="8" t="n">
        <v>13846.94396038055</v>
      </c>
      <c r="N22" s="8" t="n">
        <v>11828.41822276115</v>
      </c>
      <c r="O22" s="8" t="n">
        <v>10108.73654512062</v>
      </c>
      <c r="P22" s="8" t="n">
        <v>26817.80775259494</v>
      </c>
      <c r="Q22" s="8" t="n">
        <v>974.0263510347119</v>
      </c>
      <c r="R22" s="8" t="n">
        <v>256.6163462374923</v>
      </c>
      <c r="S22" s="8" t="n">
        <v>4294.671183518412</v>
      </c>
      <c r="T22" s="8" t="n">
        <v>11159.45342660673</v>
      </c>
      <c r="U22">
        <f>SUM(M22:T22)</f>
        <v/>
      </c>
    </row>
    <row r="23">
      <c r="A23" s="10" t="n">
        <v>0.4166666666666667</v>
      </c>
      <c r="B23" s="5" t="n">
        <v>5671.371588647861</v>
      </c>
      <c r="C23" s="5" t="n">
        <v>2288.051915739044</v>
      </c>
      <c r="D23" s="5" t="n">
        <v>1975.104935992893</v>
      </c>
      <c r="E23" s="5" t="n">
        <v>2675.37558959666</v>
      </c>
      <c r="F23" s="5" t="n">
        <v>95.16140890666087</v>
      </c>
      <c r="G23" s="5" t="n">
        <v>158.0785625217519</v>
      </c>
      <c r="H23" s="5" t="n">
        <v>776.8872448493992</v>
      </c>
      <c r="I23" s="5" t="n">
        <v>0</v>
      </c>
      <c r="J23" s="5">
        <f>SUM(B23:I23)</f>
        <v/>
      </c>
      <c r="L23" s="10" t="n">
        <v>0.4166666666666667</v>
      </c>
      <c r="M23" s="8" t="n">
        <v>13241.07387599945</v>
      </c>
      <c r="N23" s="8" t="n">
        <v>12776.91728649139</v>
      </c>
      <c r="O23" s="8" t="n">
        <v>11124.31863858134</v>
      </c>
      <c r="P23" s="8" t="n">
        <v>29423.35147293632</v>
      </c>
      <c r="Q23" s="8" t="n">
        <v>1038.739088164896</v>
      </c>
      <c r="R23" s="8" t="n">
        <v>260.2321926466213</v>
      </c>
      <c r="S23" s="8" t="n">
        <v>4252.683610664692</v>
      </c>
      <c r="T23" s="8" t="n">
        <v>12300.18118759264</v>
      </c>
      <c r="U23">
        <f>SUM(M23:T23)</f>
        <v/>
      </c>
    </row>
    <row r="24">
      <c r="A24" s="10" t="n">
        <v>0.4375</v>
      </c>
      <c r="B24" s="5" t="n">
        <v>3832.133235016025</v>
      </c>
      <c r="C24" s="5" t="n">
        <v>1551.223904133531</v>
      </c>
      <c r="D24" s="5" t="n">
        <v>1552.530367321074</v>
      </c>
      <c r="E24" s="5" t="n">
        <v>1949.820158456575</v>
      </c>
      <c r="F24" s="5" t="n">
        <v>41.1590110171559</v>
      </c>
      <c r="G24" s="5" t="n">
        <v>79.05412245997226</v>
      </c>
      <c r="H24" s="5" t="n">
        <v>935.2373737793339</v>
      </c>
      <c r="I24" s="5" t="n">
        <v>0</v>
      </c>
      <c r="J24" s="5">
        <f>SUM(B24:I24)</f>
        <v/>
      </c>
      <c r="L24" s="10" t="n">
        <v>0.4375</v>
      </c>
      <c r="M24" s="8" t="n">
        <v>12496.89157142639</v>
      </c>
      <c r="N24" s="8" t="n">
        <v>13312.16775960922</v>
      </c>
      <c r="O24" s="8" t="n">
        <v>11758.17381079238</v>
      </c>
      <c r="P24" s="8" t="n">
        <v>31024.57385855455</v>
      </c>
      <c r="Q24" s="8" t="n">
        <v>1066.978722184423</v>
      </c>
      <c r="R24" s="8" t="n">
        <v>266.0615198342132</v>
      </c>
      <c r="S24" s="8" t="n">
        <v>4146.509416833426</v>
      </c>
      <c r="T24" s="8" t="n">
        <v>13041.46696712783</v>
      </c>
      <c r="U24">
        <f>SUM(M24:T24)</f>
        <v/>
      </c>
    </row>
    <row r="25">
      <c r="A25" s="10" t="n">
        <v>0.4583333333333333</v>
      </c>
      <c r="B25" s="5" t="n">
        <v>2508.933879769614</v>
      </c>
      <c r="C25" s="5" t="n">
        <v>1080.827248055428</v>
      </c>
      <c r="D25" s="5" t="n">
        <v>1239.04512549736</v>
      </c>
      <c r="E25" s="5" t="n">
        <v>1694.692232149846</v>
      </c>
      <c r="F25" s="5" t="n">
        <v>14.58995797674906</v>
      </c>
      <c r="G25" s="5" t="n">
        <v>31.76016684222111</v>
      </c>
      <c r="H25" s="5" t="n">
        <v>1016.196046132432</v>
      </c>
      <c r="I25" s="5" t="n">
        <v>0</v>
      </c>
      <c r="J25" s="5">
        <f>SUM(B25:I25)</f>
        <v/>
      </c>
      <c r="L25" s="10" t="n">
        <v>0.4583333333333333</v>
      </c>
      <c r="M25" s="8" t="n">
        <v>11742.50468716621</v>
      </c>
      <c r="N25" s="8" t="n">
        <v>13459.84901041985</v>
      </c>
      <c r="O25" s="8" t="n">
        <v>12016.00690446972</v>
      </c>
      <c r="P25" s="8" t="n">
        <v>31666.43631700561</v>
      </c>
      <c r="Q25" s="8" t="n">
        <v>1064.493727972205</v>
      </c>
      <c r="R25" s="8" t="n">
        <v>275.0747320989684</v>
      </c>
      <c r="S25" s="8" t="n">
        <v>4015.909563320083</v>
      </c>
      <c r="T25" s="8" t="n">
        <v>13389.44427848829</v>
      </c>
      <c r="U25">
        <f>SUM(M25:T25)</f>
        <v/>
      </c>
    </row>
    <row r="26">
      <c r="A26" s="10" t="n">
        <v>0.4791666666666667</v>
      </c>
      <c r="B26" s="5" t="n">
        <v>1798.03882380483</v>
      </c>
      <c r="C26" s="5" t="n">
        <v>840.2141216044135</v>
      </c>
      <c r="D26" s="5" t="n">
        <v>1105.315463666175</v>
      </c>
      <c r="E26" s="5" t="n">
        <v>1844.48619441532</v>
      </c>
      <c r="F26" s="5" t="n">
        <v>6.243667416213637</v>
      </c>
      <c r="G26" s="5" t="n">
        <v>10.74752231407056</v>
      </c>
      <c r="H26" s="5" t="n">
        <v>1003.035789064449</v>
      </c>
      <c r="I26" s="5" t="n">
        <v>0</v>
      </c>
      <c r="J26" s="5">
        <f>SUM(B26:I26)</f>
        <v/>
      </c>
      <c r="L26" s="10" t="n">
        <v>0.4791666666666667</v>
      </c>
      <c r="M26" s="8" t="n">
        <v>11140.79682836533</v>
      </c>
      <c r="N26" s="8" t="n">
        <v>13338.52903013229</v>
      </c>
      <c r="O26" s="8" t="n">
        <v>11987.06932177611</v>
      </c>
      <c r="P26" s="8" t="n">
        <v>31624.86896723373</v>
      </c>
      <c r="Q26" s="8" t="n">
        <v>1044.058093947726</v>
      </c>
      <c r="R26" s="8" t="n">
        <v>289.6376819484279</v>
      </c>
      <c r="S26" s="8" t="n">
        <v>3915.090756473507</v>
      </c>
      <c r="T26" s="8" t="n">
        <v>13449.7786487464</v>
      </c>
      <c r="U26">
        <f>SUM(M26:T26)</f>
        <v/>
      </c>
    </row>
    <row r="27">
      <c r="A27" s="10" t="n">
        <v>0.5</v>
      </c>
      <c r="B27" s="5" t="n">
        <v>1675.212998019767</v>
      </c>
      <c r="C27" s="5" t="n">
        <v>770.6539697644045</v>
      </c>
      <c r="D27" s="5" t="n">
        <v>1190.199850944221</v>
      </c>
      <c r="E27" s="5" t="n">
        <v>2287.723230950156</v>
      </c>
      <c r="F27" s="5" t="n">
        <v>11.12153105561474</v>
      </c>
      <c r="G27" s="5" t="n">
        <v>6.012681355509955</v>
      </c>
      <c r="H27" s="5" t="n">
        <v>989.3776440822695</v>
      </c>
      <c r="I27" s="5" t="n">
        <v>0</v>
      </c>
      <c r="J27" s="5">
        <f>SUM(B27:I27)</f>
        <v/>
      </c>
      <c r="L27" s="10" t="n">
        <v>0.5</v>
      </c>
      <c r="M27" s="8" t="n">
        <v>10855.23968958855</v>
      </c>
      <c r="N27" s="8" t="n">
        <v>13113.46266498566</v>
      </c>
      <c r="O27" s="8" t="n">
        <v>11802.4034711043</v>
      </c>
      <c r="P27" s="8" t="n">
        <v>31281.32267560875</v>
      </c>
      <c r="Q27" s="8" t="n">
        <v>1021.431927108974</v>
      </c>
      <c r="R27" s="8" t="n">
        <v>314.1229573656296</v>
      </c>
      <c r="S27" s="8" t="n">
        <v>3908.035542261262</v>
      </c>
      <c r="T27" s="8" t="n">
        <v>13376.37242198317</v>
      </c>
      <c r="U27">
        <f>SUM(M27:T27)</f>
        <v/>
      </c>
    </row>
    <row r="28">
      <c r="A28" s="10" t="n">
        <v>0.5208333333333334</v>
      </c>
      <c r="B28" s="5" t="n">
        <v>2045.398040094851</v>
      </c>
      <c r="C28" s="5" t="n">
        <v>883.7144382330049</v>
      </c>
      <c r="D28" s="5" t="n">
        <v>1518.306640074061</v>
      </c>
      <c r="E28" s="5" t="n">
        <v>2954.312145173592</v>
      </c>
      <c r="F28" s="5" t="n">
        <v>33.28648834150753</v>
      </c>
      <c r="G28" s="5" t="n">
        <v>12.1938709515966</v>
      </c>
      <c r="H28" s="5" t="n">
        <v>1144.617122079868</v>
      </c>
      <c r="I28" s="5" t="n">
        <v>0</v>
      </c>
      <c r="J28" s="5">
        <f>SUM(B28:I28)</f>
        <v/>
      </c>
      <c r="L28" s="10" t="n">
        <v>0.5208333333333334</v>
      </c>
      <c r="M28" s="8" t="n">
        <v>11004.40793013573</v>
      </c>
      <c r="N28" s="8" t="n">
        <v>12931.6551255703</v>
      </c>
      <c r="O28" s="8" t="n">
        <v>11580.36660925614</v>
      </c>
      <c r="P28" s="8" t="n">
        <v>30961.56994247434</v>
      </c>
      <c r="Q28" s="8" t="n">
        <v>1011.1116590025</v>
      </c>
      <c r="R28" s="8" t="n">
        <v>355.1386472145408</v>
      </c>
      <c r="S28" s="8" t="n">
        <v>4060.030463040547</v>
      </c>
      <c r="T28" s="8" t="n">
        <v>13304.30006942949</v>
      </c>
      <c r="U28">
        <f>SUM(M28:T28)</f>
        <v/>
      </c>
    </row>
    <row r="29">
      <c r="A29" s="10" t="n">
        <v>0.5416666666666666</v>
      </c>
      <c r="B29" s="5" t="n">
        <v>2779.551910837871</v>
      </c>
      <c r="C29" s="5" t="n">
        <v>1246.264370434061</v>
      </c>
      <c r="D29" s="5" t="n">
        <v>2063.208195017407</v>
      </c>
      <c r="E29" s="5" t="n">
        <v>3843.756002620938</v>
      </c>
      <c r="F29" s="5" t="n">
        <v>83.12863297764449</v>
      </c>
      <c r="G29" s="5" t="n">
        <v>29.58899918502008</v>
      </c>
      <c r="H29" s="5" t="n">
        <v>1622.122020918453</v>
      </c>
      <c r="I29" s="5" t="n">
        <v>0</v>
      </c>
      <c r="J29" s="5">
        <f>SUM(B29:I29)</f>
        <v/>
      </c>
      <c r="L29" s="10" t="n">
        <v>0.5416666666666666</v>
      </c>
      <c r="M29" s="8" t="n">
        <v>11645.07799196243</v>
      </c>
      <c r="N29" s="8" t="n">
        <v>12880.36114840507</v>
      </c>
      <c r="O29" s="8" t="n">
        <v>11393.90195808839</v>
      </c>
      <c r="P29" s="8" t="n">
        <v>30842.86407769672</v>
      </c>
      <c r="Q29" s="8" t="n">
        <v>1024.402086672101</v>
      </c>
      <c r="R29" s="8" t="n">
        <v>421.4568465748079</v>
      </c>
      <c r="S29" s="8" t="n">
        <v>4431.403364662061</v>
      </c>
      <c r="T29" s="8" t="n">
        <v>13312.13953167695</v>
      </c>
      <c r="U29">
        <f>SUM(M29:T29)</f>
        <v/>
      </c>
    </row>
    <row r="30">
      <c r="A30" s="10" t="n">
        <v>0.5625</v>
      </c>
      <c r="B30" s="5" t="n">
        <v>3737.444461875975</v>
      </c>
      <c r="C30" s="5" t="n">
        <v>1880.422389122607</v>
      </c>
      <c r="D30" s="5" t="n">
        <v>2695.374276254928</v>
      </c>
      <c r="E30" s="5" t="n">
        <v>4973.633434876423</v>
      </c>
      <c r="F30" s="5" t="n">
        <v>166.8756717419866</v>
      </c>
      <c r="G30" s="5" t="n">
        <v>59.2516994133179</v>
      </c>
      <c r="H30" s="5" t="n">
        <v>2466.126797979272</v>
      </c>
      <c r="I30" s="5" t="n">
        <v>0</v>
      </c>
      <c r="J30" s="5">
        <f>SUM(B30:I30)</f>
        <v/>
      </c>
      <c r="L30" s="10" t="n">
        <v>0.5625</v>
      </c>
      <c r="M30" s="8" t="n">
        <v>12786.6002120018</v>
      </c>
      <c r="N30" s="8" t="n">
        <v>12982.59762306213</v>
      </c>
      <c r="O30" s="8" t="n">
        <v>11268.17079026591</v>
      </c>
      <c r="P30" s="8" t="n">
        <v>30955.75282798436</v>
      </c>
      <c r="Q30" s="8" t="n">
        <v>1069.464487726182</v>
      </c>
      <c r="R30" s="8" t="n">
        <v>522.9182624848049</v>
      </c>
      <c r="S30" s="8" t="n">
        <v>5071.304940579488</v>
      </c>
      <c r="T30" s="8" t="n">
        <v>13422.53226060366</v>
      </c>
      <c r="U30">
        <f>SUM(M30:T30)</f>
        <v/>
      </c>
    </row>
    <row r="31">
      <c r="A31" s="10" t="n">
        <v>0.5833333333333334</v>
      </c>
      <c r="B31" s="5" t="n">
        <v>4775.217014047166</v>
      </c>
      <c r="C31" s="5" t="n">
        <v>2660.636101358853</v>
      </c>
      <c r="D31" s="5" t="n">
        <v>3196.758512191182</v>
      </c>
      <c r="E31" s="5" t="n">
        <v>6263.545391559716</v>
      </c>
      <c r="F31" s="5" t="n">
        <v>273.1246677713</v>
      </c>
      <c r="G31" s="5" t="n">
        <v>96.83369286665783</v>
      </c>
      <c r="H31" s="5" t="n">
        <v>3565.369837527071</v>
      </c>
      <c r="I31" s="5" t="n">
        <v>0</v>
      </c>
      <c r="J31" s="5">
        <f>SUM(B31:I31)</f>
        <v/>
      </c>
      <c r="L31" s="10" t="n">
        <v>0.5833333333333334</v>
      </c>
      <c r="M31" s="8" t="n">
        <v>14406.17091617584</v>
      </c>
      <c r="N31" s="8" t="n">
        <v>13208.02927894592</v>
      </c>
      <c r="O31" s="8" t="n">
        <v>11187.57204204726</v>
      </c>
      <c r="P31" s="8" t="n">
        <v>31218.58319997844</v>
      </c>
      <c r="Q31" s="8" t="n">
        <v>1150.839440693526</v>
      </c>
      <c r="R31" s="8" t="n">
        <v>667.4956189320368</v>
      </c>
      <c r="S31" s="8" t="n">
        <v>6004.644014469659</v>
      </c>
      <c r="T31" s="8" t="n">
        <v>13612.18035721032</v>
      </c>
      <c r="U31">
        <f>SUM(M31:T31)</f>
        <v/>
      </c>
    </row>
    <row r="32">
      <c r="A32" s="10" t="n">
        <v>0.6041666666666666</v>
      </c>
      <c r="B32" s="5" t="n">
        <v>5758.748401421389</v>
      </c>
      <c r="C32" s="5" t="n">
        <v>3312.005842421177</v>
      </c>
      <c r="D32" s="5" t="n">
        <v>3375.047221085363</v>
      </c>
      <c r="E32" s="5" t="n">
        <v>7449.660688784978</v>
      </c>
      <c r="F32" s="5" t="n">
        <v>369.1384477835373</v>
      </c>
      <c r="G32" s="5" t="n">
        <v>130.6814272805545</v>
      </c>
      <c r="H32" s="5" t="n">
        <v>4682.400519368874</v>
      </c>
      <c r="I32" s="5" t="n">
        <v>0</v>
      </c>
      <c r="J32" s="5">
        <f>SUM(B32:I32)</f>
        <v/>
      </c>
      <c r="L32" s="10" t="n">
        <v>0.6041666666666666</v>
      </c>
      <c r="M32" s="8" t="n">
        <v>16450.24772167206</v>
      </c>
      <c r="N32" s="8" t="n">
        <v>13481.07363781929</v>
      </c>
      <c r="O32" s="8" t="n">
        <v>11096.79470817355</v>
      </c>
      <c r="P32" s="8" t="n">
        <v>31454.78255772115</v>
      </c>
      <c r="Q32" s="8" t="n">
        <v>1267.672753635046</v>
      </c>
      <c r="R32" s="8" t="n">
        <v>857.2466947637827</v>
      </c>
      <c r="S32" s="8" t="n">
        <v>7214.331057009726</v>
      </c>
      <c r="T32" s="8" t="n">
        <v>13811.97828526147</v>
      </c>
      <c r="U32">
        <f>SUM(M32:T32)</f>
        <v/>
      </c>
    </row>
    <row r="33">
      <c r="A33" s="10" t="n">
        <v>0.625</v>
      </c>
      <c r="B33" s="5" t="n">
        <v>6600.688778631529</v>
      </c>
      <c r="C33" s="5" t="n">
        <v>3553.894608705633</v>
      </c>
      <c r="D33" s="5" t="n">
        <v>3203.90273574249</v>
      </c>
      <c r="E33" s="5" t="n">
        <v>8149.644867217579</v>
      </c>
      <c r="F33" s="5" t="n">
        <v>416.6111553634957</v>
      </c>
      <c r="G33" s="5" t="n">
        <v>147.343286335472</v>
      </c>
      <c r="H33" s="5" t="n">
        <v>5555.674517569773</v>
      </c>
      <c r="I33" s="5" t="n">
        <v>0</v>
      </c>
      <c r="J33" s="5">
        <f>SUM(B33:I33)</f>
        <v/>
      </c>
      <c r="L33" s="10" t="n">
        <v>0.625</v>
      </c>
      <c r="M33" s="8" t="n">
        <v>18848.51102538109</v>
      </c>
      <c r="N33" s="8" t="n">
        <v>13699.96233267784</v>
      </c>
      <c r="O33" s="8" t="n">
        <v>10911.43899856984</v>
      </c>
      <c r="P33" s="8" t="n">
        <v>31426.90241541676</v>
      </c>
      <c r="Q33" s="8" t="n">
        <v>1413.362387258271</v>
      </c>
      <c r="R33" s="8" t="n">
        <v>1085.918116561006</v>
      </c>
      <c r="S33" s="8" t="n">
        <v>8634.383112095027</v>
      </c>
      <c r="T33" s="8" t="n">
        <v>13917.75498962854</v>
      </c>
      <c r="U33">
        <f>SUM(M33:T33)</f>
        <v/>
      </c>
    </row>
    <row r="34">
      <c r="A34" s="10" t="n">
        <v>0.6458333333333334</v>
      </c>
      <c r="B34" s="5" t="n">
        <v>7288.430475871128</v>
      </c>
      <c r="C34" s="5" t="n">
        <v>3292.354865512116</v>
      </c>
      <c r="D34" s="5" t="n">
        <v>2857.570155945293</v>
      </c>
      <c r="E34" s="5" t="n">
        <v>8073.907098331768</v>
      </c>
      <c r="F34" s="5" t="n">
        <v>397.5522157172774</v>
      </c>
      <c r="G34" s="5" t="n">
        <v>140.6951252666418</v>
      </c>
      <c r="H34" s="5" t="n">
        <v>6021.423667705538</v>
      </c>
      <c r="I34" s="5" t="n">
        <v>0</v>
      </c>
      <c r="J34" s="5">
        <f>SUM(B34:I34)</f>
        <v/>
      </c>
      <c r="L34" s="10" t="n">
        <v>0.6458333333333334</v>
      </c>
      <c r="M34" s="8" t="n">
        <v>21567.80691194534</v>
      </c>
      <c r="N34" s="8" t="n">
        <v>13784.62649507523</v>
      </c>
      <c r="O34" s="8" t="n">
        <v>10557.95754273542</v>
      </c>
      <c r="P34" s="8" t="n">
        <v>30937.26307419143</v>
      </c>
      <c r="Q34" s="8" t="n">
        <v>1579.350687120052</v>
      </c>
      <c r="R34" s="8" t="n">
        <v>1340.842307709772</v>
      </c>
      <c r="S34" s="8" t="n">
        <v>10167.03696470309</v>
      </c>
      <c r="T34" s="8" t="n">
        <v>13836.98732452993</v>
      </c>
      <c r="U34">
        <f>SUM(M34:T34)</f>
        <v/>
      </c>
    </row>
    <row r="35">
      <c r="A35" s="10" t="n">
        <v>0.6666666666666666</v>
      </c>
      <c r="B35" s="5" t="n">
        <v>7847.919297219138</v>
      </c>
      <c r="C35" s="5" t="n">
        <v>2685.641484285907</v>
      </c>
      <c r="D35" s="5" t="n">
        <v>2583.226114231297</v>
      </c>
      <c r="E35" s="5" t="n">
        <v>7212.90624572078</v>
      </c>
      <c r="F35" s="5" t="n">
        <v>326.5307452714819</v>
      </c>
      <c r="G35" s="5" t="n">
        <v>116.0271575832426</v>
      </c>
      <c r="H35" s="5" t="n">
        <v>6077.004816362618</v>
      </c>
      <c r="I35" s="5" t="n">
        <v>0</v>
      </c>
      <c r="J35" s="5">
        <f>SUM(B35:I35)</f>
        <v/>
      </c>
      <c r="L35" s="10" t="n">
        <v>0.6666666666666666</v>
      </c>
      <c r="M35" s="8" t="n">
        <v>24680.6138622284</v>
      </c>
      <c r="N35" s="8" t="n">
        <v>13731.88705787659</v>
      </c>
      <c r="O35" s="8" t="n">
        <v>10025.21739630512</v>
      </c>
      <c r="P35" s="8" t="n">
        <v>29953.04574060851</v>
      </c>
      <c r="Q35" s="8" t="n">
        <v>1761.443439903736</v>
      </c>
      <c r="R35" s="8" t="n">
        <v>1608.661396672726</v>
      </c>
      <c r="S35" s="8" t="n">
        <v>11717.04515919228</v>
      </c>
      <c r="T35" s="8" t="n">
        <v>13550.59105925359</v>
      </c>
      <c r="U35">
        <f>SUM(M35:T35)</f>
        <v/>
      </c>
    </row>
    <row r="36">
      <c r="A36" s="10" t="n">
        <v>0.6875</v>
      </c>
      <c r="B36" s="5" t="n">
        <v>8256.379875143242</v>
      </c>
      <c r="C36" s="5" t="n">
        <v>2016.652983525211</v>
      </c>
      <c r="D36" s="5" t="n">
        <v>2509.169595350677</v>
      </c>
      <c r="E36" s="5" t="n">
        <v>5833.997434795257</v>
      </c>
      <c r="F36" s="5" t="n">
        <v>237.5364061290045</v>
      </c>
      <c r="G36" s="5" t="n">
        <v>85.07100774447115</v>
      </c>
      <c r="H36" s="5" t="n">
        <v>5846.603263468576</v>
      </c>
      <c r="I36" s="5" t="n">
        <v>0</v>
      </c>
      <c r="J36" s="5">
        <f>SUM(B36:I36)</f>
        <v/>
      </c>
      <c r="L36" s="10" t="n">
        <v>0.6875</v>
      </c>
      <c r="M36" s="8" t="n">
        <v>28378.98489551544</v>
      </c>
      <c r="N36" s="8" t="n">
        <v>13628.64662866592</v>
      </c>
      <c r="O36" s="8" t="n">
        <v>9382.443806538973</v>
      </c>
      <c r="P36" s="8" t="n">
        <v>28645.82895522953</v>
      </c>
      <c r="Q36" s="8" t="n">
        <v>1963.476971903988</v>
      </c>
      <c r="R36" s="8" t="n">
        <v>1880.939926316806</v>
      </c>
      <c r="S36" s="8" t="n">
        <v>13220.18158094035</v>
      </c>
      <c r="T36" s="8" t="n">
        <v>13135.10892472232</v>
      </c>
      <c r="U36">
        <f>SUM(M36:T36)</f>
        <v/>
      </c>
    </row>
    <row r="37">
      <c r="A37" s="10" t="n">
        <v>0.7083333333333334</v>
      </c>
      <c r="B37" s="5" t="n">
        <v>8399.371109603766</v>
      </c>
      <c r="C37" s="5" t="n">
        <v>1500.506771371469</v>
      </c>
      <c r="D37" s="5" t="n">
        <v>2558.993465675294</v>
      </c>
      <c r="E37" s="5" t="n">
        <v>4309.958974805276</v>
      </c>
      <c r="F37" s="5" t="n">
        <v>159.8481967768346</v>
      </c>
      <c r="G37" s="5" t="n">
        <v>57.46012182097578</v>
      </c>
      <c r="H37" s="5" t="n">
        <v>5480.984506886422</v>
      </c>
      <c r="I37" s="5" t="n">
        <v>0</v>
      </c>
      <c r="J37" s="5">
        <f>SUM(B37:I37)</f>
        <v/>
      </c>
      <c r="L37" s="10" t="n">
        <v>0.7083333333333334</v>
      </c>
      <c r="M37" s="8" t="n">
        <v>32883.94726099968</v>
      </c>
      <c r="N37" s="8" t="n">
        <v>13601.57901539803</v>
      </c>
      <c r="O37" s="8" t="n">
        <v>8742.694398876742</v>
      </c>
      <c r="P37" s="8" t="n">
        <v>27296.48457356343</v>
      </c>
      <c r="Q37" s="8" t="n">
        <v>2194.379241772389</v>
      </c>
      <c r="R37" s="8" t="n">
        <v>2155.056325583337</v>
      </c>
      <c r="S37" s="8" t="n">
        <v>14645.53925500002</v>
      </c>
      <c r="T37" s="8" t="n">
        <v>12719.32375582566</v>
      </c>
      <c r="U37">
        <f>SUM(M37:T37)</f>
        <v/>
      </c>
    </row>
    <row r="38">
      <c r="A38" s="10" t="n">
        <v>0.7291666666666666</v>
      </c>
      <c r="B38" s="5" t="n">
        <v>8138.231469867756</v>
      </c>
      <c r="C38" s="5" t="n">
        <v>1202.427606694636</v>
      </c>
      <c r="D38" s="5" t="n">
        <v>2542.886299176585</v>
      </c>
      <c r="E38" s="5" t="n">
        <v>2945.501825517601</v>
      </c>
      <c r="F38" s="5" t="n">
        <v>105.1278304118164</v>
      </c>
      <c r="G38" s="5" t="n">
        <v>36.68241210431657</v>
      </c>
      <c r="H38" s="5" t="n">
        <v>5063.805357900493</v>
      </c>
      <c r="I38" s="5" t="n">
        <v>0</v>
      </c>
      <c r="J38" s="5">
        <f>SUM(B38:I38)</f>
        <v/>
      </c>
      <c r="L38" s="10" t="n">
        <v>0.7291666666666666</v>
      </c>
      <c r="M38" s="8" t="n">
        <v>38263.83528251648</v>
      </c>
      <c r="N38" s="8" t="n">
        <v>13733.72616558075</v>
      </c>
      <c r="O38" s="8" t="n">
        <v>8198.072416969484</v>
      </c>
      <c r="P38" s="8" t="n">
        <v>26131.07030699329</v>
      </c>
      <c r="Q38" s="8" t="n">
        <v>2458.908901521841</v>
      </c>
      <c r="R38" s="8" t="n">
        <v>2428.374105751956</v>
      </c>
      <c r="S38" s="8" t="n">
        <v>15965.88305994161</v>
      </c>
      <c r="T38" s="8" t="n">
        <v>12405.27704845185</v>
      </c>
      <c r="U38">
        <f>SUM(M38:T38)</f>
        <v/>
      </c>
    </row>
    <row r="39">
      <c r="A39" s="10" t="n">
        <v>0.75</v>
      </c>
      <c r="B39" s="5" t="n">
        <v>7429.140743659415</v>
      </c>
      <c r="C39" s="5" t="n">
        <v>1094.292713939202</v>
      </c>
      <c r="D39" s="5" t="n">
        <v>2327.920798482544</v>
      </c>
      <c r="E39" s="5" t="n">
        <v>1911.29820949516</v>
      </c>
      <c r="F39" s="5" t="n">
        <v>71.11035973247698</v>
      </c>
      <c r="G39" s="5" t="n">
        <v>22.05518879924461</v>
      </c>
      <c r="H39" s="5" t="n">
        <v>4585.54237532992</v>
      </c>
      <c r="I39" s="5" t="n">
        <v>0</v>
      </c>
      <c r="J39" s="5">
        <f>SUM(B39:I39)</f>
        <v/>
      </c>
      <c r="L39" s="10" t="n">
        <v>0.75</v>
      </c>
      <c r="M39" s="8" t="n">
        <v>44237.63060317039</v>
      </c>
      <c r="N39" s="8" t="n">
        <v>13999.40102615356</v>
      </c>
      <c r="O39" s="8" t="n">
        <v>7770.1410683595</v>
      </c>
      <c r="P39" s="8" t="n">
        <v>25194.04441136698</v>
      </c>
      <c r="Q39" s="8" t="n">
        <v>2746.178000415137</v>
      </c>
      <c r="R39" s="8" t="n">
        <v>2688.187915056518</v>
      </c>
      <c r="S39" s="8" t="n">
        <v>17108.61824826276</v>
      </c>
      <c r="T39" s="8" t="n">
        <v>12205.0168683726</v>
      </c>
      <c r="U39">
        <f>SUM(M39:T39)</f>
        <v/>
      </c>
    </row>
    <row r="40">
      <c r="A40" s="10" t="n">
        <v>0.7708333333333334</v>
      </c>
      <c r="B40" s="5" t="n">
        <v>6371.360915452366</v>
      </c>
      <c r="C40" s="5" t="n">
        <v>1133.051486277073</v>
      </c>
      <c r="D40" s="5" t="n">
        <v>1928.943511208315</v>
      </c>
      <c r="E40" s="5" t="n">
        <v>1255.709350332622</v>
      </c>
      <c r="F40" s="5" t="n">
        <v>50.97310170105518</v>
      </c>
      <c r="G40" s="5" t="n">
        <v>12.20295993440081</v>
      </c>
      <c r="H40" s="5" t="n">
        <v>3994.220470940928</v>
      </c>
      <c r="I40" s="5" t="n">
        <v>0</v>
      </c>
      <c r="J40" s="5">
        <f>SUM(B40:I40)</f>
        <v/>
      </c>
      <c r="L40" s="10" t="n">
        <v>0.7708333333333334</v>
      </c>
      <c r="M40" s="8" t="n">
        <v>50076.75785913465</v>
      </c>
      <c r="N40" s="8" t="n">
        <v>14252.07478103638</v>
      </c>
      <c r="O40" s="8" t="n">
        <v>7400.725012218537</v>
      </c>
      <c r="P40" s="8" t="n">
        <v>24321.80056657354</v>
      </c>
      <c r="Q40" s="8" t="n">
        <v>3022.520665036139</v>
      </c>
      <c r="R40" s="8" t="n">
        <v>2904.402126452622</v>
      </c>
      <c r="S40" s="8" t="n">
        <v>17920.04409168587</v>
      </c>
      <c r="T40" s="8" t="n">
        <v>12024.83405778126</v>
      </c>
      <c r="U40">
        <f>SUM(M40:T40)</f>
        <v/>
      </c>
    </row>
    <row r="41">
      <c r="A41" s="10" t="n">
        <v>0.7916666666666666</v>
      </c>
      <c r="B41" s="5" t="n">
        <v>5144.294308529977</v>
      </c>
      <c r="C41" s="5" t="n">
        <v>1266.831111367955</v>
      </c>
      <c r="D41" s="5" t="n">
        <v>1462.402197350845</v>
      </c>
      <c r="E41" s="5" t="n">
        <v>927.8280775399408</v>
      </c>
      <c r="F41" s="5" t="n">
        <v>38.79086668815569</v>
      </c>
      <c r="G41" s="5" t="n">
        <v>6.410468354962718</v>
      </c>
      <c r="H41" s="5" t="n">
        <v>3272.49186883094</v>
      </c>
      <c r="I41" s="5" t="n">
        <v>0</v>
      </c>
      <c r="J41" s="5">
        <f>SUM(B41:I41)</f>
        <v/>
      </c>
      <c r="L41" s="10" t="n">
        <v>0.7916666666666666</v>
      </c>
      <c r="M41" s="8" t="n">
        <v>54709.90182390211</v>
      </c>
      <c r="N41" s="8" t="n">
        <v>14272.5481701374</v>
      </c>
      <c r="O41" s="8" t="n">
        <v>6983.399273447311</v>
      </c>
      <c r="P41" s="8" t="n">
        <v>23221.61725743732</v>
      </c>
      <c r="Q41" s="8" t="n">
        <v>3235.563439685054</v>
      </c>
      <c r="R41" s="8" t="n">
        <v>3033.00618061367</v>
      </c>
      <c r="S41" s="8" t="n">
        <v>18183.87324507728</v>
      </c>
      <c r="T41" s="8" t="n">
        <v>11701.85308104758</v>
      </c>
      <c r="U41">
        <f>SUM(M41:T41)</f>
        <v/>
      </c>
    </row>
    <row r="42">
      <c r="A42" s="10" t="n">
        <v>0.8125</v>
      </c>
      <c r="B42" s="5" t="n">
        <v>3912.594177827081</v>
      </c>
      <c r="C42" s="5" t="n">
        <v>1402.105568362432</v>
      </c>
      <c r="D42" s="5" t="n">
        <v>1040.771332027551</v>
      </c>
      <c r="E42" s="5" t="n">
        <v>806.5570505043277</v>
      </c>
      <c r="F42" s="5" t="n">
        <v>30.68259716153882</v>
      </c>
      <c r="G42" s="5" t="n">
        <v>4.179485165682375</v>
      </c>
      <c r="H42" s="5" t="n">
        <v>2474.626703359049</v>
      </c>
      <c r="I42" s="5" t="n">
        <v>0</v>
      </c>
      <c r="J42" s="5">
        <f>SUM(B42:I42)</f>
        <v/>
      </c>
      <c r="L42" s="10" t="n">
        <v>0.8125</v>
      </c>
      <c r="M42" s="8" t="n">
        <v>57053.70956401822</v>
      </c>
      <c r="N42" s="8" t="n">
        <v>13859.84083218574</v>
      </c>
      <c r="O42" s="8" t="n">
        <v>6419.360114898387</v>
      </c>
      <c r="P42" s="8" t="n">
        <v>21619.44618948604</v>
      </c>
      <c r="Q42" s="8" t="n">
        <v>3331.903635300118</v>
      </c>
      <c r="R42" s="8" t="n">
        <v>3032.816334894865</v>
      </c>
      <c r="S42" s="8" t="n">
        <v>17708.65462294487</v>
      </c>
      <c r="T42" s="8" t="n">
        <v>11078.88151587573</v>
      </c>
      <c r="U42">
        <f>SUM(M42:T42)</f>
        <v/>
      </c>
    </row>
    <row r="43">
      <c r="A43" s="10" t="n">
        <v>0.8333333333333334</v>
      </c>
      <c r="B43" s="5" t="n">
        <v>2786.802652008972</v>
      </c>
      <c r="C43" s="5" t="n">
        <v>1419.971226567734</v>
      </c>
      <c r="D43" s="5" t="n">
        <v>712.1408319520436</v>
      </c>
      <c r="E43" s="5" t="n">
        <v>760.1829236982704</v>
      </c>
      <c r="F43" s="5" t="n">
        <v>24.56759492618426</v>
      </c>
      <c r="G43" s="5" t="n">
        <v>4.68068181306232</v>
      </c>
      <c r="H43" s="5" t="n">
        <v>1702.222956638899</v>
      </c>
      <c r="I43" s="5" t="n">
        <v>0</v>
      </c>
      <c r="J43" s="5">
        <f>SUM(B43:I43)</f>
        <v/>
      </c>
      <c r="L43" s="10" t="n">
        <v>0.8333333333333334</v>
      </c>
      <c r="M43" s="8" t="n">
        <v>56449.65694236752</v>
      </c>
      <c r="N43" s="8" t="n">
        <v>12924.62079863548</v>
      </c>
      <c r="O43" s="8" t="n">
        <v>5670.449978547317</v>
      </c>
      <c r="P43" s="8" t="n">
        <v>19406.9793773429</v>
      </c>
      <c r="Q43" s="8" t="n">
        <v>3281.415920741424</v>
      </c>
      <c r="R43" s="8" t="n">
        <v>2887.4853318289</v>
      </c>
      <c r="S43" s="8" t="n">
        <v>16442.72218231323</v>
      </c>
      <c r="T43" s="8" t="n">
        <v>10085.78168794616</v>
      </c>
      <c r="U43">
        <f>SUM(M43:T43)</f>
        <v/>
      </c>
    </row>
    <row r="44">
      <c r="A44" s="10" t="n">
        <v>0.8541666666666666</v>
      </c>
      <c r="B44" s="5" t="n">
        <v>1837.737927045055</v>
      </c>
      <c r="C44" s="5" t="n">
        <v>1252.483863219697</v>
      </c>
      <c r="D44" s="5" t="n">
        <v>471.2693176508064</v>
      </c>
      <c r="E44" s="5" t="n">
        <v>718.185220414897</v>
      </c>
      <c r="F44" s="5" t="n">
        <v>19.57872273053157</v>
      </c>
      <c r="G44" s="5" t="n">
        <v>6.676860195474466</v>
      </c>
      <c r="H44" s="5" t="n">
        <v>1051.761427040647</v>
      </c>
      <c r="I44" s="5" t="n">
        <v>0</v>
      </c>
      <c r="J44" s="5">
        <f>SUM(B44:I44)</f>
        <v/>
      </c>
      <c r="L44" s="10" t="n">
        <v>0.8541666666666666</v>
      </c>
      <c r="M44" s="8" t="n">
        <v>52967.86648707388</v>
      </c>
      <c r="N44" s="8" t="n">
        <v>11534.86679434776</v>
      </c>
      <c r="O44" s="8" t="n">
        <v>4780.407119459138</v>
      </c>
      <c r="P44" s="8" t="n">
        <v>16707.40045603228</v>
      </c>
      <c r="Q44" s="8" t="n">
        <v>3093.113744588916</v>
      </c>
      <c r="R44" s="8" t="n">
        <v>2617.844784887569</v>
      </c>
      <c r="S44" s="8" t="n">
        <v>14536.19188832558</v>
      </c>
      <c r="T44" s="8" t="n">
        <v>8783.342652563519</v>
      </c>
      <c r="U44">
        <f>SUM(M44:T44)</f>
        <v/>
      </c>
    </row>
    <row r="45">
      <c r="A45" s="10" t="n">
        <v>0.875</v>
      </c>
      <c r="B45" s="5" t="n">
        <v>1109.671811947997</v>
      </c>
      <c r="C45" s="5" t="n">
        <v>937.6936154565178</v>
      </c>
      <c r="D45" s="5" t="n">
        <v>297.3259147117038</v>
      </c>
      <c r="E45" s="5" t="n">
        <v>697.5707420120584</v>
      </c>
      <c r="F45" s="5" t="n">
        <v>15.28761176357391</v>
      </c>
      <c r="G45" s="5" t="n">
        <v>8.721108006916747</v>
      </c>
      <c r="H45" s="5" t="n">
        <v>576.0494452908455</v>
      </c>
      <c r="I45" s="5" t="n">
        <v>0</v>
      </c>
      <c r="J45" s="5">
        <f>SUM(B45:I45)</f>
        <v/>
      </c>
      <c r="L45" s="10" t="n">
        <v>0.875</v>
      </c>
      <c r="M45" s="8" t="n">
        <v>47362.37438249587</v>
      </c>
      <c r="N45" s="8" t="n">
        <v>9882.574104785919</v>
      </c>
      <c r="O45" s="8" t="n">
        <v>3851.342015983311</v>
      </c>
      <c r="P45" s="8" t="n">
        <v>13816.79558017115</v>
      </c>
      <c r="Q45" s="8" t="n">
        <v>2809.616795100465</v>
      </c>
      <c r="R45" s="8" t="n">
        <v>2274.106860272847</v>
      </c>
      <c r="S45" s="8" t="n">
        <v>12293.28292748622</v>
      </c>
      <c r="T45" s="8" t="n">
        <v>7337.738240384833</v>
      </c>
      <c r="U45">
        <f>SUM(M45:T45)</f>
        <v/>
      </c>
    </row>
    <row r="46">
      <c r="A46" s="10" t="n">
        <v>0.8958333333333334</v>
      </c>
      <c r="B46" s="5" t="n">
        <v>611.5959799361979</v>
      </c>
      <c r="C46" s="5" t="n">
        <v>588.826800575976</v>
      </c>
      <c r="D46" s="5" t="n">
        <v>175.0572151404832</v>
      </c>
      <c r="E46" s="5" t="n">
        <v>753.6871284838666</v>
      </c>
      <c r="F46" s="5" t="n">
        <v>11.33797927697438</v>
      </c>
      <c r="G46" s="5" t="n">
        <v>9.567692787126029</v>
      </c>
      <c r="H46" s="5" t="n">
        <v>275.5617158468424</v>
      </c>
      <c r="I46" s="5" t="n">
        <v>0</v>
      </c>
      <c r="J46" s="5">
        <f>SUM(B46:I46)</f>
        <v/>
      </c>
      <c r="L46" s="10" t="n">
        <v>0.8958333333333334</v>
      </c>
      <c r="M46" s="8" t="n">
        <v>40675.15438780783</v>
      </c>
      <c r="N46" s="8" t="n">
        <v>8187.781144046784</v>
      </c>
      <c r="O46" s="8" t="n">
        <v>2990.650410096678</v>
      </c>
      <c r="P46" s="8" t="n">
        <v>11055.5060230087</v>
      </c>
      <c r="Q46" s="8" t="n">
        <v>2481.725478086819</v>
      </c>
      <c r="R46" s="8" t="n">
        <v>1911.749333251293</v>
      </c>
      <c r="S46" s="8" t="n">
        <v>10037.08872026116</v>
      </c>
      <c r="T46" s="8" t="n">
        <v>5936.016578637346</v>
      </c>
      <c r="U46">
        <f>SUM(M46:T46)</f>
        <v/>
      </c>
    </row>
    <row r="47">
      <c r="A47" s="10" t="n">
        <v>0.9166666666666666</v>
      </c>
      <c r="B47" s="5" t="n">
        <v>311.3797685586946</v>
      </c>
      <c r="C47" s="5" t="n">
        <v>309.8472815290539</v>
      </c>
      <c r="D47" s="5" t="n">
        <v>94.795047973322</v>
      </c>
      <c r="E47" s="5" t="n">
        <v>896.011760569659</v>
      </c>
      <c r="F47" s="5" t="n">
        <v>7.634963826646981</v>
      </c>
      <c r="G47" s="5" t="n">
        <v>8.695602379057158</v>
      </c>
      <c r="H47" s="5" t="n">
        <v>113.3263578476321</v>
      </c>
      <c r="I47" s="5" t="n">
        <v>0</v>
      </c>
      <c r="J47" s="5">
        <f>SUM(B47:I47)</f>
        <v/>
      </c>
      <c r="L47" s="10" t="n">
        <v>0.9166666666666666</v>
      </c>
      <c r="M47" s="8" t="n">
        <v>33753.54130244254</v>
      </c>
      <c r="N47" s="8" t="n">
        <v>6601.562307596206</v>
      </c>
      <c r="O47" s="8" t="n">
        <v>2263.222567041544</v>
      </c>
      <c r="P47" s="8" t="n">
        <v>8626.513721866748</v>
      </c>
      <c r="Q47" s="8" t="n">
        <v>2141.128247256017</v>
      </c>
      <c r="R47" s="8" t="n">
        <v>1567.569265517112</v>
      </c>
      <c r="S47" s="8" t="n">
        <v>7978.392393029796</v>
      </c>
      <c r="T47" s="8" t="n">
        <v>4697.933384756225</v>
      </c>
      <c r="U47">
        <f>SUM(M47:T47)</f>
        <v/>
      </c>
    </row>
    <row r="48">
      <c r="A48" s="10" t="n">
        <v>0.9375</v>
      </c>
      <c r="B48" s="5" t="n">
        <v>151.4035800093964</v>
      </c>
      <c r="C48" s="5" t="n">
        <v>139.041227465207</v>
      </c>
      <c r="D48" s="5" t="n">
        <v>47.07893766686015</v>
      </c>
      <c r="E48" s="5" t="n">
        <v>1048.567701800619</v>
      </c>
      <c r="F48" s="5" t="n">
        <v>4.463562387933985</v>
      </c>
      <c r="G48" s="5" t="n">
        <v>6.521602189946029</v>
      </c>
      <c r="H48" s="5" t="n">
        <v>39.43917388535182</v>
      </c>
      <c r="I48" s="5" t="n">
        <v>0</v>
      </c>
      <c r="J48" s="5">
        <f>SUM(B48:I48)</f>
        <v/>
      </c>
      <c r="L48" s="10" t="n">
        <v>0.9375</v>
      </c>
      <c r="M48" s="8" t="n">
        <v>27019.4280511856</v>
      </c>
      <c r="N48" s="8" t="n">
        <v>5171.821686315537</v>
      </c>
      <c r="O48" s="8" t="n">
        <v>1677.682298595582</v>
      </c>
      <c r="P48" s="8" t="n">
        <v>6570.576397229692</v>
      </c>
      <c r="Q48" s="8" t="n">
        <v>1792.249545415906</v>
      </c>
      <c r="R48" s="8" t="n">
        <v>1252.014968451467</v>
      </c>
      <c r="S48" s="8" t="n">
        <v>6175.857262469645</v>
      </c>
      <c r="T48" s="8" t="n">
        <v>3644.230888139441</v>
      </c>
      <c r="U48">
        <f>SUM(M48:T48)</f>
        <v/>
      </c>
    </row>
    <row r="49">
      <c r="A49" s="10" t="n">
        <v>0.9583333333333334</v>
      </c>
      <c r="B49" s="5" t="n">
        <v>74.0496116240425</v>
      </c>
      <c r="C49" s="5" t="n">
        <v>56.25819012644293</v>
      </c>
      <c r="D49" s="5" t="n">
        <v>21.56460107292174</v>
      </c>
      <c r="E49" s="5" t="n">
        <v>1096.55763276055</v>
      </c>
      <c r="F49" s="5" t="n">
        <v>2.183350321838839</v>
      </c>
      <c r="G49" s="5" t="n">
        <v>4.013293655351402</v>
      </c>
      <c r="H49" s="5" t="n">
        <v>11.43604244126703</v>
      </c>
      <c r="I49" s="5" t="n">
        <v>0</v>
      </c>
      <c r="J49" s="5">
        <f>SUM(B49:I49)</f>
        <v/>
      </c>
      <c r="L49" s="10" t="n">
        <v>0.9583333333333334</v>
      </c>
      <c r="M49" s="8" t="n">
        <v>20606.31099672318</v>
      </c>
      <c r="N49" s="8" t="n">
        <v>3884.976347398758</v>
      </c>
      <c r="O49" s="8" t="n">
        <v>1207.954203904374</v>
      </c>
      <c r="P49" s="8" t="n">
        <v>4829.976233035834</v>
      </c>
      <c r="Q49" s="8" t="n">
        <v>1428.471821872264</v>
      </c>
      <c r="R49" s="8" t="n">
        <v>960.4148492853171</v>
      </c>
      <c r="S49" s="8" t="n">
        <v>4598.038594628039</v>
      </c>
      <c r="T49" s="8" t="n">
        <v>2735.199675998724</v>
      </c>
      <c r="U49">
        <f>SUM(M49:T49)</f>
        <v/>
      </c>
    </row>
    <row r="50">
      <c r="A50" s="10" t="n">
        <v>0.9791666666666666</v>
      </c>
      <c r="B50" s="5" t="n">
        <v>37.94685797030754</v>
      </c>
      <c r="C50" s="5" t="n">
        <v>22.71585589232337</v>
      </c>
      <c r="D50" s="5" t="n">
        <v>9.146575864252128</v>
      </c>
      <c r="E50" s="5" t="n">
        <v>976.8448989915603</v>
      </c>
      <c r="F50" s="5" t="n">
        <v>0.8662029475798073</v>
      </c>
      <c r="G50" s="5" t="n">
        <v>2.006646827675701</v>
      </c>
      <c r="H50" s="5" t="n">
        <v>2.716415465290252</v>
      </c>
      <c r="I50" s="5" t="n">
        <v>0</v>
      </c>
      <c r="J50" s="5">
        <f>SUM(B50:I50)</f>
        <v/>
      </c>
      <c r="L50" s="10" t="n">
        <v>0.9791666666666666</v>
      </c>
      <c r="M50" s="8" t="n">
        <v>14660.13763251305</v>
      </c>
      <c r="N50" s="8" t="n">
        <v>2735.156816864013</v>
      </c>
      <c r="O50" s="8" t="n">
        <v>826.3040783913808</v>
      </c>
      <c r="P50" s="8" t="n">
        <v>3350.067671477454</v>
      </c>
      <c r="Q50" s="8" t="n">
        <v>1056.530155933682</v>
      </c>
      <c r="R50" s="8" t="n">
        <v>690.928439641594</v>
      </c>
      <c r="S50" s="8" t="n">
        <v>3218.16380354523</v>
      </c>
      <c r="T50" s="8" t="n">
        <v>1936.560894761026</v>
      </c>
      <c r="U50">
        <f>SUM(M50:T50)</f>
        <v/>
      </c>
    </row>
    <row r="51">
      <c r="A51" s="10" t="n">
        <v>1</v>
      </c>
      <c r="B51" s="5" t="n">
        <v>20.0878726396299</v>
      </c>
      <c r="C51" s="5" t="n">
        <v>9.80117826076374</v>
      </c>
      <c r="D51" s="5" t="n">
        <v>3.553028266478308</v>
      </c>
      <c r="E51" s="5" t="n">
        <v>725.9150098648411</v>
      </c>
      <c r="F51" s="5" t="n">
        <v>0.2700193103853403</v>
      </c>
      <c r="G51" s="5" t="n">
        <v>0.8026587310702804</v>
      </c>
      <c r="H51" s="5" t="n">
        <v>0.5154911973916013</v>
      </c>
      <c r="I51" s="5" t="n">
        <v>0</v>
      </c>
      <c r="J51" s="5">
        <f>SUM(B51:I51)</f>
        <v/>
      </c>
      <c r="L51" s="10" t="n">
        <v>1</v>
      </c>
      <c r="M51" s="8" t="n">
        <v>9491.068369579316</v>
      </c>
      <c r="N51" s="8" t="n">
        <v>1757.400870752334</v>
      </c>
      <c r="O51" s="8" t="n">
        <v>521.5880907499875</v>
      </c>
      <c r="P51" s="8" t="n">
        <v>2132.38843849316</v>
      </c>
      <c r="Q51" s="8" t="n">
        <v>706.0505243642042</v>
      </c>
      <c r="R51" s="8" t="n">
        <v>453.5757706059605</v>
      </c>
      <c r="S51" s="8" t="n">
        <v>2060.5559046125</v>
      </c>
      <c r="T51" s="8" t="n">
        <v>1255.127807224653</v>
      </c>
      <c r="U51">
        <f>SUM(M51:T51)</f>
        <v/>
      </c>
    </row>
    <row r="52">
      <c r="A52" s="10" t="n">
        <v>1.020833333333333</v>
      </c>
      <c r="B52" s="5" t="n">
        <v>10.26806733657491</v>
      </c>
      <c r="C52" s="5" t="n">
        <v>4.242519014618058</v>
      </c>
      <c r="D52" s="5" t="n">
        <v>1.222541913156014</v>
      </c>
      <c r="E52" s="5" t="n">
        <v>444.4915087144214</v>
      </c>
      <c r="F52" s="5" t="n">
        <v>0.06350396722866943</v>
      </c>
      <c r="G52" s="5" t="n">
        <v>0.2508308534594627</v>
      </c>
      <c r="H52" s="5" t="n">
        <v>0.07440167032860656</v>
      </c>
      <c r="I52" s="5" t="n">
        <v>0</v>
      </c>
      <c r="J52" s="5">
        <f>SUM(B52:I52)</f>
        <v/>
      </c>
      <c r="L52" s="10" t="n">
        <v>1.020833333333333</v>
      </c>
      <c r="M52" s="8" t="n">
        <v>5454.808781671525</v>
      </c>
      <c r="N52" s="8" t="n">
        <v>1004.015237617493</v>
      </c>
      <c r="O52" s="8" t="n">
        <v>295.0197249972775</v>
      </c>
      <c r="P52" s="8" t="n">
        <v>1211.642296103652</v>
      </c>
      <c r="Q52" s="8" t="n">
        <v>415.9608920815873</v>
      </c>
      <c r="R52" s="8" t="n">
        <v>264.60065194922</v>
      </c>
      <c r="S52" s="8" t="n">
        <v>1175.133778550427</v>
      </c>
      <c r="T52" s="8" t="n">
        <v>723.6478815824817</v>
      </c>
      <c r="U52">
        <f>SUM(M52:T52)</f>
        <v/>
      </c>
    </row>
    <row r="53">
      <c r="A53" s="10" t="n">
        <v>0.04166666666666666</v>
      </c>
      <c r="B53" s="5" t="n">
        <v>4.692425364199083</v>
      </c>
      <c r="C53" s="5" t="n">
        <v>1.626992710950622</v>
      </c>
      <c r="D53" s="5" t="n">
        <v>0.353654433219977</v>
      </c>
      <c r="E53" s="5" t="n">
        <v>221.5343272757839</v>
      </c>
      <c r="F53" s="5" t="n">
        <v>0.01058399453811157</v>
      </c>
      <c r="G53" s="5" t="n">
        <v>0.05901902434340298</v>
      </c>
      <c r="H53" s="5" t="n">
        <v>0.007314802777907162</v>
      </c>
      <c r="I53" s="5" t="n">
        <v>0</v>
      </c>
      <c r="J53" s="5">
        <f>SUM(B53:I53)</f>
        <v/>
      </c>
      <c r="L53" s="10" t="n">
        <v>0.04166666666666666</v>
      </c>
      <c r="M53" s="8" t="n">
        <v>2718.188809108735</v>
      </c>
      <c r="N53" s="8" t="n">
        <v>497.7716943740844</v>
      </c>
      <c r="O53" s="8" t="n">
        <v>145.5370734560308</v>
      </c>
      <c r="P53" s="8" t="n">
        <v>598.9855364688237</v>
      </c>
      <c r="Q53" s="8" t="n">
        <v>211.2262657800264</v>
      </c>
      <c r="R53" s="8" t="n">
        <v>133.832726055635</v>
      </c>
      <c r="S53" s="8" t="n">
        <v>582.2483209967718</v>
      </c>
      <c r="T53" s="8" t="n">
        <v>361.7371425464336</v>
      </c>
      <c r="U53">
        <f>SUM(M53:T53)</f>
        <v/>
      </c>
    </row>
    <row r="54">
      <c r="A54" s="10" t="n">
        <v>0.0625</v>
      </c>
      <c r="B54" s="5" t="n">
        <v>1.802603771238837</v>
      </c>
      <c r="C54" s="5" t="n">
        <v>0.5041517705648033</v>
      </c>
      <c r="D54" s="5" t="n">
        <v>0.08057950878153916</v>
      </c>
      <c r="E54" s="5" t="n">
        <v>88.40868417316618</v>
      </c>
      <c r="F54" s="5" t="n">
        <v>0.001114104688222271</v>
      </c>
      <c r="G54" s="5" t="n">
        <v>0.009836504057233832</v>
      </c>
      <c r="H54" s="5" t="n">
        <v>0.0003657401388953581</v>
      </c>
      <c r="I54" s="5" t="n">
        <v>0</v>
      </c>
      <c r="J54" s="5">
        <f>SUM(B54:I54)</f>
        <v/>
      </c>
      <c r="L54" s="10" t="n">
        <v>0.0625</v>
      </c>
      <c r="M54" s="8" t="n">
        <v>1147.182640600205</v>
      </c>
      <c r="N54" s="8" t="n">
        <v>209.1339086055755</v>
      </c>
      <c r="O54" s="8" t="n">
        <v>61.03745477186295</v>
      </c>
      <c r="P54" s="8" t="n">
        <v>251.3309523036724</v>
      </c>
      <c r="Q54" s="8" t="n">
        <v>90.42381538198075</v>
      </c>
      <c r="R54" s="8" t="n">
        <v>57.30006840834133</v>
      </c>
      <c r="S54" s="8" t="n">
        <v>244.6502346638916</v>
      </c>
      <c r="T54" s="8" t="n">
        <v>153.0188632678302</v>
      </c>
      <c r="U54">
        <f>SUM(M54:T54)</f>
        <v/>
      </c>
    </row>
    <row r="55">
      <c r="A55" s="10" t="n">
        <v>0.08333333333333333</v>
      </c>
      <c r="B55" s="5" t="n">
        <v>0.5540415028399903</v>
      </c>
      <c r="C55" s="5" t="n">
        <v>0.11852463599204</v>
      </c>
      <c r="D55" s="5" t="n">
        <v>0.01331148933768049</v>
      </c>
      <c r="E55" s="5" t="n">
        <v>27.57807247482955</v>
      </c>
      <c r="F55" s="5" t="n">
        <v>5.570523441111355e-05</v>
      </c>
      <c r="G55" s="5" t="n">
        <v>0.001035421479708824</v>
      </c>
      <c r="H55" s="5" t="n">
        <v>0</v>
      </c>
      <c r="I55" s="5" t="n">
        <v>0</v>
      </c>
      <c r="J55" s="5">
        <f>SUM(B55:I55)</f>
        <v/>
      </c>
      <c r="L55" s="10" t="n">
        <v>0.08333333333333333</v>
      </c>
      <c r="M55" s="8" t="n">
        <v>399.7094730854035</v>
      </c>
      <c r="N55" s="8" t="n">
        <v>72.57481284141539</v>
      </c>
      <c r="O55" s="8" t="n">
        <v>21.1883898147907</v>
      </c>
      <c r="P55" s="8" t="n">
        <v>87.18540165433018</v>
      </c>
      <c r="Q55" s="8" t="n">
        <v>31.8453883245957</v>
      </c>
      <c r="R55" s="8" t="n">
        <v>20.23825537864407</v>
      </c>
      <c r="S55" s="8" t="n">
        <v>84.94286923874316</v>
      </c>
      <c r="T55" s="8" t="n">
        <v>53.38464538946555</v>
      </c>
      <c r="U55">
        <f>SUM(M55:T55)</f>
        <v/>
      </c>
    </row>
    <row r="56">
      <c r="A56" s="10" t="n">
        <v>0.1041666666666667</v>
      </c>
      <c r="B56" s="5" t="n">
        <v>0.1296055121687165</v>
      </c>
      <c r="C56" s="5" t="n">
        <v>0.01975410599867333</v>
      </c>
      <c r="D56" s="5" t="n">
        <v>0.001401209403966368</v>
      </c>
      <c r="E56" s="5" t="n">
        <v>6.479464839079223</v>
      </c>
      <c r="F56" s="5" t="n">
        <v>0</v>
      </c>
      <c r="G56" s="5" t="n">
        <v>5.177107398544121e-05</v>
      </c>
      <c r="H56" s="5" t="n">
        <v>0</v>
      </c>
      <c r="I56" s="5" t="n">
        <v>0</v>
      </c>
      <c r="J56" s="5">
        <f>SUM(B56:I56)</f>
        <v/>
      </c>
      <c r="L56" s="10" t="n">
        <v>0.1041666666666667</v>
      </c>
      <c r="M56" s="8" t="n">
        <v>111.441702747345</v>
      </c>
      <c r="N56" s="8" t="n">
        <v>20.16225247383117</v>
      </c>
      <c r="O56" s="8" t="n">
        <v>5.89660329210967</v>
      </c>
      <c r="P56" s="8" t="n">
        <v>24.22449504837939</v>
      </c>
      <c r="Q56" s="8" t="n">
        <v>8.950719693916238</v>
      </c>
      <c r="R56" s="8" t="n">
        <v>5.714917447008451</v>
      </c>
      <c r="S56" s="8" t="n">
        <v>23.61447902943436</v>
      </c>
      <c r="T56" s="8" t="n">
        <v>14.88961858317938</v>
      </c>
      <c r="U56">
        <f>SUM(M56:T56)</f>
        <v/>
      </c>
    </row>
    <row r="57">
      <c r="A57" s="10" t="n">
        <v>0.125</v>
      </c>
      <c r="B57" s="5" t="n">
        <v>0.02145697888635768</v>
      </c>
      <c r="C57" s="5" t="n">
        <v>0.002079379578807719</v>
      </c>
      <c r="D57" s="5" t="n">
        <v>7.006047019831838e-05</v>
      </c>
      <c r="E57" s="5" t="n">
        <v>1.072909120994018</v>
      </c>
      <c r="F57" s="5" t="n">
        <v>0</v>
      </c>
      <c r="G57" s="5" t="n">
        <v>0</v>
      </c>
      <c r="H57" s="5" t="n">
        <v>0</v>
      </c>
      <c r="I57" s="5" t="n">
        <v>0</v>
      </c>
      <c r="J57" s="5">
        <f>SUM(B57:I57)</f>
        <v/>
      </c>
      <c r="L57" s="10" t="n">
        <v>0.125</v>
      </c>
      <c r="M57" s="8" t="n">
        <v>23.48231792449951</v>
      </c>
      <c r="N57" s="8" t="n">
        <v>4.235566902160643</v>
      </c>
      <c r="O57" s="8" t="n">
        <v>1.241932089793768</v>
      </c>
      <c r="P57" s="8" t="n">
        <v>5.090825289611763</v>
      </c>
      <c r="Q57" s="8" t="n">
        <v>1.897403270801597</v>
      </c>
      <c r="R57" s="8" t="n">
        <v>1.218225718395981</v>
      </c>
      <c r="S57" s="8" t="n">
        <v>4.964222396716123</v>
      </c>
      <c r="T57" s="8" t="n">
        <v>3.136425640990736</v>
      </c>
      <c r="U57">
        <f>SUM(M57:T57)</f>
        <v/>
      </c>
    </row>
    <row r="58" ht="15.75" customHeight="1" s="71" thickBot="1">
      <c r="A58" s="11" t="inlineStr">
        <is>
          <t>After 27:00</t>
        </is>
      </c>
      <c r="B58" s="6" t="n">
        <v>0</v>
      </c>
      <c r="C58" s="6" t="n">
        <v>0</v>
      </c>
      <c r="D58" s="6" t="n">
        <v>0</v>
      </c>
      <c r="E58" s="6" t="n">
        <v>0</v>
      </c>
      <c r="F58" s="6" t="n">
        <v>0</v>
      </c>
      <c r="G58" s="6" t="n">
        <v>0</v>
      </c>
      <c r="H58" s="6" t="n">
        <v>0</v>
      </c>
      <c r="I58" s="6" t="n">
        <v>0</v>
      </c>
      <c r="J58" s="6">
        <f>SUM(B58:I58)</f>
        <v/>
      </c>
      <c r="L58" s="11" t="inlineStr">
        <is>
          <t>After 27:00</t>
        </is>
      </c>
      <c r="M58" s="9" t="n">
        <v>0</v>
      </c>
      <c r="N58" s="9" t="n">
        <v>0</v>
      </c>
      <c r="O58" s="9" t="n">
        <v>0</v>
      </c>
      <c r="P58" s="9" t="n">
        <v>0</v>
      </c>
      <c r="Q58" s="9" t="n">
        <v>0</v>
      </c>
      <c r="R58" s="9" t="n">
        <v>0</v>
      </c>
      <c r="S58" s="9" t="n">
        <v>0</v>
      </c>
      <c r="T58" s="9" t="n">
        <v>0</v>
      </c>
      <c r="U58" s="1">
        <f>SUM(M58:T58)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Y58"/>
  <sheetViews>
    <sheetView workbookViewId="0">
      <selection activeCell="U1" sqref="U1:U1048576"/>
    </sheetView>
  </sheetViews>
  <sheetFormatPr baseColWidth="8" defaultRowHeight="15"/>
  <cols>
    <col collapsed="1" width="12.7109375" customWidth="1" style="71" min="1" max="1"/>
    <col collapsed="1" width="10.7109375" customWidth="1" style="71" min="2" max="10"/>
    <col collapsed="1" width="6.42578125" customWidth="1" style="71" min="11" max="11"/>
    <col collapsed="1" width="12.7109375" customWidth="1" style="71" min="12" max="12"/>
    <col collapsed="1" width="10.7109375" customWidth="1" style="71" min="13" max="21"/>
  </cols>
  <sheetData>
    <row r="1">
      <c r="A1" t="inlineStr">
        <is>
          <t>Workbased Tour Departure time at primary destination</t>
        </is>
      </c>
    </row>
    <row r="2">
      <c r="A2" t="inlineStr">
        <is>
          <t>Observed Sources: Survey</t>
        </is>
      </c>
    </row>
    <row r="3">
      <c r="A3" t="inlineStr">
        <is>
          <t>Half-hour time periods</t>
        </is>
      </c>
    </row>
    <row r="4">
      <c r="A4" t="inlineStr">
        <is>
          <t>Distance values reflect start time of time period</t>
        </is>
      </c>
    </row>
    <row r="6" ht="15.75" customHeight="1" s="71" thickBot="1">
      <c r="A6" s="3" t="inlineStr">
        <is>
          <t>Table X. Observed Workbased Tour Departure at PD Times: Survey</t>
        </is>
      </c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L6" s="3" t="inlineStr">
        <is>
          <t>Table X. Estimated Workbased Tour Departure at PD Times: DaySim</t>
        </is>
      </c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W6" s="7" t="n"/>
    </row>
    <row r="7">
      <c r="A7" s="2" t="inlineStr">
        <is>
          <t>Timeperiod</t>
        </is>
      </c>
      <c r="B7" s="4" t="inlineStr">
        <is>
          <t>FT Worker</t>
        </is>
      </c>
      <c r="C7" s="4" t="inlineStr">
        <is>
          <t>PT Worker</t>
        </is>
      </c>
      <c r="D7" s="4" t="inlineStr">
        <is>
          <t>Retired</t>
        </is>
      </c>
      <c r="E7" s="4" t="inlineStr">
        <is>
          <t>Nonworker</t>
        </is>
      </c>
      <c r="F7" s="4" t="inlineStr">
        <is>
          <t>Univ Stud</t>
        </is>
      </c>
      <c r="G7" s="4" t="inlineStr">
        <is>
          <t>Stud 16+</t>
        </is>
      </c>
      <c r="H7" s="4" t="inlineStr">
        <is>
          <t>Stud 5-15</t>
        </is>
      </c>
      <c r="I7" s="4" t="inlineStr">
        <is>
          <t>Child&lt;5</t>
        </is>
      </c>
      <c r="J7" s="4" t="inlineStr">
        <is>
          <t>Total</t>
        </is>
      </c>
      <c r="L7" s="2" t="inlineStr">
        <is>
          <t>Timeperiod</t>
        </is>
      </c>
      <c r="M7" s="4" t="inlineStr">
        <is>
          <t>FT Worker</t>
        </is>
      </c>
      <c r="N7" s="4" t="inlineStr">
        <is>
          <t>PT Worker</t>
        </is>
      </c>
      <c r="O7" s="4" t="inlineStr">
        <is>
          <t>Retired</t>
        </is>
      </c>
      <c r="P7" s="4" t="inlineStr">
        <is>
          <t>Nonworker</t>
        </is>
      </c>
      <c r="Q7" s="4" t="inlineStr">
        <is>
          <t>Univ Stud</t>
        </is>
      </c>
      <c r="R7" s="4" t="inlineStr">
        <is>
          <t>Stud 16+</t>
        </is>
      </c>
      <c r="S7" s="4" t="inlineStr">
        <is>
          <t>Stud 5-15</t>
        </is>
      </c>
      <c r="T7" s="4" t="inlineStr">
        <is>
          <t>Child&lt;5</t>
        </is>
      </c>
      <c r="U7" s="4" t="inlineStr">
        <is>
          <t>Total</t>
        </is>
      </c>
      <c r="X7" s="12" t="n"/>
      <c r="Y7" s="12" t="n"/>
    </row>
    <row r="8">
      <c r="A8" t="inlineStr">
        <is>
          <t>Before 3:00am</t>
        </is>
      </c>
      <c r="B8" s="5" t="n">
        <v>0</v>
      </c>
      <c r="C8" s="5" t="n">
        <v>0</v>
      </c>
      <c r="D8" s="5" t="n">
        <v>0</v>
      </c>
      <c r="E8" s="5" t="n">
        <v>0</v>
      </c>
      <c r="F8" s="5" t="n">
        <v>0</v>
      </c>
      <c r="G8" s="5" t="n">
        <v>0</v>
      </c>
      <c r="H8" s="5" t="n">
        <v>0</v>
      </c>
      <c r="I8" s="5" t="n">
        <v>0</v>
      </c>
      <c r="J8" s="5">
        <f>SUM(B8:I8)</f>
        <v/>
      </c>
      <c r="L8" t="inlineStr">
        <is>
          <t>Before 3:00am</t>
        </is>
      </c>
      <c r="M8" s="8" t="n">
        <v>16.1</v>
      </c>
      <c r="N8" s="8" t="n">
        <v>14.95</v>
      </c>
      <c r="O8" s="8" t="n">
        <v>0</v>
      </c>
      <c r="P8" s="8" t="n">
        <v>0</v>
      </c>
      <c r="Q8" s="8" t="n">
        <v>10.6141799517402</v>
      </c>
      <c r="R8" s="8" t="n">
        <v>0</v>
      </c>
      <c r="S8" s="8" t="n">
        <v>0</v>
      </c>
      <c r="T8" s="8" t="n">
        <v>0</v>
      </c>
      <c r="U8">
        <f>SUM(M8:T8)</f>
        <v/>
      </c>
      <c r="X8" s="5" t="n"/>
      <c r="Y8" s="5" t="n"/>
    </row>
    <row r="9">
      <c r="A9" s="10" t="n">
        <v>0.125</v>
      </c>
      <c r="B9" s="5" t="n">
        <v>0.1788551323152102</v>
      </c>
      <c r="C9" s="5" t="n">
        <v>0.009838732349147433</v>
      </c>
      <c r="D9" s="5" t="n">
        <v>0.02138782072359571</v>
      </c>
      <c r="E9" s="5" t="n">
        <v>0.322564042035517</v>
      </c>
      <c r="F9" s="5" t="n">
        <v>0</v>
      </c>
      <c r="G9" s="5" t="n">
        <v>0</v>
      </c>
      <c r="H9" s="5" t="n">
        <v>0</v>
      </c>
      <c r="I9" s="5" t="n">
        <v>0</v>
      </c>
      <c r="J9" s="5">
        <f>SUM(B9:I9)</f>
        <v/>
      </c>
      <c r="L9" s="10" t="n">
        <v>0.125</v>
      </c>
      <c r="M9" s="8" t="n">
        <v>135.7249263763428</v>
      </c>
      <c r="N9" s="8" t="n">
        <v>15.50666494369507</v>
      </c>
      <c r="O9" s="8" t="n">
        <v>0</v>
      </c>
      <c r="P9" s="8" t="n">
        <v>0</v>
      </c>
      <c r="Q9" s="8" t="n">
        <v>9.121405604675125</v>
      </c>
      <c r="R9" s="8" t="n">
        <v>0</v>
      </c>
      <c r="S9" s="8" t="n">
        <v>0</v>
      </c>
      <c r="T9" s="8" t="n">
        <v>0</v>
      </c>
      <c r="U9">
        <f>SUM(M9:T9)</f>
        <v/>
      </c>
      <c r="X9" s="5" t="n"/>
      <c r="Y9" s="5" t="n"/>
    </row>
    <row r="10">
      <c r="A10" s="10" t="n">
        <v>0.1458333333333333</v>
      </c>
      <c r="B10" s="5" t="n">
        <v>0.7228809511389881</v>
      </c>
      <c r="C10" s="5" t="n">
        <v>0.1125211986861283</v>
      </c>
      <c r="D10" s="5" t="n">
        <v>0.2090561080148042</v>
      </c>
      <c r="E10" s="5" t="n">
        <v>1.287844346442708</v>
      </c>
      <c r="F10" s="5" t="n">
        <v>0.005268161442366288</v>
      </c>
      <c r="G10" s="5" t="n">
        <v>0</v>
      </c>
      <c r="H10" s="5" t="n">
        <v>0</v>
      </c>
      <c r="I10" s="5" t="n">
        <v>0</v>
      </c>
      <c r="J10" s="5">
        <f>SUM(B10:I10)</f>
        <v/>
      </c>
      <c r="L10" s="10" t="n">
        <v>0.1458333333333333</v>
      </c>
      <c r="M10" s="8" t="n">
        <v>214.9742952346801</v>
      </c>
      <c r="N10" s="8" t="n">
        <v>15.513951587677</v>
      </c>
      <c r="O10" s="8" t="n">
        <v>0</v>
      </c>
      <c r="P10" s="8" t="n">
        <v>0</v>
      </c>
      <c r="Q10" s="8" t="n">
        <v>7.486778137307999</v>
      </c>
      <c r="R10" s="8" t="n">
        <v>1.096725463867187e-06</v>
      </c>
      <c r="S10" s="8" t="n">
        <v>0</v>
      </c>
      <c r="T10" s="8" t="n">
        <v>0</v>
      </c>
      <c r="U10">
        <f>SUM(M10:T10)</f>
        <v/>
      </c>
      <c r="X10" s="5" t="n"/>
      <c r="Y10" s="5" t="n"/>
    </row>
    <row r="11">
      <c r="A11" s="10" t="n">
        <v>0.1666666666666667</v>
      </c>
      <c r="B11" s="5" t="n">
        <v>2.445914594270466</v>
      </c>
      <c r="C11" s="5" t="n">
        <v>0.8385391236201332</v>
      </c>
      <c r="D11" s="5" t="n">
        <v>1.299351937966507</v>
      </c>
      <c r="E11" s="5" t="n">
        <v>4.129959851358568</v>
      </c>
      <c r="F11" s="5" t="n">
        <v>0.1054414165790484</v>
      </c>
      <c r="G11" s="5" t="n">
        <v>0</v>
      </c>
      <c r="H11" s="5" t="n">
        <v>0</v>
      </c>
      <c r="I11" s="5" t="n">
        <v>0</v>
      </c>
      <c r="J11" s="5">
        <f>SUM(B11:I11)</f>
        <v/>
      </c>
      <c r="L11" s="10" t="n">
        <v>0.1666666666666667</v>
      </c>
      <c r="M11" s="8" t="n">
        <v>248.7952839851379</v>
      </c>
      <c r="N11" s="8" t="n">
        <v>15.52617020606995</v>
      </c>
      <c r="O11" s="8" t="n">
        <v>0</v>
      </c>
      <c r="P11" s="8" t="n">
        <v>0</v>
      </c>
      <c r="Q11" s="8" t="n">
        <v>5.943265598967816</v>
      </c>
      <c r="R11" s="8" t="n">
        <v>2.412796020507813e-05</v>
      </c>
      <c r="S11" s="8" t="n">
        <v>0</v>
      </c>
      <c r="T11" s="8" t="n">
        <v>0</v>
      </c>
      <c r="U11">
        <f>SUM(M11:T11)</f>
        <v/>
      </c>
      <c r="X11" s="5" t="n"/>
      <c r="Y11" s="5" t="n"/>
    </row>
    <row r="12">
      <c r="A12" s="10" t="n">
        <v>0.1875</v>
      </c>
      <c r="B12" s="5" t="n">
        <v>7.576192067704405</v>
      </c>
      <c r="C12" s="5" t="n">
        <v>4.531281764939408</v>
      </c>
      <c r="D12" s="5" t="n">
        <v>5.780659683089942</v>
      </c>
      <c r="E12" s="5" t="n">
        <v>11.35465034510623</v>
      </c>
      <c r="F12" s="5" t="n">
        <v>1.002523183707021</v>
      </c>
      <c r="G12" s="5" t="n">
        <v>0</v>
      </c>
      <c r="H12" s="5" t="n">
        <v>0</v>
      </c>
      <c r="I12" s="5" t="n">
        <v>0</v>
      </c>
      <c r="J12" s="5">
        <f>SUM(B12:I12)</f>
        <v/>
      </c>
      <c r="L12" s="10" t="n">
        <v>0.1875</v>
      </c>
      <c r="M12" s="8" t="n">
        <v>268.422951889038</v>
      </c>
      <c r="N12" s="8" t="n">
        <v>17.15013108253479</v>
      </c>
      <c r="O12" s="8" t="n">
        <v>0</v>
      </c>
      <c r="P12" s="8" t="n">
        <v>0</v>
      </c>
      <c r="Q12" s="8" t="n">
        <v>5.047873937635157</v>
      </c>
      <c r="R12" s="8" t="n">
        <v>0.0002544403076171875</v>
      </c>
      <c r="S12" s="8" t="n">
        <v>0</v>
      </c>
      <c r="T12" s="8" t="n">
        <v>0</v>
      </c>
      <c r="U12">
        <f>SUM(M12:T12)</f>
        <v/>
      </c>
    </row>
    <row r="13">
      <c r="A13" s="10" t="n">
        <v>0.2083333333333333</v>
      </c>
      <c r="B13" s="5" t="n">
        <v>22.28078512996534</v>
      </c>
      <c r="C13" s="5" t="n">
        <v>18.75112293545847</v>
      </c>
      <c r="D13" s="5" t="n">
        <v>19.67021637442209</v>
      </c>
      <c r="E13" s="5" t="n">
        <v>27.46863774396682</v>
      </c>
      <c r="F13" s="5" t="n">
        <v>6.020734813784344</v>
      </c>
      <c r="G13" s="5" t="n">
        <v>0</v>
      </c>
      <c r="H13" s="5" t="n">
        <v>0</v>
      </c>
      <c r="I13" s="5" t="n">
        <v>0</v>
      </c>
      <c r="J13" s="5">
        <f>SUM(B13:I13)</f>
        <v/>
      </c>
      <c r="L13" s="10" t="n">
        <v>0.2083333333333333</v>
      </c>
      <c r="M13" s="8" t="n">
        <v>312.7360970973967</v>
      </c>
      <c r="N13" s="8" t="n">
        <v>22.02433657646179</v>
      </c>
      <c r="O13" s="8" t="n">
        <v>0</v>
      </c>
      <c r="P13" s="8" t="n">
        <v>0</v>
      </c>
      <c r="Q13" s="8" t="n">
        <v>5.297372177715372</v>
      </c>
      <c r="R13" s="8" t="n">
        <v>0.001715278625488281</v>
      </c>
      <c r="S13" s="8" t="n">
        <v>0</v>
      </c>
      <c r="T13" s="8" t="n">
        <v>0</v>
      </c>
      <c r="U13">
        <f>SUM(M13:T13)</f>
        <v/>
      </c>
    </row>
    <row r="14">
      <c r="A14" s="10" t="n">
        <v>0.2291666666666667</v>
      </c>
      <c r="B14" s="5" t="n">
        <v>61.80057908204925</v>
      </c>
      <c r="C14" s="5" t="n">
        <v>61.37594278423868</v>
      </c>
      <c r="D14" s="5" t="n">
        <v>53.50614862767227</v>
      </c>
      <c r="E14" s="5" t="n">
        <v>59.71874286780848</v>
      </c>
      <c r="F14" s="5" t="n">
        <v>25.61503965679349</v>
      </c>
      <c r="G14" s="5" t="n">
        <v>0</v>
      </c>
      <c r="H14" s="5" t="n">
        <v>0</v>
      </c>
      <c r="I14" s="5" t="n">
        <v>0</v>
      </c>
      <c r="J14" s="5">
        <f>SUM(B14:I14)</f>
        <v/>
      </c>
      <c r="L14" s="10" t="n">
        <v>0.2291666666666667</v>
      </c>
      <c r="M14" s="8" t="n">
        <v>404.1498600482939</v>
      </c>
      <c r="N14" s="8" t="n">
        <v>31.09439764022827</v>
      </c>
      <c r="O14" s="8" t="n">
        <v>0</v>
      </c>
      <c r="P14" s="8" t="n">
        <v>0</v>
      </c>
      <c r="Q14" s="8" t="n">
        <v>6.880250998539226</v>
      </c>
      <c r="R14" s="8" t="n">
        <v>0.008321952819824218</v>
      </c>
      <c r="S14" s="8" t="n">
        <v>0</v>
      </c>
      <c r="T14" s="8" t="n">
        <v>0</v>
      </c>
      <c r="U14">
        <f>SUM(M14:T14)</f>
        <v/>
      </c>
    </row>
    <row r="15">
      <c r="A15" s="10" t="n">
        <v>0.25</v>
      </c>
      <c r="B15" s="5" t="n">
        <v>156.3374377543598</v>
      </c>
      <c r="C15" s="5" t="n">
        <v>162.3181174178998</v>
      </c>
      <c r="D15" s="5" t="n">
        <v>120.3357300164377</v>
      </c>
      <c r="E15" s="5" t="n">
        <v>119.9376426225256</v>
      </c>
      <c r="F15" s="5" t="n">
        <v>82.06645697284195</v>
      </c>
      <c r="G15" s="5" t="n">
        <v>0</v>
      </c>
      <c r="H15" s="5" t="n">
        <v>0</v>
      </c>
      <c r="I15" s="5" t="n">
        <v>0</v>
      </c>
      <c r="J15" s="5">
        <f>SUM(B15:I15)</f>
        <v/>
      </c>
      <c r="L15" s="10" t="n">
        <v>0.25</v>
      </c>
      <c r="M15" s="8" t="n">
        <v>551.9221028804777</v>
      </c>
      <c r="N15" s="8" t="n">
        <v>45.1236560344696</v>
      </c>
      <c r="O15" s="8" t="n">
        <v>0</v>
      </c>
      <c r="P15" s="8" t="n">
        <v>0</v>
      </c>
      <c r="Q15" s="8" t="n">
        <v>9.859180676548664</v>
      </c>
      <c r="R15" s="8" t="n">
        <v>0.03103623390197754</v>
      </c>
      <c r="S15" s="8" t="n">
        <v>0</v>
      </c>
      <c r="T15" s="8" t="n">
        <v>0</v>
      </c>
      <c r="U15">
        <f>SUM(M15:T15)</f>
        <v/>
      </c>
    </row>
    <row r="16">
      <c r="A16" s="10" t="n">
        <v>0.2708333333333333</v>
      </c>
      <c r="B16" s="5" t="n">
        <v>350.0530885729348</v>
      </c>
      <c r="C16" s="5" t="n">
        <v>352.1580094182507</v>
      </c>
      <c r="D16" s="5" t="n">
        <v>230.4127917356763</v>
      </c>
      <c r="E16" s="5" t="n">
        <v>230.9871401500801</v>
      </c>
      <c r="F16" s="5" t="n">
        <v>205.450211865227</v>
      </c>
      <c r="G16" s="5" t="n">
        <v>0</v>
      </c>
      <c r="H16" s="5" t="n">
        <v>0</v>
      </c>
      <c r="I16" s="5" t="n">
        <v>0</v>
      </c>
      <c r="J16" s="5">
        <f>SUM(B16:I16)</f>
        <v/>
      </c>
      <c r="L16" s="10" t="n">
        <v>0.2708333333333333</v>
      </c>
      <c r="M16" s="8" t="n">
        <v>774.098389148712</v>
      </c>
      <c r="N16" s="8" t="n">
        <v>66.09946165084838</v>
      </c>
      <c r="O16" s="8" t="n">
        <v>0</v>
      </c>
      <c r="P16" s="8" t="n">
        <v>0</v>
      </c>
      <c r="Q16" s="8" t="n">
        <v>14.62847344386098</v>
      </c>
      <c r="R16" s="8" t="n">
        <v>0.09288515572649611</v>
      </c>
      <c r="S16" s="8" t="n">
        <v>0</v>
      </c>
      <c r="T16" s="8" t="n">
        <v>0</v>
      </c>
      <c r="U16">
        <f>SUM(M16:T16)</f>
        <v/>
      </c>
    </row>
    <row r="17">
      <c r="A17" s="10" t="n">
        <v>0.2916666666666667</v>
      </c>
      <c r="B17" s="5" t="n">
        <v>684.9549549592484</v>
      </c>
      <c r="C17" s="5" t="n">
        <v>634.470966579012</v>
      </c>
      <c r="D17" s="5" t="n">
        <v>386.7994234025304</v>
      </c>
      <c r="E17" s="5" t="n">
        <v>439.6301966566764</v>
      </c>
      <c r="F17" s="5" t="n">
        <v>411.5697020862414</v>
      </c>
      <c r="G17" s="5" t="n">
        <v>0</v>
      </c>
      <c r="H17" s="5" t="n">
        <v>0</v>
      </c>
      <c r="I17" s="5" t="n">
        <v>0</v>
      </c>
      <c r="J17" s="5">
        <f>SUM(B17:I17)</f>
        <v/>
      </c>
      <c r="L17" s="10" t="n">
        <v>0.2916666666666667</v>
      </c>
      <c r="M17" s="8" t="n">
        <v>1114.141970920563</v>
      </c>
      <c r="N17" s="8" t="n">
        <v>98.28825640678406</v>
      </c>
      <c r="O17" s="8" t="n">
        <v>0</v>
      </c>
      <c r="P17" s="8" t="n">
        <v>0</v>
      </c>
      <c r="Q17" s="8" t="n">
        <v>22.27381963561458</v>
      </c>
      <c r="R17" s="8" t="n">
        <v>0.2302140722478177</v>
      </c>
      <c r="S17" s="8" t="n">
        <v>0</v>
      </c>
      <c r="T17" s="8" t="n">
        <v>0</v>
      </c>
      <c r="U17">
        <f>SUM(M17:T17)</f>
        <v/>
      </c>
    </row>
    <row r="18">
      <c r="A18" s="10" t="n">
        <v>0.3125</v>
      </c>
      <c r="B18" s="5" t="n">
        <v>1174.247835824938</v>
      </c>
      <c r="C18" s="5" t="n">
        <v>961.0812456659346</v>
      </c>
      <c r="D18" s="5" t="n">
        <v>588.7359103985084</v>
      </c>
      <c r="E18" s="5" t="n">
        <v>823.7921197444784</v>
      </c>
      <c r="F18" s="5" t="n">
        <v>670.1241294104033</v>
      </c>
      <c r="G18" s="5" t="n">
        <v>0</v>
      </c>
      <c r="H18" s="5" t="n">
        <v>0</v>
      </c>
      <c r="I18" s="5" t="n">
        <v>0</v>
      </c>
      <c r="J18" s="5">
        <f>SUM(B18:I18)</f>
        <v/>
      </c>
      <c r="L18" s="10" t="n">
        <v>0.3125</v>
      </c>
      <c r="M18" s="8" t="n">
        <v>1640.557897090912</v>
      </c>
      <c r="N18" s="8" t="n">
        <v>148.0267072677612</v>
      </c>
      <c r="O18" s="8" t="n">
        <v>0</v>
      </c>
      <c r="P18" s="8" t="n">
        <v>0</v>
      </c>
      <c r="Q18" s="8" t="n">
        <v>34.63371346859113</v>
      </c>
      <c r="R18" s="8" t="n">
        <v>0.4847057435060628</v>
      </c>
      <c r="S18" s="8" t="n">
        <v>0</v>
      </c>
      <c r="T18" s="8" t="n">
        <v>0</v>
      </c>
      <c r="U18">
        <f>SUM(M18:T18)</f>
        <v/>
      </c>
    </row>
    <row r="19">
      <c r="A19" s="10" t="n">
        <v>0.3333333333333333</v>
      </c>
      <c r="B19" s="5" t="n">
        <v>1784.270153852001</v>
      </c>
      <c r="C19" s="5" t="n">
        <v>1246.184103476829</v>
      </c>
      <c r="D19" s="5" t="n">
        <v>845.7892717988905</v>
      </c>
      <c r="E19" s="5" t="n">
        <v>1464.741494998737</v>
      </c>
      <c r="F19" s="5" t="n">
        <v>895.7665762021156</v>
      </c>
      <c r="G19" s="5" t="n">
        <v>0</v>
      </c>
      <c r="H19" s="5" t="n">
        <v>0</v>
      </c>
      <c r="I19" s="5" t="n">
        <v>0</v>
      </c>
      <c r="J19" s="5">
        <f>SUM(B19:I19)</f>
        <v/>
      </c>
      <c r="L19" s="10" t="n">
        <v>0.3333333333333333</v>
      </c>
      <c r="M19" s="8" t="n">
        <v>2436.74742436409</v>
      </c>
      <c r="N19" s="8" t="n">
        <v>222.398930311203</v>
      </c>
      <c r="O19" s="8" t="n">
        <v>0</v>
      </c>
      <c r="P19" s="8" t="n">
        <v>0</v>
      </c>
      <c r="Q19" s="8" t="n">
        <v>54.11687495992287</v>
      </c>
      <c r="R19" s="8" t="n">
        <v>0.8868202764660645</v>
      </c>
      <c r="S19" s="8" t="n">
        <v>0</v>
      </c>
      <c r="T19" s="8" t="n">
        <v>0</v>
      </c>
      <c r="U19">
        <f>SUM(M19:T19)</f>
        <v/>
      </c>
    </row>
    <row r="20">
      <c r="A20" s="10" t="n">
        <v>0.3541666666666667</v>
      </c>
      <c r="B20" s="5" t="n">
        <v>2436.891849285058</v>
      </c>
      <c r="C20" s="5" t="n">
        <v>1431.139649427342</v>
      </c>
      <c r="D20" s="5" t="n">
        <v>1194.991240199288</v>
      </c>
      <c r="E20" s="5" t="n">
        <v>2369.261141626605</v>
      </c>
      <c r="F20" s="5" t="n">
        <v>988.8406862256311</v>
      </c>
      <c r="G20" s="5" t="n">
        <v>0</v>
      </c>
      <c r="H20" s="5" t="n">
        <v>0</v>
      </c>
      <c r="I20" s="5" t="n">
        <v>0</v>
      </c>
      <c r="J20" s="5">
        <f>SUM(B20:I20)</f>
        <v/>
      </c>
      <c r="L20" s="10" t="n">
        <v>0.3541666666666667</v>
      </c>
      <c r="M20" s="8" t="n">
        <v>3588.009491062164</v>
      </c>
      <c r="N20" s="8" t="n">
        <v>327.3446743965148</v>
      </c>
      <c r="O20" s="8" t="n">
        <v>0</v>
      </c>
      <c r="P20" s="8" t="n">
        <v>0</v>
      </c>
      <c r="Q20" s="8" t="n">
        <v>83.28766610877126</v>
      </c>
      <c r="R20" s="8" t="n">
        <v>1.441763803879395</v>
      </c>
      <c r="S20" s="8" t="n">
        <v>0</v>
      </c>
      <c r="T20" s="8" t="n">
        <v>0</v>
      </c>
      <c r="U20">
        <f>SUM(M20:T20)</f>
        <v/>
      </c>
    </row>
    <row r="21">
      <c r="A21" s="10" t="n">
        <v>0.375</v>
      </c>
      <c r="B21" s="5" t="n">
        <v>3023.201572377038</v>
      </c>
      <c r="C21" s="5" t="n">
        <v>1552.535891788743</v>
      </c>
      <c r="D21" s="5" t="n">
        <v>1701.731072146229</v>
      </c>
      <c r="E21" s="5" t="n">
        <v>3390.238345813917</v>
      </c>
      <c r="F21" s="5" t="n">
        <v>903.9844102986452</v>
      </c>
      <c r="G21" s="5" t="n">
        <v>0</v>
      </c>
      <c r="H21" s="5" t="n">
        <v>0</v>
      </c>
      <c r="I21" s="5" t="n">
        <v>0</v>
      </c>
      <c r="J21" s="5">
        <f>SUM(B21:I21)</f>
        <v/>
      </c>
      <c r="L21" s="10" t="n">
        <v>0.375</v>
      </c>
      <c r="M21" s="8" t="n">
        <v>5156.925784492494</v>
      </c>
      <c r="N21" s="8" t="n">
        <v>465.2821796894073</v>
      </c>
      <c r="O21" s="8" t="n">
        <v>0</v>
      </c>
      <c r="P21" s="8" t="n">
        <v>0</v>
      </c>
      <c r="Q21" s="8" t="n">
        <v>124.0351956718809</v>
      </c>
      <c r="R21" s="8" t="n">
        <v>2.132895919545414</v>
      </c>
      <c r="S21" s="8" t="n">
        <v>0</v>
      </c>
      <c r="T21" s="8" t="n">
        <v>0</v>
      </c>
      <c r="U21">
        <f>SUM(M21:T21)</f>
        <v/>
      </c>
    </row>
    <row r="22">
      <c r="A22" s="10" t="n">
        <v>0.3958333333333333</v>
      </c>
      <c r="B22" s="5" t="n">
        <v>3421.974928065667</v>
      </c>
      <c r="C22" s="5" t="n">
        <v>1737.463220470811</v>
      </c>
      <c r="D22" s="5" t="n">
        <v>2427.072090678453</v>
      </c>
      <c r="E22" s="5" t="n">
        <v>4243.031269746438</v>
      </c>
      <c r="F22" s="5" t="n">
        <v>684.9101430252533</v>
      </c>
      <c r="G22" s="5" t="n">
        <v>5.625576058043308e-05</v>
      </c>
      <c r="H22" s="5" t="n">
        <v>0.0001125115211608662</v>
      </c>
      <c r="I22" s="5" t="n">
        <v>0</v>
      </c>
      <c r="J22" s="5">
        <f>SUM(B22:I22)</f>
        <v/>
      </c>
      <c r="L22" s="10" t="n">
        <v>0.3958333333333333</v>
      </c>
      <c r="M22" s="8" t="n">
        <v>7139.772082710267</v>
      </c>
      <c r="N22" s="8" t="n">
        <v>632.54053606987</v>
      </c>
      <c r="O22" s="8" t="n">
        <v>0</v>
      </c>
      <c r="P22" s="8" t="n">
        <v>0</v>
      </c>
      <c r="Q22" s="8" t="n">
        <v>176.3798972850524</v>
      </c>
      <c r="R22" s="8" t="n">
        <v>2.945378045399789</v>
      </c>
      <c r="S22" s="8" t="n">
        <v>0</v>
      </c>
      <c r="T22" s="8" t="n">
        <v>0</v>
      </c>
      <c r="U22">
        <f>SUM(M22:T22)</f>
        <v/>
      </c>
    </row>
    <row r="23">
      <c r="A23" s="10" t="n">
        <v>0.4166666666666667</v>
      </c>
      <c r="B23" s="5" t="n">
        <v>3537.310808751744</v>
      </c>
      <c r="C23" s="5" t="n">
        <v>2103.942756507434</v>
      </c>
      <c r="D23" s="5" t="n">
        <v>3369.933909161304</v>
      </c>
      <c r="E23" s="5" t="n">
        <v>4655.771617261924</v>
      </c>
      <c r="F23" s="5" t="n">
        <v>430.4918246535786</v>
      </c>
      <c r="G23" s="5" t="n">
        <v>0.001125115211608662</v>
      </c>
      <c r="H23" s="5" t="n">
        <v>0.002529688861696933</v>
      </c>
      <c r="I23" s="5" t="n">
        <v>0</v>
      </c>
      <c r="J23" s="5">
        <f>SUM(B23:I23)</f>
        <v/>
      </c>
      <c r="L23" s="10" t="n">
        <v>0.4166666666666667</v>
      </c>
      <c r="M23" s="8" t="n">
        <v>9424.475566816331</v>
      </c>
      <c r="N23" s="8" t="n">
        <v>818.0992406845093</v>
      </c>
      <c r="O23" s="8" t="n">
        <v>0</v>
      </c>
      <c r="P23" s="8" t="n">
        <v>0</v>
      </c>
      <c r="Q23" s="8" t="n">
        <v>237.6232478468208</v>
      </c>
      <c r="R23" s="8" t="n">
        <v>3.88931108347536</v>
      </c>
      <c r="S23" s="8" t="n">
        <v>0</v>
      </c>
      <c r="T23" s="8" t="n">
        <v>0</v>
      </c>
      <c r="U23">
        <f>SUM(M23:T23)</f>
        <v/>
      </c>
    </row>
    <row r="24">
      <c r="A24" s="10" t="n">
        <v>0.4375</v>
      </c>
      <c r="B24" s="5" t="n">
        <v>3354.130020102194</v>
      </c>
      <c r="C24" s="5" t="n">
        <v>2639.821315446358</v>
      </c>
      <c r="D24" s="5" t="n">
        <v>4425.483335382557</v>
      </c>
      <c r="E24" s="5" t="n">
        <v>4550.800452941357</v>
      </c>
      <c r="F24" s="5" t="n">
        <v>226.0671937196334</v>
      </c>
      <c r="G24" s="5" t="n">
        <v>0.01068859451028229</v>
      </c>
      <c r="H24" s="5" t="n">
        <v>0.02696635779015677</v>
      </c>
      <c r="I24" s="5" t="n">
        <v>0</v>
      </c>
      <c r="J24" s="5">
        <f>SUM(B24:I24)</f>
        <v/>
      </c>
      <c r="L24" s="10" t="n">
        <v>0.4375</v>
      </c>
      <c r="M24" s="8" t="n">
        <v>11785.65630140305</v>
      </c>
      <c r="N24" s="8" t="n">
        <v>1005.065273284912</v>
      </c>
      <c r="O24" s="8" t="n">
        <v>0</v>
      </c>
      <c r="P24" s="8" t="n">
        <v>0</v>
      </c>
      <c r="Q24" s="8" t="n">
        <v>302.6091365750052</v>
      </c>
      <c r="R24" s="8" t="n">
        <v>4.988051874954863</v>
      </c>
      <c r="S24" s="8" t="n">
        <v>0</v>
      </c>
      <c r="T24" s="8" t="n">
        <v>0</v>
      </c>
      <c r="U24">
        <f>SUM(M24:T24)</f>
        <v/>
      </c>
    </row>
    <row r="25">
      <c r="A25" s="10" t="n">
        <v>0.4583333333333333</v>
      </c>
      <c r="B25" s="5" t="n">
        <v>2963.674639947822</v>
      </c>
      <c r="C25" s="5" t="n">
        <v>3170.705833727955</v>
      </c>
      <c r="D25" s="5" t="n">
        <v>5401.871188655119</v>
      </c>
      <c r="E25" s="5" t="n">
        <v>4096.358424799368</v>
      </c>
      <c r="F25" s="5" t="n">
        <v>102.0935859767447</v>
      </c>
      <c r="G25" s="5" t="n">
        <v>0.06790025320692428</v>
      </c>
      <c r="H25" s="5" t="n">
        <v>0.1841643193878098</v>
      </c>
      <c r="I25" s="5" t="n">
        <v>0</v>
      </c>
      <c r="J25" s="5">
        <f>SUM(B25:I25)</f>
        <v/>
      </c>
      <c r="L25" s="10" t="n">
        <v>0.4583333333333333</v>
      </c>
      <c r="M25" s="8" t="n">
        <v>13925.77986702919</v>
      </c>
      <c r="N25" s="8" t="n">
        <v>1174.075230741501</v>
      </c>
      <c r="O25" s="8" t="n">
        <v>0</v>
      </c>
      <c r="P25" s="8" t="n">
        <v>0</v>
      </c>
      <c r="Q25" s="8" t="n">
        <v>364.8919949560216</v>
      </c>
      <c r="R25" s="8" t="n">
        <v>6.220410558854383</v>
      </c>
      <c r="S25" s="8" t="n">
        <v>0</v>
      </c>
      <c r="T25" s="8" t="n">
        <v>0</v>
      </c>
      <c r="U25">
        <f>SUM(M25:T25)</f>
        <v/>
      </c>
    </row>
    <row r="26">
      <c r="A26" s="10" t="n">
        <v>0.4791666666666667</v>
      </c>
      <c r="B26" s="5" t="n">
        <v>2520.566112664951</v>
      </c>
      <c r="C26" s="5" t="n">
        <v>3460.75977035815</v>
      </c>
      <c r="D26" s="5" t="n">
        <v>6094.883768690446</v>
      </c>
      <c r="E26" s="5" t="n">
        <v>3584.032395471666</v>
      </c>
      <c r="F26" s="5" t="n">
        <v>42.98853371002244</v>
      </c>
      <c r="G26" s="5" t="n">
        <v>0.3479328829168093</v>
      </c>
      <c r="H26" s="5" t="n">
        <v>0.9197825789570826</v>
      </c>
      <c r="I26" s="5" t="n">
        <v>0</v>
      </c>
      <c r="J26" s="5">
        <f>SUM(B26:I26)</f>
        <v/>
      </c>
      <c r="L26" s="10" t="n">
        <v>0.4791666666666667</v>
      </c>
      <c r="M26" s="8" t="n">
        <v>15538.54788146019</v>
      </c>
      <c r="N26" s="8" t="n">
        <v>1306.451575708389</v>
      </c>
      <c r="O26" s="8" t="n">
        <v>0</v>
      </c>
      <c r="P26" s="8" t="n">
        <v>0</v>
      </c>
      <c r="Q26" s="8" t="n">
        <v>417.853884063165</v>
      </c>
      <c r="R26" s="8" t="n">
        <v>7.46288533767946</v>
      </c>
      <c r="S26" s="8" t="n">
        <v>0</v>
      </c>
      <c r="T26" s="8" t="n">
        <v>0</v>
      </c>
      <c r="U26">
        <f>SUM(M26:T26)</f>
        <v/>
      </c>
    </row>
    <row r="27">
      <c r="A27" s="10" t="n">
        <v>0.5</v>
      </c>
      <c r="B27" s="5" t="n">
        <v>2172.60139488903</v>
      </c>
      <c r="C27" s="5" t="n">
        <v>3375.541949985984</v>
      </c>
      <c r="D27" s="5" t="n">
        <v>6374.944492642329</v>
      </c>
      <c r="E27" s="5" t="n">
        <v>3248.334229013683</v>
      </c>
      <c r="F27" s="5" t="n">
        <v>19.38357520737495</v>
      </c>
      <c r="G27" s="5" t="n">
        <v>1.588239679632839</v>
      </c>
      <c r="H27" s="5" t="n">
        <v>3.631130329638122</v>
      </c>
      <c r="I27" s="5" t="n">
        <v>0</v>
      </c>
      <c r="J27" s="5">
        <f>SUM(B27:I27)</f>
        <v/>
      </c>
      <c r="L27" s="10" t="n">
        <v>0.5</v>
      </c>
      <c r="M27" s="8" t="n">
        <v>16374.16219739914</v>
      </c>
      <c r="N27" s="8" t="n">
        <v>1386.643501138687</v>
      </c>
      <c r="O27" s="8" t="n">
        <v>0</v>
      </c>
      <c r="P27" s="8" t="n">
        <v>0</v>
      </c>
      <c r="Q27" s="8" t="n">
        <v>455.4422681134943</v>
      </c>
      <c r="R27" s="8" t="n">
        <v>8.510412871182291</v>
      </c>
      <c r="S27" s="8" t="n">
        <v>0</v>
      </c>
      <c r="T27" s="8" t="n">
        <v>0</v>
      </c>
      <c r="U27">
        <f>SUM(M27:T27)</f>
        <v/>
      </c>
    </row>
    <row r="28">
      <c r="A28" s="10" t="n">
        <v>0.5208333333333334</v>
      </c>
      <c r="B28" s="5" t="n">
        <v>2038.757135830919</v>
      </c>
      <c r="C28" s="5" t="n">
        <v>2976.852937478488</v>
      </c>
      <c r="D28" s="5" t="n">
        <v>6235.206193378838</v>
      </c>
      <c r="E28" s="5" t="n">
        <v>3167.469123568787</v>
      </c>
      <c r="F28" s="5" t="n">
        <v>10.31240571370403</v>
      </c>
      <c r="G28" s="5" t="n">
        <v>6.477519769446571</v>
      </c>
      <c r="H28" s="5" t="n">
        <v>11.89124481465988</v>
      </c>
      <c r="I28" s="5" t="n">
        <v>0</v>
      </c>
      <c r="J28" s="5">
        <f>SUM(B28:I28)</f>
        <v/>
      </c>
      <c r="L28" s="10" t="n">
        <v>0.5208333333333334</v>
      </c>
      <c r="M28" s="8" t="n">
        <v>16302.36848669052</v>
      </c>
      <c r="N28" s="8" t="n">
        <v>1405.144292402267</v>
      </c>
      <c r="O28" s="8" t="n">
        <v>0</v>
      </c>
      <c r="P28" s="8" t="n">
        <v>0</v>
      </c>
      <c r="Q28" s="8" t="n">
        <v>473.1272742577197</v>
      </c>
      <c r="R28" s="8" t="n">
        <v>9.193057814644195</v>
      </c>
      <c r="S28" s="8" t="n">
        <v>0</v>
      </c>
      <c r="T28" s="8" t="n">
        <v>0</v>
      </c>
      <c r="U28">
        <f>SUM(M28:T28)</f>
        <v/>
      </c>
    </row>
    <row r="29">
      <c r="A29" s="10" t="n">
        <v>0.5416666666666666</v>
      </c>
      <c r="B29" s="5" t="n">
        <v>2233.735724300539</v>
      </c>
      <c r="C29" s="5" t="n">
        <v>2474.603110957184</v>
      </c>
      <c r="D29" s="5" t="n">
        <v>5779.037778031036</v>
      </c>
      <c r="E29" s="5" t="n">
        <v>3277.084541653865</v>
      </c>
      <c r="F29" s="5" t="n">
        <v>6.745860463989994</v>
      </c>
      <c r="G29" s="5" t="n">
        <v>22.63511660956033</v>
      </c>
      <c r="H29" s="5" t="n">
        <v>33.16160616415689</v>
      </c>
      <c r="I29" s="5" t="n">
        <v>0</v>
      </c>
      <c r="J29" s="5">
        <f>SUM(B29:I29)</f>
        <v/>
      </c>
      <c r="L29" s="10" t="n">
        <v>0.5416666666666666</v>
      </c>
      <c r="M29" s="8" t="n">
        <v>15356.08543682099</v>
      </c>
      <c r="N29" s="8" t="n">
        <v>1361.435852003097</v>
      </c>
      <c r="O29" s="8" t="n">
        <v>0</v>
      </c>
      <c r="P29" s="8" t="n">
        <v>0</v>
      </c>
      <c r="Q29" s="8" t="n">
        <v>469.2071208236206</v>
      </c>
      <c r="R29" s="8" t="n">
        <v>9.489388670998288</v>
      </c>
      <c r="S29" s="8" t="n">
        <v>0</v>
      </c>
      <c r="T29" s="8" t="n">
        <v>0</v>
      </c>
      <c r="U29">
        <f>SUM(M29:T29)</f>
        <v/>
      </c>
    </row>
    <row r="30">
      <c r="A30" s="10" t="n">
        <v>0.5625</v>
      </c>
      <c r="B30" s="5" t="n">
        <v>2853.697119216293</v>
      </c>
      <c r="C30" s="5" t="n">
        <v>2084.043294566322</v>
      </c>
      <c r="D30" s="5" t="n">
        <v>5161.693520981309</v>
      </c>
      <c r="E30" s="5" t="n">
        <v>3443.083615811928</v>
      </c>
      <c r="F30" s="5" t="n">
        <v>6.404004724857504</v>
      </c>
      <c r="G30" s="5" t="n">
        <v>65.65766207534148</v>
      </c>
      <c r="H30" s="5" t="n">
        <v>79.56035014663345</v>
      </c>
      <c r="I30" s="5" t="n">
        <v>0</v>
      </c>
      <c r="J30" s="5">
        <f>SUM(B30:I30)</f>
        <v/>
      </c>
      <c r="L30" s="10" t="n">
        <v>0.5625</v>
      </c>
      <c r="M30" s="8" t="n">
        <v>13721.8093846798</v>
      </c>
      <c r="N30" s="8" t="n">
        <v>1264.411970901489</v>
      </c>
      <c r="O30" s="8" t="n">
        <v>0</v>
      </c>
      <c r="P30" s="8" t="n">
        <v>0</v>
      </c>
      <c r="Q30" s="8" t="n">
        <v>445.4726735335464</v>
      </c>
      <c r="R30" s="8" t="n">
        <v>9.513049245904401</v>
      </c>
      <c r="S30" s="8" t="n">
        <v>0</v>
      </c>
      <c r="T30" s="8" t="n">
        <v>0</v>
      </c>
      <c r="U30">
        <f>SUM(M30:T30)</f>
        <v/>
      </c>
    </row>
    <row r="31">
      <c r="A31" s="10" t="n">
        <v>0.5833333333333334</v>
      </c>
      <c r="B31" s="5" t="n">
        <v>3877.245703780094</v>
      </c>
      <c r="C31" s="5" t="n">
        <v>1908.334210669553</v>
      </c>
      <c r="D31" s="5" t="n">
        <v>4524.170295307123</v>
      </c>
      <c r="E31" s="5" t="n">
        <v>3541.159320201616</v>
      </c>
      <c r="F31" s="5" t="n">
        <v>9.667303475515228</v>
      </c>
      <c r="G31" s="5" t="n">
        <v>156.3714760524448</v>
      </c>
      <c r="H31" s="5" t="n">
        <v>164.5425275006239</v>
      </c>
      <c r="I31" s="5" t="n">
        <v>0</v>
      </c>
      <c r="J31" s="5">
        <f>SUM(B31:I31)</f>
        <v/>
      </c>
      <c r="L31" s="10" t="n">
        <v>0.5833333333333334</v>
      </c>
      <c r="M31" s="8" t="n">
        <v>11672.60861968994</v>
      </c>
      <c r="N31" s="8" t="n">
        <v>1129.419108772277</v>
      </c>
      <c r="O31" s="8" t="n">
        <v>0</v>
      </c>
      <c r="P31" s="8" t="n">
        <v>0</v>
      </c>
      <c r="Q31" s="8" t="n">
        <v>406.5199626220613</v>
      </c>
      <c r="R31" s="8" t="n">
        <v>9.383350288076191</v>
      </c>
      <c r="S31" s="8" t="n">
        <v>0</v>
      </c>
      <c r="T31" s="8" t="n">
        <v>0</v>
      </c>
      <c r="U31">
        <f>SUM(M31:T31)</f>
        <v/>
      </c>
    </row>
    <row r="32">
      <c r="A32" s="10" t="n">
        <v>0.6041666666666666</v>
      </c>
      <c r="B32" s="5" t="n">
        <v>5066.75432235708</v>
      </c>
      <c r="C32" s="5" t="n">
        <v>1918.995801638904</v>
      </c>
      <c r="D32" s="5" t="n">
        <v>3954.220249666624</v>
      </c>
      <c r="E32" s="5" t="n">
        <v>3516.022237201772</v>
      </c>
      <c r="F32" s="5" t="n">
        <v>19.30081713028627</v>
      </c>
      <c r="G32" s="5" t="n">
        <v>306.148194224002</v>
      </c>
      <c r="H32" s="5" t="n">
        <v>293.8037916750441</v>
      </c>
      <c r="I32" s="5" t="n">
        <v>0</v>
      </c>
      <c r="J32" s="5">
        <f>SUM(B32:I32)</f>
        <v/>
      </c>
      <c r="L32" s="10" t="n">
        <v>0.6041666666666666</v>
      </c>
      <c r="M32" s="8" t="n">
        <v>9487.984355640412</v>
      </c>
      <c r="N32" s="8" t="n">
        <v>974.284802341461</v>
      </c>
      <c r="O32" s="8" t="n">
        <v>0</v>
      </c>
      <c r="P32" s="8" t="n">
        <v>0</v>
      </c>
      <c r="Q32" s="8" t="n">
        <v>358.3706237521924</v>
      </c>
      <c r="R32" s="8" t="n">
        <v>9.131738083525901</v>
      </c>
      <c r="S32" s="8" t="n">
        <v>0</v>
      </c>
      <c r="T32" s="8" t="n">
        <v>0</v>
      </c>
      <c r="U32">
        <f>SUM(M32:T32)</f>
        <v/>
      </c>
    </row>
    <row r="33">
      <c r="A33" s="10" t="n">
        <v>0.625</v>
      </c>
      <c r="B33" s="5" t="n">
        <v>6015.755552490231</v>
      </c>
      <c r="C33" s="5" t="n">
        <v>2008.596467209214</v>
      </c>
      <c r="D33" s="5" t="n">
        <v>3482.296451568177</v>
      </c>
      <c r="E33" s="5" t="n">
        <v>3399.095650043166</v>
      </c>
      <c r="F33" s="5" t="n">
        <v>41.88730222816569</v>
      </c>
      <c r="G33" s="5" t="n">
        <v>495.729487082362</v>
      </c>
      <c r="H33" s="5" t="n">
        <v>456.1730411118363</v>
      </c>
      <c r="I33" s="5" t="n">
        <v>0</v>
      </c>
      <c r="J33" s="5">
        <f>SUM(B33:I33)</f>
        <v/>
      </c>
      <c r="L33" s="10" t="n">
        <v>0.625</v>
      </c>
      <c r="M33" s="8" t="n">
        <v>7403.685249042511</v>
      </c>
      <c r="N33" s="8" t="n">
        <v>816.4625895977019</v>
      </c>
      <c r="O33" s="8" t="n">
        <v>0</v>
      </c>
      <c r="P33" s="8" t="n">
        <v>0</v>
      </c>
      <c r="Q33" s="8" t="n">
        <v>307.3734729797639</v>
      </c>
      <c r="R33" s="8" t="n">
        <v>8.752798277352335</v>
      </c>
      <c r="S33" s="8" t="n">
        <v>0</v>
      </c>
      <c r="T33" s="8" t="n">
        <v>0</v>
      </c>
      <c r="U33">
        <f>SUM(M33:T33)</f>
        <v/>
      </c>
    </row>
    <row r="34">
      <c r="A34" s="10" t="n">
        <v>0.6458333333333334</v>
      </c>
      <c r="B34" s="5" t="n">
        <v>6375.276247738752</v>
      </c>
      <c r="C34" s="5" t="n">
        <v>2053.841980681964</v>
      </c>
      <c r="D34" s="5" t="n">
        <v>3096.474287412255</v>
      </c>
      <c r="E34" s="5" t="n">
        <v>3277.904772673392</v>
      </c>
      <c r="F34" s="5" t="n">
        <v>86.61358910114151</v>
      </c>
      <c r="G34" s="5" t="n">
        <v>668.9235026646904</v>
      </c>
      <c r="H34" s="5" t="n">
        <v>626.4387549229393</v>
      </c>
      <c r="I34" s="5" t="n">
        <v>0</v>
      </c>
      <c r="J34" s="5">
        <f>SUM(B34:I34)</f>
        <v/>
      </c>
      <c r="L34" s="10" t="n">
        <v>0.6458333333333334</v>
      </c>
      <c r="M34" s="8" t="n">
        <v>5590.325288534164</v>
      </c>
      <c r="N34" s="8" t="n">
        <v>670.7676950454711</v>
      </c>
      <c r="O34" s="8" t="n">
        <v>0</v>
      </c>
      <c r="P34" s="8" t="n">
        <v>0</v>
      </c>
      <c r="Q34" s="8" t="n">
        <v>259.3799233938447</v>
      </c>
      <c r="R34" s="8" t="n">
        <v>8.324743409971884</v>
      </c>
      <c r="S34" s="8" t="n">
        <v>0</v>
      </c>
      <c r="T34" s="8" t="n">
        <v>0</v>
      </c>
      <c r="U34">
        <f>SUM(M34:T34)</f>
        <v/>
      </c>
    </row>
    <row r="35">
      <c r="A35" s="10" t="n">
        <v>0.6666666666666666</v>
      </c>
      <c r="B35" s="5" t="n">
        <v>6097.17051835197</v>
      </c>
      <c r="C35" s="5" t="n">
        <v>1962.840754037295</v>
      </c>
      <c r="D35" s="5" t="n">
        <v>2760.959475768904</v>
      </c>
      <c r="E35" s="5" t="n">
        <v>3238.561558080371</v>
      </c>
      <c r="F35" s="5" t="n">
        <v>157.8545736857642</v>
      </c>
      <c r="G35" s="5" t="n">
        <v>758.3452031113108</v>
      </c>
      <c r="H35" s="5" t="n">
        <v>783.0025244368402</v>
      </c>
      <c r="I35" s="5" t="n">
        <v>0</v>
      </c>
      <c r="J35" s="5">
        <f>SUM(B35:I35)</f>
        <v/>
      </c>
      <c r="L35" s="10" t="n">
        <v>0.6666666666666666</v>
      </c>
      <c r="M35" s="8" t="n">
        <v>4140.248135232925</v>
      </c>
      <c r="N35" s="8" t="n">
        <v>546.9221731662749</v>
      </c>
      <c r="O35" s="8" t="n">
        <v>0</v>
      </c>
      <c r="P35" s="8" t="n">
        <v>0</v>
      </c>
      <c r="Q35" s="8" t="n">
        <v>218.7417905785469</v>
      </c>
      <c r="R35" s="8" t="n">
        <v>8.031418314635218</v>
      </c>
      <c r="S35" s="8" t="n">
        <v>0</v>
      </c>
      <c r="T35" s="8" t="n">
        <v>0</v>
      </c>
      <c r="U35">
        <f>SUM(M35:T35)</f>
        <v/>
      </c>
    </row>
    <row r="36">
      <c r="A36" s="10" t="n">
        <v>0.6875</v>
      </c>
      <c r="B36" s="5" t="n">
        <v>5471.371937228858</v>
      </c>
      <c r="C36" s="5" t="n">
        <v>1708.609142452469</v>
      </c>
      <c r="D36" s="5" t="n">
        <v>2433.808112581149</v>
      </c>
      <c r="E36" s="5" t="n">
        <v>3308.778361627835</v>
      </c>
      <c r="F36" s="5" t="n">
        <v>244.5514566238304</v>
      </c>
      <c r="G36" s="5" t="n">
        <v>728.9264267752333</v>
      </c>
      <c r="H36" s="5" t="n">
        <v>923.0341641229867</v>
      </c>
      <c r="I36" s="5" t="n">
        <v>0</v>
      </c>
      <c r="J36" s="5">
        <f>SUM(B36:I36)</f>
        <v/>
      </c>
      <c r="L36" s="10" t="n">
        <v>0.6875</v>
      </c>
      <c r="M36" s="8" t="n">
        <v>3062.762910032272</v>
      </c>
      <c r="N36" s="8" t="n">
        <v>448.0881510734557</v>
      </c>
      <c r="O36" s="8" t="n">
        <v>0</v>
      </c>
      <c r="P36" s="8" t="n">
        <v>0</v>
      </c>
      <c r="Q36" s="8" t="n">
        <v>187.3237367200424</v>
      </c>
      <c r="R36" s="8" t="n">
        <v>8.027643200440496</v>
      </c>
      <c r="S36" s="8" t="n">
        <v>0</v>
      </c>
      <c r="T36" s="8" t="n">
        <v>0</v>
      </c>
      <c r="U36">
        <f>SUM(M36:T36)</f>
        <v/>
      </c>
    </row>
    <row r="37">
      <c r="A37" s="10" t="n">
        <v>0.7083333333333334</v>
      </c>
      <c r="B37" s="5" t="n">
        <v>4903.898340021688</v>
      </c>
      <c r="C37" s="5" t="n">
        <v>1339.347743461326</v>
      </c>
      <c r="D37" s="5" t="n">
        <v>2082.500764562192</v>
      </c>
      <c r="E37" s="5" t="n">
        <v>3420.038809588286</v>
      </c>
      <c r="F37" s="5" t="n">
        <v>317.5952017861576</v>
      </c>
      <c r="G37" s="5" t="n">
        <v>600.6234877496813</v>
      </c>
      <c r="H37" s="5" t="n">
        <v>1055.253113655125</v>
      </c>
      <c r="I37" s="5" t="n">
        <v>0</v>
      </c>
      <c r="J37" s="5">
        <f>SUM(B37:I37)</f>
        <v/>
      </c>
      <c r="L37" s="10" t="n">
        <v>0.7083333333333334</v>
      </c>
      <c r="M37" s="8" t="n">
        <v>2300.576408195495</v>
      </c>
      <c r="N37" s="8" t="n">
        <v>371.6768302440643</v>
      </c>
      <c r="O37" s="8" t="n">
        <v>0</v>
      </c>
      <c r="P37" s="8" t="n">
        <v>0</v>
      </c>
      <c r="Q37" s="8" t="n">
        <v>164.1841850201249</v>
      </c>
      <c r="R37" s="8" t="n">
        <v>8.268435781689561</v>
      </c>
      <c r="S37" s="8" t="n">
        <v>0</v>
      </c>
      <c r="T37" s="8" t="n">
        <v>0</v>
      </c>
      <c r="U37">
        <f>SUM(M37:T37)</f>
        <v/>
      </c>
    </row>
    <row r="38">
      <c r="A38" s="10" t="n">
        <v>0.7291666666666666</v>
      </c>
      <c r="B38" s="5" t="n">
        <v>4621.21776111677</v>
      </c>
      <c r="C38" s="5" t="n">
        <v>951.2155922913116</v>
      </c>
      <c r="D38" s="5" t="n">
        <v>1695.201938621749</v>
      </c>
      <c r="E38" s="5" t="n">
        <v>3418.361684296023</v>
      </c>
      <c r="F38" s="5" t="n">
        <v>343.9488101359877</v>
      </c>
      <c r="G38" s="5" t="n">
        <v>429.9320043335292</v>
      </c>
      <c r="H38" s="5" t="n">
        <v>1177.114847559673</v>
      </c>
      <c r="I38" s="5" t="n">
        <v>0</v>
      </c>
      <c r="J38" s="5">
        <f>SUM(B38:I38)</f>
        <v/>
      </c>
      <c r="L38" s="10" t="n">
        <v>0.7291666666666666</v>
      </c>
      <c r="M38" s="8" t="n">
        <v>1764.545772838592</v>
      </c>
      <c r="N38" s="8" t="n">
        <v>311.7958579063415</v>
      </c>
      <c r="O38" s="8" t="n">
        <v>0</v>
      </c>
      <c r="P38" s="8" t="n">
        <v>0</v>
      </c>
      <c r="Q38" s="8" t="n">
        <v>146.2804443579388</v>
      </c>
      <c r="R38" s="8" t="n">
        <v>8.477756401605953</v>
      </c>
      <c r="S38" s="8" t="n">
        <v>0</v>
      </c>
      <c r="T38" s="8" t="n">
        <v>0</v>
      </c>
      <c r="U38">
        <f>SUM(M38:T38)</f>
        <v/>
      </c>
    </row>
    <row r="39">
      <c r="A39" s="10" t="n">
        <v>0.75</v>
      </c>
      <c r="B39" s="5" t="n">
        <v>4544.907166707889</v>
      </c>
      <c r="C39" s="5" t="n">
        <v>637.3624731418308</v>
      </c>
      <c r="D39" s="5" t="n">
        <v>1286.348473965468</v>
      </c>
      <c r="E39" s="5" t="n">
        <v>3149.522752847447</v>
      </c>
      <c r="F39" s="5" t="n">
        <v>309.6267999556836</v>
      </c>
      <c r="G39" s="5" t="n">
        <v>271.1483112791477</v>
      </c>
      <c r="H39" s="5" t="n">
        <v>1264.039657104329</v>
      </c>
      <c r="I39" s="5" t="n">
        <v>0</v>
      </c>
      <c r="J39" s="5">
        <f>SUM(B39:I39)</f>
        <v/>
      </c>
      <c r="L39" s="10" t="n">
        <v>0.75</v>
      </c>
      <c r="M39" s="8" t="n">
        <v>1369.356323242188</v>
      </c>
      <c r="N39" s="8" t="n">
        <v>262.0154408454895</v>
      </c>
      <c r="O39" s="8" t="n">
        <v>0</v>
      </c>
      <c r="P39" s="8" t="n">
        <v>0</v>
      </c>
      <c r="Q39" s="8" t="n">
        <v>130.1026224608827</v>
      </c>
      <c r="R39" s="8" t="n">
        <v>8.318110678757554</v>
      </c>
      <c r="S39" s="8" t="n">
        <v>0</v>
      </c>
      <c r="T39" s="8" t="n">
        <v>0</v>
      </c>
      <c r="U39">
        <f>SUM(M39:T39)</f>
        <v/>
      </c>
    </row>
    <row r="40">
      <c r="A40" s="10" t="n">
        <v>0.7708333333333334</v>
      </c>
      <c r="B40" s="5" t="n">
        <v>4410.25565274196</v>
      </c>
      <c r="C40" s="5" t="n">
        <v>448.7417658838256</v>
      </c>
      <c r="D40" s="5" t="n">
        <v>893.2424223332305</v>
      </c>
      <c r="E40" s="5" t="n">
        <v>2576.811380045091</v>
      </c>
      <c r="F40" s="5" t="n">
        <v>230.7250783337013</v>
      </c>
      <c r="G40" s="5" t="n">
        <v>152.1978271323771</v>
      </c>
      <c r="H40" s="5" t="n">
        <v>1281.979159059573</v>
      </c>
      <c r="I40" s="5" t="n">
        <v>0</v>
      </c>
      <c r="J40" s="5">
        <f>SUM(B40:I40)</f>
        <v/>
      </c>
      <c r="L40" s="10" t="n">
        <v>0.7708333333333334</v>
      </c>
      <c r="M40" s="8" t="n">
        <v>1057.279314279556</v>
      </c>
      <c r="N40" s="8" t="n">
        <v>217.9793405532837</v>
      </c>
      <c r="O40" s="8" t="n">
        <v>0</v>
      </c>
      <c r="P40" s="8" t="n">
        <v>0</v>
      </c>
      <c r="Q40" s="8" t="n">
        <v>113.7090750897455</v>
      </c>
      <c r="R40" s="8" t="n">
        <v>7.646278259080223</v>
      </c>
      <c r="S40" s="8" t="n">
        <v>0</v>
      </c>
      <c r="T40" s="8" t="n">
        <v>0</v>
      </c>
      <c r="U40">
        <f>SUM(M40:T40)</f>
        <v/>
      </c>
    </row>
    <row r="41">
      <c r="A41" s="10" t="n">
        <v>0.7916666666666666</v>
      </c>
      <c r="B41" s="5" t="n">
        <v>3993.882178153285</v>
      </c>
      <c r="C41" s="5" t="n">
        <v>385.8996912996896</v>
      </c>
      <c r="D41" s="5" t="n">
        <v>560.240395450523</v>
      </c>
      <c r="E41" s="5" t="n">
        <v>1825.714319241022</v>
      </c>
      <c r="F41" s="5" t="n">
        <v>141.3657009668742</v>
      </c>
      <c r="G41" s="5" t="n">
        <v>75.95728859175357</v>
      </c>
      <c r="H41" s="5" t="n">
        <v>1207.21530603856</v>
      </c>
      <c r="I41" s="5" t="n">
        <v>0</v>
      </c>
      <c r="J41" s="5">
        <f>SUM(B41:I41)</f>
        <v/>
      </c>
      <c r="L41" s="10" t="n">
        <v>0.7916666666666666</v>
      </c>
      <c r="M41" s="8" t="n">
        <v>805.9000836849212</v>
      </c>
      <c r="N41" s="8" t="n">
        <v>179.2613936424255</v>
      </c>
      <c r="O41" s="8" t="n">
        <v>0</v>
      </c>
      <c r="P41" s="8" t="n">
        <v>0</v>
      </c>
      <c r="Q41" s="8" t="n">
        <v>98.01709020958192</v>
      </c>
      <c r="R41" s="8" t="n">
        <v>6.649592687628669</v>
      </c>
      <c r="S41" s="8" t="n">
        <v>0</v>
      </c>
      <c r="T41" s="8" t="n">
        <v>0</v>
      </c>
      <c r="U41">
        <f>SUM(M41:T41)</f>
        <v/>
      </c>
    </row>
    <row r="42">
      <c r="A42" s="10" t="n">
        <v>0.8125</v>
      </c>
      <c r="B42" s="5" t="n">
        <v>3262.666065468975</v>
      </c>
      <c r="C42" s="5" t="n">
        <v>412.0020418317703</v>
      </c>
      <c r="D42" s="5" t="n">
        <v>316.8959697736809</v>
      </c>
      <c r="E42" s="5" t="n">
        <v>1102.754879788973</v>
      </c>
      <c r="F42" s="5" t="n">
        <v>70.47190918063308</v>
      </c>
      <c r="G42" s="5" t="n">
        <v>33.14479801277337</v>
      </c>
      <c r="H42" s="5" t="n">
        <v>1038.126152945379</v>
      </c>
      <c r="I42" s="5" t="n">
        <v>0</v>
      </c>
      <c r="J42" s="5">
        <f>SUM(B42:I42)</f>
        <v/>
      </c>
      <c r="L42" s="10" t="n">
        <v>0.8125</v>
      </c>
      <c r="M42" s="8" t="n">
        <v>618.6690657615661</v>
      </c>
      <c r="N42" s="8" t="n">
        <v>148.9087355613708</v>
      </c>
      <c r="O42" s="8" t="n">
        <v>0</v>
      </c>
      <c r="P42" s="8" t="n">
        <v>0</v>
      </c>
      <c r="Q42" s="8" t="n">
        <v>86.07416235189156</v>
      </c>
      <c r="R42" s="8" t="n">
        <v>5.733449058603216</v>
      </c>
      <c r="S42" s="8" t="n">
        <v>0</v>
      </c>
      <c r="T42" s="8" t="n">
        <v>0</v>
      </c>
      <c r="U42">
        <f>SUM(M42:T42)</f>
        <v/>
      </c>
    </row>
    <row r="43">
      <c r="A43" s="10" t="n">
        <v>0.8333333333333334</v>
      </c>
      <c r="B43" s="5" t="n">
        <v>2364.165936967549</v>
      </c>
      <c r="C43" s="5" t="n">
        <v>471.186642728212</v>
      </c>
      <c r="D43" s="5" t="n">
        <v>165.2523100752331</v>
      </c>
      <c r="E43" s="5" t="n">
        <v>562.9132031078954</v>
      </c>
      <c r="F43" s="5" t="n">
        <v>28.1314630593894</v>
      </c>
      <c r="G43" s="5" t="n">
        <v>12.25542618817379</v>
      </c>
      <c r="H43" s="5" t="n">
        <v>799.4870485941158</v>
      </c>
      <c r="I43" s="5" t="n">
        <v>0</v>
      </c>
      <c r="J43" s="5">
        <f>SUM(B43:I43)</f>
        <v/>
      </c>
      <c r="L43" s="10" t="n">
        <v>0.8333333333333334</v>
      </c>
      <c r="M43" s="8" t="n">
        <v>502.6560621261596</v>
      </c>
      <c r="N43" s="8" t="n">
        <v>130.0303844928741</v>
      </c>
      <c r="O43" s="8" t="n">
        <v>0</v>
      </c>
      <c r="P43" s="8" t="n">
        <v>0</v>
      </c>
      <c r="Q43" s="8" t="n">
        <v>80.3192387849333</v>
      </c>
      <c r="R43" s="8" t="n">
        <v>5.229519436543826</v>
      </c>
      <c r="S43" s="8" t="n">
        <v>0</v>
      </c>
      <c r="T43" s="8" t="n">
        <v>0</v>
      </c>
      <c r="U43">
        <f>SUM(M43:T43)</f>
        <v/>
      </c>
    </row>
    <row r="44">
      <c r="A44" s="10" t="n">
        <v>0.8541666666666666</v>
      </c>
      <c r="B44" s="5" t="n">
        <v>1511.048289733187</v>
      </c>
      <c r="C44" s="5" t="n">
        <v>507.7735259825089</v>
      </c>
      <c r="D44" s="5" t="n">
        <v>84.56180923935412</v>
      </c>
      <c r="E44" s="5" t="n">
        <v>242.4175265184755</v>
      </c>
      <c r="F44" s="5" t="n">
        <v>8.779195581989011</v>
      </c>
      <c r="G44" s="5" t="n">
        <v>3.681428666835856</v>
      </c>
      <c r="H44" s="5" t="n">
        <v>539.1429779427237</v>
      </c>
      <c r="I44" s="5" t="n">
        <v>0</v>
      </c>
      <c r="J44" s="5">
        <f>SUM(B44:I44)</f>
        <v/>
      </c>
      <c r="L44" s="10" t="n">
        <v>0.8541666666666666</v>
      </c>
      <c r="M44" s="8" t="n">
        <v>447.8071096897125</v>
      </c>
      <c r="N44" s="8" t="n">
        <v>121.7211317539215</v>
      </c>
      <c r="O44" s="8" t="n">
        <v>0</v>
      </c>
      <c r="P44" s="8" t="n">
        <v>0</v>
      </c>
      <c r="Q44" s="8" t="n">
        <v>79.84335981710323</v>
      </c>
      <c r="R44" s="8" t="n">
        <v>5.15415416425497</v>
      </c>
      <c r="S44" s="8" t="n">
        <v>0</v>
      </c>
      <c r="T44" s="8" t="n">
        <v>0</v>
      </c>
      <c r="U44">
        <f>SUM(M44:T44)</f>
        <v/>
      </c>
    </row>
    <row r="45">
      <c r="A45" s="10" t="n">
        <v>0.875</v>
      </c>
      <c r="B45" s="5" t="n">
        <v>861.4517762348735</v>
      </c>
      <c r="C45" s="5" t="n">
        <v>486.0394683560297</v>
      </c>
      <c r="D45" s="5" t="n">
        <v>46.52011131087625</v>
      </c>
      <c r="E45" s="5" t="n">
        <v>88.76856727354176</v>
      </c>
      <c r="F45" s="5" t="n">
        <v>2.063928711948655</v>
      </c>
      <c r="G45" s="5" t="n">
        <v>0.852252202364347</v>
      </c>
      <c r="H45" s="5" t="n">
        <v>310.8948340050928</v>
      </c>
      <c r="I45" s="5" t="n">
        <v>0</v>
      </c>
      <c r="J45" s="5">
        <f>SUM(B45:I45)</f>
        <v/>
      </c>
      <c r="L45" s="10" t="n">
        <v>0.875</v>
      </c>
      <c r="M45" s="8" t="n">
        <v>423.4285619735718</v>
      </c>
      <c r="N45" s="8" t="n">
        <v>118.0442477703095</v>
      </c>
      <c r="O45" s="8" t="n">
        <v>0</v>
      </c>
      <c r="P45" s="8" t="n">
        <v>0</v>
      </c>
      <c r="Q45" s="8" t="n">
        <v>80.19805505225119</v>
      </c>
      <c r="R45" s="8" t="n">
        <v>5.212531237759439</v>
      </c>
      <c r="S45" s="8" t="n">
        <v>0</v>
      </c>
      <c r="T45" s="8" t="n">
        <v>0</v>
      </c>
      <c r="U45">
        <f>SUM(M45:T45)</f>
        <v/>
      </c>
    </row>
    <row r="46">
      <c r="A46" s="10" t="n">
        <v>0.8958333333333334</v>
      </c>
      <c r="B46" s="5" t="n">
        <v>463.355571000637</v>
      </c>
      <c r="C46" s="5" t="n">
        <v>403.224310394586</v>
      </c>
      <c r="D46" s="5" t="n">
        <v>28.40192719625407</v>
      </c>
      <c r="E46" s="5" t="n">
        <v>28.21228712034487</v>
      </c>
      <c r="F46" s="5" t="n">
        <v>0.3438214840757264</v>
      </c>
      <c r="G46" s="5" t="n">
        <v>0.1414139193698527</v>
      </c>
      <c r="H46" s="5" t="n">
        <v>149.6391472911986</v>
      </c>
      <c r="I46" s="5" t="n">
        <v>0</v>
      </c>
      <c r="J46" s="5">
        <f>SUM(B46:I46)</f>
        <v/>
      </c>
      <c r="L46" s="10" t="n">
        <v>0.8958333333333334</v>
      </c>
      <c r="M46" s="8" t="n">
        <v>393.8853684425354</v>
      </c>
      <c r="N46" s="8" t="n">
        <v>111.3493178844452</v>
      </c>
      <c r="O46" s="8" t="n">
        <v>0</v>
      </c>
      <c r="P46" s="8" t="n">
        <v>0</v>
      </c>
      <c r="Q46" s="8" t="n">
        <v>76.25231312413054</v>
      </c>
      <c r="R46" s="8" t="n">
        <v>5.032358230998907</v>
      </c>
      <c r="S46" s="8" t="n">
        <v>0</v>
      </c>
      <c r="T46" s="8" t="n">
        <v>0</v>
      </c>
      <c r="U46">
        <f>SUM(M46:T46)</f>
        <v/>
      </c>
    </row>
    <row r="47">
      <c r="A47" s="10" t="n">
        <v>0.9166666666666666</v>
      </c>
      <c r="B47" s="5" t="n">
        <v>270.5142565834892</v>
      </c>
      <c r="C47" s="5" t="n">
        <v>286.0468728828029</v>
      </c>
      <c r="D47" s="5" t="n">
        <v>17.742548633629</v>
      </c>
      <c r="E47" s="5" t="n">
        <v>8.003862676413116</v>
      </c>
      <c r="F47" s="5" t="n">
        <v>0.03618421781628475</v>
      </c>
      <c r="G47" s="5" t="n">
        <v>0.01488567572314239</v>
      </c>
      <c r="H47" s="5" t="n">
        <v>58.58946072779595</v>
      </c>
      <c r="I47" s="5" t="n">
        <v>0</v>
      </c>
      <c r="J47" s="5">
        <f>SUM(B47:I47)</f>
        <v/>
      </c>
      <c r="L47" s="10" t="n">
        <v>0.9166666666666666</v>
      </c>
      <c r="M47" s="8" t="n">
        <v>338.8809102058411</v>
      </c>
      <c r="N47" s="8" t="n">
        <v>97.12914371490479</v>
      </c>
      <c r="O47" s="8" t="n">
        <v>0</v>
      </c>
      <c r="P47" s="8" t="n">
        <v>0</v>
      </c>
      <c r="Q47" s="8" t="n">
        <v>65.72539114515487</v>
      </c>
      <c r="R47" s="8" t="n">
        <v>4.421650640111241</v>
      </c>
      <c r="S47" s="8" t="n">
        <v>0</v>
      </c>
      <c r="T47" s="8" t="n">
        <v>0</v>
      </c>
      <c r="U47">
        <f>SUM(M47:T47)</f>
        <v/>
      </c>
    </row>
    <row r="48">
      <c r="A48" s="10" t="n">
        <v>0.9375</v>
      </c>
      <c r="B48" s="5" t="n">
        <v>196.221060170016</v>
      </c>
      <c r="C48" s="5" t="n">
        <v>171.5307076317951</v>
      </c>
      <c r="D48" s="5" t="n">
        <v>10.15843927528895</v>
      </c>
      <c r="E48" s="5" t="n">
        <v>2.051087924005946</v>
      </c>
      <c r="F48" s="5" t="n">
        <v>0.001809210890814238</v>
      </c>
      <c r="G48" s="5" t="n">
        <v>0.0007442837861571198</v>
      </c>
      <c r="H48" s="5" t="n">
        <v>18.09968574713598</v>
      </c>
      <c r="I48" s="5" t="n">
        <v>0</v>
      </c>
      <c r="J48" s="5">
        <f>SUM(B48:I48)</f>
        <v/>
      </c>
      <c r="L48" s="10" t="n">
        <v>0.9375</v>
      </c>
      <c r="M48" s="8" t="n">
        <v>261.2554517745972</v>
      </c>
      <c r="N48" s="8" t="n">
        <v>76.29584989547729</v>
      </c>
      <c r="O48" s="8" t="n">
        <v>0</v>
      </c>
      <c r="P48" s="8" t="n">
        <v>0</v>
      </c>
      <c r="Q48" s="8" t="n">
        <v>50.38474987478355</v>
      </c>
      <c r="R48" s="8" t="n">
        <v>3.456851124976611</v>
      </c>
      <c r="S48" s="8" t="n">
        <v>0</v>
      </c>
      <c r="T48" s="8" t="n">
        <v>0</v>
      </c>
      <c r="U48">
        <f>SUM(M48:T48)</f>
        <v/>
      </c>
    </row>
    <row r="49">
      <c r="A49" s="10" t="n">
        <v>0.9583333333333334</v>
      </c>
      <c r="B49" s="5" t="n">
        <v>164.0813583153983</v>
      </c>
      <c r="C49" s="5" t="n">
        <v>85.83003866612724</v>
      </c>
      <c r="D49" s="5" t="n">
        <v>4.950278280365791</v>
      </c>
      <c r="E49" s="5" t="n">
        <v>0.4593757281189178</v>
      </c>
      <c r="F49" s="5" t="n">
        <v>0</v>
      </c>
      <c r="G49" s="5" t="n">
        <v>0</v>
      </c>
      <c r="H49" s="5" t="n">
        <v>4.23332519666602</v>
      </c>
      <c r="I49" s="5" t="n">
        <v>0</v>
      </c>
      <c r="J49" s="5">
        <f>SUM(B49:I49)</f>
        <v/>
      </c>
      <c r="L49" s="10" t="n">
        <v>0.9583333333333334</v>
      </c>
      <c r="M49" s="8" t="n">
        <v>178.4667601108551</v>
      </c>
      <c r="N49" s="8" t="n">
        <v>53.46439576148987</v>
      </c>
      <c r="O49" s="8" t="n">
        <v>0</v>
      </c>
      <c r="P49" s="8" t="n">
        <v>0</v>
      </c>
      <c r="Q49" s="8" t="n">
        <v>34.23835532201518</v>
      </c>
      <c r="R49" s="8" t="n">
        <v>2.380983918559388</v>
      </c>
      <c r="S49" s="8" t="n">
        <v>0</v>
      </c>
      <c r="T49" s="8" t="n">
        <v>0</v>
      </c>
      <c r="U49">
        <f>SUM(M49:T49)</f>
        <v/>
      </c>
    </row>
    <row r="50">
      <c r="A50" s="10" t="n">
        <v>0.9791666666666666</v>
      </c>
      <c r="B50" s="5" t="n">
        <v>132.7143828311179</v>
      </c>
      <c r="C50" s="5" t="n">
        <v>35.26049566680746</v>
      </c>
      <c r="D50" s="5" t="n">
        <v>1.964027106578114</v>
      </c>
      <c r="E50" s="5" t="n">
        <v>0.08323165802429991</v>
      </c>
      <c r="F50" s="5" t="n">
        <v>0</v>
      </c>
      <c r="G50" s="5" t="n">
        <v>0</v>
      </c>
      <c r="H50" s="5" t="n">
        <v>0.7033357674497495</v>
      </c>
      <c r="I50" s="5" t="n">
        <v>0</v>
      </c>
      <c r="J50" s="5">
        <f>SUM(B50:I50)</f>
        <v/>
      </c>
      <c r="L50" s="10" t="n">
        <v>0.9791666666666666</v>
      </c>
      <c r="M50" s="8" t="n">
        <v>107.9085281848907</v>
      </c>
      <c r="N50" s="8" t="n">
        <v>33.40340723991394</v>
      </c>
      <c r="O50" s="8" t="n">
        <v>0</v>
      </c>
      <c r="P50" s="8" t="n">
        <v>0</v>
      </c>
      <c r="Q50" s="8" t="n">
        <v>20.73951051628659</v>
      </c>
      <c r="R50" s="8" t="n">
        <v>1.435623864916896</v>
      </c>
      <c r="S50" s="8" t="n">
        <v>0</v>
      </c>
      <c r="T50" s="8" t="n">
        <v>0</v>
      </c>
      <c r="U50">
        <f>SUM(M50:T50)</f>
        <v/>
      </c>
    </row>
    <row r="51">
      <c r="A51" s="10" t="n">
        <v>1</v>
      </c>
      <c r="B51" s="5" t="n">
        <v>93.72098638870321</v>
      </c>
      <c r="C51" s="5" t="n">
        <v>11.64135028104984</v>
      </c>
      <c r="D51" s="5" t="n">
        <v>0.6124676519219191</v>
      </c>
      <c r="E51" s="5" t="n">
        <v>0.01100976088856661</v>
      </c>
      <c r="F51" s="5" t="n">
        <v>0</v>
      </c>
      <c r="G51" s="5" t="n">
        <v>0</v>
      </c>
      <c r="H51" s="5" t="n">
        <v>0.07389319223520263</v>
      </c>
      <c r="I51" s="5" t="n">
        <v>0</v>
      </c>
      <c r="J51" s="5">
        <f>SUM(B51:I51)</f>
        <v/>
      </c>
      <c r="L51" s="10" t="n">
        <v>1</v>
      </c>
      <c r="M51" s="8" t="n">
        <v>57.890349817276</v>
      </c>
      <c r="N51" s="8" t="n">
        <v>18.64139695167541</v>
      </c>
      <c r="O51" s="8" t="n">
        <v>0</v>
      </c>
      <c r="P51" s="8" t="n">
        <v>0</v>
      </c>
      <c r="Q51" s="8" t="n">
        <v>11.29606013403805</v>
      </c>
      <c r="R51" s="8" t="n">
        <v>0.7519663695012175</v>
      </c>
      <c r="S51" s="8" t="n">
        <v>0</v>
      </c>
      <c r="T51" s="8" t="n">
        <v>0</v>
      </c>
      <c r="U51">
        <f>SUM(M51:T51)</f>
        <v/>
      </c>
    </row>
    <row r="52">
      <c r="A52" s="10" t="n">
        <v>1.020833333333333</v>
      </c>
      <c r="B52" s="5" t="n">
        <v>55.43202400506842</v>
      </c>
      <c r="C52" s="5" t="n">
        <v>2.998912540437478</v>
      </c>
      <c r="D52" s="5" t="n">
        <v>0.1440609084984987</v>
      </c>
      <c r="E52" s="5" t="n">
        <v>0.000926955309380845</v>
      </c>
      <c r="F52" s="5" t="n">
        <v>0</v>
      </c>
      <c r="G52" s="5" t="n">
        <v>0</v>
      </c>
      <c r="H52" s="5" t="n">
        <v>0.003688621599262321</v>
      </c>
      <c r="I52" s="5" t="n">
        <v>0</v>
      </c>
      <c r="J52" s="5">
        <f>SUM(B52:I52)</f>
        <v/>
      </c>
      <c r="L52" s="10" t="n">
        <v>1.020833333333333</v>
      </c>
      <c r="M52" s="8" t="n">
        <v>27.58202028274536</v>
      </c>
      <c r="N52" s="8" t="n">
        <v>9.282842254638672</v>
      </c>
      <c r="O52" s="8" t="n">
        <v>0</v>
      </c>
      <c r="P52" s="8" t="n">
        <v>0</v>
      </c>
      <c r="Q52" s="8" t="n">
        <v>5.560021939619434</v>
      </c>
      <c r="R52" s="8" t="n">
        <v>0.3383248275692992</v>
      </c>
      <c r="S52" s="8" t="n">
        <v>0</v>
      </c>
      <c r="T52" s="8" t="n">
        <v>0</v>
      </c>
      <c r="U52">
        <f>SUM(M52:T52)</f>
        <v/>
      </c>
    </row>
    <row r="53">
      <c r="A53" s="10" t="n">
        <v>0.04166666666666666</v>
      </c>
      <c r="B53" s="5" t="n">
        <v>26.87893656306932</v>
      </c>
      <c r="C53" s="5" t="n">
        <v>0.5773171147541244</v>
      </c>
      <c r="D53" s="5" t="n">
        <v>0.02401015141641644</v>
      </c>
      <c r="E53" s="5" t="n">
        <v>3.74656202746397e-05</v>
      </c>
      <c r="F53" s="5" t="n">
        <v>0</v>
      </c>
      <c r="G53" s="5" t="n">
        <v>0</v>
      </c>
      <c r="H53" s="5" t="n">
        <v>0</v>
      </c>
      <c r="I53" s="5" t="n">
        <v>0</v>
      </c>
      <c r="J53" s="5">
        <f>SUM(B53:I53)</f>
        <v/>
      </c>
      <c r="L53" s="10" t="n">
        <v>0.04166666666666666</v>
      </c>
      <c r="M53" s="8" t="n">
        <v>11.61538209915161</v>
      </c>
      <c r="N53" s="8" t="n">
        <v>4.091470336914062</v>
      </c>
      <c r="O53" s="8" t="n">
        <v>0</v>
      </c>
      <c r="P53" s="8" t="n">
        <v>0</v>
      </c>
      <c r="Q53" s="8" t="n">
        <v>2.459418724017154</v>
      </c>
      <c r="R53" s="8" t="n">
        <v>0.1286766052246094</v>
      </c>
      <c r="S53" s="8" t="n">
        <v>0</v>
      </c>
      <c r="T53" s="8" t="n">
        <v>0</v>
      </c>
      <c r="U53">
        <f>SUM(M53:T53)</f>
        <v/>
      </c>
    </row>
    <row r="54">
      <c r="A54" s="10" t="n">
        <v>0.0625</v>
      </c>
      <c r="B54" s="5" t="n">
        <v>10.47899824283241</v>
      </c>
      <c r="C54" s="5" t="n">
        <v>0.07754049156191252</v>
      </c>
      <c r="D54" s="5" t="n">
        <v>0.002527384359622783</v>
      </c>
      <c r="E54" s="5" t="n">
        <v>0</v>
      </c>
      <c r="F54" s="5" t="n">
        <v>0</v>
      </c>
      <c r="G54" s="5" t="n">
        <v>0</v>
      </c>
      <c r="H54" s="5" t="n">
        <v>0</v>
      </c>
      <c r="I54" s="5" t="n">
        <v>0</v>
      </c>
      <c r="J54" s="5">
        <f>SUM(B54:I54)</f>
        <v/>
      </c>
      <c r="L54" s="10" t="n">
        <v>0.0625</v>
      </c>
      <c r="M54" s="8" t="n">
        <v>4.264530324935913</v>
      </c>
      <c r="N54" s="8" t="n">
        <v>1.568669462203979</v>
      </c>
      <c r="O54" s="8" t="n">
        <v>0</v>
      </c>
      <c r="P54" s="8" t="n">
        <v>0</v>
      </c>
      <c r="Q54" s="8" t="n">
        <v>0.9587791123014344</v>
      </c>
      <c r="R54" s="8" t="n">
        <v>0.04048123359680177</v>
      </c>
      <c r="S54" s="8" t="n">
        <v>0</v>
      </c>
      <c r="T54" s="8" t="n">
        <v>0</v>
      </c>
      <c r="U54">
        <f>SUM(M54:T54)</f>
        <v/>
      </c>
    </row>
    <row r="55">
      <c r="A55" s="10" t="n">
        <v>0.08333333333333333</v>
      </c>
      <c r="B55" s="5" t="n">
        <v>3.202176135498897</v>
      </c>
      <c r="C55" s="5" t="n">
        <v>0.006411171405496614</v>
      </c>
      <c r="D55" s="5" t="n">
        <v>0.0001263692179811392</v>
      </c>
      <c r="E55" s="5" t="n">
        <v>0</v>
      </c>
      <c r="F55" s="5" t="n">
        <v>0</v>
      </c>
      <c r="G55" s="5" t="n">
        <v>0</v>
      </c>
      <c r="H55" s="5" t="n">
        <v>0</v>
      </c>
      <c r="I55" s="5" t="n">
        <v>0</v>
      </c>
      <c r="J55" s="5">
        <f>SUM(B55:I55)</f>
        <v/>
      </c>
      <c r="L55" s="10" t="n">
        <v>0.08333333333333333</v>
      </c>
      <c r="M55" s="8" t="n">
        <v>1.332627820968628</v>
      </c>
      <c r="N55" s="8" t="n">
        <v>0.5093467235565184</v>
      </c>
      <c r="O55" s="8" t="n">
        <v>0</v>
      </c>
      <c r="P55" s="8" t="n">
        <v>0</v>
      </c>
      <c r="Q55" s="8" t="n">
        <v>0.3190830822560385</v>
      </c>
      <c r="R55" s="8" t="n">
        <v>0.01022806167602539</v>
      </c>
      <c r="S55" s="8" t="n">
        <v>0</v>
      </c>
      <c r="T55" s="8" t="n">
        <v>0</v>
      </c>
      <c r="U55">
        <f>SUM(M55:T55)</f>
        <v/>
      </c>
    </row>
    <row r="56">
      <c r="A56" s="10" t="n">
        <v>0.1041666666666667</v>
      </c>
      <c r="B56" s="5" t="n">
        <v>0.7385401077310665</v>
      </c>
      <c r="C56" s="5" t="n">
        <v>0.0002413473168953321</v>
      </c>
      <c r="D56" s="5" t="n">
        <v>0</v>
      </c>
      <c r="E56" s="5" t="n">
        <v>0</v>
      </c>
      <c r="F56" s="5" t="n">
        <v>0</v>
      </c>
      <c r="G56" s="5" t="n">
        <v>0</v>
      </c>
      <c r="H56" s="5" t="n">
        <v>0</v>
      </c>
      <c r="I56" s="5" t="n">
        <v>0</v>
      </c>
      <c r="J56" s="5">
        <f>SUM(B56:I56)</f>
        <v/>
      </c>
      <c r="L56" s="10" t="n">
        <v>0.1041666666666667</v>
      </c>
      <c r="M56" s="8" t="n">
        <v>0.3422595024108887</v>
      </c>
      <c r="N56" s="8" t="n">
        <v>0.135079288482666</v>
      </c>
      <c r="O56" s="8" t="n">
        <v>0</v>
      </c>
      <c r="P56" s="8" t="n">
        <v>0</v>
      </c>
      <c r="Q56" s="8" t="n">
        <v>0.08698052356363811</v>
      </c>
      <c r="R56" s="8" t="n">
        <v>0.001990556716918945</v>
      </c>
      <c r="S56" s="8" t="n">
        <v>0</v>
      </c>
      <c r="T56" s="8" t="n">
        <v>0</v>
      </c>
      <c r="U56">
        <f>SUM(M56:T56)</f>
        <v/>
      </c>
    </row>
    <row r="57">
      <c r="A57" s="10" t="n">
        <v>0.125</v>
      </c>
      <c r="B57" s="5" t="n">
        <v>0.1202649297090819</v>
      </c>
      <c r="C57" s="5" t="n">
        <v>0</v>
      </c>
      <c r="D57" s="5" t="n">
        <v>0</v>
      </c>
      <c r="E57" s="5" t="n">
        <v>0</v>
      </c>
      <c r="F57" s="5" t="n">
        <v>0</v>
      </c>
      <c r="G57" s="5" t="n">
        <v>0</v>
      </c>
      <c r="H57" s="5" t="n">
        <v>0</v>
      </c>
      <c r="I57" s="5" t="n">
        <v>0</v>
      </c>
      <c r="J57" s="5">
        <f>SUM(B57:I57)</f>
        <v/>
      </c>
      <c r="L57" s="10" t="n">
        <v>0.125</v>
      </c>
      <c r="M57" s="8" t="n">
        <v>0.06791362762451172</v>
      </c>
      <c r="N57" s="8" t="n">
        <v>0.02749161720275878</v>
      </c>
      <c r="O57" s="8" t="n">
        <v>0</v>
      </c>
      <c r="P57" s="8" t="n">
        <v>0</v>
      </c>
      <c r="Q57" s="8" t="n">
        <v>0.01817305551366563</v>
      </c>
      <c r="R57" s="8" t="n">
        <v>0.0002785682678222656</v>
      </c>
      <c r="S57" s="8" t="n">
        <v>0</v>
      </c>
      <c r="T57" s="8" t="n">
        <v>0</v>
      </c>
      <c r="U57">
        <f>SUM(M57:T57)</f>
        <v/>
      </c>
    </row>
    <row r="58" ht="15.75" customHeight="1" s="71" thickBot="1">
      <c r="A58" s="11" t="inlineStr">
        <is>
          <t>After 27:00</t>
        </is>
      </c>
      <c r="B58" s="6" t="n">
        <v>0</v>
      </c>
      <c r="C58" s="6" t="n">
        <v>0</v>
      </c>
      <c r="D58" s="6" t="n">
        <v>0</v>
      </c>
      <c r="E58" s="6" t="n">
        <v>0</v>
      </c>
      <c r="F58" s="6" t="n">
        <v>0</v>
      </c>
      <c r="G58" s="6" t="n">
        <v>0</v>
      </c>
      <c r="H58" s="6" t="n">
        <v>0</v>
      </c>
      <c r="I58" s="6" t="n">
        <v>0</v>
      </c>
      <c r="J58" s="6">
        <f>SUM(B58:I58)</f>
        <v/>
      </c>
      <c r="L58" s="11" t="inlineStr">
        <is>
          <t>After 27:00</t>
        </is>
      </c>
      <c r="M58" s="9" t="n">
        <v>0</v>
      </c>
      <c r="N58" s="9" t="n">
        <v>0</v>
      </c>
      <c r="O58" s="9" t="n">
        <v>0</v>
      </c>
      <c r="P58" s="9" t="n">
        <v>0</v>
      </c>
      <c r="Q58" s="9" t="n">
        <v>0</v>
      </c>
      <c r="R58" s="9" t="n">
        <v>0</v>
      </c>
      <c r="S58" s="9" t="n">
        <v>0</v>
      </c>
      <c r="T58" s="9" t="n">
        <v>0</v>
      </c>
      <c r="U58" s="1">
        <f>SUM(M58:T58)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2:B22"/>
  <sheetViews>
    <sheetView workbookViewId="0">
      <selection activeCell="A1" sqref="A1"/>
    </sheetView>
  </sheetViews>
  <sheetFormatPr baseColWidth="8" defaultRowHeight="15"/>
  <sheetData>
    <row r="2">
      <c r="A2" s="7" t="inlineStr">
        <is>
          <t>Steps for tour time of day distributions</t>
        </is>
      </c>
    </row>
    <row r="3">
      <c r="B3" t="inlineStr">
        <is>
          <t>These frequency distributions have been generated using the tour file</t>
        </is>
      </c>
    </row>
    <row r="4">
      <c r="B4" t="inlineStr">
        <is>
          <t>Duration refers to the time spent at the primary destination</t>
        </is>
      </c>
    </row>
    <row r="22">
      <c r="A22" s="7" t="n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rgb="FFFFFF00"/>
    <outlinePr summaryBelow="1" summaryRight="1"/>
    <pageSetUpPr/>
  </sheetPr>
  <dimension ref="A1:K265"/>
  <sheetViews>
    <sheetView workbookViewId="0">
      <selection activeCell="M32" sqref="M32"/>
    </sheetView>
  </sheetViews>
  <sheetFormatPr baseColWidth="8" defaultRowHeight="15"/>
  <sheetData>
    <row r="1">
      <c r="A1" s="42" t="inlineStr">
        <is>
          <t>Instructions:</t>
        </is>
      </c>
      <c r="B1" s="43" t="n"/>
      <c r="C1" s="43" t="n"/>
      <c r="D1" s="43" t="n"/>
      <c r="E1" s="43" t="n"/>
      <c r="F1" s="43" t="n"/>
      <c r="G1" s="43" t="n"/>
      <c r="H1" s="43" t="inlineStr">
        <is>
          <t>By: nagendra.dhakar@rsginc.com</t>
        </is>
      </c>
      <c r="I1" s="43" t="n"/>
      <c r="J1" s="43" t="n"/>
      <c r="K1" s="44" t="n"/>
    </row>
    <row r="2">
      <c r="A2" s="45" t="n">
        <v>1</v>
      </c>
      <c r="B2" s="46" t="inlineStr">
        <is>
          <t>Open "WorkbasedSubtourGenerationCoefficients_SACOG-v1.5.F12" in Notepad+</t>
        </is>
      </c>
      <c r="C2" s="46" t="n"/>
      <c r="D2" s="46" t="n"/>
      <c r="E2" s="46" t="n"/>
      <c r="F2" s="46" t="n"/>
      <c r="G2" s="46" t="n"/>
      <c r="H2" s="46" t="n"/>
      <c r="I2" s="46" t="n"/>
      <c r="J2" s="46" t="n"/>
      <c r="K2" s="47" t="n"/>
    </row>
    <row r="3">
      <c r="A3" s="45" t="n">
        <v>2</v>
      </c>
      <c r="B3" s="46" t="inlineStr">
        <is>
          <t>Select all(ctrl+A)</t>
        </is>
      </c>
      <c r="C3" s="46" t="n"/>
      <c r="D3" s="46" t="n"/>
      <c r="E3" s="46" t="n"/>
      <c r="F3" s="46" t="n"/>
      <c r="G3" s="46" t="n"/>
      <c r="H3" s="46" t="n"/>
      <c r="I3" s="46" t="n"/>
      <c r="J3" s="46" t="n"/>
      <c r="K3" s="47" t="n"/>
    </row>
    <row r="4">
      <c r="A4" s="45" t="n">
        <v>3</v>
      </c>
      <c r="B4" s="46" t="inlineStr">
        <is>
          <t>Paste in cell A8</t>
        </is>
      </c>
      <c r="C4" s="46" t="n"/>
      <c r="D4" s="46" t="n"/>
      <c r="E4" s="46" t="n"/>
      <c r="F4" s="46" t="n"/>
      <c r="G4" s="46" t="n"/>
      <c r="H4" s="46" t="n"/>
      <c r="I4" s="46" t="n"/>
      <c r="J4" s="46" t="n"/>
      <c r="K4" s="47" t="n"/>
    </row>
    <row r="5">
      <c r="A5" s="45" t="n">
        <v>4</v>
      </c>
      <c r="B5" s="46" t="inlineStr">
        <is>
          <t>Go to "Data" --&gt;Text to Columns - Select "Delimited" ---&gt; Select "Space" --&gt; Finish</t>
        </is>
      </c>
      <c r="C5" s="46" t="n"/>
      <c r="D5" s="46" t="n"/>
      <c r="E5" s="46" t="n"/>
      <c r="F5" s="46" t="n"/>
      <c r="G5" s="46" t="n"/>
      <c r="H5" s="46" t="n"/>
      <c r="I5" s="46" t="n"/>
      <c r="J5" s="46" t="n"/>
      <c r="K5" s="47" t="n"/>
    </row>
    <row r="6">
      <c r="A6" s="48" t="n"/>
      <c r="B6" s="49" t="n"/>
      <c r="C6" s="49" t="n"/>
      <c r="D6" s="49" t="n"/>
      <c r="E6" s="49" t="n"/>
      <c r="F6" s="49" t="n"/>
      <c r="G6" s="49" t="n"/>
      <c r="H6" s="49" t="n"/>
      <c r="I6" s="49" t="n"/>
      <c r="J6" s="49" t="n"/>
      <c r="K6" s="50" t="n"/>
    </row>
    <row r="8">
      <c r="A8" t="inlineStr">
        <is>
          <t>tod</t>
        </is>
      </c>
      <c r="B8" t="inlineStr">
        <is>
          <t>school</t>
        </is>
      </c>
      <c r="C8" t="inlineStr">
        <is>
          <t>tours</t>
        </is>
      </c>
    </row>
    <row r="9">
      <c r="A9" t="inlineStr">
        <is>
          <t>Created</t>
        </is>
      </c>
      <c r="B9" t="inlineStr">
        <is>
          <t>by</t>
        </is>
      </c>
      <c r="C9" t="inlineStr">
        <is>
          <t>ALOGIT</t>
        </is>
      </c>
      <c r="D9" t="inlineStr">
        <is>
          <t>version</t>
        </is>
      </c>
      <c r="E9" t="n">
        <v>4</v>
      </c>
      <c r="F9" s="51" t="n">
        <v>0.7794791666666666</v>
      </c>
      <c r="G9" t="inlineStr">
        <is>
          <t>on</t>
        </is>
      </c>
      <c r="H9" t="n">
        <v>23</v>
      </c>
      <c r="I9" t="inlineStr">
        <is>
          <t>Oct</t>
        </is>
      </c>
      <c r="J9" t="n">
        <v>16</v>
      </c>
    </row>
    <row r="10">
      <c r="A10" t="inlineStr">
        <is>
          <t>END</t>
        </is>
      </c>
    </row>
    <row r="11">
      <c r="B11" t="n">
        <v>11</v>
      </c>
      <c r="C11" t="inlineStr">
        <is>
          <t>arr3-5</t>
        </is>
      </c>
      <c r="D11" t="inlineStr">
        <is>
          <t>T</t>
        </is>
      </c>
      <c r="E11" t="n">
        <v>-10</v>
      </c>
      <c r="F11" t="n">
        <v>0</v>
      </c>
    </row>
    <row r="12">
      <c r="B12" t="n">
        <v>12</v>
      </c>
      <c r="C12" t="inlineStr">
        <is>
          <t>arr=6</t>
        </is>
      </c>
      <c r="D12" t="inlineStr">
        <is>
          <t>F</t>
        </is>
      </c>
      <c r="E12" t="n">
        <v>-4.98078</v>
      </c>
      <c r="F12" t="n">
        <v>0.190843919235</v>
      </c>
    </row>
    <row r="13">
      <c r="B13" t="n">
        <v>13</v>
      </c>
      <c r="C13" t="inlineStr">
        <is>
          <t>arr=7</t>
        </is>
      </c>
      <c r="D13" t="inlineStr">
        <is>
          <t>F</t>
        </is>
      </c>
      <c r="E13" t="n">
        <v>-2.18872</v>
      </c>
      <c r="F13" s="52" t="n">
        <v>0.0729952555161</v>
      </c>
    </row>
    <row r="14">
      <c r="B14" t="n">
        <v>14</v>
      </c>
      <c r="C14" t="inlineStr">
        <is>
          <t>arr=8</t>
        </is>
      </c>
      <c r="D14" t="inlineStr">
        <is>
          <t>T</t>
        </is>
      </c>
      <c r="E14" t="n">
        <v>-1.29</v>
      </c>
      <c r="F14" t="n">
        <v>0</v>
      </c>
    </row>
    <row r="15">
      <c r="B15" t="n">
        <v>15</v>
      </c>
      <c r="C15" t="inlineStr">
        <is>
          <t>arr=9</t>
        </is>
      </c>
      <c r="D15" t="inlineStr">
        <is>
          <t>F</t>
        </is>
      </c>
      <c r="E15" t="n">
        <v>-1.46191</v>
      </c>
      <c r="F15" s="52" t="n">
        <v>0.06991620117940001</v>
      </c>
    </row>
    <row r="16">
      <c r="B16" t="n">
        <v>16</v>
      </c>
      <c r="C16" t="inlineStr">
        <is>
          <t>arr10-12</t>
        </is>
      </c>
      <c r="D16" t="inlineStr">
        <is>
          <t>F</t>
        </is>
      </c>
      <c r="E16" t="n">
        <v>-1.91828</v>
      </c>
      <c r="F16" s="52" t="n">
        <v>0.0996703159847</v>
      </c>
    </row>
    <row r="17">
      <c r="B17" t="n">
        <v>17</v>
      </c>
      <c r="C17" t="inlineStr">
        <is>
          <t>arr13-15</t>
        </is>
      </c>
      <c r="D17" t="inlineStr">
        <is>
          <t>F</t>
        </is>
      </c>
      <c r="E17" t="n">
        <v>-2.06926</v>
      </c>
      <c r="F17" t="n">
        <v>0.17572866041</v>
      </c>
    </row>
    <row r="18">
      <c r="B18" t="n">
        <v>18</v>
      </c>
      <c r="C18" t="inlineStr">
        <is>
          <t>arr16-18</t>
        </is>
      </c>
      <c r="D18" t="inlineStr">
        <is>
          <t>F</t>
        </is>
      </c>
      <c r="E18" t="n">
        <v>-2.19163</v>
      </c>
      <c r="F18" t="n">
        <v>0.252587115171</v>
      </c>
    </row>
    <row r="19">
      <c r="B19" t="n">
        <v>19</v>
      </c>
      <c r="C19" t="inlineStr">
        <is>
          <t>arr19-21</t>
        </is>
      </c>
      <c r="D19" t="inlineStr">
        <is>
          <t>F</t>
        </is>
      </c>
      <c r="E19" t="n">
        <v>-3.6867</v>
      </c>
      <c r="F19" t="n">
        <v>0.345322473939</v>
      </c>
    </row>
    <row r="20">
      <c r="B20" t="n">
        <v>20</v>
      </c>
      <c r="C20" t="inlineStr">
        <is>
          <t>arr22-26</t>
        </is>
      </c>
      <c r="D20" t="inlineStr">
        <is>
          <t>T</t>
        </is>
      </c>
      <c r="E20" t="n">
        <v>-10</v>
      </c>
      <c r="F20" t="n">
        <v>0</v>
      </c>
    </row>
    <row r="21">
      <c r="B21" t="n">
        <v>21</v>
      </c>
      <c r="C21" t="inlineStr">
        <is>
          <t>dep3-6</t>
        </is>
      </c>
      <c r="D21" t="inlineStr">
        <is>
          <t>T</t>
        </is>
      </c>
      <c r="E21" t="n">
        <v>-10</v>
      </c>
      <c r="F21" t="n">
        <v>0</v>
      </c>
    </row>
    <row r="22">
      <c r="B22" t="n">
        <v>22</v>
      </c>
      <c r="C22" t="inlineStr">
        <is>
          <t>dep7-9</t>
        </is>
      </c>
      <c r="D22" t="inlineStr">
        <is>
          <t>F</t>
        </is>
      </c>
      <c r="E22" t="n">
        <v>-2.62497</v>
      </c>
      <c r="F22" t="n">
        <v>0.230987524322</v>
      </c>
    </row>
    <row r="23">
      <c r="B23" t="n">
        <v>23</v>
      </c>
      <c r="C23" t="inlineStr">
        <is>
          <t>dep10-12</t>
        </is>
      </c>
      <c r="D23" t="inlineStr">
        <is>
          <t>F</t>
        </is>
      </c>
      <c r="E23" t="n">
        <v>-0.8476900000000001</v>
      </c>
      <c r="F23" t="n">
        <v>0.149145210443</v>
      </c>
    </row>
    <row r="24">
      <c r="B24" t="n">
        <v>24</v>
      </c>
      <c r="C24" t="inlineStr">
        <is>
          <t>dep13-14</t>
        </is>
      </c>
      <c r="D24" t="inlineStr">
        <is>
          <t>F</t>
        </is>
      </c>
      <c r="E24" t="n">
        <v>0.4671</v>
      </c>
      <c r="F24" t="n">
        <v>0.101520233238</v>
      </c>
    </row>
    <row r="25">
      <c r="B25" t="n">
        <v>25</v>
      </c>
      <c r="C25" t="inlineStr">
        <is>
          <t>dep=16</t>
        </is>
      </c>
      <c r="D25" t="inlineStr">
        <is>
          <t>T</t>
        </is>
      </c>
      <c r="E25" t="n">
        <v>0</v>
      </c>
      <c r="F25" t="n">
        <v>0</v>
      </c>
    </row>
    <row r="26">
      <c r="B26" t="n">
        <v>26</v>
      </c>
      <c r="C26" t="inlineStr">
        <is>
          <t>dep=17</t>
        </is>
      </c>
      <c r="D26" t="inlineStr">
        <is>
          <t>F</t>
        </is>
      </c>
      <c r="E26" s="52" t="n">
        <v>-0.8942099999999999</v>
      </c>
      <c r="F26" s="52" t="n">
        <v>0.0950375553223</v>
      </c>
    </row>
    <row r="27">
      <c r="B27" t="n">
        <v>27</v>
      </c>
      <c r="C27" t="inlineStr">
        <is>
          <t>dep=18</t>
        </is>
      </c>
      <c r="D27" t="inlineStr">
        <is>
          <t>F</t>
        </is>
      </c>
      <c r="E27" t="n">
        <v>-1.82273</v>
      </c>
      <c r="F27" t="n">
        <v>0.117910019737</v>
      </c>
    </row>
    <row r="28">
      <c r="B28" t="n">
        <v>28</v>
      </c>
      <c r="C28" t="inlineStr">
        <is>
          <t>dep19-20</t>
        </is>
      </c>
      <c r="D28" t="inlineStr">
        <is>
          <t>F</t>
        </is>
      </c>
      <c r="E28" t="n">
        <v>-2.36542</v>
      </c>
      <c r="F28" t="n">
        <v>0.132091652196</v>
      </c>
    </row>
    <row r="29">
      <c r="B29" t="n">
        <v>29</v>
      </c>
      <c r="C29" t="inlineStr">
        <is>
          <t>dep21-23</t>
        </is>
      </c>
      <c r="D29" t="inlineStr">
        <is>
          <t>F</t>
        </is>
      </c>
      <c r="E29" t="n">
        <v>-3.26417</v>
      </c>
      <c r="F29" t="n">
        <v>0.189238751383</v>
      </c>
    </row>
    <row r="30">
      <c r="B30" t="n">
        <v>30</v>
      </c>
      <c r="C30" t="inlineStr">
        <is>
          <t>dep24-26</t>
        </is>
      </c>
      <c r="D30" t="inlineStr">
        <is>
          <t>T</t>
        </is>
      </c>
      <c r="E30" t="n">
        <v>-10</v>
      </c>
      <c r="F30" t="n">
        <v>0</v>
      </c>
    </row>
    <row r="31">
      <c r="B31" t="n">
        <v>31</v>
      </c>
      <c r="C31" t="inlineStr">
        <is>
          <t>dur0-2</t>
        </is>
      </c>
      <c r="D31" t="inlineStr">
        <is>
          <t>F</t>
        </is>
      </c>
      <c r="E31" t="n">
        <v>-0.39252</v>
      </c>
      <c r="F31" t="n">
        <v>0.237170453452</v>
      </c>
    </row>
    <row r="32">
      <c r="B32" t="n">
        <v>32</v>
      </c>
      <c r="C32" t="inlineStr">
        <is>
          <t>dur3-4</t>
        </is>
      </c>
      <c r="D32" t="inlineStr">
        <is>
          <t>F</t>
        </is>
      </c>
      <c r="E32" t="n">
        <v>-0.0212</v>
      </c>
      <c r="F32" t="n">
        <v>0.190107165818</v>
      </c>
    </row>
    <row r="33">
      <c r="B33" t="n">
        <v>33</v>
      </c>
      <c r="C33" t="inlineStr">
        <is>
          <t>dur5-6</t>
        </is>
      </c>
      <c r="D33" t="inlineStr">
        <is>
          <t>F</t>
        </is>
      </c>
      <c r="E33" t="n">
        <v>0.27398</v>
      </c>
      <c r="F33" t="n">
        <v>0.152851703493</v>
      </c>
    </row>
    <row r="34">
      <c r="B34" t="n">
        <v>34</v>
      </c>
      <c r="C34" t="inlineStr">
        <is>
          <t>dur7-8</t>
        </is>
      </c>
      <c r="D34" t="inlineStr">
        <is>
          <t>F</t>
        </is>
      </c>
      <c r="E34" t="n">
        <v>0.40205</v>
      </c>
      <c r="F34" t="n">
        <v>0.117301271226</v>
      </c>
    </row>
    <row r="35">
      <c r="B35" t="n">
        <v>35</v>
      </c>
      <c r="C35" t="inlineStr">
        <is>
          <t>dur=9</t>
        </is>
      </c>
      <c r="D35" t="inlineStr">
        <is>
          <t>T</t>
        </is>
      </c>
      <c r="E35" t="n">
        <v>-0.65956</v>
      </c>
      <c r="F35" t="n">
        <v>0</v>
      </c>
    </row>
    <row r="36">
      <c r="B36" t="n">
        <v>36</v>
      </c>
      <c r="C36" t="inlineStr">
        <is>
          <t>dur=10</t>
        </is>
      </c>
      <c r="D36" t="inlineStr">
        <is>
          <t>F</t>
        </is>
      </c>
      <c r="E36" t="n">
        <v>-1.01283</v>
      </c>
      <c r="F36" t="n">
        <v>0.148041807683</v>
      </c>
    </row>
    <row r="37">
      <c r="B37" t="n">
        <v>37</v>
      </c>
      <c r="C37" t="inlineStr">
        <is>
          <t>dur=11</t>
        </is>
      </c>
      <c r="D37" t="inlineStr">
        <is>
          <t>F</t>
        </is>
      </c>
      <c r="E37" t="n">
        <v>-2.67506</v>
      </c>
      <c r="F37" t="n">
        <v>0.27910988101</v>
      </c>
    </row>
    <row r="38">
      <c r="B38" t="n">
        <v>38</v>
      </c>
      <c r="C38" t="inlineStr">
        <is>
          <t>dur12-13</t>
        </is>
      </c>
      <c r="D38" t="inlineStr">
        <is>
          <t>F</t>
        </is>
      </c>
      <c r="E38" t="n">
        <v>-3.10283</v>
      </c>
      <c r="F38" t="n">
        <v>0.294702906193</v>
      </c>
    </row>
    <row r="39">
      <c r="B39" t="n">
        <v>39</v>
      </c>
      <c r="C39" t="inlineStr">
        <is>
          <t>dur14-17</t>
        </is>
      </c>
      <c r="D39" t="inlineStr">
        <is>
          <t>F</t>
        </is>
      </c>
      <c r="E39" t="n">
        <v>-2.83559</v>
      </c>
      <c r="F39" t="n">
        <v>0.480799490405</v>
      </c>
    </row>
    <row r="40">
      <c r="B40" t="n">
        <v>40</v>
      </c>
      <c r="C40" t="inlineStr">
        <is>
          <t>dur18-23</t>
        </is>
      </c>
      <c r="D40" t="inlineStr">
        <is>
          <t>T</t>
        </is>
      </c>
      <c r="E40" t="n">
        <v>-10</v>
      </c>
      <c r="F40" t="n">
        <v>0</v>
      </c>
    </row>
    <row r="41">
      <c r="B41" t="n">
        <v>41</v>
      </c>
      <c r="C41" t="inlineStr">
        <is>
          <t>ptwk-arr</t>
        </is>
      </c>
      <c r="D41" t="inlineStr">
        <is>
          <t>F</t>
        </is>
      </c>
      <c r="E41" s="52" t="n">
        <v>0.04359</v>
      </c>
      <c r="F41" s="52" t="n">
        <v>0.0291446538281</v>
      </c>
    </row>
    <row r="42">
      <c r="B42" t="n">
        <v>42</v>
      </c>
      <c r="C42" t="inlineStr">
        <is>
          <t>ptwk-dur</t>
        </is>
      </c>
      <c r="D42" t="inlineStr">
        <is>
          <t>F</t>
        </is>
      </c>
      <c r="E42" s="52" t="n">
        <v>-0.01386</v>
      </c>
      <c r="F42" s="52" t="n">
        <v>0.0255401812415</v>
      </c>
    </row>
    <row r="43">
      <c r="B43" t="n">
        <v>43</v>
      </c>
      <c r="C43" t="inlineStr">
        <is>
          <t>nwad-arr</t>
        </is>
      </c>
      <c r="D43" t="inlineStr">
        <is>
          <t>F</t>
        </is>
      </c>
      <c r="E43" t="n">
        <v>0.12147</v>
      </c>
      <c r="F43" s="52" t="n">
        <v>0.0216348405658</v>
      </c>
    </row>
    <row r="44">
      <c r="B44" t="n">
        <v>44</v>
      </c>
      <c r="C44" t="inlineStr">
        <is>
          <t>nwad-dur</t>
        </is>
      </c>
      <c r="D44" t="inlineStr">
        <is>
          <t>F</t>
        </is>
      </c>
      <c r="E44" s="52" t="n">
        <v>-0.02971</v>
      </c>
      <c r="F44" s="52" t="n">
        <v>0.0190293795026</v>
      </c>
    </row>
    <row r="45">
      <c r="B45" t="n">
        <v>45</v>
      </c>
      <c r="C45" t="inlineStr">
        <is>
          <t>univ-arr</t>
        </is>
      </c>
      <c r="D45" t="inlineStr">
        <is>
          <t>F</t>
        </is>
      </c>
      <c r="E45" t="n">
        <v>0.12216</v>
      </c>
      <c r="F45" s="52" t="n">
        <v>0.0147317799812</v>
      </c>
    </row>
    <row r="46">
      <c r="B46" t="n">
        <v>46</v>
      </c>
      <c r="C46" t="inlineStr">
        <is>
          <t>univ-dur</t>
        </is>
      </c>
      <c r="D46" t="inlineStr">
        <is>
          <t>F</t>
        </is>
      </c>
      <c r="E46" s="52" t="n">
        <v>-0.0891</v>
      </c>
      <c r="F46" s="52" t="n">
        <v>0.0118154215857</v>
      </c>
    </row>
    <row r="47">
      <c r="B47" t="n">
        <v>49</v>
      </c>
      <c r="C47" t="inlineStr">
        <is>
          <t>dkid-arr</t>
        </is>
      </c>
      <c r="D47" t="inlineStr">
        <is>
          <t>F</t>
        </is>
      </c>
      <c r="E47" t="n">
        <v>-0.22693</v>
      </c>
      <c r="F47" s="52" t="n">
        <v>0.0308998166399</v>
      </c>
    </row>
    <row r="48">
      <c r="B48" t="n">
        <v>50</v>
      </c>
      <c r="C48" t="inlineStr">
        <is>
          <t>dkid-dur</t>
        </is>
      </c>
      <c r="D48" t="inlineStr">
        <is>
          <t>F</t>
        </is>
      </c>
      <c r="E48" s="52" t="n">
        <v>0.03212</v>
      </c>
      <c r="F48" s="52" t="n">
        <v>0.0162016296187</v>
      </c>
    </row>
    <row r="49">
      <c r="B49" t="n">
        <v>61</v>
      </c>
      <c r="C49" t="inlineStr">
        <is>
          <t>ns*ot-arr</t>
        </is>
      </c>
      <c r="D49" t="inlineStr">
        <is>
          <t>F</t>
        </is>
      </c>
      <c r="E49" s="52" t="n">
        <v>0.03038</v>
      </c>
      <c r="F49" s="52" t="n">
        <v>0.00448729647508</v>
      </c>
    </row>
    <row r="50">
      <c r="B50" t="n">
        <v>62</v>
      </c>
      <c r="C50" t="inlineStr">
        <is>
          <t>ns*ot-dur</t>
        </is>
      </c>
      <c r="D50" t="inlineStr">
        <is>
          <t>F</t>
        </is>
      </c>
      <c r="E50" s="52" t="n">
        <v>-0.03694</v>
      </c>
      <c r="F50" s="52" t="n">
        <v>0.00514159630503</v>
      </c>
    </row>
    <row r="51">
      <c r="B51" t="n">
        <v>65</v>
      </c>
      <c r="C51" t="inlineStr">
        <is>
          <t>rs*mt-arr</t>
        </is>
      </c>
      <c r="D51" t="inlineStr">
        <is>
          <t>F</t>
        </is>
      </c>
      <c r="E51" s="52" t="n">
        <v>-0.00374</v>
      </c>
      <c r="F51" s="52" t="n">
        <v>0.00498274263496</v>
      </c>
    </row>
    <row r="52">
      <c r="B52" t="n">
        <v>66</v>
      </c>
      <c r="C52" t="inlineStr">
        <is>
          <t>rs*mt-dur</t>
        </is>
      </c>
      <c r="D52" t="inlineStr">
        <is>
          <t>F</t>
        </is>
      </c>
      <c r="E52" s="52" t="n">
        <v>-0.02671</v>
      </c>
      <c r="F52" s="52" t="n">
        <v>0.00610337578582</v>
      </c>
    </row>
    <row r="53">
      <c r="B53" t="n">
        <v>67</v>
      </c>
      <c r="C53" t="inlineStr">
        <is>
          <t>iescs-arr</t>
        </is>
      </c>
      <c r="D53" t="inlineStr">
        <is>
          <t>F</t>
        </is>
      </c>
      <c r="E53" s="52" t="n">
        <v>-0.02669</v>
      </c>
      <c r="F53" s="52" t="n">
        <v>0.0167516400993</v>
      </c>
    </row>
    <row r="54">
      <c r="B54" t="n">
        <v>68</v>
      </c>
      <c r="C54" t="inlineStr">
        <is>
          <t>iescs-dur</t>
        </is>
      </c>
      <c r="D54" t="inlineStr">
        <is>
          <t>F</t>
        </is>
      </c>
      <c r="E54" s="52" t="n">
        <v>0.03249</v>
      </c>
      <c r="F54" s="52" t="n">
        <v>0.0146569282191</v>
      </c>
    </row>
    <row r="55">
      <c r="B55" t="n">
        <v>85</v>
      </c>
      <c r="C55" t="inlineStr">
        <is>
          <t>ctim-out</t>
        </is>
      </c>
      <c r="D55" t="inlineStr">
        <is>
          <t>T</t>
        </is>
      </c>
      <c r="E55" t="n">
        <v>0.25</v>
      </c>
      <c r="F55" t="n">
        <v>0</v>
      </c>
    </row>
    <row r="56">
      <c r="B56" t="n">
        <v>86</v>
      </c>
      <c r="C56" t="inlineStr">
        <is>
          <t>ctim-ret</t>
        </is>
      </c>
      <c r="D56" t="inlineStr">
        <is>
          <t>T</t>
        </is>
      </c>
      <c r="E56" t="n">
        <v>0.25</v>
      </c>
      <c r="F56" t="n">
        <v>0</v>
      </c>
    </row>
    <row r="57">
      <c r="B57" t="n">
        <v>87</v>
      </c>
      <c r="C57" t="inlineStr">
        <is>
          <t>ttim-out</t>
        </is>
      </c>
      <c r="D57" t="inlineStr">
        <is>
          <t>T</t>
        </is>
      </c>
      <c r="E57" t="n">
        <v>0.25</v>
      </c>
      <c r="F57" t="n">
        <v>0</v>
      </c>
    </row>
    <row r="58">
      <c r="B58" t="n">
        <v>88</v>
      </c>
      <c r="C58" t="inlineStr">
        <is>
          <t>ttim-ret</t>
        </is>
      </c>
      <c r="D58" t="inlineStr">
        <is>
          <t>T</t>
        </is>
      </c>
      <c r="E58" t="n">
        <v>0.25</v>
      </c>
      <c r="F58" t="n">
        <v>0</v>
      </c>
    </row>
    <row r="59">
      <c r="B59" t="n">
        <v>91</v>
      </c>
      <c r="C59" t="inlineStr">
        <is>
          <t>arrpused</t>
        </is>
      </c>
      <c r="D59" t="inlineStr">
        <is>
          <t>T</t>
        </is>
      </c>
      <c r="E59" t="n">
        <v>5</v>
      </c>
      <c r="F59" t="n">
        <v>0</v>
      </c>
    </row>
    <row r="60">
      <c r="B60" t="n">
        <v>92</v>
      </c>
      <c r="C60" t="inlineStr">
        <is>
          <t>deppused</t>
        </is>
      </c>
      <c r="D60" t="inlineStr">
        <is>
          <t>F</t>
        </is>
      </c>
      <c r="E60" t="n">
        <v>3.10499</v>
      </c>
      <c r="F60" t="n">
        <v>1.33815595983</v>
      </c>
    </row>
    <row r="61">
      <c r="B61" t="n">
        <v>93</v>
      </c>
      <c r="C61" t="inlineStr">
        <is>
          <t>cempbef1</t>
        </is>
      </c>
      <c r="D61" t="inlineStr">
        <is>
          <t>F</t>
        </is>
      </c>
      <c r="E61" t="n">
        <v>-0.33954</v>
      </c>
      <c r="F61" s="52" t="n">
        <v>0.0197639780377</v>
      </c>
    </row>
    <row r="62">
      <c r="B62" t="n">
        <v>94</v>
      </c>
      <c r="C62" t="inlineStr">
        <is>
          <t>cempaft1</t>
        </is>
      </c>
      <c r="D62" t="inlineStr">
        <is>
          <t>F</t>
        </is>
      </c>
      <c r="E62" t="n">
        <v>-0.16218</v>
      </c>
      <c r="F62" s="52" t="n">
        <v>0.0168630043363</v>
      </c>
    </row>
    <row r="63">
      <c r="B63" t="n">
        <v>95</v>
      </c>
      <c r="C63" t="inlineStr">
        <is>
          <t>cempbef2</t>
        </is>
      </c>
      <c r="D63" t="inlineStr">
        <is>
          <t>F</t>
        </is>
      </c>
      <c r="E63" t="n">
        <v>-0.16872</v>
      </c>
      <c r="F63" s="52" t="n">
        <v>0.0176289796486</v>
      </c>
    </row>
    <row r="64">
      <c r="B64" t="n">
        <v>96</v>
      </c>
      <c r="C64" t="inlineStr">
        <is>
          <t>cempaft2</t>
        </is>
      </c>
      <c r="D64" t="inlineStr">
        <is>
          <t>F</t>
        </is>
      </c>
      <c r="E64" s="52" t="n">
        <v>-0.0696</v>
      </c>
      <c r="F64" s="52" t="n">
        <v>0.0143135557327</v>
      </c>
    </row>
    <row r="65">
      <c r="B65" t="n">
        <v>97</v>
      </c>
      <c r="C65" t="inlineStr">
        <is>
          <t>toursdtwin</t>
        </is>
      </c>
      <c r="D65" t="inlineStr">
        <is>
          <t>F</t>
        </is>
      </c>
      <c r="E65" t="n">
        <v>-152.6479</v>
      </c>
      <c r="F65" t="n">
        <v>11.5595556537</v>
      </c>
    </row>
    <row r="66">
      <c r="B66" t="n">
        <v>99</v>
      </c>
      <c r="C66" t="inlineStr">
        <is>
          <t>toursdbwin</t>
        </is>
      </c>
      <c r="D66" t="inlineStr">
        <is>
          <t>F</t>
        </is>
      </c>
      <c r="E66" t="n">
        <v>-0.51661</v>
      </c>
      <c r="F66" t="n">
        <v>0.141977347921</v>
      </c>
    </row>
    <row r="67">
      <c r="B67" t="n">
        <v>100</v>
      </c>
      <c r="C67" t="inlineStr">
        <is>
          <t>toursdawin</t>
        </is>
      </c>
      <c r="D67" t="inlineStr">
        <is>
          <t>F</t>
        </is>
      </c>
      <c r="E67" s="52" t="n">
        <v>-0.0023</v>
      </c>
      <c r="F67" t="n">
        <v>0.191785892789</v>
      </c>
    </row>
    <row r="68">
      <c r="B68" t="n">
        <v>124</v>
      </c>
      <c r="C68" t="inlineStr">
        <is>
          <t>dep15</t>
        </is>
      </c>
      <c r="D68" t="inlineStr">
        <is>
          <t>F</t>
        </is>
      </c>
      <c r="E68" t="n">
        <v>0.75265</v>
      </c>
      <c r="F68" s="52" t="n">
        <v>0.0831142884174</v>
      </c>
    </row>
    <row r="69">
      <c r="B69" t="n">
        <v>139</v>
      </c>
      <c r="C69" t="inlineStr">
        <is>
          <t>ftwk-arr</t>
        </is>
      </c>
      <c r="D69" t="inlineStr">
        <is>
          <t>F</t>
        </is>
      </c>
      <c r="E69" t="n">
        <v>0.17319</v>
      </c>
      <c r="F69" s="52" t="n">
        <v>0.0404201567658</v>
      </c>
    </row>
    <row r="70">
      <c r="B70" t="n">
        <v>140</v>
      </c>
      <c r="C70" t="inlineStr">
        <is>
          <t>ftwk-dur</t>
        </is>
      </c>
      <c r="D70" t="inlineStr">
        <is>
          <t>F</t>
        </is>
      </c>
      <c r="E70" s="52" t="n">
        <v>-0.08134</v>
      </c>
      <c r="F70" s="52" t="n">
        <v>0.0452235294624</v>
      </c>
    </row>
    <row r="71">
      <c r="B71" t="n">
        <v>143</v>
      </c>
      <c r="C71" t="inlineStr">
        <is>
          <t>pres-arr</t>
        </is>
      </c>
      <c r="D71" t="inlineStr">
        <is>
          <t>F</t>
        </is>
      </c>
      <c r="E71" s="52" t="n">
        <v>-0.07901</v>
      </c>
      <c r="F71" s="52" t="n">
        <v>0.0329022148377</v>
      </c>
    </row>
    <row r="72">
      <c r="B72" t="n">
        <v>144</v>
      </c>
      <c r="C72" t="inlineStr">
        <is>
          <t>pres-dur</t>
        </is>
      </c>
      <c r="D72" t="inlineStr">
        <is>
          <t>F</t>
        </is>
      </c>
      <c r="E72" s="52" t="n">
        <v>0.06217</v>
      </c>
      <c r="F72" s="52" t="n">
        <v>0.0187243596845</v>
      </c>
    </row>
    <row r="73">
      <c r="B73" t="n">
        <v>-1</v>
      </c>
    </row>
    <row r="74">
      <c r="B74" t="n">
        <v>2724</v>
      </c>
      <c r="C74" s="52" t="n">
        <v>-14928.9272801</v>
      </c>
      <c r="D74" s="52" t="n">
        <v>-18805.0851612</v>
      </c>
      <c r="E74" s="52" t="n">
        <v>-15026.3680045</v>
      </c>
    </row>
    <row r="75">
      <c r="B75" t="n">
        <v>7</v>
      </c>
      <c r="C75" t="inlineStr">
        <is>
          <t>018:42:27</t>
        </is>
      </c>
      <c r="D75" t="inlineStr">
        <is>
          <t>on</t>
        </is>
      </c>
      <c r="E75" t="n">
        <v>23</v>
      </c>
      <c r="F75" t="inlineStr">
        <is>
          <t>Oct</t>
        </is>
      </c>
      <c r="G75" t="n">
        <v>16</v>
      </c>
    </row>
    <row r="76">
      <c r="B76" t="n">
        <v>0</v>
      </c>
      <c r="C76" t="n">
        <v>0</v>
      </c>
      <c r="D76" t="n">
        <v>27936</v>
      </c>
      <c r="E76" t="n">
        <v>0</v>
      </c>
      <c r="F76" t="n">
        <v>0</v>
      </c>
      <c r="G76" t="n">
        <v>0</v>
      </c>
      <c r="H76" t="n">
        <v>0</v>
      </c>
      <c r="I76" t="n">
        <v>-2015</v>
      </c>
      <c r="J76" t="n">
        <v>13356</v>
      </c>
      <c r="K76" t="n">
        <v>0</v>
      </c>
    </row>
    <row r="77">
      <c r="B77" t="n">
        <v>0</v>
      </c>
      <c r="C77" t="n">
        <v>-14709</v>
      </c>
      <c r="D77" t="n">
        <v>-8465</v>
      </c>
      <c r="E77" t="n">
        <v>0</v>
      </c>
      <c r="F77" t="n">
        <v>56394</v>
      </c>
      <c r="G77" t="n">
        <v>0</v>
      </c>
      <c r="H77" t="n">
        <v>-19001</v>
      </c>
      <c r="I77" t="n">
        <v>-19060</v>
      </c>
      <c r="J77" t="n">
        <v>0</v>
      </c>
      <c r="K77" t="n">
        <v>48860</v>
      </c>
    </row>
    <row r="78">
      <c r="B78" t="n">
        <v>83332</v>
      </c>
      <c r="C78" t="n">
        <v>0</v>
      </c>
      <c r="D78" t="n">
        <v>-19349</v>
      </c>
      <c r="E78" t="n">
        <v>-21487</v>
      </c>
      <c r="F78" t="n">
        <v>0</v>
      </c>
      <c r="G78" t="n">
        <v>43872</v>
      </c>
      <c r="H78" t="n">
        <v>77939</v>
      </c>
      <c r="I78" t="n">
        <v>88786</v>
      </c>
      <c r="J78" t="n">
        <v>0</v>
      </c>
      <c r="K78" t="n">
        <v>-15379</v>
      </c>
    </row>
    <row r="79">
      <c r="B79" t="n">
        <v>-17673</v>
      </c>
      <c r="C79" t="n">
        <v>0</v>
      </c>
      <c r="D79" t="n">
        <v>35412</v>
      </c>
      <c r="E79" t="n">
        <v>65066</v>
      </c>
      <c r="F79" t="n">
        <v>75946</v>
      </c>
      <c r="G79" t="n">
        <v>82838</v>
      </c>
      <c r="H79" t="n">
        <v>0</v>
      </c>
      <c r="I79" t="n">
        <v>0</v>
      </c>
      <c r="J79" t="n">
        <v>0</v>
      </c>
      <c r="K79" t="n">
        <v>0</v>
      </c>
    </row>
    <row r="80">
      <c r="B80" t="n">
        <v>0</v>
      </c>
      <c r="C80" t="n">
        <v>0</v>
      </c>
      <c r="D80" t="n">
        <v>0</v>
      </c>
      <c r="E80" t="n">
        <v>0</v>
      </c>
      <c r="F80" t="n">
        <v>0</v>
      </c>
      <c r="G80" t="n">
        <v>0</v>
      </c>
      <c r="H80" t="n">
        <v>0</v>
      </c>
      <c r="I80" t="n">
        <v>0</v>
      </c>
      <c r="J80" t="n">
        <v>0</v>
      </c>
      <c r="K80" t="n">
        <v>0</v>
      </c>
    </row>
    <row r="81">
      <c r="B81" t="n">
        <v>0</v>
      </c>
      <c r="C81" t="n">
        <v>0</v>
      </c>
      <c r="D81" t="n">
        <v>0</v>
      </c>
      <c r="E81" t="n">
        <v>0</v>
      </c>
      <c r="F81" t="n">
        <v>0</v>
      </c>
      <c r="G81" t="n">
        <v>0</v>
      </c>
      <c r="H81" t="n">
        <v>-11243</v>
      </c>
      <c r="I81" t="n">
        <v>-16153</v>
      </c>
      <c r="J81" t="n">
        <v>0</v>
      </c>
      <c r="K81" t="n">
        <v>17337</v>
      </c>
    </row>
    <row r="82">
      <c r="B82" t="n">
        <v>26892</v>
      </c>
      <c r="C82" t="n">
        <v>29102</v>
      </c>
      <c r="D82" t="n">
        <v>28742</v>
      </c>
      <c r="E82" t="n">
        <v>23845</v>
      </c>
      <c r="F82" t="n">
        <v>0</v>
      </c>
      <c r="G82" t="n">
        <v>0</v>
      </c>
      <c r="H82" t="n">
        <v>0</v>
      </c>
      <c r="I82" t="n">
        <v>-9976</v>
      </c>
      <c r="J82" t="n">
        <v>-13334</v>
      </c>
      <c r="K82" t="n">
        <v>0</v>
      </c>
    </row>
    <row r="83">
      <c r="B83" t="n">
        <v>13549</v>
      </c>
      <c r="C83" t="n">
        <v>22625</v>
      </c>
      <c r="D83" t="n">
        <v>28665</v>
      </c>
      <c r="E83" t="n">
        <v>29039</v>
      </c>
      <c r="F83" t="n">
        <v>24901</v>
      </c>
      <c r="G83" t="n">
        <v>0</v>
      </c>
      <c r="H83" t="n">
        <v>0</v>
      </c>
      <c r="I83" t="n">
        <v>81550</v>
      </c>
      <c r="J83" t="n">
        <v>0</v>
      </c>
      <c r="K83" t="n">
        <v>-9226</v>
      </c>
    </row>
    <row r="84">
      <c r="B84" t="n">
        <v>-11953</v>
      </c>
      <c r="C84" t="n">
        <v>0</v>
      </c>
      <c r="D84" t="n">
        <v>9412</v>
      </c>
      <c r="E84" t="n">
        <v>13278</v>
      </c>
      <c r="F84" t="n">
        <v>19610</v>
      </c>
      <c r="G84" t="n">
        <v>22293</v>
      </c>
      <c r="H84" t="n">
        <v>18609</v>
      </c>
      <c r="I84" t="n">
        <v>0</v>
      </c>
      <c r="J84" t="n">
        <v>0</v>
      </c>
      <c r="K84" t="n">
        <v>67703</v>
      </c>
    </row>
    <row r="85">
      <c r="B85" t="n">
        <v>81562</v>
      </c>
      <c r="C85" t="n">
        <v>0</v>
      </c>
      <c r="D85" t="n">
        <v>0</v>
      </c>
      <c r="E85" t="n">
        <v>0</v>
      </c>
      <c r="F85" t="n">
        <v>0</v>
      </c>
      <c r="G85" t="n">
        <v>0</v>
      </c>
      <c r="H85" t="n">
        <v>0</v>
      </c>
      <c r="I85" t="n">
        <v>0</v>
      </c>
      <c r="J85" t="n">
        <v>0</v>
      </c>
      <c r="K85" t="n">
        <v>0</v>
      </c>
    </row>
    <row r="86">
      <c r="B86" t="n">
        <v>0</v>
      </c>
      <c r="C86" t="n">
        <v>0</v>
      </c>
      <c r="D86" t="n">
        <v>0</v>
      </c>
      <c r="E86" t="n">
        <v>0</v>
      </c>
      <c r="F86" t="n">
        <v>0</v>
      </c>
      <c r="G86" t="n">
        <v>0</v>
      </c>
      <c r="H86" t="n">
        <v>4662</v>
      </c>
      <c r="I86" t="n">
        <v>4120</v>
      </c>
      <c r="J86" t="n">
        <v>0</v>
      </c>
      <c r="K86" t="n">
        <v>-7255</v>
      </c>
    </row>
    <row r="87">
      <c r="B87" t="n">
        <v>-8911</v>
      </c>
      <c r="C87" t="n">
        <v>-9633</v>
      </c>
      <c r="D87" t="n">
        <v>-14105</v>
      </c>
      <c r="E87" t="n">
        <v>-11082</v>
      </c>
      <c r="F87" t="n">
        <v>0</v>
      </c>
      <c r="G87" t="n">
        <v>0</v>
      </c>
      <c r="H87" t="n">
        <v>-3280</v>
      </c>
      <c r="I87" t="n">
        <v>5327</v>
      </c>
      <c r="J87" t="n">
        <v>23347</v>
      </c>
      <c r="K87" t="n">
        <v>0</v>
      </c>
    </row>
    <row r="88">
      <c r="B88" t="n">
        <v>0</v>
      </c>
      <c r="C88" t="n">
        <v>6018</v>
      </c>
      <c r="D88" t="n">
        <v>7913</v>
      </c>
      <c r="E88" t="n">
        <v>0</v>
      </c>
      <c r="F88" t="n">
        <v>-8365</v>
      </c>
      <c r="G88" t="n">
        <v>-12199</v>
      </c>
      <c r="H88" t="n">
        <v>-12742</v>
      </c>
      <c r="I88" t="n">
        <v>-19674</v>
      </c>
      <c r="J88" t="n">
        <v>-14484</v>
      </c>
      <c r="K88" t="n">
        <v>0</v>
      </c>
    </row>
    <row r="89">
      <c r="B89" t="n">
        <v>0</v>
      </c>
      <c r="C89" t="n">
        <v>-18317</v>
      </c>
      <c r="D89" t="n">
        <v>-12122</v>
      </c>
      <c r="E89" t="n">
        <v>6455</v>
      </c>
      <c r="F89" t="n">
        <v>0</v>
      </c>
      <c r="G89" t="n">
        <v>52009</v>
      </c>
      <c r="H89" t="n">
        <v>0</v>
      </c>
      <c r="I89" t="n">
        <v>6549</v>
      </c>
      <c r="J89" t="n">
        <v>8625</v>
      </c>
      <c r="K89" t="n">
        <v>0</v>
      </c>
    </row>
    <row r="90">
      <c r="B90" t="n">
        <v>-12421</v>
      </c>
      <c r="C90" t="n">
        <v>-18734</v>
      </c>
      <c r="D90" t="n">
        <v>-19479</v>
      </c>
      <c r="E90" t="n">
        <v>-27306</v>
      </c>
      <c r="F90" t="n">
        <v>-25997</v>
      </c>
      <c r="G90" t="n">
        <v>0</v>
      </c>
      <c r="H90" t="n">
        <v>0</v>
      </c>
      <c r="I90" t="n">
        <v>-35083</v>
      </c>
      <c r="J90" t="n">
        <v>-30640</v>
      </c>
      <c r="K90" t="n">
        <v>-8724</v>
      </c>
    </row>
    <row r="91">
      <c r="B91" t="n">
        <v>0</v>
      </c>
      <c r="C91" t="n">
        <v>53224</v>
      </c>
      <c r="D91" t="n">
        <v>60248</v>
      </c>
      <c r="E91" t="n">
        <v>0</v>
      </c>
      <c r="F91" t="n">
        <v>7199</v>
      </c>
      <c r="G91" t="n">
        <v>9577</v>
      </c>
      <c r="H91" t="n">
        <v>0</v>
      </c>
      <c r="I91" t="n">
        <v>-12156</v>
      </c>
      <c r="J91" t="n">
        <v>-19314</v>
      </c>
      <c r="K91" t="n">
        <v>-22522</v>
      </c>
    </row>
    <row r="92">
      <c r="B92" t="n">
        <v>-28507</v>
      </c>
      <c r="C92" t="n">
        <v>-33640</v>
      </c>
      <c r="D92" t="n">
        <v>0</v>
      </c>
      <c r="E92" t="n">
        <v>0</v>
      </c>
      <c r="F92" t="n">
        <v>-45559</v>
      </c>
      <c r="G92" t="n">
        <v>-44196</v>
      </c>
      <c r="H92" t="n">
        <v>-22893</v>
      </c>
      <c r="I92" t="n">
        <v>0</v>
      </c>
      <c r="J92" t="n">
        <v>44603</v>
      </c>
      <c r="K92" t="n">
        <v>53821</v>
      </c>
    </row>
    <row r="93">
      <c r="B93" t="n">
        <v>71716</v>
      </c>
      <c r="C93" t="n">
        <v>0</v>
      </c>
      <c r="D93" t="n">
        <v>0</v>
      </c>
      <c r="E93" t="n">
        <v>0</v>
      </c>
      <c r="F93" t="n">
        <v>0</v>
      </c>
      <c r="G93" t="n">
        <v>0</v>
      </c>
      <c r="H93" t="n">
        <v>0</v>
      </c>
      <c r="I93" t="n">
        <v>0</v>
      </c>
      <c r="J93" t="n">
        <v>0</v>
      </c>
      <c r="K93" t="n">
        <v>0</v>
      </c>
    </row>
    <row r="94">
      <c r="B94" t="n">
        <v>0</v>
      </c>
      <c r="C94" t="n">
        <v>0</v>
      </c>
      <c r="D94" t="n">
        <v>0</v>
      </c>
      <c r="E94" t="n">
        <v>0</v>
      </c>
      <c r="F94" t="n">
        <v>0</v>
      </c>
      <c r="G94" t="n">
        <v>0</v>
      </c>
      <c r="H94" t="n">
        <v>0</v>
      </c>
      <c r="I94" t="n">
        <v>0</v>
      </c>
      <c r="J94" t="n">
        <v>0</v>
      </c>
      <c r="K94" t="n">
        <v>0</v>
      </c>
    </row>
    <row r="95">
      <c r="B95" t="n">
        <v>0</v>
      </c>
      <c r="C95" t="n">
        <v>4583</v>
      </c>
      <c r="D95" t="n">
        <v>4276</v>
      </c>
      <c r="E95" t="n">
        <v>0</v>
      </c>
      <c r="F95" t="n">
        <v>-6217</v>
      </c>
      <c r="G95" t="n">
        <v>-6323</v>
      </c>
      <c r="H95" t="n">
        <v>-7213</v>
      </c>
      <c r="I95" t="n">
        <v>-9933</v>
      </c>
      <c r="J95" t="n">
        <v>-13660</v>
      </c>
      <c r="K95" t="n">
        <v>0</v>
      </c>
    </row>
    <row r="96">
      <c r="B96" t="n">
        <v>0</v>
      </c>
      <c r="C96" t="n">
        <v>-15270</v>
      </c>
      <c r="D96" t="n">
        <v>-20617</v>
      </c>
      <c r="E96" t="n">
        <v>-16752</v>
      </c>
      <c r="F96" t="n">
        <v>0</v>
      </c>
      <c r="G96" t="n">
        <v>10290</v>
      </c>
      <c r="H96" t="n">
        <v>13040</v>
      </c>
      <c r="I96" t="n">
        <v>16523</v>
      </c>
      <c r="J96" t="n">
        <v>21409</v>
      </c>
      <c r="K96" t="n">
        <v>0</v>
      </c>
    </row>
    <row r="97">
      <c r="B97" t="n">
        <v>0</v>
      </c>
      <c r="C97" t="n">
        <v>4962</v>
      </c>
      <c r="D97" t="n">
        <v>3765</v>
      </c>
      <c r="E97" t="n">
        <v>0</v>
      </c>
      <c r="F97" t="n">
        <v>-5834</v>
      </c>
      <c r="G97" t="n">
        <v>-5823</v>
      </c>
      <c r="H97" t="n">
        <v>-6328</v>
      </c>
      <c r="I97" t="n">
        <v>-9894</v>
      </c>
      <c r="J97" t="n">
        <v>-12710</v>
      </c>
      <c r="K97" t="n">
        <v>0</v>
      </c>
    </row>
    <row r="98">
      <c r="B98" t="n">
        <v>0</v>
      </c>
      <c r="C98" t="n">
        <v>-13194</v>
      </c>
      <c r="D98" t="n">
        <v>-20731</v>
      </c>
      <c r="E98" t="n">
        <v>-18523</v>
      </c>
      <c r="F98" t="n">
        <v>0</v>
      </c>
      <c r="G98" t="n">
        <v>11434</v>
      </c>
      <c r="H98" t="n">
        <v>13843</v>
      </c>
      <c r="I98" t="n">
        <v>16725</v>
      </c>
      <c r="J98" t="n">
        <v>20919</v>
      </c>
      <c r="K98" t="n">
        <v>0</v>
      </c>
    </row>
    <row r="99">
      <c r="B99" t="n">
        <v>94924</v>
      </c>
      <c r="C99" t="n">
        <v>0</v>
      </c>
      <c r="D99" t="n">
        <v>5595</v>
      </c>
      <c r="E99" t="n">
        <v>4367</v>
      </c>
      <c r="F99" t="n">
        <v>0</v>
      </c>
      <c r="G99" t="n">
        <v>-6149</v>
      </c>
      <c r="H99" t="n">
        <v>-3843</v>
      </c>
      <c r="I99" t="n">
        <v>-4917</v>
      </c>
      <c r="J99" t="n">
        <v>-9485</v>
      </c>
      <c r="K99" t="n">
        <v>-11238</v>
      </c>
    </row>
    <row r="100">
      <c r="B100" t="n">
        <v>0</v>
      </c>
      <c r="C100" t="n">
        <v>0</v>
      </c>
      <c r="D100" t="n">
        <v>-11309</v>
      </c>
      <c r="E100" t="n">
        <v>-16376</v>
      </c>
      <c r="F100" t="n">
        <v>-20423</v>
      </c>
      <c r="G100" t="n">
        <v>0</v>
      </c>
      <c r="H100" t="n">
        <v>12503</v>
      </c>
      <c r="I100" t="n">
        <v>14162</v>
      </c>
      <c r="J100" t="n">
        <v>16055</v>
      </c>
      <c r="K100" t="n">
        <v>18839</v>
      </c>
    </row>
    <row r="101">
      <c r="B101" t="n">
        <v>0</v>
      </c>
      <c r="C101" t="n">
        <v>85486</v>
      </c>
      <c r="D101" t="n">
        <v>89046</v>
      </c>
      <c r="E101" t="n">
        <v>0</v>
      </c>
      <c r="F101" t="n">
        <v>4748</v>
      </c>
      <c r="G101" t="n">
        <v>1255</v>
      </c>
      <c r="H101" t="n">
        <v>0</v>
      </c>
      <c r="I101" t="n">
        <v>-2737</v>
      </c>
      <c r="J101" t="n">
        <v>-1651</v>
      </c>
      <c r="K101" t="n">
        <v>-2343</v>
      </c>
    </row>
    <row r="102">
      <c r="B102" t="n">
        <v>-6389</v>
      </c>
      <c r="C102" t="n">
        <v>-7312</v>
      </c>
      <c r="D102" t="n">
        <v>0</v>
      </c>
      <c r="E102" t="n">
        <v>0</v>
      </c>
      <c r="F102" t="n">
        <v>-5419</v>
      </c>
      <c r="G102" t="n">
        <v>-7577</v>
      </c>
      <c r="H102" t="n">
        <v>-8363</v>
      </c>
      <c r="I102" t="n">
        <v>0</v>
      </c>
      <c r="J102" t="n">
        <v>14102</v>
      </c>
      <c r="K102" t="n">
        <v>14717</v>
      </c>
    </row>
    <row r="103">
      <c r="B103" t="n">
        <v>14141</v>
      </c>
      <c r="C103" t="n">
        <v>14675</v>
      </c>
      <c r="D103" t="n">
        <v>0</v>
      </c>
      <c r="E103" t="n">
        <v>67434</v>
      </c>
      <c r="F103" t="n">
        <v>74345</v>
      </c>
      <c r="G103" t="n">
        <v>80283</v>
      </c>
      <c r="H103" t="n">
        <v>0</v>
      </c>
      <c r="I103" t="n">
        <v>0</v>
      </c>
      <c r="J103" t="n">
        <v>0</v>
      </c>
      <c r="K103" t="n">
        <v>0</v>
      </c>
    </row>
    <row r="104">
      <c r="B104" t="n">
        <v>0</v>
      </c>
      <c r="C104" t="n">
        <v>0</v>
      </c>
      <c r="D104" t="n">
        <v>0</v>
      </c>
      <c r="E104" t="n">
        <v>0</v>
      </c>
      <c r="F104" t="n">
        <v>0</v>
      </c>
      <c r="G104" t="n">
        <v>0</v>
      </c>
      <c r="H104" t="n">
        <v>0</v>
      </c>
      <c r="I104" t="n">
        <v>0</v>
      </c>
      <c r="J104" t="n">
        <v>0</v>
      </c>
      <c r="K104" t="n">
        <v>0</v>
      </c>
    </row>
    <row r="105">
      <c r="B105" t="n">
        <v>0</v>
      </c>
      <c r="C105" t="n">
        <v>0</v>
      </c>
      <c r="D105" t="n">
        <v>0</v>
      </c>
      <c r="E105" t="n">
        <v>0</v>
      </c>
      <c r="F105" t="n">
        <v>0</v>
      </c>
      <c r="G105" t="n">
        <v>0</v>
      </c>
      <c r="H105" t="n">
        <v>0</v>
      </c>
      <c r="I105" t="n">
        <v>0</v>
      </c>
      <c r="J105" t="n">
        <v>0</v>
      </c>
      <c r="K105" t="n">
        <v>0</v>
      </c>
    </row>
    <row r="106">
      <c r="B106" t="n">
        <v>0</v>
      </c>
      <c r="C106" t="n">
        <v>1004</v>
      </c>
      <c r="D106" t="n">
        <v>-2001</v>
      </c>
      <c r="E106" t="n">
        <v>0</v>
      </c>
      <c r="F106" t="n">
        <v>66</v>
      </c>
      <c r="G106" t="n">
        <v>712</v>
      </c>
      <c r="H106" t="n">
        <v>866</v>
      </c>
      <c r="I106" t="n">
        <v>2821</v>
      </c>
      <c r="J106" t="n">
        <v>4071</v>
      </c>
      <c r="K106" t="n">
        <v>0</v>
      </c>
    </row>
    <row r="107">
      <c r="B107" t="n">
        <v>0</v>
      </c>
      <c r="C107" t="n">
        <v>127</v>
      </c>
      <c r="D107" t="n">
        <v>-89</v>
      </c>
      <c r="E107" t="n">
        <v>-2191</v>
      </c>
      <c r="F107" t="n">
        <v>0</v>
      </c>
      <c r="G107" t="n">
        <v>-4783</v>
      </c>
      <c r="H107" t="n">
        <v>-13484</v>
      </c>
      <c r="I107" t="n">
        <v>-14441</v>
      </c>
      <c r="J107" t="n">
        <v>-11431</v>
      </c>
      <c r="K107" t="n">
        <v>0</v>
      </c>
    </row>
    <row r="108">
      <c r="B108" t="n">
        <v>6373</v>
      </c>
      <c r="C108" t="n">
        <v>13054</v>
      </c>
      <c r="D108" t="n">
        <v>22871</v>
      </c>
      <c r="E108" t="n">
        <v>39423</v>
      </c>
      <c r="F108" t="n">
        <v>0</v>
      </c>
      <c r="G108" t="n">
        <v>0</v>
      </c>
      <c r="H108" t="n">
        <v>510</v>
      </c>
      <c r="I108" t="n">
        <v>-202</v>
      </c>
      <c r="J108" t="n">
        <v>0</v>
      </c>
      <c r="K108" t="n">
        <v>617</v>
      </c>
    </row>
    <row r="109">
      <c r="B109" t="n">
        <v>1374</v>
      </c>
      <c r="C109" t="n">
        <v>1271</v>
      </c>
      <c r="D109" t="n">
        <v>2927</v>
      </c>
      <c r="E109" t="n">
        <v>4862</v>
      </c>
      <c r="F109" t="n">
        <v>0</v>
      </c>
      <c r="G109" t="n">
        <v>0</v>
      </c>
      <c r="H109" t="n">
        <v>586</v>
      </c>
      <c r="I109" t="n">
        <v>855</v>
      </c>
      <c r="J109" t="n">
        <v>-680</v>
      </c>
      <c r="K109" t="n">
        <v>0</v>
      </c>
    </row>
    <row r="110">
      <c r="B110" t="n">
        <v>-380</v>
      </c>
      <c r="C110" t="n">
        <v>-7539</v>
      </c>
      <c r="D110" t="n">
        <v>-14828</v>
      </c>
      <c r="E110" t="n">
        <v>-11352</v>
      </c>
      <c r="F110" t="n">
        <v>0</v>
      </c>
      <c r="G110" t="n">
        <v>-5903</v>
      </c>
      <c r="H110" t="n">
        <v>-1964</v>
      </c>
      <c r="I110" t="n">
        <v>4661</v>
      </c>
      <c r="J110" t="n">
        <v>16360</v>
      </c>
      <c r="K110" t="n">
        <v>0</v>
      </c>
    </row>
    <row r="111">
      <c r="B111" t="n">
        <v>28608</v>
      </c>
      <c r="C111" t="n">
        <v>0</v>
      </c>
      <c r="D111" t="n">
        <v>1011</v>
      </c>
      <c r="E111" t="n">
        <v>-433</v>
      </c>
      <c r="F111" t="n">
        <v>0</v>
      </c>
      <c r="G111" t="n">
        <v>995</v>
      </c>
      <c r="H111" t="n">
        <v>1485</v>
      </c>
      <c r="I111" t="n">
        <v>1344</v>
      </c>
      <c r="J111" t="n">
        <v>3430</v>
      </c>
      <c r="K111" t="n">
        <v>8096</v>
      </c>
    </row>
    <row r="112">
      <c r="B112" t="n">
        <v>0</v>
      </c>
      <c r="C112" t="n">
        <v>0</v>
      </c>
      <c r="D112" t="n">
        <v>721</v>
      </c>
      <c r="E112" t="n">
        <v>1623</v>
      </c>
      <c r="F112" t="n">
        <v>29</v>
      </c>
      <c r="G112" t="n">
        <v>0</v>
      </c>
      <c r="H112" t="n">
        <v>-572</v>
      </c>
      <c r="I112" t="n">
        <v>-4857</v>
      </c>
      <c r="J112" t="n">
        <v>-16391</v>
      </c>
      <c r="K112" t="n">
        <v>-20662</v>
      </c>
    </row>
    <row r="113">
      <c r="B113" t="n">
        <v>0</v>
      </c>
      <c r="C113" t="n">
        <v>-19241</v>
      </c>
      <c r="D113" t="n">
        <v>-15005</v>
      </c>
      <c r="E113" t="n">
        <v>-6734</v>
      </c>
      <c r="F113" t="n">
        <v>8734</v>
      </c>
      <c r="G113" t="n">
        <v>0</v>
      </c>
      <c r="H113" t="n">
        <v>31140</v>
      </c>
      <c r="I113" t="n">
        <v>23638</v>
      </c>
      <c r="J113" t="n">
        <v>0</v>
      </c>
      <c r="K113" t="n">
        <v>-524</v>
      </c>
    </row>
    <row r="114">
      <c r="B114" t="n">
        <v>-684</v>
      </c>
      <c r="C114" t="n">
        <v>0</v>
      </c>
      <c r="D114" t="n">
        <v>1124</v>
      </c>
      <c r="E114" t="n">
        <v>882</v>
      </c>
      <c r="F114" t="n">
        <v>789</v>
      </c>
      <c r="G114" t="n">
        <v>2436</v>
      </c>
      <c r="H114" t="n">
        <v>7616</v>
      </c>
      <c r="I114" t="n">
        <v>0</v>
      </c>
      <c r="J114" t="n">
        <v>0</v>
      </c>
      <c r="K114" t="n">
        <v>-937</v>
      </c>
    </row>
    <row r="115">
      <c r="B115" t="n">
        <v>125</v>
      </c>
      <c r="C115" t="n">
        <v>-507</v>
      </c>
      <c r="D115" t="n">
        <v>0</v>
      </c>
      <c r="E115" t="n">
        <v>-585</v>
      </c>
      <c r="F115" t="n">
        <v>-3437</v>
      </c>
      <c r="G115" t="n">
        <v>-8211</v>
      </c>
      <c r="H115" t="n">
        <v>-20190</v>
      </c>
      <c r="I115" t="n">
        <v>0</v>
      </c>
      <c r="J115" t="n">
        <v>-24919</v>
      </c>
      <c r="K115" t="n">
        <v>-21929</v>
      </c>
    </row>
    <row r="116">
      <c r="B116" t="n">
        <v>-15073</v>
      </c>
      <c r="C116" t="n">
        <v>-1452</v>
      </c>
      <c r="D116" t="n">
        <v>0</v>
      </c>
      <c r="E116" t="n">
        <v>22836</v>
      </c>
      <c r="F116" t="n">
        <v>18571</v>
      </c>
      <c r="G116" t="n">
        <v>28473</v>
      </c>
      <c r="H116" t="n">
        <v>0</v>
      </c>
      <c r="I116" t="n">
        <v>0</v>
      </c>
      <c r="J116" t="n">
        <v>0</v>
      </c>
      <c r="K116" t="n">
        <v>0</v>
      </c>
    </row>
    <row r="117">
      <c r="B117" t="n">
        <v>0</v>
      </c>
      <c r="C117" t="n">
        <v>0</v>
      </c>
      <c r="D117" t="n">
        <v>0</v>
      </c>
      <c r="E117" t="n">
        <v>0</v>
      </c>
      <c r="F117" t="n">
        <v>0</v>
      </c>
      <c r="G117" t="n">
        <v>0</v>
      </c>
      <c r="H117" t="n">
        <v>0</v>
      </c>
      <c r="I117" t="n">
        <v>0</v>
      </c>
      <c r="J117" t="n">
        <v>0</v>
      </c>
      <c r="K117" t="n">
        <v>0</v>
      </c>
    </row>
    <row r="118">
      <c r="B118" t="n">
        <v>0</v>
      </c>
      <c r="C118" t="n">
        <v>0</v>
      </c>
      <c r="D118" t="n">
        <v>0</v>
      </c>
      <c r="E118" t="n">
        <v>0</v>
      </c>
      <c r="F118" t="n">
        <v>0</v>
      </c>
      <c r="G118" t="n">
        <v>0</v>
      </c>
      <c r="H118" t="n">
        <v>0</v>
      </c>
      <c r="I118" t="n">
        <v>0</v>
      </c>
      <c r="J118" t="n">
        <v>0</v>
      </c>
      <c r="K118" t="n">
        <v>0</v>
      </c>
    </row>
    <row r="119">
      <c r="B119" t="n">
        <v>0</v>
      </c>
      <c r="C119" t="n">
        <v>0</v>
      </c>
      <c r="D119" t="n">
        <v>0</v>
      </c>
      <c r="E119" t="n">
        <v>0</v>
      </c>
      <c r="F119" t="n">
        <v>0</v>
      </c>
      <c r="G119" t="n">
        <v>0</v>
      </c>
      <c r="H119" t="n">
        <v>4023</v>
      </c>
      <c r="I119" t="n">
        <v>5546</v>
      </c>
      <c r="J119" t="n">
        <v>0</v>
      </c>
      <c r="K119" t="n">
        <v>-6826</v>
      </c>
    </row>
    <row r="120">
      <c r="B120" t="n">
        <v>-15958</v>
      </c>
      <c r="C120" t="n">
        <v>-18955</v>
      </c>
      <c r="D120" t="n">
        <v>-20211</v>
      </c>
      <c r="E120" t="n">
        <v>-22025</v>
      </c>
      <c r="F120" t="n">
        <v>0</v>
      </c>
      <c r="G120" t="n">
        <v>0</v>
      </c>
      <c r="H120" t="n">
        <v>16902</v>
      </c>
      <c r="I120" t="n">
        <v>17550</v>
      </c>
      <c r="J120" t="n">
        <v>12822</v>
      </c>
      <c r="K120" t="n">
        <v>0</v>
      </c>
    </row>
    <row r="121">
      <c r="B121" t="n">
        <v>-5075</v>
      </c>
      <c r="C121" t="n">
        <v>-9112</v>
      </c>
      <c r="D121" t="n">
        <v>-13646</v>
      </c>
      <c r="E121" t="n">
        <v>-17122</v>
      </c>
      <c r="F121" t="n">
        <v>0</v>
      </c>
      <c r="G121" t="n">
        <v>-3980</v>
      </c>
      <c r="H121" t="n">
        <v>-3975</v>
      </c>
      <c r="I121" t="n">
        <v>-3320</v>
      </c>
      <c r="J121" t="n">
        <v>-2132</v>
      </c>
      <c r="K121" t="n">
        <v>0</v>
      </c>
    </row>
    <row r="122">
      <c r="B122" t="n">
        <v>1276</v>
      </c>
      <c r="C122" t="n">
        <v>1263</v>
      </c>
      <c r="D122" t="n">
        <v>2107</v>
      </c>
      <c r="E122" t="n">
        <v>1551</v>
      </c>
      <c r="F122" t="n">
        <v>0</v>
      </c>
      <c r="G122" t="n">
        <v>0</v>
      </c>
      <c r="H122" t="n">
        <v>-208</v>
      </c>
      <c r="I122" t="n">
        <v>-118</v>
      </c>
      <c r="J122" t="n">
        <v>0</v>
      </c>
      <c r="K122" t="n">
        <v>265</v>
      </c>
    </row>
    <row r="123">
      <c r="B123" t="n">
        <v>35</v>
      </c>
      <c r="C123" t="n">
        <v>-496</v>
      </c>
      <c r="D123" t="n">
        <v>-600</v>
      </c>
      <c r="E123" t="n">
        <v>9</v>
      </c>
      <c r="F123" t="n">
        <v>0</v>
      </c>
      <c r="G123" t="n">
        <v>0</v>
      </c>
      <c r="H123" t="n">
        <v>10850</v>
      </c>
      <c r="I123" t="n">
        <v>10196</v>
      </c>
      <c r="J123" t="n">
        <v>7588</v>
      </c>
      <c r="K123" t="n">
        <v>0</v>
      </c>
    </row>
    <row r="124">
      <c r="B124" t="n">
        <v>-3204</v>
      </c>
      <c r="C124" t="n">
        <v>-5196</v>
      </c>
      <c r="D124" t="n">
        <v>-8369</v>
      </c>
      <c r="E124" t="n">
        <v>-10024</v>
      </c>
      <c r="F124" t="n">
        <v>0</v>
      </c>
      <c r="G124" t="n">
        <v>6786</v>
      </c>
      <c r="H124" t="n">
        <v>5096</v>
      </c>
      <c r="I124" t="n">
        <v>3439</v>
      </c>
      <c r="J124" t="n">
        <v>1690</v>
      </c>
      <c r="K124" t="n">
        <v>0</v>
      </c>
    </row>
    <row r="125">
      <c r="B125" t="n">
        <v>-782</v>
      </c>
      <c r="C125" t="n">
        <v>-812</v>
      </c>
      <c r="D125" t="n">
        <v>-1406</v>
      </c>
      <c r="E125" t="n">
        <v>-1911</v>
      </c>
      <c r="F125" t="n">
        <v>0</v>
      </c>
      <c r="G125" t="n">
        <v>26392</v>
      </c>
      <c r="H125" t="n">
        <v>0</v>
      </c>
      <c r="I125" t="n">
        <v>2124</v>
      </c>
      <c r="J125" t="n">
        <v>3307</v>
      </c>
      <c r="K125" t="n">
        <v>0</v>
      </c>
    </row>
    <row r="126">
      <c r="B126" t="n">
        <v>-5495</v>
      </c>
      <c r="C126" t="n">
        <v>-16387</v>
      </c>
      <c r="D126" t="n">
        <v>-22188</v>
      </c>
      <c r="E126" t="n">
        <v>-25211</v>
      </c>
      <c r="F126" t="n">
        <v>-27779</v>
      </c>
      <c r="G126" t="n">
        <v>0</v>
      </c>
      <c r="H126" t="n">
        <v>0</v>
      </c>
      <c r="I126" t="n">
        <v>19962</v>
      </c>
      <c r="J126" t="n">
        <v>20544</v>
      </c>
      <c r="K126" t="n">
        <v>15441</v>
      </c>
    </row>
    <row r="127">
      <c r="B127" t="n">
        <v>0</v>
      </c>
      <c r="C127" t="n">
        <v>-6425</v>
      </c>
      <c r="D127" t="n">
        <v>-11690</v>
      </c>
      <c r="E127" t="n">
        <v>-17425</v>
      </c>
      <c r="F127" t="n">
        <v>-22057</v>
      </c>
      <c r="G127" t="n">
        <v>0</v>
      </c>
      <c r="H127" t="n">
        <v>-5790</v>
      </c>
      <c r="I127" t="n">
        <v>-5802</v>
      </c>
      <c r="J127" t="n">
        <v>-5099</v>
      </c>
      <c r="K127" t="n">
        <v>-3415</v>
      </c>
    </row>
    <row r="128">
      <c r="B128" t="n">
        <v>0</v>
      </c>
      <c r="C128" t="n">
        <v>2107</v>
      </c>
      <c r="D128" t="n">
        <v>2142</v>
      </c>
      <c r="E128" t="n">
        <v>3607</v>
      </c>
      <c r="F128" t="n">
        <v>2930</v>
      </c>
      <c r="G128" t="n">
        <v>0</v>
      </c>
      <c r="H128" t="n">
        <v>26599</v>
      </c>
      <c r="I128" t="n">
        <v>6896</v>
      </c>
      <c r="J128" t="n">
        <v>0</v>
      </c>
      <c r="K128" t="n">
        <v>308</v>
      </c>
    </row>
    <row r="129">
      <c r="B129" t="n">
        <v>636</v>
      </c>
      <c r="C129" t="n">
        <v>0</v>
      </c>
      <c r="D129" t="n">
        <v>-249</v>
      </c>
      <c r="E129" t="n">
        <v>-1004</v>
      </c>
      <c r="F129" t="n">
        <v>-1371</v>
      </c>
      <c r="G129" t="n">
        <v>-542</v>
      </c>
      <c r="H129" t="n">
        <v>925</v>
      </c>
      <c r="I129" t="n">
        <v>0</v>
      </c>
      <c r="J129" t="n">
        <v>0</v>
      </c>
      <c r="K129" t="n">
        <v>10528</v>
      </c>
    </row>
    <row r="130">
      <c r="B130" t="n">
        <v>10380</v>
      </c>
      <c r="C130" t="n">
        <v>8545</v>
      </c>
      <c r="D130" t="n">
        <v>0</v>
      </c>
      <c r="E130" t="n">
        <v>-4402</v>
      </c>
      <c r="F130" t="n">
        <v>-7252</v>
      </c>
      <c r="G130" t="n">
        <v>-12154</v>
      </c>
      <c r="H130" t="n">
        <v>-15046</v>
      </c>
      <c r="I130" t="n">
        <v>0</v>
      </c>
      <c r="J130" t="n">
        <v>5270</v>
      </c>
      <c r="K130" t="n">
        <v>2801</v>
      </c>
    </row>
    <row r="131">
      <c r="B131" t="n">
        <v>787</v>
      </c>
      <c r="C131" t="n">
        <v>-443</v>
      </c>
      <c r="D131" t="n">
        <v>0</v>
      </c>
      <c r="E131" t="n">
        <v>838</v>
      </c>
      <c r="F131" t="n">
        <v>1074</v>
      </c>
      <c r="G131" t="n">
        <v>2005</v>
      </c>
      <c r="H131" t="n">
        <v>1580</v>
      </c>
      <c r="I131" t="n">
        <v>0</v>
      </c>
      <c r="J131" t="n">
        <v>6577</v>
      </c>
      <c r="K131" t="n">
        <v>18624</v>
      </c>
    </row>
    <row r="132">
      <c r="B132" t="n">
        <v>31277</v>
      </c>
      <c r="C132" t="n">
        <v>0</v>
      </c>
      <c r="D132" t="n">
        <v>2269</v>
      </c>
      <c r="E132" t="n">
        <v>3555</v>
      </c>
      <c r="F132" t="n">
        <v>0</v>
      </c>
      <c r="G132" t="n">
        <v>-6455</v>
      </c>
      <c r="H132" t="n">
        <v>-21755</v>
      </c>
      <c r="I132" t="n">
        <v>-31503</v>
      </c>
      <c r="J132" t="n">
        <v>-37268</v>
      </c>
      <c r="K132" t="n">
        <v>-41443</v>
      </c>
    </row>
    <row r="133">
      <c r="B133" t="n">
        <v>0</v>
      </c>
      <c r="C133" t="n">
        <v>0</v>
      </c>
      <c r="D133" t="n">
        <v>34613</v>
      </c>
      <c r="E133" t="n">
        <v>34690</v>
      </c>
      <c r="F133" t="n">
        <v>25442</v>
      </c>
      <c r="G133" t="n">
        <v>0</v>
      </c>
      <c r="H133" t="n">
        <v>-10066</v>
      </c>
      <c r="I133" t="n">
        <v>-17993</v>
      </c>
      <c r="J133" t="n">
        <v>-26270</v>
      </c>
      <c r="K133" t="n">
        <v>-32219</v>
      </c>
    </row>
    <row r="134">
      <c r="B134" t="n">
        <v>0</v>
      </c>
      <c r="C134" t="n">
        <v>-5880</v>
      </c>
      <c r="D134" t="n">
        <v>-6253</v>
      </c>
      <c r="E134" t="n">
        <v>-5502</v>
      </c>
      <c r="F134" t="n">
        <v>-3689</v>
      </c>
      <c r="G134" t="n">
        <v>0</v>
      </c>
      <c r="H134" t="n">
        <v>2119</v>
      </c>
      <c r="I134" t="n">
        <v>1983</v>
      </c>
      <c r="J134" t="n">
        <v>3079</v>
      </c>
      <c r="K134" t="n">
        <v>1841</v>
      </c>
    </row>
    <row r="135">
      <c r="B135" t="n">
        <v>0</v>
      </c>
      <c r="C135" t="n">
        <v>39922</v>
      </c>
      <c r="D135" t="n">
        <v>9745</v>
      </c>
      <c r="E135" t="n">
        <v>55795</v>
      </c>
      <c r="F135" t="n">
        <v>12580</v>
      </c>
      <c r="G135" t="n">
        <v>0</v>
      </c>
      <c r="H135" t="n">
        <v>-107</v>
      </c>
      <c r="I135" t="n">
        <v>482</v>
      </c>
      <c r="J135" t="n">
        <v>0</v>
      </c>
      <c r="K135" t="n">
        <v>638</v>
      </c>
    </row>
    <row r="136">
      <c r="B136" t="n">
        <v>-139</v>
      </c>
      <c r="C136" t="n">
        <v>-1036</v>
      </c>
      <c r="D136" t="n">
        <v>10</v>
      </c>
      <c r="E136" t="n">
        <v>2433</v>
      </c>
      <c r="F136" t="n">
        <v>0</v>
      </c>
      <c r="G136" t="n">
        <v>0</v>
      </c>
      <c r="H136" t="n">
        <v>22288</v>
      </c>
      <c r="I136" t="n">
        <v>21680</v>
      </c>
      <c r="J136" t="n">
        <v>17491</v>
      </c>
      <c r="K136" t="n">
        <v>0</v>
      </c>
    </row>
    <row r="137">
      <c r="B137" t="n">
        <v>-8584</v>
      </c>
      <c r="C137" t="n">
        <v>-13810</v>
      </c>
      <c r="D137" t="n">
        <v>-22731</v>
      </c>
      <c r="E137" t="n">
        <v>-27192</v>
      </c>
      <c r="F137" t="n">
        <v>0</v>
      </c>
      <c r="G137" t="n">
        <v>7362</v>
      </c>
      <c r="H137" t="n">
        <v>978</v>
      </c>
      <c r="I137" t="n">
        <v>-2877</v>
      </c>
      <c r="J137" t="n">
        <v>-3497</v>
      </c>
      <c r="K137" t="n">
        <v>0</v>
      </c>
    </row>
    <row r="138">
      <c r="B138" t="n">
        <v>2822</v>
      </c>
      <c r="C138" t="n">
        <v>3200</v>
      </c>
      <c r="D138" t="n">
        <v>5111</v>
      </c>
      <c r="E138" t="n">
        <v>3471</v>
      </c>
      <c r="F138" t="n">
        <v>0</v>
      </c>
      <c r="G138" t="n">
        <v>11359</v>
      </c>
      <c r="H138" t="n">
        <v>30331</v>
      </c>
      <c r="I138" t="n">
        <v>15663</v>
      </c>
      <c r="J138" t="n">
        <v>42680</v>
      </c>
      <c r="K138" t="n">
        <v>28467</v>
      </c>
    </row>
    <row r="139">
      <c r="B139" t="n">
        <v>0</v>
      </c>
      <c r="C139" t="n">
        <v>21294</v>
      </c>
      <c r="D139" t="n">
        <v>18358</v>
      </c>
      <c r="E139" t="n">
        <v>0</v>
      </c>
      <c r="F139" t="n">
        <v>-7854</v>
      </c>
      <c r="G139" t="n">
        <v>-9649</v>
      </c>
      <c r="H139" t="n">
        <v>-9738</v>
      </c>
      <c r="I139" t="n">
        <v>-11291</v>
      </c>
      <c r="J139" t="n">
        <v>-12463</v>
      </c>
      <c r="K139" t="n">
        <v>0</v>
      </c>
    </row>
    <row r="140">
      <c r="B140" t="n">
        <v>0</v>
      </c>
      <c r="C140" t="n">
        <v>15598</v>
      </c>
      <c r="D140" t="n">
        <v>16115</v>
      </c>
      <c r="E140" t="n">
        <v>12543</v>
      </c>
      <c r="F140" t="n">
        <v>0</v>
      </c>
      <c r="G140" t="n">
        <v>-5397</v>
      </c>
      <c r="H140" t="n">
        <v>-9240</v>
      </c>
      <c r="I140" t="n">
        <v>-13175</v>
      </c>
      <c r="J140" t="n">
        <v>-15348</v>
      </c>
      <c r="K140" t="n">
        <v>0</v>
      </c>
    </row>
    <row r="141">
      <c r="B141" t="n">
        <v>-2182</v>
      </c>
      <c r="C141" t="n">
        <v>-2514</v>
      </c>
      <c r="D141" t="n">
        <v>-2457</v>
      </c>
      <c r="E141" t="n">
        <v>-1506</v>
      </c>
      <c r="F141" t="n">
        <v>0</v>
      </c>
      <c r="G141" t="n">
        <v>703</v>
      </c>
      <c r="H141" t="n">
        <v>458</v>
      </c>
      <c r="I141" t="n">
        <v>449</v>
      </c>
      <c r="J141" t="n">
        <v>170</v>
      </c>
      <c r="K141" t="n">
        <v>0</v>
      </c>
    </row>
    <row r="142">
      <c r="B142" t="n">
        <v>16802</v>
      </c>
      <c r="C142" t="n">
        <v>4069</v>
      </c>
      <c r="D142" t="n">
        <v>22241</v>
      </c>
      <c r="E142" t="n">
        <v>5640</v>
      </c>
      <c r="F142" t="n">
        <v>32706</v>
      </c>
      <c r="G142" t="n">
        <v>9618</v>
      </c>
      <c r="H142" t="n">
        <v>0</v>
      </c>
      <c r="I142" t="n">
        <v>-128</v>
      </c>
      <c r="J142" t="n">
        <v>381</v>
      </c>
      <c r="K142" t="n">
        <v>0</v>
      </c>
    </row>
    <row r="143">
      <c r="B143" t="n">
        <v>-878</v>
      </c>
      <c r="C143" t="n">
        <v>-1597</v>
      </c>
      <c r="D143" t="n">
        <v>-1475</v>
      </c>
      <c r="E143" t="n">
        <v>-1923</v>
      </c>
      <c r="F143" t="n">
        <v>-1173</v>
      </c>
      <c r="G143" t="n">
        <v>0</v>
      </c>
      <c r="H143" t="n">
        <v>0</v>
      </c>
      <c r="I143" t="n">
        <v>15086</v>
      </c>
      <c r="J143" t="n">
        <v>13942</v>
      </c>
      <c r="K143" t="n">
        <v>10241</v>
      </c>
    </row>
    <row r="144">
      <c r="B144" t="n">
        <v>0</v>
      </c>
      <c r="C144" t="n">
        <v>-3446</v>
      </c>
      <c r="D144" t="n">
        <v>-4810</v>
      </c>
      <c r="E144" t="n">
        <v>-7532</v>
      </c>
      <c r="F144" t="n">
        <v>-9251</v>
      </c>
      <c r="G144" t="n">
        <v>0</v>
      </c>
      <c r="H144" t="n">
        <v>10017</v>
      </c>
      <c r="I144" t="n">
        <v>9730</v>
      </c>
      <c r="J144" t="n">
        <v>9338</v>
      </c>
      <c r="K144" t="n">
        <v>6530</v>
      </c>
    </row>
    <row r="145">
      <c r="B145" t="n">
        <v>0</v>
      </c>
      <c r="C145" t="n">
        <v>-4541</v>
      </c>
      <c r="D145" t="n">
        <v>-5151</v>
      </c>
      <c r="E145" t="n">
        <v>-9869</v>
      </c>
      <c r="F145" t="n">
        <v>-13196</v>
      </c>
      <c r="G145" t="n">
        <v>0</v>
      </c>
      <c r="H145" t="n">
        <v>7024</v>
      </c>
      <c r="I145" t="n">
        <v>20846</v>
      </c>
      <c r="J145" t="n">
        <v>9689</v>
      </c>
      <c r="K145" t="n">
        <v>28090</v>
      </c>
    </row>
    <row r="146">
      <c r="B146" t="n">
        <v>13689</v>
      </c>
      <c r="C146" t="n">
        <v>43809</v>
      </c>
      <c r="D146" t="n">
        <v>18428</v>
      </c>
      <c r="E146" t="n">
        <v>0</v>
      </c>
      <c r="F146" t="n">
        <v>-5161</v>
      </c>
      <c r="G146" t="n">
        <v>-6428</v>
      </c>
      <c r="H146" t="n">
        <v>0</v>
      </c>
      <c r="I146" t="n">
        <v>6313</v>
      </c>
      <c r="J146" t="n">
        <v>10010</v>
      </c>
      <c r="K146" t="n">
        <v>6057</v>
      </c>
    </row>
    <row r="147">
      <c r="B147" t="n">
        <v>772</v>
      </c>
      <c r="C147" t="n">
        <v>-1984</v>
      </c>
      <c r="D147" t="n">
        <v>0</v>
      </c>
      <c r="E147" t="n">
        <v>0</v>
      </c>
      <c r="F147" t="n">
        <v>-865</v>
      </c>
      <c r="G147" t="n">
        <v>-2050</v>
      </c>
      <c r="H147" t="n">
        <v>-1286</v>
      </c>
      <c r="I147" t="n">
        <v>0</v>
      </c>
      <c r="J147" t="n">
        <v>425</v>
      </c>
      <c r="K147" t="n">
        <v>301</v>
      </c>
    </row>
    <row r="148">
      <c r="B148" t="n">
        <v>537</v>
      </c>
      <c r="C148" t="n">
        <v>719</v>
      </c>
      <c r="D148" t="n">
        <v>0</v>
      </c>
      <c r="E148" t="n">
        <v>-300</v>
      </c>
      <c r="F148" t="n">
        <v>-471</v>
      </c>
      <c r="G148" t="n">
        <v>-665</v>
      </c>
      <c r="H148" t="n">
        <v>-546</v>
      </c>
      <c r="I148" t="n">
        <v>0</v>
      </c>
      <c r="J148" t="n">
        <v>493</v>
      </c>
      <c r="K148" t="n">
        <v>588</v>
      </c>
    </row>
    <row r="149">
      <c r="B149" t="n">
        <v>990</v>
      </c>
      <c r="C149" t="n">
        <v>1095</v>
      </c>
      <c r="D149" t="n">
        <v>0</v>
      </c>
      <c r="E149" t="n">
        <v>-2480</v>
      </c>
      <c r="F149" t="n">
        <v>-310</v>
      </c>
      <c r="G149" t="n">
        <v>-4</v>
      </c>
      <c r="H149" t="n">
        <v>-717</v>
      </c>
      <c r="I149" t="n">
        <v>-18045</v>
      </c>
      <c r="J149" t="n">
        <v>-8311</v>
      </c>
      <c r="K149" t="n">
        <v>-689</v>
      </c>
    </row>
    <row r="150">
      <c r="B150" t="n">
        <v>-119</v>
      </c>
      <c r="C150" t="n">
        <v>0</v>
      </c>
      <c r="D150" t="n">
        <v>-78</v>
      </c>
      <c r="E150" t="n">
        <v>134</v>
      </c>
      <c r="F150" t="n">
        <v>0</v>
      </c>
      <c r="G150" t="n">
        <v>461</v>
      </c>
      <c r="H150" t="n">
        <v>885</v>
      </c>
      <c r="I150" t="n">
        <v>1144</v>
      </c>
      <c r="J150" t="n">
        <v>1175</v>
      </c>
      <c r="K150" t="n">
        <v>1601</v>
      </c>
    </row>
    <row r="151">
      <c r="B151" t="n">
        <v>0</v>
      </c>
      <c r="C151" t="n">
        <v>0</v>
      </c>
      <c r="D151" t="n">
        <v>-2092</v>
      </c>
      <c r="E151" t="n">
        <v>-1393</v>
      </c>
      <c r="F151" t="n">
        <v>-14</v>
      </c>
      <c r="G151" t="n">
        <v>0</v>
      </c>
      <c r="H151" t="n">
        <v>-1025</v>
      </c>
      <c r="I151" t="n">
        <v>-2006</v>
      </c>
      <c r="J151" t="n">
        <v>-3942</v>
      </c>
      <c r="K151" t="n">
        <v>-5089</v>
      </c>
    </row>
    <row r="152">
      <c r="B152" t="n">
        <v>0</v>
      </c>
      <c r="C152" t="n">
        <v>-7033</v>
      </c>
      <c r="D152" t="n">
        <v>-9600</v>
      </c>
      <c r="E152" t="n">
        <v>-10096</v>
      </c>
      <c r="F152" t="n">
        <v>-7288</v>
      </c>
      <c r="G152" t="n">
        <v>0</v>
      </c>
      <c r="H152" t="n">
        <v>5001</v>
      </c>
      <c r="I152" t="n">
        <v>5694</v>
      </c>
      <c r="J152" t="n">
        <v>10025</v>
      </c>
      <c r="K152" t="n">
        <v>10715</v>
      </c>
    </row>
    <row r="153">
      <c r="B153" t="n">
        <v>0</v>
      </c>
      <c r="C153" t="n">
        <v>-16</v>
      </c>
      <c r="D153" t="n">
        <v>-1586</v>
      </c>
      <c r="E153" t="n">
        <v>423</v>
      </c>
      <c r="F153" t="n">
        <v>-1210</v>
      </c>
      <c r="G153" t="n">
        <v>-5211</v>
      </c>
      <c r="H153" t="n">
        <v>-22643</v>
      </c>
      <c r="I153" t="n">
        <v>347</v>
      </c>
      <c r="J153" t="n">
        <v>-2325</v>
      </c>
      <c r="K153" t="n">
        <v>30361</v>
      </c>
    </row>
    <row r="154">
      <c r="B154" t="n">
        <v>0</v>
      </c>
      <c r="C154" t="n">
        <v>236</v>
      </c>
      <c r="D154" t="n">
        <v>796</v>
      </c>
      <c r="E154" t="n">
        <v>0</v>
      </c>
      <c r="F154" t="n">
        <v>-1132</v>
      </c>
      <c r="G154" t="n">
        <v>-3838</v>
      </c>
      <c r="H154" t="n">
        <v>-4854</v>
      </c>
      <c r="I154" t="n">
        <v>-7158</v>
      </c>
      <c r="J154" t="n">
        <v>-10088</v>
      </c>
      <c r="K154" t="n">
        <v>0</v>
      </c>
    </row>
    <row r="155">
      <c r="B155" t="n">
        <v>0</v>
      </c>
      <c r="C155" t="n">
        <v>9294</v>
      </c>
      <c r="D155" t="n">
        <v>5318</v>
      </c>
      <c r="E155" t="n">
        <v>2041</v>
      </c>
      <c r="F155" t="n">
        <v>0</v>
      </c>
      <c r="G155" t="n">
        <v>280</v>
      </c>
      <c r="H155" t="n">
        <v>110</v>
      </c>
      <c r="I155" t="n">
        <v>736</v>
      </c>
      <c r="J155" t="n">
        <v>1200</v>
      </c>
      <c r="K155" t="n">
        <v>0</v>
      </c>
    </row>
    <row r="156">
      <c r="B156" t="n">
        <v>519</v>
      </c>
      <c r="C156" t="n">
        <v>964</v>
      </c>
      <c r="D156" t="n">
        <v>1218</v>
      </c>
      <c r="E156" t="n">
        <v>915</v>
      </c>
      <c r="F156" t="n">
        <v>0</v>
      </c>
      <c r="G156" t="n">
        <v>-601</v>
      </c>
      <c r="H156" t="n">
        <v>-696</v>
      </c>
      <c r="I156" t="n">
        <v>-1236</v>
      </c>
      <c r="J156" t="n">
        <v>-1366</v>
      </c>
      <c r="K156" t="n">
        <v>0</v>
      </c>
    </row>
    <row r="157">
      <c r="B157" t="n">
        <v>-7783</v>
      </c>
      <c r="C157" t="n">
        <v>-1690</v>
      </c>
      <c r="D157" t="n">
        <v>-9154</v>
      </c>
      <c r="E157" t="n">
        <v>-2616</v>
      </c>
      <c r="F157" t="n">
        <v>-26781</v>
      </c>
      <c r="G157" t="n">
        <v>-8785</v>
      </c>
      <c r="H157" t="n">
        <v>-4763</v>
      </c>
      <c r="I157" t="n">
        <v>-856</v>
      </c>
      <c r="J157" t="n">
        <v>38451</v>
      </c>
      <c r="K157" t="n">
        <v>6641</v>
      </c>
    </row>
    <row r="158">
      <c r="B158" t="n">
        <v>0</v>
      </c>
      <c r="C158" t="n">
        <v>-376</v>
      </c>
      <c r="D158" t="n">
        <v>-124</v>
      </c>
      <c r="E158" t="n">
        <v>0</v>
      </c>
      <c r="F158" t="n">
        <v>845</v>
      </c>
      <c r="G158" t="n">
        <v>927</v>
      </c>
      <c r="H158" t="n">
        <v>460</v>
      </c>
      <c r="I158" t="n">
        <v>146</v>
      </c>
      <c r="J158" t="n">
        <v>1079</v>
      </c>
      <c r="K158" t="n">
        <v>0</v>
      </c>
    </row>
    <row r="159">
      <c r="B159" t="n">
        <v>0</v>
      </c>
      <c r="C159" t="n">
        <v>8618</v>
      </c>
      <c r="D159" t="n">
        <v>5977</v>
      </c>
      <c r="E159" t="n">
        <v>3702</v>
      </c>
      <c r="F159" t="n">
        <v>0</v>
      </c>
      <c r="G159" t="n">
        <v>-1544</v>
      </c>
      <c r="H159" t="n">
        <v>-2524</v>
      </c>
      <c r="I159" t="n">
        <v>-5108</v>
      </c>
      <c r="J159" t="n">
        <v>-6764</v>
      </c>
      <c r="K159" t="n">
        <v>0</v>
      </c>
    </row>
    <row r="160">
      <c r="B160" t="n">
        <v>-29</v>
      </c>
      <c r="C160" t="n">
        <v>-3041</v>
      </c>
      <c r="D160" t="n">
        <v>-3631</v>
      </c>
      <c r="E160" t="n">
        <v>-2359</v>
      </c>
      <c r="F160" t="n">
        <v>0</v>
      </c>
      <c r="G160" t="n">
        <v>1247</v>
      </c>
      <c r="H160" t="n">
        <v>1304</v>
      </c>
      <c r="I160" t="n">
        <v>1929</v>
      </c>
      <c r="J160" t="n">
        <v>1538</v>
      </c>
      <c r="K160" t="n">
        <v>0</v>
      </c>
    </row>
    <row r="161">
      <c r="B161" t="n">
        <v>-1176</v>
      </c>
      <c r="C161" t="n">
        <v>-4845</v>
      </c>
      <c r="D161" t="n">
        <v>-1047</v>
      </c>
      <c r="E161" t="n">
        <v>-6279</v>
      </c>
      <c r="F161" t="n">
        <v>-4841</v>
      </c>
      <c r="G161" t="n">
        <v>-22410</v>
      </c>
      <c r="H161" t="n">
        <v>-832</v>
      </c>
      <c r="I161" t="n">
        <v>-6218</v>
      </c>
      <c r="J161" t="n">
        <v>8233</v>
      </c>
      <c r="K161" t="n">
        <v>21848</v>
      </c>
    </row>
    <row r="162">
      <c r="B162" t="n">
        <v>22612</v>
      </c>
      <c r="C162" t="n">
        <v>0</v>
      </c>
      <c r="D162" t="n">
        <v>2305</v>
      </c>
      <c r="E162" t="n">
        <v>2852</v>
      </c>
      <c r="F162" t="n">
        <v>0</v>
      </c>
      <c r="G162" t="n">
        <v>-2038</v>
      </c>
      <c r="H162" t="n">
        <v>-4035</v>
      </c>
      <c r="I162" t="n">
        <v>-3273</v>
      </c>
      <c r="J162" t="n">
        <v>-2245</v>
      </c>
      <c r="K162" t="n">
        <v>-978</v>
      </c>
    </row>
    <row r="163">
      <c r="B163" t="n">
        <v>0</v>
      </c>
      <c r="C163" t="n">
        <v>0</v>
      </c>
      <c r="D163" t="n">
        <v>2485</v>
      </c>
      <c r="E163" t="n">
        <v>3533</v>
      </c>
      <c r="F163" t="n">
        <v>2543</v>
      </c>
      <c r="G163" t="n">
        <v>0</v>
      </c>
      <c r="H163" t="n">
        <v>-1194</v>
      </c>
      <c r="I163" t="n">
        <v>-1883</v>
      </c>
      <c r="J163" t="n">
        <v>-3156</v>
      </c>
      <c r="K163" t="n">
        <v>-4028</v>
      </c>
    </row>
    <row r="164">
      <c r="B164" t="n">
        <v>0</v>
      </c>
      <c r="C164" t="n">
        <v>648</v>
      </c>
      <c r="D164" t="n">
        <v>361</v>
      </c>
      <c r="E164" t="n">
        <v>289</v>
      </c>
      <c r="F164" t="n">
        <v>150</v>
      </c>
      <c r="G164" t="n">
        <v>0</v>
      </c>
      <c r="H164" t="n">
        <v>-59</v>
      </c>
      <c r="I164" t="n">
        <v>-63</v>
      </c>
      <c r="J164" t="n">
        <v>-70</v>
      </c>
      <c r="K164" t="n">
        <v>-186</v>
      </c>
    </row>
    <row r="165">
      <c r="B165" t="n">
        <v>0</v>
      </c>
      <c r="C165" t="n">
        <v>-3977</v>
      </c>
      <c r="D165" t="n">
        <v>-1484</v>
      </c>
      <c r="E165" t="n">
        <v>-3845</v>
      </c>
      <c r="F165" t="n">
        <v>-1159</v>
      </c>
      <c r="G165" t="n">
        <v>10597</v>
      </c>
      <c r="H165" t="n">
        <v>3014</v>
      </c>
      <c r="I165" t="n">
        <v>2003</v>
      </c>
      <c r="J165" t="n">
        <v>338</v>
      </c>
      <c r="K165" t="n">
        <v>-15429</v>
      </c>
    </row>
    <row r="166">
      <c r="B166" t="n">
        <v>-3617</v>
      </c>
      <c r="C166" t="n">
        <v>-18199</v>
      </c>
      <c r="D166" t="n">
        <v>-4578</v>
      </c>
      <c r="E166" t="n">
        <v>0</v>
      </c>
      <c r="F166" t="n">
        <v>-49</v>
      </c>
      <c r="G166" t="n">
        <v>-117</v>
      </c>
      <c r="H166" t="n">
        <v>0</v>
      </c>
      <c r="I166" t="n">
        <v>54</v>
      </c>
      <c r="J166" t="n">
        <v>64</v>
      </c>
      <c r="K166" t="n">
        <v>1</v>
      </c>
    </row>
    <row r="167">
      <c r="B167" t="n">
        <v>-37</v>
      </c>
      <c r="C167" t="n">
        <v>278</v>
      </c>
      <c r="D167" t="n">
        <v>0</v>
      </c>
      <c r="E167" t="n">
        <v>0</v>
      </c>
      <c r="F167" t="n">
        <v>2689</v>
      </c>
      <c r="G167" t="n">
        <v>2714</v>
      </c>
      <c r="H167" t="n">
        <v>1779</v>
      </c>
      <c r="I167" t="n">
        <v>0</v>
      </c>
      <c r="J167" t="n">
        <v>-542</v>
      </c>
      <c r="K167" t="n">
        <v>-715</v>
      </c>
    </row>
    <row r="168">
      <c r="B168" t="n">
        <v>-1048</v>
      </c>
      <c r="C168" t="n">
        <v>-1386</v>
      </c>
      <c r="D168" t="n">
        <v>0</v>
      </c>
      <c r="E168" t="n">
        <v>4462</v>
      </c>
      <c r="F168" t="n">
        <v>4931</v>
      </c>
      <c r="G168" t="n">
        <v>4541</v>
      </c>
      <c r="H168" t="n">
        <v>2913</v>
      </c>
      <c r="I168" t="n">
        <v>0</v>
      </c>
      <c r="J168" t="n">
        <v>-1736</v>
      </c>
      <c r="K168" t="n">
        <v>-1902</v>
      </c>
    </row>
    <row r="169">
      <c r="B169" t="n">
        <v>-3204</v>
      </c>
      <c r="C169" t="n">
        <v>-3429</v>
      </c>
      <c r="D169" t="n">
        <v>0</v>
      </c>
      <c r="E169" t="n">
        <v>-926</v>
      </c>
      <c r="F169" t="n">
        <v>-1920</v>
      </c>
      <c r="G169" t="n">
        <v>-621</v>
      </c>
      <c r="H169" t="n">
        <v>-753</v>
      </c>
      <c r="I169" t="n">
        <v>3531</v>
      </c>
      <c r="J169" t="n">
        <v>16754</v>
      </c>
      <c r="K169" t="n">
        <v>706</v>
      </c>
    </row>
    <row r="170">
      <c r="B170" t="n">
        <v>4336</v>
      </c>
      <c r="C170" t="n">
        <v>-5786</v>
      </c>
      <c r="D170" t="n">
        <v>-22889</v>
      </c>
      <c r="E170" t="n">
        <v>-5484</v>
      </c>
      <c r="F170" t="n">
        <v>-21775</v>
      </c>
      <c r="G170" t="n">
        <v>22344</v>
      </c>
      <c r="H170" t="n">
        <v>0</v>
      </c>
      <c r="I170" t="n">
        <v>0</v>
      </c>
      <c r="J170" t="n">
        <v>0</v>
      </c>
      <c r="K170" t="n">
        <v>0</v>
      </c>
    </row>
    <row r="171">
      <c r="B171" t="n">
        <v>0</v>
      </c>
      <c r="C171" t="n">
        <v>0</v>
      </c>
      <c r="D171" t="n">
        <v>0</v>
      </c>
      <c r="E171" t="n">
        <v>0</v>
      </c>
      <c r="F171" t="n">
        <v>0</v>
      </c>
      <c r="G171" t="n">
        <v>0</v>
      </c>
      <c r="H171" t="n">
        <v>0</v>
      </c>
      <c r="I171" t="n">
        <v>0</v>
      </c>
      <c r="J171" t="n">
        <v>0</v>
      </c>
      <c r="K171" t="n">
        <v>0</v>
      </c>
    </row>
    <row r="172">
      <c r="B172" t="n">
        <v>0</v>
      </c>
      <c r="C172" t="n">
        <v>0</v>
      </c>
      <c r="D172" t="n">
        <v>0</v>
      </c>
      <c r="E172" t="n">
        <v>0</v>
      </c>
      <c r="F172" t="n">
        <v>0</v>
      </c>
      <c r="G172" t="n">
        <v>0</v>
      </c>
      <c r="H172" t="n">
        <v>0</v>
      </c>
      <c r="I172" t="n">
        <v>0</v>
      </c>
      <c r="J172" t="n">
        <v>0</v>
      </c>
      <c r="K172" t="n">
        <v>0</v>
      </c>
    </row>
    <row r="173">
      <c r="B173" t="n">
        <v>0</v>
      </c>
      <c r="C173" t="n">
        <v>0</v>
      </c>
      <c r="D173" t="n">
        <v>0</v>
      </c>
      <c r="E173" t="n">
        <v>0</v>
      </c>
      <c r="F173" t="n">
        <v>0</v>
      </c>
      <c r="G173" t="n">
        <v>0</v>
      </c>
      <c r="H173" t="n">
        <v>0</v>
      </c>
      <c r="I173" t="n">
        <v>0</v>
      </c>
      <c r="J173" t="n">
        <v>0</v>
      </c>
      <c r="K173" t="n">
        <v>0</v>
      </c>
    </row>
    <row r="174">
      <c r="B174" t="n">
        <v>0</v>
      </c>
      <c r="C174" t="n">
        <v>0</v>
      </c>
      <c r="D174" t="n">
        <v>0</v>
      </c>
      <c r="E174" t="n">
        <v>0</v>
      </c>
      <c r="F174" t="n">
        <v>0</v>
      </c>
      <c r="G174" t="n">
        <v>0</v>
      </c>
      <c r="H174" t="n">
        <v>0</v>
      </c>
      <c r="I174" t="n">
        <v>0</v>
      </c>
      <c r="J174" t="n">
        <v>0</v>
      </c>
      <c r="K174" t="n">
        <v>0</v>
      </c>
    </row>
    <row r="175">
      <c r="B175" t="n">
        <v>0</v>
      </c>
      <c r="C175" t="n">
        <v>0</v>
      </c>
      <c r="D175" t="n">
        <v>0</v>
      </c>
      <c r="E175" t="n">
        <v>0</v>
      </c>
      <c r="F175" t="n">
        <v>0</v>
      </c>
      <c r="G175" t="n">
        <v>0</v>
      </c>
      <c r="H175" t="n">
        <v>0</v>
      </c>
      <c r="I175" t="n">
        <v>0</v>
      </c>
      <c r="J175" t="n">
        <v>0</v>
      </c>
      <c r="K175" t="n">
        <v>0</v>
      </c>
    </row>
    <row r="176">
      <c r="B176" t="n">
        <v>0</v>
      </c>
      <c r="C176" t="n">
        <v>0</v>
      </c>
      <c r="D176" t="n">
        <v>0</v>
      </c>
      <c r="E176" t="n">
        <v>0</v>
      </c>
      <c r="F176" t="n">
        <v>0</v>
      </c>
      <c r="G176" t="n">
        <v>0</v>
      </c>
      <c r="H176" t="n">
        <v>0</v>
      </c>
      <c r="I176" t="n">
        <v>0</v>
      </c>
      <c r="J176" t="n">
        <v>0</v>
      </c>
      <c r="K176" t="n">
        <v>0</v>
      </c>
    </row>
    <row r="177">
      <c r="B177" t="n">
        <v>0</v>
      </c>
      <c r="C177" t="n">
        <v>0</v>
      </c>
      <c r="D177" t="n">
        <v>0</v>
      </c>
      <c r="E177" t="n">
        <v>0</v>
      </c>
      <c r="F177" t="n">
        <v>0</v>
      </c>
      <c r="G177" t="n">
        <v>0</v>
      </c>
      <c r="H177" t="n">
        <v>0</v>
      </c>
      <c r="I177" t="n">
        <v>0</v>
      </c>
      <c r="J177" t="n">
        <v>0</v>
      </c>
      <c r="K177" t="n">
        <v>0</v>
      </c>
    </row>
    <row r="178">
      <c r="B178" t="n">
        <v>0</v>
      </c>
      <c r="C178" t="n">
        <v>0</v>
      </c>
      <c r="D178" t="n">
        <v>0</v>
      </c>
      <c r="E178" t="n">
        <v>0</v>
      </c>
      <c r="F178" t="n">
        <v>0</v>
      </c>
      <c r="G178" t="n">
        <v>0</v>
      </c>
      <c r="H178" t="n">
        <v>0</v>
      </c>
      <c r="I178" t="n">
        <v>0</v>
      </c>
      <c r="J178" t="n">
        <v>0</v>
      </c>
      <c r="K178" t="n">
        <v>0</v>
      </c>
    </row>
    <row r="179">
      <c r="B179" t="n">
        <v>0</v>
      </c>
      <c r="C179" t="n">
        <v>0</v>
      </c>
      <c r="D179" t="n">
        <v>0</v>
      </c>
      <c r="E179" t="n">
        <v>0</v>
      </c>
      <c r="F179" t="n">
        <v>0</v>
      </c>
      <c r="G179" t="n">
        <v>0</v>
      </c>
      <c r="H179" t="n">
        <v>0</v>
      </c>
      <c r="I179" t="n">
        <v>0</v>
      </c>
      <c r="J179" t="n">
        <v>0</v>
      </c>
      <c r="K179" t="n">
        <v>0</v>
      </c>
    </row>
    <row r="180">
      <c r="B180" t="n">
        <v>0</v>
      </c>
      <c r="C180" t="n">
        <v>0</v>
      </c>
      <c r="D180" t="n">
        <v>0</v>
      </c>
      <c r="E180" t="n">
        <v>0</v>
      </c>
      <c r="F180" t="n">
        <v>0</v>
      </c>
      <c r="G180" t="n">
        <v>0</v>
      </c>
      <c r="H180" t="n">
        <v>0</v>
      </c>
      <c r="I180" t="n">
        <v>0</v>
      </c>
      <c r="J180" t="n">
        <v>0</v>
      </c>
      <c r="K180" t="n">
        <v>0</v>
      </c>
    </row>
    <row r="181">
      <c r="B181" t="n">
        <v>0</v>
      </c>
      <c r="C181" t="n">
        <v>0</v>
      </c>
      <c r="D181" t="n">
        <v>0</v>
      </c>
      <c r="E181" t="n">
        <v>0</v>
      </c>
      <c r="F181" t="n">
        <v>0</v>
      </c>
      <c r="G181" t="n">
        <v>0</v>
      </c>
      <c r="H181" t="n">
        <v>0</v>
      </c>
      <c r="I181" t="n">
        <v>0</v>
      </c>
      <c r="J181" t="n">
        <v>0</v>
      </c>
      <c r="K181" t="n">
        <v>0</v>
      </c>
    </row>
    <row r="182">
      <c r="B182" t="n">
        <v>0</v>
      </c>
      <c r="C182" t="n">
        <v>0</v>
      </c>
      <c r="D182" t="n">
        <v>0</v>
      </c>
      <c r="E182" t="n">
        <v>0</v>
      </c>
      <c r="F182" t="n">
        <v>0</v>
      </c>
      <c r="G182" t="n">
        <v>0</v>
      </c>
      <c r="H182" t="n">
        <v>0</v>
      </c>
      <c r="I182" t="n">
        <v>0</v>
      </c>
      <c r="J182" t="n">
        <v>0</v>
      </c>
      <c r="K182" t="n">
        <v>0</v>
      </c>
    </row>
    <row r="183">
      <c r="B183" t="n">
        <v>0</v>
      </c>
      <c r="C183" t="n">
        <v>0</v>
      </c>
      <c r="D183" t="n">
        <v>0</v>
      </c>
      <c r="E183" t="n">
        <v>0</v>
      </c>
      <c r="F183" t="n">
        <v>0</v>
      </c>
      <c r="G183" t="n">
        <v>0</v>
      </c>
      <c r="H183" t="n">
        <v>0</v>
      </c>
      <c r="I183" t="n">
        <v>0</v>
      </c>
      <c r="J183" t="n">
        <v>0</v>
      </c>
      <c r="K183" t="n">
        <v>0</v>
      </c>
    </row>
    <row r="184">
      <c r="B184" t="n">
        <v>0</v>
      </c>
      <c r="C184" t="n">
        <v>0</v>
      </c>
      <c r="D184" t="n">
        <v>0</v>
      </c>
      <c r="E184" t="n">
        <v>0</v>
      </c>
      <c r="F184" t="n">
        <v>0</v>
      </c>
      <c r="G184" t="n">
        <v>0</v>
      </c>
      <c r="H184" t="n">
        <v>0</v>
      </c>
      <c r="I184" t="n">
        <v>0</v>
      </c>
      <c r="J184" t="n">
        <v>0</v>
      </c>
      <c r="K184" t="n">
        <v>0</v>
      </c>
    </row>
    <row r="185">
      <c r="B185" t="n">
        <v>0</v>
      </c>
      <c r="C185" t="n">
        <v>0</v>
      </c>
      <c r="D185" t="n">
        <v>0</v>
      </c>
      <c r="E185" t="n">
        <v>0</v>
      </c>
      <c r="F185" t="n">
        <v>0</v>
      </c>
      <c r="G185" t="n">
        <v>0</v>
      </c>
      <c r="H185" t="n">
        <v>0</v>
      </c>
      <c r="I185" t="n">
        <v>0</v>
      </c>
      <c r="J185" t="n">
        <v>0</v>
      </c>
      <c r="K185" t="n">
        <v>0</v>
      </c>
    </row>
    <row r="186">
      <c r="B186" t="n">
        <v>0</v>
      </c>
      <c r="C186" t="n">
        <v>0</v>
      </c>
      <c r="D186" t="n">
        <v>0</v>
      </c>
      <c r="E186" t="n">
        <v>0</v>
      </c>
      <c r="F186" t="n">
        <v>0</v>
      </c>
      <c r="G186" t="n">
        <v>0</v>
      </c>
      <c r="H186" t="n">
        <v>0</v>
      </c>
      <c r="I186" t="n">
        <v>0</v>
      </c>
      <c r="J186" t="n">
        <v>0</v>
      </c>
      <c r="K186" t="n">
        <v>0</v>
      </c>
    </row>
    <row r="187">
      <c r="B187" t="n">
        <v>0</v>
      </c>
      <c r="C187" t="n">
        <v>0</v>
      </c>
      <c r="D187" t="n">
        <v>0</v>
      </c>
      <c r="E187" t="n">
        <v>0</v>
      </c>
      <c r="F187" t="n">
        <v>0</v>
      </c>
      <c r="G187" t="n">
        <v>0</v>
      </c>
      <c r="H187" t="n">
        <v>0</v>
      </c>
      <c r="I187" t="n">
        <v>0</v>
      </c>
      <c r="J187" t="n">
        <v>0</v>
      </c>
      <c r="K187" t="n">
        <v>0</v>
      </c>
    </row>
    <row r="188">
      <c r="B188" t="n">
        <v>0</v>
      </c>
      <c r="C188" t="n">
        <v>0</v>
      </c>
      <c r="D188" t="n">
        <v>0</v>
      </c>
      <c r="E188" t="n">
        <v>0</v>
      </c>
      <c r="F188" t="n">
        <v>0</v>
      </c>
      <c r="G188" t="n">
        <v>0</v>
      </c>
      <c r="H188" t="n">
        <v>0</v>
      </c>
      <c r="I188" t="n">
        <v>0</v>
      </c>
      <c r="J188" t="n">
        <v>0</v>
      </c>
      <c r="K188" t="n">
        <v>0</v>
      </c>
    </row>
    <row r="189">
      <c r="B189" t="n">
        <v>0</v>
      </c>
      <c r="C189" t="n">
        <v>0</v>
      </c>
      <c r="D189" t="n">
        <v>0</v>
      </c>
      <c r="E189" t="n">
        <v>0</v>
      </c>
      <c r="F189" t="n">
        <v>0</v>
      </c>
      <c r="G189" t="n">
        <v>0</v>
      </c>
      <c r="H189" t="n">
        <v>0</v>
      </c>
      <c r="I189" t="n">
        <v>0</v>
      </c>
      <c r="J189" t="n">
        <v>0</v>
      </c>
      <c r="K189" t="n">
        <v>0</v>
      </c>
    </row>
    <row r="190">
      <c r="B190" t="n">
        <v>0</v>
      </c>
      <c r="C190" t="n">
        <v>0</v>
      </c>
      <c r="D190" t="n">
        <v>0</v>
      </c>
      <c r="E190" t="n">
        <v>0</v>
      </c>
      <c r="F190" t="n">
        <v>0</v>
      </c>
      <c r="G190" t="n">
        <v>0</v>
      </c>
      <c r="H190" t="n">
        <v>0</v>
      </c>
      <c r="I190" t="n">
        <v>0</v>
      </c>
      <c r="J190" t="n">
        <v>0</v>
      </c>
      <c r="K190" t="n">
        <v>0</v>
      </c>
    </row>
    <row r="191">
      <c r="B191" t="n">
        <v>0</v>
      </c>
      <c r="C191" t="n">
        <v>0</v>
      </c>
      <c r="D191" t="n">
        <v>0</v>
      </c>
      <c r="E191" t="n">
        <v>0</v>
      </c>
      <c r="F191" t="n">
        <v>0</v>
      </c>
      <c r="G191" t="n">
        <v>0</v>
      </c>
      <c r="H191" t="n">
        <v>0</v>
      </c>
      <c r="I191" t="n">
        <v>0</v>
      </c>
      <c r="J191" t="n">
        <v>0</v>
      </c>
      <c r="K191" t="n">
        <v>0</v>
      </c>
    </row>
    <row r="192">
      <c r="B192" t="n">
        <v>0</v>
      </c>
      <c r="C192" t="n">
        <v>0</v>
      </c>
      <c r="D192" t="n">
        <v>0</v>
      </c>
      <c r="E192" t="n">
        <v>0</v>
      </c>
      <c r="F192" t="n">
        <v>0</v>
      </c>
      <c r="G192" t="n">
        <v>0</v>
      </c>
      <c r="H192" t="n">
        <v>0</v>
      </c>
      <c r="I192" t="n">
        <v>0</v>
      </c>
      <c r="J192" t="n">
        <v>0</v>
      </c>
      <c r="K192" t="n">
        <v>0</v>
      </c>
    </row>
    <row r="193">
      <c r="B193" t="n">
        <v>0</v>
      </c>
      <c r="C193" t="n">
        <v>0</v>
      </c>
      <c r="D193" t="n">
        <v>0</v>
      </c>
      <c r="E193" t="n">
        <v>0</v>
      </c>
      <c r="F193" t="n">
        <v>0</v>
      </c>
      <c r="G193" t="n">
        <v>0</v>
      </c>
      <c r="H193" t="n">
        <v>0</v>
      </c>
      <c r="I193" t="n">
        <v>14</v>
      </c>
      <c r="J193" t="n">
        <v>-144</v>
      </c>
      <c r="K193" t="n">
        <v>0</v>
      </c>
    </row>
    <row r="194">
      <c r="B194" t="n">
        <v>42</v>
      </c>
      <c r="C194" t="n">
        <v>-139</v>
      </c>
      <c r="D194" t="n">
        <v>-184</v>
      </c>
      <c r="E194" t="n">
        <v>-202</v>
      </c>
      <c r="F194" t="n">
        <v>-122</v>
      </c>
      <c r="G194" t="n">
        <v>0</v>
      </c>
      <c r="H194" t="n">
        <v>0</v>
      </c>
      <c r="I194" t="n">
        <v>280</v>
      </c>
      <c r="J194" t="n">
        <v>944</v>
      </c>
      <c r="K194" t="n">
        <v>700</v>
      </c>
    </row>
    <row r="195">
      <c r="B195" t="n">
        <v>0</v>
      </c>
      <c r="C195" t="n">
        <v>-204</v>
      </c>
      <c r="D195" t="n">
        <v>-636</v>
      </c>
      <c r="E195" t="n">
        <v>-1276</v>
      </c>
      <c r="F195" t="n">
        <v>-1972</v>
      </c>
      <c r="G195" t="n">
        <v>0</v>
      </c>
      <c r="H195" t="n">
        <v>967</v>
      </c>
      <c r="I195" t="n">
        <v>699</v>
      </c>
      <c r="J195" t="n">
        <v>526</v>
      </c>
      <c r="K195" t="n">
        <v>297</v>
      </c>
    </row>
    <row r="196">
      <c r="B196" t="n">
        <v>0</v>
      </c>
      <c r="C196" t="n">
        <v>-105</v>
      </c>
      <c r="D196" t="n">
        <v>-79</v>
      </c>
      <c r="E196" t="n">
        <v>-86</v>
      </c>
      <c r="F196" t="n">
        <v>-145</v>
      </c>
      <c r="G196" t="n">
        <v>0</v>
      </c>
      <c r="H196" t="n">
        <v>-171</v>
      </c>
      <c r="I196" t="n">
        <v>37</v>
      </c>
      <c r="J196" t="n">
        <v>153</v>
      </c>
      <c r="K196" t="n">
        <v>-169</v>
      </c>
    </row>
    <row r="197">
      <c r="B197" t="n">
        <v>-134</v>
      </c>
      <c r="C197" t="n">
        <v>-526</v>
      </c>
      <c r="D197" t="n">
        <v>248</v>
      </c>
      <c r="E197" t="n">
        <v>-9</v>
      </c>
      <c r="F197" t="n">
        <v>-204</v>
      </c>
      <c r="G197" t="n">
        <v>-1066</v>
      </c>
      <c r="H197" t="n">
        <v>1534</v>
      </c>
      <c r="I197" t="n">
        <v>-654</v>
      </c>
      <c r="J197" t="n">
        <v>-104</v>
      </c>
      <c r="K197" t="n">
        <v>38</v>
      </c>
    </row>
    <row r="198">
      <c r="B198" t="n">
        <v>0</v>
      </c>
      <c r="C198" t="n">
        <v>0</v>
      </c>
      <c r="D198" t="n">
        <v>0</v>
      </c>
      <c r="E198" t="n">
        <v>0</v>
      </c>
      <c r="F198" t="n">
        <v>0</v>
      </c>
      <c r="G198" t="n">
        <v>0</v>
      </c>
      <c r="H198" t="n">
        <v>14940</v>
      </c>
      <c r="I198" t="n">
        <v>19692</v>
      </c>
      <c r="J198" t="n">
        <v>0</v>
      </c>
      <c r="K198" t="n">
        <v>-19664</v>
      </c>
    </row>
    <row r="199">
      <c r="B199" t="n">
        <v>-38088</v>
      </c>
      <c r="C199" t="n">
        <v>-38820</v>
      </c>
      <c r="D199" t="n">
        <v>-31220</v>
      </c>
      <c r="E199" t="n">
        <v>-13966</v>
      </c>
      <c r="F199" t="n">
        <v>0</v>
      </c>
      <c r="G199" t="n">
        <v>0</v>
      </c>
      <c r="H199" t="n">
        <v>-23499</v>
      </c>
      <c r="I199" t="n">
        <v>-19519</v>
      </c>
      <c r="J199" t="n">
        <v>-13719</v>
      </c>
      <c r="K199" t="n">
        <v>0</v>
      </c>
    </row>
    <row r="200">
      <c r="B200" t="n">
        <v>5169</v>
      </c>
      <c r="C200" t="n">
        <v>7569</v>
      </c>
      <c r="D200" t="n">
        <v>9018</v>
      </c>
      <c r="E200" t="n">
        <v>8542</v>
      </c>
      <c r="F200" t="n">
        <v>0</v>
      </c>
      <c r="G200" t="n">
        <v>-49091</v>
      </c>
      <c r="H200" t="n">
        <v>-47099</v>
      </c>
      <c r="I200" t="n">
        <v>-39103</v>
      </c>
      <c r="J200" t="n">
        <v>-23483</v>
      </c>
      <c r="K200" t="n">
        <v>0</v>
      </c>
    </row>
    <row r="201">
      <c r="B201" t="n">
        <v>13346</v>
      </c>
      <c r="C201" t="n">
        <v>14579</v>
      </c>
      <c r="D201" t="n">
        <v>25107</v>
      </c>
      <c r="E201" t="n">
        <v>26127</v>
      </c>
      <c r="F201" t="n">
        <v>0</v>
      </c>
      <c r="G201" t="n">
        <v>-5002</v>
      </c>
      <c r="H201" t="n">
        <v>5375</v>
      </c>
      <c r="I201" t="n">
        <v>-11974</v>
      </c>
      <c r="J201" t="n">
        <v>12663</v>
      </c>
      <c r="K201" t="n">
        <v>-20907</v>
      </c>
    </row>
    <row r="202">
      <c r="B202" t="n">
        <v>18351</v>
      </c>
      <c r="C202" t="n">
        <v>-8423</v>
      </c>
      <c r="D202" t="n">
        <v>9554</v>
      </c>
      <c r="E202" t="n">
        <v>-14545</v>
      </c>
      <c r="F202" t="n">
        <v>16889</v>
      </c>
      <c r="G202" t="n">
        <v>1769</v>
      </c>
      <c r="H202" t="n">
        <v>-2377</v>
      </c>
      <c r="I202" t="n">
        <v>-1493</v>
      </c>
      <c r="J202" t="n">
        <v>-766</v>
      </c>
      <c r="K202" t="n">
        <v>0</v>
      </c>
    </row>
    <row r="203">
      <c r="B203" t="n">
        <v>0</v>
      </c>
      <c r="C203" t="n">
        <v>0</v>
      </c>
      <c r="D203" t="n">
        <v>0</v>
      </c>
      <c r="E203" t="n">
        <v>0</v>
      </c>
      <c r="F203" t="n">
        <v>-1151</v>
      </c>
      <c r="G203" t="n">
        <v>0</v>
      </c>
      <c r="H203" t="n">
        <v>6263</v>
      </c>
      <c r="I203" t="n">
        <v>8837</v>
      </c>
      <c r="J203" t="n">
        <v>0</v>
      </c>
      <c r="K203" t="n">
        <v>-8160</v>
      </c>
    </row>
    <row r="204">
      <c r="B204" t="n">
        <v>-15526</v>
      </c>
      <c r="C204" t="n">
        <v>-18555</v>
      </c>
      <c r="D204" t="n">
        <v>-18442</v>
      </c>
      <c r="E204" t="n">
        <v>-10709</v>
      </c>
      <c r="F204" t="n">
        <v>0</v>
      </c>
      <c r="G204" t="n">
        <v>0</v>
      </c>
      <c r="H204" t="n">
        <v>-36804</v>
      </c>
      <c r="I204" t="n">
        <v>-36562</v>
      </c>
      <c r="J204" t="n">
        <v>-26498</v>
      </c>
      <c r="K204" t="n">
        <v>0</v>
      </c>
    </row>
    <row r="205">
      <c r="B205" t="n">
        <v>10475</v>
      </c>
      <c r="C205" t="n">
        <v>15424</v>
      </c>
      <c r="D205" t="n">
        <v>20993</v>
      </c>
      <c r="E205" t="n">
        <v>20506</v>
      </c>
      <c r="F205" t="n">
        <v>0</v>
      </c>
      <c r="G205" t="n">
        <v>-53440</v>
      </c>
      <c r="H205" t="n">
        <v>-51429</v>
      </c>
      <c r="I205" t="n">
        <v>-42743</v>
      </c>
      <c r="J205" t="n">
        <v>-25580</v>
      </c>
      <c r="K205" t="n">
        <v>0</v>
      </c>
    </row>
    <row r="206">
      <c r="B206" t="n">
        <v>14765</v>
      </c>
      <c r="C206" t="n">
        <v>16310</v>
      </c>
      <c r="D206" t="n">
        <v>28336</v>
      </c>
      <c r="E206" t="n">
        <v>30086</v>
      </c>
      <c r="F206" t="n">
        <v>0</v>
      </c>
      <c r="G206" t="n">
        <v>-4737</v>
      </c>
      <c r="H206" t="n">
        <v>4768</v>
      </c>
      <c r="I206" t="n">
        <v>-3163</v>
      </c>
      <c r="J206" t="n">
        <v>14142</v>
      </c>
      <c r="K206" t="n">
        <v>-11853</v>
      </c>
    </row>
    <row r="207">
      <c r="B207" t="n">
        <v>17634</v>
      </c>
      <c r="C207" t="n">
        <v>-5593</v>
      </c>
      <c r="D207" t="n">
        <v>10937</v>
      </c>
      <c r="E207" t="n">
        <v>5312</v>
      </c>
      <c r="F207" t="n">
        <v>23835</v>
      </c>
      <c r="G207" t="n">
        <v>-2773</v>
      </c>
      <c r="H207" t="n">
        <v>-6588</v>
      </c>
      <c r="I207" t="n">
        <v>-2621</v>
      </c>
      <c r="J207" t="n">
        <v>-1449</v>
      </c>
      <c r="K207" t="n">
        <v>0</v>
      </c>
    </row>
    <row r="208">
      <c r="B208" t="n">
        <v>0</v>
      </c>
      <c r="C208" t="n">
        <v>0</v>
      </c>
      <c r="D208" t="n">
        <v>0</v>
      </c>
      <c r="E208" t="n">
        <v>0</v>
      </c>
      <c r="F208" t="n">
        <v>-1947</v>
      </c>
      <c r="G208" t="n">
        <v>78122</v>
      </c>
      <c r="H208" t="n">
        <v>0</v>
      </c>
      <c r="I208" t="n">
        <v>5701</v>
      </c>
      <c r="J208" t="n">
        <v>7752</v>
      </c>
      <c r="K208" t="n">
        <v>0</v>
      </c>
    </row>
    <row r="209">
      <c r="B209" t="n">
        <v>-7663</v>
      </c>
      <c r="C209" t="n">
        <v>-13113</v>
      </c>
      <c r="D209" t="n">
        <v>-16386</v>
      </c>
      <c r="E209" t="n">
        <v>-19076</v>
      </c>
      <c r="F209" t="n">
        <v>-10467</v>
      </c>
      <c r="G209" t="n">
        <v>0</v>
      </c>
      <c r="H209" t="n">
        <v>0</v>
      </c>
      <c r="I209" t="n">
        <v>-9768</v>
      </c>
      <c r="J209" t="n">
        <v>-10424</v>
      </c>
      <c r="K209" t="n">
        <v>-8524</v>
      </c>
    </row>
    <row r="210">
      <c r="B210" t="n">
        <v>0</v>
      </c>
      <c r="C210" t="n">
        <v>4162</v>
      </c>
      <c r="D210" t="n">
        <v>6205</v>
      </c>
      <c r="E210" t="n">
        <v>10154</v>
      </c>
      <c r="F210" t="n">
        <v>15207</v>
      </c>
      <c r="G210" t="n">
        <v>0</v>
      </c>
      <c r="H210" t="n">
        <v>-18911</v>
      </c>
      <c r="I210" t="n">
        <v>-16024</v>
      </c>
      <c r="J210" t="n">
        <v>-12371</v>
      </c>
      <c r="K210" t="n">
        <v>-6901</v>
      </c>
    </row>
    <row r="211">
      <c r="B211" t="n">
        <v>0</v>
      </c>
      <c r="C211" t="n">
        <v>3712</v>
      </c>
      <c r="D211" t="n">
        <v>3908</v>
      </c>
      <c r="E211" t="n">
        <v>6210</v>
      </c>
      <c r="F211" t="n">
        <v>6417</v>
      </c>
      <c r="G211" t="n">
        <v>0</v>
      </c>
      <c r="H211" t="n">
        <v>-3781</v>
      </c>
      <c r="I211" t="n">
        <v>6306</v>
      </c>
      <c r="J211" t="n">
        <v>-3256</v>
      </c>
      <c r="K211" t="n">
        <v>7200</v>
      </c>
    </row>
    <row r="212">
      <c r="B212" t="n">
        <v>-13248</v>
      </c>
      <c r="C212" t="n">
        <v>11233</v>
      </c>
      <c r="D212" t="n">
        <v>-5067</v>
      </c>
      <c r="E212" t="n">
        <v>7266</v>
      </c>
      <c r="F212" t="n">
        <v>5955</v>
      </c>
      <c r="G212" t="n">
        <v>-219</v>
      </c>
      <c r="H212" t="n">
        <v>8700</v>
      </c>
      <c r="I212" t="n">
        <v>6353</v>
      </c>
      <c r="J212" t="n">
        <v>-4846</v>
      </c>
      <c r="K212" t="n">
        <v>280</v>
      </c>
    </row>
    <row r="213">
      <c r="B213" t="n">
        <v>0</v>
      </c>
      <c r="C213" t="n">
        <v>0</v>
      </c>
      <c r="D213" t="n">
        <v>0</v>
      </c>
      <c r="E213" t="n">
        <v>0</v>
      </c>
      <c r="F213" t="n">
        <v>0</v>
      </c>
      <c r="G213" t="n">
        <v>-2130</v>
      </c>
      <c r="H213" t="n">
        <v>39567</v>
      </c>
      <c r="I213" t="n">
        <v>33575</v>
      </c>
      <c r="J213" t="n">
        <v>0</v>
      </c>
      <c r="K213" t="n">
        <v>5433</v>
      </c>
    </row>
    <row r="214">
      <c r="B214" t="n">
        <v>7639</v>
      </c>
      <c r="C214" t="n">
        <v>0</v>
      </c>
      <c r="D214" t="n">
        <v>-7191</v>
      </c>
      <c r="E214" t="n">
        <v>-13674</v>
      </c>
      <c r="F214" t="n">
        <v>-17879</v>
      </c>
      <c r="G214" t="n">
        <v>-17495</v>
      </c>
      <c r="H214" t="n">
        <v>-9731</v>
      </c>
      <c r="I214" t="n">
        <v>0</v>
      </c>
      <c r="J214" t="n">
        <v>0</v>
      </c>
      <c r="K214" t="n">
        <v>-12259</v>
      </c>
    </row>
    <row r="215">
      <c r="B215" t="n">
        <v>-16301</v>
      </c>
      <c r="C215" t="n">
        <v>-14069</v>
      </c>
      <c r="D215" t="n">
        <v>0</v>
      </c>
      <c r="E215" t="n">
        <v>7350</v>
      </c>
      <c r="F215" t="n">
        <v>11566</v>
      </c>
      <c r="G215" t="n">
        <v>19376</v>
      </c>
      <c r="H215" t="n">
        <v>25991</v>
      </c>
      <c r="I215" t="n">
        <v>0</v>
      </c>
      <c r="J215" t="n">
        <v>-21960</v>
      </c>
      <c r="K215" t="n">
        <v>-17931</v>
      </c>
    </row>
    <row r="216">
      <c r="B216" t="n">
        <v>-13256</v>
      </c>
      <c r="C216" t="n">
        <v>-7017</v>
      </c>
      <c r="D216" t="n">
        <v>0</v>
      </c>
      <c r="E216" t="n">
        <v>3396</v>
      </c>
      <c r="F216" t="n">
        <v>3508</v>
      </c>
      <c r="G216" t="n">
        <v>5682</v>
      </c>
      <c r="H216" t="n">
        <v>6269</v>
      </c>
      <c r="I216" t="n">
        <v>0</v>
      </c>
      <c r="J216" t="n">
        <v>-5441</v>
      </c>
      <c r="K216" t="n">
        <v>5660</v>
      </c>
    </row>
    <row r="217">
      <c r="B217" t="n">
        <v>-4123</v>
      </c>
      <c r="C217" t="n">
        <v>7764</v>
      </c>
      <c r="D217" t="n">
        <v>-10581</v>
      </c>
      <c r="E217" t="n">
        <v>13729</v>
      </c>
      <c r="F217" t="n">
        <v>-6425</v>
      </c>
      <c r="G217" t="n">
        <v>9314</v>
      </c>
      <c r="H217" t="n">
        <v>-2793</v>
      </c>
      <c r="I217" t="n">
        <v>-4179</v>
      </c>
      <c r="J217" t="n">
        <v>6053</v>
      </c>
      <c r="K217" t="n">
        <v>7227</v>
      </c>
    </row>
    <row r="218">
      <c r="B218" t="n">
        <v>-4114</v>
      </c>
      <c r="C218" t="n">
        <v>360</v>
      </c>
      <c r="D218" t="n">
        <v>0</v>
      </c>
      <c r="E218" t="n">
        <v>0</v>
      </c>
      <c r="F218" t="n">
        <v>0</v>
      </c>
      <c r="G218" t="n">
        <v>0</v>
      </c>
      <c r="H218" t="n">
        <v>0</v>
      </c>
      <c r="I218" t="n">
        <v>-4853</v>
      </c>
      <c r="J218" t="n">
        <v>41450</v>
      </c>
      <c r="K218" t="n">
        <v>43844</v>
      </c>
    </row>
    <row r="219">
      <c r="B219" t="n">
        <v>61800</v>
      </c>
      <c r="C219" t="n">
        <v>0</v>
      </c>
      <c r="D219" t="n">
        <v>-122</v>
      </c>
      <c r="E219" t="n">
        <v>4</v>
      </c>
      <c r="F219" t="n">
        <v>0</v>
      </c>
      <c r="G219" t="n">
        <v>770</v>
      </c>
      <c r="H219" t="n">
        <v>1183</v>
      </c>
      <c r="I219" t="n">
        <v>1397</v>
      </c>
      <c r="J219" t="n">
        <v>1294</v>
      </c>
      <c r="K219" t="n">
        <v>806</v>
      </c>
    </row>
    <row r="220">
      <c r="B220" t="n">
        <v>0</v>
      </c>
      <c r="C220" t="n">
        <v>0</v>
      </c>
      <c r="D220" t="n">
        <v>2361</v>
      </c>
      <c r="E220" t="n">
        <v>1770</v>
      </c>
      <c r="F220" t="n">
        <v>952</v>
      </c>
      <c r="G220" t="n">
        <v>0</v>
      </c>
      <c r="H220" t="n">
        <v>-432</v>
      </c>
      <c r="I220" t="n">
        <v>-723</v>
      </c>
      <c r="J220" t="n">
        <v>-906</v>
      </c>
      <c r="K220" t="n">
        <v>216</v>
      </c>
    </row>
    <row r="221">
      <c r="B221" t="n">
        <v>0</v>
      </c>
      <c r="C221" t="n">
        <v>-4899</v>
      </c>
      <c r="D221" t="n">
        <v>-7522</v>
      </c>
      <c r="E221" t="n">
        <v>-8360</v>
      </c>
      <c r="F221" t="n">
        <v>-6498</v>
      </c>
      <c r="G221" t="n">
        <v>0</v>
      </c>
      <c r="H221" t="n">
        <v>4799</v>
      </c>
      <c r="I221" t="n">
        <v>5576</v>
      </c>
      <c r="J221" t="n">
        <v>10036</v>
      </c>
      <c r="K221" t="n">
        <v>11017</v>
      </c>
    </row>
    <row r="222">
      <c r="B222" t="n">
        <v>0</v>
      </c>
      <c r="C222" t="n">
        <v>530</v>
      </c>
      <c r="D222" t="n">
        <v>-1321</v>
      </c>
      <c r="E222" t="n">
        <v>639</v>
      </c>
      <c r="F222" t="n">
        <v>2374</v>
      </c>
      <c r="G222" t="n">
        <v>245</v>
      </c>
      <c r="H222" t="n">
        <v>3395</v>
      </c>
      <c r="I222" t="n">
        <v>529</v>
      </c>
      <c r="J222" t="n">
        <v>-3305</v>
      </c>
      <c r="K222" t="n">
        <v>419</v>
      </c>
    </row>
    <row r="223">
      <c r="B223" t="n">
        <v>30007</v>
      </c>
      <c r="C223" t="n">
        <v>653</v>
      </c>
      <c r="D223" t="n">
        <v>-35051</v>
      </c>
      <c r="E223" t="n">
        <v>304</v>
      </c>
      <c r="F223" t="n">
        <v>-3193</v>
      </c>
      <c r="G223" t="n">
        <v>0</v>
      </c>
      <c r="H223" t="n">
        <v>0</v>
      </c>
      <c r="I223" t="n">
        <v>0</v>
      </c>
      <c r="J223" t="n">
        <v>0</v>
      </c>
      <c r="K223" t="n">
        <v>0</v>
      </c>
    </row>
    <row r="224">
      <c r="B224" t="n">
        <v>-368</v>
      </c>
      <c r="C224" t="n">
        <v>19909</v>
      </c>
      <c r="D224" t="n">
        <v>23504</v>
      </c>
      <c r="E224" t="n">
        <v>1553</v>
      </c>
      <c r="F224" t="n">
        <v>1763</v>
      </c>
      <c r="G224" t="n">
        <v>0</v>
      </c>
      <c r="H224" t="n">
        <v>310</v>
      </c>
      <c r="I224" t="n">
        <v>695</v>
      </c>
      <c r="J224" t="n">
        <v>0</v>
      </c>
      <c r="K224" t="n">
        <v>-1174</v>
      </c>
    </row>
    <row r="225">
      <c r="B225" t="n">
        <v>-3163</v>
      </c>
      <c r="C225" t="n">
        <v>-4131</v>
      </c>
      <c r="D225" t="n">
        <v>-3279</v>
      </c>
      <c r="E225" t="n">
        <v>420</v>
      </c>
      <c r="F225" t="n">
        <v>0</v>
      </c>
      <c r="G225" t="n">
        <v>0</v>
      </c>
      <c r="H225" t="n">
        <v>75</v>
      </c>
      <c r="I225" t="n">
        <v>-720</v>
      </c>
      <c r="J225" t="n">
        <v>-791</v>
      </c>
      <c r="K225" t="n">
        <v>0</v>
      </c>
    </row>
    <row r="226">
      <c r="B226" t="n">
        <v>379</v>
      </c>
      <c r="C226" t="n">
        <v>1296</v>
      </c>
      <c r="D226" t="n">
        <v>1852</v>
      </c>
      <c r="E226" t="n">
        <v>1774</v>
      </c>
      <c r="F226" t="n">
        <v>0</v>
      </c>
      <c r="G226" t="n">
        <v>-1376</v>
      </c>
      <c r="H226" t="n">
        <v>-976</v>
      </c>
      <c r="I226" t="n">
        <v>-626</v>
      </c>
      <c r="J226" t="n">
        <v>-299</v>
      </c>
      <c r="K226" t="n">
        <v>0</v>
      </c>
    </row>
    <row r="227">
      <c r="B227" t="n">
        <v>7</v>
      </c>
      <c r="C227" t="n">
        <v>-10</v>
      </c>
      <c r="D227" t="n">
        <v>160</v>
      </c>
      <c r="E227" t="n">
        <v>310</v>
      </c>
      <c r="F227" t="n">
        <v>0</v>
      </c>
      <c r="G227" t="n">
        <v>-1344</v>
      </c>
      <c r="H227" t="n">
        <v>840</v>
      </c>
      <c r="I227" t="n">
        <v>-2031</v>
      </c>
      <c r="J227" t="n">
        <v>397</v>
      </c>
      <c r="K227" t="n">
        <v>-4326</v>
      </c>
    </row>
    <row r="228">
      <c r="B228" t="n">
        <v>510</v>
      </c>
      <c r="C228" t="n">
        <v>-425</v>
      </c>
      <c r="D228" t="n">
        <v>717</v>
      </c>
      <c r="E228" t="n">
        <v>9946</v>
      </c>
      <c r="F228" t="n">
        <v>-1410</v>
      </c>
      <c r="G228" t="n">
        <v>14639</v>
      </c>
      <c r="H228" t="n">
        <v>-1123</v>
      </c>
      <c r="I228" t="n">
        <v>1581</v>
      </c>
      <c r="J228" t="n">
        <v>420</v>
      </c>
      <c r="K228" t="n">
        <v>0</v>
      </c>
    </row>
    <row r="229">
      <c r="B229" t="n">
        <v>0</v>
      </c>
      <c r="C229" t="n">
        <v>0</v>
      </c>
      <c r="D229" t="n">
        <v>0</v>
      </c>
      <c r="E229" t="n">
        <v>0</v>
      </c>
      <c r="F229" t="n">
        <v>2777</v>
      </c>
      <c r="G229" t="n">
        <v>5857</v>
      </c>
      <c r="H229" t="n">
        <v>2613</v>
      </c>
      <c r="I229" t="n">
        <v>38300</v>
      </c>
      <c r="J229" t="n">
        <v>2766</v>
      </c>
      <c r="K229" t="n">
        <v>1097</v>
      </c>
    </row>
    <row r="230">
      <c r="B230" t="n">
        <v>0</v>
      </c>
      <c r="C230" t="n">
        <v>-776</v>
      </c>
      <c r="D230" t="n">
        <v>-939</v>
      </c>
      <c r="E230" t="n">
        <v>0</v>
      </c>
      <c r="F230" t="n">
        <v>1074</v>
      </c>
      <c r="G230" t="n">
        <v>1372</v>
      </c>
      <c r="H230" t="n">
        <v>144</v>
      </c>
      <c r="I230" t="n">
        <v>987</v>
      </c>
      <c r="J230" t="n">
        <v>495</v>
      </c>
      <c r="K230" t="n">
        <v>0</v>
      </c>
    </row>
    <row r="231">
      <c r="B231" t="n">
        <v>0</v>
      </c>
      <c r="C231" t="n">
        <v>-9416</v>
      </c>
      <c r="D231" t="n">
        <v>-9903</v>
      </c>
      <c r="E231" t="n">
        <v>-8458</v>
      </c>
      <c r="F231" t="n">
        <v>0</v>
      </c>
      <c r="G231" t="n">
        <v>4856</v>
      </c>
      <c r="H231" t="n">
        <v>7782</v>
      </c>
      <c r="I231" t="n">
        <v>11535</v>
      </c>
      <c r="J231" t="n">
        <v>11513</v>
      </c>
      <c r="K231" t="n">
        <v>0</v>
      </c>
    </row>
    <row r="232">
      <c r="B232" t="n">
        <v>-3871</v>
      </c>
      <c r="C232" t="n">
        <v>-2542</v>
      </c>
      <c r="D232" t="n">
        <v>-1545</v>
      </c>
      <c r="E232" t="n">
        <v>-560</v>
      </c>
      <c r="F232" t="n">
        <v>0</v>
      </c>
      <c r="G232" t="n">
        <v>82</v>
      </c>
      <c r="H232" t="n">
        <v>187</v>
      </c>
      <c r="I232" t="n">
        <v>788</v>
      </c>
      <c r="J232" t="n">
        <v>1333</v>
      </c>
      <c r="K232" t="n">
        <v>0</v>
      </c>
    </row>
    <row r="233">
      <c r="B233" t="n">
        <v>-805</v>
      </c>
      <c r="C233" t="n">
        <v>-55</v>
      </c>
      <c r="D233" t="n">
        <v>237</v>
      </c>
      <c r="E233" t="n">
        <v>1424</v>
      </c>
      <c r="F233" t="n">
        <v>384</v>
      </c>
      <c r="G233" t="n">
        <v>2806</v>
      </c>
      <c r="H233" t="n">
        <v>290</v>
      </c>
      <c r="I233" t="n">
        <v>2685</v>
      </c>
      <c r="J233" t="n">
        <v>-3284</v>
      </c>
      <c r="K233" t="n">
        <v>-8605</v>
      </c>
    </row>
    <row r="234">
      <c r="B234" t="n">
        <v>16438</v>
      </c>
      <c r="C234" t="n">
        <v>92</v>
      </c>
      <c r="D234" t="n">
        <v>872</v>
      </c>
      <c r="E234" t="n">
        <v>-1</v>
      </c>
      <c r="F234" t="n">
        <v>0</v>
      </c>
      <c r="G234" t="n">
        <v>0</v>
      </c>
      <c r="H234" t="n">
        <v>0</v>
      </c>
      <c r="I234" t="n">
        <v>0</v>
      </c>
      <c r="J234" t="n">
        <v>0</v>
      </c>
      <c r="K234" t="n">
        <v>13847</v>
      </c>
    </row>
    <row r="235">
      <c r="B235" t="n">
        <v>194</v>
      </c>
      <c r="C235" t="n">
        <v>15664</v>
      </c>
      <c r="D235" t="n">
        <v>4111</v>
      </c>
      <c r="E235" t="n">
        <v>36556</v>
      </c>
      <c r="F235" t="n">
        <v>693</v>
      </c>
      <c r="G235" t="n">
        <v>8252</v>
      </c>
      <c r="H235" t="n">
        <v>0</v>
      </c>
      <c r="I235" t="n">
        <v>-5120</v>
      </c>
      <c r="J235" t="n">
        <v>-8130</v>
      </c>
      <c r="K235" t="n">
        <v>0</v>
      </c>
    </row>
    <row r="236">
      <c r="B236" t="n">
        <v>6657</v>
      </c>
      <c r="C236" t="n">
        <v>8007</v>
      </c>
      <c r="D236" t="n">
        <v>10205</v>
      </c>
      <c r="E236" t="n">
        <v>14618</v>
      </c>
      <c r="F236" t="n">
        <v>11705</v>
      </c>
      <c r="G236" t="n">
        <v>0</v>
      </c>
      <c r="H236" t="n">
        <v>0</v>
      </c>
      <c r="I236" t="n">
        <v>45650</v>
      </c>
      <c r="J236" t="n">
        <v>58810</v>
      </c>
      <c r="K236" t="n">
        <v>68796</v>
      </c>
    </row>
    <row r="237">
      <c r="B237" t="n">
        <v>0</v>
      </c>
      <c r="C237" t="n">
        <v>39497</v>
      </c>
      <c r="D237" t="n">
        <v>24907</v>
      </c>
      <c r="E237" t="n">
        <v>14880</v>
      </c>
      <c r="F237" t="n">
        <v>2023</v>
      </c>
      <c r="G237" t="n">
        <v>0</v>
      </c>
      <c r="H237" t="n">
        <v>-9659</v>
      </c>
      <c r="I237" t="n">
        <v>-11087</v>
      </c>
      <c r="J237" t="n">
        <v>-13783</v>
      </c>
      <c r="K237" t="n">
        <v>-11088</v>
      </c>
    </row>
    <row r="238">
      <c r="B238" t="n">
        <v>0</v>
      </c>
      <c r="C238" t="n">
        <v>-3531</v>
      </c>
      <c r="D238" t="n">
        <v>-1949</v>
      </c>
      <c r="E238" t="n">
        <v>-1584</v>
      </c>
      <c r="F238" t="n">
        <v>-1285</v>
      </c>
      <c r="G238" t="n">
        <v>0</v>
      </c>
      <c r="H238" t="n">
        <v>5650</v>
      </c>
      <c r="I238" t="n">
        <v>3749</v>
      </c>
      <c r="J238" t="n">
        <v>6843</v>
      </c>
      <c r="K238" t="n">
        <v>4614</v>
      </c>
    </row>
    <row r="239">
      <c r="B239" t="n">
        <v>11145</v>
      </c>
      <c r="C239" t="n">
        <v>9213</v>
      </c>
      <c r="D239" t="n">
        <v>6016</v>
      </c>
      <c r="E239" t="n">
        <v>4931</v>
      </c>
      <c r="F239" t="n">
        <v>-880</v>
      </c>
      <c r="G239" t="n">
        <v>158</v>
      </c>
      <c r="H239" t="n">
        <v>241</v>
      </c>
      <c r="I239" t="n">
        <v>1585</v>
      </c>
      <c r="J239" t="n">
        <v>1350</v>
      </c>
      <c r="K239" t="n">
        <v>896</v>
      </c>
    </row>
    <row r="240">
      <c r="B240" t="n">
        <v>0</v>
      </c>
      <c r="C240" t="n">
        <v>0</v>
      </c>
      <c r="D240" t="n">
        <v>0</v>
      </c>
      <c r="E240" t="n">
        <v>0</v>
      </c>
      <c r="F240" t="n">
        <v>0</v>
      </c>
      <c r="G240" t="n">
        <v>618</v>
      </c>
      <c r="H240" t="n">
        <v>-7594</v>
      </c>
      <c r="I240" t="n">
        <v>-14128</v>
      </c>
      <c r="J240" t="n">
        <v>-5388</v>
      </c>
      <c r="K240" t="n">
        <v>-8280</v>
      </c>
    </row>
    <row r="241">
      <c r="B241" t="n">
        <v>233</v>
      </c>
      <c r="C241" t="n">
        <v>-412</v>
      </c>
      <c r="D241" t="n">
        <v>-4146</v>
      </c>
      <c r="E241" t="n">
        <v>0</v>
      </c>
      <c r="F241" t="n">
        <v>949</v>
      </c>
      <c r="G241" t="n">
        <v>1479</v>
      </c>
      <c r="H241" t="n">
        <v>0</v>
      </c>
      <c r="I241" t="n">
        <v>-2508</v>
      </c>
      <c r="J241" t="n">
        <v>-8417</v>
      </c>
      <c r="K241" t="n">
        <v>-11956</v>
      </c>
    </row>
    <row r="242">
      <c r="B242" t="n">
        <v>-13905</v>
      </c>
      <c r="C242" t="n">
        <v>-18687</v>
      </c>
      <c r="D242" t="n">
        <v>0</v>
      </c>
      <c r="E242" t="n">
        <v>0</v>
      </c>
      <c r="F242" t="n">
        <v>12604</v>
      </c>
      <c r="G242" t="n">
        <v>12500</v>
      </c>
      <c r="H242" t="n">
        <v>9022</v>
      </c>
      <c r="I242" t="n">
        <v>0</v>
      </c>
      <c r="J242" t="n">
        <v>-3484</v>
      </c>
      <c r="K242" t="n">
        <v>-6532</v>
      </c>
    </row>
    <row r="243">
      <c r="B243" t="n">
        <v>-9636</v>
      </c>
      <c r="C243" t="n">
        <v>-13380</v>
      </c>
      <c r="D243" t="n">
        <v>0</v>
      </c>
      <c r="E243" t="n">
        <v>-3474</v>
      </c>
      <c r="F243" t="n">
        <v>-3437</v>
      </c>
      <c r="G243" t="n">
        <v>-2936</v>
      </c>
      <c r="H243" t="n">
        <v>-1894</v>
      </c>
      <c r="I243" t="n">
        <v>0</v>
      </c>
      <c r="J243" t="n">
        <v>1170</v>
      </c>
      <c r="K243" t="n">
        <v>1202</v>
      </c>
    </row>
    <row r="244">
      <c r="B244" t="n">
        <v>2197</v>
      </c>
      <c r="C244" t="n">
        <v>1911</v>
      </c>
      <c r="D244" t="n">
        <v>0</v>
      </c>
      <c r="E244" t="n">
        <v>13680</v>
      </c>
      <c r="F244" t="n">
        <v>3740</v>
      </c>
      <c r="G244" t="n">
        <v>19160</v>
      </c>
      <c r="H244" t="n">
        <v>4868</v>
      </c>
      <c r="I244" t="n">
        <v>28424</v>
      </c>
      <c r="J244" t="n">
        <v>8527</v>
      </c>
      <c r="K244" t="n">
        <v>10947</v>
      </c>
    </row>
    <row r="245">
      <c r="B245" t="n">
        <v>5014</v>
      </c>
      <c r="C245" t="n">
        <v>3550</v>
      </c>
      <c r="D245" t="n">
        <v>754</v>
      </c>
      <c r="E245" t="n">
        <v>64</v>
      </c>
      <c r="F245" t="n">
        <v>803</v>
      </c>
      <c r="G245" t="n">
        <v>2100</v>
      </c>
      <c r="H245" t="n">
        <v>741</v>
      </c>
      <c r="I245" t="n">
        <v>0</v>
      </c>
      <c r="J245" t="n">
        <v>0</v>
      </c>
      <c r="K245" t="n">
        <v>0</v>
      </c>
    </row>
    <row r="246">
      <c r="B246" t="n">
        <v>0</v>
      </c>
      <c r="C246" t="n">
        <v>0</v>
      </c>
      <c r="D246" t="n">
        <v>-134</v>
      </c>
      <c r="E246" t="n">
        <v>-5510</v>
      </c>
      <c r="F246" t="n">
        <v>-2561</v>
      </c>
      <c r="G246" t="n">
        <v>-302</v>
      </c>
      <c r="H246" t="n">
        <v>-853</v>
      </c>
      <c r="I246" t="n">
        <v>158</v>
      </c>
      <c r="J246" t="n">
        <v>210</v>
      </c>
      <c r="K246" t="n">
        <v>-166</v>
      </c>
    </row>
    <row r="247">
      <c r="B247" t="n">
        <v>3887</v>
      </c>
      <c r="C247" t="n">
        <v>0</v>
      </c>
      <c r="D247" t="n">
        <v>187</v>
      </c>
      <c r="E247" t="n">
        <v>399</v>
      </c>
      <c r="F247" t="n">
        <v>0</v>
      </c>
      <c r="G247" t="n">
        <v>-6</v>
      </c>
      <c r="H247" t="n">
        <v>-197</v>
      </c>
      <c r="I247" t="n">
        <v>-460</v>
      </c>
      <c r="J247" t="n">
        <v>37</v>
      </c>
      <c r="K247" t="n">
        <v>1167</v>
      </c>
    </row>
    <row r="248">
      <c r="B248" t="n">
        <v>0</v>
      </c>
      <c r="C248" t="n">
        <v>0</v>
      </c>
      <c r="D248" t="n">
        <v>6040</v>
      </c>
      <c r="E248" t="n">
        <v>5725</v>
      </c>
      <c r="F248" t="n">
        <v>4495</v>
      </c>
      <c r="G248" t="n">
        <v>0</v>
      </c>
      <c r="H248" t="n">
        <v>-1964</v>
      </c>
      <c r="I248" t="n">
        <v>-3173</v>
      </c>
      <c r="J248" t="n">
        <v>-6392</v>
      </c>
      <c r="K248" t="n">
        <v>-10116</v>
      </c>
    </row>
    <row r="249">
      <c r="B249" t="n">
        <v>0</v>
      </c>
      <c r="C249" t="n">
        <v>2264</v>
      </c>
      <c r="D249" t="n">
        <v>338</v>
      </c>
      <c r="E249" t="n">
        <v>-593</v>
      </c>
      <c r="F249" t="n">
        <v>-737</v>
      </c>
      <c r="G249" t="n">
        <v>0</v>
      </c>
      <c r="H249" t="n">
        <v>836</v>
      </c>
      <c r="I249" t="n">
        <v>1128</v>
      </c>
      <c r="J249" t="n">
        <v>2413</v>
      </c>
      <c r="K249" t="n">
        <v>2354</v>
      </c>
    </row>
    <row r="250">
      <c r="B250" t="n">
        <v>0</v>
      </c>
      <c r="C250" t="n">
        <v>2819</v>
      </c>
      <c r="D250" t="n">
        <v>7507</v>
      </c>
      <c r="E250" t="n">
        <v>4069</v>
      </c>
      <c r="F250" t="n">
        <v>10617</v>
      </c>
      <c r="G250" t="n">
        <v>5292</v>
      </c>
      <c r="H250" t="n">
        <v>17640</v>
      </c>
      <c r="I250" t="n">
        <v>2334</v>
      </c>
      <c r="J250" t="n">
        <v>10550</v>
      </c>
      <c r="K250" t="n">
        <v>334</v>
      </c>
    </row>
    <row r="251">
      <c r="B251" t="n">
        <v>3406</v>
      </c>
      <c r="C251" t="n">
        <v>56</v>
      </c>
      <c r="D251" t="n">
        <v>342</v>
      </c>
      <c r="E251" t="n">
        <v>343</v>
      </c>
      <c r="F251" t="n">
        <v>2123</v>
      </c>
      <c r="G251" t="n">
        <v>0</v>
      </c>
      <c r="H251" t="n">
        <v>0</v>
      </c>
      <c r="I251" t="n">
        <v>0</v>
      </c>
      <c r="J251" t="n">
        <v>0</v>
      </c>
      <c r="K251" t="n">
        <v>0</v>
      </c>
    </row>
    <row r="252">
      <c r="B252" t="n">
        <v>-430</v>
      </c>
      <c r="C252" t="n">
        <v>5914</v>
      </c>
      <c r="D252" t="n">
        <v>5269</v>
      </c>
      <c r="E252" t="n">
        <v>5968</v>
      </c>
      <c r="F252" t="n">
        <v>6974</v>
      </c>
      <c r="G252" t="n">
        <v>3028</v>
      </c>
      <c r="H252" t="n">
        <v>810</v>
      </c>
      <c r="I252" t="n">
        <v>1324</v>
      </c>
      <c r="J252" t="n">
        <v>2271</v>
      </c>
      <c r="K252" t="n">
        <v>30218</v>
      </c>
    </row>
    <row r="253">
      <c r="B253" t="n">
        <v>0</v>
      </c>
      <c r="C253" t="n">
        <v>11629</v>
      </c>
      <c r="D253" t="n">
        <v>13013</v>
      </c>
      <c r="E253" t="n">
        <v>0</v>
      </c>
      <c r="F253" t="n">
        <v>-8433</v>
      </c>
      <c r="G253" t="n">
        <v>-12761</v>
      </c>
      <c r="H253" t="n">
        <v>-12250</v>
      </c>
      <c r="I253" t="n">
        <v>-12383</v>
      </c>
      <c r="J253" t="n">
        <v>-13395</v>
      </c>
      <c r="K253" t="n">
        <v>0</v>
      </c>
    </row>
    <row r="254">
      <c r="B254" t="n">
        <v>0</v>
      </c>
      <c r="C254" t="n">
        <v>11744</v>
      </c>
      <c r="D254" t="n">
        <v>13031</v>
      </c>
      <c r="E254" t="n">
        <v>10527</v>
      </c>
      <c r="F254" t="n">
        <v>0</v>
      </c>
      <c r="G254" t="n">
        <v>-5023</v>
      </c>
      <c r="H254" t="n">
        <v>-8989</v>
      </c>
      <c r="I254" t="n">
        <v>-13320</v>
      </c>
      <c r="J254" t="n">
        <v>-15564</v>
      </c>
      <c r="K254" t="n">
        <v>0</v>
      </c>
    </row>
    <row r="255">
      <c r="B255" t="n">
        <v>-2752</v>
      </c>
      <c r="C255" t="n">
        <v>-3088</v>
      </c>
      <c r="D255" t="n">
        <v>-3011</v>
      </c>
      <c r="E255" t="n">
        <v>-1959</v>
      </c>
      <c r="F255" t="n">
        <v>0</v>
      </c>
      <c r="G255" t="n">
        <v>1034</v>
      </c>
      <c r="H255" t="n">
        <v>840</v>
      </c>
      <c r="I255" t="n">
        <v>1267</v>
      </c>
      <c r="J255" t="n">
        <v>1380</v>
      </c>
      <c r="K255" t="n">
        <v>0</v>
      </c>
    </row>
    <row r="256">
      <c r="B256" t="n">
        <v>16686</v>
      </c>
      <c r="C256" t="n">
        <v>3930</v>
      </c>
      <c r="D256" t="n">
        <v>22736</v>
      </c>
      <c r="E256" t="n">
        <v>5840</v>
      </c>
      <c r="F256" t="n">
        <v>32649</v>
      </c>
      <c r="G256" t="n">
        <v>9390</v>
      </c>
      <c r="H256" t="n">
        <v>19335</v>
      </c>
      <c r="I256" t="n">
        <v>6124</v>
      </c>
      <c r="J256" t="n">
        <v>-557</v>
      </c>
      <c r="K256" t="n">
        <v>589</v>
      </c>
    </row>
    <row r="257">
      <c r="B257" t="n">
        <v>-4489</v>
      </c>
      <c r="C257" t="n">
        <v>-621</v>
      </c>
      <c r="D257" t="n">
        <v>-921</v>
      </c>
      <c r="E257" t="n">
        <v>-202</v>
      </c>
      <c r="F257" t="n">
        <v>0</v>
      </c>
      <c r="G257" t="n">
        <v>0</v>
      </c>
      <c r="H257" t="n">
        <v>0</v>
      </c>
      <c r="I257" t="n">
        <v>0</v>
      </c>
      <c r="J257" t="n">
        <v>0</v>
      </c>
      <c r="K257" t="n">
        <v>189</v>
      </c>
    </row>
    <row r="258">
      <c r="B258" t="n">
        <v>-7515</v>
      </c>
      <c r="C258" t="n">
        <v>-3180</v>
      </c>
      <c r="D258" t="n">
        <v>-5854</v>
      </c>
      <c r="E258" t="n">
        <v>-5516</v>
      </c>
      <c r="F258" t="n">
        <v>-84</v>
      </c>
      <c r="G258" t="n">
        <v>-1489</v>
      </c>
      <c r="H258" t="n">
        <v>1578</v>
      </c>
      <c r="I258" t="n">
        <v>5194</v>
      </c>
      <c r="J258" t="n">
        <v>10995</v>
      </c>
      <c r="K258" t="n">
        <v>2389</v>
      </c>
    </row>
    <row r="259">
      <c r="B259" t="n">
        <v>0</v>
      </c>
      <c r="C259" t="n">
        <v>275</v>
      </c>
      <c r="D259" t="n">
        <v>483</v>
      </c>
      <c r="E259" t="n">
        <v>0</v>
      </c>
      <c r="F259" t="n">
        <v>-659</v>
      </c>
      <c r="G259" t="n">
        <v>-1191</v>
      </c>
      <c r="H259" t="n">
        <v>-994</v>
      </c>
      <c r="I259" t="n">
        <v>-715</v>
      </c>
      <c r="J259" t="n">
        <v>-1</v>
      </c>
      <c r="K259" t="n">
        <v>0</v>
      </c>
    </row>
    <row r="260">
      <c r="B260" t="n">
        <v>0</v>
      </c>
      <c r="C260" t="n">
        <v>11541</v>
      </c>
      <c r="D260" t="n">
        <v>11377</v>
      </c>
      <c r="E260" t="n">
        <v>8988</v>
      </c>
      <c r="F260" t="n">
        <v>0</v>
      </c>
      <c r="G260" t="n">
        <v>-3644</v>
      </c>
      <c r="H260" t="n">
        <v>-5471</v>
      </c>
      <c r="I260" t="n">
        <v>-8451</v>
      </c>
      <c r="J260" t="n">
        <v>-9978</v>
      </c>
      <c r="K260" t="n">
        <v>0</v>
      </c>
    </row>
    <row r="261">
      <c r="B261" t="n">
        <v>7974</v>
      </c>
      <c r="C261" t="n">
        <v>7616</v>
      </c>
      <c r="D261" t="n">
        <v>7471</v>
      </c>
      <c r="E261" t="n">
        <v>5543</v>
      </c>
      <c r="F261" t="n">
        <v>0</v>
      </c>
      <c r="G261" t="n">
        <v>-4354</v>
      </c>
      <c r="H261" t="n">
        <v>-5304</v>
      </c>
      <c r="I261" t="n">
        <v>-10745</v>
      </c>
      <c r="J261" t="n">
        <v>-13961</v>
      </c>
      <c r="K261" t="n">
        <v>0</v>
      </c>
    </row>
    <row r="262">
      <c r="B262" t="n">
        <v>6195</v>
      </c>
      <c r="C262" t="n">
        <v>17947</v>
      </c>
      <c r="D262" t="n">
        <v>8629</v>
      </c>
      <c r="E262" t="n">
        <v>24412</v>
      </c>
      <c r="F262" t="n">
        <v>11706</v>
      </c>
      <c r="G262" t="n">
        <v>36836</v>
      </c>
      <c r="H262" t="n">
        <v>5804</v>
      </c>
      <c r="I262" t="n">
        <v>31761</v>
      </c>
      <c r="J262" t="n">
        <v>-219</v>
      </c>
      <c r="K262" t="n">
        <v>-1697</v>
      </c>
    </row>
    <row r="263">
      <c r="B263" t="n">
        <v>-859</v>
      </c>
      <c r="C263" t="n">
        <v>-3640</v>
      </c>
      <c r="D263" t="n">
        <v>-668</v>
      </c>
      <c r="E263" t="n">
        <v>-1068</v>
      </c>
      <c r="F263" t="n">
        <v>0</v>
      </c>
      <c r="G263" t="n">
        <v>0</v>
      </c>
      <c r="H263" t="n">
        <v>0</v>
      </c>
      <c r="I263" t="n">
        <v>0</v>
      </c>
      <c r="J263" t="n">
        <v>0</v>
      </c>
      <c r="K263" t="n">
        <v>-184</v>
      </c>
    </row>
    <row r="264">
      <c r="B264" t="n">
        <v>8142</v>
      </c>
      <c r="C264" t="n">
        <v>9415</v>
      </c>
      <c r="D264" t="n">
        <v>5488</v>
      </c>
      <c r="E264" t="n">
        <v>7132</v>
      </c>
      <c r="F264" t="n">
        <v>-2498</v>
      </c>
      <c r="G264" t="n">
        <v>376</v>
      </c>
      <c r="H264" t="n">
        <v>2366</v>
      </c>
      <c r="I264" t="n">
        <v>4663</v>
      </c>
      <c r="J264" t="n">
        <v>4333</v>
      </c>
      <c r="K264" t="n">
        <v>9042</v>
      </c>
    </row>
    <row r="265">
      <c r="B265" t="n">
        <v>21082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tabColor rgb="FFFFFF00"/>
    <outlinePr summaryBelow="1" summaryRight="1"/>
    <pageSetUpPr/>
  </sheetPr>
  <dimension ref="A1:K186"/>
  <sheetViews>
    <sheetView topLeftCell="A48" workbookViewId="0">
      <selection activeCell="P29" sqref="P29"/>
    </sheetView>
  </sheetViews>
  <sheetFormatPr baseColWidth="8" defaultRowHeight="15"/>
  <sheetData>
    <row r="1">
      <c r="A1" s="42" t="inlineStr">
        <is>
          <t>Instructions:</t>
        </is>
      </c>
      <c r="B1" s="43" t="n"/>
      <c r="C1" s="43" t="n"/>
      <c r="D1" s="43" t="n"/>
      <c r="E1" s="43" t="n"/>
      <c r="F1" s="43" t="n"/>
      <c r="G1" s="43" t="n"/>
      <c r="H1" s="43" t="inlineStr">
        <is>
          <t>By: nagendra.dhakar@rsginc.com</t>
        </is>
      </c>
      <c r="I1" s="43" t="n"/>
      <c r="J1" s="43" t="n"/>
      <c r="K1" s="44" t="n"/>
    </row>
    <row r="2">
      <c r="A2" s="45" t="n">
        <v>1</v>
      </c>
      <c r="B2" s="46" t="inlineStr">
        <is>
          <t>Open "WorkbasedSubtourGenerationCoefficients_SACOG-v1.5.F12" in Notepad+</t>
        </is>
      </c>
      <c r="C2" s="46" t="n"/>
      <c r="D2" s="46" t="n"/>
      <c r="E2" s="46" t="n"/>
      <c r="F2" s="46" t="n"/>
      <c r="G2" s="46" t="n"/>
      <c r="H2" s="46" t="n"/>
      <c r="I2" s="46" t="n"/>
      <c r="J2" s="46" t="n"/>
      <c r="K2" s="47" t="n"/>
    </row>
    <row r="3">
      <c r="A3" s="45" t="n">
        <v>2</v>
      </c>
      <c r="B3" s="46" t="inlineStr">
        <is>
          <t>Select all(ctrl+A)</t>
        </is>
      </c>
      <c r="C3" s="46" t="n"/>
      <c r="D3" s="46" t="n"/>
      <c r="E3" s="46" t="n"/>
      <c r="F3" s="46" t="n"/>
      <c r="G3" s="46" t="n"/>
      <c r="H3" s="46" t="n"/>
      <c r="I3" s="46" t="n"/>
      <c r="J3" s="46" t="n"/>
      <c r="K3" s="47" t="n"/>
    </row>
    <row r="4">
      <c r="A4" s="45" t="n">
        <v>3</v>
      </c>
      <c r="B4" s="46" t="inlineStr">
        <is>
          <t>Paste in cell A8</t>
        </is>
      </c>
      <c r="C4" s="46" t="n"/>
      <c r="D4" s="46" t="n"/>
      <c r="E4" s="46" t="n"/>
      <c r="F4" s="46" t="n"/>
      <c r="G4" s="46" t="n"/>
      <c r="H4" s="46" t="n"/>
      <c r="I4" s="46" t="n"/>
      <c r="J4" s="46" t="n"/>
      <c r="K4" s="47" t="n"/>
    </row>
    <row r="5">
      <c r="A5" s="45" t="n">
        <v>4</v>
      </c>
      <c r="B5" s="46" t="inlineStr">
        <is>
          <t>Go to "Data" --&gt;Text to Columns - Select "Delimited" ---&gt; Select "Space" --&gt; Finish</t>
        </is>
      </c>
      <c r="C5" s="46" t="n"/>
      <c r="D5" s="46" t="n"/>
      <c r="E5" s="46" t="n"/>
      <c r="F5" s="46" t="n"/>
      <c r="G5" s="46" t="n"/>
      <c r="H5" s="46" t="n"/>
      <c r="I5" s="46" t="n"/>
      <c r="J5" s="46" t="n"/>
      <c r="K5" s="47" t="n"/>
    </row>
    <row r="6">
      <c r="A6" s="48" t="n"/>
      <c r="B6" s="49" t="n"/>
      <c r="C6" s="49" t="n"/>
      <c r="D6" s="49" t="n"/>
      <c r="E6" s="49" t="n"/>
      <c r="F6" s="49" t="n"/>
      <c r="G6" s="49" t="n"/>
      <c r="H6" s="49" t="n"/>
      <c r="I6" s="49" t="n"/>
      <c r="J6" s="49" t="n"/>
      <c r="K6" s="50" t="n"/>
    </row>
    <row r="8">
      <c r="A8" t="inlineStr">
        <is>
          <t>tod</t>
        </is>
      </c>
      <c r="B8" t="inlineStr">
        <is>
          <t>workbased</t>
        </is>
      </c>
      <c r="C8" t="inlineStr">
        <is>
          <t>subtour</t>
        </is>
      </c>
    </row>
    <row r="9">
      <c r="A9" t="inlineStr">
        <is>
          <t>Created</t>
        </is>
      </c>
      <c r="B9" t="inlineStr">
        <is>
          <t>by</t>
        </is>
      </c>
      <c r="C9" t="inlineStr">
        <is>
          <t>ALOGIT</t>
        </is>
      </c>
      <c r="D9" t="inlineStr">
        <is>
          <t>version</t>
        </is>
      </c>
      <c r="E9" t="n">
        <v>4</v>
      </c>
      <c r="F9" s="51" t="n">
        <v>0.4440625</v>
      </c>
      <c r="G9" t="inlineStr">
        <is>
          <t>on</t>
        </is>
      </c>
      <c r="H9" t="n">
        <v>24</v>
      </c>
      <c r="I9" t="inlineStr">
        <is>
          <t>Oct</t>
        </is>
      </c>
      <c r="J9" t="n">
        <v>16</v>
      </c>
    </row>
    <row r="10">
      <c r="A10" t="inlineStr">
        <is>
          <t>END</t>
        </is>
      </c>
    </row>
    <row r="11">
      <c r="B11" t="n">
        <v>11</v>
      </c>
      <c r="C11" t="inlineStr">
        <is>
          <t>arr3-5</t>
        </is>
      </c>
      <c r="D11" t="inlineStr">
        <is>
          <t>F</t>
        </is>
      </c>
      <c r="E11" t="n">
        <v>-5.54235818282</v>
      </c>
      <c r="F11" t="n">
        <v>1.28303463151</v>
      </c>
    </row>
    <row r="12">
      <c r="B12" t="n">
        <v>12</v>
      </c>
      <c r="C12" t="inlineStr">
        <is>
          <t>arr=6</t>
        </is>
      </c>
      <c r="D12" t="inlineStr">
        <is>
          <t>T</t>
        </is>
      </c>
      <c r="E12" t="n">
        <v>-5</v>
      </c>
      <c r="F12" t="n">
        <v>0</v>
      </c>
    </row>
    <row r="13">
      <c r="B13" t="n">
        <v>13</v>
      </c>
      <c r="C13" t="inlineStr">
        <is>
          <t>arr=7</t>
        </is>
      </c>
      <c r="D13" t="inlineStr">
        <is>
          <t>F</t>
        </is>
      </c>
      <c r="E13" t="n">
        <v>-0.660697596136</v>
      </c>
      <c r="F13" s="52" t="n">
        <v>0.496848008287</v>
      </c>
    </row>
    <row r="14">
      <c r="B14" t="n">
        <v>14</v>
      </c>
      <c r="C14" t="inlineStr">
        <is>
          <t>arr=8</t>
        </is>
      </c>
      <c r="D14" t="inlineStr">
        <is>
          <t>T</t>
        </is>
      </c>
      <c r="E14" t="n">
        <v>0</v>
      </c>
      <c r="F14" t="n">
        <v>0</v>
      </c>
    </row>
    <row r="15">
      <c r="B15" t="n">
        <v>15</v>
      </c>
      <c r="C15" t="inlineStr">
        <is>
          <t>arr=9</t>
        </is>
      </c>
      <c r="D15" t="inlineStr">
        <is>
          <t>F</t>
        </is>
      </c>
      <c r="E15" t="n">
        <v>-0.438160940428</v>
      </c>
      <c r="F15" s="52" t="n">
        <v>0.278605823311</v>
      </c>
    </row>
    <row r="16">
      <c r="B16" t="n">
        <v>16</v>
      </c>
      <c r="C16" t="inlineStr">
        <is>
          <t>arr10-12</t>
        </is>
      </c>
      <c r="D16" t="inlineStr">
        <is>
          <t>F</t>
        </is>
      </c>
      <c r="E16" t="n">
        <v>0.350149357063</v>
      </c>
      <c r="F16" s="52" t="n">
        <v>0.327668009072</v>
      </c>
    </row>
    <row r="17">
      <c r="B17" t="n">
        <v>17</v>
      </c>
      <c r="C17" t="inlineStr">
        <is>
          <t>arr13-15</t>
        </is>
      </c>
      <c r="D17" t="inlineStr">
        <is>
          <t>F</t>
        </is>
      </c>
      <c r="E17" t="n">
        <v>-0.9711627221070001</v>
      </c>
      <c r="F17" t="n">
        <v>0.397686926302</v>
      </c>
    </row>
    <row r="18">
      <c r="B18" t="n">
        <v>18</v>
      </c>
      <c r="C18" t="inlineStr">
        <is>
          <t>arr16-18</t>
        </is>
      </c>
      <c r="D18" t="inlineStr">
        <is>
          <t>F</t>
        </is>
      </c>
      <c r="E18" t="n">
        <v>-1.40663538516</v>
      </c>
      <c r="F18" t="n">
        <v>0.607423999108</v>
      </c>
    </row>
    <row r="19">
      <c r="B19" t="n">
        <v>19</v>
      </c>
      <c r="C19" t="inlineStr">
        <is>
          <t>arr19-21</t>
        </is>
      </c>
      <c r="D19" t="inlineStr">
        <is>
          <t>F</t>
        </is>
      </c>
      <c r="E19" t="n">
        <v>-3.94932741132</v>
      </c>
      <c r="F19" t="n">
        <v>1.89217897237</v>
      </c>
    </row>
    <row r="20">
      <c r="B20" t="n">
        <v>20</v>
      </c>
      <c r="C20" t="inlineStr">
        <is>
          <t>arr22-26</t>
        </is>
      </c>
      <c r="D20" t="inlineStr">
        <is>
          <t>T</t>
        </is>
      </c>
      <c r="E20" t="n">
        <v>-10</v>
      </c>
      <c r="F20" t="n">
        <v>0</v>
      </c>
    </row>
    <row r="21">
      <c r="B21" t="n">
        <v>21</v>
      </c>
      <c r="C21" t="inlineStr">
        <is>
          <t>dep3-6</t>
        </is>
      </c>
      <c r="D21" t="inlineStr">
        <is>
          <t>F</t>
        </is>
      </c>
      <c r="E21" t="n">
        <v>6.91868540387</v>
      </c>
      <c r="F21" t="n">
        <v>0.937471046926</v>
      </c>
    </row>
    <row r="22">
      <c r="B22" t="n">
        <v>22</v>
      </c>
      <c r="C22" t="inlineStr">
        <is>
          <t>dep7-9</t>
        </is>
      </c>
      <c r="D22" t="inlineStr">
        <is>
          <t>F</t>
        </is>
      </c>
      <c r="E22" t="n">
        <v>0.823788311098</v>
      </c>
      <c r="F22" t="n">
        <v>0.516961662503</v>
      </c>
    </row>
    <row r="23">
      <c r="B23" t="n">
        <v>23</v>
      </c>
      <c r="C23" t="inlineStr">
        <is>
          <t>dep10-12</t>
        </is>
      </c>
      <c r="D23" t="inlineStr">
        <is>
          <t>F</t>
        </is>
      </c>
      <c r="E23" t="n">
        <v>1.15129394327</v>
      </c>
      <c r="F23" t="n">
        <v>0.388901737311</v>
      </c>
    </row>
    <row r="24">
      <c r="B24" t="n">
        <v>24</v>
      </c>
      <c r="C24" t="inlineStr">
        <is>
          <t>dep13-14</t>
        </is>
      </c>
      <c r="D24" t="inlineStr">
        <is>
          <t>F</t>
        </is>
      </c>
      <c r="E24" t="n">
        <v>1.26969878925</v>
      </c>
      <c r="F24" t="n">
        <v>0.336693079717</v>
      </c>
    </row>
    <row r="25">
      <c r="B25" t="n">
        <v>25</v>
      </c>
      <c r="C25" t="inlineStr">
        <is>
          <t>dep=16</t>
        </is>
      </c>
      <c r="D25" t="inlineStr">
        <is>
          <t>T</t>
        </is>
      </c>
      <c r="E25" t="n">
        <v>0</v>
      </c>
      <c r="F25" t="n">
        <v>0</v>
      </c>
    </row>
    <row r="26">
      <c r="B26" t="n">
        <v>26</v>
      </c>
      <c r="C26" t="inlineStr">
        <is>
          <t>dep=17</t>
        </is>
      </c>
      <c r="D26" t="inlineStr">
        <is>
          <t>F</t>
        </is>
      </c>
      <c r="E26" s="52" t="n">
        <v>-0.325983046458</v>
      </c>
      <c r="F26" s="52" t="n">
        <v>0.44955767308</v>
      </c>
    </row>
    <row r="27">
      <c r="B27" t="n">
        <v>27</v>
      </c>
      <c r="C27" t="inlineStr">
        <is>
          <t>dep=18</t>
        </is>
      </c>
      <c r="D27" t="inlineStr">
        <is>
          <t>F</t>
        </is>
      </c>
      <c r="E27" t="n">
        <v>-0.23479195192</v>
      </c>
      <c r="F27" t="n">
        <v>0.556475957577</v>
      </c>
    </row>
    <row r="28">
      <c r="B28" t="n">
        <v>28</v>
      </c>
      <c r="C28" t="inlineStr">
        <is>
          <t>dep19-20</t>
        </is>
      </c>
      <c r="D28" t="inlineStr">
        <is>
          <t>F</t>
        </is>
      </c>
      <c r="E28" t="n">
        <v>-0.630824163182</v>
      </c>
      <c r="F28" t="n">
        <v>1.12936832791</v>
      </c>
    </row>
    <row r="29">
      <c r="B29" t="n">
        <v>29</v>
      </c>
      <c r="C29" t="inlineStr">
        <is>
          <t>dep21-23</t>
        </is>
      </c>
      <c r="D29" t="inlineStr">
        <is>
          <t>F</t>
        </is>
      </c>
      <c r="E29" t="n">
        <v>1.77974443435</v>
      </c>
      <c r="F29" t="n">
        <v>1.83373961071</v>
      </c>
    </row>
    <row r="30">
      <c r="B30" t="n">
        <v>30</v>
      </c>
      <c r="C30" t="inlineStr">
        <is>
          <t>dep24-26</t>
        </is>
      </c>
      <c r="D30" t="inlineStr">
        <is>
          <t>T</t>
        </is>
      </c>
      <c r="E30" t="n">
        <v>-10</v>
      </c>
      <c r="F30" t="n">
        <v>0</v>
      </c>
    </row>
    <row r="31">
      <c r="B31" t="n">
        <v>31</v>
      </c>
      <c r="C31" t="inlineStr">
        <is>
          <t>dur0-0</t>
        </is>
      </c>
      <c r="D31" t="inlineStr">
        <is>
          <t>F</t>
        </is>
      </c>
      <c r="E31" t="n">
        <v>2.37870240531</v>
      </c>
      <c r="F31" t="n">
        <v>0.432671629106</v>
      </c>
    </row>
    <row r="32">
      <c r="B32" t="n">
        <v>32</v>
      </c>
      <c r="C32" t="inlineStr">
        <is>
          <t>dur1-1</t>
        </is>
      </c>
      <c r="D32" t="inlineStr">
        <is>
          <t>F</t>
        </is>
      </c>
      <c r="E32" t="n">
        <v>1.49226509696</v>
      </c>
      <c r="F32" t="n">
        <v>0.354973453822</v>
      </c>
    </row>
    <row r="33">
      <c r="B33" t="n">
        <v>33</v>
      </c>
      <c r="C33" t="inlineStr">
        <is>
          <t>dur2-2</t>
        </is>
      </c>
      <c r="D33" t="inlineStr">
        <is>
          <t>T</t>
        </is>
      </c>
      <c r="E33" t="n">
        <v>0</v>
      </c>
      <c r="F33" t="n">
        <v>0</v>
      </c>
    </row>
    <row r="34">
      <c r="B34" t="n">
        <v>34</v>
      </c>
      <c r="C34" t="inlineStr">
        <is>
          <t>dur3-4</t>
        </is>
      </c>
      <c r="D34" t="inlineStr">
        <is>
          <t>F</t>
        </is>
      </c>
      <c r="E34" t="n">
        <v>-0.775912922357</v>
      </c>
      <c r="F34" t="n">
        <v>0.6891440643159999</v>
      </c>
    </row>
    <row r="35">
      <c r="B35" t="n">
        <v>35</v>
      </c>
      <c r="C35" t="inlineStr">
        <is>
          <t>dur5-6</t>
        </is>
      </c>
      <c r="D35" t="inlineStr">
        <is>
          <t>T</t>
        </is>
      </c>
      <c r="E35" t="n">
        <v>-5</v>
      </c>
      <c r="F35" t="n">
        <v>0</v>
      </c>
    </row>
    <row r="36">
      <c r="B36" t="n">
        <v>36</v>
      </c>
      <c r="C36" t="inlineStr">
        <is>
          <t>dur7-8</t>
        </is>
      </c>
      <c r="D36" t="inlineStr">
        <is>
          <t>T</t>
        </is>
      </c>
      <c r="E36" t="n">
        <v>-5</v>
      </c>
      <c r="F36" t="n">
        <v>0</v>
      </c>
    </row>
    <row r="37">
      <c r="B37" t="n">
        <v>37</v>
      </c>
      <c r="C37" t="inlineStr">
        <is>
          <t>dur9-11</t>
        </is>
      </c>
      <c r="D37" t="inlineStr">
        <is>
          <t>T</t>
        </is>
      </c>
      <c r="E37" t="n">
        <v>-5.052</v>
      </c>
      <c r="F37" t="n">
        <v>0</v>
      </c>
    </row>
    <row r="38">
      <c r="B38" t="n">
        <v>38</v>
      </c>
      <c r="C38" t="inlineStr">
        <is>
          <t>dur12-13</t>
        </is>
      </c>
      <c r="D38" t="inlineStr">
        <is>
          <t>T</t>
        </is>
      </c>
      <c r="E38" t="n">
        <v>-10</v>
      </c>
      <c r="F38" t="n">
        <v>0</v>
      </c>
    </row>
    <row r="39">
      <c r="B39" t="n">
        <v>39</v>
      </c>
      <c r="C39" t="inlineStr">
        <is>
          <t>dur14-17</t>
        </is>
      </c>
      <c r="D39" t="inlineStr">
        <is>
          <t>T</t>
        </is>
      </c>
      <c r="E39" t="n">
        <v>-10</v>
      </c>
      <c r="F39" t="n">
        <v>0</v>
      </c>
    </row>
    <row r="40">
      <c r="B40" t="n">
        <v>41</v>
      </c>
      <c r="C40" t="inlineStr">
        <is>
          <t>ptwk-arr</t>
        </is>
      </c>
      <c r="D40" t="inlineStr">
        <is>
          <t>F</t>
        </is>
      </c>
      <c r="E40" s="52" t="n">
        <v>-0.0490819376318</v>
      </c>
      <c r="F40" s="52" t="n">
        <v>0.06369308513709999</v>
      </c>
    </row>
    <row r="41">
      <c r="B41" t="n">
        <v>42</v>
      </c>
      <c r="C41" t="inlineStr">
        <is>
          <t>ptwk-dur</t>
        </is>
      </c>
      <c r="D41" t="inlineStr">
        <is>
          <t>F</t>
        </is>
      </c>
      <c r="E41" s="52" t="n">
        <v>0.151855759915</v>
      </c>
      <c r="F41" s="52" t="n">
        <v>0.136972972591</v>
      </c>
    </row>
    <row r="42">
      <c r="B42" t="n">
        <v>85</v>
      </c>
      <c r="C42" t="inlineStr">
        <is>
          <t>ctim-out</t>
        </is>
      </c>
      <c r="D42" t="inlineStr">
        <is>
          <t>T</t>
        </is>
      </c>
      <c r="E42" s="52" t="n">
        <v>0.25</v>
      </c>
      <c r="F42" s="52" t="n">
        <v>0</v>
      </c>
    </row>
    <row r="43">
      <c r="B43" t="n">
        <v>86</v>
      </c>
      <c r="C43" t="inlineStr">
        <is>
          <t>ctim-ret</t>
        </is>
      </c>
      <c r="D43" t="inlineStr">
        <is>
          <t>T</t>
        </is>
      </c>
      <c r="E43" t="n">
        <v>0.25</v>
      </c>
      <c r="F43" s="52" t="n">
        <v>0</v>
      </c>
    </row>
    <row r="44">
      <c r="B44" t="n">
        <v>87</v>
      </c>
      <c r="C44" t="inlineStr">
        <is>
          <t>ttim-out</t>
        </is>
      </c>
      <c r="D44" t="inlineStr">
        <is>
          <t>T</t>
        </is>
      </c>
      <c r="E44" s="52" t="n">
        <v>0.25</v>
      </c>
      <c r="F44" s="52" t="n">
        <v>0</v>
      </c>
    </row>
    <row r="45">
      <c r="B45" t="n">
        <v>88</v>
      </c>
      <c r="C45" t="inlineStr">
        <is>
          <t>ttim-ret</t>
        </is>
      </c>
      <c r="D45" t="inlineStr">
        <is>
          <t>T</t>
        </is>
      </c>
      <c r="E45" t="n">
        <v>0.25</v>
      </c>
      <c r="F45" s="52" t="n">
        <v>0</v>
      </c>
    </row>
    <row r="46">
      <c r="B46" t="n">
        <v>91</v>
      </c>
      <c r="C46" t="inlineStr">
        <is>
          <t>arravail</t>
        </is>
      </c>
      <c r="D46" t="inlineStr">
        <is>
          <t>F</t>
        </is>
      </c>
      <c r="E46" s="52" t="n">
        <v>2.93049427473</v>
      </c>
      <c r="F46" s="52" t="n">
        <v>0.89682666168</v>
      </c>
    </row>
    <row r="47">
      <c r="B47" t="n">
        <v>92</v>
      </c>
      <c r="C47" t="inlineStr">
        <is>
          <t>depavail</t>
        </is>
      </c>
      <c r="D47" t="inlineStr">
        <is>
          <t>F</t>
        </is>
      </c>
      <c r="E47" t="n">
        <v>1.88454495722</v>
      </c>
      <c r="F47" s="52" t="n">
        <v>0.868637736443</v>
      </c>
    </row>
    <row r="48">
      <c r="B48" t="n">
        <v>93</v>
      </c>
      <c r="C48" t="inlineStr">
        <is>
          <t>cempbef1</t>
        </is>
      </c>
      <c r="D48" t="inlineStr">
        <is>
          <t>F</t>
        </is>
      </c>
      <c r="E48" s="52" t="n">
        <v>0.170361034168</v>
      </c>
      <c r="F48" s="52" t="n">
        <v>0.0525646457279</v>
      </c>
    </row>
    <row r="49">
      <c r="B49" t="n">
        <v>94</v>
      </c>
      <c r="C49" t="inlineStr">
        <is>
          <t>cempaft1</t>
        </is>
      </c>
      <c r="D49" t="inlineStr">
        <is>
          <t>F</t>
        </is>
      </c>
      <c r="E49" s="52" t="n">
        <v>0.202056492417</v>
      </c>
      <c r="F49" s="52" t="n">
        <v>0.0448564700465</v>
      </c>
    </row>
    <row r="50">
      <c r="B50" t="n">
        <v>124</v>
      </c>
      <c r="C50" t="inlineStr">
        <is>
          <t>dep15</t>
        </is>
      </c>
      <c r="D50" t="inlineStr">
        <is>
          <t>F</t>
        </is>
      </c>
      <c r="E50" s="52" t="n">
        <v>0.316205849253</v>
      </c>
      <c r="F50" s="52" t="n">
        <v>0.352072859996</v>
      </c>
    </row>
    <row r="51">
      <c r="B51" t="n">
        <v>145</v>
      </c>
      <c r="C51" t="inlineStr">
        <is>
          <t>esco-arr</t>
        </is>
      </c>
      <c r="D51" t="inlineStr">
        <is>
          <t>F</t>
        </is>
      </c>
      <c r="E51" s="52" t="n">
        <v>0.0538855009856</v>
      </c>
      <c r="F51" s="52" t="n">
        <v>0.07816401511649999</v>
      </c>
    </row>
    <row r="52">
      <c r="B52" t="n">
        <v>146</v>
      </c>
      <c r="C52" t="inlineStr">
        <is>
          <t>esco-dur</t>
        </is>
      </c>
      <c r="D52" t="inlineStr">
        <is>
          <t>F</t>
        </is>
      </c>
      <c r="E52" s="52" t="n">
        <v>-0.484996585356</v>
      </c>
      <c r="F52" s="52" t="n">
        <v>0.298255574997</v>
      </c>
    </row>
    <row r="53">
      <c r="B53" t="n">
        <v>147</v>
      </c>
      <c r="C53" t="inlineStr">
        <is>
          <t>shop-arr</t>
        </is>
      </c>
      <c r="D53" t="inlineStr">
        <is>
          <t>F</t>
        </is>
      </c>
      <c r="E53" s="52" t="n">
        <v>0.154541885442</v>
      </c>
      <c r="F53" s="52" t="n">
        <v>0.041460815213</v>
      </c>
    </row>
    <row r="54">
      <c r="B54" t="n">
        <v>148</v>
      </c>
      <c r="C54" t="inlineStr">
        <is>
          <t>shop-dur</t>
        </is>
      </c>
      <c r="D54" t="inlineStr">
        <is>
          <t>F</t>
        </is>
      </c>
      <c r="E54" s="52" t="n">
        <v>-0.179774601487</v>
      </c>
      <c r="F54" s="52" t="n">
        <v>0.128305180262</v>
      </c>
    </row>
    <row r="55">
      <c r="B55" t="n">
        <v>149</v>
      </c>
      <c r="C55" t="inlineStr">
        <is>
          <t>meal-arr</t>
        </is>
      </c>
      <c r="D55" t="inlineStr">
        <is>
          <t>F</t>
        </is>
      </c>
      <c r="E55" t="n">
        <v>0.137175216137</v>
      </c>
      <c r="F55" s="52" t="n">
        <v>0.0318924666951</v>
      </c>
    </row>
    <row r="56">
      <c r="B56" t="n">
        <v>150</v>
      </c>
      <c r="C56" t="inlineStr">
        <is>
          <t>meal-dur</t>
        </is>
      </c>
      <c r="D56" t="inlineStr">
        <is>
          <t>F</t>
        </is>
      </c>
      <c r="E56" s="52" t="n">
        <v>-0.0865137423254</v>
      </c>
      <c r="F56" s="52" t="n">
        <v>0.0868258390959</v>
      </c>
    </row>
    <row r="57">
      <c r="B57" t="n">
        <v>151</v>
      </c>
      <c r="C57" t="inlineStr">
        <is>
          <t>srec-arr</t>
        </is>
      </c>
      <c r="D57" t="inlineStr">
        <is>
          <t>F</t>
        </is>
      </c>
      <c r="E57" t="n">
        <v>0.183644784769</v>
      </c>
      <c r="F57" s="52" t="n">
        <v>0.0408784826913</v>
      </c>
    </row>
    <row r="58">
      <c r="B58" t="n">
        <v>152</v>
      </c>
      <c r="C58" t="inlineStr">
        <is>
          <t>srec-dur</t>
        </is>
      </c>
      <c r="D58" t="inlineStr">
        <is>
          <t>F</t>
        </is>
      </c>
      <c r="E58" s="52" t="n">
        <v>0.0116846885431</v>
      </c>
      <c r="F58" t="n">
        <v>0.120123669992</v>
      </c>
    </row>
    <row r="59">
      <c r="B59" t="n">
        <v>153</v>
      </c>
      <c r="C59" t="inlineStr">
        <is>
          <t>pbus-arr</t>
        </is>
      </c>
      <c r="D59" t="inlineStr">
        <is>
          <t>F</t>
        </is>
      </c>
      <c r="E59" t="n">
        <v>0.106847676634</v>
      </c>
      <c r="F59" s="52" t="n">
        <v>0.047187194521</v>
      </c>
    </row>
    <row r="60">
      <c r="B60" t="n">
        <v>154</v>
      </c>
      <c r="C60" t="inlineStr">
        <is>
          <t>pbus-dur</t>
        </is>
      </c>
      <c r="D60" t="inlineStr">
        <is>
          <t>F</t>
        </is>
      </c>
      <c r="E60" s="52" t="n">
        <v>-0.0259959971076</v>
      </c>
      <c r="F60" t="n">
        <v>0.134925145202</v>
      </c>
    </row>
    <row r="61">
      <c r="B61" t="n">
        <v>-1</v>
      </c>
      <c r="F61" s="52" t="n"/>
    </row>
    <row r="62">
      <c r="B62" t="n">
        <v>697</v>
      </c>
      <c r="C62" s="52" t="n">
        <v>-2567.84796752</v>
      </c>
      <c r="D62" s="52" t="n">
        <v>-3502.05022989</v>
      </c>
      <c r="E62" s="52" t="n">
        <v>-2683.65292251</v>
      </c>
      <c r="F62" s="52" t="n"/>
    </row>
    <row r="63">
      <c r="B63" t="n">
        <v>9</v>
      </c>
      <c r="C63" t="inlineStr">
        <is>
          <t>010:39:27</t>
        </is>
      </c>
      <c r="D63" t="inlineStr">
        <is>
          <t>on</t>
        </is>
      </c>
      <c r="E63" t="n">
        <v>24</v>
      </c>
      <c r="F63" s="52" t="inlineStr">
        <is>
          <t>Oct</t>
        </is>
      </c>
      <c r="G63" t="n">
        <v>16</v>
      </c>
    </row>
    <row r="64">
      <c r="B64" t="n">
        <v>0</v>
      </c>
      <c r="C64" t="n">
        <v>1236</v>
      </c>
      <c r="D64" t="n">
        <v>0</v>
      </c>
      <c r="E64" s="52" t="n">
        <v>0</v>
      </c>
      <c r="F64" s="52" t="n">
        <v>0</v>
      </c>
      <c r="G64" t="n">
        <v>0</v>
      </c>
      <c r="H64" t="n">
        <v>-1605</v>
      </c>
      <c r="I64" t="n">
        <v>0</v>
      </c>
      <c r="J64" t="n">
        <v>20141</v>
      </c>
      <c r="K64" t="n">
        <v>0</v>
      </c>
    </row>
    <row r="65">
      <c r="B65" t="n">
        <v>-3161</v>
      </c>
      <c r="C65" t="n">
        <v>0</v>
      </c>
      <c r="D65" t="n">
        <v>11767</v>
      </c>
      <c r="E65" t="n">
        <v>0</v>
      </c>
      <c r="F65" t="n">
        <v>71051</v>
      </c>
      <c r="G65" t="n">
        <v>-3072</v>
      </c>
      <c r="H65" t="n">
        <v>0</v>
      </c>
      <c r="I65" t="n">
        <v>8555</v>
      </c>
      <c r="J65" t="n">
        <v>0</v>
      </c>
      <c r="K65" t="n">
        <v>61968</v>
      </c>
    </row>
    <row r="66">
      <c r="B66" t="n">
        <v>91284</v>
      </c>
      <c r="C66" t="n">
        <v>-2052</v>
      </c>
      <c r="D66" t="n">
        <v>0</v>
      </c>
      <c r="E66" t="n">
        <v>5208</v>
      </c>
      <c r="F66" t="n">
        <v>0</v>
      </c>
      <c r="G66" t="n">
        <v>42183</v>
      </c>
      <c r="H66" t="n">
        <v>64537</v>
      </c>
      <c r="I66" t="n">
        <v>72605</v>
      </c>
      <c r="J66" t="n">
        <v>-798</v>
      </c>
      <c r="K66" t="n">
        <v>0</v>
      </c>
    </row>
    <row r="67">
      <c r="B67" t="n">
        <v>1363</v>
      </c>
      <c r="C67" t="n">
        <v>0</v>
      </c>
      <c r="D67" t="n">
        <v>14272</v>
      </c>
      <c r="E67" s="52" t="n">
        <v>22966</v>
      </c>
      <c r="F67" t="n">
        <v>26860</v>
      </c>
      <c r="G67" t="n">
        <v>35403</v>
      </c>
      <c r="H67" t="n">
        <v>0</v>
      </c>
      <c r="I67" t="n">
        <v>0</v>
      </c>
      <c r="J67" t="n">
        <v>0</v>
      </c>
      <c r="K67" t="n">
        <v>0</v>
      </c>
    </row>
    <row r="68">
      <c r="B68" t="n">
        <v>0</v>
      </c>
      <c r="C68" t="n">
        <v>0</v>
      </c>
      <c r="D68" t="n">
        <v>0</v>
      </c>
      <c r="E68" t="n">
        <v>0</v>
      </c>
      <c r="F68" s="52" t="n">
        <v>0</v>
      </c>
      <c r="G68" t="n">
        <v>-39154</v>
      </c>
      <c r="H68" t="n">
        <v>0</v>
      </c>
      <c r="I68" t="n">
        <v>9156</v>
      </c>
      <c r="J68" t="n">
        <v>0</v>
      </c>
      <c r="K68" t="n">
        <v>19211</v>
      </c>
    </row>
    <row r="69">
      <c r="B69" t="n">
        <v>23506</v>
      </c>
      <c r="C69" t="n">
        <v>24171</v>
      </c>
      <c r="D69" t="n">
        <v>31432</v>
      </c>
      <c r="E69" t="n">
        <v>10391</v>
      </c>
      <c r="F69" s="52" t="n">
        <v>0</v>
      </c>
      <c r="G69" t="n">
        <v>-651</v>
      </c>
      <c r="H69" t="n">
        <v>0</v>
      </c>
      <c r="I69" t="n">
        <v>-3437</v>
      </c>
      <c r="J69" t="n">
        <v>0</v>
      </c>
      <c r="K69" t="n">
        <v>17864</v>
      </c>
    </row>
    <row r="70">
      <c r="B70" t="n">
        <v>36979</v>
      </c>
      <c r="C70" t="n">
        <v>40374</v>
      </c>
      <c r="D70" t="n">
        <v>54882</v>
      </c>
      <c r="E70" s="52" t="n">
        <v>18528</v>
      </c>
      <c r="F70" s="52" t="n">
        <v>0</v>
      </c>
      <c r="G70" t="n">
        <v>55202</v>
      </c>
      <c r="H70" t="n">
        <v>201</v>
      </c>
      <c r="I70" t="n">
        <v>0</v>
      </c>
      <c r="J70" t="n">
        <v>1091</v>
      </c>
      <c r="K70" t="n">
        <v>0</v>
      </c>
    </row>
    <row r="71">
      <c r="B71" t="n">
        <v>-722</v>
      </c>
      <c r="C71" t="n">
        <v>248</v>
      </c>
      <c r="D71" t="n">
        <v>11445</v>
      </c>
      <c r="E71" s="52" t="n">
        <v>44121</v>
      </c>
      <c r="F71" s="52" t="n">
        <v>14786</v>
      </c>
      <c r="G71" t="n">
        <v>0</v>
      </c>
      <c r="H71" t="n">
        <v>50152</v>
      </c>
      <c r="I71" t="n">
        <v>83379</v>
      </c>
      <c r="J71" t="n">
        <v>136</v>
      </c>
      <c r="K71" t="n">
        <v>0</v>
      </c>
    </row>
    <row r="72">
      <c r="B72" t="n">
        <v>788</v>
      </c>
      <c r="C72" t="n">
        <v>0</v>
      </c>
      <c r="D72" t="n">
        <v>-863</v>
      </c>
      <c r="E72" s="52" t="n">
        <v>-1863</v>
      </c>
      <c r="F72" s="52" t="n">
        <v>3882</v>
      </c>
      <c r="G72" t="n">
        <v>44231</v>
      </c>
      <c r="H72" t="n">
        <v>14432</v>
      </c>
      <c r="I72" t="n">
        <v>0</v>
      </c>
      <c r="J72" t="n">
        <v>43887</v>
      </c>
      <c r="K72" t="n">
        <v>74982</v>
      </c>
    </row>
    <row r="73">
      <c r="B73" t="n">
        <v>93102</v>
      </c>
      <c r="C73" t="n">
        <v>0</v>
      </c>
      <c r="D73" t="n">
        <v>0</v>
      </c>
      <c r="E73" t="n">
        <v>0</v>
      </c>
      <c r="F73" t="n">
        <v>0</v>
      </c>
      <c r="G73" t="n">
        <v>0</v>
      </c>
      <c r="H73" t="n">
        <v>0</v>
      </c>
      <c r="I73" t="n">
        <v>0</v>
      </c>
      <c r="J73" t="n">
        <v>0</v>
      </c>
      <c r="K73" t="n">
        <v>0</v>
      </c>
    </row>
    <row r="74">
      <c r="B74" t="n">
        <v>0</v>
      </c>
      <c r="C74" s="52" t="n">
        <v>0</v>
      </c>
      <c r="D74" s="52" t="n">
        <v>0</v>
      </c>
      <c r="E74" s="52" t="n">
        <v>0</v>
      </c>
      <c r="F74" t="n">
        <v>0</v>
      </c>
      <c r="G74" t="n">
        <v>-166</v>
      </c>
      <c r="H74" t="n">
        <v>0</v>
      </c>
      <c r="I74" t="n">
        <v>-231</v>
      </c>
      <c r="J74" t="n">
        <v>0</v>
      </c>
      <c r="K74" t="n">
        <v>368</v>
      </c>
    </row>
    <row r="75">
      <c r="B75" t="n">
        <v>990</v>
      </c>
      <c r="C75" t="n">
        <v>1096</v>
      </c>
      <c r="D75" t="n">
        <v>-21685</v>
      </c>
      <c r="E75" t="n">
        <v>-6714</v>
      </c>
      <c r="F75" t="n">
        <v>0</v>
      </c>
      <c r="G75" t="n">
        <v>1086</v>
      </c>
      <c r="H75" t="n">
        <v>3114</v>
      </c>
      <c r="I75" t="n">
        <v>5940</v>
      </c>
      <c r="J75" t="n">
        <v>9244</v>
      </c>
      <c r="K75" t="n">
        <v>0</v>
      </c>
    </row>
    <row r="76">
      <c r="B76" t="n">
        <v>-374</v>
      </c>
      <c r="C76" t="n">
        <v>0</v>
      </c>
      <c r="D76" t="n">
        <v>-592</v>
      </c>
      <c r="E76" t="n">
        <v>0</v>
      </c>
      <c r="F76" t="n">
        <v>1015</v>
      </c>
      <c r="G76" t="n">
        <v>2932</v>
      </c>
      <c r="H76" t="n">
        <v>3816</v>
      </c>
      <c r="I76" t="n">
        <v>-19419</v>
      </c>
      <c r="J76" t="n">
        <v>-5357</v>
      </c>
      <c r="K76" t="n">
        <v>0</v>
      </c>
    </row>
    <row r="77">
      <c r="B77" t="n">
        <v>-3650</v>
      </c>
      <c r="C77" t="n">
        <v>-4290</v>
      </c>
      <c r="D77" t="n">
        <v>-3021</v>
      </c>
      <c r="E77" t="n">
        <v>404</v>
      </c>
      <c r="F77" t="n">
        <v>0</v>
      </c>
      <c r="G77" t="n">
        <v>34786</v>
      </c>
      <c r="H77" t="n">
        <v>-188</v>
      </c>
      <c r="I77" t="n">
        <v>0</v>
      </c>
      <c r="J77" t="n">
        <v>-399</v>
      </c>
      <c r="K77" t="n">
        <v>0</v>
      </c>
    </row>
    <row r="78">
      <c r="B78" t="n">
        <v>511</v>
      </c>
      <c r="C78" t="n">
        <v>1244</v>
      </c>
      <c r="D78" t="n">
        <v>1251</v>
      </c>
      <c r="E78" t="n">
        <v>-10420</v>
      </c>
      <c r="F78" t="n">
        <v>-30961</v>
      </c>
      <c r="G78" t="n">
        <v>0</v>
      </c>
      <c r="H78" t="n">
        <v>-4022</v>
      </c>
      <c r="I78" t="n">
        <v>-5407</v>
      </c>
      <c r="J78" t="n">
        <v>-4656</v>
      </c>
      <c r="K78" t="n">
        <v>-1845</v>
      </c>
    </row>
    <row r="79">
      <c r="B79" t="n">
        <v>0</v>
      </c>
      <c r="C79" t="n">
        <v>18051</v>
      </c>
      <c r="D79" t="n">
        <v>19364</v>
      </c>
      <c r="E79" t="n">
        <v>-265</v>
      </c>
      <c r="F79" t="n">
        <v>0</v>
      </c>
      <c r="G79" t="n">
        <v>-374</v>
      </c>
      <c r="H79" t="n">
        <v>0</v>
      </c>
      <c r="I79" t="n">
        <v>564</v>
      </c>
      <c r="J79" t="n">
        <v>1167</v>
      </c>
      <c r="K79" t="n">
        <v>1065</v>
      </c>
    </row>
    <row r="80">
      <c r="B80" t="n">
        <v>-6232</v>
      </c>
      <c r="C80" t="n">
        <v>-82413</v>
      </c>
      <c r="D80" t="n">
        <v>0</v>
      </c>
      <c r="E80" t="n">
        <v>-5075</v>
      </c>
      <c r="F80" t="n">
        <v>-6993</v>
      </c>
      <c r="G80" t="n">
        <v>-6426</v>
      </c>
      <c r="H80" t="n">
        <v>-3480</v>
      </c>
      <c r="I80" t="n">
        <v>0</v>
      </c>
      <c r="J80" t="n">
        <v>12020</v>
      </c>
      <c r="K80" t="n">
        <v>13874</v>
      </c>
    </row>
    <row r="81">
      <c r="B81" t="n">
        <v>36199</v>
      </c>
      <c r="C81" t="n">
        <v>0</v>
      </c>
      <c r="D81" t="n">
        <v>0</v>
      </c>
      <c r="E81" t="n">
        <v>0</v>
      </c>
      <c r="F81" t="n">
        <v>0</v>
      </c>
      <c r="G81" t="n">
        <v>0</v>
      </c>
      <c r="H81" t="n">
        <v>0</v>
      </c>
      <c r="I81" t="n">
        <v>0</v>
      </c>
      <c r="J81" t="n">
        <v>0</v>
      </c>
      <c r="K81" t="n">
        <v>0</v>
      </c>
    </row>
    <row r="82">
      <c r="B82" t="n">
        <v>0</v>
      </c>
      <c r="C82" t="n">
        <v>0</v>
      </c>
      <c r="D82" t="n">
        <v>0</v>
      </c>
      <c r="E82" t="n">
        <v>0</v>
      </c>
      <c r="F82" t="n">
        <v>0</v>
      </c>
      <c r="G82" t="n">
        <v>0</v>
      </c>
      <c r="H82" t="n">
        <v>0</v>
      </c>
      <c r="I82" t="n">
        <v>0</v>
      </c>
      <c r="J82" t="n">
        <v>0</v>
      </c>
      <c r="K82" t="n">
        <v>0</v>
      </c>
    </row>
    <row r="83">
      <c r="B83" t="n">
        <v>-922</v>
      </c>
      <c r="C83" t="n">
        <v>0</v>
      </c>
      <c r="D83" t="n">
        <v>-103</v>
      </c>
      <c r="E83" t="n">
        <v>0</v>
      </c>
      <c r="F83" t="n">
        <v>-415</v>
      </c>
      <c r="G83" t="n">
        <v>198</v>
      </c>
      <c r="H83" t="n">
        <v>283</v>
      </c>
      <c r="I83" t="n">
        <v>700</v>
      </c>
      <c r="J83" t="n">
        <v>-346</v>
      </c>
      <c r="K83" t="n">
        <v>0</v>
      </c>
    </row>
    <row r="84">
      <c r="B84" t="n">
        <v>30</v>
      </c>
      <c r="C84" t="n">
        <v>-716</v>
      </c>
      <c r="D84" t="n">
        <v>-678</v>
      </c>
      <c r="E84" t="n">
        <v>-292</v>
      </c>
      <c r="F84" t="n">
        <v>0</v>
      </c>
      <c r="G84" t="n">
        <v>474</v>
      </c>
      <c r="H84" t="n">
        <v>431</v>
      </c>
      <c r="I84" t="n">
        <v>76</v>
      </c>
      <c r="J84" t="n">
        <v>750</v>
      </c>
      <c r="K84" t="n">
        <v>0</v>
      </c>
    </row>
    <row r="85">
      <c r="B85" t="n">
        <v>-617</v>
      </c>
      <c r="C85" t="n">
        <v>0</v>
      </c>
      <c r="D85" t="n">
        <v>-94</v>
      </c>
      <c r="E85" t="n">
        <v>0</v>
      </c>
      <c r="F85" t="n">
        <v>-573</v>
      </c>
      <c r="G85" t="n">
        <v>-73</v>
      </c>
      <c r="H85" t="n">
        <v>212</v>
      </c>
      <c r="I85" t="n">
        <v>1047</v>
      </c>
      <c r="J85" t="n">
        <v>-925</v>
      </c>
      <c r="K85" t="n">
        <v>0</v>
      </c>
    </row>
    <row r="86">
      <c r="B86" t="n">
        <v>794</v>
      </c>
      <c r="C86" t="n">
        <v>708</v>
      </c>
      <c r="D86" t="n">
        <v>881</v>
      </c>
      <c r="E86" t="n">
        <v>849</v>
      </c>
      <c r="F86" t="n">
        <v>0</v>
      </c>
      <c r="G86" t="n">
        <v>232</v>
      </c>
      <c r="H86" t="n">
        <v>56</v>
      </c>
      <c r="I86" t="n">
        <v>39</v>
      </c>
      <c r="J86" t="n">
        <v>1269</v>
      </c>
      <c r="K86" t="n">
        <v>0</v>
      </c>
    </row>
    <row r="87">
      <c r="B87" t="n">
        <v>90926</v>
      </c>
      <c r="C87" t="n">
        <v>0</v>
      </c>
      <c r="D87" t="n">
        <v>0</v>
      </c>
      <c r="E87" t="n">
        <v>0</v>
      </c>
      <c r="F87" t="n">
        <v>0</v>
      </c>
      <c r="G87" t="n">
        <v>0</v>
      </c>
      <c r="H87" t="n">
        <v>0</v>
      </c>
      <c r="I87" t="n">
        <v>0</v>
      </c>
      <c r="J87" t="n">
        <v>0</v>
      </c>
      <c r="K87" t="n">
        <v>0</v>
      </c>
    </row>
    <row r="88">
      <c r="B88" t="n">
        <v>0</v>
      </c>
      <c r="C88" t="n">
        <v>0</v>
      </c>
      <c r="D88" t="n">
        <v>0</v>
      </c>
      <c r="E88" t="n">
        <v>0</v>
      </c>
      <c r="F88" t="n">
        <v>0</v>
      </c>
      <c r="G88" t="n">
        <v>0</v>
      </c>
      <c r="H88" t="n">
        <v>0</v>
      </c>
      <c r="I88" t="n">
        <v>0</v>
      </c>
      <c r="J88" t="n">
        <v>0</v>
      </c>
      <c r="K88" t="n">
        <v>0</v>
      </c>
    </row>
    <row r="89">
      <c r="B89" t="n">
        <v>0</v>
      </c>
      <c r="C89" t="n">
        <v>0</v>
      </c>
      <c r="D89" t="n">
        <v>0</v>
      </c>
      <c r="E89" t="n">
        <v>438</v>
      </c>
      <c r="F89" t="n">
        <v>0</v>
      </c>
      <c r="G89" t="n">
        <v>-9</v>
      </c>
      <c r="H89" t="n">
        <v>0</v>
      </c>
      <c r="I89" t="n">
        <v>-290</v>
      </c>
      <c r="J89" t="n">
        <v>-847</v>
      </c>
      <c r="K89" t="n">
        <v>-1765</v>
      </c>
    </row>
    <row r="90">
      <c r="B90" t="n">
        <v>-1385</v>
      </c>
      <c r="C90" t="n">
        <v>7446</v>
      </c>
      <c r="D90" t="n">
        <v>0</v>
      </c>
      <c r="E90" t="n">
        <v>-79</v>
      </c>
      <c r="F90" t="n">
        <v>157</v>
      </c>
      <c r="G90" t="n">
        <v>493</v>
      </c>
      <c r="H90" t="n">
        <v>1375</v>
      </c>
      <c r="I90" t="n">
        <v>0</v>
      </c>
      <c r="J90" t="n">
        <v>286</v>
      </c>
      <c r="K90" t="n">
        <v>-87</v>
      </c>
    </row>
    <row r="91">
      <c r="B91" t="n">
        <v>-2246</v>
      </c>
      <c r="C91" t="n">
        <v>-8777</v>
      </c>
      <c r="D91" t="n">
        <v>0</v>
      </c>
      <c r="E91" t="n">
        <v>8862</v>
      </c>
      <c r="F91" t="n">
        <v>23242</v>
      </c>
      <c r="G91" t="n">
        <v>0</v>
      </c>
      <c r="H91" t="n">
        <v>0</v>
      </c>
      <c r="I91" t="n">
        <v>0</v>
      </c>
      <c r="J91" t="n">
        <v>0</v>
      </c>
      <c r="K91" t="n">
        <v>0</v>
      </c>
    </row>
    <row r="92">
      <c r="B92" t="n">
        <v>0</v>
      </c>
      <c r="C92" t="n">
        <v>0</v>
      </c>
      <c r="D92" t="n">
        <v>0</v>
      </c>
      <c r="E92" t="n">
        <v>0</v>
      </c>
      <c r="F92" t="n">
        <v>0</v>
      </c>
      <c r="G92" t="n">
        <v>0</v>
      </c>
      <c r="H92" t="n">
        <v>0</v>
      </c>
      <c r="I92" t="n">
        <v>0</v>
      </c>
      <c r="J92" t="n">
        <v>0</v>
      </c>
      <c r="K92" t="n">
        <v>0</v>
      </c>
    </row>
    <row r="93">
      <c r="B93" t="n">
        <v>0</v>
      </c>
      <c r="C93" t="n">
        <v>0</v>
      </c>
      <c r="D93" t="n">
        <v>0</v>
      </c>
      <c r="E93" t="n">
        <v>0</v>
      </c>
      <c r="F93" t="n">
        <v>0</v>
      </c>
      <c r="G93" t="n">
        <v>0</v>
      </c>
      <c r="H93" t="n">
        <v>0</v>
      </c>
      <c r="I93" t="n">
        <v>0</v>
      </c>
      <c r="J93" t="n">
        <v>0</v>
      </c>
      <c r="K93" t="n">
        <v>0</v>
      </c>
    </row>
    <row r="94">
      <c r="B94" t="n">
        <v>0</v>
      </c>
      <c r="C94" t="n">
        <v>0</v>
      </c>
      <c r="D94" t="n">
        <v>0</v>
      </c>
      <c r="E94" t="n">
        <v>0</v>
      </c>
      <c r="F94" t="n">
        <v>0</v>
      </c>
      <c r="G94" t="n">
        <v>0</v>
      </c>
      <c r="H94" t="n">
        <v>0</v>
      </c>
      <c r="I94" t="n">
        <v>0</v>
      </c>
      <c r="J94" t="n">
        <v>0</v>
      </c>
      <c r="K94" t="n">
        <v>0</v>
      </c>
    </row>
    <row r="95">
      <c r="B95" t="n">
        <v>0</v>
      </c>
      <c r="C95" t="n">
        <v>0</v>
      </c>
      <c r="D95" t="n">
        <v>0</v>
      </c>
      <c r="E95" t="n">
        <v>0</v>
      </c>
      <c r="F95" t="n">
        <v>0</v>
      </c>
      <c r="G95" t="n">
        <v>0</v>
      </c>
      <c r="H95" t="n">
        <v>0</v>
      </c>
      <c r="I95" t="n">
        <v>0</v>
      </c>
      <c r="J95" t="n">
        <v>0</v>
      </c>
      <c r="K95" t="n">
        <v>0</v>
      </c>
    </row>
    <row r="96">
      <c r="B96" t="n">
        <v>0</v>
      </c>
      <c r="C96" t="n">
        <v>0</v>
      </c>
      <c r="D96" t="n">
        <v>0</v>
      </c>
      <c r="E96" t="n">
        <v>0</v>
      </c>
      <c r="F96" t="n">
        <v>0</v>
      </c>
      <c r="G96" t="n">
        <v>0</v>
      </c>
      <c r="H96" t="n">
        <v>0</v>
      </c>
      <c r="I96" t="n">
        <v>0</v>
      </c>
      <c r="J96" t="n">
        <v>0</v>
      </c>
      <c r="K96" t="n">
        <v>0</v>
      </c>
    </row>
    <row r="97">
      <c r="B97" t="n">
        <v>0</v>
      </c>
      <c r="C97" t="n">
        <v>0</v>
      </c>
      <c r="D97" t="n">
        <v>0</v>
      </c>
      <c r="E97" t="n">
        <v>0</v>
      </c>
      <c r="F97" t="n">
        <v>0</v>
      </c>
      <c r="G97" t="n">
        <v>0</v>
      </c>
      <c r="H97" t="n">
        <v>0</v>
      </c>
      <c r="I97" t="n">
        <v>0</v>
      </c>
      <c r="J97" t="n">
        <v>0</v>
      </c>
      <c r="K97" t="n">
        <v>0</v>
      </c>
    </row>
    <row r="98">
      <c r="B98" t="n">
        <v>0</v>
      </c>
      <c r="C98" t="n">
        <v>0</v>
      </c>
      <c r="D98" t="n">
        <v>0</v>
      </c>
      <c r="E98" t="n">
        <v>0</v>
      </c>
      <c r="F98" t="n">
        <v>0</v>
      </c>
      <c r="G98" t="n">
        <v>0</v>
      </c>
      <c r="H98" t="n">
        <v>0</v>
      </c>
      <c r="I98" t="n">
        <v>0</v>
      </c>
      <c r="J98" t="n">
        <v>0</v>
      </c>
      <c r="K98" t="n">
        <v>0</v>
      </c>
    </row>
    <row r="99">
      <c r="B99" t="n">
        <v>0</v>
      </c>
      <c r="C99" t="n">
        <v>0</v>
      </c>
      <c r="D99" t="n">
        <v>0</v>
      </c>
      <c r="E99" t="n">
        <v>0</v>
      </c>
      <c r="F99" t="n">
        <v>0</v>
      </c>
      <c r="G99" t="n">
        <v>0</v>
      </c>
      <c r="H99" t="n">
        <v>0</v>
      </c>
      <c r="I99" t="n">
        <v>0</v>
      </c>
      <c r="J99" t="n">
        <v>0</v>
      </c>
      <c r="K99" t="n">
        <v>0</v>
      </c>
    </row>
    <row r="100">
      <c r="B100" t="n">
        <v>0</v>
      </c>
      <c r="C100" t="n">
        <v>0</v>
      </c>
      <c r="D100" t="n">
        <v>0</v>
      </c>
      <c r="E100" t="n">
        <v>0</v>
      </c>
      <c r="F100" t="n">
        <v>0</v>
      </c>
      <c r="G100" t="n">
        <v>0</v>
      </c>
      <c r="H100" t="n">
        <v>0</v>
      </c>
      <c r="I100" t="n">
        <v>0</v>
      </c>
      <c r="J100" t="n">
        <v>0</v>
      </c>
      <c r="K100" t="n">
        <v>0</v>
      </c>
    </row>
    <row r="101">
      <c r="B101" t="n">
        <v>0</v>
      </c>
      <c r="C101" t="n">
        <v>0</v>
      </c>
      <c r="D101" t="n">
        <v>0</v>
      </c>
      <c r="E101" t="n">
        <v>0</v>
      </c>
      <c r="F101" t="n">
        <v>0</v>
      </c>
      <c r="G101" t="n">
        <v>0</v>
      </c>
      <c r="H101" t="n">
        <v>0</v>
      </c>
      <c r="I101" t="n">
        <v>0</v>
      </c>
      <c r="J101" t="n">
        <v>0</v>
      </c>
      <c r="K101" t="n">
        <v>0</v>
      </c>
    </row>
    <row r="102">
      <c r="B102" t="n">
        <v>0</v>
      </c>
      <c r="C102" t="n">
        <v>0</v>
      </c>
      <c r="D102" t="n">
        <v>0</v>
      </c>
      <c r="E102" t="n">
        <v>0</v>
      </c>
      <c r="F102" t="n">
        <v>0</v>
      </c>
      <c r="G102" t="n">
        <v>0</v>
      </c>
      <c r="H102" t="n">
        <v>0</v>
      </c>
      <c r="I102" t="n">
        <v>0</v>
      </c>
      <c r="J102" t="n">
        <v>0</v>
      </c>
      <c r="K102" t="n">
        <v>0</v>
      </c>
    </row>
    <row r="103">
      <c r="B103" t="n">
        <v>0</v>
      </c>
      <c r="C103" t="n">
        <v>0</v>
      </c>
      <c r="D103" t="n">
        <v>0</v>
      </c>
      <c r="E103" t="n">
        <v>0</v>
      </c>
      <c r="F103" t="n">
        <v>0</v>
      </c>
      <c r="G103" t="n">
        <v>0</v>
      </c>
      <c r="H103" t="n">
        <v>0</v>
      </c>
      <c r="I103" t="n">
        <v>0</v>
      </c>
      <c r="J103" t="n">
        <v>0</v>
      </c>
      <c r="K103" t="n">
        <v>0</v>
      </c>
    </row>
    <row r="104">
      <c r="B104" t="n">
        <v>0</v>
      </c>
      <c r="C104" t="n">
        <v>0</v>
      </c>
      <c r="D104" t="n">
        <v>0</v>
      </c>
      <c r="E104" t="n">
        <v>0</v>
      </c>
      <c r="F104" t="n">
        <v>0</v>
      </c>
      <c r="G104" t="n">
        <v>0</v>
      </c>
      <c r="H104" t="n">
        <v>5775</v>
      </c>
      <c r="I104" t="n">
        <v>0</v>
      </c>
      <c r="J104" t="n">
        <v>1160</v>
      </c>
      <c r="K104" t="n">
        <v>0</v>
      </c>
    </row>
    <row r="105">
      <c r="B105" t="n">
        <v>381</v>
      </c>
      <c r="C105" t="n">
        <v>-167</v>
      </c>
      <c r="D105" t="n">
        <v>733</v>
      </c>
      <c r="E105" t="n">
        <v>1237</v>
      </c>
      <c r="F105" t="n">
        <v>-535</v>
      </c>
      <c r="G105" t="n">
        <v>0</v>
      </c>
      <c r="H105" t="n">
        <v>649</v>
      </c>
      <c r="I105" t="n">
        <v>-2465</v>
      </c>
      <c r="J105" t="n">
        <v>-2142</v>
      </c>
      <c r="K105" t="n">
        <v>-2500</v>
      </c>
    </row>
    <row r="106">
      <c r="B106" t="n">
        <v>0</v>
      </c>
      <c r="C106" t="n">
        <v>-736</v>
      </c>
      <c r="D106" t="n">
        <v>-3203</v>
      </c>
      <c r="E106" t="n">
        <v>-1374</v>
      </c>
      <c r="F106" t="n">
        <v>-2092</v>
      </c>
      <c r="G106" t="n">
        <v>0</v>
      </c>
      <c r="H106" t="n">
        <v>-4</v>
      </c>
      <c r="I106" t="n">
        <v>14</v>
      </c>
      <c r="J106" t="n">
        <v>0</v>
      </c>
      <c r="K106" t="n">
        <v>-13</v>
      </c>
    </row>
    <row r="107">
      <c r="B107" t="n">
        <v>0</v>
      </c>
      <c r="C107" t="n">
        <v>0</v>
      </c>
      <c r="D107" t="n">
        <v>0</v>
      </c>
      <c r="E107" t="n">
        <v>0</v>
      </c>
      <c r="F107" t="n">
        <v>0</v>
      </c>
      <c r="G107" t="n">
        <v>1005</v>
      </c>
      <c r="H107" t="n">
        <v>0</v>
      </c>
      <c r="I107" t="n">
        <v>238</v>
      </c>
      <c r="J107" t="n">
        <v>0</v>
      </c>
      <c r="K107" t="n">
        <v>-802</v>
      </c>
    </row>
    <row r="108">
      <c r="B108" t="n">
        <v>-1217</v>
      </c>
      <c r="C108" t="n">
        <v>-1270</v>
      </c>
      <c r="D108" t="n">
        <v>-1157</v>
      </c>
      <c r="E108" t="n">
        <v>2607</v>
      </c>
      <c r="F108" t="n">
        <v>0</v>
      </c>
      <c r="G108" t="n">
        <v>-129</v>
      </c>
      <c r="H108" t="n">
        <v>-1084</v>
      </c>
      <c r="I108" t="n">
        <v>-687</v>
      </c>
      <c r="J108" t="n">
        <v>-933</v>
      </c>
      <c r="K108" t="n">
        <v>0</v>
      </c>
    </row>
    <row r="109">
      <c r="B109" t="n">
        <v>-191</v>
      </c>
      <c r="C109" t="n">
        <v>-766</v>
      </c>
      <c r="D109" t="n">
        <v>-1823</v>
      </c>
      <c r="E109" t="n">
        <v>-4075</v>
      </c>
      <c r="F109" t="n">
        <v>0</v>
      </c>
      <c r="G109" t="n">
        <v>2844</v>
      </c>
      <c r="H109" t="n">
        <v>2570</v>
      </c>
      <c r="I109" t="n">
        <v>0</v>
      </c>
      <c r="J109" t="n">
        <v>-4012</v>
      </c>
      <c r="K109" t="n">
        <v>0</v>
      </c>
    </row>
    <row r="110">
      <c r="B110" t="n">
        <v>0</v>
      </c>
      <c r="C110" t="n">
        <v>0</v>
      </c>
      <c r="D110" t="n">
        <v>0</v>
      </c>
      <c r="E110" t="n">
        <v>0</v>
      </c>
      <c r="F110" t="n">
        <v>13290</v>
      </c>
      <c r="G110" t="n">
        <v>0</v>
      </c>
      <c r="H110" t="n">
        <v>0</v>
      </c>
      <c r="I110" t="n">
        <v>0</v>
      </c>
      <c r="J110" t="n">
        <v>0</v>
      </c>
      <c r="K110" t="n">
        <v>0</v>
      </c>
    </row>
    <row r="111">
      <c r="B111" t="n">
        <v>0</v>
      </c>
      <c r="C111" t="n">
        <v>0</v>
      </c>
      <c r="D111" t="n">
        <v>0</v>
      </c>
      <c r="E111" t="n">
        <v>0</v>
      </c>
      <c r="F111" t="n">
        <v>0</v>
      </c>
      <c r="G111" t="n">
        <v>0</v>
      </c>
      <c r="H111" t="n">
        <v>0</v>
      </c>
      <c r="I111" t="n">
        <v>0</v>
      </c>
      <c r="J111" t="n">
        <v>0</v>
      </c>
      <c r="K111" t="n">
        <v>0</v>
      </c>
    </row>
    <row r="112">
      <c r="B112" t="n">
        <v>0</v>
      </c>
      <c r="C112" t="n">
        <v>0</v>
      </c>
      <c r="D112" t="n">
        <v>0</v>
      </c>
      <c r="E112" t="n">
        <v>0</v>
      </c>
      <c r="F112" t="n">
        <v>0</v>
      </c>
      <c r="G112" t="n">
        <v>0</v>
      </c>
      <c r="H112" t="n">
        <v>0</v>
      </c>
      <c r="I112" t="n">
        <v>0</v>
      </c>
      <c r="J112" t="n">
        <v>0</v>
      </c>
      <c r="K112" t="n">
        <v>0</v>
      </c>
    </row>
    <row r="113">
      <c r="B113" t="n">
        <v>0</v>
      </c>
      <c r="C113" t="n">
        <v>0</v>
      </c>
      <c r="D113" t="n">
        <v>0</v>
      </c>
      <c r="E113" t="n">
        <v>0</v>
      </c>
      <c r="F113" t="n">
        <v>0</v>
      </c>
      <c r="G113" t="n">
        <v>0</v>
      </c>
      <c r="H113" t="n">
        <v>0</v>
      </c>
      <c r="I113" t="n">
        <v>0</v>
      </c>
      <c r="J113" t="n">
        <v>0</v>
      </c>
      <c r="K113" t="n">
        <v>0</v>
      </c>
    </row>
    <row r="114">
      <c r="B114" t="n">
        <v>0</v>
      </c>
      <c r="C114" t="n">
        <v>0</v>
      </c>
      <c r="D114" t="n">
        <v>0</v>
      </c>
      <c r="E114" t="n">
        <v>0</v>
      </c>
      <c r="F114" t="n">
        <v>0</v>
      </c>
      <c r="G114" t="n">
        <v>0</v>
      </c>
      <c r="H114" t="n">
        <v>0</v>
      </c>
      <c r="I114" t="n">
        <v>0</v>
      </c>
      <c r="J114" t="n">
        <v>0</v>
      </c>
      <c r="K114" t="n">
        <v>0</v>
      </c>
    </row>
    <row r="115">
      <c r="B115" t="n">
        <v>0</v>
      </c>
      <c r="C115" t="n">
        <v>0</v>
      </c>
      <c r="D115" t="n">
        <v>0</v>
      </c>
      <c r="E115" t="n">
        <v>0</v>
      </c>
      <c r="F115" t="n">
        <v>0</v>
      </c>
      <c r="G115" t="n">
        <v>0</v>
      </c>
      <c r="H115" t="n">
        <v>0</v>
      </c>
      <c r="I115" t="n">
        <v>0</v>
      </c>
      <c r="J115" t="n">
        <v>0</v>
      </c>
      <c r="K115" t="n">
        <v>0</v>
      </c>
    </row>
    <row r="116">
      <c r="B116" t="n">
        <v>0</v>
      </c>
      <c r="C116" t="n">
        <v>0</v>
      </c>
      <c r="D116" t="n">
        <v>0</v>
      </c>
      <c r="E116" t="n">
        <v>0</v>
      </c>
      <c r="F116" t="n">
        <v>0</v>
      </c>
      <c r="G116" t="n">
        <v>0</v>
      </c>
      <c r="H116" t="n">
        <v>0</v>
      </c>
      <c r="I116" t="n">
        <v>0</v>
      </c>
      <c r="J116" t="n">
        <v>0</v>
      </c>
      <c r="K116" t="n">
        <v>0</v>
      </c>
    </row>
    <row r="117">
      <c r="B117" t="n">
        <v>0</v>
      </c>
      <c r="C117" t="n">
        <v>0</v>
      </c>
      <c r="D117" t="n">
        <v>0</v>
      </c>
      <c r="E117" t="n">
        <v>0</v>
      </c>
      <c r="F117" t="n">
        <v>0</v>
      </c>
      <c r="G117" t="n">
        <v>0</v>
      </c>
      <c r="H117" t="n">
        <v>0</v>
      </c>
      <c r="I117" t="n">
        <v>0</v>
      </c>
      <c r="J117" t="n">
        <v>0</v>
      </c>
      <c r="K117" t="n">
        <v>0</v>
      </c>
    </row>
    <row r="118">
      <c r="B118" t="n">
        <v>0</v>
      </c>
      <c r="C118" t="n">
        <v>0</v>
      </c>
      <c r="D118" t="n">
        <v>0</v>
      </c>
      <c r="E118" t="n">
        <v>0</v>
      </c>
      <c r="F118" t="n">
        <v>0</v>
      </c>
      <c r="G118" t="n">
        <v>0</v>
      </c>
      <c r="H118" t="n">
        <v>0</v>
      </c>
      <c r="I118" t="n">
        <v>0</v>
      </c>
      <c r="J118" t="n">
        <v>0</v>
      </c>
      <c r="K118" t="n">
        <v>0</v>
      </c>
    </row>
    <row r="119">
      <c r="B119" t="n">
        <v>0</v>
      </c>
      <c r="C119" t="n">
        <v>0</v>
      </c>
      <c r="D119" t="n">
        <v>0</v>
      </c>
      <c r="E119" t="n">
        <v>0</v>
      </c>
      <c r="F119" t="n">
        <v>0</v>
      </c>
      <c r="G119" t="n">
        <v>0</v>
      </c>
      <c r="H119" t="n">
        <v>0</v>
      </c>
      <c r="I119" t="n">
        <v>0</v>
      </c>
      <c r="J119" t="n">
        <v>0</v>
      </c>
      <c r="K119" t="n">
        <v>0</v>
      </c>
    </row>
    <row r="120">
      <c r="B120" t="n">
        <v>0</v>
      </c>
      <c r="C120" t="n">
        <v>0</v>
      </c>
      <c r="D120" t="n">
        <v>0</v>
      </c>
      <c r="E120" t="n">
        <v>0</v>
      </c>
      <c r="F120" t="n">
        <v>0</v>
      </c>
      <c r="G120" t="n">
        <v>0</v>
      </c>
      <c r="H120" t="n">
        <v>0</v>
      </c>
      <c r="I120" t="n">
        <v>0</v>
      </c>
      <c r="J120" t="n">
        <v>0</v>
      </c>
      <c r="K120" t="n">
        <v>0</v>
      </c>
    </row>
    <row r="121">
      <c r="B121" t="n">
        <v>0</v>
      </c>
      <c r="C121" t="n">
        <v>0</v>
      </c>
      <c r="D121" t="n">
        <v>0</v>
      </c>
      <c r="E121" t="n">
        <v>0</v>
      </c>
      <c r="F121" t="n">
        <v>0</v>
      </c>
      <c r="G121" t="n">
        <v>0</v>
      </c>
      <c r="H121" t="n">
        <v>0</v>
      </c>
      <c r="I121" t="n">
        <v>0</v>
      </c>
      <c r="J121" t="n">
        <v>0</v>
      </c>
      <c r="K121" t="n">
        <v>0</v>
      </c>
    </row>
    <row r="122">
      <c r="B122" t="n">
        <v>0</v>
      </c>
      <c r="C122" t="n">
        <v>0</v>
      </c>
      <c r="D122" t="n">
        <v>0</v>
      </c>
      <c r="E122" t="n">
        <v>0</v>
      </c>
      <c r="F122" t="n">
        <v>0</v>
      </c>
      <c r="G122" t="n">
        <v>0</v>
      </c>
      <c r="H122" t="n">
        <v>0</v>
      </c>
      <c r="I122" t="n">
        <v>0</v>
      </c>
      <c r="J122" t="n">
        <v>0</v>
      </c>
      <c r="K122" t="n">
        <v>0</v>
      </c>
    </row>
    <row r="123">
      <c r="B123" t="n">
        <v>0</v>
      </c>
      <c r="C123" t="n">
        <v>0</v>
      </c>
      <c r="D123" t="n">
        <v>0</v>
      </c>
      <c r="E123" t="n">
        <v>0</v>
      </c>
      <c r="F123" t="n">
        <v>0</v>
      </c>
      <c r="G123" t="n">
        <v>432</v>
      </c>
      <c r="H123" t="n">
        <v>0</v>
      </c>
      <c r="I123" t="n">
        <v>2811</v>
      </c>
      <c r="J123" t="n">
        <v>0</v>
      </c>
      <c r="K123" t="n">
        <v>-4590</v>
      </c>
    </row>
    <row r="124">
      <c r="B124" t="n">
        <v>-7138</v>
      </c>
      <c r="C124" t="n">
        <v>-7447</v>
      </c>
      <c r="D124" t="n">
        <v>-4430</v>
      </c>
      <c r="E124" t="n">
        <v>-1335</v>
      </c>
      <c r="F124" t="n">
        <v>0</v>
      </c>
      <c r="G124" t="n">
        <v>580</v>
      </c>
      <c r="H124" t="n">
        <v>-1494</v>
      </c>
      <c r="I124" t="n">
        <v>312</v>
      </c>
      <c r="J124" t="n">
        <v>1212</v>
      </c>
      <c r="K124" t="n">
        <v>0</v>
      </c>
    </row>
    <row r="125">
      <c r="B125" t="n">
        <v>-871</v>
      </c>
      <c r="C125" t="n">
        <v>-640</v>
      </c>
      <c r="D125" t="n">
        <v>-813</v>
      </c>
      <c r="E125" t="n">
        <v>-511</v>
      </c>
      <c r="F125" t="n">
        <v>0</v>
      </c>
      <c r="G125" t="n">
        <v>-1165</v>
      </c>
      <c r="H125" t="n">
        <v>-370</v>
      </c>
      <c r="I125" t="n">
        <v>0</v>
      </c>
      <c r="J125" t="n">
        <v>366</v>
      </c>
      <c r="K125" t="n">
        <v>0</v>
      </c>
    </row>
    <row r="126">
      <c r="B126" t="n">
        <v>0</v>
      </c>
      <c r="C126" t="n">
        <v>0</v>
      </c>
      <c r="D126" t="n">
        <v>0</v>
      </c>
      <c r="E126" t="n">
        <v>0</v>
      </c>
      <c r="F126" t="n">
        <v>-365</v>
      </c>
      <c r="G126" t="n">
        <v>857</v>
      </c>
      <c r="H126" t="n">
        <v>0</v>
      </c>
      <c r="I126" t="n">
        <v>0</v>
      </c>
      <c r="J126" t="n">
        <v>0</v>
      </c>
      <c r="K126" t="n">
        <v>0</v>
      </c>
    </row>
    <row r="127">
      <c r="B127" t="n">
        <v>-429</v>
      </c>
      <c r="C127" t="n">
        <v>0</v>
      </c>
      <c r="D127" t="n">
        <v>613</v>
      </c>
      <c r="E127" t="n">
        <v>0</v>
      </c>
      <c r="F127" t="n">
        <v>-1199</v>
      </c>
      <c r="G127" t="n">
        <v>-3007</v>
      </c>
      <c r="H127" t="n">
        <v>-3631</v>
      </c>
      <c r="I127" t="n">
        <v>-4618</v>
      </c>
      <c r="J127" t="n">
        <v>-2103</v>
      </c>
      <c r="K127" t="n">
        <v>0</v>
      </c>
    </row>
    <row r="128">
      <c r="B128" t="n">
        <v>-439</v>
      </c>
      <c r="C128" t="n">
        <v>-4480</v>
      </c>
      <c r="D128" t="n">
        <v>-4398</v>
      </c>
      <c r="E128" t="n">
        <v>-4551</v>
      </c>
      <c r="F128" t="n">
        <v>0</v>
      </c>
      <c r="G128" t="n">
        <v>4356</v>
      </c>
      <c r="H128" t="n">
        <v>4037</v>
      </c>
      <c r="I128" t="n">
        <v>2511</v>
      </c>
      <c r="J128" t="n">
        <v>1162</v>
      </c>
      <c r="K128" t="n">
        <v>0</v>
      </c>
    </row>
    <row r="129">
      <c r="B129" t="n">
        <v>-1406</v>
      </c>
      <c r="C129" t="n">
        <v>-595</v>
      </c>
      <c r="D129" t="n">
        <v>0</v>
      </c>
      <c r="E129" t="n">
        <v>380</v>
      </c>
      <c r="F129" t="n">
        <v>0</v>
      </c>
      <c r="G129" t="n">
        <v>0</v>
      </c>
      <c r="H129" t="n">
        <v>0</v>
      </c>
      <c r="I129" t="n">
        <v>0</v>
      </c>
      <c r="J129" t="n">
        <v>0</v>
      </c>
      <c r="K129" t="n">
        <v>703</v>
      </c>
    </row>
    <row r="130">
      <c r="B130" t="n">
        <v>822</v>
      </c>
      <c r="C130" t="n">
        <v>0</v>
      </c>
      <c r="D130" t="n">
        <v>0</v>
      </c>
      <c r="E130" t="n">
        <v>0</v>
      </c>
      <c r="F130" t="n">
        <v>0</v>
      </c>
      <c r="G130" t="n">
        <v>-19482</v>
      </c>
      <c r="H130" t="n">
        <v>5461</v>
      </c>
      <c r="I130" t="n">
        <v>0</v>
      </c>
      <c r="J130" t="n">
        <v>8061</v>
      </c>
      <c r="K130" t="n">
        <v>0</v>
      </c>
    </row>
    <row r="131">
      <c r="B131" t="n">
        <v>-16888</v>
      </c>
      <c r="C131" t="n">
        <v>-36880</v>
      </c>
      <c r="D131" t="n">
        <v>-41499</v>
      </c>
      <c r="E131" t="n">
        <v>-32193</v>
      </c>
      <c r="F131" t="n">
        <v>-12107</v>
      </c>
      <c r="G131" t="n">
        <v>0</v>
      </c>
      <c r="H131" t="n">
        <v>-5791</v>
      </c>
      <c r="I131" t="n">
        <v>-16104</v>
      </c>
      <c r="J131" t="n">
        <v>-4461</v>
      </c>
      <c r="K131" t="n">
        <v>-1434</v>
      </c>
    </row>
    <row r="132">
      <c r="B132" t="n">
        <v>0</v>
      </c>
      <c r="C132" t="n">
        <v>-618</v>
      </c>
      <c r="D132" t="n">
        <v>-2321</v>
      </c>
      <c r="E132" t="n">
        <v>-905</v>
      </c>
      <c r="F132" t="n">
        <v>-895</v>
      </c>
      <c r="G132" t="n">
        <v>0</v>
      </c>
      <c r="H132" t="n">
        <v>-16351</v>
      </c>
      <c r="I132" t="n">
        <v>-7926</v>
      </c>
      <c r="J132" t="n">
        <v>0</v>
      </c>
      <c r="K132" t="n">
        <v>5504</v>
      </c>
    </row>
    <row r="133">
      <c r="B133" t="n">
        <v>0</v>
      </c>
      <c r="C133" t="n">
        <v>0</v>
      </c>
      <c r="D133" t="n">
        <v>0</v>
      </c>
      <c r="E133" t="n">
        <v>0</v>
      </c>
      <c r="F133" t="n">
        <v>0</v>
      </c>
      <c r="G133" t="n">
        <v>-1024</v>
      </c>
      <c r="H133" t="n">
        <v>6920</v>
      </c>
      <c r="I133" t="n">
        <v>0</v>
      </c>
      <c r="J133" t="n">
        <v>0</v>
      </c>
      <c r="K133" t="n">
        <v>0</v>
      </c>
    </row>
    <row r="134">
      <c r="B134" t="n">
        <v>0</v>
      </c>
      <c r="C134" t="n">
        <v>7932</v>
      </c>
      <c r="D134" t="n">
        <v>10347</v>
      </c>
      <c r="E134" t="n">
        <v>1341</v>
      </c>
      <c r="F134" t="n">
        <v>0</v>
      </c>
      <c r="G134" t="n">
        <v>1817</v>
      </c>
      <c r="H134" t="n">
        <v>0</v>
      </c>
      <c r="I134" t="n">
        <v>-7855</v>
      </c>
      <c r="J134" t="n">
        <v>-19071</v>
      </c>
      <c r="K134" t="n">
        <v>-23928</v>
      </c>
    </row>
    <row r="135">
      <c r="B135" t="n">
        <v>-20115</v>
      </c>
      <c r="C135" t="n">
        <v>-7395</v>
      </c>
      <c r="D135" t="n">
        <v>0</v>
      </c>
      <c r="E135" t="n">
        <v>-23062</v>
      </c>
      <c r="F135" t="n">
        <v>-31106</v>
      </c>
      <c r="G135" t="n">
        <v>-21835</v>
      </c>
      <c r="H135" t="n">
        <v>-12202</v>
      </c>
      <c r="I135" t="n">
        <v>0</v>
      </c>
      <c r="J135" t="n">
        <v>2431</v>
      </c>
      <c r="K135" t="n">
        <v>3369</v>
      </c>
    </row>
    <row r="136">
      <c r="B136" t="n">
        <v>3477</v>
      </c>
      <c r="C136" t="n">
        <v>3833</v>
      </c>
      <c r="D136" t="n">
        <v>0</v>
      </c>
      <c r="E136" t="n">
        <v>-17112</v>
      </c>
      <c r="F136" t="n">
        <v>-8519</v>
      </c>
      <c r="G136" t="n">
        <v>0</v>
      </c>
      <c r="H136" t="n">
        <v>5582</v>
      </c>
      <c r="I136" t="n">
        <v>0</v>
      </c>
      <c r="J136" t="n">
        <v>0</v>
      </c>
      <c r="K136" t="n">
        <v>0</v>
      </c>
    </row>
    <row r="137">
      <c r="B137" t="n">
        <v>0</v>
      </c>
      <c r="C137" t="n">
        <v>0</v>
      </c>
      <c r="D137" t="n">
        <v>895</v>
      </c>
      <c r="E137" t="n">
        <v>7482</v>
      </c>
      <c r="F137" t="n">
        <v>0</v>
      </c>
      <c r="G137" t="n">
        <v>0</v>
      </c>
      <c r="H137" t="n">
        <v>0</v>
      </c>
      <c r="I137" t="n">
        <v>0</v>
      </c>
      <c r="J137" t="n">
        <v>8362</v>
      </c>
      <c r="K137" t="n">
        <v>8068</v>
      </c>
    </row>
    <row r="138">
      <c r="B138" t="n">
        <v>79175</v>
      </c>
      <c r="C138" t="n">
        <v>31</v>
      </c>
      <c r="D138" t="n">
        <v>0</v>
      </c>
      <c r="E138" t="n">
        <v>196</v>
      </c>
      <c r="F138" t="n">
        <v>0</v>
      </c>
      <c r="G138" t="n">
        <v>187</v>
      </c>
      <c r="H138" t="n">
        <v>1065</v>
      </c>
      <c r="I138" t="n">
        <v>2348</v>
      </c>
      <c r="J138" t="n">
        <v>42396</v>
      </c>
      <c r="K138" t="n">
        <v>13984</v>
      </c>
    </row>
    <row r="139">
      <c r="B139" t="n">
        <v>0</v>
      </c>
      <c r="C139" t="n">
        <v>33275</v>
      </c>
      <c r="D139" t="n">
        <v>58724</v>
      </c>
      <c r="E139" t="n">
        <v>75104</v>
      </c>
      <c r="F139" t="n">
        <v>83104</v>
      </c>
      <c r="G139" t="n">
        <v>0</v>
      </c>
      <c r="H139" t="n">
        <v>10565</v>
      </c>
      <c r="I139" t="n">
        <v>3675</v>
      </c>
      <c r="J139" t="n">
        <v>747</v>
      </c>
      <c r="K139" t="n">
        <v>-401</v>
      </c>
    </row>
    <row r="140">
      <c r="B140" t="n">
        <v>0</v>
      </c>
      <c r="C140" t="n">
        <v>1041</v>
      </c>
      <c r="D140" t="n">
        <v>1670</v>
      </c>
      <c r="E140" t="n">
        <v>0</v>
      </c>
      <c r="F140" t="n">
        <v>-685</v>
      </c>
      <c r="G140" t="n">
        <v>0</v>
      </c>
      <c r="H140" t="n">
        <v>0</v>
      </c>
      <c r="I140" t="n">
        <v>0</v>
      </c>
      <c r="J140" t="n">
        <v>0</v>
      </c>
      <c r="K140" t="n">
        <v>0</v>
      </c>
    </row>
    <row r="141">
      <c r="B141" t="n">
        <v>-963</v>
      </c>
      <c r="C141" t="n">
        <v>-621</v>
      </c>
      <c r="D141" t="n">
        <v>0</v>
      </c>
      <c r="E141" t="n">
        <v>0</v>
      </c>
      <c r="F141" t="n">
        <v>0</v>
      </c>
      <c r="G141" t="n">
        <v>0</v>
      </c>
      <c r="H141" t="n">
        <v>1028</v>
      </c>
      <c r="I141" t="n">
        <v>-3581</v>
      </c>
      <c r="J141" t="n">
        <v>-2114</v>
      </c>
      <c r="K141" t="n">
        <v>-5897</v>
      </c>
    </row>
    <row r="142">
      <c r="B142" t="n">
        <v>-2489</v>
      </c>
      <c r="C142" t="n">
        <v>0</v>
      </c>
      <c r="D142" t="n">
        <v>772</v>
      </c>
      <c r="E142" t="n">
        <v>0</v>
      </c>
      <c r="F142" t="n">
        <v>1088</v>
      </c>
      <c r="G142" t="n">
        <v>1951</v>
      </c>
      <c r="H142" t="n">
        <v>-1566</v>
      </c>
      <c r="I142" t="n">
        <v>-3609</v>
      </c>
      <c r="J142" t="n">
        <v>-1845</v>
      </c>
      <c r="K142" t="n">
        <v>0</v>
      </c>
    </row>
    <row r="143">
      <c r="B143" t="n">
        <v>-74</v>
      </c>
      <c r="C143" t="n">
        <v>5844</v>
      </c>
      <c r="D143" t="n">
        <v>2211</v>
      </c>
      <c r="E143" t="n">
        <v>1035</v>
      </c>
      <c r="F143" t="n">
        <v>0</v>
      </c>
      <c r="G143" t="n">
        <v>-1074</v>
      </c>
      <c r="H143" t="n">
        <v>-2315</v>
      </c>
      <c r="I143" t="n">
        <v>-1593</v>
      </c>
      <c r="J143" t="n">
        <v>-224</v>
      </c>
      <c r="K143" t="n">
        <v>0</v>
      </c>
    </row>
    <row r="144">
      <c r="B144" t="n">
        <v>195</v>
      </c>
      <c r="C144" t="n">
        <v>91</v>
      </c>
      <c r="D144" t="n">
        <v>0</v>
      </c>
      <c r="E144" t="n">
        <v>129</v>
      </c>
      <c r="F144" t="n">
        <v>0</v>
      </c>
      <c r="G144" t="n">
        <v>0</v>
      </c>
      <c r="H144" t="n">
        <v>0</v>
      </c>
      <c r="I144" t="n">
        <v>0</v>
      </c>
      <c r="J144" t="n">
        <v>0</v>
      </c>
      <c r="K144" t="n">
        <v>-6603</v>
      </c>
    </row>
    <row r="145">
      <c r="B145" t="n">
        <v>-1002</v>
      </c>
      <c r="C145" t="n">
        <v>0</v>
      </c>
      <c r="D145" t="n">
        <v>0</v>
      </c>
      <c r="E145" t="n">
        <v>0</v>
      </c>
      <c r="F145" t="n">
        <v>0</v>
      </c>
      <c r="G145" t="n">
        <v>-68</v>
      </c>
      <c r="H145" t="n">
        <v>-1429</v>
      </c>
      <c r="I145" t="n">
        <v>-10172</v>
      </c>
      <c r="J145" t="n">
        <v>1302</v>
      </c>
      <c r="K145" t="n">
        <v>-579</v>
      </c>
    </row>
    <row r="146">
      <c r="B146" t="n">
        <v>-180</v>
      </c>
      <c r="C146" t="n">
        <v>0</v>
      </c>
      <c r="D146" t="n">
        <v>-419</v>
      </c>
      <c r="E146" t="n">
        <v>0</v>
      </c>
      <c r="F146" t="n">
        <v>-576</v>
      </c>
      <c r="G146" t="n">
        <v>-593</v>
      </c>
      <c r="H146" t="n">
        <v>-47</v>
      </c>
      <c r="I146" t="n">
        <v>415</v>
      </c>
      <c r="J146" t="n">
        <v>151</v>
      </c>
      <c r="K146" t="n">
        <v>0</v>
      </c>
    </row>
    <row r="147">
      <c r="B147" t="n">
        <v>666</v>
      </c>
      <c r="C147" t="n">
        <v>2048</v>
      </c>
      <c r="D147" t="n">
        <v>2258</v>
      </c>
      <c r="E147" t="n">
        <v>1337</v>
      </c>
      <c r="F147" t="n">
        <v>0</v>
      </c>
      <c r="G147" t="n">
        <v>-606</v>
      </c>
      <c r="H147" t="n">
        <v>-799</v>
      </c>
      <c r="I147" t="n">
        <v>-901</v>
      </c>
      <c r="J147" t="n">
        <v>-332</v>
      </c>
      <c r="K147" t="n">
        <v>0</v>
      </c>
    </row>
    <row r="148">
      <c r="B148" t="n">
        <v>11313</v>
      </c>
      <c r="C148" t="n">
        <v>6021</v>
      </c>
      <c r="D148" t="n">
        <v>0</v>
      </c>
      <c r="E148" t="n">
        <v>-3470</v>
      </c>
      <c r="F148" t="n">
        <v>0</v>
      </c>
      <c r="G148" t="n">
        <v>0</v>
      </c>
      <c r="H148" t="n">
        <v>0</v>
      </c>
      <c r="I148" t="n">
        <v>0</v>
      </c>
      <c r="J148" t="n">
        <v>0</v>
      </c>
      <c r="K148" t="n">
        <v>-618</v>
      </c>
    </row>
    <row r="149">
      <c r="B149" t="n">
        <v>-5676</v>
      </c>
      <c r="C149" t="n">
        <v>0</v>
      </c>
      <c r="D149" t="n">
        <v>0</v>
      </c>
      <c r="E149" t="n">
        <v>0</v>
      </c>
      <c r="F149" t="n">
        <v>0</v>
      </c>
      <c r="G149" t="n">
        <v>943</v>
      </c>
      <c r="H149" t="n">
        <v>503</v>
      </c>
      <c r="I149" t="n">
        <v>4884</v>
      </c>
      <c r="J149" t="n">
        <v>5712</v>
      </c>
      <c r="K149" t="n">
        <v>1082</v>
      </c>
    </row>
    <row r="150">
      <c r="B150" t="n">
        <v>7226</v>
      </c>
      <c r="C150" t="n">
        <v>-4931</v>
      </c>
      <c r="D150" t="n">
        <v>0</v>
      </c>
      <c r="E150" t="n">
        <v>-5850</v>
      </c>
      <c r="F150" t="n">
        <v>0</v>
      </c>
      <c r="G150" t="n">
        <v>6597</v>
      </c>
      <c r="H150" t="n">
        <v>8625</v>
      </c>
      <c r="I150" t="n">
        <v>1669</v>
      </c>
      <c r="J150" t="n">
        <v>-3438</v>
      </c>
      <c r="K150" t="n">
        <v>-3800</v>
      </c>
    </row>
    <row r="151">
      <c r="B151" t="n">
        <v>0</v>
      </c>
      <c r="C151" t="n">
        <v>1653</v>
      </c>
      <c r="D151" t="n">
        <v>12921</v>
      </c>
      <c r="E151" t="n">
        <v>7707</v>
      </c>
      <c r="F151" t="n">
        <v>5011</v>
      </c>
      <c r="G151" t="n">
        <v>0</v>
      </c>
      <c r="H151" t="n">
        <v>-481</v>
      </c>
      <c r="I151" t="n">
        <v>-1390</v>
      </c>
      <c r="J151" t="n">
        <v>-789</v>
      </c>
      <c r="K151" t="n">
        <v>-3394</v>
      </c>
    </row>
    <row r="152">
      <c r="B152" t="n">
        <v>0</v>
      </c>
      <c r="C152" t="n">
        <v>1279</v>
      </c>
      <c r="D152" t="n">
        <v>610</v>
      </c>
      <c r="E152" t="n">
        <v>0</v>
      </c>
      <c r="F152" t="n">
        <v>271</v>
      </c>
      <c r="G152" t="n">
        <v>0</v>
      </c>
      <c r="H152" t="n">
        <v>0</v>
      </c>
      <c r="I152" t="n">
        <v>0</v>
      </c>
      <c r="J152" t="n">
        <v>0</v>
      </c>
      <c r="K152" t="n">
        <v>0</v>
      </c>
    </row>
    <row r="153">
      <c r="B153" t="n">
        <v>-7143</v>
      </c>
      <c r="C153" t="n">
        <v>-1844</v>
      </c>
      <c r="D153" t="n">
        <v>0</v>
      </c>
      <c r="E153" t="n">
        <v>0</v>
      </c>
      <c r="F153" t="n">
        <v>0</v>
      </c>
      <c r="G153" t="n">
        <v>0</v>
      </c>
      <c r="H153" t="n">
        <v>-889</v>
      </c>
      <c r="I153" t="n">
        <v>-3135</v>
      </c>
      <c r="J153" t="n">
        <v>-26880</v>
      </c>
      <c r="K153" t="n">
        <v>-2253</v>
      </c>
    </row>
    <row r="154">
      <c r="B154" t="n">
        <v>5</v>
      </c>
      <c r="C154" t="n">
        <v>20497</v>
      </c>
      <c r="D154" t="n">
        <v>1120</v>
      </c>
      <c r="E154" t="n">
        <v>-354</v>
      </c>
      <c r="F154" t="n">
        <v>0</v>
      </c>
      <c r="G154" t="n">
        <v>524</v>
      </c>
      <c r="H154" t="n">
        <v>0</v>
      </c>
      <c r="I154" t="n">
        <v>-1461</v>
      </c>
      <c r="J154" t="n">
        <v>-2606</v>
      </c>
      <c r="K154" t="n">
        <v>-1316</v>
      </c>
    </row>
    <row r="155">
      <c r="B155" t="n">
        <v>870</v>
      </c>
      <c r="C155" t="n">
        <v>5850</v>
      </c>
      <c r="D155" t="n">
        <v>0</v>
      </c>
      <c r="E155" t="n">
        <v>1494</v>
      </c>
      <c r="F155" t="n">
        <v>4020</v>
      </c>
      <c r="G155" t="n">
        <v>5682</v>
      </c>
      <c r="H155" t="n">
        <v>3658</v>
      </c>
      <c r="I155" t="n">
        <v>0</v>
      </c>
      <c r="J155" t="n">
        <v>-1304</v>
      </c>
      <c r="K155" t="n">
        <v>-1557</v>
      </c>
    </row>
    <row r="156">
      <c r="B156" t="n">
        <v>-4887</v>
      </c>
      <c r="C156" t="n">
        <v>-8407</v>
      </c>
      <c r="D156" t="n">
        <v>0</v>
      </c>
      <c r="E156" t="n">
        <v>34442</v>
      </c>
      <c r="F156" t="n">
        <v>21493</v>
      </c>
      <c r="G156" t="n">
        <v>0</v>
      </c>
      <c r="H156" t="n">
        <v>-13524</v>
      </c>
      <c r="I156" t="n">
        <v>0</v>
      </c>
      <c r="J156" t="n">
        <v>0</v>
      </c>
      <c r="K156" t="n">
        <v>0</v>
      </c>
    </row>
    <row r="157">
      <c r="B157" t="n">
        <v>0</v>
      </c>
      <c r="C157" t="n">
        <v>0</v>
      </c>
      <c r="D157" t="n">
        <v>-1004</v>
      </c>
      <c r="E157" t="n">
        <v>-6390</v>
      </c>
      <c r="F157" t="n">
        <v>0</v>
      </c>
      <c r="G157" t="n">
        <v>0</v>
      </c>
      <c r="H157" t="n">
        <v>0</v>
      </c>
      <c r="I157" t="n">
        <v>0</v>
      </c>
      <c r="J157" t="n">
        <v>1782</v>
      </c>
      <c r="K157" t="n">
        <v>2111</v>
      </c>
    </row>
    <row r="158">
      <c r="B158" t="n">
        <v>12239</v>
      </c>
      <c r="C158" t="n">
        <v>13885</v>
      </c>
      <c r="D158" t="n">
        <v>3147</v>
      </c>
      <c r="E158" t="n">
        <v>1476</v>
      </c>
      <c r="F158" t="n">
        <v>10951</v>
      </c>
      <c r="G158" t="n">
        <v>9623</v>
      </c>
      <c r="H158" t="n">
        <v>-6361</v>
      </c>
      <c r="I158" t="n">
        <v>0</v>
      </c>
      <c r="J158" t="n">
        <v>-7736</v>
      </c>
      <c r="K158" t="n">
        <v>0</v>
      </c>
    </row>
    <row r="159">
      <c r="B159" t="n">
        <v>9191</v>
      </c>
      <c r="C159" t="n">
        <v>11913</v>
      </c>
      <c r="D159" t="n">
        <v>3102</v>
      </c>
      <c r="E159" t="n">
        <v>-3503</v>
      </c>
      <c r="F159" t="n">
        <v>-2100</v>
      </c>
      <c r="G159" t="n">
        <v>0</v>
      </c>
      <c r="H159" t="n">
        <v>1722</v>
      </c>
      <c r="I159" t="n">
        <v>16045</v>
      </c>
      <c r="J159" t="n">
        <v>9938</v>
      </c>
      <c r="K159" t="n">
        <v>6776</v>
      </c>
    </row>
    <row r="160">
      <c r="B160" t="n">
        <v>0</v>
      </c>
      <c r="C160" t="n">
        <v>-2512</v>
      </c>
      <c r="D160" t="n">
        <v>-4797</v>
      </c>
      <c r="E160" t="n">
        <v>-2410</v>
      </c>
      <c r="F160" t="n">
        <v>-1686</v>
      </c>
      <c r="G160" t="n">
        <v>0</v>
      </c>
      <c r="H160" t="n">
        <v>1505</v>
      </c>
      <c r="I160" t="n">
        <v>724</v>
      </c>
      <c r="J160" t="n">
        <v>0</v>
      </c>
      <c r="K160" t="n">
        <v>368</v>
      </c>
    </row>
    <row r="161">
      <c r="B161" t="n">
        <v>0</v>
      </c>
      <c r="C161" t="n">
        <v>0</v>
      </c>
      <c r="D161" t="n">
        <v>0</v>
      </c>
      <c r="E161" t="n">
        <v>0</v>
      </c>
      <c r="F161" t="n">
        <v>0</v>
      </c>
      <c r="G161" t="n">
        <v>-5384</v>
      </c>
      <c r="H161" t="n">
        <v>-1419</v>
      </c>
      <c r="I161" t="n">
        <v>0</v>
      </c>
      <c r="J161" t="n">
        <v>0</v>
      </c>
      <c r="K161" t="n">
        <v>0</v>
      </c>
    </row>
    <row r="162">
      <c r="B162" t="n">
        <v>0</v>
      </c>
      <c r="C162" t="n">
        <v>-1615</v>
      </c>
      <c r="D162" t="n">
        <v>-4276</v>
      </c>
      <c r="E162" t="n">
        <v>-35531</v>
      </c>
      <c r="F162" t="n">
        <v>-1398</v>
      </c>
      <c r="G162" t="n">
        <v>517</v>
      </c>
      <c r="H162" t="n">
        <v>27009</v>
      </c>
      <c r="I162" t="n">
        <v>1513</v>
      </c>
      <c r="J162" t="n">
        <v>56393</v>
      </c>
      <c r="K162" t="n">
        <v>3042</v>
      </c>
    </row>
    <row r="163">
      <c r="B163" t="n">
        <v>-527</v>
      </c>
      <c r="C163" t="n">
        <v>0</v>
      </c>
      <c r="D163" t="n">
        <v>772</v>
      </c>
      <c r="E163" t="n">
        <v>0</v>
      </c>
      <c r="F163" t="n">
        <v>-2138</v>
      </c>
      <c r="G163" t="n">
        <v>-3802</v>
      </c>
      <c r="H163" t="n">
        <v>-1509</v>
      </c>
      <c r="I163" t="n">
        <v>1248</v>
      </c>
      <c r="J163" t="n">
        <v>-372</v>
      </c>
      <c r="K163" t="n">
        <v>0</v>
      </c>
    </row>
    <row r="164">
      <c r="B164" t="n">
        <v>2186</v>
      </c>
      <c r="C164" t="n">
        <v>5772</v>
      </c>
      <c r="D164" t="n">
        <v>8525</v>
      </c>
      <c r="E164" t="n">
        <v>5292</v>
      </c>
      <c r="F164" t="n">
        <v>0</v>
      </c>
      <c r="G164" t="n">
        <v>-2211</v>
      </c>
      <c r="H164" t="n">
        <v>-2809</v>
      </c>
      <c r="I164" t="n">
        <v>-2351</v>
      </c>
      <c r="J164" t="n">
        <v>-659</v>
      </c>
      <c r="K164" t="n">
        <v>0</v>
      </c>
    </row>
    <row r="165">
      <c r="B165" t="n">
        <v>55033</v>
      </c>
      <c r="C165" t="n">
        <v>36032</v>
      </c>
      <c r="D165" t="n">
        <v>0</v>
      </c>
      <c r="E165" t="n">
        <v>-23728</v>
      </c>
      <c r="F165" t="n">
        <v>0</v>
      </c>
      <c r="G165" t="n">
        <v>0</v>
      </c>
      <c r="H165" t="n">
        <v>0</v>
      </c>
      <c r="I165" t="n">
        <v>0</v>
      </c>
      <c r="J165" t="n">
        <v>0</v>
      </c>
      <c r="K165" t="n">
        <v>-411</v>
      </c>
    </row>
    <row r="166">
      <c r="B166" t="n">
        <v>-2612</v>
      </c>
      <c r="C166" t="n">
        <v>0</v>
      </c>
      <c r="D166" t="n">
        <v>0</v>
      </c>
      <c r="E166" t="n">
        <v>0</v>
      </c>
      <c r="F166" t="n">
        <v>0</v>
      </c>
      <c r="G166" t="n">
        <v>2581</v>
      </c>
      <c r="H166" t="n">
        <v>2208</v>
      </c>
      <c r="I166" t="n">
        <v>17857</v>
      </c>
      <c r="J166" t="n">
        <v>20698</v>
      </c>
      <c r="K166" t="n">
        <v>4378</v>
      </c>
    </row>
    <row r="167">
      <c r="B167" t="n">
        <v>2236</v>
      </c>
      <c r="C167" t="n">
        <v>16190</v>
      </c>
      <c r="D167" t="n">
        <v>3434</v>
      </c>
      <c r="E167" t="n">
        <v>43648</v>
      </c>
      <c r="F167" t="n">
        <v>8336</v>
      </c>
      <c r="G167" t="n">
        <v>-5177</v>
      </c>
      <c r="H167" t="n">
        <v>0</v>
      </c>
      <c r="I167" t="n">
        <v>-4723</v>
      </c>
      <c r="J167" t="n">
        <v>0</v>
      </c>
      <c r="K167" t="n">
        <v>5406</v>
      </c>
    </row>
    <row r="168">
      <c r="B168" t="n">
        <v>7008</v>
      </c>
      <c r="C168" t="n">
        <v>202</v>
      </c>
      <c r="D168" t="n">
        <v>-4243</v>
      </c>
      <c r="E168" t="n">
        <v>-2759</v>
      </c>
      <c r="F168" t="n">
        <v>0</v>
      </c>
      <c r="G168" t="n">
        <v>3512</v>
      </c>
      <c r="H168" t="n">
        <v>13604</v>
      </c>
      <c r="I168" t="n">
        <v>9706</v>
      </c>
      <c r="J168" t="n">
        <v>7127</v>
      </c>
      <c r="K168" t="n">
        <v>0</v>
      </c>
    </row>
    <row r="169">
      <c r="B169" t="n">
        <v>-1328</v>
      </c>
      <c r="C169" t="n">
        <v>-6085</v>
      </c>
      <c r="D169" t="n">
        <v>-5086</v>
      </c>
      <c r="E169" t="n">
        <v>-5799</v>
      </c>
      <c r="F169" t="n">
        <v>0</v>
      </c>
      <c r="G169" t="n">
        <v>1053</v>
      </c>
      <c r="H169" t="n">
        <v>524</v>
      </c>
      <c r="I169" t="n">
        <v>0</v>
      </c>
      <c r="J169" t="n">
        <v>427</v>
      </c>
      <c r="K169" t="n">
        <v>0</v>
      </c>
    </row>
    <row r="170">
      <c r="B170" t="n">
        <v>0</v>
      </c>
      <c r="C170" t="n">
        <v>0</v>
      </c>
      <c r="D170" t="n">
        <v>0</v>
      </c>
      <c r="E170" t="n">
        <v>0</v>
      </c>
      <c r="F170" t="n">
        <v>-672</v>
      </c>
      <c r="G170" t="n">
        <v>-219</v>
      </c>
      <c r="H170" t="n">
        <v>0</v>
      </c>
      <c r="I170" t="n">
        <v>0</v>
      </c>
      <c r="J170" t="n">
        <v>0</v>
      </c>
      <c r="K170" t="n">
        <v>0</v>
      </c>
    </row>
    <row r="171">
      <c r="B171" t="n">
        <v>-371</v>
      </c>
      <c r="C171" t="n">
        <v>-3183</v>
      </c>
      <c r="D171" t="n">
        <v>-25296</v>
      </c>
      <c r="E171" t="n">
        <v>-1460</v>
      </c>
      <c r="F171" t="n">
        <v>1022</v>
      </c>
      <c r="G171" t="n">
        <v>20278</v>
      </c>
      <c r="H171" t="n">
        <v>1164</v>
      </c>
      <c r="I171" t="n">
        <v>43298</v>
      </c>
      <c r="J171" t="n">
        <v>2888</v>
      </c>
      <c r="K171" t="n">
        <v>56658</v>
      </c>
    </row>
    <row r="172">
      <c r="B172" t="n">
        <v>3844</v>
      </c>
      <c r="C172" t="n">
        <v>-525</v>
      </c>
      <c r="D172" t="n">
        <v>0</v>
      </c>
      <c r="E172" t="n">
        <v>806</v>
      </c>
      <c r="F172" t="n">
        <v>0</v>
      </c>
      <c r="G172" t="n">
        <v>-1897</v>
      </c>
      <c r="H172" t="n">
        <v>-3404</v>
      </c>
      <c r="I172" t="n">
        <v>-1714</v>
      </c>
      <c r="J172" t="n">
        <v>890</v>
      </c>
      <c r="K172" t="n">
        <v>2616</v>
      </c>
    </row>
    <row r="173">
      <c r="B173" t="n">
        <v>0</v>
      </c>
      <c r="C173" t="n">
        <v>2384</v>
      </c>
      <c r="D173" t="n">
        <v>4662</v>
      </c>
      <c r="E173" t="n">
        <v>7042</v>
      </c>
      <c r="F173" t="n">
        <v>4848</v>
      </c>
      <c r="G173" t="n">
        <v>0</v>
      </c>
      <c r="H173" t="n">
        <v>-1795</v>
      </c>
      <c r="I173" t="n">
        <v>-2807</v>
      </c>
      <c r="J173" t="n">
        <v>-4197</v>
      </c>
      <c r="K173" t="n">
        <v>-4870</v>
      </c>
    </row>
    <row r="174">
      <c r="B174" t="n">
        <v>0</v>
      </c>
      <c r="C174" t="n">
        <v>41562</v>
      </c>
      <c r="D174" t="n">
        <v>28104</v>
      </c>
      <c r="E174" t="n">
        <v>0</v>
      </c>
      <c r="F174" t="n">
        <v>-20493</v>
      </c>
      <c r="G174" t="n">
        <v>0</v>
      </c>
      <c r="H174" t="n">
        <v>0</v>
      </c>
      <c r="I174" t="n">
        <v>0</v>
      </c>
      <c r="J174" t="n">
        <v>0</v>
      </c>
      <c r="K174" t="n">
        <v>0</v>
      </c>
    </row>
    <row r="175">
      <c r="B175" t="n">
        <v>407</v>
      </c>
      <c r="C175" t="n">
        <v>1945</v>
      </c>
      <c r="D175" t="n">
        <v>0</v>
      </c>
      <c r="E175" t="n">
        <v>0</v>
      </c>
      <c r="F175" t="n">
        <v>0</v>
      </c>
      <c r="G175" t="n">
        <v>0</v>
      </c>
      <c r="H175" t="n">
        <v>1843</v>
      </c>
      <c r="I175" t="n">
        <v>1827</v>
      </c>
      <c r="J175" t="n">
        <v>13805</v>
      </c>
      <c r="K175" t="n">
        <v>15251</v>
      </c>
    </row>
    <row r="176">
      <c r="B176" t="n">
        <v>3873</v>
      </c>
      <c r="C176" t="n">
        <v>1423</v>
      </c>
      <c r="D176" t="n">
        <v>11663</v>
      </c>
      <c r="E176" t="n">
        <v>2323</v>
      </c>
      <c r="F176" t="n">
        <v>32546</v>
      </c>
      <c r="G176" t="n">
        <v>3026</v>
      </c>
      <c r="H176" t="n">
        <v>49793</v>
      </c>
      <c r="I176" t="n">
        <v>10825</v>
      </c>
      <c r="J176" t="n">
        <v>-2525</v>
      </c>
      <c r="K176" t="n">
        <v>0</v>
      </c>
    </row>
    <row r="177">
      <c r="B177" t="n">
        <v>-3275</v>
      </c>
      <c r="C177" t="n">
        <v>0</v>
      </c>
      <c r="D177" t="n">
        <v>4336</v>
      </c>
      <c r="E177" t="n">
        <v>5295</v>
      </c>
      <c r="F177" t="n">
        <v>533</v>
      </c>
      <c r="G177" t="n">
        <v>-2519</v>
      </c>
      <c r="H177" t="n">
        <v>-1712</v>
      </c>
      <c r="I177" t="n">
        <v>0</v>
      </c>
      <c r="J177" t="n">
        <v>3510</v>
      </c>
      <c r="K177" t="n">
        <v>9817</v>
      </c>
    </row>
    <row r="178">
      <c r="B178" t="n">
        <v>5409</v>
      </c>
      <c r="C178" t="n">
        <v>3312</v>
      </c>
      <c r="D178" t="n">
        <v>0</v>
      </c>
      <c r="E178" t="n">
        <v>-1187</v>
      </c>
      <c r="F178" t="n">
        <v>-750</v>
      </c>
      <c r="G178" t="n">
        <v>-963</v>
      </c>
      <c r="H178" t="n">
        <v>-2039</v>
      </c>
      <c r="I178" t="n">
        <v>0</v>
      </c>
      <c r="J178" t="n">
        <v>912</v>
      </c>
      <c r="K178" t="n">
        <v>422</v>
      </c>
    </row>
    <row r="179">
      <c r="B179" t="n">
        <v>0</v>
      </c>
      <c r="C179" t="n">
        <v>264</v>
      </c>
      <c r="D179" t="n">
        <v>0</v>
      </c>
      <c r="E179" t="n">
        <v>0</v>
      </c>
      <c r="F179" t="n">
        <v>0</v>
      </c>
      <c r="G179" t="n">
        <v>0</v>
      </c>
      <c r="H179" t="n">
        <v>0</v>
      </c>
      <c r="I179" t="n">
        <v>-7488</v>
      </c>
      <c r="J179" t="n">
        <v>-1843</v>
      </c>
      <c r="K179" t="n">
        <v>0</v>
      </c>
    </row>
    <row r="180">
      <c r="B180" t="n">
        <v>0</v>
      </c>
      <c r="C180" t="n">
        <v>0</v>
      </c>
      <c r="D180" t="n">
        <v>0</v>
      </c>
      <c r="E180" t="n">
        <v>-499</v>
      </c>
      <c r="F180" t="n">
        <v>-2082</v>
      </c>
      <c r="G180" t="n">
        <v>-22683</v>
      </c>
      <c r="H180" t="n">
        <v>-780</v>
      </c>
      <c r="I180" t="n">
        <v>228</v>
      </c>
      <c r="J180" t="n">
        <v>17670</v>
      </c>
      <c r="K180" t="n">
        <v>1005</v>
      </c>
    </row>
    <row r="181">
      <c r="B181" t="n">
        <v>36181</v>
      </c>
      <c r="C181" t="n">
        <v>2172</v>
      </c>
      <c r="D181" t="n">
        <v>47358</v>
      </c>
      <c r="E181" t="n">
        <v>3047</v>
      </c>
      <c r="F181" t="n">
        <v>35802</v>
      </c>
      <c r="G181" t="n">
        <v>1943</v>
      </c>
      <c r="H181" t="n">
        <v>-595</v>
      </c>
      <c r="I181" t="n">
        <v>0</v>
      </c>
      <c r="J181" t="n">
        <v>548</v>
      </c>
      <c r="K181" t="n">
        <v>0</v>
      </c>
    </row>
    <row r="182">
      <c r="B182" t="n">
        <v>-922</v>
      </c>
      <c r="C182" t="n">
        <v>-1318</v>
      </c>
      <c r="D182" t="n">
        <v>-282</v>
      </c>
      <c r="E182" t="n">
        <v>689</v>
      </c>
      <c r="F182" t="n">
        <v>1430</v>
      </c>
      <c r="G182" t="n">
        <v>0</v>
      </c>
      <c r="H182" t="n">
        <v>2514</v>
      </c>
      <c r="I182" t="n">
        <v>3529</v>
      </c>
      <c r="J182" t="n">
        <v>4070</v>
      </c>
      <c r="K182" t="n">
        <v>2239</v>
      </c>
    </row>
    <row r="183">
      <c r="B183" t="n">
        <v>0</v>
      </c>
      <c r="C183" t="n">
        <v>-1059</v>
      </c>
      <c r="D183" t="n">
        <v>-1116</v>
      </c>
      <c r="E183" t="n">
        <v>-1986</v>
      </c>
      <c r="F183" t="n">
        <v>-2575</v>
      </c>
      <c r="G183" t="n">
        <v>0</v>
      </c>
      <c r="H183" t="n">
        <v>36918</v>
      </c>
      <c r="I183" t="n">
        <v>24883</v>
      </c>
      <c r="J183" t="n">
        <v>0</v>
      </c>
      <c r="K183" t="n">
        <v>-18462</v>
      </c>
    </row>
    <row r="184">
      <c r="B184" t="n">
        <v>0</v>
      </c>
      <c r="C184" t="n">
        <v>0</v>
      </c>
      <c r="D184" t="n">
        <v>0</v>
      </c>
      <c r="E184" t="n">
        <v>0</v>
      </c>
      <c r="F184" t="n">
        <v>0</v>
      </c>
      <c r="G184" t="n">
        <v>-1272</v>
      </c>
      <c r="H184" t="n">
        <v>-1125</v>
      </c>
      <c r="I184" t="n">
        <v>0</v>
      </c>
      <c r="J184" t="n">
        <v>0</v>
      </c>
      <c r="K184" t="n">
        <v>0</v>
      </c>
    </row>
    <row r="185">
      <c r="B185" t="n">
        <v>0</v>
      </c>
      <c r="C185" t="n">
        <v>1700</v>
      </c>
      <c r="D185" t="n">
        <v>1726</v>
      </c>
      <c r="E185" t="n">
        <v>11237</v>
      </c>
      <c r="F185" t="n">
        <v>13170</v>
      </c>
      <c r="G185" t="n">
        <v>2094</v>
      </c>
      <c r="H185" t="n">
        <v>1471</v>
      </c>
      <c r="I185" t="n">
        <v>10453</v>
      </c>
      <c r="J185" t="n">
        <v>2226</v>
      </c>
      <c r="K185" t="n">
        <v>28791</v>
      </c>
    </row>
    <row r="186">
      <c r="B186" t="n">
        <v>2853</v>
      </c>
      <c r="C186" t="n">
        <v>44033</v>
      </c>
      <c r="D186" t="n">
        <v>2406</v>
      </c>
      <c r="E186" t="n">
        <v>33068</v>
      </c>
      <c r="F186" t="n">
        <v>9553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>
    <tabColor rgb="FF00B050"/>
    <outlinePr summaryBelow="1" summaryRight="1"/>
    <pageSetUpPr/>
  </sheetPr>
  <dimension ref="B1:AD64"/>
  <sheetViews>
    <sheetView workbookViewId="0">
      <selection activeCell="Q16" sqref="Q16"/>
    </sheetView>
  </sheetViews>
  <sheetFormatPr baseColWidth="8" defaultRowHeight="15"/>
  <cols>
    <col collapsed="1" width="14.5703125" customWidth="1" style="71" min="2" max="2"/>
    <col collapsed="1" width="11.5703125" bestFit="1" customWidth="1" style="71" min="3" max="3"/>
    <col collapsed="1" width="7.7109375" customWidth="1" style="71" min="7" max="8"/>
    <col collapsed="1" width="12.7109375" bestFit="1" customWidth="1" style="71" min="9" max="9"/>
    <col collapsed="1" width="6" bestFit="1" customWidth="1" style="71" min="12" max="12"/>
    <col hidden="1" collapsed="1" width="9.42578125" customWidth="1" style="71" min="13" max="13"/>
    <col hidden="1" collapsed="1" width="12.28515625" customWidth="1" style="71" min="14" max="14"/>
    <col collapsed="1" width="22.28515625" customWidth="1" style="71" min="15" max="15"/>
    <col collapsed="1" width="11.140625" bestFit="1" customWidth="1" style="71" min="22" max="22"/>
    <col collapsed="1" width="11.28515625" bestFit="1" customWidth="1" style="71" min="24" max="24"/>
    <col collapsed="1" width="10.28515625" bestFit="1" customWidth="1" style="71" min="30" max="30"/>
  </cols>
  <sheetData>
    <row r="1" ht="15.75" customHeight="1" s="71" thickBot="1">
      <c r="B1" s="32" t="inlineStr">
        <is>
          <t>School Departure Time</t>
        </is>
      </c>
      <c r="C1" s="1" t="n"/>
      <c r="D1" s="1" t="n"/>
      <c r="E1" s="1" t="inlineStr">
        <is>
          <t>Damp</t>
        </is>
      </c>
      <c r="F1" s="33" t="n">
        <v>0.5</v>
      </c>
      <c r="G1" s="1" t="n"/>
      <c r="H1" s="1" t="n"/>
      <c r="I1" s="1" t="n"/>
      <c r="U1" s="53" t="inlineStr">
        <is>
          <t>SchoolTourTimeModel.F12</t>
        </is>
      </c>
      <c r="V1" s="54" t="n"/>
      <c r="W1" s="54" t="n"/>
      <c r="X1" s="54" t="n"/>
      <c r="AA1" s="53" t="inlineStr">
        <is>
          <t>WorkbasedSubTourTimeModel.F12</t>
        </is>
      </c>
      <c r="AB1" s="54" t="n"/>
      <c r="AC1" s="54" t="n"/>
      <c r="AD1" s="54" t="n"/>
    </row>
    <row r="2" ht="15.75" customHeight="1" s="71" thickBot="1">
      <c r="C2" s="70" t="inlineStr">
        <is>
          <t>Count</t>
        </is>
      </c>
      <c r="E2" s="70" t="inlineStr">
        <is>
          <t>Share</t>
        </is>
      </c>
      <c r="G2" s="7" t="n"/>
      <c r="H2" s="7" t="n"/>
      <c r="I2" s="7" t="n"/>
      <c r="L2" s="1" t="n"/>
      <c r="M2" s="1" t="n"/>
      <c r="N2" s="1" t="n"/>
      <c r="O2" s="1" t="n"/>
      <c r="U2" s="54" t="n"/>
      <c r="V2" s="54" t="n"/>
      <c r="W2" s="55" t="inlineStr">
        <is>
          <t>Old</t>
        </is>
      </c>
      <c r="X2" s="55" t="inlineStr">
        <is>
          <t>New</t>
        </is>
      </c>
      <c r="AA2" s="54" t="n"/>
      <c r="AB2" s="54" t="n"/>
      <c r="AC2" s="55" t="inlineStr">
        <is>
          <t>Old</t>
        </is>
      </c>
      <c r="AD2" s="55" t="inlineStr">
        <is>
          <t>New</t>
        </is>
      </c>
    </row>
    <row r="3">
      <c r="B3" s="27" t="inlineStr">
        <is>
          <t>Depart</t>
        </is>
      </c>
      <c r="C3" s="28" t="inlineStr">
        <is>
          <t>Survey</t>
        </is>
      </c>
      <c r="D3" s="28" t="inlineStr">
        <is>
          <t>DaySim</t>
        </is>
      </c>
      <c r="E3" s="28" t="inlineStr">
        <is>
          <t>Survey</t>
        </is>
      </c>
      <c r="F3" s="28" t="inlineStr">
        <is>
          <t>DaySim</t>
        </is>
      </c>
      <c r="G3" s="28" t="inlineStr">
        <is>
          <t>Ratio</t>
        </is>
      </c>
      <c r="H3" s="28" t="inlineStr">
        <is>
          <t>Damp</t>
        </is>
      </c>
      <c r="I3" s="28" t="inlineStr">
        <is>
          <t>Adjustment</t>
        </is>
      </c>
      <c r="L3" s="62" t="inlineStr">
        <is>
          <t>Index</t>
        </is>
      </c>
      <c r="M3" s="62" t="inlineStr">
        <is>
          <t>Old Coeff</t>
        </is>
      </c>
      <c r="N3" s="63" t="inlineStr">
        <is>
          <t>New Coeff</t>
        </is>
      </c>
      <c r="O3" s="64" t="inlineStr">
        <is>
          <t>Description</t>
        </is>
      </c>
      <c r="U3">
        <f>SchoolTourTime!B11</f>
        <v/>
      </c>
      <c r="V3">
        <f>SchoolTourTime!C11</f>
        <v/>
      </c>
      <c r="W3">
        <f>VLOOKUP(U3,SchoolTourTime!$B$11:$E$72,4,FALSE)</f>
        <v/>
      </c>
      <c r="X3" s="58">
        <f>_xlfn.IFNA(VLOOKUP(U3,$L$3:$N$29,3,FALSE),W3)</f>
        <v/>
      </c>
      <c r="AA3">
        <f>WorkBasedSubtourTime!B11</f>
        <v/>
      </c>
      <c r="AB3">
        <f>WorkBasedSubtourTime!C11</f>
        <v/>
      </c>
      <c r="AC3">
        <f>VLOOKUP(AA3,WorkBasedSubtourTime!$B$11:$E$60,4,FALSE)</f>
        <v/>
      </c>
      <c r="AD3" s="58">
        <f>_xlfn.IFNA(VLOOKUP(AA3,$L$35:$N$61,3,FALSE),AC3)</f>
        <v/>
      </c>
    </row>
    <row r="4">
      <c r="B4" t="inlineStr">
        <is>
          <t>3-7 am</t>
        </is>
      </c>
      <c r="C4" s="24">
        <f>SUM(Departure_Time!C9:C16)</f>
        <v/>
      </c>
      <c r="D4" s="24">
        <f>SUM(Departure_Time!O9:O16)</f>
        <v/>
      </c>
      <c r="E4" s="25">
        <f>C4/C$14</f>
        <v/>
      </c>
      <c r="F4" s="25">
        <f>D4/D$14</f>
        <v/>
      </c>
      <c r="G4" s="5">
        <f>E4/F4</f>
        <v/>
      </c>
      <c r="H4" s="5" t="n">
        <v>0</v>
      </c>
      <c r="I4" s="26">
        <f>H4*(LN(G4)-LN($G$8))</f>
        <v/>
      </c>
      <c r="L4" s="65" t="n">
        <v>21</v>
      </c>
      <c r="M4" s="66">
        <f>VLOOKUP(L4,$U$3:$X$64,3,FALSE)</f>
        <v/>
      </c>
      <c r="N4" s="67">
        <f>I4+M4</f>
        <v/>
      </c>
      <c r="O4" s="65">
        <f>CONCATENATE("Departure ",B4)</f>
        <v/>
      </c>
      <c r="U4">
        <f>SchoolTourTime!B12</f>
        <v/>
      </c>
      <c r="V4">
        <f>SchoolTourTime!C12</f>
        <v/>
      </c>
      <c r="W4">
        <f>VLOOKUP(U4,SchoolTourTime!$B$11:$E$72,4,FALSE)</f>
        <v/>
      </c>
      <c r="X4" s="58">
        <f>_xlfn.IFNA(VLOOKUP(U4,$L$3:$N$29,3,FALSE),W4)</f>
        <v/>
      </c>
      <c r="AA4">
        <f>WorkBasedSubtourTime!B12</f>
        <v/>
      </c>
      <c r="AB4">
        <f>WorkBasedSubtourTime!C12</f>
        <v/>
      </c>
      <c r="AC4">
        <f>VLOOKUP(AA4,WorkBasedSubtourTime!$B$11:$E$60,4,FALSE)</f>
        <v/>
      </c>
      <c r="AD4" s="58">
        <f>_xlfn.IFNA(VLOOKUP(AA4,$L$35:$N$61,3,FALSE),AC4)</f>
        <v/>
      </c>
    </row>
    <row r="5">
      <c r="B5" t="inlineStr">
        <is>
          <t>7-10 am</t>
        </is>
      </c>
      <c r="C5" s="24">
        <f>SUM(Departure_Time!C17:C22)</f>
        <v/>
      </c>
      <c r="D5" s="24">
        <f>SUM(Departure_Time!O17:O22)</f>
        <v/>
      </c>
      <c r="E5" s="25">
        <f>C5/C$14</f>
        <v/>
      </c>
      <c r="F5" s="25">
        <f>D5/D$14</f>
        <v/>
      </c>
      <c r="G5" s="5">
        <f>E5/F5</f>
        <v/>
      </c>
      <c r="H5" s="5">
        <f>$F$1</f>
        <v/>
      </c>
      <c r="I5" s="26">
        <f>H5*(LN(G5)-LN($G$8))</f>
        <v/>
      </c>
      <c r="L5" s="65" t="n">
        <v>22</v>
      </c>
      <c r="M5" s="65">
        <f>VLOOKUP(L5,$U$3:$X$64,3,FALSE)</f>
        <v/>
      </c>
      <c r="N5" s="67">
        <f>I5+M5</f>
        <v/>
      </c>
      <c r="O5" s="65">
        <f>CONCATENATE("Departure ",B5)</f>
        <v/>
      </c>
      <c r="U5">
        <f>SchoolTourTime!B13</f>
        <v/>
      </c>
      <c r="V5">
        <f>SchoolTourTime!C13</f>
        <v/>
      </c>
      <c r="W5">
        <f>VLOOKUP(U5,SchoolTourTime!$B$11:$E$72,4,FALSE)</f>
        <v/>
      </c>
      <c r="X5" s="58">
        <f>_xlfn.IFNA(VLOOKUP(U5,$L$3:$N$29,3,FALSE),W5)</f>
        <v/>
      </c>
      <c r="AA5">
        <f>WorkBasedSubtourTime!B13</f>
        <v/>
      </c>
      <c r="AB5">
        <f>WorkBasedSubtourTime!C13</f>
        <v/>
      </c>
      <c r="AC5">
        <f>VLOOKUP(AA5,WorkBasedSubtourTime!$B$11:$E$60,4,FALSE)</f>
        <v/>
      </c>
      <c r="AD5" s="58">
        <f>_xlfn.IFNA(VLOOKUP(AA5,$L$35:$N$61,3,FALSE),AC5)</f>
        <v/>
      </c>
    </row>
    <row r="6">
      <c r="B6" t="inlineStr">
        <is>
          <t>10 am - 1 pm</t>
        </is>
      </c>
      <c r="C6" s="24">
        <f>SUM(Departure_Time!C23:C28)</f>
        <v/>
      </c>
      <c r="D6" s="24">
        <f>SUM(Departure_Time!O23:O28)</f>
        <v/>
      </c>
      <c r="E6" s="25">
        <f>C6/C$14</f>
        <v/>
      </c>
      <c r="F6" s="25">
        <f>D6/D$14</f>
        <v/>
      </c>
      <c r="G6" s="5">
        <f>E6/F6</f>
        <v/>
      </c>
      <c r="H6" s="5">
        <f>$F$1</f>
        <v/>
      </c>
      <c r="I6" s="26">
        <f>H6*(LN(G6)-LN($G$8))</f>
        <v/>
      </c>
      <c r="L6" s="65" t="n">
        <v>23</v>
      </c>
      <c r="M6" s="65">
        <f>VLOOKUP(L6,$U$3:$X$64,3,FALSE)</f>
        <v/>
      </c>
      <c r="N6" s="67">
        <f>I6+M6</f>
        <v/>
      </c>
      <c r="O6" s="65">
        <f>CONCATENATE("Departure ",B6)</f>
        <v/>
      </c>
      <c r="U6">
        <f>SchoolTourTime!B14</f>
        <v/>
      </c>
      <c r="V6">
        <f>SchoolTourTime!C14</f>
        <v/>
      </c>
      <c r="W6">
        <f>VLOOKUP(U6,SchoolTourTime!$B$11:$E$72,4,FALSE)</f>
        <v/>
      </c>
      <c r="X6" s="58">
        <f>_xlfn.IFNA(VLOOKUP(U6,$L$3:$N$29,3,FALSE),W6)</f>
        <v/>
      </c>
      <c r="AA6">
        <f>WorkBasedSubtourTime!B14</f>
        <v/>
      </c>
      <c r="AB6">
        <f>WorkBasedSubtourTime!C14</f>
        <v/>
      </c>
      <c r="AC6">
        <f>VLOOKUP(AA6,WorkBasedSubtourTime!$B$11:$E$60,4,FALSE)</f>
        <v/>
      </c>
      <c r="AD6" s="58">
        <f>_xlfn.IFNA(VLOOKUP(AA6,$L$35:$N$61,3,FALSE),AC6)</f>
        <v/>
      </c>
    </row>
    <row r="7">
      <c r="B7" t="inlineStr">
        <is>
          <t>1-3 pm</t>
        </is>
      </c>
      <c r="C7" s="24">
        <f>SUM(Departure_Time!C29:C32)</f>
        <v/>
      </c>
      <c r="D7" s="24">
        <f>SUM(Departure_Time!O29:O32)</f>
        <v/>
      </c>
      <c r="E7" s="25">
        <f>C7/C$14</f>
        <v/>
      </c>
      <c r="F7" s="25">
        <f>D7/D$14</f>
        <v/>
      </c>
      <c r="G7" s="5">
        <f>E7/F7</f>
        <v/>
      </c>
      <c r="H7" s="5">
        <f>$F$1</f>
        <v/>
      </c>
      <c r="I7" s="26">
        <f>H7*(LN(G7)-LN($G$8))</f>
        <v/>
      </c>
      <c r="L7" s="65" t="n">
        <v>24</v>
      </c>
      <c r="M7" s="65">
        <f>VLOOKUP(L7,$U$3:$X$64,3,FALSE)</f>
        <v/>
      </c>
      <c r="N7" s="67">
        <f>I7+M7</f>
        <v/>
      </c>
      <c r="O7" s="65">
        <f>CONCATENATE("Departure ",B7)</f>
        <v/>
      </c>
      <c r="U7">
        <f>SchoolTourTime!B15</f>
        <v/>
      </c>
      <c r="V7">
        <f>SchoolTourTime!C15</f>
        <v/>
      </c>
      <c r="W7">
        <f>VLOOKUP(U7,SchoolTourTime!$B$11:$E$72,4,FALSE)</f>
        <v/>
      </c>
      <c r="X7" s="58">
        <f>_xlfn.IFNA(VLOOKUP(U7,$L$3:$N$29,3,FALSE),W7)</f>
        <v/>
      </c>
      <c r="AA7">
        <f>WorkBasedSubtourTime!B15</f>
        <v/>
      </c>
      <c r="AB7">
        <f>WorkBasedSubtourTime!C15</f>
        <v/>
      </c>
      <c r="AC7">
        <f>VLOOKUP(AA7,WorkBasedSubtourTime!$B$11:$E$60,4,FALSE)</f>
        <v/>
      </c>
      <c r="AD7" s="58">
        <f>_xlfn.IFNA(VLOOKUP(AA7,$L$35:$N$61,3,FALSE),AC7)</f>
        <v/>
      </c>
    </row>
    <row r="8">
      <c r="B8" t="inlineStr">
        <is>
          <t>3-5 pm</t>
        </is>
      </c>
      <c r="C8" s="24">
        <f>SUM(Departure_Time!C33:C36)</f>
        <v/>
      </c>
      <c r="D8" s="24">
        <f>SUM(Departure_Time!O33:O36)</f>
        <v/>
      </c>
      <c r="E8" s="25">
        <f>C8/C$14</f>
        <v/>
      </c>
      <c r="F8" s="25">
        <f>D8/D$14</f>
        <v/>
      </c>
      <c r="G8" s="5">
        <f>E8/F8</f>
        <v/>
      </c>
      <c r="H8" s="5">
        <f>$F$1</f>
        <v/>
      </c>
      <c r="I8" s="26">
        <f>H8*(LN(G8)-LN($G$8))</f>
        <v/>
      </c>
      <c r="L8" s="65" t="n">
        <v>25</v>
      </c>
      <c r="M8" s="65">
        <f>VLOOKUP(L8,$U$3:$X$64,3,FALSE)</f>
        <v/>
      </c>
      <c r="N8" s="67">
        <f>I8+M8</f>
        <v/>
      </c>
      <c r="O8" s="65">
        <f>CONCATENATE("Departure ",B8)</f>
        <v/>
      </c>
      <c r="U8">
        <f>SchoolTourTime!B16</f>
        <v/>
      </c>
      <c r="V8">
        <f>SchoolTourTime!C16</f>
        <v/>
      </c>
      <c r="W8">
        <f>VLOOKUP(U8,SchoolTourTime!$B$11:$E$72,4,FALSE)</f>
        <v/>
      </c>
      <c r="X8" s="58">
        <f>_xlfn.IFNA(VLOOKUP(U8,$L$3:$N$29,3,FALSE),W8)</f>
        <v/>
      </c>
      <c r="AA8">
        <f>WorkBasedSubtourTime!B16</f>
        <v/>
      </c>
      <c r="AB8">
        <f>WorkBasedSubtourTime!C16</f>
        <v/>
      </c>
      <c r="AC8">
        <f>VLOOKUP(AA8,WorkBasedSubtourTime!$B$11:$E$60,4,FALSE)</f>
        <v/>
      </c>
      <c r="AD8" s="58">
        <f>_xlfn.IFNA(VLOOKUP(AA8,$L$35:$N$61,3,FALSE),AC8)</f>
        <v/>
      </c>
    </row>
    <row r="9">
      <c r="B9" t="inlineStr">
        <is>
          <t>5-6 pm</t>
        </is>
      </c>
      <c r="C9" s="24">
        <f>SUM(Departure_Time!C37:C38)</f>
        <v/>
      </c>
      <c r="D9" s="24">
        <f>SUM(Departure_Time!O37:O38)</f>
        <v/>
      </c>
      <c r="E9" s="25">
        <f>C9/C$14</f>
        <v/>
      </c>
      <c r="F9" s="25">
        <f>D9/D$14</f>
        <v/>
      </c>
      <c r="G9" s="5">
        <f>E9/F9</f>
        <v/>
      </c>
      <c r="H9" s="5">
        <f>$F$1</f>
        <v/>
      </c>
      <c r="I9" s="26">
        <f>H9*(LN(G9)-LN($G$8))</f>
        <v/>
      </c>
      <c r="L9" s="65" t="n">
        <v>26</v>
      </c>
      <c r="M9" s="65">
        <f>VLOOKUP(L9,$U$3:$X$64,3,FALSE)</f>
        <v/>
      </c>
      <c r="N9" s="67">
        <f>I9+M9</f>
        <v/>
      </c>
      <c r="O9" s="65">
        <f>CONCATENATE("Departure ",B9)</f>
        <v/>
      </c>
      <c r="U9">
        <f>SchoolTourTime!B17</f>
        <v/>
      </c>
      <c r="V9">
        <f>SchoolTourTime!C17</f>
        <v/>
      </c>
      <c r="W9">
        <f>VLOOKUP(U9,SchoolTourTime!$B$11:$E$72,4,FALSE)</f>
        <v/>
      </c>
      <c r="X9" s="58">
        <f>_xlfn.IFNA(VLOOKUP(U9,$L$3:$N$29,3,FALSE),W9)</f>
        <v/>
      </c>
      <c r="AA9">
        <f>WorkBasedSubtourTime!B17</f>
        <v/>
      </c>
      <c r="AB9">
        <f>WorkBasedSubtourTime!C17</f>
        <v/>
      </c>
      <c r="AC9">
        <f>VLOOKUP(AA9,WorkBasedSubtourTime!$B$11:$E$60,4,FALSE)</f>
        <v/>
      </c>
      <c r="AD9" s="58">
        <f>_xlfn.IFNA(VLOOKUP(AA9,$L$35:$N$61,3,FALSE),AC9)</f>
        <v/>
      </c>
    </row>
    <row r="10">
      <c r="B10" t="inlineStr">
        <is>
          <t>6-7 pm</t>
        </is>
      </c>
      <c r="C10" s="24">
        <f>SUM(Departure_Time!C39:C40)</f>
        <v/>
      </c>
      <c r="D10" s="24">
        <f>SUM(Departure_Time!O39:O40)</f>
        <v/>
      </c>
      <c r="E10" s="25">
        <f>C10/C$14</f>
        <v/>
      </c>
      <c r="F10" s="25">
        <f>D10/D$14</f>
        <v/>
      </c>
      <c r="G10" s="5">
        <f>E10/F10</f>
        <v/>
      </c>
      <c r="H10" s="5">
        <f>$F$1</f>
        <v/>
      </c>
      <c r="I10" s="26">
        <f>H10*(LN(G10)-LN($G$8))</f>
        <v/>
      </c>
      <c r="L10" s="65" t="n">
        <v>27</v>
      </c>
      <c r="M10" s="65">
        <f>VLOOKUP(L10,$U$3:$X$64,3,FALSE)</f>
        <v/>
      </c>
      <c r="N10" s="67">
        <f>I10+M10</f>
        <v/>
      </c>
      <c r="O10" s="65">
        <f>CONCATENATE("Departure ",B10)</f>
        <v/>
      </c>
      <c r="U10">
        <f>SchoolTourTime!B18</f>
        <v/>
      </c>
      <c r="V10">
        <f>SchoolTourTime!C18</f>
        <v/>
      </c>
      <c r="W10">
        <f>VLOOKUP(U10,SchoolTourTime!$B$11:$E$72,4,FALSE)</f>
        <v/>
      </c>
      <c r="X10" s="58">
        <f>_xlfn.IFNA(VLOOKUP(U10,$L$3:$N$29,3,FALSE),W10)</f>
        <v/>
      </c>
      <c r="AA10">
        <f>WorkBasedSubtourTime!B18</f>
        <v/>
      </c>
      <c r="AB10">
        <f>WorkBasedSubtourTime!C18</f>
        <v/>
      </c>
      <c r="AC10">
        <f>VLOOKUP(AA10,WorkBasedSubtourTime!$B$11:$E$60,4,FALSE)</f>
        <v/>
      </c>
      <c r="AD10" s="58">
        <f>_xlfn.IFNA(VLOOKUP(AA10,$L$35:$N$61,3,FALSE),AC10)</f>
        <v/>
      </c>
    </row>
    <row r="11">
      <c r="B11" t="inlineStr">
        <is>
          <t>7-9 pm</t>
        </is>
      </c>
      <c r="C11" s="24">
        <f>SUM(Departure_Time!C41:C44)</f>
        <v/>
      </c>
      <c r="D11" s="24">
        <f>SUM(Departure_Time!O41:O44)</f>
        <v/>
      </c>
      <c r="E11" s="25">
        <f>C11/C$14</f>
        <v/>
      </c>
      <c r="F11" s="25">
        <f>D11/D$14</f>
        <v/>
      </c>
      <c r="G11" s="5">
        <f>E11/F11</f>
        <v/>
      </c>
      <c r="H11" s="5">
        <f>$F$1</f>
        <v/>
      </c>
      <c r="I11" s="26">
        <f>H11*(LN(G11)-LN($G$8))</f>
        <v/>
      </c>
      <c r="L11" s="65" t="n">
        <v>28</v>
      </c>
      <c r="M11" s="65">
        <f>VLOOKUP(L11,$U$3:$X$64,3,FALSE)</f>
        <v/>
      </c>
      <c r="N11" s="67">
        <f>I11+M11</f>
        <v/>
      </c>
      <c r="O11" s="65">
        <f>CONCATENATE("Departure ",B11)</f>
        <v/>
      </c>
      <c r="U11">
        <f>SchoolTourTime!B19</f>
        <v/>
      </c>
      <c r="V11">
        <f>SchoolTourTime!C19</f>
        <v/>
      </c>
      <c r="W11">
        <f>VLOOKUP(U11,SchoolTourTime!$B$11:$E$72,4,FALSE)</f>
        <v/>
      </c>
      <c r="X11" s="58">
        <f>_xlfn.IFNA(VLOOKUP(U11,$L$3:$N$29,3,FALSE),W11)</f>
        <v/>
      </c>
      <c r="AA11">
        <f>WorkBasedSubtourTime!B19</f>
        <v/>
      </c>
      <c r="AB11">
        <f>WorkBasedSubtourTime!C19</f>
        <v/>
      </c>
      <c r="AC11">
        <f>VLOOKUP(AA11,WorkBasedSubtourTime!$B$11:$E$60,4,FALSE)</f>
        <v/>
      </c>
      <c r="AD11" s="58">
        <f>_xlfn.IFNA(VLOOKUP(AA11,$L$35:$N$61,3,FALSE),AC11)</f>
        <v/>
      </c>
    </row>
    <row r="12">
      <c r="B12" t="inlineStr">
        <is>
          <t>9-12 pm</t>
        </is>
      </c>
      <c r="C12" s="24">
        <f>SUM(Departure_Time!C45:C50)</f>
        <v/>
      </c>
      <c r="D12" s="24">
        <f>SUM(Departure_Time!O45:O50)</f>
        <v/>
      </c>
      <c r="E12" s="25">
        <f>C12/C$14</f>
        <v/>
      </c>
      <c r="F12" s="25">
        <f>D12/D$14</f>
        <v/>
      </c>
      <c r="G12" s="5">
        <f>E12/F12</f>
        <v/>
      </c>
      <c r="H12" s="5">
        <f>$F$1</f>
        <v/>
      </c>
      <c r="I12" s="26">
        <f>H12*(LN(G12)-LN($G$8))</f>
        <v/>
      </c>
      <c r="L12" s="65" t="n">
        <v>29</v>
      </c>
      <c r="M12" s="65">
        <f>VLOOKUP(L12,$U$3:$X$64,3,FALSE)</f>
        <v/>
      </c>
      <c r="N12" s="67">
        <f>I12+M12</f>
        <v/>
      </c>
      <c r="O12" s="65">
        <f>CONCATENATE("Departure ",B12)</f>
        <v/>
      </c>
      <c r="U12">
        <f>SchoolTourTime!B20</f>
        <v/>
      </c>
      <c r="V12">
        <f>SchoolTourTime!C20</f>
        <v/>
      </c>
      <c r="W12">
        <f>VLOOKUP(U12,SchoolTourTime!$B$11:$E$72,4,FALSE)</f>
        <v/>
      </c>
      <c r="X12" s="58">
        <f>_xlfn.IFNA(VLOOKUP(U12,$L$3:$N$29,3,FALSE),W12)</f>
        <v/>
      </c>
      <c r="AA12">
        <f>WorkBasedSubtourTime!B20</f>
        <v/>
      </c>
      <c r="AB12">
        <f>WorkBasedSubtourTime!C20</f>
        <v/>
      </c>
      <c r="AC12">
        <f>VLOOKUP(AA12,WorkBasedSubtourTime!$B$11:$E$60,4,FALSE)</f>
        <v/>
      </c>
      <c r="AD12" s="58">
        <f>_xlfn.IFNA(VLOOKUP(AA12,$L$35:$N$61,3,FALSE),AC12)</f>
        <v/>
      </c>
    </row>
    <row r="13">
      <c r="B13" s="19" t="inlineStr">
        <is>
          <t>12-3 am</t>
        </is>
      </c>
      <c r="C13" s="29">
        <f>SUM(Departure_Time!C51:C57)+Departure_Time!C8</f>
        <v/>
      </c>
      <c r="D13" s="29">
        <f>SUM(Departure_Time!O51:O57)+Departure_Time!O8</f>
        <v/>
      </c>
      <c r="E13" s="30">
        <f>C13/C$14</f>
        <v/>
      </c>
      <c r="F13" s="30">
        <f>D13/D$14</f>
        <v/>
      </c>
      <c r="G13" s="18">
        <f>E13/F13</f>
        <v/>
      </c>
      <c r="H13" s="18" t="n">
        <v>0</v>
      </c>
      <c r="I13" s="26">
        <f>H13*(LN(G13)-LN($G$8))</f>
        <v/>
      </c>
      <c r="L13" s="68" t="n">
        <v>30</v>
      </c>
      <c r="M13" s="68">
        <f>VLOOKUP(L13,$U$3:$X$64,3,FALSE)</f>
        <v/>
      </c>
      <c r="N13" s="69">
        <f>I13+M13</f>
        <v/>
      </c>
      <c r="O13" s="68">
        <f>CONCATENATE("Departure ",B13)</f>
        <v/>
      </c>
      <c r="U13" s="60">
        <f>SchoolTourTime!B21</f>
        <v/>
      </c>
      <c r="V13" s="60">
        <f>SchoolTourTime!C21</f>
        <v/>
      </c>
      <c r="W13" s="60">
        <f>VLOOKUP(U13,SchoolTourTime!$B$11:$E$72,4,FALSE)</f>
        <v/>
      </c>
      <c r="X13" s="61">
        <f>_xlfn.IFNA(VLOOKUP(U13,$L$3:$N$29,3,FALSE),W13)</f>
        <v/>
      </c>
      <c r="AA13" s="60">
        <f>WorkBasedSubtourTime!B21</f>
        <v/>
      </c>
      <c r="AB13" s="60">
        <f>WorkBasedSubtourTime!C21</f>
        <v/>
      </c>
      <c r="AC13" s="60">
        <f>VLOOKUP(AA13,WorkBasedSubtourTime!$B$11:$E$60,4,FALSE)</f>
        <v/>
      </c>
      <c r="AD13" s="61">
        <f>_xlfn.IFNA(VLOOKUP(AA13,$L$35:$N$61,3,FALSE),AC13)</f>
        <v/>
      </c>
    </row>
    <row r="14" ht="15.75" customHeight="1" s="71" thickBot="1">
      <c r="B14" s="34" t="inlineStr">
        <is>
          <t>TOTAL</t>
        </is>
      </c>
      <c r="C14" s="35">
        <f>SUM(C4:C13)</f>
        <v/>
      </c>
      <c r="D14" s="35">
        <f>SUM(D4:D13)</f>
        <v/>
      </c>
      <c r="E14" s="36">
        <f>C14/C$14</f>
        <v/>
      </c>
      <c r="F14" s="36">
        <f>D14/D$14</f>
        <v/>
      </c>
      <c r="G14" s="37">
        <f>E14/F14</f>
        <v/>
      </c>
      <c r="H14" s="37" t="n"/>
      <c r="I14" s="38" t="n"/>
      <c r="U14" s="60">
        <f>SchoolTourTime!B22</f>
        <v/>
      </c>
      <c r="V14" s="60">
        <f>SchoolTourTime!C22</f>
        <v/>
      </c>
      <c r="W14" s="60">
        <f>VLOOKUP(U14,SchoolTourTime!$B$11:$E$72,4,FALSE)</f>
        <v/>
      </c>
      <c r="X14" s="61">
        <f>_xlfn.IFNA(VLOOKUP(U14,$L$3:$N$29,3,FALSE),W14)</f>
        <v/>
      </c>
      <c r="AA14" s="60">
        <f>WorkBasedSubtourTime!B22</f>
        <v/>
      </c>
      <c r="AB14" s="60">
        <f>WorkBasedSubtourTime!C22</f>
        <v/>
      </c>
      <c r="AC14" s="60">
        <f>VLOOKUP(AA14,WorkBasedSubtourTime!$B$11:$E$60,4,FALSE)</f>
        <v/>
      </c>
      <c r="AD14" s="61">
        <f>_xlfn.IFNA(VLOOKUP(AA14,$L$35:$N$61,3,FALSE),AC14)</f>
        <v/>
      </c>
    </row>
    <row r="15">
      <c r="U15" s="60">
        <f>SchoolTourTime!B23</f>
        <v/>
      </c>
      <c r="V15" s="60">
        <f>SchoolTourTime!C23</f>
        <v/>
      </c>
      <c r="W15" s="60">
        <f>VLOOKUP(U15,SchoolTourTime!$B$11:$E$72,4,FALSE)</f>
        <v/>
      </c>
      <c r="X15" s="61">
        <f>_xlfn.IFNA(VLOOKUP(U15,$L$3:$N$29,3,FALSE),W15)</f>
        <v/>
      </c>
      <c r="AA15" s="60">
        <f>WorkBasedSubtourTime!B23</f>
        <v/>
      </c>
      <c r="AB15" s="60">
        <f>WorkBasedSubtourTime!C23</f>
        <v/>
      </c>
      <c r="AC15" s="60">
        <f>VLOOKUP(AA15,WorkBasedSubtourTime!$B$11:$E$60,4,FALSE)</f>
        <v/>
      </c>
      <c r="AD15" s="61">
        <f>_xlfn.IFNA(VLOOKUP(AA15,$L$35:$N$61,3,FALSE),AC15)</f>
        <v/>
      </c>
    </row>
    <row r="16">
      <c r="U16" s="60">
        <f>SchoolTourTime!B24</f>
        <v/>
      </c>
      <c r="V16" s="60">
        <f>SchoolTourTime!C24</f>
        <v/>
      </c>
      <c r="W16" s="60">
        <f>VLOOKUP(U16,SchoolTourTime!$B$11:$E$72,4,FALSE)</f>
        <v/>
      </c>
      <c r="X16" s="61">
        <f>_xlfn.IFNA(VLOOKUP(U16,$L$3:$N$29,3,FALSE),W16)</f>
        <v/>
      </c>
      <c r="AA16" s="60">
        <f>WorkBasedSubtourTime!B24</f>
        <v/>
      </c>
      <c r="AB16" s="60">
        <f>WorkBasedSubtourTime!C24</f>
        <v/>
      </c>
      <c r="AC16" s="60">
        <f>VLOOKUP(AA16,WorkBasedSubtourTime!$B$11:$E$60,4,FALSE)</f>
        <v/>
      </c>
      <c r="AD16" s="61">
        <f>_xlfn.IFNA(VLOOKUP(AA16,$L$35:$N$61,3,FALSE),AC16)</f>
        <v/>
      </c>
    </row>
    <row r="17" ht="15.75" customHeight="1" s="71" thickBot="1">
      <c r="B17" s="32" t="inlineStr">
        <is>
          <t>School Tour Duration</t>
        </is>
      </c>
      <c r="C17" s="1" t="n"/>
      <c r="D17" s="1" t="n"/>
      <c r="E17" s="1" t="inlineStr">
        <is>
          <t>Damp</t>
        </is>
      </c>
      <c r="F17" s="33" t="n">
        <v>0</v>
      </c>
      <c r="G17" s="1" t="n"/>
      <c r="H17" s="1" t="n"/>
      <c r="I17" s="1" t="n"/>
      <c r="U17" s="60">
        <f>SchoolTourTime!B25</f>
        <v/>
      </c>
      <c r="V17" s="60">
        <f>SchoolTourTime!C25</f>
        <v/>
      </c>
      <c r="W17" s="60">
        <f>VLOOKUP(U17,SchoolTourTime!$B$11:$E$72,4,FALSE)</f>
        <v/>
      </c>
      <c r="X17" s="61">
        <f>_xlfn.IFNA(VLOOKUP(U17,$L$3:$N$29,3,FALSE),W17)</f>
        <v/>
      </c>
      <c r="AA17" s="60">
        <f>WorkBasedSubtourTime!B25</f>
        <v/>
      </c>
      <c r="AB17" s="60">
        <f>WorkBasedSubtourTime!C25</f>
        <v/>
      </c>
      <c r="AC17" s="60">
        <f>VLOOKUP(AA17,WorkBasedSubtourTime!$B$11:$E$60,4,FALSE)</f>
        <v/>
      </c>
      <c r="AD17" s="61">
        <f>_xlfn.IFNA(VLOOKUP(AA17,$L$35:$N$61,3,FALSE),AC17)</f>
        <v/>
      </c>
    </row>
    <row r="18" ht="15.75" customHeight="1" s="71" thickBot="1">
      <c r="B18" s="7" t="n"/>
      <c r="C18" s="70" t="inlineStr">
        <is>
          <t>Count</t>
        </is>
      </c>
      <c r="E18" s="70" t="inlineStr">
        <is>
          <t>Share</t>
        </is>
      </c>
      <c r="G18" s="7" t="n"/>
      <c r="H18" s="7" t="n"/>
      <c r="I18" s="7" t="n"/>
      <c r="L18" s="1" t="n"/>
      <c r="M18" s="1" t="n"/>
      <c r="N18" s="1" t="n"/>
      <c r="U18" s="60">
        <f>SchoolTourTime!B26</f>
        <v/>
      </c>
      <c r="V18" s="60">
        <f>SchoolTourTime!C26</f>
        <v/>
      </c>
      <c r="W18" s="60">
        <f>VLOOKUP(U18,SchoolTourTime!$B$11:$E$72,4,FALSE)</f>
        <v/>
      </c>
      <c r="X18" s="61">
        <f>_xlfn.IFNA(VLOOKUP(U18,$L$3:$N$29,3,FALSE),W18)</f>
        <v/>
      </c>
      <c r="AA18" s="60">
        <f>WorkBasedSubtourTime!B26</f>
        <v/>
      </c>
      <c r="AB18" s="60">
        <f>WorkBasedSubtourTime!C26</f>
        <v/>
      </c>
      <c r="AC18" s="60">
        <f>VLOOKUP(AA18,WorkBasedSubtourTime!$B$11:$E$60,4,FALSE)</f>
        <v/>
      </c>
      <c r="AD18" s="61">
        <f>_xlfn.IFNA(VLOOKUP(AA18,$L$35:$N$61,3,FALSE),AC18)</f>
        <v/>
      </c>
    </row>
    <row r="19">
      <c r="B19" s="27" t="inlineStr">
        <is>
          <t>Duration</t>
        </is>
      </c>
      <c r="C19" s="28" t="inlineStr">
        <is>
          <t>Survey</t>
        </is>
      </c>
      <c r="D19" s="28" t="inlineStr">
        <is>
          <t>DaySim</t>
        </is>
      </c>
      <c r="E19" s="28" t="inlineStr">
        <is>
          <t>Survey</t>
        </is>
      </c>
      <c r="F19" s="28" t="inlineStr">
        <is>
          <t>DaySim</t>
        </is>
      </c>
      <c r="G19" s="28" t="inlineStr">
        <is>
          <t>Ratio</t>
        </is>
      </c>
      <c r="H19" s="28" t="inlineStr">
        <is>
          <t>Damp</t>
        </is>
      </c>
      <c r="I19" s="28" t="inlineStr">
        <is>
          <t>Adjustment</t>
        </is>
      </c>
      <c r="L19" s="28" t="inlineStr">
        <is>
          <t>Index</t>
        </is>
      </c>
      <c r="M19" s="28" t="inlineStr">
        <is>
          <t>Old Coeff</t>
        </is>
      </c>
      <c r="N19" s="27" t="inlineStr">
        <is>
          <t>New Coeff</t>
        </is>
      </c>
      <c r="U19" s="60">
        <f>SchoolTourTime!B27</f>
        <v/>
      </c>
      <c r="V19" s="60">
        <f>SchoolTourTime!C27</f>
        <v/>
      </c>
      <c r="W19" s="60">
        <f>VLOOKUP(U19,SchoolTourTime!$B$11:$E$72,4,FALSE)</f>
        <v/>
      </c>
      <c r="X19" s="61">
        <f>_xlfn.IFNA(VLOOKUP(U19,$L$3:$N$29,3,FALSE),W19)</f>
        <v/>
      </c>
      <c r="AA19" s="60">
        <f>WorkBasedSubtourTime!B27</f>
        <v/>
      </c>
      <c r="AB19" s="60">
        <f>WorkBasedSubtourTime!C27</f>
        <v/>
      </c>
      <c r="AC19" s="60">
        <f>VLOOKUP(AA19,WorkBasedSubtourTime!$B$11:$E$60,4,FALSE)</f>
        <v/>
      </c>
      <c r="AD19" s="61">
        <f>_xlfn.IFNA(VLOOKUP(AA19,$L$35:$N$61,3,FALSE),AC19)</f>
        <v/>
      </c>
    </row>
    <row r="20">
      <c r="B20" t="inlineStr">
        <is>
          <t>0-3 hrs</t>
        </is>
      </c>
      <c r="C20" s="24">
        <f>SUM(Duration!C8:C13)</f>
        <v/>
      </c>
      <c r="D20" s="24">
        <f>SUM(Duration!O7:O12)</f>
        <v/>
      </c>
      <c r="E20" s="25">
        <f>C20/C$30</f>
        <v/>
      </c>
      <c r="F20" s="25">
        <f>D20/D$30</f>
        <v/>
      </c>
      <c r="G20" s="5">
        <f>E20/F20</f>
        <v/>
      </c>
      <c r="H20" s="5">
        <f>$F$1</f>
        <v/>
      </c>
      <c r="I20" s="57">
        <f>H20*(LN(G20)-LN($G$23))</f>
        <v/>
      </c>
      <c r="L20" t="n">
        <v>31</v>
      </c>
      <c r="M20" s="56">
        <f>VLOOKUP(L20,$U$3:$X$64,3,FALSE)</f>
        <v/>
      </c>
      <c r="N20" s="26">
        <f>I20+M20</f>
        <v/>
      </c>
      <c r="U20" s="60">
        <f>SchoolTourTime!B28</f>
        <v/>
      </c>
      <c r="V20" s="60">
        <f>SchoolTourTime!C28</f>
        <v/>
      </c>
      <c r="W20" s="60">
        <f>VLOOKUP(U20,SchoolTourTime!$B$11:$E$72,4,FALSE)</f>
        <v/>
      </c>
      <c r="X20" s="61">
        <f>_xlfn.IFNA(VLOOKUP(U20,$L$3:$N$29,3,FALSE),W20)</f>
        <v/>
      </c>
      <c r="AA20" s="60">
        <f>WorkBasedSubtourTime!B28</f>
        <v/>
      </c>
      <c r="AB20" s="60">
        <f>WorkBasedSubtourTime!C28</f>
        <v/>
      </c>
      <c r="AC20" s="60">
        <f>VLOOKUP(AA20,WorkBasedSubtourTime!$B$11:$E$60,4,FALSE)</f>
        <v/>
      </c>
      <c r="AD20" s="61">
        <f>_xlfn.IFNA(VLOOKUP(AA20,$L$35:$N$61,3,FALSE),AC20)</f>
        <v/>
      </c>
    </row>
    <row r="21">
      <c r="B21" t="inlineStr">
        <is>
          <t>3-5 hrs</t>
        </is>
      </c>
      <c r="C21" s="24">
        <f>SUM(Duration!C14:C17)</f>
        <v/>
      </c>
      <c r="D21" s="24">
        <f>SUM(Duration!O13:O16)</f>
        <v/>
      </c>
      <c r="E21" s="25">
        <f>C21/C$30</f>
        <v/>
      </c>
      <c r="F21" s="25">
        <f>D21/D$30</f>
        <v/>
      </c>
      <c r="G21" s="5">
        <f>E21/F21</f>
        <v/>
      </c>
      <c r="H21" s="5">
        <f>$F$1</f>
        <v/>
      </c>
      <c r="I21" s="26">
        <f>H21*(LN(G21)-LN($G$23))</f>
        <v/>
      </c>
      <c r="L21" t="n">
        <v>32</v>
      </c>
      <c r="M21">
        <f>VLOOKUP(L21,$U$3:$X$64,3,FALSE)</f>
        <v/>
      </c>
      <c r="N21" s="26">
        <f>I21+M21</f>
        <v/>
      </c>
      <c r="U21" s="60">
        <f>SchoolTourTime!B29</f>
        <v/>
      </c>
      <c r="V21" s="60">
        <f>SchoolTourTime!C29</f>
        <v/>
      </c>
      <c r="W21" s="60">
        <f>VLOOKUP(U21,SchoolTourTime!$B$11:$E$72,4,FALSE)</f>
        <v/>
      </c>
      <c r="X21" s="61">
        <f>_xlfn.IFNA(VLOOKUP(U21,$L$3:$N$29,3,FALSE),W21)</f>
        <v/>
      </c>
      <c r="AA21" s="60">
        <f>WorkBasedSubtourTime!B29</f>
        <v/>
      </c>
      <c r="AB21" s="60">
        <f>WorkBasedSubtourTime!C29</f>
        <v/>
      </c>
      <c r="AC21" s="60">
        <f>VLOOKUP(AA21,WorkBasedSubtourTime!$B$11:$E$60,4,FALSE)</f>
        <v/>
      </c>
      <c r="AD21" s="61">
        <f>_xlfn.IFNA(VLOOKUP(AA21,$L$35:$N$61,3,FALSE),AC21)</f>
        <v/>
      </c>
    </row>
    <row r="22">
      <c r="B22" t="inlineStr">
        <is>
          <t>5-7 hrs</t>
        </is>
      </c>
      <c r="C22" s="24">
        <f>SUM(Duration!C18:C21)</f>
        <v/>
      </c>
      <c r="D22" s="24">
        <f>SUM(Duration!O17:O20)</f>
        <v/>
      </c>
      <c r="E22" s="25">
        <f>C22/C$30</f>
        <v/>
      </c>
      <c r="F22" s="25">
        <f>D22/D$30</f>
        <v/>
      </c>
      <c r="G22" s="5">
        <f>E22/F22</f>
        <v/>
      </c>
      <c r="H22" s="5">
        <f>$F$1</f>
        <v/>
      </c>
      <c r="I22" s="26">
        <f>H22*(LN(G22)-LN($G$23))</f>
        <v/>
      </c>
      <c r="L22" t="n">
        <v>33</v>
      </c>
      <c r="M22">
        <f>VLOOKUP(L22,$U$3:$X$64,3,FALSE)</f>
        <v/>
      </c>
      <c r="N22" s="26">
        <f>I22+M22</f>
        <v/>
      </c>
      <c r="U22" s="60">
        <f>SchoolTourTime!B30</f>
        <v/>
      </c>
      <c r="V22" s="60">
        <f>SchoolTourTime!C30</f>
        <v/>
      </c>
      <c r="W22" s="60">
        <f>VLOOKUP(U22,SchoolTourTime!$B$11:$E$72,4,FALSE)</f>
        <v/>
      </c>
      <c r="X22" s="61">
        <f>_xlfn.IFNA(VLOOKUP(U22,$L$3:$N$29,3,FALSE),W22)</f>
        <v/>
      </c>
      <c r="AA22" s="60">
        <f>WorkBasedSubtourTime!B30</f>
        <v/>
      </c>
      <c r="AB22" s="60">
        <f>WorkBasedSubtourTime!C30</f>
        <v/>
      </c>
      <c r="AC22" s="60">
        <f>VLOOKUP(AA22,WorkBasedSubtourTime!$B$11:$E$60,4,FALSE)</f>
        <v/>
      </c>
      <c r="AD22" s="61">
        <f>_xlfn.IFNA(VLOOKUP(AA22,$L$35:$N$61,3,FALSE),AC22)</f>
        <v/>
      </c>
    </row>
    <row r="23">
      <c r="B23" t="inlineStr">
        <is>
          <t>7-9 hrs</t>
        </is>
      </c>
      <c r="C23" s="24">
        <f>SUM(Duration!C22:C25)</f>
        <v/>
      </c>
      <c r="D23" s="24">
        <f>SUM(Duration!O21:O24)</f>
        <v/>
      </c>
      <c r="E23" s="25">
        <f>C23/C$30</f>
        <v/>
      </c>
      <c r="F23" s="25">
        <f>D23/D$30</f>
        <v/>
      </c>
      <c r="G23" s="5">
        <f>E23/F23</f>
        <v/>
      </c>
      <c r="H23" s="5">
        <f>$F$1</f>
        <v/>
      </c>
      <c r="I23" s="26">
        <f>H23*(LN(G23)-LN($G$23))</f>
        <v/>
      </c>
      <c r="L23" t="n">
        <v>34</v>
      </c>
      <c r="M23">
        <f>VLOOKUP(L23,$U$3:$X$64,3,FALSE)</f>
        <v/>
      </c>
      <c r="N23" s="26">
        <f>I23+M23</f>
        <v/>
      </c>
      <c r="U23" s="60">
        <f>SchoolTourTime!B31</f>
        <v/>
      </c>
      <c r="V23" s="60">
        <f>SchoolTourTime!C31</f>
        <v/>
      </c>
      <c r="W23" s="60">
        <f>VLOOKUP(U23,SchoolTourTime!$B$11:$E$72,4,FALSE)</f>
        <v/>
      </c>
      <c r="X23" s="61">
        <f>_xlfn.IFNA(VLOOKUP(U23,$L$3:$N$29,3,FALSE),W23)</f>
        <v/>
      </c>
      <c r="AA23" s="60">
        <f>WorkBasedSubtourTime!B31</f>
        <v/>
      </c>
      <c r="AB23" s="60">
        <f>WorkBasedSubtourTime!C31</f>
        <v/>
      </c>
      <c r="AC23" s="60">
        <f>VLOOKUP(AA23,WorkBasedSubtourTime!$B$11:$E$60,4,FALSE)</f>
        <v/>
      </c>
      <c r="AD23" s="61">
        <f>_xlfn.IFNA(VLOOKUP(AA23,$L$35:$N$61,3,FALSE),AC23)</f>
        <v/>
      </c>
    </row>
    <row r="24">
      <c r="B24" t="inlineStr">
        <is>
          <t>9-10 hrs</t>
        </is>
      </c>
      <c r="C24" s="24">
        <f>SUM(Duration!C26:C27)</f>
        <v/>
      </c>
      <c r="D24" s="24">
        <f>SUM(Duration!O25:O26)</f>
        <v/>
      </c>
      <c r="E24" s="25">
        <f>C24/C$30</f>
        <v/>
      </c>
      <c r="F24" s="25">
        <f>D24/D$30</f>
        <v/>
      </c>
      <c r="G24" s="5">
        <f>E24/F24</f>
        <v/>
      </c>
      <c r="H24" s="5">
        <f>$F$1</f>
        <v/>
      </c>
      <c r="I24" s="26">
        <f>H24*(LN(G24)-LN($G$23))</f>
        <v/>
      </c>
      <c r="L24" t="n">
        <v>35</v>
      </c>
      <c r="M24">
        <f>VLOOKUP(L24,$U$3:$X$64,3,FALSE)</f>
        <v/>
      </c>
      <c r="N24" s="26">
        <f>I24+M24</f>
        <v/>
      </c>
      <c r="U24" s="60">
        <f>SchoolTourTime!B32</f>
        <v/>
      </c>
      <c r="V24" s="60">
        <f>SchoolTourTime!C32</f>
        <v/>
      </c>
      <c r="W24" s="60">
        <f>VLOOKUP(U24,SchoolTourTime!$B$11:$E$72,4,FALSE)</f>
        <v/>
      </c>
      <c r="X24" s="61">
        <f>_xlfn.IFNA(VLOOKUP(U24,$L$3:$N$29,3,FALSE),W24)</f>
        <v/>
      </c>
      <c r="AA24" s="60">
        <f>WorkBasedSubtourTime!B32</f>
        <v/>
      </c>
      <c r="AB24" s="60">
        <f>WorkBasedSubtourTime!C32</f>
        <v/>
      </c>
      <c r="AC24" s="60">
        <f>VLOOKUP(AA24,WorkBasedSubtourTime!$B$11:$E$60,4,FALSE)</f>
        <v/>
      </c>
      <c r="AD24" s="61">
        <f>_xlfn.IFNA(VLOOKUP(AA24,$L$35:$N$61,3,FALSE),AC24)</f>
        <v/>
      </c>
    </row>
    <row r="25">
      <c r="B25" t="inlineStr">
        <is>
          <t>10-11 hrs</t>
        </is>
      </c>
      <c r="C25" s="24">
        <f>SUM(Duration!C28:C29)</f>
        <v/>
      </c>
      <c r="D25" s="24">
        <f>SUM(Duration!O27:O28)</f>
        <v/>
      </c>
      <c r="E25" s="25">
        <f>C25/C$30</f>
        <v/>
      </c>
      <c r="F25" s="25">
        <f>D25/D$30</f>
        <v/>
      </c>
      <c r="G25" s="5">
        <f>E25/F25</f>
        <v/>
      </c>
      <c r="H25" s="5">
        <f>$F$1</f>
        <v/>
      </c>
      <c r="I25" s="26">
        <f>H25*(LN(G25)-LN($G$23))</f>
        <v/>
      </c>
      <c r="L25" t="n">
        <v>36</v>
      </c>
      <c r="M25">
        <f>VLOOKUP(L25,$U$3:$X$64,3,FALSE)</f>
        <v/>
      </c>
      <c r="N25" s="26">
        <f>I25+M25</f>
        <v/>
      </c>
      <c r="U25" s="60">
        <f>SchoolTourTime!B33</f>
        <v/>
      </c>
      <c r="V25" s="60">
        <f>SchoolTourTime!C33</f>
        <v/>
      </c>
      <c r="W25" s="60">
        <f>VLOOKUP(U25,SchoolTourTime!$B$11:$E$72,4,FALSE)</f>
        <v/>
      </c>
      <c r="X25" s="61">
        <f>_xlfn.IFNA(VLOOKUP(U25,$L$3:$N$29,3,FALSE),W25)</f>
        <v/>
      </c>
      <c r="AA25" s="60">
        <f>WorkBasedSubtourTime!B33</f>
        <v/>
      </c>
      <c r="AB25" s="60">
        <f>WorkBasedSubtourTime!C33</f>
        <v/>
      </c>
      <c r="AC25" s="60">
        <f>VLOOKUP(AA25,WorkBasedSubtourTime!$B$11:$E$60,4,FALSE)</f>
        <v/>
      </c>
      <c r="AD25" s="61">
        <f>_xlfn.IFNA(VLOOKUP(AA25,$L$35:$N$61,3,FALSE),AC25)</f>
        <v/>
      </c>
    </row>
    <row r="26">
      <c r="B26" t="inlineStr">
        <is>
          <t>11-12 hrs</t>
        </is>
      </c>
      <c r="C26" s="24">
        <f>SUM(Duration!C30:C31)</f>
        <v/>
      </c>
      <c r="D26" s="24">
        <f>SUM(Duration!O29:O30)</f>
        <v/>
      </c>
      <c r="E26" s="25">
        <f>C26/C$30</f>
        <v/>
      </c>
      <c r="F26" s="25">
        <f>D26/D$30</f>
        <v/>
      </c>
      <c r="G26" s="5">
        <f>E26/F26</f>
        <v/>
      </c>
      <c r="H26" s="5">
        <f>$F$1</f>
        <v/>
      </c>
      <c r="I26" s="26">
        <f>H26*(LN(G26)-LN($G$23))</f>
        <v/>
      </c>
      <c r="L26" t="n">
        <v>37</v>
      </c>
      <c r="M26">
        <f>VLOOKUP(L26,$U$3:$X$64,3,FALSE)</f>
        <v/>
      </c>
      <c r="N26" s="26">
        <f>I26+M26</f>
        <v/>
      </c>
      <c r="U26" s="60">
        <f>SchoolTourTime!B34</f>
        <v/>
      </c>
      <c r="V26" s="60">
        <f>SchoolTourTime!C34</f>
        <v/>
      </c>
      <c r="W26" s="60">
        <f>VLOOKUP(U26,SchoolTourTime!$B$11:$E$72,4,FALSE)</f>
        <v/>
      </c>
      <c r="X26" s="61">
        <f>_xlfn.IFNA(VLOOKUP(U26,$L$3:$N$29,3,FALSE),W26)</f>
        <v/>
      </c>
      <c r="AA26" s="60">
        <f>WorkBasedSubtourTime!B34</f>
        <v/>
      </c>
      <c r="AB26" s="60">
        <f>WorkBasedSubtourTime!C34</f>
        <v/>
      </c>
      <c r="AC26" s="60">
        <f>VLOOKUP(AA26,WorkBasedSubtourTime!$B$11:$E$60,4,FALSE)</f>
        <v/>
      </c>
      <c r="AD26" s="61">
        <f>_xlfn.IFNA(VLOOKUP(AA26,$L$35:$N$61,3,FALSE),AC26)</f>
        <v/>
      </c>
    </row>
    <row r="27">
      <c r="B27" t="inlineStr">
        <is>
          <t>12-14 hrs</t>
        </is>
      </c>
      <c r="C27" s="24">
        <f>SUM(Duration!C32:C35)</f>
        <v/>
      </c>
      <c r="D27" s="24">
        <f>SUM(Duration!O31:O34)</f>
        <v/>
      </c>
      <c r="E27" s="25">
        <f>C27/C$30</f>
        <v/>
      </c>
      <c r="F27" s="25">
        <f>D27/D$30</f>
        <v/>
      </c>
      <c r="G27" s="5">
        <f>E27/F27</f>
        <v/>
      </c>
      <c r="H27" s="5">
        <f>$F$1</f>
        <v/>
      </c>
      <c r="I27" s="26">
        <f>H27*(LN(G27)-LN($G$23))</f>
        <v/>
      </c>
      <c r="L27" t="n">
        <v>38</v>
      </c>
      <c r="M27">
        <f>VLOOKUP(L27,$U$3:$X$64,3,FALSE)</f>
        <v/>
      </c>
      <c r="N27" s="26">
        <f>I27+M27</f>
        <v/>
      </c>
      <c r="U27" s="60">
        <f>SchoolTourTime!B35</f>
        <v/>
      </c>
      <c r="V27" s="60">
        <f>SchoolTourTime!C35</f>
        <v/>
      </c>
      <c r="W27" s="60">
        <f>VLOOKUP(U27,SchoolTourTime!$B$11:$E$72,4,FALSE)</f>
        <v/>
      </c>
      <c r="X27" s="61">
        <f>_xlfn.IFNA(VLOOKUP(U27,$L$3:$N$29,3,FALSE),W27)</f>
        <v/>
      </c>
      <c r="AA27" s="60">
        <f>WorkBasedSubtourTime!B35</f>
        <v/>
      </c>
      <c r="AB27" s="60">
        <f>WorkBasedSubtourTime!C35</f>
        <v/>
      </c>
      <c r="AC27" s="60">
        <f>VLOOKUP(AA27,WorkBasedSubtourTime!$B$11:$E$60,4,FALSE)</f>
        <v/>
      </c>
      <c r="AD27" s="61">
        <f>_xlfn.IFNA(VLOOKUP(AA27,$L$35:$N$61,3,FALSE),AC27)</f>
        <v/>
      </c>
    </row>
    <row r="28">
      <c r="B28" t="inlineStr">
        <is>
          <t>14-18 hrs</t>
        </is>
      </c>
      <c r="C28" s="24">
        <f>SUM(Duration!C36:C43)</f>
        <v/>
      </c>
      <c r="D28" s="24">
        <f>SUM(Duration!O35:O42)</f>
        <v/>
      </c>
      <c r="E28" s="25">
        <f>C28/C$30</f>
        <v/>
      </c>
      <c r="F28" s="25">
        <f>D28/D$30</f>
        <v/>
      </c>
      <c r="G28" s="5">
        <f>E28/F28</f>
        <v/>
      </c>
      <c r="H28" s="5">
        <f>$F$1</f>
        <v/>
      </c>
      <c r="I28" s="26">
        <f>H28*(LN(G28)-LN($G$23))</f>
        <v/>
      </c>
      <c r="L28" t="n">
        <v>39</v>
      </c>
      <c r="M28">
        <f>VLOOKUP(L28,$U$3:$X$64,3,FALSE)</f>
        <v/>
      </c>
      <c r="N28" s="26">
        <f>I28+M28</f>
        <v/>
      </c>
      <c r="U28" s="60">
        <f>SchoolTourTime!B36</f>
        <v/>
      </c>
      <c r="V28" s="60">
        <f>SchoolTourTime!C36</f>
        <v/>
      </c>
      <c r="W28" s="60">
        <f>VLOOKUP(U28,SchoolTourTime!$B$11:$E$72,4,FALSE)</f>
        <v/>
      </c>
      <c r="X28" s="61">
        <f>_xlfn.IFNA(VLOOKUP(U28,$L$3:$N$29,3,FALSE),W28)</f>
        <v/>
      </c>
      <c r="AA28" s="60">
        <f>WorkBasedSubtourTime!B36</f>
        <v/>
      </c>
      <c r="AB28" s="60">
        <f>WorkBasedSubtourTime!C36</f>
        <v/>
      </c>
      <c r="AC28" s="60">
        <f>VLOOKUP(AA28,WorkBasedSubtourTime!$B$11:$E$60,4,FALSE)</f>
        <v/>
      </c>
      <c r="AD28" s="61">
        <f>_xlfn.IFNA(VLOOKUP(AA28,$L$35:$N$61,3,FALSE),AC28)</f>
        <v/>
      </c>
    </row>
    <row r="29">
      <c r="B29" s="19" t="inlineStr">
        <is>
          <t>18-24 hrs</t>
        </is>
      </c>
      <c r="C29" s="29">
        <f>SUM(Duration!C44:C55)</f>
        <v/>
      </c>
      <c r="D29" s="29">
        <f>SUM(Duration!O43:O54)</f>
        <v/>
      </c>
      <c r="E29" s="30">
        <f>C29/C$30</f>
        <v/>
      </c>
      <c r="F29" s="30">
        <f>D29/D$30</f>
        <v/>
      </c>
      <c r="G29" s="18">
        <f>E29/F29</f>
        <v/>
      </c>
      <c r="H29" s="18" t="n">
        <v>0</v>
      </c>
      <c r="I29" s="31">
        <f>H29*(LN(G29)-LN($G$23))</f>
        <v/>
      </c>
      <c r="L29" s="19" t="n">
        <v>40</v>
      </c>
      <c r="M29" s="19">
        <f>VLOOKUP(L29,$U$3:$X$64,3,FALSE)</f>
        <v/>
      </c>
      <c r="N29" s="31">
        <f>I29+M29</f>
        <v/>
      </c>
      <c r="U29" s="60">
        <f>SchoolTourTime!B37</f>
        <v/>
      </c>
      <c r="V29" s="60">
        <f>SchoolTourTime!C37</f>
        <v/>
      </c>
      <c r="W29" s="60">
        <f>VLOOKUP(U29,SchoolTourTime!$B$11:$E$72,4,FALSE)</f>
        <v/>
      </c>
      <c r="X29" s="61">
        <f>_xlfn.IFNA(VLOOKUP(U29,$L$3:$N$29,3,FALSE),W29)</f>
        <v/>
      </c>
      <c r="AA29" s="60">
        <f>WorkBasedSubtourTime!B37</f>
        <v/>
      </c>
      <c r="AB29" s="60">
        <f>WorkBasedSubtourTime!C37</f>
        <v/>
      </c>
      <c r="AC29" s="60">
        <f>VLOOKUP(AA29,WorkBasedSubtourTime!$B$11:$E$60,4,FALSE)</f>
        <v/>
      </c>
      <c r="AD29" s="61">
        <f>_xlfn.IFNA(VLOOKUP(AA29,$L$35:$N$61,3,FALSE),AC29)</f>
        <v/>
      </c>
    </row>
    <row r="30" ht="15.75" customHeight="1" s="71" thickBot="1">
      <c r="B30" s="3" t="inlineStr">
        <is>
          <t>TOTAL</t>
        </is>
      </c>
      <c r="C30" s="39">
        <f>SUM(C20:C29)</f>
        <v/>
      </c>
      <c r="D30" s="39">
        <f>SUM(D20:D29)</f>
        <v/>
      </c>
      <c r="E30" s="40">
        <f>C30/C$30</f>
        <v/>
      </c>
      <c r="F30" s="40">
        <f>D30/D$30</f>
        <v/>
      </c>
      <c r="G30" s="41">
        <f>E30/F30</f>
        <v/>
      </c>
      <c r="H30" s="41" t="n"/>
      <c r="I30" s="1" t="n"/>
      <c r="U30" s="60">
        <f>SchoolTourTime!B38</f>
        <v/>
      </c>
      <c r="V30" s="60">
        <f>SchoolTourTime!C38</f>
        <v/>
      </c>
      <c r="W30" s="60">
        <f>VLOOKUP(U30,SchoolTourTime!$B$11:$E$72,4,FALSE)</f>
        <v/>
      </c>
      <c r="X30" s="61">
        <f>_xlfn.IFNA(VLOOKUP(U30,$L$3:$N$29,3,FALSE),W30)</f>
        <v/>
      </c>
      <c r="AA30" s="60">
        <f>WorkBasedSubtourTime!B38</f>
        <v/>
      </c>
      <c r="AB30" s="60">
        <f>WorkBasedSubtourTime!C38</f>
        <v/>
      </c>
      <c r="AC30" s="60">
        <f>VLOOKUP(AA30,WorkBasedSubtourTime!$B$11:$E$60,4,FALSE)</f>
        <v/>
      </c>
      <c r="AD30" s="61">
        <f>_xlfn.IFNA(VLOOKUP(AA30,$L$35:$N$61,3,FALSE),AC30)</f>
        <v/>
      </c>
    </row>
    <row r="31">
      <c r="U31" s="60">
        <f>SchoolTourTime!B39</f>
        <v/>
      </c>
      <c r="V31" s="60">
        <f>SchoolTourTime!C39</f>
        <v/>
      </c>
      <c r="W31" s="60">
        <f>VLOOKUP(U31,SchoolTourTime!$B$11:$E$72,4,FALSE)</f>
        <v/>
      </c>
      <c r="X31" s="61">
        <f>_xlfn.IFNA(VLOOKUP(U31,$L$3:$N$29,3,FALSE),W31)</f>
        <v/>
      </c>
      <c r="AA31" s="60">
        <f>WorkBasedSubtourTime!B39</f>
        <v/>
      </c>
      <c r="AB31" s="60">
        <f>WorkBasedSubtourTime!C39</f>
        <v/>
      </c>
      <c r="AC31" s="60">
        <f>VLOOKUP(AA31,WorkBasedSubtourTime!$B$11:$E$60,4,FALSE)</f>
        <v/>
      </c>
      <c r="AD31" s="61">
        <f>_xlfn.IFNA(VLOOKUP(AA31,$L$35:$N$61,3,FALSE),AC31)</f>
        <v/>
      </c>
    </row>
    <row r="32">
      <c r="U32" s="60">
        <f>SchoolTourTime!B40</f>
        <v/>
      </c>
      <c r="V32" s="60">
        <f>SchoolTourTime!C40</f>
        <v/>
      </c>
      <c r="W32" s="60">
        <f>VLOOKUP(U32,SchoolTourTime!$B$11:$E$72,4,FALSE)</f>
        <v/>
      </c>
      <c r="X32" s="61">
        <f>_xlfn.IFNA(VLOOKUP(U32,$L$3:$N$29,3,FALSE),W32)</f>
        <v/>
      </c>
      <c r="AA32">
        <f>WorkBasedSubtourTime!B40</f>
        <v/>
      </c>
      <c r="AB32">
        <f>WorkBasedSubtourTime!C40</f>
        <v/>
      </c>
      <c r="AC32">
        <f>VLOOKUP(AA32,WorkBasedSubtourTime!$B$11:$E$60,4,FALSE)</f>
        <v/>
      </c>
      <c r="AD32" s="58">
        <f>_xlfn.IFNA(VLOOKUP(AA32,$L$35:$N$61,3,FALSE),AC32)</f>
        <v/>
      </c>
    </row>
    <row r="33" ht="15.75" customHeight="1" s="71" thickBot="1">
      <c r="B33" s="32" t="inlineStr">
        <is>
          <t>WorkBased Departure Time</t>
        </is>
      </c>
      <c r="C33" s="1" t="n"/>
      <c r="D33" s="1" t="n"/>
      <c r="E33" s="1" t="inlineStr">
        <is>
          <t>Damp</t>
        </is>
      </c>
      <c r="F33" s="33" t="n">
        <v>0.5</v>
      </c>
      <c r="G33" s="1" t="n"/>
      <c r="H33" s="1" t="n"/>
      <c r="I33" s="1" t="n"/>
      <c r="U33">
        <f>SchoolTourTime!B41</f>
        <v/>
      </c>
      <c r="V33">
        <f>SchoolTourTime!C41</f>
        <v/>
      </c>
      <c r="W33">
        <f>VLOOKUP(U33,SchoolTourTime!$B$11:$E$72,4,FALSE)</f>
        <v/>
      </c>
      <c r="X33" s="58">
        <f>_xlfn.IFNA(VLOOKUP(U33,$L$3:$N$29,3,FALSE),W33)</f>
        <v/>
      </c>
      <c r="AA33">
        <f>WorkBasedSubtourTime!B41</f>
        <v/>
      </c>
      <c r="AB33">
        <f>WorkBasedSubtourTime!C41</f>
        <v/>
      </c>
      <c r="AC33">
        <f>VLOOKUP(AA33,WorkBasedSubtourTime!$B$11:$E$60,4,FALSE)</f>
        <v/>
      </c>
      <c r="AD33" s="58">
        <f>_xlfn.IFNA(VLOOKUP(AA33,$L$35:$N$61,3,FALSE),AC33)</f>
        <v/>
      </c>
    </row>
    <row r="34" ht="15.75" customHeight="1" s="71" thickBot="1">
      <c r="C34" s="70" t="inlineStr">
        <is>
          <t>Count</t>
        </is>
      </c>
      <c r="E34" s="70" t="inlineStr">
        <is>
          <t>Share</t>
        </is>
      </c>
      <c r="G34" s="7" t="n"/>
      <c r="H34" s="7" t="n"/>
      <c r="I34" s="7" t="n"/>
      <c r="L34" s="1" t="n"/>
      <c r="M34" s="1" t="n"/>
      <c r="N34" s="1" t="n"/>
      <c r="U34">
        <f>SchoolTourTime!B42</f>
        <v/>
      </c>
      <c r="V34">
        <f>SchoolTourTime!C42</f>
        <v/>
      </c>
      <c r="W34">
        <f>VLOOKUP(U34,SchoolTourTime!$B$11:$E$72,4,FALSE)</f>
        <v/>
      </c>
      <c r="X34" s="58">
        <f>_xlfn.IFNA(VLOOKUP(U34,$L$3:$N$29,3,FALSE),W34)</f>
        <v/>
      </c>
      <c r="AA34">
        <f>WorkBasedSubtourTime!B42</f>
        <v/>
      </c>
      <c r="AB34">
        <f>WorkBasedSubtourTime!C42</f>
        <v/>
      </c>
      <c r="AC34">
        <f>VLOOKUP(AA34,WorkBasedSubtourTime!$B$11:$E$60,4,FALSE)</f>
        <v/>
      </c>
      <c r="AD34" s="58">
        <f>_xlfn.IFNA(VLOOKUP(AA34,$L$35:$N$61,3,FALSE),AC34)</f>
        <v/>
      </c>
    </row>
    <row r="35">
      <c r="B35" s="27" t="inlineStr">
        <is>
          <t>Depart</t>
        </is>
      </c>
      <c r="C35" s="28" t="inlineStr">
        <is>
          <t>Survey</t>
        </is>
      </c>
      <c r="D35" s="28" t="inlineStr">
        <is>
          <t>DaySim</t>
        </is>
      </c>
      <c r="E35" s="28" t="inlineStr">
        <is>
          <t>Survey</t>
        </is>
      </c>
      <c r="F35" s="28" t="inlineStr">
        <is>
          <t>DaySim</t>
        </is>
      </c>
      <c r="G35" s="28" t="inlineStr">
        <is>
          <t>Ratio</t>
        </is>
      </c>
      <c r="H35" s="28" t="inlineStr">
        <is>
          <t>Damp</t>
        </is>
      </c>
      <c r="I35" s="28" t="inlineStr">
        <is>
          <t>Adjustment</t>
        </is>
      </c>
      <c r="L35" s="28" t="inlineStr">
        <is>
          <t>Index</t>
        </is>
      </c>
      <c r="M35" s="28" t="inlineStr">
        <is>
          <t>Old Coeff</t>
        </is>
      </c>
      <c r="N35" s="27" t="inlineStr">
        <is>
          <t>New Coeff</t>
        </is>
      </c>
      <c r="U35">
        <f>SchoolTourTime!B43</f>
        <v/>
      </c>
      <c r="V35">
        <f>SchoolTourTime!C43</f>
        <v/>
      </c>
      <c r="W35">
        <f>VLOOKUP(U35,SchoolTourTime!$B$11:$E$72,4,FALSE)</f>
        <v/>
      </c>
      <c r="X35" s="58">
        <f>_xlfn.IFNA(VLOOKUP(U35,$L$3:$N$29,3,FALSE),W35)</f>
        <v/>
      </c>
      <c r="AA35">
        <f>WorkBasedSubtourTime!B43</f>
        <v/>
      </c>
      <c r="AB35">
        <f>WorkBasedSubtourTime!C43</f>
        <v/>
      </c>
      <c r="AC35">
        <f>VLOOKUP(AA35,WorkBasedSubtourTime!$B$11:$E$60,4,FALSE)</f>
        <v/>
      </c>
      <c r="AD35" s="58">
        <f>_xlfn.IFNA(VLOOKUP(AA35,$L$35:$N$61,3,FALSE),AC35)</f>
        <v/>
      </c>
    </row>
    <row r="36">
      <c r="B36" t="inlineStr">
        <is>
          <t>3-7 am</t>
        </is>
      </c>
      <c r="C36" s="24">
        <f>SUM(Departure_Time!E9:E16)</f>
        <v/>
      </c>
      <c r="D36" s="24">
        <f>SUM(Departure_Time!Q9:Q16)</f>
        <v/>
      </c>
      <c r="E36" s="25">
        <f>C36/C$46</f>
        <v/>
      </c>
      <c r="F36" s="25">
        <f>D36/D$46</f>
        <v/>
      </c>
      <c r="G36" s="5">
        <f>E36/F36</f>
        <v/>
      </c>
      <c r="H36" s="5" t="n">
        <v>0</v>
      </c>
      <c r="I36" s="57">
        <f>H36*(LN(G36)-LN($G$40))</f>
        <v/>
      </c>
      <c r="L36" t="n">
        <v>21</v>
      </c>
      <c r="M36" s="56">
        <f>VLOOKUP(L36,$AA$3:$AD$64,3,FALSE)</f>
        <v/>
      </c>
      <c r="N36" s="26">
        <f>I36+M36</f>
        <v/>
      </c>
      <c r="U36">
        <f>SchoolTourTime!B44</f>
        <v/>
      </c>
      <c r="V36">
        <f>SchoolTourTime!C44</f>
        <v/>
      </c>
      <c r="W36">
        <f>VLOOKUP(U36,SchoolTourTime!$B$11:$E$72,4,FALSE)</f>
        <v/>
      </c>
      <c r="X36" s="58">
        <f>_xlfn.IFNA(VLOOKUP(U36,$L$3:$N$29,3,FALSE),W36)</f>
        <v/>
      </c>
      <c r="AA36">
        <f>WorkBasedSubtourTime!B44</f>
        <v/>
      </c>
      <c r="AB36">
        <f>WorkBasedSubtourTime!C44</f>
        <v/>
      </c>
      <c r="AC36">
        <f>VLOOKUP(AA36,WorkBasedSubtourTime!$B$11:$E$60,4,FALSE)</f>
        <v/>
      </c>
      <c r="AD36" s="58">
        <f>_xlfn.IFNA(VLOOKUP(AA36,$L$35:$N$61,3,FALSE),AC36)</f>
        <v/>
      </c>
    </row>
    <row r="37">
      <c r="B37" t="inlineStr">
        <is>
          <t>7-10 am</t>
        </is>
      </c>
      <c r="C37" s="24">
        <f>SUM(Departure_Time!E17:E22)</f>
        <v/>
      </c>
      <c r="D37" s="24">
        <f>SUM(Departure_Time!Q17:Q22)</f>
        <v/>
      </c>
      <c r="E37" s="25">
        <f>C37/C$46</f>
        <v/>
      </c>
      <c r="F37" s="25">
        <f>D37/D$46</f>
        <v/>
      </c>
      <c r="G37" s="5">
        <f>E37/F37</f>
        <v/>
      </c>
      <c r="H37" s="5">
        <f>$F$33</f>
        <v/>
      </c>
      <c r="I37" s="26">
        <f>H37*(LN(G37)-LN($G$40))</f>
        <v/>
      </c>
      <c r="L37" t="n">
        <v>22</v>
      </c>
      <c r="M37">
        <f>VLOOKUP(L37,$AA$3:$AD$64,3,FALSE)</f>
        <v/>
      </c>
      <c r="N37" s="26">
        <f>I37+M37</f>
        <v/>
      </c>
      <c r="U37">
        <f>SchoolTourTime!B45</f>
        <v/>
      </c>
      <c r="V37">
        <f>SchoolTourTime!C45</f>
        <v/>
      </c>
      <c r="W37">
        <f>VLOOKUP(U37,SchoolTourTime!$B$11:$E$72,4,FALSE)</f>
        <v/>
      </c>
      <c r="X37" s="58">
        <f>_xlfn.IFNA(VLOOKUP(U37,$L$3:$N$29,3,FALSE),W37)</f>
        <v/>
      </c>
      <c r="AA37">
        <f>WorkBasedSubtourTime!B45</f>
        <v/>
      </c>
      <c r="AB37">
        <f>WorkBasedSubtourTime!C45</f>
        <v/>
      </c>
      <c r="AC37">
        <f>VLOOKUP(AA37,WorkBasedSubtourTime!$B$11:$E$60,4,FALSE)</f>
        <v/>
      </c>
      <c r="AD37" s="58">
        <f>_xlfn.IFNA(VLOOKUP(AA37,$L$35:$N$61,3,FALSE),AC37)</f>
        <v/>
      </c>
    </row>
    <row r="38">
      <c r="B38" t="inlineStr">
        <is>
          <t>10 am - 1 pm</t>
        </is>
      </c>
      <c r="C38" s="24">
        <f>SUM(Departure_Time!E23:E28)</f>
        <v/>
      </c>
      <c r="D38" s="24">
        <f>SUM(Departure_Time!Q23:Q28)</f>
        <v/>
      </c>
      <c r="E38" s="25">
        <f>C38/C$46</f>
        <v/>
      </c>
      <c r="F38" s="25">
        <f>D38/D$46</f>
        <v/>
      </c>
      <c r="G38" s="5">
        <f>E38/F38</f>
        <v/>
      </c>
      <c r="H38" s="5">
        <f>$F$33</f>
        <v/>
      </c>
      <c r="I38" s="26">
        <f>H38*(LN(G38)-LN($G$40))</f>
        <v/>
      </c>
      <c r="L38" t="n">
        <v>23</v>
      </c>
      <c r="M38">
        <f>VLOOKUP(L38,$AA$3:$AD$64,3,FALSE)</f>
        <v/>
      </c>
      <c r="N38" s="26">
        <f>I38+M38</f>
        <v/>
      </c>
      <c r="U38">
        <f>SchoolTourTime!B46</f>
        <v/>
      </c>
      <c r="V38">
        <f>SchoolTourTime!C46</f>
        <v/>
      </c>
      <c r="W38">
        <f>VLOOKUP(U38,SchoolTourTime!$B$11:$E$72,4,FALSE)</f>
        <v/>
      </c>
      <c r="X38" s="58">
        <f>_xlfn.IFNA(VLOOKUP(U38,$L$3:$N$29,3,FALSE),W38)</f>
        <v/>
      </c>
      <c r="AA38">
        <f>WorkBasedSubtourTime!B46</f>
        <v/>
      </c>
      <c r="AB38">
        <f>WorkBasedSubtourTime!C46</f>
        <v/>
      </c>
      <c r="AC38">
        <f>VLOOKUP(AA38,WorkBasedSubtourTime!$B$11:$E$60,4,FALSE)</f>
        <v/>
      </c>
      <c r="AD38" s="58">
        <f>_xlfn.IFNA(VLOOKUP(AA38,$L$35:$N$61,3,FALSE),AC38)</f>
        <v/>
      </c>
    </row>
    <row r="39">
      <c r="B39" t="inlineStr">
        <is>
          <t>1-3 pm</t>
        </is>
      </c>
      <c r="C39" s="24">
        <f>SUM(Departure_Time!E29:E32)</f>
        <v/>
      </c>
      <c r="D39" s="24">
        <f>SUM(Departure_Time!Q29:Q32)</f>
        <v/>
      </c>
      <c r="E39" s="25">
        <f>C39/C$46</f>
        <v/>
      </c>
      <c r="F39" s="25">
        <f>D39/D$46</f>
        <v/>
      </c>
      <c r="G39" s="5">
        <f>E39/F39</f>
        <v/>
      </c>
      <c r="H39" s="5">
        <f>$F$33</f>
        <v/>
      </c>
      <c r="I39" s="26">
        <f>H39*(LN(G39)-LN($G$40))</f>
        <v/>
      </c>
      <c r="L39" t="n">
        <v>24</v>
      </c>
      <c r="M39">
        <f>VLOOKUP(L39,$AA$3:$AD$64,3,FALSE)</f>
        <v/>
      </c>
      <c r="N39" s="26">
        <f>I39+M39</f>
        <v/>
      </c>
      <c r="U39">
        <f>SchoolTourTime!B47</f>
        <v/>
      </c>
      <c r="V39">
        <f>SchoolTourTime!C47</f>
        <v/>
      </c>
      <c r="W39">
        <f>VLOOKUP(U39,SchoolTourTime!$B$11:$E$72,4,FALSE)</f>
        <v/>
      </c>
      <c r="X39" s="58">
        <f>_xlfn.IFNA(VLOOKUP(U39,$L$3:$N$29,3,FALSE),W39)</f>
        <v/>
      </c>
      <c r="AA39">
        <f>WorkBasedSubtourTime!B47</f>
        <v/>
      </c>
      <c r="AB39">
        <f>WorkBasedSubtourTime!C47</f>
        <v/>
      </c>
      <c r="AC39">
        <f>VLOOKUP(AA39,WorkBasedSubtourTime!$B$11:$E$60,4,FALSE)</f>
        <v/>
      </c>
      <c r="AD39" s="58">
        <f>_xlfn.IFNA(VLOOKUP(AA39,$L$35:$N$61,3,FALSE),AC39)</f>
        <v/>
      </c>
    </row>
    <row r="40">
      <c r="B40" t="inlineStr">
        <is>
          <t>3-5 pm</t>
        </is>
      </c>
      <c r="C40" s="24">
        <f>SUM(Departure_Time!E33:E36)</f>
        <v/>
      </c>
      <c r="D40" s="24">
        <f>SUM(Departure_Time!Q33:Q36)</f>
        <v/>
      </c>
      <c r="E40" s="25">
        <f>C40/C$46</f>
        <v/>
      </c>
      <c r="F40" s="25">
        <f>D40/D$46</f>
        <v/>
      </c>
      <c r="G40" s="5">
        <f>E40/F40</f>
        <v/>
      </c>
      <c r="H40" s="5">
        <f>$F$33</f>
        <v/>
      </c>
      <c r="I40" s="26">
        <f>H40*(LN(G40)-LN($G$40))</f>
        <v/>
      </c>
      <c r="L40" t="n">
        <v>25</v>
      </c>
      <c r="M40">
        <f>VLOOKUP(L40,$AA$3:$AD$64,3,FALSE)</f>
        <v/>
      </c>
      <c r="N40" s="26">
        <f>I40+M40</f>
        <v/>
      </c>
      <c r="U40">
        <f>SchoolTourTime!B48</f>
        <v/>
      </c>
      <c r="V40">
        <f>SchoolTourTime!C48</f>
        <v/>
      </c>
      <c r="W40">
        <f>VLOOKUP(U40,SchoolTourTime!$B$11:$E$72,4,FALSE)</f>
        <v/>
      </c>
      <c r="X40" s="58">
        <f>_xlfn.IFNA(VLOOKUP(U40,$L$3:$N$29,3,FALSE),W40)</f>
        <v/>
      </c>
      <c r="AA40">
        <f>WorkBasedSubtourTime!B48</f>
        <v/>
      </c>
      <c r="AB40">
        <f>WorkBasedSubtourTime!C48</f>
        <v/>
      </c>
      <c r="AC40">
        <f>VLOOKUP(AA40,WorkBasedSubtourTime!$B$11:$E$60,4,FALSE)</f>
        <v/>
      </c>
      <c r="AD40" s="58">
        <f>_xlfn.IFNA(VLOOKUP(AA40,$L$35:$N$61,3,FALSE),AC40)</f>
        <v/>
      </c>
    </row>
    <row r="41">
      <c r="B41" t="inlineStr">
        <is>
          <t>5-6 pm</t>
        </is>
      </c>
      <c r="C41" s="24">
        <f>SUM(Departure_Time!E37:E38)</f>
        <v/>
      </c>
      <c r="D41" s="24">
        <f>SUM(Departure_Time!Q37:Q38)</f>
        <v/>
      </c>
      <c r="E41" s="25">
        <f>C41/C$46</f>
        <v/>
      </c>
      <c r="F41" s="25">
        <f>D41/D$46</f>
        <v/>
      </c>
      <c r="G41" s="5">
        <f>E41/F41</f>
        <v/>
      </c>
      <c r="H41" s="5">
        <f>$F$33</f>
        <v/>
      </c>
      <c r="I41" s="26">
        <f>H41*(LN(G41)-LN($G$40))</f>
        <v/>
      </c>
      <c r="L41" t="n">
        <v>26</v>
      </c>
      <c r="M41">
        <f>VLOOKUP(L41,$AA$3:$AD$64,3,FALSE)</f>
        <v/>
      </c>
      <c r="N41" s="26">
        <f>I41+M41</f>
        <v/>
      </c>
      <c r="U41">
        <f>SchoolTourTime!B49</f>
        <v/>
      </c>
      <c r="V41">
        <f>SchoolTourTime!C49</f>
        <v/>
      </c>
      <c r="W41">
        <f>VLOOKUP(U41,SchoolTourTime!$B$11:$E$72,4,FALSE)</f>
        <v/>
      </c>
      <c r="X41" s="58">
        <f>_xlfn.IFNA(VLOOKUP(U41,$L$3:$N$29,3,FALSE),W41)</f>
        <v/>
      </c>
      <c r="AA41">
        <f>WorkBasedSubtourTime!B49</f>
        <v/>
      </c>
      <c r="AB41">
        <f>WorkBasedSubtourTime!C49</f>
        <v/>
      </c>
      <c r="AC41">
        <f>VLOOKUP(AA41,WorkBasedSubtourTime!$B$11:$E$60,4,FALSE)</f>
        <v/>
      </c>
      <c r="AD41" s="58">
        <f>_xlfn.IFNA(VLOOKUP(AA41,$L$35:$N$61,3,FALSE),AC41)</f>
        <v/>
      </c>
    </row>
    <row r="42">
      <c r="B42" t="inlineStr">
        <is>
          <t>6-7 pm</t>
        </is>
      </c>
      <c r="C42" s="24">
        <f>SUM(Departure_Time!E39:E40)</f>
        <v/>
      </c>
      <c r="D42" s="24">
        <f>SUM(Departure_Time!Q39:Q40)</f>
        <v/>
      </c>
      <c r="E42" s="25">
        <f>C42/C$46</f>
        <v/>
      </c>
      <c r="F42" s="25">
        <f>D42/D$46</f>
        <v/>
      </c>
      <c r="G42" s="5">
        <f>E42/F42</f>
        <v/>
      </c>
      <c r="H42" s="5">
        <f>$F$33</f>
        <v/>
      </c>
      <c r="I42" s="26">
        <f>H42*(LN(G42)-LN($G$40))</f>
        <v/>
      </c>
      <c r="L42" t="n">
        <v>27</v>
      </c>
      <c r="M42">
        <f>VLOOKUP(L42,$AA$3:$AD$64,3,FALSE)</f>
        <v/>
      </c>
      <c r="N42" s="26">
        <f>I42+M42</f>
        <v/>
      </c>
      <c r="U42">
        <f>SchoolTourTime!B50</f>
        <v/>
      </c>
      <c r="V42">
        <f>SchoolTourTime!C50</f>
        <v/>
      </c>
      <c r="W42">
        <f>VLOOKUP(U42,SchoolTourTime!$B$11:$E$72,4,FALSE)</f>
        <v/>
      </c>
      <c r="X42" s="58">
        <f>_xlfn.IFNA(VLOOKUP(U42,$L$3:$N$29,3,FALSE),W42)</f>
        <v/>
      </c>
      <c r="AA42">
        <f>WorkBasedSubtourTime!B50</f>
        <v/>
      </c>
      <c r="AB42">
        <f>WorkBasedSubtourTime!C50</f>
        <v/>
      </c>
      <c r="AC42">
        <f>VLOOKUP(AA42,WorkBasedSubtourTime!$B$11:$E$60,4,FALSE)</f>
        <v/>
      </c>
      <c r="AD42" s="58">
        <f>_xlfn.IFNA(VLOOKUP(AA42,$L$35:$N$61,3,FALSE),AC42)</f>
        <v/>
      </c>
    </row>
    <row r="43">
      <c r="B43" t="inlineStr">
        <is>
          <t>7-9 pm</t>
        </is>
      </c>
      <c r="C43" s="24">
        <f>SUM(Departure_Time!E41:E44)</f>
        <v/>
      </c>
      <c r="D43" s="24">
        <f>SUM(Departure_Time!Q41:Q44)</f>
        <v/>
      </c>
      <c r="E43" s="25">
        <f>C43/C$46</f>
        <v/>
      </c>
      <c r="F43" s="25">
        <f>D43/D$46</f>
        <v/>
      </c>
      <c r="G43" s="5">
        <f>E43/F43</f>
        <v/>
      </c>
      <c r="H43" s="5">
        <f>$F$33</f>
        <v/>
      </c>
      <c r="I43" s="26">
        <f>H43*(LN(G43)-LN($G$40))</f>
        <v/>
      </c>
      <c r="L43" t="n">
        <v>28</v>
      </c>
      <c r="M43">
        <f>VLOOKUP(L43,$AA$3:$AD$64,3,FALSE)</f>
        <v/>
      </c>
      <c r="N43" s="26">
        <f>I43+M43</f>
        <v/>
      </c>
      <c r="U43">
        <f>SchoolTourTime!B51</f>
        <v/>
      </c>
      <c r="V43">
        <f>SchoolTourTime!C51</f>
        <v/>
      </c>
      <c r="W43">
        <f>VLOOKUP(U43,SchoolTourTime!$B$11:$E$72,4,FALSE)</f>
        <v/>
      </c>
      <c r="X43" s="58">
        <f>_xlfn.IFNA(VLOOKUP(U43,$L$3:$N$29,3,FALSE),W43)</f>
        <v/>
      </c>
      <c r="AA43">
        <f>WorkBasedSubtourTime!B51</f>
        <v/>
      </c>
      <c r="AB43">
        <f>WorkBasedSubtourTime!C51</f>
        <v/>
      </c>
      <c r="AC43">
        <f>VLOOKUP(AA43,WorkBasedSubtourTime!$B$11:$E$60,4,FALSE)</f>
        <v/>
      </c>
      <c r="AD43" s="58">
        <f>_xlfn.IFNA(VLOOKUP(AA43,$L$35:$N$61,3,FALSE),AC43)</f>
        <v/>
      </c>
    </row>
    <row r="44">
      <c r="B44" t="inlineStr">
        <is>
          <t>9-12 pm</t>
        </is>
      </c>
      <c r="C44" s="24">
        <f>SUM(Departure_Time!E45:E50)</f>
        <v/>
      </c>
      <c r="D44" s="24">
        <f>SUM(Departure_Time!Q45:Q50)</f>
        <v/>
      </c>
      <c r="E44" s="25">
        <f>C44/C$46</f>
        <v/>
      </c>
      <c r="F44" s="25">
        <f>D44/D$46</f>
        <v/>
      </c>
      <c r="G44" s="5">
        <f>E44/F44</f>
        <v/>
      </c>
      <c r="H44" s="5">
        <f>$F$33</f>
        <v/>
      </c>
      <c r="I44" s="26">
        <f>H44*(LN(G44)-LN($G$40))</f>
        <v/>
      </c>
      <c r="L44" t="n">
        <v>29</v>
      </c>
      <c r="M44">
        <f>VLOOKUP(L44,$AA$3:$AD$64,3,FALSE)</f>
        <v/>
      </c>
      <c r="N44" s="26">
        <f>I44+M44</f>
        <v/>
      </c>
      <c r="U44">
        <f>SchoolTourTime!B52</f>
        <v/>
      </c>
      <c r="V44">
        <f>SchoolTourTime!C52</f>
        <v/>
      </c>
      <c r="W44">
        <f>VLOOKUP(U44,SchoolTourTime!$B$11:$E$72,4,FALSE)</f>
        <v/>
      </c>
      <c r="X44" s="58">
        <f>_xlfn.IFNA(VLOOKUP(U44,$L$3:$N$29,3,FALSE),W44)</f>
        <v/>
      </c>
      <c r="AA44">
        <f>WorkBasedSubtourTime!B52</f>
        <v/>
      </c>
      <c r="AB44">
        <f>WorkBasedSubtourTime!C52</f>
        <v/>
      </c>
      <c r="AC44">
        <f>VLOOKUP(AA44,WorkBasedSubtourTime!$B$11:$E$60,4,FALSE)</f>
        <v/>
      </c>
      <c r="AD44" s="58">
        <f>_xlfn.IFNA(VLOOKUP(AA44,$L$35:$N$61,3,FALSE),AC44)</f>
        <v/>
      </c>
    </row>
    <row r="45">
      <c r="B45" s="19" t="inlineStr">
        <is>
          <t>12-3 am</t>
        </is>
      </c>
      <c r="C45" s="29">
        <f>SUM(Departure_Time!E51:E57)+Departure_Time!E8</f>
        <v/>
      </c>
      <c r="D45" s="29">
        <f>SUM(Departure_Time!Q51:Q57)+Departure_Time!Q8</f>
        <v/>
      </c>
      <c r="E45" s="30">
        <f>C45/C$46</f>
        <v/>
      </c>
      <c r="F45" s="30">
        <f>D45/D$46</f>
        <v/>
      </c>
      <c r="G45" s="18">
        <f>E45/F45</f>
        <v/>
      </c>
      <c r="H45" s="18" t="n">
        <v>0</v>
      </c>
      <c r="I45" s="31">
        <f>H45*(LN(G45)-LN($G$40))</f>
        <v/>
      </c>
      <c r="L45" s="19" t="n">
        <v>30</v>
      </c>
      <c r="M45" s="19">
        <f>VLOOKUP(L45,$AA$3:$AD$64,3,FALSE)</f>
        <v/>
      </c>
      <c r="N45" s="31">
        <f>I45+M45</f>
        <v/>
      </c>
      <c r="U45">
        <f>SchoolTourTime!B53</f>
        <v/>
      </c>
      <c r="V45">
        <f>SchoolTourTime!C53</f>
        <v/>
      </c>
      <c r="W45">
        <f>VLOOKUP(U45,SchoolTourTime!$B$11:$E$72,4,FALSE)</f>
        <v/>
      </c>
      <c r="X45" s="58">
        <f>_xlfn.IFNA(VLOOKUP(U45,$L$3:$N$29,3,FALSE),W45)</f>
        <v/>
      </c>
      <c r="AA45">
        <f>WorkBasedSubtourTime!B53</f>
        <v/>
      </c>
      <c r="AB45">
        <f>WorkBasedSubtourTime!C53</f>
        <v/>
      </c>
      <c r="AC45">
        <f>VLOOKUP(AA45,WorkBasedSubtourTime!$B$11:$E$60,4,FALSE)</f>
        <v/>
      </c>
      <c r="AD45" s="58">
        <f>_xlfn.IFNA(VLOOKUP(AA45,$L$35:$N$61,3,FALSE),AC45)</f>
        <v/>
      </c>
    </row>
    <row r="46" ht="15.75" customHeight="1" s="71" thickBot="1">
      <c r="B46" s="34" t="inlineStr">
        <is>
          <t>TOTAL</t>
        </is>
      </c>
      <c r="C46" s="35">
        <f>SUM(C36:C45)</f>
        <v/>
      </c>
      <c r="D46" s="35">
        <f>SUM(D36:D45)</f>
        <v/>
      </c>
      <c r="E46" s="36">
        <f>C46/C$46</f>
        <v/>
      </c>
      <c r="F46" s="36">
        <f>D46/D$46</f>
        <v/>
      </c>
      <c r="G46" s="37">
        <f>E46/F46</f>
        <v/>
      </c>
      <c r="H46" s="37" t="n"/>
      <c r="I46" s="38" t="n"/>
      <c r="U46">
        <f>SchoolTourTime!B54</f>
        <v/>
      </c>
      <c r="V46">
        <f>SchoolTourTime!C54</f>
        <v/>
      </c>
      <c r="W46">
        <f>VLOOKUP(U46,SchoolTourTime!$B$11:$E$72,4,FALSE)</f>
        <v/>
      </c>
      <c r="X46" s="58">
        <f>_xlfn.IFNA(VLOOKUP(U46,$L$3:$N$29,3,FALSE),W46)</f>
        <v/>
      </c>
      <c r="AA46">
        <f>WorkBasedSubtourTime!B54</f>
        <v/>
      </c>
      <c r="AB46">
        <f>WorkBasedSubtourTime!C54</f>
        <v/>
      </c>
      <c r="AC46">
        <f>VLOOKUP(AA46,WorkBasedSubtourTime!$B$11:$E$60,4,FALSE)</f>
        <v/>
      </c>
      <c r="AD46" s="58">
        <f>_xlfn.IFNA(VLOOKUP(AA46,$L$35:$N$61,3,FALSE),AC46)</f>
        <v/>
      </c>
    </row>
    <row r="47">
      <c r="U47">
        <f>SchoolTourTime!B55</f>
        <v/>
      </c>
      <c r="V47">
        <f>SchoolTourTime!C55</f>
        <v/>
      </c>
      <c r="W47">
        <f>VLOOKUP(U47,SchoolTourTime!$B$11:$E$72,4,FALSE)</f>
        <v/>
      </c>
      <c r="X47" s="58">
        <f>_xlfn.IFNA(VLOOKUP(U47,$L$3:$N$29,3,FALSE),W47)</f>
        <v/>
      </c>
      <c r="AA47">
        <f>WorkBasedSubtourTime!B55</f>
        <v/>
      </c>
      <c r="AB47">
        <f>WorkBasedSubtourTime!C55</f>
        <v/>
      </c>
      <c r="AC47">
        <f>VLOOKUP(AA47,WorkBasedSubtourTime!$B$11:$E$60,4,FALSE)</f>
        <v/>
      </c>
      <c r="AD47" s="58">
        <f>_xlfn.IFNA(VLOOKUP(AA47,$L$35:$N$61,3,FALSE),AC47)</f>
        <v/>
      </c>
    </row>
    <row r="48">
      <c r="U48">
        <f>SchoolTourTime!B56</f>
        <v/>
      </c>
      <c r="V48">
        <f>SchoolTourTime!C56</f>
        <v/>
      </c>
      <c r="W48">
        <f>VLOOKUP(U48,SchoolTourTime!$B$11:$E$72,4,FALSE)</f>
        <v/>
      </c>
      <c r="X48" s="58">
        <f>_xlfn.IFNA(VLOOKUP(U48,$L$3:$N$29,3,FALSE),W48)</f>
        <v/>
      </c>
      <c r="AA48">
        <f>WorkBasedSubtourTime!B56</f>
        <v/>
      </c>
      <c r="AB48">
        <f>WorkBasedSubtourTime!C56</f>
        <v/>
      </c>
      <c r="AC48">
        <f>VLOOKUP(AA48,WorkBasedSubtourTime!$B$11:$E$60,4,FALSE)</f>
        <v/>
      </c>
      <c r="AD48" s="58">
        <f>_xlfn.IFNA(VLOOKUP(AA48,$L$35:$N$61,3,FALSE),AC48)</f>
        <v/>
      </c>
    </row>
    <row r="49" ht="15.75" customHeight="1" s="71" thickBot="1">
      <c r="B49" s="32" t="inlineStr">
        <is>
          <t>WorkBased Tour Duration</t>
        </is>
      </c>
      <c r="C49" s="1" t="n"/>
      <c r="D49" s="1" t="n"/>
      <c r="E49" s="1" t="inlineStr">
        <is>
          <t>Damp</t>
        </is>
      </c>
      <c r="F49" s="33" t="n">
        <v>0.5</v>
      </c>
      <c r="G49" s="1" t="n"/>
      <c r="H49" s="1" t="n"/>
      <c r="I49" s="1" t="n"/>
      <c r="U49">
        <f>SchoolTourTime!B57</f>
        <v/>
      </c>
      <c r="V49">
        <f>SchoolTourTime!C57</f>
        <v/>
      </c>
      <c r="W49">
        <f>VLOOKUP(U49,SchoolTourTime!$B$11:$E$72,4,FALSE)</f>
        <v/>
      </c>
      <c r="X49" s="58">
        <f>_xlfn.IFNA(VLOOKUP(U49,$L$3:$N$29,3,FALSE),W49)</f>
        <v/>
      </c>
      <c r="AA49">
        <f>WorkBasedSubtourTime!B57</f>
        <v/>
      </c>
      <c r="AB49">
        <f>WorkBasedSubtourTime!C57</f>
        <v/>
      </c>
      <c r="AC49">
        <f>VLOOKUP(AA49,WorkBasedSubtourTime!$B$11:$E$60,4,FALSE)</f>
        <v/>
      </c>
      <c r="AD49" s="58">
        <f>_xlfn.IFNA(VLOOKUP(AA49,$L$35:$N$61,3,FALSE),AC49)</f>
        <v/>
      </c>
    </row>
    <row r="50" ht="15.75" customHeight="1" s="71" thickBot="1">
      <c r="B50" s="7" t="n"/>
      <c r="C50" s="70" t="inlineStr">
        <is>
          <t>Count</t>
        </is>
      </c>
      <c r="E50" s="70" t="inlineStr">
        <is>
          <t>Share</t>
        </is>
      </c>
      <c r="G50" s="7" t="n"/>
      <c r="H50" s="7" t="n"/>
      <c r="I50" s="7" t="n"/>
      <c r="L50" s="1" t="n"/>
      <c r="M50" s="1" t="n"/>
      <c r="N50" s="1" t="n"/>
      <c r="U50">
        <f>SchoolTourTime!B58</f>
        <v/>
      </c>
      <c r="V50">
        <f>SchoolTourTime!C58</f>
        <v/>
      </c>
      <c r="W50">
        <f>VLOOKUP(U50,SchoolTourTime!$B$11:$E$72,4,FALSE)</f>
        <v/>
      </c>
      <c r="X50" s="58">
        <f>_xlfn.IFNA(VLOOKUP(U50,$L$3:$N$29,3,FALSE),W50)</f>
        <v/>
      </c>
      <c r="AA50">
        <f>WorkBasedSubtourTime!B58</f>
        <v/>
      </c>
      <c r="AB50">
        <f>WorkBasedSubtourTime!C58</f>
        <v/>
      </c>
      <c r="AC50">
        <f>VLOOKUP(AA50,WorkBasedSubtourTime!$B$11:$E$60,4,FALSE)</f>
        <v/>
      </c>
      <c r="AD50" s="58">
        <f>_xlfn.IFNA(VLOOKUP(AA50,$L$35:$N$61,3,FALSE),AC50)</f>
        <v/>
      </c>
    </row>
    <row r="51">
      <c r="B51" s="27" t="inlineStr">
        <is>
          <t>Duration</t>
        </is>
      </c>
      <c r="C51" s="28" t="inlineStr">
        <is>
          <t>Survey</t>
        </is>
      </c>
      <c r="D51" s="28" t="inlineStr">
        <is>
          <t>DaySim</t>
        </is>
      </c>
      <c r="E51" s="28" t="inlineStr">
        <is>
          <t>Survey</t>
        </is>
      </c>
      <c r="F51" s="28" t="inlineStr">
        <is>
          <t>DaySim</t>
        </is>
      </c>
      <c r="G51" s="28" t="inlineStr">
        <is>
          <t>Ratio</t>
        </is>
      </c>
      <c r="H51" s="28" t="inlineStr">
        <is>
          <t>Damp</t>
        </is>
      </c>
      <c r="I51" s="59" t="inlineStr">
        <is>
          <t>Adjustment</t>
        </is>
      </c>
      <c r="L51" s="28" t="inlineStr">
        <is>
          <t>Index</t>
        </is>
      </c>
      <c r="M51" s="28" t="inlineStr">
        <is>
          <t>Old Coeff</t>
        </is>
      </c>
      <c r="N51" s="27" t="inlineStr">
        <is>
          <t>New Coeff</t>
        </is>
      </c>
      <c r="U51">
        <f>SchoolTourTime!B59</f>
        <v/>
      </c>
      <c r="V51">
        <f>SchoolTourTime!C59</f>
        <v/>
      </c>
      <c r="W51">
        <f>VLOOKUP(U51,SchoolTourTime!$B$11:$E$72,4,FALSE)</f>
        <v/>
      </c>
      <c r="X51" s="58">
        <f>_xlfn.IFNA(VLOOKUP(U51,$L$3:$N$29,3,FALSE),W51)</f>
        <v/>
      </c>
      <c r="AA51">
        <f>WorkBasedSubtourTime!B59</f>
        <v/>
      </c>
      <c r="AB51">
        <f>WorkBasedSubtourTime!C59</f>
        <v/>
      </c>
      <c r="AC51">
        <f>VLOOKUP(AA51,WorkBasedSubtourTime!$B$11:$E$60,4,FALSE)</f>
        <v/>
      </c>
      <c r="AD51" s="58">
        <f>_xlfn.IFNA(VLOOKUP(AA51,$L$35:$N$61,3,FALSE),AC51)</f>
        <v/>
      </c>
    </row>
    <row r="52">
      <c r="B52" t="inlineStr">
        <is>
          <t>0-3 hrs</t>
        </is>
      </c>
      <c r="C52" s="24">
        <f>SUM(Duration!E8:E13)</f>
        <v/>
      </c>
      <c r="D52" s="24">
        <f>SUM(Duration!Q7:Q12)</f>
        <v/>
      </c>
      <c r="E52" s="25">
        <f>C52/C$62</f>
        <v/>
      </c>
      <c r="F52" s="25">
        <f>D52/D$62</f>
        <v/>
      </c>
      <c r="G52" s="5">
        <f>IFERROR(E52/F52,1)</f>
        <v/>
      </c>
      <c r="H52" s="5">
        <f>$F$49</f>
        <v/>
      </c>
      <c r="I52" s="57">
        <f>IFERROR(H52*(LN(G52)-LN($G$54)),0)</f>
        <v/>
      </c>
      <c r="L52" t="n">
        <v>31</v>
      </c>
      <c r="M52" s="56">
        <f>VLOOKUP(L52,$AA$3:$AD$64,3,FALSE)</f>
        <v/>
      </c>
      <c r="N52" s="26">
        <f>I52+M52</f>
        <v/>
      </c>
      <c r="U52">
        <f>SchoolTourTime!B60</f>
        <v/>
      </c>
      <c r="V52">
        <f>SchoolTourTime!C60</f>
        <v/>
      </c>
      <c r="W52">
        <f>VLOOKUP(U52,SchoolTourTime!$B$11:$E$72,4,FALSE)</f>
        <v/>
      </c>
      <c r="X52" s="58">
        <f>_xlfn.IFNA(VLOOKUP(U52,$L$3:$N$29,3,FALSE),W52)</f>
        <v/>
      </c>
      <c r="AA52">
        <f>WorkBasedSubtourTime!B60</f>
        <v/>
      </c>
      <c r="AB52">
        <f>WorkBasedSubtourTime!C60</f>
        <v/>
      </c>
      <c r="AC52">
        <f>VLOOKUP(AA52,WorkBasedSubtourTime!$B$11:$E$60,4,FALSE)</f>
        <v/>
      </c>
      <c r="AD52" s="58">
        <f>_xlfn.IFNA(VLOOKUP(AA52,$L$35:$N$61,3,FALSE),AC52)</f>
        <v/>
      </c>
    </row>
    <row r="53">
      <c r="B53" t="inlineStr">
        <is>
          <t>3-5 hrs</t>
        </is>
      </c>
      <c r="C53" s="24">
        <f>SUM(Duration!E14:E17)</f>
        <v/>
      </c>
      <c r="D53" s="24">
        <f>SUM(Duration!Q13:Q16)</f>
        <v/>
      </c>
      <c r="E53" s="25">
        <f>C53/C$62</f>
        <v/>
      </c>
      <c r="F53" s="25">
        <f>D53/D$62</f>
        <v/>
      </c>
      <c r="G53" s="5">
        <f>IFERROR(E53/F53,1)</f>
        <v/>
      </c>
      <c r="H53" s="5">
        <f>$F$49</f>
        <v/>
      </c>
      <c r="I53" s="26">
        <f>IFERROR(H53*(LN(G53)-LN($G$54)),0)</f>
        <v/>
      </c>
      <c r="L53" t="n">
        <v>32</v>
      </c>
      <c r="M53">
        <f>VLOOKUP(L53,$AA$3:$AD$64,3,FALSE)</f>
        <v/>
      </c>
      <c r="N53" s="26">
        <f>I53+M53</f>
        <v/>
      </c>
      <c r="U53">
        <f>SchoolTourTime!B61</f>
        <v/>
      </c>
      <c r="V53">
        <f>SchoolTourTime!C61</f>
        <v/>
      </c>
      <c r="W53">
        <f>VLOOKUP(U53,SchoolTourTime!$B$11:$E$72,4,FALSE)</f>
        <v/>
      </c>
      <c r="X53" s="58">
        <f>_xlfn.IFNA(VLOOKUP(U53,$L$3:$N$29,3,FALSE),W53)</f>
        <v/>
      </c>
      <c r="AD53" s="58" t="n"/>
    </row>
    <row r="54">
      <c r="B54" t="inlineStr">
        <is>
          <t>5-7 hrs</t>
        </is>
      </c>
      <c r="C54" s="24">
        <f>SUM(Duration!E18:E21)</f>
        <v/>
      </c>
      <c r="D54" s="24">
        <f>SUM(Duration!Q17:Q20)</f>
        <v/>
      </c>
      <c r="E54" s="25">
        <f>C54/C$62</f>
        <v/>
      </c>
      <c r="F54" s="25">
        <f>D54/D$62</f>
        <v/>
      </c>
      <c r="G54" s="5">
        <f>IFERROR(E54/F54,1)</f>
        <v/>
      </c>
      <c r="H54" s="5">
        <f>$F$49</f>
        <v/>
      </c>
      <c r="I54" s="26">
        <f>IFERROR(H54*(LN(G54)-LN($G$54)),0)</f>
        <v/>
      </c>
      <c r="L54" t="n">
        <v>33</v>
      </c>
      <c r="M54">
        <f>VLOOKUP(L54,$AA$3:$AD$64,3,FALSE)</f>
        <v/>
      </c>
      <c r="N54" s="26">
        <f>I54+M54</f>
        <v/>
      </c>
      <c r="U54">
        <f>SchoolTourTime!B62</f>
        <v/>
      </c>
      <c r="V54">
        <f>SchoolTourTime!C62</f>
        <v/>
      </c>
      <c r="W54">
        <f>VLOOKUP(U54,SchoolTourTime!$B$11:$E$72,4,FALSE)</f>
        <v/>
      </c>
      <c r="X54" s="58">
        <f>_xlfn.IFNA(VLOOKUP(U54,$L$3:$N$29,3,FALSE),W54)</f>
        <v/>
      </c>
      <c r="AD54" s="58" t="n"/>
    </row>
    <row r="55">
      <c r="B55" t="inlineStr">
        <is>
          <t>7-9 hrs</t>
        </is>
      </c>
      <c r="C55" s="24">
        <f>SUM(Duration!E22:E25)</f>
        <v/>
      </c>
      <c r="D55" s="24">
        <f>SUM(Duration!Q21:Q24)</f>
        <v/>
      </c>
      <c r="E55" s="25">
        <f>C55/C$62</f>
        <v/>
      </c>
      <c r="F55" s="25">
        <f>D55/D$62</f>
        <v/>
      </c>
      <c r="G55" s="5">
        <f>IFERROR(E55/F55,1)</f>
        <v/>
      </c>
      <c r="H55" s="5">
        <f>$F$49</f>
        <v/>
      </c>
      <c r="I55" s="26">
        <f>IFERROR(H55*(LN(G55)-LN($G$54)),0)</f>
        <v/>
      </c>
      <c r="L55" t="n">
        <v>34</v>
      </c>
      <c r="M55">
        <f>VLOOKUP(L55,$AA$3:$AD$64,3,FALSE)</f>
        <v/>
      </c>
      <c r="N55" s="26">
        <f>I55+M55</f>
        <v/>
      </c>
      <c r="U55">
        <f>SchoolTourTime!B63</f>
        <v/>
      </c>
      <c r="V55">
        <f>SchoolTourTime!C63</f>
        <v/>
      </c>
      <c r="W55">
        <f>VLOOKUP(U55,SchoolTourTime!$B$11:$E$72,4,FALSE)</f>
        <v/>
      </c>
      <c r="X55" s="58">
        <f>_xlfn.IFNA(VLOOKUP(U55,$L$3:$N$29,3,FALSE),W55)</f>
        <v/>
      </c>
      <c r="AD55" s="58" t="n"/>
    </row>
    <row r="56">
      <c r="B56" t="inlineStr">
        <is>
          <t>9-10 hrs</t>
        </is>
      </c>
      <c r="C56" s="24">
        <f>SUM(Duration!E26:E27)</f>
        <v/>
      </c>
      <c r="D56" s="24">
        <f>SUM(Duration!Q25:Q26)</f>
        <v/>
      </c>
      <c r="E56" s="25">
        <f>C56/C$62</f>
        <v/>
      </c>
      <c r="F56" s="25">
        <f>D56/D$62</f>
        <v/>
      </c>
      <c r="G56" s="5">
        <f>IFERROR(E56/F56,1)</f>
        <v/>
      </c>
      <c r="H56" s="5" t="n">
        <v>0</v>
      </c>
      <c r="I56" s="26">
        <f>IFERROR(H56*(LN(G56)-LN($G$54)),0)</f>
        <v/>
      </c>
      <c r="L56" t="n">
        <v>35</v>
      </c>
      <c r="M56">
        <f>VLOOKUP(L56,$AA$3:$AD$64,3,FALSE)</f>
        <v/>
      </c>
      <c r="N56" s="26">
        <f>I56+M56</f>
        <v/>
      </c>
      <c r="U56">
        <f>SchoolTourTime!B64</f>
        <v/>
      </c>
      <c r="V56">
        <f>SchoolTourTime!C64</f>
        <v/>
      </c>
      <c r="W56">
        <f>VLOOKUP(U56,SchoolTourTime!$B$11:$E$72,4,FALSE)</f>
        <v/>
      </c>
      <c r="X56" s="58">
        <f>_xlfn.IFNA(VLOOKUP(U56,$L$3:$N$29,3,FALSE),W56)</f>
        <v/>
      </c>
      <c r="AD56" s="58" t="n"/>
    </row>
    <row r="57">
      <c r="B57" t="inlineStr">
        <is>
          <t>10-11 hrs</t>
        </is>
      </c>
      <c r="C57" s="24">
        <f>SUM(Duration!E28:E29)</f>
        <v/>
      </c>
      <c r="D57" s="24">
        <f>SUM(Duration!Q27:Q28)</f>
        <v/>
      </c>
      <c r="E57" s="25">
        <f>C57/C$62</f>
        <v/>
      </c>
      <c r="F57" s="25">
        <f>D57/D$62</f>
        <v/>
      </c>
      <c r="G57" s="5">
        <f>IFERROR(E57/F57,1)</f>
        <v/>
      </c>
      <c r="H57" s="5" t="n">
        <v>0</v>
      </c>
      <c r="I57" s="26">
        <f>IFERROR(H57*(LN(G57)-LN($G$54)),0)</f>
        <v/>
      </c>
      <c r="L57" t="n">
        <v>36</v>
      </c>
      <c r="M57">
        <f>VLOOKUP(L57,$AA$3:$AD$64,3,FALSE)</f>
        <v/>
      </c>
      <c r="N57" s="26">
        <f>I57+M57</f>
        <v/>
      </c>
      <c r="U57">
        <f>SchoolTourTime!B65</f>
        <v/>
      </c>
      <c r="V57">
        <f>SchoolTourTime!C65</f>
        <v/>
      </c>
      <c r="W57">
        <f>VLOOKUP(U57,SchoolTourTime!$B$11:$E$72,4,FALSE)</f>
        <v/>
      </c>
      <c r="X57" s="58">
        <f>_xlfn.IFNA(VLOOKUP(U57,$L$3:$N$29,3,FALSE),W57)</f>
        <v/>
      </c>
      <c r="AD57" s="58" t="n"/>
    </row>
    <row r="58">
      <c r="B58" t="inlineStr">
        <is>
          <t>11-12 hrs</t>
        </is>
      </c>
      <c r="C58" s="24">
        <f>SUM(Duration!E30:E31)</f>
        <v/>
      </c>
      <c r="D58" s="24">
        <f>SUM(Duration!Q29:Q30)</f>
        <v/>
      </c>
      <c r="E58" s="25">
        <f>C58/C$62</f>
        <v/>
      </c>
      <c r="F58" s="25">
        <f>D58/D$62</f>
        <v/>
      </c>
      <c r="G58" s="5">
        <f>IFERROR(E58/F58,1)</f>
        <v/>
      </c>
      <c r="H58" s="5" t="n">
        <v>0</v>
      </c>
      <c r="I58" s="26">
        <f>IFERROR(H58*(LN(G58)-LN($G$54)),0)</f>
        <v/>
      </c>
      <c r="L58" t="n">
        <v>37</v>
      </c>
      <c r="M58">
        <f>VLOOKUP(L58,$AA$3:$AD$64,3,FALSE)</f>
        <v/>
      </c>
      <c r="N58" s="26">
        <f>I58+M58</f>
        <v/>
      </c>
      <c r="U58">
        <f>SchoolTourTime!B66</f>
        <v/>
      </c>
      <c r="V58">
        <f>SchoolTourTime!C66</f>
        <v/>
      </c>
      <c r="W58">
        <f>VLOOKUP(U58,SchoolTourTime!$B$11:$E$72,4,FALSE)</f>
        <v/>
      </c>
      <c r="X58" s="58">
        <f>_xlfn.IFNA(VLOOKUP(U58,$L$3:$N$29,3,FALSE),W58)</f>
        <v/>
      </c>
      <c r="AD58" s="58" t="n"/>
    </row>
    <row r="59">
      <c r="B59" t="inlineStr">
        <is>
          <t>12-14 hrs</t>
        </is>
      </c>
      <c r="C59" s="24">
        <f>SUM(Duration!E32:E35)</f>
        <v/>
      </c>
      <c r="D59" s="24">
        <f>SUM(Duration!Q31:Q34)</f>
        <v/>
      </c>
      <c r="E59" s="25">
        <f>C59/C$62</f>
        <v/>
      </c>
      <c r="F59" s="25">
        <f>D59/D$62</f>
        <v/>
      </c>
      <c r="G59" s="5">
        <f>IFERROR(E59/F59,1)</f>
        <v/>
      </c>
      <c r="H59" s="5" t="n">
        <v>0</v>
      </c>
      <c r="I59" s="26">
        <f>IFERROR(H59*(LN(G59)-LN($G$54)),0)</f>
        <v/>
      </c>
      <c r="L59" t="n">
        <v>38</v>
      </c>
      <c r="M59">
        <f>VLOOKUP(L59,$AA$3:$AD$64,3,FALSE)</f>
        <v/>
      </c>
      <c r="N59" s="26">
        <f>I59+M59</f>
        <v/>
      </c>
      <c r="U59">
        <f>SchoolTourTime!B67</f>
        <v/>
      </c>
      <c r="V59">
        <f>SchoolTourTime!C67</f>
        <v/>
      </c>
      <c r="W59">
        <f>VLOOKUP(U59,SchoolTourTime!$B$11:$E$72,4,FALSE)</f>
        <v/>
      </c>
      <c r="X59" s="58">
        <f>_xlfn.IFNA(VLOOKUP(U59,$L$3:$N$29,3,FALSE),W59)</f>
        <v/>
      </c>
      <c r="AD59" s="58" t="n"/>
    </row>
    <row r="60">
      <c r="B60" t="inlineStr">
        <is>
          <t>14-18 hrs</t>
        </is>
      </c>
      <c r="C60" s="24">
        <f>SUM(Duration!E36:E43)</f>
        <v/>
      </c>
      <c r="D60" s="24">
        <f>SUM(Duration!Q35:Q42)</f>
        <v/>
      </c>
      <c r="E60" s="25">
        <f>C60/C$62</f>
        <v/>
      </c>
      <c r="F60" s="25">
        <f>D60/D$62</f>
        <v/>
      </c>
      <c r="G60" s="5">
        <f>IFERROR(E60/F60,1)</f>
        <v/>
      </c>
      <c r="H60" s="5" t="n">
        <v>0</v>
      </c>
      <c r="I60" s="26">
        <f>IFERROR(H60*(LN(G60)-LN($G$54)),0)</f>
        <v/>
      </c>
      <c r="L60" t="n">
        <v>39</v>
      </c>
      <c r="M60">
        <f>VLOOKUP(L60,$AA$3:$AD$64,3,FALSE)</f>
        <v/>
      </c>
      <c r="N60" s="26">
        <f>I60+M60</f>
        <v/>
      </c>
      <c r="U60">
        <f>SchoolTourTime!B68</f>
        <v/>
      </c>
      <c r="V60">
        <f>SchoolTourTime!C68</f>
        <v/>
      </c>
      <c r="W60">
        <f>VLOOKUP(U60,SchoolTourTime!$B$11:$E$72,4,FALSE)</f>
        <v/>
      </c>
      <c r="X60" s="58">
        <f>_xlfn.IFNA(VLOOKUP(U60,$L$3:$N$29,3,FALSE),W60)</f>
        <v/>
      </c>
    </row>
    <row r="61">
      <c r="B61" s="19" t="inlineStr">
        <is>
          <t>18-24 hrs</t>
        </is>
      </c>
      <c r="C61" s="29">
        <f>SUM(Duration!E44:E55)</f>
        <v/>
      </c>
      <c r="D61" s="29">
        <f>SUM(Duration!Q43:Q54)</f>
        <v/>
      </c>
      <c r="E61" s="30">
        <f>C61/C$62</f>
        <v/>
      </c>
      <c r="F61" s="30">
        <f>D61/D$62</f>
        <v/>
      </c>
      <c r="G61" s="18">
        <f>IFERROR(E61/F61,1)</f>
        <v/>
      </c>
      <c r="H61" s="18" t="n">
        <v>0</v>
      </c>
      <c r="I61" s="31">
        <f>IFERROR(H61*(LN(G61)-LN($G$54)),0)</f>
        <v/>
      </c>
      <c r="L61" s="19" t="n"/>
      <c r="M61" s="19" t="n"/>
      <c r="N61" s="31" t="n"/>
      <c r="U61">
        <f>SchoolTourTime!B69</f>
        <v/>
      </c>
      <c r="V61">
        <f>SchoolTourTime!C69</f>
        <v/>
      </c>
      <c r="W61">
        <f>VLOOKUP(U61,SchoolTourTime!$B$11:$E$72,4,FALSE)</f>
        <v/>
      </c>
      <c r="X61" s="58">
        <f>_xlfn.IFNA(VLOOKUP(U61,$L$3:$N$29,3,FALSE),W61)</f>
        <v/>
      </c>
    </row>
    <row r="62" ht="15.75" customHeight="1" s="71" thickBot="1">
      <c r="B62" s="3" t="inlineStr">
        <is>
          <t>TOTAL</t>
        </is>
      </c>
      <c r="C62" s="39">
        <f>SUM(C52:C61)</f>
        <v/>
      </c>
      <c r="D62" s="39">
        <f>SUM(D52:D61)</f>
        <v/>
      </c>
      <c r="E62" s="40">
        <f>C62/C$62</f>
        <v/>
      </c>
      <c r="F62" s="40">
        <f>D62/D$62</f>
        <v/>
      </c>
      <c r="G62" s="41">
        <f>IFERROR(E62/F62,1)</f>
        <v/>
      </c>
      <c r="H62" s="41" t="n"/>
      <c r="I62" s="1" t="n"/>
      <c r="U62">
        <f>SchoolTourTime!B70</f>
        <v/>
      </c>
      <c r="V62">
        <f>SchoolTourTime!C70</f>
        <v/>
      </c>
      <c r="W62">
        <f>VLOOKUP(U62,SchoolTourTime!$B$11:$E$72,4,FALSE)</f>
        <v/>
      </c>
      <c r="X62" s="58">
        <f>_xlfn.IFNA(VLOOKUP(U62,$L$3:$N$29,3,FALSE),W62)</f>
        <v/>
      </c>
    </row>
    <row r="63">
      <c r="U63">
        <f>SchoolTourTime!B71</f>
        <v/>
      </c>
      <c r="V63">
        <f>SchoolTourTime!C71</f>
        <v/>
      </c>
      <c r="W63">
        <f>VLOOKUP(U63,SchoolTourTime!$B$11:$E$72,4,FALSE)</f>
        <v/>
      </c>
      <c r="X63" s="58">
        <f>_xlfn.IFNA(VLOOKUP(U63,$L$3:$N$29,3,FALSE),W63)</f>
        <v/>
      </c>
    </row>
    <row r="64">
      <c r="U64">
        <f>SchoolTourTime!B72</f>
        <v/>
      </c>
      <c r="V64">
        <f>SchoolTourTime!C72</f>
        <v/>
      </c>
      <c r="W64">
        <f>VLOOKUP(U64,SchoolTourTime!$B$11:$E$72,4,FALSE)</f>
        <v/>
      </c>
      <c r="X64" s="58">
        <f>_xlfn.IFNA(VLOOKUP(U64,$L$3:$N$29,3,FALSE),W64)</f>
        <v/>
      </c>
    </row>
  </sheetData>
  <mergeCells count="8">
    <mergeCell ref="E34:F34"/>
    <mergeCell ref="E50:F50"/>
    <mergeCell ref="C34:D34"/>
    <mergeCell ref="C2:D2"/>
    <mergeCell ref="E2:F2"/>
    <mergeCell ref="C50:D50"/>
    <mergeCell ref="C18:D18"/>
    <mergeCell ref="E18:F18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2025-09-03T01:42:50Z</dcterms:modified>
  <cp:lastModifiedBy>Angah, Ohay</cp:lastModifiedBy>
</cp:coreProperties>
</file>