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worksheets/sheet11.xml" ContentType="application/vnd.openxmlformats-officedocument.spreadsheetml.worksheet+xml"/>
  <Override PartName="/xl/drawings/drawing11.xml" ContentType="application/vnd.openxmlformats-officedocument.drawing+xml"/>
  <Override PartName="/xl/worksheets/sheet12.xml" ContentType="application/vnd.openxmlformats-officedocument.spreadsheetml.worksheet+xml"/>
  <Override PartName="/xl/drawings/drawing12.xml" ContentType="application/vnd.openxmlformats-officedocument.drawing+xml"/>
  <Override PartName="/xl/worksheets/sheet13.xml" ContentType="application/vnd.openxmlformats-officedocument.spreadsheetml.worksheet+xml"/>
  <Override PartName="/xl/drawings/drawing13.xml" ContentType="application/vnd.openxmlformats-officedocument.drawing+xml"/>
  <Override PartName="/xl/worksheets/sheet14.xml" ContentType="application/vnd.openxmlformats-officedocument.spreadsheetml.worksheet+xml"/>
  <Override PartName="/xl/drawings/drawing14.xml" ContentType="application/vnd.openxmlformats-officedocument.drawing+xml"/>
  <Override PartName="/xl/worksheets/sheet15.xml" ContentType="application/vnd.openxmlformats-officedocument.spreadsheetml.worksheet+xml"/>
  <Override PartName="/xl/drawings/drawing15.xml" ContentType="application/vnd.openxmlformats-officedocument.drawing+xml"/>
  <Override PartName="/xl/worksheets/sheet16.xml" ContentType="application/vnd.openxmlformats-officedocument.spreadsheetml.worksheet+xml"/>
  <Override PartName="/xl/drawings/drawing16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TLFD_Home" sheetId="1" state="visible" r:id="rId1"/>
    <sheet xmlns:r="http://schemas.openxmlformats.org/officeDocument/2006/relationships" name="TDFD_Home" sheetId="2" state="visible" r:id="rId2"/>
    <sheet xmlns:r="http://schemas.openxmlformats.org/officeDocument/2006/relationships" name="TLFD_Work" sheetId="3" state="visible" r:id="rId3"/>
    <sheet xmlns:r="http://schemas.openxmlformats.org/officeDocument/2006/relationships" name="TDFD_Work" sheetId="4" state="visible" r:id="rId4"/>
    <sheet xmlns:r="http://schemas.openxmlformats.org/officeDocument/2006/relationships" name="TLFD_School" sheetId="5" state="visible" r:id="rId5"/>
    <sheet xmlns:r="http://schemas.openxmlformats.org/officeDocument/2006/relationships" name="TDFD_School" sheetId="6" state="visible" r:id="rId6"/>
    <sheet xmlns:r="http://schemas.openxmlformats.org/officeDocument/2006/relationships" name="TLFD_Escort" sheetId="7" state="visible" r:id="rId7"/>
    <sheet xmlns:r="http://schemas.openxmlformats.org/officeDocument/2006/relationships" name="TDFD_Escort" sheetId="8" state="visible" r:id="rId8"/>
    <sheet xmlns:r="http://schemas.openxmlformats.org/officeDocument/2006/relationships" name="TLFD_PerBus" sheetId="9" state="visible" r:id="rId9"/>
    <sheet xmlns:r="http://schemas.openxmlformats.org/officeDocument/2006/relationships" name="TDFD_PerBus" sheetId="10" state="visible" r:id="rId10"/>
    <sheet xmlns:r="http://schemas.openxmlformats.org/officeDocument/2006/relationships" name="TLFD_Shop" sheetId="11" state="visible" r:id="rId11"/>
    <sheet xmlns:r="http://schemas.openxmlformats.org/officeDocument/2006/relationships" name="TDFD_Shop" sheetId="12" state="visible" r:id="rId12"/>
    <sheet xmlns:r="http://schemas.openxmlformats.org/officeDocument/2006/relationships" name="TLFD_Meal" sheetId="13" state="visible" r:id="rId13"/>
    <sheet xmlns:r="http://schemas.openxmlformats.org/officeDocument/2006/relationships" name="TDFD_Meal" sheetId="14" state="visible" r:id="rId14"/>
    <sheet xmlns:r="http://schemas.openxmlformats.org/officeDocument/2006/relationships" name="TLFD_SocRec" sheetId="15" state="visible" r:id="rId15"/>
    <sheet xmlns:r="http://schemas.openxmlformats.org/officeDocument/2006/relationships" name="TDFD_SocRec" sheetId="16" state="visible" r:id="rId16"/>
    <sheet xmlns:r="http://schemas.openxmlformats.org/officeDocument/2006/relationships" name="TLFD" sheetId="17" state="visible" r:id="rId17"/>
    <sheet xmlns:r="http://schemas.openxmlformats.org/officeDocument/2006/relationships" name="TDFD" sheetId="18" state="visible" r:id="rId18"/>
  </sheets>
  <definedNames>
    <definedName name="AVGD">TLFD_Home!$L$11:$L$13</definedName>
    <definedName name="AVGT">TDFD_Home!$L$11:$L$13</definedName>
    <definedName name="flow">#REF!</definedName>
    <definedName name="out_1">TLFD!$B$11:B101</definedName>
    <definedName name="out_3">TDFD!$B$11:B101</definedName>
    <definedName name="out_5">TLFD!$K$11:K11</definedName>
    <definedName name="out_7">TDFD!$K$11:K11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_(* #,##0_);_(* \(#,##0\);_(* &quot;-&quot;??_);_(@_)"/>
    <numFmt numFmtId="165" formatCode="mm/dd/yyyy\ hh:mm:ss"/>
  </numFmts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3">
    <fill>
      <patternFill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3" fillId="0" borderId="0"/>
    <xf numFmtId="0" fontId="2" fillId="0" borderId="0" applyAlignment="1">
      <alignment wrapText="1"/>
    </xf>
    <xf numFmtId="0" fontId="3" fillId="2" borderId="0" applyAlignment="1">
      <alignment wrapText="1"/>
    </xf>
    <xf numFmtId="165" fontId="3" fillId="0" borderId="0" applyAlignment="1">
      <alignment wrapText="1"/>
    </xf>
    <xf numFmtId="0" fontId="3" fillId="0" borderId="0" applyAlignment="1">
      <alignment wrapText="1"/>
    </xf>
    <xf numFmtId="0" fontId="3" fillId="0" borderId="0" applyAlignment="1">
      <alignment wrapText="1"/>
    </xf>
    <xf numFmtId="0" fontId="3" fillId="0" borderId="0" applyAlignment="1">
      <alignment wrapText="1"/>
    </xf>
    <xf numFmtId="165" fontId="3" fillId="0" borderId="0" applyAlignment="1">
      <alignment wrapText="1"/>
    </xf>
    <xf numFmtId="43" fontId="3" fillId="0" borderId="0"/>
  </cellStyleXfs>
  <cellXfs count="18">
    <xf numFmtId="0" fontId="0" fillId="0" borderId="0" pivotButton="0" quotePrefix="0" xfId="0"/>
    <xf numFmtId="0" fontId="0" fillId="0" borderId="1" pivotButton="0" quotePrefix="0" xfId="0"/>
    <xf numFmtId="0" fontId="0" fillId="0" borderId="2" pivotButton="0" quotePrefix="0" xfId="0"/>
    <xf numFmtId="0" fontId="1" fillId="0" borderId="1" pivotButton="0" quotePrefix="0" xfId="0"/>
    <xf numFmtId="0" fontId="0" fillId="0" borderId="2" applyAlignment="1" pivotButton="0" quotePrefix="0" xfId="0">
      <alignment horizontal="center" vertical="top"/>
    </xf>
    <xf numFmtId="2" fontId="0" fillId="0" borderId="0" pivotButton="0" quotePrefix="0" xfId="0"/>
    <xf numFmtId="2" fontId="0" fillId="0" borderId="1" pivotButton="0" quotePrefix="0" xfId="0"/>
    <xf numFmtId="0" fontId="1" fillId="0" borderId="0" pivotButton="0" quotePrefix="0" xfId="0"/>
    <xf numFmtId="10" fontId="0" fillId="0" borderId="0" pivotButton="0" quotePrefix="0" xfId="0"/>
    <xf numFmtId="0" fontId="2" fillId="0" borderId="0" pivotButton="0" quotePrefix="0" xfId="1"/>
    <xf numFmtId="0" fontId="2" fillId="0" borderId="1" pivotButton="0" quotePrefix="0" xfId="1"/>
    <xf numFmtId="164" fontId="0" fillId="0" borderId="0" pivotButton="0" quotePrefix="0" xfId="8"/>
    <xf numFmtId="0" fontId="0" fillId="0" borderId="3" pivotButton="0" quotePrefix="0" xfId="0"/>
    <xf numFmtId="0" fontId="1" fillId="0" borderId="3" pivotButton="0" quotePrefix="0" xfId="0"/>
    <xf numFmtId="164" fontId="1" fillId="0" borderId="3" pivotButton="0" quotePrefix="0" xfId="8"/>
    <xf numFmtId="2" fontId="1" fillId="0" borderId="3" pivotButton="0" quotePrefix="0" xfId="0"/>
    <xf numFmtId="43" fontId="1" fillId="0" borderId="3" pivotButton="0" quotePrefix="0" xfId="0"/>
    <xf numFmtId="164" fontId="1" fillId="0" borderId="3" pivotButton="0" quotePrefix="0" xfId="0"/>
  </cellXfs>
  <cellStyles count="9">
    <cellStyle name="Normal" xfId="0" builtinId="0"/>
    <cellStyle name="XLConnect.General" xfId="1"/>
    <cellStyle name="XLConnect.Header" xfId="2"/>
    <cellStyle name="XLConnect.Date" xfId="3"/>
    <cellStyle name="XLConnect.String" xfId="4"/>
    <cellStyle name="XLConnect.Numeric" xfId="5"/>
    <cellStyle name="XLConnect.Boolean" xfId="6"/>
    <cellStyle name="XLConnect.DateTime" xfId="7"/>
    <cellStyle name="Comma" xfId="8" builtinId="3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harts/chart1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010225130309416"/>
          <y val="0.05140055409740449"/>
          <w val="0.8626163542937416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TLFD_Home!$C$10</f>
              <strCache>
                <ptCount val="1"/>
                <pt idx="0">
                  <v>Survey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TLFD_Home!$C$11:$C$71</f>
              <numCache>
                <formatCode>0.00%</formatCode>
                <ptCount val="61"/>
                <pt idx="0">
                  <v>0.0382360867325279</v>
                </pt>
                <pt idx="1">
                  <v>0.05819569729939741</v>
                </pt>
                <pt idx="2">
                  <v>0.07089123004330702</v>
                </pt>
                <pt idx="3">
                  <v>0.09727290264497809</v>
                </pt>
                <pt idx="4">
                  <v>0.1688576253844352</v>
                </pt>
                <pt idx="5">
                  <v>0.1011755251985029</v>
                </pt>
                <pt idx="6">
                  <v>0.1130117866711692</v>
                </pt>
                <pt idx="7">
                  <v>0.04877098935098893</v>
                </pt>
                <pt idx="8">
                  <v>0.05305988643991791</v>
                </pt>
                <pt idx="9">
                  <v>0.02750663326613917</v>
                </pt>
                <pt idx="10">
                  <v>0.05157357268499323</v>
                </pt>
                <pt idx="11">
                  <v>0.0182340006121108</v>
                </pt>
                <pt idx="12">
                  <v>0.01171796991654169</v>
                </pt>
                <pt idx="13">
                  <v>0.01154693764235542</v>
                </pt>
                <pt idx="14">
                  <v>0.01347250539053352</v>
                </pt>
                <pt idx="15">
                  <v>0.01160852606459784</v>
                </pt>
                <pt idx="16">
                  <v>0.01781625230104176</v>
                </pt>
                <pt idx="17">
                  <v>0.01207766212850091</v>
                </pt>
                <pt idx="18">
                  <v>0.01058830131297007</v>
                </pt>
                <pt idx="19">
                  <v>0.005346578820990124</v>
                </pt>
                <pt idx="20">
                  <v>0.005311815583820501</v>
                </pt>
                <pt idx="21">
                  <v>0.00514418506980811</v>
                </pt>
                <pt idx="22">
                  <v>0.004741381501325845</v>
                </pt>
                <pt idx="23">
                  <v>0.007015211550056862</v>
                </pt>
                <pt idx="24">
                  <v>0.006123153221086422</v>
                </pt>
                <pt idx="25">
                  <v>0.002549153390798011</v>
                </pt>
                <pt idx="26">
                  <v>0.004043543255354214</v>
                </pt>
                <pt idx="27">
                  <v>0.001728311034681229</v>
                </pt>
                <pt idx="28">
                  <v>0.002165362480367147</v>
                </pt>
                <pt idx="29">
                  <v>0.0009878336596957785</v>
                </pt>
                <pt idx="30">
                  <v>0.001631537758075448</v>
                </pt>
                <pt idx="31">
                  <v>0.0006097224221119171</v>
                </pt>
                <pt idx="32">
                  <v>0.0008804262732543247</v>
                </pt>
                <pt idx="33">
                  <v>0.001239914941212459</v>
                </pt>
                <pt idx="34">
                  <v>0.001343244066544575</v>
                </pt>
                <pt idx="35">
                  <v>0.0004862959753036122</v>
                </pt>
                <pt idx="36">
                  <v>0.0007887169084308199</v>
                </pt>
                <pt idx="37">
                  <v>0.0006904831558018973</v>
                </pt>
                <pt idx="38">
                  <v>0.001074497903745944</v>
                </pt>
                <pt idx="39">
                  <v>0.0007997051524749817</v>
                </pt>
                <pt idx="40">
                  <v>0.0004313373894370379</v>
                </pt>
                <pt idx="41">
                  <v>0.0006782217612999224</v>
                </pt>
                <pt idx="42">
                  <v>0.0002814429587324913</v>
                </pt>
                <pt idx="43">
                  <v>0.0006754452990982888</v>
                </pt>
                <pt idx="44">
                  <v>0.0004388257923104138</v>
                </pt>
                <pt idx="45">
                  <v>7.567265675577233e-05</v>
                </pt>
                <pt idx="46">
                  <v>0.001032981641874832</v>
                </pt>
                <pt idx="47">
                  <v>0.0008672027889049755</v>
                </pt>
                <pt idx="48">
                  <v>0.0001065031136316573</v>
                </pt>
                <pt idx="49">
                  <v>0.0009152543555284734</v>
                </pt>
                <pt idx="50">
                  <v>0.0001078805164752187</v>
                </pt>
                <pt idx="51">
                  <v>0.0001651195363413864</v>
                </pt>
                <pt idx="52">
                  <v>0.000183563579599302</v>
                </pt>
                <pt idx="53">
                  <v>0.0008768582146049724</v>
                </pt>
                <pt idx="54">
                  <v>0.0002295796355498142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0.0001209728741397926</v>
                </pt>
                <pt idx="59">
                  <v>8.630158040760356e-05</v>
                </pt>
                <pt idx="6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TLFD_Home!$G$10</f>
              <strCache>
                <ptCount val="1"/>
                <pt idx="0">
                  <v>DaySim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TLFD_Home!$G$11:$G$71</f>
              <numCache>
                <formatCode>0.00%</formatCode>
                <ptCount val="61"/>
                <pt idx="0">
                  <v>0.1307334996972312</v>
                </pt>
                <pt idx="1">
                  <v>0.1079963988087054</v>
                </pt>
                <pt idx="2">
                  <v>0.06731689302191123</v>
                </pt>
                <pt idx="3">
                  <v>0.0427317146057907</v>
                </pt>
                <pt idx="4">
                  <v>0.1413603470233188</v>
                </pt>
                <pt idx="5">
                  <v>0.07771247937402098</v>
                </pt>
                <pt idx="6">
                  <v>0.07733521042629579</v>
                </pt>
                <pt idx="7">
                  <v>0.0496710631066359</v>
                </pt>
                <pt idx="8">
                  <v>0.05044623582301432</v>
                </pt>
                <pt idx="9">
                  <v>0.0285063352592798</v>
                </pt>
                <pt idx="10">
                  <v>0.02569318286190054</v>
                </pt>
                <pt idx="11">
                  <v>0.02302541806537236</v>
                </pt>
                <pt idx="12">
                  <v>0.02122038368287281</v>
                </pt>
                <pt idx="13">
                  <v>0.01637772914021039</v>
                </pt>
                <pt idx="14">
                  <v>0.01672778139776958</v>
                </pt>
                <pt idx="15">
                  <v>0.0164859103113473</v>
                </pt>
                <pt idx="16">
                  <v>0.0157353879214192</v>
                </pt>
                <pt idx="17">
                  <v>0.01111551975345351</v>
                </pt>
                <pt idx="18">
                  <v>0.009922984583293571</v>
                </pt>
                <pt idx="19">
                  <v>0.007031105875344694</v>
                </pt>
                <pt idx="20">
                  <v>0.007342448873899129</v>
                </pt>
                <pt idx="21">
                  <v>0.005423451378772051</v>
                </pt>
                <pt idx="22">
                  <v>0.005711399541671471</v>
                </pt>
                <pt idx="23">
                  <v>0.005247881585079891</v>
                </pt>
                <pt idx="24">
                  <v>0.004474260680934371</v>
                </pt>
                <pt idx="25">
                  <v>0.004349684839335497</v>
                </pt>
                <pt idx="26">
                  <v>0.004260813058744445</v>
                </pt>
                <pt idx="27">
                  <v>0.003051261427244093</v>
                </pt>
                <pt idx="28">
                  <v>0.002877554391831113</v>
                </pt>
                <pt idx="29">
                  <v>0.002118424383732917</v>
                </pt>
                <pt idx="30">
                  <v>0.002006809857730414</v>
                </pt>
                <pt idx="31">
                  <v>0.001725142134405977</v>
                </pt>
                <pt idx="32">
                  <v>0.001596013047021038</v>
                </pt>
                <pt idx="33">
                  <v>0.001319774243389678</v>
                </pt>
                <pt idx="34">
                  <v>0.001214568538563903</v>
                </pt>
                <pt idx="35">
                  <v>0.00115623546899833</v>
                </pt>
                <pt idx="36">
                  <v>0.001069233656674955</v>
                </pt>
                <pt idx="37">
                  <v>0.0008730635912590449</v>
                </pt>
                <pt idx="38">
                  <v>0.001100665379380856</v>
                </pt>
                <pt idx="39">
                  <v>0.0007722312851093186</v>
                </pt>
                <pt idx="40">
                  <v>0.0006497679415581191</v>
                </pt>
                <pt idx="41">
                  <v>0.0005773424912154852</v>
                </pt>
                <pt idx="42">
                  <v>0.0004726749440834816</v>
                </pt>
                <pt idx="43">
                  <v>0.0003639186084336131</v>
                </pt>
                <pt idx="44">
                  <v>0.0003832861000765271</v>
                </pt>
                <pt idx="45">
                  <v>0.0004472262961669801</v>
                </pt>
                <pt idx="46">
                  <v>0.0002921774091489288</v>
                </pt>
                <pt idx="47">
                  <v>0.0002939314709756933</v>
                </pt>
                <pt idx="48">
                  <v>0.0002098811479023432</v>
                </pt>
                <pt idx="49">
                  <v>0.000196601222848293</v>
                </pt>
                <pt idx="50">
                  <v>0.0001532611914666669</v>
                </pt>
                <pt idx="51">
                  <v>0.0001459917814295988</v>
                </pt>
                <pt idx="52">
                  <v>0.0001168590577513608</v>
                </pt>
                <pt idx="53">
                  <v>0.0001069936330095604</v>
                </pt>
                <pt idx="54">
                  <v>0.000104286593595951</v>
                </pt>
                <pt idx="55">
                  <v>8.017204455608066e-05</v>
                </pt>
                <pt idx="56">
                  <v>9.034261805006073e-05</v>
                </pt>
                <pt idx="57">
                  <v>6.645748156331623e-05</v>
                </pt>
                <pt idx="58">
                  <v>5.172697410869568e-05</v>
                </pt>
                <pt idx="59">
                  <v>5.061367680047845e-05</v>
                </pt>
                <pt idx="60">
                  <v>4.715859530969852e-05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4938240"/>
        <axId val="58198272"/>
      </lineChart>
      <catAx>
        <axId val="124938240"/>
        <scaling>
          <orientation val="minMax"/>
        </scaling>
        <delete val="0"/>
        <axPos val="b"/>
        <majorTickMark val="none"/>
        <minorTickMark val="none"/>
        <tickLblPos val="nextTo"/>
        <crossAx val="58198272"/>
        <crosses val="autoZero"/>
        <auto val="1"/>
        <lblAlgn val="ctr"/>
        <lblOffset val="100"/>
        <tickLblSkip val="10"/>
        <noMultiLvlLbl val="0"/>
      </catAx>
      <valAx>
        <axId val="58198272"/>
        <scaling>
          <orientation val="minMax"/>
        </scaling>
        <delete val="0"/>
        <axPos val="l"/>
        <majorGridlines>
          <spPr>
            <a:ln xmlns:a="http://schemas.openxmlformats.org/drawingml/2006/main">
              <a:solidFill>
                <a:schemeClr val="bg1">
                  <a:lumMod val="85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crossAx val="124938240"/>
        <crosses val="autoZero"/>
        <crossBetween val="between"/>
        <majorUnit val="0.05"/>
        <minorUnit val="0.05"/>
      </valAx>
    </plotArea>
    <legend>
      <legendPos val="r"/>
      <layout>
        <manualLayout>
          <xMode val="edge"/>
          <yMode val="edge"/>
          <wMode val="factor"/>
          <hMode val="factor"/>
          <x val="0.8139477283649403"/>
          <y val="0.07831984543598716"/>
          <w val="0.1416550219954899"/>
          <h val="0.1350269757946923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010225130309416"/>
          <y val="0.05140055409740449"/>
          <w val="0.8626163542937416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TDFD_Home!$C$10</f>
              <strCache>
                <ptCount val="1"/>
                <pt idx="0">
                  <v>Survey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TDFD_Home!$C$11:$C$71</f>
              <numCache>
                <formatCode>0.00%</formatCode>
                <ptCount val="61"/>
                <pt idx="0">
                  <v>0.001152059183611383</v>
                </pt>
                <pt idx="1">
                  <v>0.003282366573180646</v>
                </pt>
                <pt idx="2">
                  <v>0.004803030192863101</v>
                </pt>
                <pt idx="3">
                  <v>0.007178388057394851</v>
                </pt>
                <pt idx="4">
                  <v>0.005861039429505013</v>
                </pt>
                <pt idx="5">
                  <v>0.01321737866719718</v>
                </pt>
                <pt idx="6">
                  <v>0.01199838168494834</v>
                </pt>
                <pt idx="7">
                  <v>0.01433526522952486</v>
                </pt>
                <pt idx="8">
                  <v>0.01101331772659792</v>
                </pt>
                <pt idx="9">
                  <v>0.01665632804991918</v>
                </pt>
                <pt idx="10">
                  <v>0.009232369937367906</v>
                </pt>
                <pt idx="11">
                  <v>0.01405449135421603</v>
                </pt>
                <pt idx="12">
                  <v>0.01998164595912948</v>
                </pt>
                <pt idx="13">
                  <v>0.01902249751549931</v>
                </pt>
                <pt idx="14">
                  <v>0.01339284182292734</v>
                </pt>
                <pt idx="15">
                  <v>0.008394441005331495</v>
                </pt>
                <pt idx="16">
                  <v>0.03410685685180894</v>
                </pt>
                <pt idx="17">
                  <v>0.02096729466068819</v>
                </pt>
                <pt idx="18">
                  <v>0.06464099193187585</v>
                </pt>
                <pt idx="19">
                  <v>0.03892356467888938</v>
                </pt>
                <pt idx="20">
                  <v>0.05771479789334328</v>
                </pt>
                <pt idx="21">
                  <v>0.04966567830737201</v>
                </pt>
                <pt idx="22">
                  <v>0.04325311964068803</v>
                </pt>
                <pt idx="23">
                  <v>0.02722817526263115</v>
                </pt>
                <pt idx="24">
                  <v>0.03238963830286609</v>
                </pt>
                <pt idx="25">
                  <v>0.02221278407958554</v>
                </pt>
                <pt idx="26">
                  <v>0.0561182497935039</v>
                </pt>
                <pt idx="27">
                  <v>0.01441897340438181</v>
                </pt>
                <pt idx="28">
                  <v>0.02256526496353198</v>
                </pt>
                <pt idx="29">
                  <v>0.02000366097970833</v>
                </pt>
                <pt idx="30">
                  <v>0.01477781114068595</v>
                </pt>
                <pt idx="31">
                  <v>0.01117861780954978</v>
                </pt>
                <pt idx="32">
                  <v>0.01172931447539255</v>
                </pt>
                <pt idx="33">
                  <v>0.01043650752017096</v>
                </pt>
                <pt idx="34">
                  <v>0.01820857023773134</v>
                </pt>
                <pt idx="35">
                  <v>0.007924391534417492</v>
                </pt>
                <pt idx="36">
                  <v>0.01124475877660995</v>
                </pt>
                <pt idx="37">
                  <v>0.01378119182782082</v>
                </pt>
                <pt idx="38">
                  <v>0.01597298183523662</v>
                </pt>
                <pt idx="39">
                  <v>0.005117055739251079</v>
                </pt>
                <pt idx="40">
                  <v>0.008465302347576781</v>
                </pt>
                <pt idx="41">
                  <v>0.005363380664994629</v>
                </pt>
                <pt idx="42">
                  <v>0.004350555925721309</v>
                </pt>
                <pt idx="43">
                  <v>0.003485835936005143</v>
                </pt>
                <pt idx="44">
                  <v>0.002962057022366923</v>
                </pt>
                <pt idx="45">
                  <v>0.03980851486564445</v>
                </pt>
                <pt idx="46">
                  <v>0.004038163030117151</v>
                </pt>
                <pt idx="47">
                  <v>0.00418149124366942</v>
                </pt>
                <pt idx="48">
                  <v>0.005357206437647337</v>
                </pt>
                <pt idx="49">
                  <v>0.00312120667183732</v>
                </pt>
                <pt idx="50">
                  <v>0.00167144123266655</v>
                </pt>
                <pt idx="51">
                  <v>0.00387303338114359</v>
                </pt>
                <pt idx="52">
                  <v>0.003475241290384114</v>
                </pt>
                <pt idx="53">
                  <v>0.0003999639596327378</v>
                </pt>
                <pt idx="54">
                  <v>0.006596900001150738</v>
                </pt>
                <pt idx="55">
                  <v>0.0005791199190215872</v>
                </pt>
                <pt idx="56">
                  <v>0.001411840588868367</v>
                </pt>
                <pt idx="57">
                  <v>0.0007778790528241542</v>
                </pt>
                <pt idx="58">
                  <v>0.002637583673933246</v>
                </pt>
                <pt idx="59">
                  <v>0.003175906908316792</v>
                </pt>
                <pt idx="60">
                  <v>0.004395432065088614</v>
                </pt>
              </numCache>
            </numRef>
          </val>
          <smooth val="0"/>
        </ser>
        <ser>
          <idx val="1"/>
          <order val="1"/>
          <tx>
            <strRef>
              <f>TDFD_Home!$G$10</f>
              <strCache>
                <ptCount val="1"/>
                <pt idx="0">
                  <v>DaySim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TDFD_Home!$G$11:$G$71</f>
              <numCache>
                <formatCode>0.00%</formatCode>
                <ptCount val="61"/>
                <pt idx="0">
                  <v>0.004150341812758842</v>
                </pt>
                <pt idx="1">
                  <v>0.01579235466050567</v>
                </pt>
                <pt idx="2">
                  <v>0.02019624310317637</v>
                </pt>
                <pt idx="3">
                  <v>0.02369850712768314</v>
                </pt>
                <pt idx="4">
                  <v>0.02551059691424877</v>
                </pt>
                <pt idx="5">
                  <v>0.02588151702000148</v>
                </pt>
                <pt idx="6">
                  <v>0.02560518791823613</v>
                </pt>
                <pt idx="7">
                  <v>0.0248438368646156</v>
                </pt>
                <pt idx="8">
                  <v>0.02349180540612055</v>
                </pt>
                <pt idx="9">
                  <v>0.02189661865110965</v>
                </pt>
                <pt idx="10">
                  <v>0.02018210057622484</v>
                </pt>
                <pt idx="11">
                  <v>0.01852580436732975</v>
                </pt>
                <pt idx="12">
                  <v>0.01729441948185628</v>
                </pt>
                <pt idx="13">
                  <v>0.01538056041347261</v>
                </pt>
                <pt idx="14">
                  <v>0.01392248389797547</v>
                </pt>
                <pt idx="15">
                  <v>0.01355478604915872</v>
                </pt>
                <pt idx="16">
                  <v>0.01263216159177169</v>
                </pt>
                <pt idx="17">
                  <v>0.01137139567467388</v>
                </pt>
                <pt idx="18">
                  <v>0.09778963415315864</v>
                </pt>
                <pt idx="19">
                  <v>0.03507366405446676</v>
                </pt>
                <pt idx="20">
                  <v>0.03406244941424177</v>
                </pt>
                <pt idx="21">
                  <v>0.04275020027385136</v>
                </pt>
                <pt idx="22">
                  <v>0.0418309387876611</v>
                </pt>
                <pt idx="23">
                  <v>0.03487870395627246</v>
                </pt>
                <pt idx="24">
                  <v>0.02914630592510621</v>
                </pt>
                <pt idx="25">
                  <v>0.02741393730309566</v>
                </pt>
                <pt idx="26">
                  <v>0.02290084708225923</v>
                </pt>
                <pt idx="27">
                  <v>0.02158915791416102</v>
                </pt>
                <pt idx="28">
                  <v>0.01844376928731135</v>
                </pt>
                <pt idx="29">
                  <v>0.02114918860637653</v>
                </pt>
                <pt idx="30">
                  <v>0.01915632393925934</v>
                </pt>
                <pt idx="31">
                  <v>0.01565393343195902</v>
                </pt>
                <pt idx="32">
                  <v>0.01110108268000534</v>
                </pt>
                <pt idx="33">
                  <v>0.01493957290141159</v>
                </pt>
                <pt idx="34">
                  <v>0.01621555304255177</v>
                </pt>
                <pt idx="35">
                  <v>0.01213332173448545</v>
                </pt>
                <pt idx="36">
                  <v>0.009162049975891822</v>
                </pt>
                <pt idx="37">
                  <v>0.0087481127894437</v>
                </pt>
                <pt idx="38">
                  <v>0.009303003045256846</v>
                </pt>
                <pt idx="39">
                  <v>0.009129019105932912</v>
                </pt>
                <pt idx="40">
                  <v>0.008305902499901378</v>
                </pt>
                <pt idx="41">
                  <v>0.006337793309423007</v>
                </pt>
                <pt idx="42">
                  <v>0.005912019764767942</v>
                </pt>
                <pt idx="43">
                  <v>0.004810919347584894</v>
                </pt>
                <pt idx="44">
                  <v>0.0060466479350359</v>
                </pt>
                <pt idx="45">
                  <v>0.004393277809921125</v>
                </pt>
                <pt idx="46">
                  <v>0.004532301445074521</v>
                </pt>
                <pt idx="47">
                  <v>0.00392380870768822</v>
                </pt>
                <pt idx="48">
                  <v>0.003868949592385524</v>
                </pt>
                <pt idx="49">
                  <v>0.004410238869037219</v>
                </pt>
                <pt idx="50">
                  <v>0.002937780515449739</v>
                </pt>
                <pt idx="51">
                  <v>0.002886439760726254</v>
                </pt>
                <pt idx="52">
                  <v>0.002406022905009064</v>
                </pt>
                <pt idx="53">
                  <v>0.002575737839351881</v>
                </pt>
                <pt idx="54">
                  <v>0.002050497776328813</v>
                </pt>
                <pt idx="55">
                  <v>0.002119876308664927</v>
                </pt>
                <pt idx="56">
                  <v>0.002519303116603679</v>
                </pt>
                <pt idx="57">
                  <v>0.001917745753528327</v>
                </pt>
                <pt idx="58">
                  <v>0.002728323963154892</v>
                </pt>
                <pt idx="59">
                  <v>0.001608162870575663</v>
                </pt>
                <pt idx="60">
                  <v>0.00143016991118061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102592"/>
        <axId val="76114176"/>
      </lineChart>
      <catAx>
        <axId val="125102592"/>
        <scaling>
          <orientation val="minMax"/>
        </scaling>
        <delete val="0"/>
        <axPos val="b"/>
        <majorTickMark val="none"/>
        <minorTickMark val="none"/>
        <tickLblPos val="nextTo"/>
        <crossAx val="76114176"/>
        <crosses val="autoZero"/>
        <auto val="1"/>
        <lblAlgn val="ctr"/>
        <lblOffset val="100"/>
        <tickLblSkip val="10"/>
        <noMultiLvlLbl val="0"/>
      </catAx>
      <valAx>
        <axId val="76114176"/>
        <scaling>
          <orientation val="minMax"/>
          <max val="0.2"/>
        </scaling>
        <delete val="0"/>
        <axPos val="l"/>
        <majorGridlines>
          <spPr>
            <a:ln xmlns:a="http://schemas.openxmlformats.org/drawingml/2006/main">
              <a:solidFill>
                <a:schemeClr val="bg1">
                  <a:lumMod val="85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crossAx val="125102592"/>
        <crosses val="autoZero"/>
        <crossBetween val="between"/>
        <majorUnit val="0.05"/>
        <minorUnit val="0.05"/>
      </valAx>
    </plotArea>
    <legend>
      <legendPos val="r"/>
      <layout>
        <manualLayout>
          <xMode val="edge"/>
          <yMode val="edge"/>
          <wMode val="factor"/>
          <hMode val="factor"/>
          <x val="0.8139477283649403"/>
          <y val="0.07831984543598716"/>
          <w val="0.1416550219954899"/>
          <h val="0.1350269757946923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010225130309416"/>
          <y val="0.05140055409740449"/>
          <w val="0.8626163542937416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TLFD_Work!$C$10</f>
              <strCache>
                <ptCount val="1"/>
                <pt idx="0">
                  <v>Survey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TLFD_Work!$C$11:$C$71</f>
              <numCache>
                <formatCode>0.00%</formatCode>
                <ptCount val="61"/>
                <pt idx="0">
                  <v>0.04335089758717645</v>
                </pt>
                <pt idx="1">
                  <v>0.04096404800462138</v>
                </pt>
                <pt idx="2">
                  <v>0.03403094665060539</v>
                </pt>
                <pt idx="3">
                  <v>0.06110763329497118</v>
                </pt>
                <pt idx="4">
                  <v>0.1146193417311099</v>
                </pt>
                <pt idx="5">
                  <v>0.08268914877562525</v>
                </pt>
                <pt idx="6">
                  <v>0.07502535527395265</v>
                </pt>
                <pt idx="7">
                  <v>0.0510150805091914</v>
                </pt>
                <pt idx="8">
                  <v>0.06063612371328884</v>
                </pt>
                <pt idx="9">
                  <v>0.03836218650598219</v>
                </pt>
                <pt idx="10">
                  <v>0.05603928983893791</v>
                </pt>
                <pt idx="11">
                  <v>0.03141204149878534</v>
                </pt>
                <pt idx="12">
                  <v>0.02832049377227957</v>
                </pt>
                <pt idx="13">
                  <v>0.02396840074609901</v>
                </pt>
                <pt idx="14">
                  <v>0.01525168790630407</v>
                </pt>
                <pt idx="15">
                  <v>0.02373658686325935</v>
                </pt>
                <pt idx="16">
                  <v>0.02615340193323832</v>
                </pt>
                <pt idx="17">
                  <v>0.02112205045927426</v>
                </pt>
                <pt idx="18">
                  <v>0.02542150275438439</v>
                </pt>
                <pt idx="19">
                  <v>0.0145762174970071</v>
                </pt>
                <pt idx="20">
                  <v>0.01350652940620706</v>
                </pt>
                <pt idx="21">
                  <v>0.0125016702815946</v>
                </pt>
                <pt idx="22">
                  <v>0.01088364583942647</v>
                </pt>
                <pt idx="23">
                  <v>0.0104442197281679</v>
                </pt>
                <pt idx="24">
                  <v>0.008478214610872165</v>
                </pt>
                <pt idx="25">
                  <v>0.006562207324196945</v>
                </pt>
                <pt idx="26">
                  <v>0.007075881956680087</v>
                </pt>
                <pt idx="27">
                  <v>0.00578510887071891</v>
                </pt>
                <pt idx="28">
                  <v>0.0047068909969255</v>
                </pt>
                <pt idx="29">
                  <v>0.003027384565887242</v>
                </pt>
                <pt idx="30">
                  <v>0.004249424252668397</v>
                </pt>
                <pt idx="31">
                  <v>0.003692016131953997</v>
                </pt>
                <pt idx="32">
                  <v>0.001642134927064394</v>
                </pt>
                <pt idx="33">
                  <v>0.002414056508748624</v>
                </pt>
                <pt idx="34">
                  <v>0.006118027164884774</v>
                </pt>
                <pt idx="35">
                  <v>0.00202831186020452</v>
                </pt>
                <pt idx="36">
                  <v>0.003132237906932744</v>
                </pt>
                <pt idx="37">
                  <v>0.002331125162855204</v>
                </pt>
                <pt idx="38">
                  <v>0.003262560957806012</v>
                </pt>
                <pt idx="39">
                  <v>0.001519784399754096</v>
                </pt>
                <pt idx="40">
                  <v>0.001690361775927288</v>
                </pt>
                <pt idx="41">
                  <v>0.00185144779441628</v>
                </pt>
                <pt idx="42">
                  <v>0.0002663516188361649</v>
                </pt>
                <pt idx="43">
                  <v>0.0007836527268878503</v>
                </pt>
                <pt idx="44">
                  <v>0.002084526527174434</v>
                </pt>
                <pt idx="45">
                  <v>0.001002741520017638</v>
                </pt>
                <pt idx="46">
                  <v>0.0003038658678014024</v>
                </pt>
                <pt idx="47">
                  <v>0.002768692750067967</v>
                </pt>
                <pt idx="48">
                  <v>0.001552451998630187</v>
                </pt>
                <pt idx="49">
                  <v>0.0002171324660808595</v>
                </pt>
                <pt idx="50">
                  <v>0.0005170117782640236</v>
                </pt>
                <pt idx="51">
                  <v>0.0002494372632501389</v>
                </pt>
                <pt idx="52">
                  <v>0.0009672396816166079</v>
                </pt>
                <pt idx="53">
                  <v>0.0002036104492537721</v>
                </pt>
                <pt idx="54">
                  <v>0.0004368759098675356</v>
                </pt>
                <pt idx="55">
                  <v>0.0007094996729678127</v>
                </pt>
                <pt idx="56">
                  <v>0.001303699415208944</v>
                </pt>
                <pt idx="57">
                  <v>0.0005591977589602646</v>
                </pt>
                <pt idx="58">
                  <v>0</v>
                </pt>
                <pt idx="59">
                  <v>0</v>
                </pt>
                <pt idx="6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TLFD_Work!$G$10</f>
              <strCache>
                <ptCount val="1"/>
                <pt idx="0">
                  <v>DaySim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TLFD_Work!$G$11:$G$71</f>
              <numCache>
                <formatCode>0.00%</formatCode>
                <ptCount val="61"/>
                <pt idx="0">
                  <v>0.1086929026418531</v>
                </pt>
                <pt idx="1">
                  <v>0.06662840160231004</v>
                </pt>
                <pt idx="2">
                  <v>0.04479569635352059</v>
                </pt>
                <pt idx="3">
                  <v>0.03134490537967291</v>
                </pt>
                <pt idx="4">
                  <v>0.08792644219983581</v>
                </pt>
                <pt idx="5">
                  <v>0.07354257405705641</v>
                </pt>
                <pt idx="6">
                  <v>0.06614573770927104</v>
                </pt>
                <pt idx="7">
                  <v>0.04677682953017559</v>
                </pt>
                <pt idx="8">
                  <v>0.05246479741030374</v>
                </pt>
                <pt idx="9">
                  <v>0.03633417287448402</v>
                </pt>
                <pt idx="10">
                  <v>0.03320779920355789</v>
                </pt>
                <pt idx="11">
                  <v>0.02738234339462469</v>
                </pt>
                <pt idx="12">
                  <v>0.02741763169948331</v>
                </pt>
                <pt idx="13">
                  <v>0.02613536881219438</v>
                </pt>
                <pt idx="14">
                  <v>0.02600617443527277</v>
                </pt>
                <pt idx="15">
                  <v>0.02237777771632662</v>
                </pt>
                <pt idx="16">
                  <v>0.02455459416185399</v>
                </pt>
                <pt idx="17">
                  <v>0.0192974264951791</v>
                </pt>
                <pt idx="18">
                  <v>0.01799614660633263</v>
                </pt>
                <pt idx="19">
                  <v>0.01525744144210372</v>
                </pt>
                <pt idx="20">
                  <v>0.01573595300863544</v>
                </pt>
                <pt idx="21">
                  <v>0.01107483064725904</v>
                </pt>
                <pt idx="22">
                  <v>0.0118606094572777</v>
                </pt>
                <pt idx="23">
                  <v>0.01172895517444176</v>
                </pt>
                <pt idx="24">
                  <v>0.008988409789259119</v>
                </pt>
                <pt idx="25">
                  <v>0.0103718105429593</v>
                </pt>
                <pt idx="26">
                  <v>0.009927650347889531</v>
                </pt>
                <pt idx="27">
                  <v>0.005780678589458963</v>
                </pt>
                <pt idx="28">
                  <v>0.005683125373275932</v>
                </pt>
                <pt idx="29">
                  <v>0.005193982827209813</v>
                </pt>
                <pt idx="30">
                  <v>0.004912886018380174</v>
                </pt>
                <pt idx="31">
                  <v>0.004398960302269442</v>
                </pt>
                <pt idx="32">
                  <v>0.003608894247585365</v>
                </pt>
                <pt idx="33">
                  <v>0.003739579229218398</v>
                </pt>
                <pt idx="34">
                  <v>0.003114436134777925</v>
                </pt>
                <pt idx="35">
                  <v>0.002851687894558956</v>
                </pt>
                <pt idx="36">
                  <v>0.003423971111972905</v>
                </pt>
                <pt idx="37">
                  <v>0.00269824217531409</v>
                </pt>
                <pt idx="38">
                  <v>0.003155768604996814</v>
                </pt>
                <pt idx="39">
                  <v>0.002474981852795901</v>
                </pt>
                <pt idx="40">
                  <v>0.001793189862790404</v>
                </pt>
                <pt idx="41">
                  <v>0.001505708394723697</v>
                </pt>
                <pt idx="42">
                  <v>0.001287767890664051</v>
                </pt>
                <pt idx="43">
                  <v>0.001144767843809417</v>
                </pt>
                <pt idx="44">
                  <v>0.00107158966609841</v>
                </pt>
                <pt idx="45">
                  <v>0.001171914453197143</v>
                </pt>
                <pt idx="46">
                  <v>0.0008892866770908552</v>
                </pt>
                <pt idx="47">
                  <v>0.0008332386461751047</v>
                </pt>
                <pt idx="48">
                  <v>0.0005865124242172237</v>
                </pt>
                <pt idx="49">
                  <v>0.0004806553355794232</v>
                </pt>
                <pt idx="50">
                  <v>0.0004228390206235855</v>
                </pt>
                <pt idx="51">
                  <v>0.0005173340796317852</v>
                </pt>
                <pt idx="52">
                  <v>0.0003101965591854917</v>
                </pt>
                <pt idx="53">
                  <v>0.0003767337526760257</v>
                </pt>
                <pt idx="54">
                  <v>0.0003258552990849793</v>
                </pt>
                <pt idx="55">
                  <v>0.0002518041040427262</v>
                </pt>
                <pt idx="56">
                  <v>0.0003103817598290259</v>
                </pt>
                <pt idx="57">
                  <v>0.0002324276833983701</v>
                </pt>
                <pt idx="58">
                  <v>0.0001286952561628405</v>
                </pt>
                <pt idx="59">
                  <v>0.0002402754051829969</v>
                </pt>
                <pt idx="60">
                  <v>0.0001376584092231625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9974784"/>
        <axId val="81252288"/>
      </lineChart>
      <catAx>
        <axId val="129974784"/>
        <scaling>
          <orientation val="minMax"/>
        </scaling>
        <delete val="0"/>
        <axPos val="b"/>
        <majorTickMark val="none"/>
        <minorTickMark val="none"/>
        <tickLblPos val="nextTo"/>
        <crossAx val="81252288"/>
        <crosses val="autoZero"/>
        <auto val="1"/>
        <lblAlgn val="ctr"/>
        <lblOffset val="100"/>
        <tickLblSkip val="10"/>
        <noMultiLvlLbl val="0"/>
      </catAx>
      <valAx>
        <axId val="81252288"/>
        <scaling>
          <orientation val="minMax"/>
          <max val="0.3"/>
        </scaling>
        <delete val="0"/>
        <axPos val="l"/>
        <majorGridlines>
          <spPr>
            <a:ln xmlns:a="http://schemas.openxmlformats.org/drawingml/2006/main">
              <a:solidFill>
                <a:schemeClr val="bg1">
                  <a:lumMod val="85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crossAx val="129974784"/>
        <crosses val="autoZero"/>
        <crossBetween val="between"/>
        <majorUnit val="0.05"/>
        <minorUnit val="0.05"/>
      </valAx>
    </plotArea>
    <legend>
      <legendPos val="r"/>
      <layout>
        <manualLayout>
          <xMode val="edge"/>
          <yMode val="edge"/>
          <wMode val="factor"/>
          <hMode val="factor"/>
          <x val="0.8139477283649403"/>
          <y val="0.07831984543598716"/>
          <w val="0.1416550219954899"/>
          <h val="0.1350269757946923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010225130309416"/>
          <y val="0.05140055409740449"/>
          <w val="0.8626163542937416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TDFD_Work!$C$10</f>
              <strCache>
                <ptCount val="1"/>
                <pt idx="0">
                  <v>Survey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TDFD_Work!$C$11:$C$71</f>
              <numCache>
                <formatCode>0.00%</formatCode>
                <ptCount val="61"/>
                <pt idx="0">
                  <v>0.0005097601877332642</v>
                </pt>
                <pt idx="1">
                  <v>0.000758895163674533</v>
                </pt>
                <pt idx="2">
                  <v>0.003004014301922366</v>
                </pt>
                <pt idx="3">
                  <v>0.001874900918653638</v>
                </pt>
                <pt idx="4">
                  <v>0.005059480592986621</v>
                </pt>
                <pt idx="5">
                  <v>0.0137955379963598</v>
                </pt>
                <pt idx="6">
                  <v>0.01198784714779317</v>
                </pt>
                <pt idx="7">
                  <v>0.01203003969822729</v>
                </pt>
                <pt idx="8">
                  <v>0.007383907496394418</v>
                </pt>
                <pt idx="9">
                  <v>0.01783647374838146</v>
                </pt>
                <pt idx="10">
                  <v>0.006382325174906813</v>
                </pt>
                <pt idx="11">
                  <v>0.0143969097313234</v>
                </pt>
                <pt idx="12">
                  <v>0.01010794500645672</v>
                </pt>
                <pt idx="13">
                  <v>0.01064856643007681</v>
                </pt>
                <pt idx="14">
                  <v>0.0118800511670444</v>
                </pt>
                <pt idx="15">
                  <v>0.009826489519336011</v>
                </pt>
                <pt idx="16">
                  <v>0.01680709710208317</v>
                </pt>
                <pt idx="17">
                  <v>0.009751177849876723</v>
                </pt>
                <pt idx="18">
                  <v>0.04667644781415387</v>
                </pt>
                <pt idx="19">
                  <v>0.03012323758162195</v>
                </pt>
                <pt idx="20">
                  <v>0.03486011023302026</v>
                </pt>
                <pt idx="21">
                  <v>0.04745395616972672</v>
                </pt>
                <pt idx="22">
                  <v>0.03215998214370076</v>
                </pt>
                <pt idx="23">
                  <v>0.02790041801934104</v>
                </pt>
                <pt idx="24">
                  <v>0.03701357391048032</v>
                </pt>
                <pt idx="25">
                  <v>0.02264879460486225</v>
                </pt>
                <pt idx="26">
                  <v>0.03622624468229631</v>
                </pt>
                <pt idx="27">
                  <v>0.02450179920479207</v>
                </pt>
                <pt idx="28">
                  <v>0.02750090078096525</v>
                </pt>
                <pt idx="29">
                  <v>0.02272806009262487</v>
                </pt>
                <pt idx="30">
                  <v>0.02569070456835038</v>
                </pt>
                <pt idx="31">
                  <v>0.01736133471288971</v>
                </pt>
                <pt idx="32">
                  <v>0.01853165125615865</v>
                </pt>
                <pt idx="33">
                  <v>0.02081973526267035</v>
                </pt>
                <pt idx="34">
                  <v>0.02906300939810028</v>
                </pt>
                <pt idx="35">
                  <v>0.01870160122595146</v>
                </pt>
                <pt idx="36">
                  <v>0.0131131000727953</v>
                </pt>
                <pt idx="37">
                  <v>0.0174026038869072</v>
                </pt>
                <pt idx="38">
                  <v>0.02202923385983507</v>
                </pt>
                <pt idx="39">
                  <v>0.01183127698909446</v>
                </pt>
                <pt idx="40">
                  <v>0.01005818599877456</v>
                </pt>
                <pt idx="41">
                  <v>0.01507345160859752</v>
                </pt>
                <pt idx="42">
                  <v>0.007386287534610947</v>
                </pt>
                <pt idx="43">
                  <v>0.01030662680441505</v>
                </pt>
                <pt idx="44">
                  <v>0.00724124309328944</v>
                </pt>
                <pt idx="45">
                  <v>0.03453373684413692</v>
                </pt>
                <pt idx="46">
                  <v>0.009979104151052</v>
                </pt>
                <pt idx="47">
                  <v>0.008579099378592124</v>
                </pt>
                <pt idx="48">
                  <v>0.00741699283069626</v>
                </pt>
                <pt idx="49">
                  <v>0.004791333717738798</v>
                </pt>
                <pt idx="50">
                  <v>0.005940455912980675</v>
                </pt>
                <pt idx="51">
                  <v>0.004593917960058132</v>
                </pt>
                <pt idx="52">
                  <v>0.006566768684801981</v>
                </pt>
                <pt idx="53">
                  <v>0.005138645151087293</v>
                </pt>
                <pt idx="54">
                  <v>0.00434820077606164</v>
                </pt>
                <pt idx="55">
                  <v>0.006137650095198502</v>
                </pt>
                <pt idx="56">
                  <v>0.003224642061806651</v>
                </pt>
                <pt idx="57">
                  <v>0.001961102810302111</v>
                </pt>
                <pt idx="58">
                  <v>0.002276982589139893</v>
                </pt>
                <pt idx="59">
                  <v>0.002927079952444457</v>
                </pt>
                <pt idx="60">
                  <v>0.002823367669651473</v>
                </pt>
              </numCache>
            </numRef>
          </val>
          <smooth val="0"/>
        </ser>
        <ser>
          <idx val="1"/>
          <order val="1"/>
          <tx>
            <strRef>
              <f>TDFD_Work!$G$10</f>
              <strCache>
                <ptCount val="1"/>
                <pt idx="0">
                  <v>DaySim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TDFD_Work!$G$11:$G$71</f>
              <numCache>
                <formatCode>0.00%</formatCode>
                <ptCount val="61"/>
                <pt idx="0">
                  <v>0.002142908534351567</v>
                </pt>
                <pt idx="1">
                  <v>0.01441712299675064</v>
                </pt>
                <pt idx="2">
                  <v>0.01567357937476106</v>
                </pt>
                <pt idx="3">
                  <v>0.01721396133703169</v>
                </pt>
                <pt idx="4">
                  <v>0.01833221337538781</v>
                </pt>
                <pt idx="5">
                  <v>0.01875022507849843</v>
                </pt>
                <pt idx="6">
                  <v>0.01891399031222369</v>
                </pt>
                <pt idx="7">
                  <v>0.0177028902233887</v>
                </pt>
                <pt idx="8">
                  <v>0.01723816299045925</v>
                </pt>
                <pt idx="9">
                  <v>0.01676095827851985</v>
                </pt>
                <pt idx="10">
                  <v>0.01621843756877293</v>
                </pt>
                <pt idx="11">
                  <v>0.01477200036297316</v>
                </pt>
                <pt idx="12">
                  <v>0.01407981861786702</v>
                </pt>
                <pt idx="13">
                  <v>0.0130158201567994</v>
                </pt>
                <pt idx="14">
                  <v>0.01154217129407388</v>
                </pt>
                <pt idx="15">
                  <v>0.01114093877785921</v>
                </pt>
                <pt idx="16">
                  <v>0.01027326317614613</v>
                </pt>
                <pt idx="17">
                  <v>0.009692610031104552</v>
                </pt>
                <pt idx="18">
                  <v>0.05354417187875239</v>
                </pt>
                <pt idx="19">
                  <v>0.02737723574159886</v>
                </pt>
                <pt idx="20">
                  <v>0.0250313900449582</v>
                </pt>
                <pt idx="21">
                  <v>0.03825425279249278</v>
                </pt>
                <pt idx="22">
                  <v>0.03499759395121398</v>
                </pt>
                <pt idx="23">
                  <v>0.03228283011801329</v>
                </pt>
                <pt idx="24">
                  <v>0.02674617896559358</v>
                </pt>
                <pt idx="25">
                  <v>0.02618821703144038</v>
                </pt>
                <pt idx="26">
                  <v>0.02661641667261353</v>
                </pt>
                <pt idx="27">
                  <v>0.02041771117828882</v>
                </pt>
                <pt idx="28">
                  <v>0.02530933132081523</v>
                </pt>
                <pt idx="29">
                  <v>0.02471345558308789</v>
                </pt>
                <pt idx="30">
                  <v>0.01967048330897406</v>
                </pt>
                <pt idx="31">
                  <v>0.01925154341993305</v>
                </pt>
                <pt idx="32">
                  <v>0.01700951343565876</v>
                </pt>
                <pt idx="33">
                  <v>0.01930978192894766</v>
                </pt>
                <pt idx="34">
                  <v>0.01975895423892065</v>
                </pt>
                <pt idx="35">
                  <v>0.01908974437849378</v>
                </pt>
                <pt idx="36">
                  <v>0.01336674912268281</v>
                </pt>
                <pt idx="37">
                  <v>0.01432587667020382</v>
                </pt>
                <pt idx="38">
                  <v>0.01589155136690491</v>
                </pt>
                <pt idx="39">
                  <v>0.01227357256215517</v>
                </pt>
                <pt idx="40">
                  <v>0.01478810024630049</v>
                </pt>
                <pt idx="41">
                  <v>0.01126800855693564</v>
                </pt>
                <pt idx="42">
                  <v>0.01062334935648006</v>
                </pt>
                <pt idx="43">
                  <v>0.01194822616487508</v>
                </pt>
                <pt idx="44">
                  <v>0.009122997289632409</v>
                </pt>
                <pt idx="45">
                  <v>0.008390527275552581</v>
                </pt>
                <pt idx="46">
                  <v>0.008134253353517248</v>
                </pt>
                <pt idx="47">
                  <v>0.007330462298238497</v>
                </pt>
                <pt idx="48">
                  <v>0.008198087937582177</v>
                </pt>
                <pt idx="49">
                  <v>0.007138706944267029</v>
                </pt>
                <pt idx="50">
                  <v>0.005725384957423899</v>
                </pt>
                <pt idx="51">
                  <v>0.006122291417814753</v>
                </pt>
                <pt idx="52">
                  <v>0.00601746313076722</v>
                </pt>
                <pt idx="53">
                  <v>0.005631136354430551</v>
                </pt>
                <pt idx="54">
                  <v>0.003940221907067735</v>
                </pt>
                <pt idx="55">
                  <v>0.004118774571969365</v>
                </pt>
                <pt idx="56">
                  <v>0.005089127063880432</v>
                </pt>
                <pt idx="57">
                  <v>0.004096143028534748</v>
                </pt>
                <pt idx="58">
                  <v>0.005733369331029472</v>
                </pt>
                <pt idx="59">
                  <v>0.004600409823951543</v>
                </pt>
                <pt idx="60">
                  <v>0.003971877767160124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1612928"/>
        <axId val="81254016"/>
      </lineChart>
      <catAx>
        <axId val="151612928"/>
        <scaling>
          <orientation val="minMax"/>
        </scaling>
        <delete val="0"/>
        <axPos val="b"/>
        <majorTickMark val="none"/>
        <minorTickMark val="none"/>
        <tickLblPos val="nextTo"/>
        <crossAx val="81254016"/>
        <crosses val="autoZero"/>
        <auto val="1"/>
        <lblAlgn val="ctr"/>
        <lblOffset val="100"/>
        <tickLblSkip val="10"/>
        <noMultiLvlLbl val="0"/>
      </catAx>
      <valAx>
        <axId val="81254016"/>
        <scaling>
          <orientation val="minMax"/>
          <max val="0.2"/>
        </scaling>
        <delete val="0"/>
        <axPos val="l"/>
        <majorGridlines>
          <spPr>
            <a:ln xmlns:a="http://schemas.openxmlformats.org/drawingml/2006/main">
              <a:solidFill>
                <a:schemeClr val="bg1">
                  <a:lumMod val="85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crossAx val="151612928"/>
        <crosses val="autoZero"/>
        <crossBetween val="between"/>
        <majorUnit val="0.05"/>
        <minorUnit val="0.05"/>
      </valAx>
    </plotArea>
    <legend>
      <legendPos val="r"/>
      <layout>
        <manualLayout>
          <xMode val="edge"/>
          <yMode val="edge"/>
          <wMode val="factor"/>
          <hMode val="factor"/>
          <x val="0.8139477283649403"/>
          <y val="0.07831984543598716"/>
          <w val="0.1416550219954899"/>
          <h val="0.1350269757946923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010225130309416"/>
          <y val="0.05140055409740449"/>
          <w val="0.8626163542937416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TLFD_School!$C$10</f>
              <strCache>
                <ptCount val="1"/>
                <pt idx="0">
                  <v>Survey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TLFD_School!$C$11:$C$71</f>
              <numCache>
                <formatCode>0.00%</formatCode>
                <ptCount val="61"/>
                <pt idx="0">
                  <v>0.06790880486394436</v>
                </pt>
                <pt idx="1">
                  <v>0.0503322609302601</v>
                </pt>
                <pt idx="2">
                  <v>0.06450768833813773</v>
                </pt>
                <pt idx="3">
                  <v>0.09533225084483021</v>
                </pt>
                <pt idx="4">
                  <v>0.2023471694558023</v>
                </pt>
                <pt idx="5">
                  <v>0.08541097792776903</v>
                </pt>
                <pt idx="6">
                  <v>0.1427425933994649</v>
                </pt>
                <pt idx="7">
                  <v>0.05359658129013945</v>
                </pt>
                <pt idx="8">
                  <v>0.0452835783619864</v>
                </pt>
                <pt idx="9">
                  <v>0.03415497737180903</v>
                </pt>
                <pt idx="10">
                  <v>0.06064185362411494</v>
                </pt>
                <pt idx="11">
                  <v>0.01174576108969247</v>
                </pt>
                <pt idx="12">
                  <v>0.008981414637659559</v>
                </pt>
                <pt idx="13">
                  <v>0.00638885688895157</v>
                </pt>
                <pt idx="14">
                  <v>0.006227188282141479</v>
                </pt>
                <pt idx="15">
                  <v>0.003145870305656869</v>
                </pt>
                <pt idx="16">
                  <v>0.01198673775780561</v>
                </pt>
                <pt idx="17">
                  <v>0.007221751685461028</v>
                </pt>
                <pt idx="18">
                  <v>0.007044405115650753</v>
                </pt>
                <pt idx="19">
                  <v>0.002077041179803868</v>
                </pt>
                <pt idx="20">
                  <v>0.001936695971928932</v>
                </pt>
                <pt idx="21">
                  <v>0.009179975471666279</v>
                </pt>
                <pt idx="22">
                  <v>0.002526872633139092</v>
                </pt>
                <pt idx="23">
                  <v>0.01100414413466964</v>
                </pt>
                <pt idx="24">
                  <v>0.000205682651540962</v>
                </pt>
                <pt idx="25">
                  <v>0.001248939458689278</v>
                </pt>
                <pt idx="26">
                  <v>0.001213168734114061</v>
                </pt>
                <pt idx="27">
                  <v>2.091268973175138e-05</v>
                </pt>
                <pt idx="28">
                  <v>0.001973742835783609</v>
                </pt>
                <pt idx="29">
                  <v>0.0003542157316562474</v>
                </pt>
                <pt idx="30">
                  <v>0</v>
                </pt>
                <pt idx="31">
                  <v>0</v>
                </pt>
                <pt idx="32">
                  <v>1.826705667120001e-05</v>
                </pt>
                <pt idx="33">
                  <v>0</v>
                </pt>
                <pt idx="34">
                  <v>0.0006848243981246315</v>
                </pt>
                <pt idx="35">
                  <v>1.169240757492463e-05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5.919335107835279e-06</v>
                </pt>
                <pt idx="40">
                  <v>6.32084039615744e-06</v>
                </pt>
                <pt idx="41">
                  <v>0</v>
                </pt>
                <pt idx="42">
                  <v>0.0003896965876083682</v>
                </pt>
                <pt idx="43">
                  <v>0.0004031385544771566</v>
                </pt>
                <pt idx="44">
                  <v>0</v>
                </pt>
                <pt idx="45">
                  <v>0</v>
                </pt>
                <pt idx="46">
                  <v>0.00163782964720565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TLFD_School!$G$10</f>
              <strCache>
                <ptCount val="1"/>
                <pt idx="0">
                  <v>DaySim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TLFD_School!$G$11:$G$71</f>
              <numCache>
                <formatCode>0.00%</formatCode>
                <ptCount val="61"/>
                <pt idx="0">
                  <v>0.1652955566932728</v>
                </pt>
                <pt idx="1">
                  <v>0.1611418391825374</v>
                </pt>
                <pt idx="2">
                  <v>0.0904934446359407</v>
                </pt>
                <pt idx="3">
                  <v>0.05475182960795675</v>
                </pt>
                <pt idx="4">
                  <v>0.1713367908447997</v>
                </pt>
                <pt idx="5">
                  <v>0.07148219784456646</v>
                </pt>
                <pt idx="6">
                  <v>0.07841669179002748</v>
                </pt>
                <pt idx="7">
                  <v>0.04636654327046931</v>
                </pt>
                <pt idx="8">
                  <v>0.04106584327707014</v>
                </pt>
                <pt idx="9">
                  <v>0.02929358979336037</v>
                </pt>
                <pt idx="10">
                  <v>0.01599024910397003</v>
                </pt>
                <pt idx="11">
                  <v>0.01512312341681009</v>
                </pt>
                <pt idx="12">
                  <v>0.0126580911210976</v>
                </pt>
                <pt idx="13">
                  <v>0.009527638468259643</v>
                </pt>
                <pt idx="14">
                  <v>0.007580620717799717</v>
                </pt>
                <pt idx="15">
                  <v>0.006321920623292129</v>
                </pt>
                <pt idx="16">
                  <v>0.004802015581107804</v>
                </pt>
                <pt idx="17">
                  <v>0.00353051415072903</v>
                </pt>
                <pt idx="18">
                  <v>0.00289472095072854</v>
                </pt>
                <pt idx="19">
                  <v>0.002031783055096355</v>
                </pt>
                <pt idx="20">
                  <v>0.001719666634442521</v>
                </pt>
                <pt idx="21">
                  <v>0.0015486080355123</v>
                </pt>
                <pt idx="22">
                  <v>0.0008827821027377108</v>
                </pt>
                <pt idx="23">
                  <v>0.001090861875506962</v>
                </pt>
                <pt idx="24">
                  <v>0.0008552664546205812</v>
                </pt>
                <pt idx="25">
                  <v>0.0006476470204905644</v>
                </pt>
                <pt idx="26">
                  <v>0.0005517239521121382</v>
                </pt>
                <pt idx="27">
                  <v>0.0005038059350894592</v>
                </pt>
                <pt idx="28">
                  <v>0.0002934330224141226</v>
                </pt>
                <pt idx="29">
                  <v>0.0002848460677707993</v>
                </pt>
                <pt idx="30">
                  <v>0.0002405095915595983</v>
                </pt>
                <pt idx="31">
                  <v>0.0001591371762077399</v>
                </pt>
                <pt idx="32">
                  <v>0.0001858980829957799</v>
                </pt>
                <pt idx="33">
                  <v>0.0001978292198861419</v>
                </pt>
                <pt idx="34">
                  <v>8.651076482386064e-05</v>
                </pt>
                <pt idx="35">
                  <v>0.0001009820098149754</v>
                </pt>
                <pt idx="36">
                  <v>9.723110107393759e-05</v>
                </pt>
                <pt idx="37">
                  <v>6.985644234014269e-05</v>
                </pt>
                <pt idx="38">
                  <v>6.075510531452368e-05</v>
                </pt>
                <pt idx="39">
                  <v>4.076978752728441e-05</v>
                </pt>
                <pt idx="40">
                  <v>6.102496333717001e-05</v>
                </pt>
                <pt idx="41">
                  <v>3.176386673907573e-05</v>
                </pt>
                <pt idx="42">
                  <v>1.734786065966296e-05</v>
                </pt>
                <pt idx="43">
                  <v>2.435645130002315e-05</v>
                </pt>
                <pt idx="44">
                  <v>3.996728325628895e-05</v>
                </pt>
                <pt idx="45">
                  <v>1.467895901971481e-05</v>
                </pt>
                <pt idx="46">
                  <v>3.611981184713504e-05</v>
                </pt>
                <pt idx="47">
                  <v>4.003352459922222e-06</v>
                </pt>
                <pt idx="48">
                  <v>1.313796827608368e-05</v>
                </pt>
                <pt idx="49">
                  <v>3.26080406740345e-06</v>
                </pt>
                <pt idx="50">
                  <v>2.668901639948148e-06</v>
                </pt>
                <pt idx="51">
                  <v>1.067560655979259e-05</v>
                </pt>
                <pt idx="52">
                  <v>0</v>
                </pt>
                <pt idx="53">
                  <v>9.341155739818515e-06</v>
                </pt>
                <pt idx="54">
                  <v>2.668901639948148e-06</v>
                </pt>
                <pt idx="55">
                  <v>0</v>
                </pt>
                <pt idx="56">
                  <v>1.334450819974074e-06</v>
                </pt>
                <pt idx="57">
                  <v>0</v>
                </pt>
                <pt idx="58">
                  <v>0</v>
                </pt>
                <pt idx="59">
                  <v>3.190700684506456e-06</v>
                </pt>
                <pt idx="6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1857664"/>
        <axId val="81255744"/>
      </lineChart>
      <catAx>
        <axId val="151857664"/>
        <scaling>
          <orientation val="minMax"/>
        </scaling>
        <delete val="0"/>
        <axPos val="b"/>
        <majorTickMark val="none"/>
        <minorTickMark val="none"/>
        <tickLblPos val="nextTo"/>
        <crossAx val="81255744"/>
        <crosses val="autoZero"/>
        <auto val="1"/>
        <lblAlgn val="ctr"/>
        <lblOffset val="100"/>
        <tickLblSkip val="10"/>
        <noMultiLvlLbl val="0"/>
      </catAx>
      <valAx>
        <axId val="81255744"/>
        <scaling>
          <orientation val="minMax"/>
          <max val="0.3"/>
        </scaling>
        <delete val="0"/>
        <axPos val="l"/>
        <majorGridlines>
          <spPr>
            <a:ln xmlns:a="http://schemas.openxmlformats.org/drawingml/2006/main">
              <a:solidFill>
                <a:schemeClr val="bg1">
                  <a:lumMod val="85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crossAx val="151857664"/>
        <crosses val="autoZero"/>
        <crossBetween val="between"/>
        <majorUnit val="0.05"/>
        <minorUnit val="0.05"/>
      </valAx>
    </plotArea>
    <legend>
      <legendPos val="r"/>
      <layout>
        <manualLayout>
          <xMode val="edge"/>
          <yMode val="edge"/>
          <wMode val="factor"/>
          <hMode val="factor"/>
          <x val="0.8139477283649403"/>
          <y val="0.07831984543598716"/>
          <w val="0.1416550219954899"/>
          <h val="0.1350269757946923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6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010225130309416"/>
          <y val="0.05140055409740449"/>
          <w val="0.8626163542937416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TDFD_School!$C$10</f>
              <strCache>
                <ptCount val="1"/>
                <pt idx="0">
                  <v>Survey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TDFD_School!$C$11:$C$71</f>
              <numCache>
                <formatCode>0.00%</formatCode>
                <ptCount val="61"/>
                <pt idx="0">
                  <v>0</v>
                </pt>
                <pt idx="1">
                  <v>0.008156350282673492</v>
                </pt>
                <pt idx="2">
                  <v>0.006814560981390756</v>
                </pt>
                <pt idx="3">
                  <v>0.01423079728241245</v>
                </pt>
                <pt idx="4">
                  <v>0.0107820058280198</v>
                </pt>
                <pt idx="5">
                  <v>0.008912203546619068</v>
                </pt>
                <pt idx="6">
                  <v>0.008718530293900515</v>
                </pt>
                <pt idx="7">
                  <v>0.01628655697829668</v>
                </pt>
                <pt idx="8">
                  <v>0.003905926849648795</v>
                </pt>
                <pt idx="9">
                  <v>0.01404400204859528</v>
                </pt>
                <pt idx="10">
                  <v>0.008378211278344488</v>
                </pt>
                <pt idx="11">
                  <v>0.01617634095232639</v>
                </pt>
                <pt idx="12">
                  <v>0.0357147522956338</v>
                </pt>
                <pt idx="13">
                  <v>0.01108298861513148</v>
                </pt>
                <pt idx="14">
                  <v>0.0166564974466915</v>
                </pt>
                <pt idx="15">
                  <v>0.003864066594012212</v>
                </pt>
                <pt idx="16">
                  <v>0.0394702467967362</v>
                </pt>
                <pt idx="17">
                  <v>0.01814227087728178</v>
                </pt>
                <pt idx="18">
                  <v>0.1035203023918453</v>
                </pt>
                <pt idx="19">
                  <v>0.03770567387278594</v>
                </pt>
                <pt idx="20">
                  <v>0.06267511367518619</v>
                </pt>
                <pt idx="21">
                  <v>0.04376844148631848</v>
                </pt>
                <pt idx="22">
                  <v>0.03718447729696838</v>
                </pt>
                <pt idx="23">
                  <v>0.01721731063365076</v>
                </pt>
                <pt idx="24">
                  <v>0.03570876934907379</v>
                </pt>
                <pt idx="25">
                  <v>0.03405009770252257</v>
                </pt>
                <pt idx="26">
                  <v>0.07557825577784459</v>
                </pt>
                <pt idx="27">
                  <v>0.01166906947158224</v>
                </pt>
                <pt idx="28">
                  <v>0.02139338688476694</v>
                </pt>
                <pt idx="29">
                  <v>0.01751185182645571</v>
                </pt>
                <pt idx="30">
                  <v>0.01816429368488504</v>
                </pt>
                <pt idx="31">
                  <v>0.01530462343842754</v>
                </pt>
                <pt idx="32">
                  <v>0.006625787945145149</v>
                </pt>
                <pt idx="33">
                  <v>0.01052534490390382</v>
                </pt>
                <pt idx="34">
                  <v>0.02270170328374837</v>
                </pt>
                <pt idx="35">
                  <v>0.005542048216136877</v>
                </pt>
                <pt idx="36">
                  <v>0.005873853219942753</v>
                </pt>
                <pt idx="37">
                  <v>0.01186380243348139</v>
                </pt>
                <pt idx="38">
                  <v>0.0161857284216893</v>
                </pt>
                <pt idx="39">
                  <v>0.003273742560138447</v>
                </pt>
                <pt idx="40">
                  <v>0.001129773786683195</v>
                </pt>
                <pt idx="41">
                  <v>0.008294934496172877</v>
                </pt>
                <pt idx="42">
                  <v>0.00180017433645199</v>
                </pt>
                <pt idx="43">
                  <v>0.001345640817442742</v>
                </pt>
                <pt idx="44">
                  <v>0.001372920723760183</v>
                </pt>
                <pt idx="45">
                  <v>0.04293196223022755</v>
                </pt>
                <pt idx="46">
                  <v>0.00636646495953234</v>
                </pt>
                <pt idx="47">
                  <v>0.004868653097138154</v>
                </pt>
                <pt idx="48">
                  <v>0.002876610868949053</v>
                </pt>
                <pt idx="49">
                  <v>0.001243910738250505</v>
                </pt>
                <pt idx="50">
                  <v>0.0004065623908233239</v>
                </pt>
                <pt idx="51">
                  <v>0.001635367318206855</v>
                </pt>
                <pt idx="52">
                  <v>0.001257074914734294</v>
                </pt>
                <pt idx="53">
                  <v>0</v>
                </pt>
                <pt idx="54">
                  <v>0.002414917487174185</v>
                </pt>
                <pt idx="55">
                  <v>0.003749735808769989</v>
                </pt>
                <pt idx="56">
                  <v>0</v>
                </pt>
                <pt idx="57">
                  <v>0</v>
                </pt>
                <pt idx="58">
                  <v>1.826705667120001e-05</v>
                </pt>
                <pt idx="59">
                  <v>0.0007471373506607453</v>
                </pt>
                <pt idx="6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TDFD_School!$G$10</f>
              <strCache>
                <ptCount val="1"/>
                <pt idx="0">
                  <v>DaySim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TDFD_School!$G$11:$G$71</f>
              <numCache>
                <formatCode>0.00%</formatCode>
                <ptCount val="61"/>
                <pt idx="0">
                  <v>0.0007915465651714637</v>
                </pt>
                <pt idx="1">
                  <v>0.02062114139619898</v>
                </pt>
                <pt idx="2">
                  <v>0.02865451752534697</v>
                </pt>
                <pt idx="3">
                  <v>0.03394871746600148</v>
                </pt>
                <pt idx="4">
                  <v>0.0357569298195705</v>
                </pt>
                <pt idx="5">
                  <v>0.03614131561815614</v>
                </pt>
                <pt idx="6">
                  <v>0.03586689084600152</v>
                </pt>
                <pt idx="7">
                  <v>0.03402948492021103</v>
                </pt>
                <pt idx="8">
                  <v>0.03101630202916254</v>
                </pt>
                <pt idx="9">
                  <v>0.02823046762302285</v>
                </pt>
                <pt idx="10">
                  <v>0.02561834145979361</v>
                </pt>
                <pt idx="11">
                  <v>0.02300788482390296</v>
                </pt>
                <pt idx="12">
                  <v>0.02074306358279936</v>
                </pt>
                <pt idx="13">
                  <v>0.01802123192290219</v>
                </pt>
                <pt idx="14">
                  <v>0.0159346988098513</v>
                </pt>
                <pt idx="15">
                  <v>0.0155970760832217</v>
                </pt>
                <pt idx="16">
                  <v>0.01454131133673317</v>
                </pt>
                <pt idx="17">
                  <v>0.01370178339830085</v>
                </pt>
                <pt idx="18">
                  <v>0.1260663920161257</v>
                </pt>
                <pt idx="19">
                  <v>0.03271164027485346</v>
                </pt>
                <pt idx="20">
                  <v>0.02738019629919007</v>
                </pt>
                <pt idx="21">
                  <v>0.04147234091821281</v>
                </pt>
                <pt idx="22">
                  <v>0.03897088643054162</v>
                </pt>
                <pt idx="23">
                  <v>0.03589292651593435</v>
                </pt>
                <pt idx="24">
                  <v>0.03027985208505726</v>
                </pt>
                <pt idx="25">
                  <v>0.02132886672111338</v>
                </pt>
                <pt idx="26">
                  <v>0.02296171138548462</v>
                </pt>
                <pt idx="27">
                  <v>0.01283851087843989</v>
                </pt>
                <pt idx="28">
                  <v>0.0166256883177134</v>
                </pt>
                <pt idx="29">
                  <v>0.01848470707114099</v>
                </pt>
                <pt idx="30">
                  <v>0.01032780950867918</v>
                </pt>
                <pt idx="31">
                  <v>0.009775280675075737</v>
                </pt>
                <pt idx="32">
                  <v>0.008063655073747008</v>
                </pt>
                <pt idx="33">
                  <v>0.0113253087447664</v>
                </pt>
                <pt idx="34">
                  <v>0.01321839400517088</v>
                </pt>
                <pt idx="35">
                  <v>0.006907578974169567</v>
                </pt>
                <pt idx="36">
                  <v>0.00486064961666758</v>
                </pt>
                <pt idx="37">
                  <v>0.004834492909156388</v>
                </pt>
                <pt idx="38">
                  <v>0.004366602500990322</v>
                </pt>
                <pt idx="39">
                  <v>0.003664235466423082</v>
                </pt>
                <pt idx="40">
                  <v>0.003598616539459443</v>
                </pt>
                <pt idx="41">
                  <v>0.003173273669534118</v>
                </pt>
                <pt idx="42">
                  <v>0.003162926670188776</v>
                </pt>
                <pt idx="43">
                  <v>0.003067158563130834</v>
                </pt>
                <pt idx="44">
                  <v>0.002301824419123868</v>
                </pt>
                <pt idx="45">
                  <v>0.003272205712404826</v>
                </pt>
                <pt idx="46">
                  <v>0.001959946113473227</v>
                </pt>
                <pt idx="47">
                  <v>0.001587844452716268</v>
                </pt>
                <pt idx="48">
                  <v>0.001738183674407757</v>
                </pt>
                <pt idx="49">
                  <v>0.001815440122408466</v>
                </pt>
                <pt idx="50">
                  <v>0.001263340413125844</v>
                </pt>
                <pt idx="51">
                  <v>0.001510631503377602</v>
                </pt>
                <pt idx="52">
                  <v>0.001131506782222312</v>
                </pt>
                <pt idx="53">
                  <v>0.001134590469196275</v>
                </pt>
                <pt idx="54">
                  <v>0.001026280618779703</v>
                </pt>
                <pt idx="55">
                  <v>0.0009116888068035419</v>
                </pt>
                <pt idx="56">
                  <v>0.000988867903344599</v>
                </pt>
                <pt idx="57">
                  <v>0.0008222856901344853</v>
                </pt>
                <pt idx="58">
                  <v>0.001143736202441462</v>
                </pt>
                <pt idx="59">
                  <v>0.0008440521246375267</v>
                </pt>
                <pt idx="60">
                  <v>0.0008625025454056804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5664896"/>
        <axId val="124978880"/>
      </lineChart>
      <catAx>
        <axId val="155664896"/>
        <scaling>
          <orientation val="minMax"/>
        </scaling>
        <delete val="0"/>
        <axPos val="b"/>
        <majorTickMark val="none"/>
        <minorTickMark val="none"/>
        <tickLblPos val="nextTo"/>
        <crossAx val="124978880"/>
        <crosses val="autoZero"/>
        <auto val="1"/>
        <lblAlgn val="ctr"/>
        <lblOffset val="100"/>
        <tickLblSkip val="10"/>
        <noMultiLvlLbl val="0"/>
      </catAx>
      <valAx>
        <axId val="124978880"/>
        <scaling>
          <orientation val="minMax"/>
          <max val="0.2"/>
        </scaling>
        <delete val="0"/>
        <axPos val="l"/>
        <majorGridlines>
          <spPr>
            <a:ln xmlns:a="http://schemas.openxmlformats.org/drawingml/2006/main">
              <a:solidFill>
                <a:schemeClr val="bg1">
                  <a:lumMod val="85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crossAx val="155664896"/>
        <crosses val="autoZero"/>
        <crossBetween val="between"/>
        <majorUnit val="0.05"/>
        <minorUnit val="0.05"/>
      </valAx>
    </plotArea>
    <legend>
      <legendPos val="r"/>
      <layout>
        <manualLayout>
          <xMode val="edge"/>
          <yMode val="edge"/>
          <wMode val="factor"/>
          <hMode val="factor"/>
          <x val="0.8139477283649403"/>
          <y val="0.07831984543598716"/>
          <w val="0.1416550219954899"/>
          <h val="0.1350269757946923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7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010225130309416"/>
          <y val="0.05140055409740449"/>
          <w val="0.8626163542937416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TLFD_Escort!$C$10</f>
              <strCache>
                <ptCount val="1"/>
                <pt idx="0">
                  <v>Survey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TLFD_Escort!$C$11:$C$71</f>
              <numCache>
                <formatCode>0.00%</formatCode>
                <ptCount val="61"/>
                <pt idx="0">
                  <v>0.03300291750885777</v>
                </pt>
                <pt idx="1">
                  <v>0.05630750539229363</v>
                </pt>
                <pt idx="2">
                  <v>0.05869553257569438</v>
                </pt>
                <pt idx="3">
                  <v>0.0970134224727791</v>
                </pt>
                <pt idx="4">
                  <v>0.1880354203152121</v>
                </pt>
                <pt idx="5">
                  <v>0.08986890432768373</v>
                </pt>
                <pt idx="6">
                  <v>0.1069893236564593</v>
                </pt>
                <pt idx="7">
                  <v>0.08674563535690938</v>
                </pt>
                <pt idx="8">
                  <v>0.04061452509479061</v>
                </pt>
                <pt idx="9">
                  <v>0.02558747267793016</v>
                </pt>
                <pt idx="10">
                  <v>0.06929352885670821</v>
                </pt>
                <pt idx="11">
                  <v>0.01887642628104674</v>
                </pt>
                <pt idx="12">
                  <v>0.01358509470802244</v>
                </pt>
                <pt idx="13">
                  <v>0.01282197703517284</v>
                </pt>
                <pt idx="14">
                  <v>0.006299197069278703</v>
                </pt>
                <pt idx="15">
                  <v>0.009926979806590521</v>
                </pt>
                <pt idx="16">
                  <v>0.008699672863170423</v>
                </pt>
                <pt idx="17">
                  <v>0.01400953416598658</v>
                </pt>
                <pt idx="18">
                  <v>0.01525350386550764</v>
                </pt>
                <pt idx="19">
                  <v>0.004594473357374121</v>
                </pt>
                <pt idx="20">
                  <v>0.006357816630342774</v>
                </pt>
                <pt idx="21">
                  <v>0.004717241106776564</v>
                </pt>
                <pt idx="22">
                  <v>0.00442601777678307</v>
                </pt>
                <pt idx="23">
                  <v>0.005796159088696249</v>
                </pt>
                <pt idx="24">
                  <v>0.001511556107271448</v>
                </pt>
                <pt idx="25">
                  <v>0.0012645963083644</v>
                </pt>
                <pt idx="26">
                  <v>0.0004036506404320531</v>
                </pt>
                <pt idx="27">
                  <v>0.002857846370140966</v>
                </pt>
                <pt idx="28">
                  <v>0.001831780439991732</v>
                </pt>
                <pt idx="29">
                  <v>0.0008928452643888022</v>
                </pt>
                <pt idx="30">
                  <v>0</v>
                </pt>
                <pt idx="31">
                  <v>0.000495789579160055</v>
                </pt>
                <pt idx="32">
                  <v>0.0001281919468979939</v>
                </pt>
                <pt idx="33">
                  <v>0.0009671877720338514</v>
                </pt>
                <pt idx="34">
                  <v>0.006761098062591116</v>
                </pt>
                <pt idx="35">
                  <v>0.0006117331317201687</v>
                </pt>
                <pt idx="36">
                  <v>0</v>
                </pt>
                <pt idx="37">
                  <v>0.0001648766731029229</v>
                </pt>
                <pt idx="38">
                  <v>0.0009641641541964117</v>
                </pt>
                <pt idx="39">
                  <v>0.001429969320524589</v>
                </pt>
                <pt idx="40">
                  <v>0</v>
                </pt>
                <pt idx="41">
                  <v>0</v>
                </pt>
                <pt idx="42">
                  <v>0.0002549940628726262</v>
                </pt>
                <pt idx="43">
                  <v>0.0006385857171494784</v>
                </pt>
                <pt idx="44">
                  <v>0.0003117797563518088</v>
                </pt>
                <pt idx="45">
                  <v>0.0002766257567489554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0.0004460757556107337</v>
                </pt>
                <pt idx="53">
                  <v>3.694436159824174e-06</v>
                </pt>
                <pt idx="54">
                  <v>0</v>
                </pt>
                <pt idx="55">
                  <v>0</v>
                </pt>
                <pt idx="56">
                  <v>0.0001994598399385224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TLFD_Escort!$G$10</f>
              <strCache>
                <ptCount val="1"/>
                <pt idx="0">
                  <v>DaySim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TLFD_Escort!$G$11:$G$71</f>
              <numCache>
                <formatCode>0.00%</formatCode>
                <ptCount val="61"/>
                <pt idx="0">
                  <v>0.1498016154986914</v>
                </pt>
                <pt idx="1">
                  <v>0.1325199723994626</v>
                </pt>
                <pt idx="2">
                  <v>0.08306294885582605</v>
                </pt>
                <pt idx="3">
                  <v>0.05146047661708182</v>
                </pt>
                <pt idx="4">
                  <v>0.1562309419634559</v>
                </pt>
                <pt idx="5">
                  <v>0.07234875989575611</v>
                </pt>
                <pt idx="6">
                  <v>0.0735557697358603</v>
                </pt>
                <pt idx="7">
                  <v>0.04148625903187863</v>
                </pt>
                <pt idx="8">
                  <v>0.03870552824621752</v>
                </pt>
                <pt idx="9">
                  <v>0.02386678680607971</v>
                </pt>
                <pt idx="10">
                  <v>0.01777817697484661</v>
                </pt>
                <pt idx="11">
                  <v>0.01828449155768633</v>
                </pt>
                <pt idx="12">
                  <v>0.01609388053542571</v>
                </pt>
                <pt idx="13">
                  <v>0.01283978511130387</v>
                </pt>
                <pt idx="14">
                  <v>0.01263667955115133</v>
                </pt>
                <pt idx="15">
                  <v>0.01409837880424393</v>
                </pt>
                <pt idx="16">
                  <v>0.01305654243773544</v>
                </pt>
                <pt idx="17">
                  <v>0.009430204440964115</v>
                </pt>
                <pt idx="18">
                  <v>0.007650766244605835</v>
                </pt>
                <pt idx="19">
                  <v>0.005841894218417533</v>
                </pt>
                <pt idx="20">
                  <v>0.006291095452969197</v>
                </pt>
                <pt idx="21">
                  <v>0.004417926565717939</v>
                </pt>
                <pt idx="22">
                  <v>0.004603506139570267</v>
                </pt>
                <pt idx="23">
                  <v>0.0037850527237487</v>
                </pt>
                <pt idx="24">
                  <v>0.003705393764213805</v>
                </pt>
                <pt idx="25">
                  <v>0.003487078318492346</v>
                </pt>
                <pt idx="26">
                  <v>0.003377094121781325</v>
                </pt>
                <pt idx="27">
                  <v>0.002230550077431157</v>
                </pt>
                <pt idx="28">
                  <v>0.002471886811621418</v>
                </pt>
                <pt idx="29">
                  <v>0.001879329379660974</v>
                </pt>
                <pt idx="30">
                  <v>0.001684340605043187</v>
                </pt>
                <pt idx="31">
                  <v>0.001472348471651392</v>
                </pt>
                <pt idx="32">
                  <v>0.001155498102222497</v>
                </pt>
                <pt idx="33">
                  <v>0.001078172099296637</v>
                </pt>
                <pt idx="34">
                  <v>0.0009024108789309771</v>
                </pt>
                <pt idx="35">
                  <v>0.0007465185621381106</v>
                </pt>
                <pt idx="36">
                  <v>0.0009082448929676612</v>
                </pt>
                <pt idx="37">
                  <v>0.0006765777834008614</v>
                </pt>
                <pt idx="38">
                  <v>0.000691068883626548</v>
                </pt>
                <pt idx="39">
                  <v>0.0005922901276894865</v>
                </pt>
                <pt idx="40">
                  <v>0.0004686784994280608</v>
                </pt>
                <pt idx="41">
                  <v>0.0003467129256490206</v>
                </pt>
                <pt idx="42">
                  <v>0.0003127878337823026</v>
                </pt>
                <pt idx="43">
                  <v>0.0002383383448179865</v>
                </pt>
                <pt idx="44">
                  <v>0.0002104516820617241</v>
                </pt>
                <pt idx="45">
                  <v>0.0002321021405493881</v>
                </pt>
                <pt idx="46">
                  <v>0.0001712784124947814</v>
                </pt>
                <pt idx="47">
                  <v>0.0001669244094717595</v>
                </pt>
                <pt idx="48">
                  <v>0.0001289601772946894</v>
                </pt>
                <pt idx="49">
                  <v>0.0001147788937743018</v>
                </pt>
                <pt idx="50">
                  <v>8.218556963294821e-05</v>
                </pt>
                <pt idx="51">
                  <v>0.0001167193065234692</v>
                </pt>
                <pt idx="52">
                  <v>6.78681533467755e-05</v>
                </pt>
                <pt idx="53">
                  <v>6.624467414975571e-05</v>
                </pt>
                <pt idx="54">
                  <v>5.676773491539528e-05</v>
                </pt>
                <pt idx="55">
                  <v>4.246866234634777e-05</v>
                </pt>
                <pt idx="56">
                  <v>3.94977928654104e-05</v>
                </pt>
                <pt idx="57">
                  <v>3.312018354200241e-05</v>
                </pt>
                <pt idx="58">
                  <v>3.813176073510682e-05</v>
                </pt>
                <pt idx="59">
                  <v>2.543076628849279e-05</v>
                </pt>
                <pt idx="60">
                  <v>2.065311660327617e-05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6990592"/>
        <axId val="124980608"/>
      </lineChart>
      <catAx>
        <axId val="186990592"/>
        <scaling>
          <orientation val="minMax"/>
        </scaling>
        <delete val="0"/>
        <axPos val="b"/>
        <majorTickMark val="none"/>
        <minorTickMark val="none"/>
        <tickLblPos val="nextTo"/>
        <crossAx val="124980608"/>
        <crosses val="autoZero"/>
        <auto val="1"/>
        <lblAlgn val="ctr"/>
        <lblOffset val="100"/>
        <tickLblSkip val="10"/>
        <noMultiLvlLbl val="0"/>
      </catAx>
      <valAx>
        <axId val="124980608"/>
        <scaling>
          <orientation val="minMax"/>
          <max val="0.3"/>
        </scaling>
        <delete val="0"/>
        <axPos val="l"/>
        <majorGridlines>
          <spPr>
            <a:ln xmlns:a="http://schemas.openxmlformats.org/drawingml/2006/main">
              <a:solidFill>
                <a:schemeClr val="bg1">
                  <a:lumMod val="85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crossAx val="186990592"/>
        <crosses val="autoZero"/>
        <crossBetween val="between"/>
        <majorUnit val="0.05"/>
        <minorUnit val="0.05"/>
      </valAx>
    </plotArea>
    <legend>
      <legendPos val="r"/>
      <layout>
        <manualLayout>
          <xMode val="edge"/>
          <yMode val="edge"/>
          <wMode val="factor"/>
          <hMode val="factor"/>
          <x val="0.8139477283649403"/>
          <y val="0.07831984543598716"/>
          <w val="0.1416550219954899"/>
          <h val="0.1350269757946923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8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010225130309416"/>
          <y val="0.05140055409740449"/>
          <w val="0.8626163542937416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TDFD_Escort!$C$10</f>
              <strCache>
                <ptCount val="1"/>
                <pt idx="0">
                  <v>Survey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TDFD_Escort!$C$11:$C$71</f>
              <numCache>
                <formatCode>0.00%</formatCode>
                <ptCount val="61"/>
                <pt idx="0">
                  <v>0.00516450309698834</v>
                </pt>
                <pt idx="1">
                  <v>0.00615129347163052</v>
                </pt>
                <pt idx="2">
                  <v>0.006159923213881468</v>
                </pt>
                <pt idx="3">
                  <v>0.008957654214964543</v>
                </pt>
                <pt idx="4">
                  <v>0.01263709867926531</v>
                </pt>
                <pt idx="5">
                  <v>0.01407221370225383</v>
                </pt>
                <pt idx="6">
                  <v>0.01439630671713057</v>
                </pt>
                <pt idx="7">
                  <v>0.01908532223430388</v>
                </pt>
                <pt idx="8">
                  <v>0.01062394481381645</v>
                </pt>
                <pt idx="9">
                  <v>0.02079119137569042</v>
                </pt>
                <pt idx="10">
                  <v>0.01047163026152459</v>
                </pt>
                <pt idx="11">
                  <v>0.01494344334657592</v>
                </pt>
                <pt idx="12">
                  <v>0.02148987154196427</v>
                </pt>
                <pt idx="13">
                  <v>0.01227495995954461</v>
                </pt>
                <pt idx="14">
                  <v>0.01591463955030503</v>
                </pt>
                <pt idx="15">
                  <v>0.009197915751253895</v>
                </pt>
                <pt idx="16">
                  <v>0.04309808516079916</v>
                </pt>
                <pt idx="17">
                  <v>0.01660483593158434</v>
                </pt>
                <pt idx="18">
                  <v>0.08328000308970182</v>
                </pt>
                <pt idx="19">
                  <v>0.03343208627651698</v>
                </pt>
                <pt idx="20">
                  <v>0.05631313307905</v>
                </pt>
                <pt idx="21">
                  <v>0.05788005131352766</v>
                </pt>
                <pt idx="22">
                  <v>0.0427021724568467</v>
                </pt>
                <pt idx="23">
                  <v>0.0244012175889331</v>
                </pt>
                <pt idx="24">
                  <v>0.03974703938293078</v>
                </pt>
                <pt idx="25">
                  <v>0.04000625523075992</v>
                </pt>
                <pt idx="26">
                  <v>0.05472963700939797</v>
                </pt>
                <pt idx="27">
                  <v>0.01232104552113038</v>
                </pt>
                <pt idx="28">
                  <v>0.02941453638948734</v>
                </pt>
                <pt idx="29">
                  <v>0.02827762772017461</v>
                </pt>
                <pt idx="30">
                  <v>0.01075629520827544</v>
                </pt>
                <pt idx="31">
                  <v>0.01267011720874651</v>
                </pt>
                <pt idx="32">
                  <v>0.009384347412320363</v>
                </pt>
                <pt idx="33">
                  <v>0.009529385157601444</v>
                </pt>
                <pt idx="34">
                  <v>0.01892396688409658</v>
                </pt>
                <pt idx="35">
                  <v>0.004580169370282651</v>
                </pt>
                <pt idx="36">
                  <v>0.007109658683643644</v>
                </pt>
                <pt idx="37">
                  <v>0.01079048396013109</v>
                </pt>
                <pt idx="38">
                  <v>0.008464164400529533</v>
                </pt>
                <pt idx="39">
                  <v>0.006448768513052877</v>
                </pt>
                <pt idx="40">
                  <v>0.003187903634703974</v>
                </pt>
                <pt idx="41">
                  <v>0.004141819726445073</v>
                </pt>
                <pt idx="42">
                  <v>0.003345198539705376</v>
                </pt>
                <pt idx="43">
                  <v>0.001587674726566817</v>
                </pt>
                <pt idx="44">
                  <v>0.004556915391801938</v>
                </pt>
                <pt idx="45">
                  <v>0.04890155013114036</v>
                </pt>
                <pt idx="46">
                  <v>0.004200979007200128</v>
                </pt>
                <pt idx="47">
                  <v>0.0008681804127154396</v>
                </pt>
                <pt idx="48">
                  <v>0.006286626316471007</v>
                </pt>
                <pt idx="49">
                  <v>0.00238010459783792</v>
                </pt>
                <pt idx="50">
                  <v>0.0002611947903109048</v>
                </pt>
                <pt idx="51">
                  <v>0.002451825547552807</v>
                </pt>
                <pt idx="52">
                  <v>0.0007385214446129917</v>
                </pt>
                <pt idx="53">
                  <v>0.001067198226804531</v>
                </pt>
                <pt idx="54">
                  <v>0.0009797334139801713</v>
                </pt>
                <pt idx="55">
                  <v>0.001812372267067745</v>
                </pt>
                <pt idx="56">
                  <v>5.539006144266673e-05</v>
                </pt>
                <pt idx="57">
                  <v>0.004689918310710426</v>
                </pt>
                <pt idx="58">
                  <v>0.001351890981285025</v>
                </pt>
                <pt idx="59">
                  <v>0.0008483226727762584</v>
                </pt>
                <pt idx="60">
                  <v>0.001414751480568653</v>
                </pt>
              </numCache>
            </numRef>
          </val>
          <smooth val="0"/>
        </ser>
        <ser>
          <idx val="1"/>
          <order val="1"/>
          <tx>
            <strRef>
              <f>TDFD_Escort!$G$10</f>
              <strCache>
                <ptCount val="1"/>
                <pt idx="0">
                  <v>DaySim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TDFD_Escort!$G$11:$G$71</f>
              <numCache>
                <formatCode>0.00%</formatCode>
                <ptCount val="61"/>
                <pt idx="0">
                  <v>0.006723899655647419</v>
                </pt>
                <pt idx="1">
                  <v>0.02387358385195342</v>
                </pt>
                <pt idx="2">
                  <v>0.02986327616757267</v>
                </pt>
                <pt idx="3">
                  <v>0.03361477063583293</v>
                </pt>
                <pt idx="4">
                  <v>0.03601712784337546</v>
                </pt>
                <pt idx="5">
                  <v>0.03595607756945197</v>
                </pt>
                <pt idx="6">
                  <v>0.03419664308526252</v>
                </pt>
                <pt idx="7">
                  <v>0.03241698083254114</v>
                </pt>
                <pt idx="8">
                  <v>0.02992124902189212</v>
                </pt>
                <pt idx="9">
                  <v>0.0271411262986581</v>
                </pt>
                <pt idx="10">
                  <v>0.02426596231715136</v>
                </pt>
                <pt idx="11">
                  <v>0.02092448294445656</v>
                </pt>
                <pt idx="12">
                  <v>0.01944699701553907</v>
                </pt>
                <pt idx="13">
                  <v>0.01660249484872666</v>
                </pt>
                <pt idx="14">
                  <v>0.01448841564676167</v>
                </pt>
                <pt idx="15">
                  <v>0.01388799144531434</v>
                </pt>
                <pt idx="16">
                  <v>0.0125161329310823</v>
                </pt>
                <pt idx="17">
                  <v>0.01081155349670091</v>
                </pt>
                <pt idx="18">
                  <v>0.1071952916127757</v>
                </pt>
                <pt idx="19">
                  <v>0.03412593012575142</v>
                </pt>
                <pt idx="20">
                  <v>0.0298169053664104</v>
                </pt>
                <pt idx="21">
                  <v>0.0418292686975103</v>
                </pt>
                <pt idx="22">
                  <v>0.03885093163947906</v>
                </pt>
                <pt idx="23">
                  <v>0.03006732476187739</v>
                </pt>
                <pt idx="24">
                  <v>0.02629664812460245</v>
                </pt>
                <pt idx="25">
                  <v>0.02147722158612852</v>
                </pt>
                <pt idx="26">
                  <v>0.01973051896873845</v>
                </pt>
                <pt idx="27">
                  <v>0.01427360959233593</v>
                </pt>
                <pt idx="28">
                  <v>0.01574660866028952</v>
                </pt>
                <pt idx="29">
                  <v>0.01913154350506586</v>
                </pt>
                <pt idx="30">
                  <v>0.01350253520444262</v>
                </pt>
                <pt idx="31">
                  <v>0.01214175814907763</v>
                </pt>
                <pt idx="32">
                  <v>0.009081077562005081</v>
                </pt>
                <pt idx="33">
                  <v>0.01200969429237673</v>
                </pt>
                <pt idx="34">
                  <v>0.01415023575196982</v>
                </pt>
                <pt idx="35">
                  <v>0.009709406594081088</v>
                </pt>
                <pt idx="36">
                  <v>0.006659935133314701</v>
                </pt>
                <pt idx="37">
                  <v>0.006909111970055729</v>
                </pt>
                <pt idx="38">
                  <v>0.007372753109928677</v>
                </pt>
                <pt idx="39">
                  <v>0.00689967505314746</v>
                </pt>
                <pt idx="40">
                  <v>0.0071018757348609</v>
                </pt>
                <pt idx="41">
                  <v>0.004486275137160955</v>
                </pt>
                <pt idx="42">
                  <v>0.005433656137090994</v>
                </pt>
                <pt idx="43">
                  <v>0.004219998221376037</v>
                </pt>
                <pt idx="44">
                  <v>0.005129719644312208</v>
                </pt>
                <pt idx="45">
                  <v>0.0039170561518871</v>
                </pt>
                <pt idx="46">
                  <v>0.003206819126179365</v>
                </pt>
                <pt idx="47">
                  <v>0.002839556216404967</v>
                </pt>
                <pt idx="48">
                  <v>0.003142623074234943</v>
                </pt>
                <pt idx="49">
                  <v>0.003295459972254645</v>
                </pt>
                <pt idx="50">
                  <v>0.001872367349392312</v>
                </pt>
                <pt idx="51">
                  <v>0.002282629369115373</v>
                </pt>
                <pt idx="52">
                  <v>0.001940642577326786</v>
                </pt>
                <pt idx="53">
                  <v>0.002002584653349198</v>
                </pt>
                <pt idx="54">
                  <v>0.00137906194726594</v>
                </pt>
                <pt idx="55">
                  <v>0.001363417330522626</v>
                </pt>
                <pt idx="56">
                  <v>0.001677472684251112</v>
                </pt>
                <pt idx="57">
                  <v>0.001216819099737506</v>
                </pt>
                <pt idx="58">
                  <v>0.002078829590137256</v>
                </pt>
                <pt idx="59">
                  <v>0.00115510117493012</v>
                </pt>
                <pt idx="60">
                  <v>0.0009511832494082253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8397696"/>
        <axId val="124982336"/>
      </lineChart>
      <catAx>
        <axId val="58397696"/>
        <scaling>
          <orientation val="minMax"/>
        </scaling>
        <delete val="0"/>
        <axPos val="b"/>
        <majorTickMark val="none"/>
        <minorTickMark val="none"/>
        <tickLblPos val="nextTo"/>
        <crossAx val="124982336"/>
        <crosses val="autoZero"/>
        <auto val="1"/>
        <lblAlgn val="ctr"/>
        <lblOffset val="100"/>
        <tickLblSkip val="10"/>
        <noMultiLvlLbl val="0"/>
      </catAx>
      <valAx>
        <axId val="124982336"/>
        <scaling>
          <orientation val="minMax"/>
          <max val="0.2"/>
        </scaling>
        <delete val="0"/>
        <axPos val="l"/>
        <majorGridlines>
          <spPr>
            <a:ln xmlns:a="http://schemas.openxmlformats.org/drawingml/2006/main">
              <a:solidFill>
                <a:schemeClr val="bg1">
                  <a:lumMod val="85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crossAx val="58397696"/>
        <crosses val="autoZero"/>
        <crossBetween val="between"/>
        <majorUnit val="0.05"/>
        <minorUnit val="0.05"/>
      </valAx>
    </plotArea>
    <legend>
      <legendPos val="r"/>
      <layout>
        <manualLayout>
          <xMode val="edge"/>
          <yMode val="edge"/>
          <wMode val="factor"/>
          <hMode val="factor"/>
          <x val="0.8139477283649403"/>
          <y val="0.07831984543598716"/>
          <w val="0.1416550219954899"/>
          <h val="0.1350269757946923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9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010225130309416"/>
          <y val="0.05140055409740449"/>
          <w val="0.8626163542937416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TLFD_PerBus!$C$10</f>
              <strCache>
                <ptCount val="1"/>
                <pt idx="0">
                  <v>Survey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TLFD_PerBus!$C$11:$C$71</f>
              <numCache>
                <formatCode>0.00%</formatCode>
                <ptCount val="61"/>
                <pt idx="0">
                  <v>0.04623677628722742</v>
                </pt>
                <pt idx="1">
                  <v>0.05525037380332483</v>
                </pt>
                <pt idx="2">
                  <v>0.05467600854417736</v>
                </pt>
                <pt idx="3">
                  <v>0.1037552021822701</v>
                </pt>
                <pt idx="4">
                  <v>0.1671926271589696</v>
                </pt>
                <pt idx="5">
                  <v>0.1124791658426212</v>
                </pt>
                <pt idx="6">
                  <v>0.1063719077433656</v>
                </pt>
                <pt idx="7">
                  <v>0.05228837033705647</v>
                </pt>
                <pt idx="8">
                  <v>0.04433312098708071</v>
                </pt>
                <pt idx="9">
                  <v>0.0340650743458412</v>
                </pt>
                <pt idx="10">
                  <v>0.064809027817503</v>
                </pt>
                <pt idx="11">
                  <v>0.01986506206902466</v>
                </pt>
                <pt idx="12">
                  <v>0.01776842551600739</v>
                </pt>
                <pt idx="13">
                  <v>0.009799202228124401</v>
                </pt>
                <pt idx="14">
                  <v>0.0100275251233248</v>
                </pt>
                <pt idx="15">
                  <v>0.009559787622054101</v>
                </pt>
                <pt idx="16">
                  <v>0.01676873476910256</v>
                </pt>
                <pt idx="17">
                  <v>0.007719047744009974</v>
                </pt>
                <pt idx="18">
                  <v>0.007919355508608589</v>
                </pt>
                <pt idx="19">
                  <v>0.01017792459279287</v>
                </pt>
                <pt idx="20">
                  <v>0.004810063850485451</v>
                </pt>
                <pt idx="21">
                  <v>0.005016805982136652</v>
                </pt>
                <pt idx="22">
                  <v>0.006986669841008795</v>
                </pt>
                <pt idx="23">
                  <v>0.00784094710731275</v>
                </pt>
                <pt idx="24">
                  <v>0.0005843594384326616</v>
                </pt>
                <pt idx="25">
                  <v>0.000944374272194555</v>
                </pt>
                <pt idx="26">
                  <v>0.0007527437455913079</v>
                </pt>
                <pt idx="27">
                  <v>0.001315482874259418</v>
                </pt>
                <pt idx="28">
                  <v>0.001827338239499854</v>
                </pt>
                <pt idx="29">
                  <v>0.0005716024531909505</v>
                </pt>
                <pt idx="30">
                  <v>0.0008638885626260852</v>
                </pt>
                <pt idx="31">
                  <v>0.001466004328827071</v>
                </pt>
                <pt idx="32">
                  <v>0.0005544614399689272</v>
                </pt>
                <pt idx="33">
                  <v>0.001055597585977548</v>
                </pt>
                <pt idx="34">
                  <v>0.0007891141650975471</v>
                </pt>
                <pt idx="35">
                  <v>0.0008159673124703722</v>
                </pt>
                <pt idx="36">
                  <v>0.0005909930823891526</v>
                </pt>
                <pt idx="37">
                  <v>0.0003108644096910302</v>
                </pt>
                <pt idx="38">
                  <v>2.501560654289765e-06</v>
                </pt>
                <pt idx="39">
                  <v>0.000215664972537466</v>
                </pt>
                <pt idx="40">
                  <v>0.001105065685442718</v>
                </pt>
                <pt idx="41">
                  <v>0.001345565190548761</v>
                </pt>
                <pt idx="42">
                  <v>0</v>
                </pt>
                <pt idx="43">
                  <v>7.819260475730334e-05</v>
                </pt>
                <pt idx="44">
                  <v>0.0006128442947340571</v>
                </pt>
                <pt idx="45">
                  <v>0</v>
                </pt>
                <pt idx="46">
                  <v>0.0008342274439253623</v>
                </pt>
                <pt idx="47">
                  <v>0.002804025459159431</v>
                </pt>
                <pt idx="48">
                  <v>0.0001164734866912317</v>
                </pt>
                <pt idx="49">
                  <v>0.000221532500162498</v>
                </pt>
                <pt idx="50">
                  <v>0.0002474290490883908</v>
                </pt>
                <pt idx="51">
                  <v>5.158292207087898e-05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0.000418057701077987</v>
                </pt>
                <pt idx="57">
                  <v>0.0003566345858899108</v>
                </pt>
                <pt idx="58">
                  <v>0</v>
                </pt>
                <pt idx="59">
                  <v>0</v>
                </pt>
                <pt idx="6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TLFD_PerBus!$G$10</f>
              <strCache>
                <ptCount val="1"/>
                <pt idx="0">
                  <v>DaySim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TLFD_PerBus!$G$11:$G$71</f>
              <numCache>
                <formatCode>0.00%</formatCode>
                <ptCount val="61"/>
                <pt idx="0">
                  <v>0.1813740249076694</v>
                </pt>
                <pt idx="1">
                  <v>0.1347977978092916</v>
                </pt>
                <pt idx="2">
                  <v>0.08092118654873222</v>
                </pt>
                <pt idx="3">
                  <v>0.04888888110292568</v>
                </pt>
                <pt idx="4">
                  <v>0.1423085375497709</v>
                </pt>
                <pt idx="5">
                  <v>0.07322556369306234</v>
                </pt>
                <pt idx="6">
                  <v>0.06893703670909679</v>
                </pt>
                <pt idx="7">
                  <v>0.04150378948872473</v>
                </pt>
                <pt idx="8">
                  <v>0.04219028393102842</v>
                </pt>
                <pt idx="9">
                  <v>0.02578137444449046</v>
                </pt>
                <pt idx="10">
                  <v>0.01796447220973358</v>
                </pt>
                <pt idx="11">
                  <v>0.01771141835224535</v>
                </pt>
                <pt idx="12">
                  <v>0.01517377419184897</v>
                </pt>
                <pt idx="13">
                  <v>0.01258134353719597</v>
                </pt>
                <pt idx="14">
                  <v>0.01304461867513688</v>
                </pt>
                <pt idx="15">
                  <v>0.01280479089559114</v>
                </pt>
                <pt idx="16">
                  <v>0.01148194899481595</v>
                </pt>
                <pt idx="17">
                  <v>0.008815251966277976</v>
                </pt>
                <pt idx="18">
                  <v>0.006910729325846218</v>
                </pt>
                <pt idx="19">
                  <v>0.005268690223882843</v>
                </pt>
                <pt idx="20">
                  <v>0.00507898953386733</v>
                </pt>
                <pt idx="21">
                  <v>0.003845179401168089</v>
                </pt>
                <pt idx="22">
                  <v>0.003823226589177818</v>
                </pt>
                <pt idx="23">
                  <v>0.003320197569012823</v>
                </pt>
                <pt idx="24">
                  <v>0.00308309142916091</v>
                </pt>
                <pt idx="25">
                  <v>0.003029808024966432</v>
                </pt>
                <pt idx="26">
                  <v>0.002376366334949616</v>
                </pt>
                <pt idx="27">
                  <v>0.001533092850129125</v>
                </pt>
                <pt idx="28">
                  <v>0.001710901388966001</v>
                </pt>
                <pt idx="29">
                  <v>0.001378552297535246</v>
                </pt>
                <pt idx="30">
                  <v>0.001294292235039816</v>
                </pt>
                <pt idx="31">
                  <v>0.0009980197842262611</v>
                </pt>
                <pt idx="32">
                  <v>0.0009183972602502895</v>
                </pt>
                <pt idx="33">
                  <v>0.0007758402754306403</v>
                </pt>
                <pt idx="34">
                  <v>0.0006687447411075301</v>
                </pt>
                <pt idx="35">
                  <v>0.0005308062761069375</v>
                </pt>
                <pt idx="36">
                  <v>0.0007120189674559585</v>
                </pt>
                <pt idx="37">
                  <v>0.0004942907337676525</v>
                </pt>
                <pt idx="38">
                  <v>0.0004782355687045037</v>
                </pt>
                <pt idx="39">
                  <v>0.0004103245304759692</v>
                </pt>
                <pt idx="40">
                  <v>0.0002974012676198538</v>
                </pt>
                <pt idx="41">
                  <v>0.0002406562994872682</v>
                </pt>
                <pt idx="42">
                  <v>0.0001872081623168183</v>
                </pt>
                <pt idx="43">
                  <v>0.000126993035596252</v>
                </pt>
                <pt idx="44">
                  <v>0.0001302160290978689</v>
                </pt>
                <pt idx="45">
                  <v>0.0001678450055511969</v>
                </pt>
                <pt idx="46">
                  <v>9.471498336740803e-05</v>
                </pt>
                <pt idx="47">
                  <v>0.0001005132477427273</v>
                </pt>
                <pt idx="48">
                  <v>6.716867010218766e-05</v>
                </pt>
                <pt idx="49">
                  <v>7.803867162554915e-05</v>
                </pt>
                <pt idx="50">
                  <v>5.628541872031838e-05</v>
                </pt>
                <pt idx="51">
                  <v>6.182975812548156e-05</v>
                </pt>
                <pt idx="52">
                  <v>3.671403057268949e-05</v>
                </pt>
                <pt idx="53">
                  <v>2.908447434228601e-05</v>
                </pt>
                <pt idx="54">
                  <v>2.808219468411483e-05</v>
                </pt>
                <pt idx="55">
                  <v>3.64835875937065e-05</v>
                </pt>
                <pt idx="56">
                  <v>2.306641839762821e-05</v>
                </pt>
                <pt idx="57">
                  <v>1.913039068547574e-05</v>
                </pt>
                <pt idx="58">
                  <v>7.83564086782286e-06</v>
                </pt>
                <pt idx="59">
                  <v>1.070508695512245e-05</v>
                </pt>
                <pt idx="60">
                  <v>7.89468717790466e-06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8500096"/>
        <axId val="124984064"/>
      </lineChart>
      <catAx>
        <axId val="58500096"/>
        <scaling>
          <orientation val="minMax"/>
        </scaling>
        <delete val="0"/>
        <axPos val="b"/>
        <majorTickMark val="none"/>
        <minorTickMark val="none"/>
        <tickLblPos val="nextTo"/>
        <crossAx val="124984064"/>
        <crosses val="autoZero"/>
        <auto val="1"/>
        <lblAlgn val="ctr"/>
        <lblOffset val="100"/>
        <tickLblSkip val="10"/>
        <noMultiLvlLbl val="0"/>
      </catAx>
      <valAx>
        <axId val="124984064"/>
        <scaling>
          <orientation val="minMax"/>
          <max val="0.3"/>
        </scaling>
        <delete val="0"/>
        <axPos val="l"/>
        <majorGridlines>
          <spPr>
            <a:ln xmlns:a="http://schemas.openxmlformats.org/drawingml/2006/main">
              <a:solidFill>
                <a:schemeClr val="bg1">
                  <a:lumMod val="85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crossAx val="58500096"/>
        <crosses val="autoZero"/>
        <crossBetween val="between"/>
        <majorUnit val="0.05"/>
        <minorUnit val="0.05"/>
      </valAx>
    </plotArea>
    <legend>
      <legendPos val="r"/>
      <layout>
        <manualLayout>
          <xMode val="edge"/>
          <yMode val="edge"/>
          <wMode val="factor"/>
          <hMode val="factor"/>
          <x val="0.8139477283649403"/>
          <y val="0.07831984543598716"/>
          <w val="0.1416550219954899"/>
          <h val="0.1350269757946923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0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010225130309416"/>
          <y val="0.05140055409740449"/>
          <w val="0.8626163542937416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TDFD_PerBus!$C$10</f>
              <strCache>
                <ptCount val="1"/>
                <pt idx="0">
                  <v>Survey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TDFD_PerBus!$C$11:$C$71</f>
              <numCache>
                <formatCode>0.00%</formatCode>
                <ptCount val="61"/>
                <pt idx="0">
                  <v>0</v>
                </pt>
                <pt idx="1">
                  <v>0.002893372015758926</v>
                </pt>
                <pt idx="2">
                  <v>0.003479506653771096</v>
                </pt>
                <pt idx="3">
                  <v>0.007609522219129314</v>
                </pt>
                <pt idx="4">
                  <v>0.007514947624724934</v>
                </pt>
                <pt idx="5">
                  <v>0.01876480439454058</v>
                </pt>
                <pt idx="6">
                  <v>0.015462678678828</v>
                </pt>
                <pt idx="7">
                  <v>0.01435037716432447</v>
                </pt>
                <pt idx="8">
                  <v>0.008999873095995699</v>
                </pt>
                <pt idx="9">
                  <v>0.01453937273277745</v>
                </pt>
                <pt idx="10">
                  <v>0.007072178165728819</v>
                </pt>
                <pt idx="11">
                  <v>0.01670137364180757</v>
                </pt>
                <pt idx="12">
                  <v>0.01107097109695243</v>
                </pt>
                <pt idx="13">
                  <v>0.02248576867703967</v>
                </pt>
                <pt idx="14">
                  <v>0.0163258776709312</v>
                </pt>
                <pt idx="15">
                  <v>0.009747546250130107</v>
                </pt>
                <pt idx="16">
                  <v>0.03966697352935934</v>
                </pt>
                <pt idx="17">
                  <v>0.02536253389085094</v>
                </pt>
                <pt idx="18">
                  <v>0.06167881850515469</v>
                </pt>
                <pt idx="19">
                  <v>0.04544681436554343</v>
                </pt>
                <pt idx="20">
                  <v>0.06139322201164183</v>
                </pt>
                <pt idx="21">
                  <v>0.06326625587752095</v>
                </pt>
                <pt idx="22">
                  <v>0.03677033422655176</v>
                </pt>
                <pt idx="23">
                  <v>0.02754551980728601</v>
                </pt>
                <pt idx="24">
                  <v>0.04381531254847976</v>
                </pt>
                <pt idx="25">
                  <v>0.01947926687416735</v>
                </pt>
                <pt idx="26">
                  <v>0.06120246506405466</v>
                </pt>
                <pt idx="27">
                  <v>0.01308655703174362</v>
                </pt>
                <pt idx="28">
                  <v>0.01846228692896985</v>
                </pt>
                <pt idx="29">
                  <v>0.01818309597632316</v>
                </pt>
                <pt idx="30">
                  <v>0.006820427949708726</v>
                </pt>
                <pt idx="31">
                  <v>0.01366257793300696</v>
                </pt>
                <pt idx="32">
                  <v>0.00809931016531161</v>
                </pt>
                <pt idx="33">
                  <v>0.01500169013275483</v>
                </pt>
                <pt idx="34">
                  <v>0.02053757951892748</v>
                </pt>
                <pt idx="35">
                  <v>0.01358995945601139</v>
                </pt>
                <pt idx="36">
                  <v>0.0063564196365513</v>
                </pt>
                <pt idx="37">
                  <v>0.01347119040281653</v>
                </pt>
                <pt idx="38">
                  <v>0.01208117207668899</v>
                </pt>
                <pt idx="39">
                  <v>0.005618694247618169</v>
                </pt>
                <pt idx="40">
                  <v>0.009639158911746847</v>
                </pt>
                <pt idx="41">
                  <v>0.009649163472067013</v>
                </pt>
                <pt idx="42">
                  <v>0.00270753932274979</v>
                </pt>
                <pt idx="43">
                  <v>0.00246213680156889</v>
                </pt>
                <pt idx="44">
                  <v>0.003036492177607267</v>
                </pt>
                <pt idx="45">
                  <v>0.05319821452975849</v>
                </pt>
                <pt idx="46">
                  <v>0.003565782754729495</v>
                </pt>
                <pt idx="47">
                  <v>0.002759127344423013</v>
                </pt>
                <pt idx="48">
                  <v>0.0006007648903450577</v>
                </pt>
                <pt idx="49">
                  <v>0.001730959582963461</v>
                </pt>
                <pt idx="50">
                  <v>0.001523978981023303</v>
                </pt>
                <pt idx="51">
                  <v>0.0007637374707391766</v>
                </pt>
                <pt idx="52">
                  <v>0.0009260706199473882</v>
                </pt>
                <pt idx="53">
                  <v>0.001945416214271964</v>
                </pt>
                <pt idx="54">
                  <v>0.003657664843737096</v>
                </pt>
                <pt idx="55">
                  <v>0</v>
                </pt>
                <pt idx="56">
                  <v>0.001039105702714622</v>
                </pt>
                <pt idx="57">
                  <v>0.0008480401658130741</v>
                </pt>
                <pt idx="58">
                  <v>0.003242983355404164</v>
                </pt>
                <pt idx="59">
                  <v>0.002852608927625987</v>
                </pt>
                <pt idx="60">
                  <v>0.002712611377970175</v>
                </pt>
              </numCache>
            </numRef>
          </val>
          <smooth val="0"/>
        </ser>
        <ser>
          <idx val="1"/>
          <order val="1"/>
          <tx>
            <strRef>
              <f>TDFD_PerBus!$G$10</f>
              <strCache>
                <ptCount val="1"/>
                <pt idx="0">
                  <v>DaySim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TDFD_PerBus!$G$11:$G$71</f>
              <numCache>
                <formatCode>0.00%</formatCode>
                <ptCount val="61"/>
                <pt idx="0">
                  <v>0.009014677605818868</v>
                </pt>
                <pt idx="1">
                  <v>0.02817602854064459</v>
                </pt>
                <pt idx="2">
                  <v>0.03230798661688801</v>
                </pt>
                <pt idx="3">
                  <v>0.03546003298490565</v>
                </pt>
                <pt idx="4">
                  <v>0.03697928796596122</v>
                </pt>
                <pt idx="5">
                  <v>0.0365275444617519</v>
                </pt>
                <pt idx="6">
                  <v>0.03467509722444744</v>
                </pt>
                <pt idx="7">
                  <v>0.03225744759025623</v>
                </pt>
                <pt idx="8">
                  <v>0.02938563954148652</v>
                </pt>
                <pt idx="9">
                  <v>0.02659649912952484</v>
                </pt>
                <pt idx="10">
                  <v>0.02386224486699717</v>
                </pt>
                <pt idx="11">
                  <v>0.02095503921385932</v>
                </pt>
                <pt idx="12">
                  <v>0.01926806991687097</v>
                </pt>
                <pt idx="13">
                  <v>0.017274200919861</v>
                </pt>
                <pt idx="14">
                  <v>0.01474901557178271</v>
                </pt>
                <pt idx="15">
                  <v>0.01387154786884183</v>
                </pt>
                <pt idx="16">
                  <v>0.01241775245185717</v>
                </pt>
                <pt idx="17">
                  <v>0.01111927380091896</v>
                </pt>
                <pt idx="18">
                  <v>0.09614974377567877</v>
                </pt>
                <pt idx="19">
                  <v>0.03366569098197905</v>
                </pt>
                <pt idx="20">
                  <v>0.02810487780101017</v>
                </pt>
                <pt idx="21">
                  <v>0.0409631065356773</v>
                </pt>
                <pt idx="22">
                  <v>0.03880391900495428</v>
                </pt>
                <pt idx="23">
                  <v>0.03023884346182198</v>
                </pt>
                <pt idx="24">
                  <v>0.02620000026569738</v>
                </pt>
                <pt idx="25">
                  <v>0.02262350648725032</v>
                </pt>
                <pt idx="26">
                  <v>0.01981370320500965</v>
                </pt>
                <pt idx="27">
                  <v>0.01488580777203304</v>
                </pt>
                <pt idx="28">
                  <v>0.0155521180580775</v>
                </pt>
                <pt idx="29">
                  <v>0.02007997627167753</v>
                </pt>
                <pt idx="30">
                  <v>0.01298753449143469</v>
                </pt>
                <pt idx="31">
                  <v>0.01253726651053528</v>
                </pt>
                <pt idx="32">
                  <v>0.009314200492229106</v>
                </pt>
                <pt idx="33">
                  <v>0.01207358900374664</v>
                </pt>
                <pt idx="34">
                  <v>0.01454863459557824</v>
                </pt>
                <pt idx="35">
                  <v>0.009548587346608389</v>
                </pt>
                <pt idx="36">
                  <v>0.006737371523284089</v>
                </pt>
                <pt idx="37">
                  <v>0.006961005110824694</v>
                </pt>
                <pt idx="38">
                  <v>0.007279358346992571</v>
                </pt>
                <pt idx="39">
                  <v>0.006735234989793453</v>
                </pt>
                <pt idx="40">
                  <v>0.006599682391518601</v>
                </pt>
                <pt idx="41">
                  <v>0.004330189721849078</v>
                </pt>
                <pt idx="42">
                  <v>0.004601960566993413</v>
                </pt>
                <pt idx="43">
                  <v>0.003999464872227142</v>
                </pt>
                <pt idx="44">
                  <v>0.005093284617584372</v>
                </pt>
                <pt idx="45">
                  <v>0.003464389343866268</v>
                </pt>
                <pt idx="46">
                  <v>0.003049825755007639</v>
                </pt>
                <pt idx="47">
                  <v>0.002823488810098027</v>
                </pt>
                <pt idx="48">
                  <v>0.002811534327984732</v>
                </pt>
                <pt idx="49">
                  <v>0.002999590970672229</v>
                </pt>
                <pt idx="50">
                  <v>0.001761536690480954</v>
                </pt>
                <pt idx="51">
                  <v>0.002165786338205058</v>
                </pt>
                <pt idx="52">
                  <v>0.001647214073662184</v>
                </pt>
                <pt idx="53">
                  <v>0.001776614857813943</v>
                </pt>
                <pt idx="54">
                  <v>0.001351167255886359</v>
                </pt>
                <pt idx="55">
                  <v>0.001246202702533912</v>
                </pt>
                <pt idx="56">
                  <v>0.001702414256884251</v>
                </pt>
                <pt idx="57">
                  <v>0.001075618000700575</v>
                </pt>
                <pt idx="58">
                  <v>0.001868475983997284</v>
                </pt>
                <pt idx="59">
                  <v>0.001042446412728511</v>
                </pt>
                <pt idx="60">
                  <v>0.000889226331634953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8548736"/>
        <axId val="130090112"/>
      </lineChart>
      <catAx>
        <axId val="58548736"/>
        <scaling>
          <orientation val="minMax"/>
        </scaling>
        <delete val="0"/>
        <axPos val="b"/>
        <majorTickMark val="none"/>
        <minorTickMark val="none"/>
        <tickLblPos val="nextTo"/>
        <crossAx val="130090112"/>
        <crosses val="autoZero"/>
        <auto val="1"/>
        <lblAlgn val="ctr"/>
        <lblOffset val="100"/>
        <tickLblSkip val="10"/>
        <noMultiLvlLbl val="0"/>
      </catAx>
      <valAx>
        <axId val="130090112"/>
        <scaling>
          <orientation val="minMax"/>
          <max val="0.2"/>
        </scaling>
        <delete val="0"/>
        <axPos val="l"/>
        <majorGridlines>
          <spPr>
            <a:ln xmlns:a="http://schemas.openxmlformats.org/drawingml/2006/main">
              <a:solidFill>
                <a:schemeClr val="bg1">
                  <a:lumMod val="85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crossAx val="58548736"/>
        <crosses val="autoZero"/>
        <crossBetween val="between"/>
        <majorUnit val="0.05"/>
        <minorUnit val="0.05"/>
      </valAx>
    </plotArea>
    <legend>
      <legendPos val="r"/>
      <layout>
        <manualLayout>
          <xMode val="edge"/>
          <yMode val="edge"/>
          <wMode val="factor"/>
          <hMode val="factor"/>
          <x val="0.8139477283649403"/>
          <y val="0.07831984543598716"/>
          <w val="0.1416550219954899"/>
          <h val="0.1350269757946923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1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010225130309416"/>
          <y val="0.05140055409740449"/>
          <w val="0.8626163542937416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TLFD_Shop!$C$10</f>
              <strCache>
                <ptCount val="1"/>
                <pt idx="0">
                  <v>Survey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TLFD_Shop!$C$11:$C$71</f>
              <numCache>
                <formatCode>0.00%</formatCode>
                <ptCount val="61"/>
                <pt idx="0">
                  <v>0.05584383118455143</v>
                </pt>
                <pt idx="1">
                  <v>0.0624625722764799</v>
                </pt>
                <pt idx="2">
                  <v>0.06989952323760545</v>
                </pt>
                <pt idx="3">
                  <v>0.1111401014696244</v>
                </pt>
                <pt idx="4">
                  <v>0.2038223791001399</v>
                </pt>
                <pt idx="5">
                  <v>0.1134071759269066</v>
                </pt>
                <pt idx="6">
                  <v>0.1160716493776856</v>
                </pt>
                <pt idx="7">
                  <v>0.05280136770876499</v>
                </pt>
                <pt idx="8">
                  <v>0.04051973667103146</v>
                </pt>
                <pt idx="9">
                  <v>0.02295071133925214</v>
                </pt>
                <pt idx="10">
                  <v>0.05681259701755142</v>
                </pt>
                <pt idx="11">
                  <v>0.007557386595725909</v>
                </pt>
                <pt idx="12">
                  <v>0.01102687590890921</v>
                </pt>
                <pt idx="13">
                  <v>0.006994063098075189</v>
                </pt>
                <pt idx="14">
                  <v>0.009589004554180748</v>
                </pt>
                <pt idx="15">
                  <v>0.009008858124204806</v>
                </pt>
                <pt idx="16">
                  <v>0.01232955382937851</v>
                </pt>
                <pt idx="17">
                  <v>0.00434654952375432</v>
                </pt>
                <pt idx="18">
                  <v>0.004925241068949606</v>
                </pt>
                <pt idx="19">
                  <v>0.002845916029706695</v>
                </pt>
                <pt idx="20">
                  <v>0.003961582357933784</v>
                </pt>
                <pt idx="21">
                  <v>0.001638397162572685</v>
                </pt>
                <pt idx="22">
                  <v>0.002696669208100559</v>
                </pt>
                <pt idx="23">
                  <v>0.001360237318061271</v>
                </pt>
                <pt idx="24">
                  <v>0.001228117987240067</v>
                </pt>
                <pt idx="25">
                  <v>0.00214055073970828</v>
                </pt>
                <pt idx="26">
                  <v>0.00136018223497996</v>
                </pt>
                <pt idx="27">
                  <v>0.0008018121882355218</v>
                </pt>
                <pt idx="28">
                  <v>0.0003543360658056054</v>
                </pt>
                <pt idx="29">
                  <v>0.0002134711774934021</v>
                </pt>
                <pt idx="30">
                  <v>0.0002621946713092631</v>
                </pt>
                <pt idx="31">
                  <v>0.001110062294422277</v>
                </pt>
                <pt idx="32">
                  <v>0.00127997476059289</v>
                </pt>
                <pt idx="33">
                  <v>0.0001390344579061936</v>
                </pt>
                <pt idx="34">
                  <v>0.0001236577346628111</v>
                </pt>
                <pt idx="35">
                  <v>0.0004934515065288869</v>
                </pt>
                <pt idx="36">
                  <v>0.0003136826037058863</v>
                </pt>
                <pt idx="37">
                  <v>0</v>
                </pt>
                <pt idx="38">
                  <v>0.0003203235267113161</v>
                </pt>
                <pt idx="39">
                  <v>0.0003271040007691019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2.262998120993651e-06</v>
                </pt>
                <pt idx="44">
                  <v>0.002504766638138171</v>
                </pt>
                <pt idx="45">
                  <v>0.0001233549085816002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0.0005775072490470103</v>
                </pt>
                <pt idx="51">
                  <v>0</v>
                </pt>
                <pt idx="52">
                  <v>0</v>
                </pt>
                <pt idx="53">
                  <v>0.0002577908862857901</v>
                </pt>
                <pt idx="54">
                  <v>0.0009194749395880714</v>
                </pt>
                <pt idx="55">
                  <v>0</v>
                </pt>
                <pt idx="56">
                  <v>0.0003294243154147595</v>
                </pt>
                <pt idx="57">
                  <v>0.000280550784432332</v>
                </pt>
                <pt idx="58">
                  <v>0</v>
                </pt>
                <pt idx="59">
                  <v>0.0001106844715161375</v>
                </pt>
                <pt idx="6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TLFD_Shop!$G$10</f>
              <strCache>
                <ptCount val="1"/>
                <pt idx="0">
                  <v>DaySim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TLFD_Shop!$G$11:$G$71</f>
              <numCache>
                <formatCode>0.00%</formatCode>
                <ptCount val="61"/>
                <pt idx="0">
                  <v>0.2086762282779294</v>
                </pt>
                <pt idx="1">
                  <v>0.1340412697789136</v>
                </pt>
                <pt idx="2">
                  <v>0.08034355399984829</v>
                </pt>
                <pt idx="3">
                  <v>0.04841785168447249</v>
                </pt>
                <pt idx="4">
                  <v>0.1321035658817375</v>
                </pt>
                <pt idx="5">
                  <v>0.06951249757672233</v>
                </pt>
                <pt idx="6">
                  <v>0.06778476926588456</v>
                </pt>
                <pt idx="7">
                  <v>0.03914335292167186</v>
                </pt>
                <pt idx="8">
                  <v>0.04320384061736921</v>
                </pt>
                <pt idx="9">
                  <v>0.02582961617648646</v>
                </pt>
                <pt idx="10">
                  <v>0.01935450652396888</v>
                </pt>
                <pt idx="11">
                  <v>0.01829331559215689</v>
                </pt>
                <pt idx="12">
                  <v>0.01568286308663124</v>
                </pt>
                <pt idx="13">
                  <v>0.01297015205926745</v>
                </pt>
                <pt idx="14">
                  <v>0.01202216046031434</v>
                </pt>
                <pt idx="15">
                  <v>0.01287002839782861</v>
                </pt>
                <pt idx="16">
                  <v>0.01116093679146793</v>
                </pt>
                <pt idx="17">
                  <v>0.00817812167295052</v>
                </pt>
                <pt idx="18">
                  <v>0.005373656283660141</v>
                </pt>
                <pt idx="19">
                  <v>0.004478386730093465</v>
                </pt>
                <pt idx="20">
                  <v>0.00442905294682479</v>
                </pt>
                <pt idx="21">
                  <v>0.003133440307442374</v>
                </pt>
                <pt idx="22">
                  <v>0.003264647423043163</v>
                </pt>
                <pt idx="23">
                  <v>0.002511869397192378</v>
                </pt>
                <pt idx="24">
                  <v>0.002514937142479873</v>
                </pt>
                <pt idx="25">
                  <v>0.00238229326356865</v>
                </pt>
                <pt idx="26">
                  <v>0.001725148022288902</v>
                </pt>
                <pt idx="27">
                  <v>0.00110549366276993</v>
                </pt>
                <pt idx="28">
                  <v>0.001358208641458857</v>
                </pt>
                <pt idx="29">
                  <v>0.001057042119594588</v>
                </pt>
                <pt idx="30">
                  <v>0.001133836149111049</v>
                </pt>
                <pt idx="31">
                  <v>0.0008344277064069827</v>
                </pt>
                <pt idx="32">
                  <v>0.0006627173339117241</v>
                </pt>
                <pt idx="33">
                  <v>0.0005585497539395284</v>
                </pt>
                <pt idx="34">
                  <v>0.0005481930598190163</v>
                </pt>
                <pt idx="35">
                  <v>0.0003973345399238973</v>
                </pt>
                <pt idx="36">
                  <v>0.0005127627243696855</v>
                </pt>
                <pt idx="37">
                  <v>0.0003659371484581157</v>
                </pt>
                <pt idx="38">
                  <v>0.0003931992770397217</v>
                </pt>
                <pt idx="39">
                  <v>0.0003105373867989528</v>
                </pt>
                <pt idx="40">
                  <v>0.0002478358356346592</v>
                </pt>
                <pt idx="41">
                  <v>0.0001712452427560057</v>
                </pt>
                <pt idx="42">
                  <v>0.0001317505490246566</v>
                </pt>
                <pt idx="43">
                  <v>9.596411913247638e-05</v>
                </pt>
                <pt idx="44">
                  <v>9.705638782409649e-05</v>
                </pt>
                <pt idx="45">
                  <v>0.0001142599576203878</v>
                </pt>
                <pt idx="46">
                  <v>7.407620909521597e-05</v>
                </pt>
                <pt idx="47">
                  <v>6.516694039667773e-05</v>
                </pt>
                <pt idx="48">
                  <v>5.408339492714732e-05</v>
                </pt>
                <pt idx="49">
                  <v>4.643580095069646e-05</v>
                </pt>
                <pt idx="50">
                  <v>3.04820449067669e-05</v>
                </pt>
                <pt idx="51">
                  <v>5.347259673533713e-05</v>
                </pt>
                <pt idx="52">
                  <v>2.93057301756198e-05</v>
                </pt>
                <pt idx="53">
                  <v>2.590533892935119e-05</v>
                </pt>
                <pt idx="54">
                  <v>1.414935188866721e-05</v>
                </pt>
                <pt idx="55">
                  <v>1.61326196838309e-05</v>
                </pt>
                <pt idx="56">
                  <v>1.764526520651476e-05</v>
                </pt>
                <pt idx="57">
                  <v>4.63814439652696e-06</v>
                </pt>
                <pt idx="58">
                  <v>7.981129200582731e-06</v>
                </pt>
                <pt idx="59">
                  <v>9.141906331673907e-06</v>
                </pt>
                <pt idx="60">
                  <v>1.251612600512676e-05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8550784"/>
        <axId val="130091840"/>
      </lineChart>
      <catAx>
        <axId val="58550784"/>
        <scaling>
          <orientation val="minMax"/>
        </scaling>
        <delete val="0"/>
        <axPos val="b"/>
        <majorTickMark val="none"/>
        <minorTickMark val="none"/>
        <tickLblPos val="nextTo"/>
        <crossAx val="130091840"/>
        <crosses val="autoZero"/>
        <auto val="1"/>
        <lblAlgn val="ctr"/>
        <lblOffset val="100"/>
        <tickLblSkip val="10"/>
        <noMultiLvlLbl val="0"/>
      </catAx>
      <valAx>
        <axId val="130091840"/>
        <scaling>
          <orientation val="minMax"/>
          <max val="0.3"/>
        </scaling>
        <delete val="0"/>
        <axPos val="l"/>
        <majorGridlines>
          <spPr>
            <a:ln xmlns:a="http://schemas.openxmlformats.org/drawingml/2006/main">
              <a:solidFill>
                <a:schemeClr val="bg1">
                  <a:lumMod val="85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crossAx val="58550784"/>
        <crosses val="autoZero"/>
        <crossBetween val="between"/>
        <majorUnit val="0.05"/>
        <minorUnit val="0.05"/>
      </valAx>
    </plotArea>
    <legend>
      <legendPos val="r"/>
      <layout>
        <manualLayout>
          <xMode val="edge"/>
          <yMode val="edge"/>
          <wMode val="factor"/>
          <hMode val="factor"/>
          <x val="0.8139477283649403"/>
          <y val="0.07831984543598716"/>
          <w val="0.1416550219954899"/>
          <h val="0.1350269757946923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2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010225130309416"/>
          <y val="0.05140055409740449"/>
          <w val="0.8626163542937416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TDFD_Shop!$C$10</f>
              <strCache>
                <ptCount val="1"/>
                <pt idx="0">
                  <v>Survey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TDFD_Shop!$C$11:$C$71</f>
              <numCache>
                <formatCode>0.00%</formatCode>
                <ptCount val="61"/>
                <pt idx="0">
                  <v>0.0009499069258005256</v>
                </pt>
                <pt idx="1">
                  <v>0.0009059239310213935</v>
                </pt>
                <pt idx="2">
                  <v>0.003755537015079025</v>
                </pt>
                <pt idx="3">
                  <v>0.009296258315446362</v>
                </pt>
                <pt idx="4">
                  <v>0.01233021894235256</v>
                </pt>
                <pt idx="5">
                  <v>0.02659506220830703</v>
                </pt>
                <pt idx="6">
                  <v>0.01186469414153406</v>
                </pt>
                <pt idx="7">
                  <v>0.01968570665521249</v>
                </pt>
                <pt idx="8">
                  <v>0.008164069644456005</v>
                </pt>
                <pt idx="9">
                  <v>0.0206414998161053</v>
                </pt>
                <pt idx="10">
                  <v>0.007039957602559242</v>
                </pt>
                <pt idx="11">
                  <v>0.009512094940786352</v>
                </pt>
                <pt idx="12">
                  <v>0.02142952021876035</v>
                </pt>
                <pt idx="13">
                  <v>0.0258173402585994</v>
                </pt>
                <pt idx="14">
                  <v>0.01372426798920939</v>
                </pt>
                <pt idx="15">
                  <v>0.01263961554039319</v>
                </pt>
                <pt idx="16">
                  <v>0.04079636809626007</v>
                </pt>
                <pt idx="17">
                  <v>0.02910264984088699</v>
                </pt>
                <pt idx="18">
                  <v>0.08924246922696304</v>
                </pt>
                <pt idx="19">
                  <v>0.04457941227287038</v>
                </pt>
                <pt idx="20">
                  <v>0.07208590337292824</v>
                </pt>
                <pt idx="21">
                  <v>0.06554781867599127</v>
                </pt>
                <pt idx="22">
                  <v>0.04109605649436195</v>
                </pt>
                <pt idx="23">
                  <v>0.03191607263796634</v>
                </pt>
                <pt idx="24">
                  <v>0.03884486821971744</v>
                </pt>
                <pt idx="25">
                  <v>0.01545067552848945</v>
                </pt>
                <pt idx="26">
                  <v>0.05979082452936677</v>
                </pt>
                <pt idx="27">
                  <v>0.008604598526610564</v>
                </pt>
                <pt idx="28">
                  <v>0.01768609722581302</v>
                </pt>
                <pt idx="29">
                  <v>0.009357835591504082</v>
                </pt>
                <pt idx="30">
                  <v>0.009604059242316028</v>
                </pt>
                <pt idx="31">
                  <v>0.005517719549451078</v>
                </pt>
                <pt idx="32">
                  <v>0.01298981602989316</v>
                </pt>
                <pt idx="33">
                  <v>0.005600596300429117</v>
                </pt>
                <pt idx="34">
                  <v>0.0116472863069601</v>
                </pt>
                <pt idx="35">
                  <v>0.00874875152384378</v>
                </pt>
                <pt idx="36">
                  <v>0.004331946419928999</v>
                </pt>
                <pt idx="37">
                  <v>0.0129874234561412</v>
                </pt>
                <pt idx="38">
                  <v>0.008669190110696811</v>
                </pt>
                <pt idx="39">
                  <v>0.001904760059749912</v>
                </pt>
                <pt idx="40">
                  <v>0.002958428178922213</v>
                </pt>
                <pt idx="41">
                  <v>0.003423730794026144</v>
                </pt>
                <pt idx="42">
                  <v>0.00139054289646568</v>
                </pt>
                <pt idx="43">
                  <v>0.001326874388602817</v>
                </pt>
                <pt idx="44">
                  <v>0.001643272000817511</v>
                </pt>
                <pt idx="45">
                  <v>0.04956968348668046</v>
                </pt>
                <pt idx="46">
                  <v>0.004645345498625164</v>
                </pt>
                <pt idx="47">
                  <v>0.001425271126315516</v>
                </pt>
                <pt idx="48">
                  <v>0.0009145024688107048</v>
                </pt>
                <pt idx="49">
                  <v>0.001958166211516524</v>
                </pt>
                <pt idx="50">
                  <v>0.0005214319624283606</v>
                </pt>
                <pt idx="51">
                  <v>0.0004010301906371896</v>
                </pt>
                <pt idx="52">
                  <v>0.006317034477333077</v>
                </pt>
                <pt idx="53">
                  <v>0.00072680702200471</v>
                </pt>
                <pt idx="54">
                  <v>0.00286511110125677</v>
                </pt>
                <pt idx="55">
                  <v>0.0003265895210512579</v>
                </pt>
                <pt idx="56">
                  <v>5.240235581600786e-05</v>
                </pt>
                <pt idx="57">
                  <v>0.0007768342583079086</v>
                </pt>
                <pt idx="58">
                  <v>0.002406893286850162</v>
                </pt>
                <pt idx="59">
                  <v>0.0007411088224380973</v>
                </pt>
                <pt idx="60">
                  <v>0.002981915721074666</v>
                </pt>
              </numCache>
            </numRef>
          </val>
          <smooth val="0"/>
        </ser>
        <ser>
          <idx val="1"/>
          <order val="1"/>
          <tx>
            <strRef>
              <f>TDFD_Shop!$G$10</f>
              <strCache>
                <ptCount val="1"/>
                <pt idx="0">
                  <v>DaySim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TDFD_Shop!$G$11:$G$71</f>
              <numCache>
                <formatCode>0.00%</formatCode>
                <ptCount val="61"/>
                <pt idx="0">
                  <v>0.01476048579877195</v>
                </pt>
                <pt idx="1">
                  <v>0.03415631414367135</v>
                </pt>
                <pt idx="2">
                  <v>0.03552041520710003</v>
                </pt>
                <pt idx="3">
                  <v>0.03735288218889575</v>
                </pt>
                <pt idx="4">
                  <v>0.03871323131936295</v>
                </pt>
                <pt idx="5">
                  <v>0.03786177461994357</v>
                </pt>
                <pt idx="6">
                  <v>0.03548650333692179</v>
                </pt>
                <pt idx="7">
                  <v>0.03271936288839782</v>
                </pt>
                <pt idx="8">
                  <v>0.02947267744355778</v>
                </pt>
                <pt idx="9">
                  <v>0.02612673107407507</v>
                </pt>
                <pt idx="10">
                  <v>0.02393778783313442</v>
                </pt>
                <pt idx="11">
                  <v>0.02144116842042198</v>
                </pt>
                <pt idx="12">
                  <v>0.01956144015252267</v>
                </pt>
                <pt idx="13">
                  <v>0.01734922035365613</v>
                </pt>
                <pt idx="14">
                  <v>0.01460550481319501</v>
                </pt>
                <pt idx="15">
                  <v>0.01396995329923587</v>
                </pt>
                <pt idx="16">
                  <v>0.01240174269511944</v>
                </pt>
                <pt idx="17">
                  <v>0.01083279710189645</v>
                </pt>
                <pt idx="18">
                  <v>0.08727351299513531</v>
                </pt>
                <pt idx="19">
                  <v>0.03306791849193701</v>
                </pt>
                <pt idx="20">
                  <v>0.02798181029612945</v>
                </pt>
                <pt idx="21">
                  <v>0.03775647114080936</v>
                </pt>
                <pt idx="22">
                  <v>0.03683282564676399</v>
                </pt>
                <pt idx="23">
                  <v>0.02974783601135195</v>
                </pt>
                <pt idx="24">
                  <v>0.02401398882823136</v>
                </pt>
                <pt idx="25">
                  <v>0.02096025820183573</v>
                </pt>
                <pt idx="26">
                  <v>0.0200836533547708</v>
                </pt>
                <pt idx="27">
                  <v>0.01527130004883713</v>
                </pt>
                <pt idx="28">
                  <v>0.01493845443315741</v>
                </pt>
                <pt idx="29">
                  <v>0.01983166873415843</v>
                </pt>
                <pt idx="30">
                  <v>0.01349259905242752</v>
                </pt>
                <pt idx="31">
                  <v>0.01276249513078493</v>
                </pt>
                <pt idx="32">
                  <v>0.009364975426978893</v>
                </pt>
                <pt idx="33">
                  <v>0.01371462222559934</v>
                </pt>
                <pt idx="34">
                  <v>0.01458392543772642</v>
                </pt>
                <pt idx="35">
                  <v>0.009503209870422949</v>
                </pt>
                <pt idx="36">
                  <v>0.00627604470123649</v>
                </pt>
                <pt idx="37">
                  <v>0.006607620314385097</v>
                </pt>
                <pt idx="38">
                  <v>0.006965227284959464</v>
                </pt>
                <pt idx="39">
                  <v>0.006443967383810758</v>
                </pt>
                <pt idx="40">
                  <v>0.006256023844343202</v>
                </pt>
                <pt idx="41">
                  <v>0.003742135384272955</v>
                </pt>
                <pt idx="42">
                  <v>0.004061457464016593</v>
                </pt>
                <pt idx="43">
                  <v>0.003399357139893364</v>
                </pt>
                <pt idx="44">
                  <v>0.004621665539534654</v>
                </pt>
                <pt idx="45">
                  <v>0.003252015109993759</v>
                </pt>
                <pt idx="46">
                  <v>0.003037801958930906</v>
                </pt>
                <pt idx="47">
                  <v>0.00281888922439284</v>
                </pt>
                <pt idx="48">
                  <v>0.002599531643194657</v>
                </pt>
                <pt idx="49">
                  <v>0.002941188535027839</v>
                </pt>
                <pt idx="50">
                  <v>0.001596733978386113</v>
                </pt>
                <pt idx="51">
                  <v>0.001970996753114545</v>
                </pt>
                <pt idx="52">
                  <v>0.001519692562910131</v>
                </pt>
                <pt idx="53">
                  <v>0.001410296157370144</v>
                </pt>
                <pt idx="54">
                  <v>0.001173303373051353</v>
                </pt>
                <pt idx="55">
                  <v>0.001227870178298318</v>
                </pt>
                <pt idx="56">
                  <v>0.001504509350760905</v>
                </pt>
                <pt idx="57">
                  <v>0.001017257789976195</v>
                </pt>
                <pt idx="58">
                  <v>0.00185439045144743</v>
                </pt>
                <pt idx="59">
                  <v>0.00096017536202269</v>
                </pt>
                <pt idx="60">
                  <v>0.0007880076232344679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3054592"/>
        <axId val="130094144"/>
      </lineChart>
      <catAx>
        <axId val="123054592"/>
        <scaling>
          <orientation val="minMax"/>
        </scaling>
        <delete val="0"/>
        <axPos val="b"/>
        <majorTickMark val="none"/>
        <minorTickMark val="none"/>
        <tickLblPos val="nextTo"/>
        <crossAx val="130094144"/>
        <crosses val="autoZero"/>
        <auto val="1"/>
        <lblAlgn val="ctr"/>
        <lblOffset val="100"/>
        <tickLblSkip val="10"/>
        <noMultiLvlLbl val="0"/>
      </catAx>
      <valAx>
        <axId val="130094144"/>
        <scaling>
          <orientation val="minMax"/>
          <max val="0.2"/>
        </scaling>
        <delete val="0"/>
        <axPos val="l"/>
        <majorGridlines>
          <spPr>
            <a:ln xmlns:a="http://schemas.openxmlformats.org/drawingml/2006/main">
              <a:solidFill>
                <a:schemeClr val="bg1">
                  <a:lumMod val="85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crossAx val="123054592"/>
        <crosses val="autoZero"/>
        <crossBetween val="between"/>
        <majorUnit val="0.05"/>
        <minorUnit val="0.05"/>
      </valAx>
    </plotArea>
    <legend>
      <legendPos val="r"/>
      <layout>
        <manualLayout>
          <xMode val="edge"/>
          <yMode val="edge"/>
          <wMode val="factor"/>
          <hMode val="factor"/>
          <x val="0.8139477283649403"/>
          <y val="0.07831984543598716"/>
          <w val="0.1416550219954899"/>
          <h val="0.1350269757946923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3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010225130309416"/>
          <y val="0.05140055409740449"/>
          <w val="0.8626163542937416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TLFD_Meal!$C$10</f>
              <strCache>
                <ptCount val="1"/>
                <pt idx="0">
                  <v>Survey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TLFD_Meal!$C$11:$C$71</f>
              <numCache>
                <formatCode>0.00%</formatCode>
                <ptCount val="61"/>
                <pt idx="0">
                  <v>0.1204917526937676</v>
                </pt>
                <pt idx="1">
                  <v>0.08077975698085227</v>
                </pt>
                <pt idx="2">
                  <v>0.06800172529479641</v>
                </pt>
                <pt idx="3">
                  <v>0.1338999361883102</v>
                </pt>
                <pt idx="4">
                  <v>0.1908932781940546</v>
                </pt>
                <pt idx="5">
                  <v>0.117382736533361</v>
                </pt>
                <pt idx="6">
                  <v>0.07668744401363023</v>
                </pt>
                <pt idx="7">
                  <v>0.02489711245528597</v>
                </pt>
                <pt idx="8">
                  <v>0.03460066892606079</v>
                </pt>
                <pt idx="9">
                  <v>0.01554355798375473</v>
                </pt>
                <pt idx="10">
                  <v>0.04618190974796834</v>
                </pt>
                <pt idx="11">
                  <v>0.009455411837503718</v>
                </pt>
                <pt idx="12">
                  <v>0.008081291078451064</v>
                </pt>
                <pt idx="13">
                  <v>0.0167501783899064</v>
                </pt>
                <pt idx="14">
                  <v>0.004732059272765368</v>
                </pt>
                <pt idx="15">
                  <v>0.01247001422327713</v>
                </pt>
                <pt idx="16">
                  <v>0.009558645987785443</v>
                </pt>
                <pt idx="17">
                  <v>0.003130970457417082</v>
                </pt>
                <pt idx="18">
                  <v>0.005557962411769776</v>
                </pt>
                <pt idx="19">
                  <v>0.0004857109850767634</v>
                </pt>
                <pt idx="20">
                  <v>0.00131228350394555</v>
                </pt>
                <pt idx="21">
                  <v>0.003029178064007321</v>
                </pt>
                <pt idx="22">
                  <v>0.002865463221624968</v>
                </pt>
                <pt idx="23">
                  <v>0.002138681539965535</v>
                </pt>
                <pt idx="24">
                  <v>0.0008898592252234259</v>
                </pt>
                <pt idx="25">
                  <v>0.001401951264628026</v>
                </pt>
                <pt idx="26">
                  <v>0.001358471779371778</v>
                </pt>
                <pt idx="27">
                  <v>0.0003699757884468123</v>
                </pt>
                <pt idx="28">
                  <v>0.001145974308257985</v>
                </pt>
                <pt idx="29">
                  <v>0</v>
                </pt>
                <pt idx="30">
                  <v>0</v>
                </pt>
                <pt idx="31">
                  <v>7.449948092157254e-05</v>
                </pt>
                <pt idx="32">
                  <v>0.000351411237229227</v>
                </pt>
                <pt idx="33">
                  <v>0.0001691319598031785</v>
                </pt>
                <pt idx="34">
                  <v>0.001623258663458317</v>
                </pt>
                <pt idx="35">
                  <v>0.0004137597125531839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0.0004323969571710708</v>
                </pt>
                <pt idx="40">
                  <v>0.0005049565278988444</v>
                </pt>
                <pt idx="41">
                  <v>0.001731930610424154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0.0004613825618891388</v>
                </pt>
                <pt idx="48">
                  <v>0</v>
                </pt>
                <pt idx="49">
                  <v>0</v>
                </pt>
                <pt idx="50">
                  <v>1.701793093634019e-05</v>
                </pt>
                <pt idx="51">
                  <v>5.045235533368236e-05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5.549817747009513e-06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TLFD_Meal!$G$10</f>
              <strCache>
                <ptCount val="1"/>
                <pt idx="0">
                  <v>DaySim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TLFD_Meal!$G$11:$G$71</f>
              <numCache>
                <formatCode>0.00%</formatCode>
                <ptCount val="61"/>
                <pt idx="0">
                  <v>0.2519048001168375</v>
                </pt>
                <pt idx="1">
                  <v>0.1391971888698411</v>
                </pt>
                <pt idx="2">
                  <v>0.07960847912928731</v>
                </pt>
                <pt idx="3">
                  <v>0.04486841238988407</v>
                </pt>
                <pt idx="4">
                  <v>0.1288625560164043</v>
                </pt>
                <pt idx="5">
                  <v>0.06733672442338866</v>
                </pt>
                <pt idx="6">
                  <v>0.0615630626492752</v>
                </pt>
                <pt idx="7">
                  <v>0.03722878915464198</v>
                </pt>
                <pt idx="8">
                  <v>0.03513474532900305</v>
                </pt>
                <pt idx="9">
                  <v>0.02285000191770813</v>
                </pt>
                <pt idx="10">
                  <v>0.01616289517244197</v>
                </pt>
                <pt idx="11">
                  <v>0.01425873697881974</v>
                </pt>
                <pt idx="12">
                  <v>0.01293128725261515</v>
                </pt>
                <pt idx="13">
                  <v>0.01034569556374492</v>
                </pt>
                <pt idx="14">
                  <v>0.0104636050611097</v>
                </pt>
                <pt idx="15">
                  <v>0.009209504736583409</v>
                </pt>
                <pt idx="16">
                  <v>0.008610888589422177</v>
                </pt>
                <pt idx="17">
                  <v>0.006117310303096785</v>
                </pt>
                <pt idx="18">
                  <v>0.006204223987636829</v>
                </pt>
                <pt idx="19">
                  <v>0.005061713304901854</v>
                </pt>
                <pt idx="20">
                  <v>0.004310760097055059</v>
                </pt>
                <pt idx="21">
                  <v>0.003318551232206713</v>
                </pt>
                <pt idx="22">
                  <v>0.003321084500993849</v>
                </pt>
                <pt idx="23">
                  <v>0.002949289646839003</v>
                </pt>
                <pt idx="24">
                  <v>0.002491496440956708</v>
                </pt>
                <pt idx="25">
                  <v>0.002474356174302235</v>
                </pt>
                <pt idx="26">
                  <v>0.001797993101882546</v>
                </pt>
                <pt idx="27">
                  <v>0.001226803609650939</v>
                </pt>
                <pt idx="28">
                  <v>0.001286383617034964</v>
                </pt>
                <pt idx="29">
                  <v>0.001090470181513956</v>
                </pt>
                <pt idx="30">
                  <v>0.0009233897112062968</v>
                </pt>
                <pt idx="31">
                  <v>0.0008391973207146488</v>
                </pt>
                <pt idx="32">
                  <v>0.0007255670344454451</v>
                </pt>
                <pt idx="33">
                  <v>0.0006407142091486317</v>
                </pt>
                <pt idx="34">
                  <v>0.000632347452530376</v>
                </pt>
                <pt idx="35">
                  <v>0.0005102397438631013</v>
                </pt>
                <pt idx="36">
                  <v>0.0006162294804173467</v>
                </pt>
                <pt idx="37">
                  <v>0.0004283562704805689</v>
                </pt>
                <pt idx="38">
                  <v>0.0004306382996642816</v>
                </pt>
                <pt idx="39">
                  <v>0.0004013223925443553</v>
                </pt>
                <pt idx="40">
                  <v>0.0003032672897063842</v>
                </pt>
                <pt idx="41">
                  <v>0.0002582098563392091</v>
                </pt>
                <pt idx="42">
                  <v>0.0001798248532428255</v>
                </pt>
                <pt idx="43">
                  <v>0.0001291057100781221</v>
                </pt>
                <pt idx="44">
                  <v>0.0001197023994775183</v>
                </pt>
                <pt idx="45">
                  <v>0.0001201142127466829</v>
                </pt>
                <pt idx="46">
                  <v>6.070655852410511e-05</v>
                </pt>
                <pt idx="47">
                  <v>6.264851758056135e-05</v>
                </pt>
                <pt idx="48">
                  <v>6.524560204619471e-05</v>
                </pt>
                <pt idx="49">
                  <v>6.318723571499184e-05</v>
                </pt>
                <pt idx="50">
                  <v>6.508209734493672e-05</v>
                </pt>
                <pt idx="51">
                  <v>4.944223246740887e-05</v>
                </pt>
                <pt idx="52">
                  <v>2.221528963019428e-05</v>
                </pt>
                <pt idx="53">
                  <v>2.529938065738855e-05</v>
                </pt>
                <pt idx="54">
                  <v>2.121484715607067e-05</v>
                </pt>
                <pt idx="55">
                  <v>2.748855288761069e-05</v>
                </pt>
                <pt idx="56">
                  <v>1.768776903881568e-05</v>
                </pt>
                <pt idx="57">
                  <v>4.08179285511131e-06</v>
                </pt>
                <pt idx="58">
                  <v>1.768776903881568e-05</v>
                </pt>
                <pt idx="59">
                  <v>6.802988091852183e-06</v>
                </pt>
                <pt idx="60">
                  <v>8.163585710222618e-06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3187712"/>
        <axId val="130095872"/>
      </lineChart>
      <catAx>
        <axId val="123187712"/>
        <scaling>
          <orientation val="minMax"/>
        </scaling>
        <delete val="0"/>
        <axPos val="b"/>
        <majorTickMark val="none"/>
        <minorTickMark val="none"/>
        <tickLblPos val="nextTo"/>
        <crossAx val="130095872"/>
        <crosses val="autoZero"/>
        <auto val="1"/>
        <lblAlgn val="ctr"/>
        <lblOffset val="100"/>
        <tickLblSkip val="10"/>
        <noMultiLvlLbl val="0"/>
      </catAx>
      <valAx>
        <axId val="130095872"/>
        <scaling>
          <orientation val="minMax"/>
          <max val="0.3"/>
        </scaling>
        <delete val="0"/>
        <axPos val="l"/>
        <majorGridlines>
          <spPr>
            <a:ln xmlns:a="http://schemas.openxmlformats.org/drawingml/2006/main">
              <a:solidFill>
                <a:schemeClr val="bg1">
                  <a:lumMod val="85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crossAx val="123187712"/>
        <crosses val="autoZero"/>
        <crossBetween val="between"/>
        <majorUnit val="0.05"/>
        <minorUnit val="0.05"/>
      </valAx>
    </plotArea>
    <legend>
      <legendPos val="r"/>
      <layout>
        <manualLayout>
          <xMode val="edge"/>
          <yMode val="edge"/>
          <wMode val="factor"/>
          <hMode val="factor"/>
          <x val="0.8139477283649403"/>
          <y val="0.07831984543598716"/>
          <w val="0.1416550219954899"/>
          <h val="0.1350269757946923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4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010225130309416"/>
          <y val="0.05140055409740449"/>
          <w val="0.8626163542937416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TDFD_Meal!$C$10</f>
              <strCache>
                <ptCount val="1"/>
                <pt idx="0">
                  <v>Survey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TDFD_Meal!$C$11:$C$71</f>
              <numCache>
                <formatCode>0.00%</formatCode>
                <ptCount val="61"/>
                <pt idx="0">
                  <v>0</v>
                </pt>
                <pt idx="1">
                  <v>0.0002343745743170834</v>
                </pt>
                <pt idx="2">
                  <v>0.001523811556175836</v>
                </pt>
                <pt idx="3">
                  <v>0.01220295150895551</v>
                </pt>
                <pt idx="4">
                  <v>0.01062101372494505</v>
                </pt>
                <pt idx="5">
                  <v>0.02544034792087782</v>
                </pt>
                <pt idx="6">
                  <v>0.02047045980123613</v>
                </pt>
                <pt idx="7">
                  <v>0.02342366863406759</v>
                </pt>
                <pt idx="8">
                  <v>0.01393964375202982</v>
                </pt>
                <pt idx="9">
                  <v>0.03288014308935144</v>
                </pt>
                <pt idx="10">
                  <v>0.01038466961697781</v>
                </pt>
                <pt idx="11">
                  <v>0.01519786689033494</v>
                </pt>
                <pt idx="12">
                  <v>0.01506153591251796</v>
                </pt>
                <pt idx="13">
                  <v>0.02872277441930143</v>
                </pt>
                <pt idx="14">
                  <v>0.02993257666933632</v>
                </pt>
                <pt idx="15">
                  <v>0.02403996473899222</v>
                </pt>
                <pt idx="16">
                  <v>0.03611492920490565</v>
                </pt>
                <pt idx="17">
                  <v>0.02211826581504708</v>
                </pt>
                <pt idx="18">
                  <v>0.07745475354173548</v>
                </pt>
                <pt idx="19">
                  <v>0.04220463095849485</v>
                </pt>
                <pt idx="20">
                  <v>0.08122465540068538</v>
                </pt>
                <pt idx="21">
                  <v>0.04832464208899383</v>
                </pt>
                <pt idx="22">
                  <v>0.03790042086502093</v>
                </pt>
                <pt idx="23">
                  <v>0.01749841631062282</v>
                </pt>
                <pt idx="24">
                  <v>0.02614505135428252</v>
                </pt>
                <pt idx="25">
                  <v>0.02212687697863402</v>
                </pt>
                <pt idx="26">
                  <v>0.03292587593525715</v>
                </pt>
                <pt idx="27">
                  <v>0.01683374155843264</v>
                </pt>
                <pt idx="28">
                  <v>0.01676107548767737</v>
                </pt>
                <pt idx="29">
                  <v>0.01229351379354175</v>
                </pt>
                <pt idx="30">
                  <v>0.01123239238291792</v>
                </pt>
                <pt idx="31">
                  <v>0.006475778159516877</v>
                </pt>
                <pt idx="32">
                  <v>0.003520335316754244</v>
                </pt>
                <pt idx="33">
                  <v>0.01001956180271442</v>
                </pt>
                <pt idx="34">
                  <v>0.01334066343728917</v>
                </pt>
                <pt idx="35">
                  <v>0.003492233325357056</v>
                </pt>
                <pt idx="36">
                  <v>0.004344094650805147</v>
                </pt>
                <pt idx="37">
                  <v>0.005313078018730222</v>
                </pt>
                <pt idx="38">
                  <v>0.008942301841165486</v>
                </pt>
                <pt idx="39">
                  <v>0.008767774478865816</v>
                </pt>
                <pt idx="40">
                  <v>0.002633520402526692</v>
                </pt>
                <pt idx="41">
                  <v>0.001644611852702625</v>
                </pt>
                <pt idx="42">
                  <v>0.0018972724014916</v>
                </pt>
                <pt idx="43">
                  <v>0.0002015354288154528</v>
                </pt>
                <pt idx="44">
                  <v>0.002027085760511157</v>
                </pt>
                <pt idx="45">
                  <v>0.04226249681441206</v>
                </pt>
                <pt idx="46">
                  <v>0.003209573624517835</v>
                </pt>
                <pt idx="47">
                  <v>0.001109767740090035</v>
                </pt>
                <pt idx="48">
                  <v>0.001840387627851458</v>
                </pt>
                <pt idx="49">
                  <v>0.001591179643422803</v>
                </pt>
                <pt idx="50">
                  <v>0.0006963568067033128</v>
                </pt>
                <pt idx="51">
                  <v>0.002199187795913388</v>
                </pt>
                <pt idx="52">
                  <v>0.002859959272333035</v>
                </pt>
                <pt idx="53">
                  <v>0.001974669900687545</v>
                </pt>
                <pt idx="54">
                  <v>0.0006007937558721115</v>
                </pt>
                <pt idx="55">
                  <v>0</v>
                </pt>
                <pt idx="56">
                  <v>0.001705655842197012</v>
                </pt>
                <pt idx="57">
                  <v>0.000492561103058661</v>
                </pt>
                <pt idx="58">
                  <v>0.0004847431876434744</v>
                </pt>
                <pt idx="59">
                  <v>0.006057057387435534</v>
                </pt>
                <pt idx="60">
                  <v>0.005747862282570626</v>
                </pt>
              </numCache>
            </numRef>
          </val>
          <smooth val="0"/>
        </ser>
        <ser>
          <idx val="1"/>
          <order val="1"/>
          <tx>
            <strRef>
              <f>TDFD_Meal!$G$10</f>
              <strCache>
                <ptCount val="1"/>
                <pt idx="0">
                  <v>DaySim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TDFD_Meal!$G$11:$G$71</f>
              <numCache>
                <formatCode>0.00%</formatCode>
                <ptCount val="61"/>
                <pt idx="0">
                  <v>0.01151574101207528</v>
                </pt>
                <pt idx="1">
                  <v>0.03764051231086925</v>
                </pt>
                <pt idx="2">
                  <v>0.03955647281080286</v>
                </pt>
                <pt idx="3">
                  <v>0.04176533957684123</v>
                </pt>
                <pt idx="4">
                  <v>0.04220758232737591</v>
                </pt>
                <pt idx="5">
                  <v>0.04180927518796118</v>
                </pt>
                <pt idx="6">
                  <v>0.03890655161757182</v>
                </pt>
                <pt idx="7">
                  <v>0.0357041853031433</v>
                </pt>
                <pt idx="8">
                  <v>0.03206342219601114</v>
                </pt>
                <pt idx="9">
                  <v>0.02812811406013025</v>
                </pt>
                <pt idx="10">
                  <v>0.02548655182252741</v>
                </pt>
                <pt idx="11">
                  <v>0.02228880572903253</v>
                </pt>
                <pt idx="12">
                  <v>0.02029869522914285</v>
                </pt>
                <pt idx="13">
                  <v>0.0178582040045933</v>
                </pt>
                <pt idx="14">
                  <v>0.01522421936478503</v>
                </pt>
                <pt idx="15">
                  <v>0.01409135628811029</v>
                </pt>
                <pt idx="16">
                  <v>0.01296507627049572</v>
                </pt>
                <pt idx="17">
                  <v>0.01131676067325138</v>
                </pt>
                <pt idx="18">
                  <v>0.08725629878854194</v>
                </pt>
                <pt idx="19">
                  <v>0.03241874077237519</v>
                </pt>
                <pt idx="20">
                  <v>0.02810975547288391</v>
                </pt>
                <pt idx="21">
                  <v>0.03953749394686044</v>
                </pt>
                <pt idx="22">
                  <v>0.03590636003438144</v>
                </pt>
                <pt idx="23">
                  <v>0.02824196360947991</v>
                </pt>
                <pt idx="24">
                  <v>0.02406981398083653</v>
                </pt>
                <pt idx="25">
                  <v>0.02112812752365493</v>
                </pt>
                <pt idx="26">
                  <v>0.01855813394651601</v>
                </pt>
                <pt idx="27">
                  <v>0.01364253548546531</v>
                </pt>
                <pt idx="28">
                  <v>0.01402209212306163</v>
                </pt>
                <pt idx="29">
                  <v>0.01629777478877019</v>
                </pt>
                <pt idx="30">
                  <v>0.01118115187693209</v>
                </pt>
                <pt idx="31">
                  <v>0.01036086676417352</v>
                </pt>
                <pt idx="32">
                  <v>0.008410603721661015</v>
                </pt>
                <pt idx="33">
                  <v>0.0103523950723998</v>
                </pt>
                <pt idx="34">
                  <v>0.009464987441789453</v>
                </pt>
                <pt idx="35">
                  <v>0.008631880842497441</v>
                </pt>
                <pt idx="36">
                  <v>0.005974880535480373</v>
                </pt>
                <pt idx="37">
                  <v>0.005704260287101985</v>
                </pt>
                <pt idx="38">
                  <v>0.005837796274214511</v>
                </pt>
                <pt idx="39">
                  <v>0.005517273511093772</v>
                </pt>
                <pt idx="40">
                  <v>0.004975270369748562</v>
                </pt>
                <pt idx="41">
                  <v>0.003991722737424695</v>
                </pt>
                <pt idx="42">
                  <v>0.003850453053498807</v>
                </pt>
                <pt idx="43">
                  <v>0.003538402100401119</v>
                </pt>
                <pt idx="44">
                  <v>0.003562886409428152</v>
                </pt>
                <pt idx="45">
                  <v>0.003227585967268198</v>
                </pt>
                <pt idx="46">
                  <v>0.002859809541489513</v>
                </pt>
                <pt idx="47">
                  <v>0.002773241454896826</v>
                </pt>
                <pt idx="48">
                  <v>0.002281044731405182</v>
                </pt>
                <pt idx="49">
                  <v>0.002243617632540812</v>
                </pt>
                <pt idx="50">
                  <v>0.001741777637468435</v>
                </pt>
                <pt idx="51">
                  <v>0.001787694327996165</v>
                </pt>
                <pt idx="52">
                  <v>0.001476016744982297</v>
                </pt>
                <pt idx="53">
                  <v>0.001481666988195302</v>
                </pt>
                <pt idx="54">
                  <v>0.00124284595636054</v>
                </pt>
                <pt idx="55">
                  <v>0.001279631964939547</v>
                </pt>
                <pt idx="56">
                  <v>0.00139625416185436</v>
                </pt>
                <pt idx="57">
                  <v>0.001126512301364694</v>
                </pt>
                <pt idx="58">
                  <v>0.001442630762150208</v>
                </pt>
                <pt idx="59">
                  <v>0.0009646705283465256</v>
                </pt>
                <pt idx="60">
                  <v>0.0009084695650246345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3286016"/>
        <axId val="130146880"/>
      </lineChart>
      <catAx>
        <axId val="123286016"/>
        <scaling>
          <orientation val="minMax"/>
        </scaling>
        <delete val="0"/>
        <axPos val="b"/>
        <majorTickMark val="none"/>
        <minorTickMark val="none"/>
        <tickLblPos val="nextTo"/>
        <crossAx val="130146880"/>
        <crosses val="autoZero"/>
        <auto val="1"/>
        <lblAlgn val="ctr"/>
        <lblOffset val="100"/>
        <tickLblSkip val="10"/>
        <noMultiLvlLbl val="0"/>
      </catAx>
      <valAx>
        <axId val="130146880"/>
        <scaling>
          <orientation val="minMax"/>
          <max val="0.2"/>
        </scaling>
        <delete val="0"/>
        <axPos val="l"/>
        <majorGridlines>
          <spPr>
            <a:ln xmlns:a="http://schemas.openxmlformats.org/drawingml/2006/main">
              <a:solidFill>
                <a:schemeClr val="bg1">
                  <a:lumMod val="85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crossAx val="123286016"/>
        <crosses val="autoZero"/>
        <crossBetween val="between"/>
        <majorUnit val="0.05"/>
        <minorUnit val="0.05"/>
      </valAx>
    </plotArea>
    <legend>
      <legendPos val="r"/>
      <layout>
        <manualLayout>
          <xMode val="edge"/>
          <yMode val="edge"/>
          <wMode val="factor"/>
          <hMode val="factor"/>
          <x val="0.8139477283649403"/>
          <y val="0.07831984543598716"/>
          <w val="0.1416550219954899"/>
          <h val="0.1350269757946923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5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010225130309416"/>
          <y val="0.05140055409740449"/>
          <w val="0.8626163542937416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TLFD_SocRec!$C$10</f>
              <strCache>
                <ptCount val="1"/>
                <pt idx="0">
                  <v>Survey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TLFD_SocRec!$C$11:$C$71</f>
              <numCache>
                <formatCode>0.00%</formatCode>
                <ptCount val="61"/>
                <pt idx="0">
                  <v>0.05214629071906192</v>
                </pt>
                <pt idx="1">
                  <v>0.08458813138925259</v>
                </pt>
                <pt idx="2">
                  <v>0.09315889618377073</v>
                </pt>
                <pt idx="3">
                  <v>0.09909614606658894</v>
                </pt>
                <pt idx="4">
                  <v>0.1576096389112333</v>
                </pt>
                <pt idx="5">
                  <v>0.1059535590034184</v>
                </pt>
                <pt idx="6">
                  <v>0.09957925282703692</v>
                </pt>
                <pt idx="7">
                  <v>0.04654743981443417</v>
                </pt>
                <pt idx="8">
                  <v>0.03849656084479356</v>
                </pt>
                <pt idx="9">
                  <v>0.0309775576362692</v>
                </pt>
                <pt idx="10">
                  <v>0.04095330107940127</v>
                </pt>
                <pt idx="11">
                  <v>0.01193672053466286</v>
                </pt>
                <pt idx="12">
                  <v>0.02395852549217408</v>
                </pt>
                <pt idx="13">
                  <v>0.01102471489182189</v>
                </pt>
                <pt idx="14">
                  <v>0.009494111892600162</v>
                </pt>
                <pt idx="15">
                  <v>0.01420511222872592</v>
                </pt>
                <pt idx="16">
                  <v>0.01304637095751756</v>
                </pt>
                <pt idx="17">
                  <v>0.007624786119361769</v>
                </pt>
                <pt idx="18">
                  <v>0.006388319750342895</v>
                </pt>
                <pt idx="19">
                  <v>0.003339210421535689</v>
                </pt>
                <pt idx="20">
                  <v>0.003690428506253561</v>
                </pt>
                <pt idx="21">
                  <v>0.002359981492484912</v>
                </pt>
                <pt idx="22">
                  <v>0.002849504017541385</v>
                </pt>
                <pt idx="23">
                  <v>0.006084144317327408</v>
                </pt>
                <pt idx="24">
                  <v>0.005828662769289961</v>
                </pt>
                <pt idx="25">
                  <v>0.002066162967282866</v>
                </pt>
                <pt idx="26">
                  <v>0.005548842716108095</v>
                </pt>
                <pt idx="27">
                  <v>0.001219336228647459</v>
                </pt>
                <pt idx="28">
                  <v>0.0003741663609677057</v>
                </pt>
                <pt idx="29">
                  <v>0.0006813439758378616</v>
                </pt>
                <pt idx="30">
                  <v>0.0002150921201983973</v>
                </pt>
                <pt idx="31">
                  <v>0.0009821296575795177</v>
                </pt>
                <pt idx="32">
                  <v>0.0008132027872145511</v>
                </pt>
                <pt idx="33">
                  <v>0.0008068190787764841</v>
                </pt>
                <pt idx="34">
                  <v>0.0012819671686343</v>
                </pt>
                <pt idx="35">
                  <v>0.0007350751126870197</v>
                </pt>
                <pt idx="36">
                  <v>0.001252918264600932</v>
                </pt>
                <pt idx="37">
                  <v>0.0002552708080639326</v>
                </pt>
                <pt idx="38">
                  <v>0.0004085702142304733</v>
                </pt>
                <pt idx="39">
                  <v>0.000748197625545328</v>
                </pt>
                <pt idx="40">
                  <v>0.0001969483941562042</v>
                </pt>
                <pt idx="41">
                  <v>0.0008557536077289347</v>
                </pt>
                <pt idx="42">
                  <v>0.0002553720445216376</v>
                </pt>
                <pt idx="43">
                  <v>0.001003260671746453</v>
                </pt>
                <pt idx="44">
                  <v>0.002404275523654941</v>
                </pt>
                <pt idx="45">
                  <v>0</v>
                </pt>
                <pt idx="46">
                  <v>0</v>
                </pt>
                <pt idx="47">
                  <v>0.0004708422967021017</v>
                </pt>
                <pt idx="48">
                  <v>0</v>
                </pt>
                <pt idx="49">
                  <v>0.0003914354511495961</v>
                </pt>
                <pt idx="50">
                  <v>0</v>
                </pt>
                <pt idx="51">
                  <v>0.0002271714744896749</v>
                </pt>
                <pt idx="52">
                  <v>0.0001060819894106589</v>
                </pt>
                <pt idx="53">
                  <v>0.0004141835594909179</v>
                </pt>
                <pt idx="54">
                  <v>0.0006890625983530529</v>
                </pt>
                <pt idx="55">
                  <v>0</v>
                </pt>
                <pt idx="56">
                  <v>0.001072047547565926</v>
                </pt>
                <pt idx="57">
                  <v>0.0003176860768489597</v>
                </pt>
                <pt idx="58">
                  <v>0</v>
                </pt>
                <pt idx="59">
                  <v>0</v>
                </pt>
                <pt idx="60">
                  <v>0</v>
                </pt>
              </numCache>
            </numRef>
          </val>
          <smooth val="0"/>
        </ser>
        <ser>
          <idx val="1"/>
          <order val="1"/>
          <tx>
            <strRef>
              <f>TLFD_SocRec!$G$10</f>
              <strCache>
                <ptCount val="1"/>
                <pt idx="0">
                  <v>DaySim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TLFD_SocRec!$G$11:$G$71</f>
              <numCache>
                <formatCode>0.00%</formatCode>
                <ptCount val="61"/>
                <pt idx="0">
                  <v>0.1418534095234902</v>
                </pt>
                <pt idx="1">
                  <v>0.1149234693962785</v>
                </pt>
                <pt idx="2">
                  <v>0.07186640122035337</v>
                </pt>
                <pt idx="3">
                  <v>0.0462058375148643</v>
                </pt>
                <pt idx="4">
                  <v>0.1633633838311351</v>
                </pt>
                <pt idx="5">
                  <v>0.0887977975970702</v>
                </pt>
                <pt idx="6">
                  <v>0.087542338251409</v>
                </pt>
                <pt idx="7">
                  <v>0.05187789117386105</v>
                </pt>
                <pt idx="8">
                  <v>0.05821390456353264</v>
                </pt>
                <pt idx="9">
                  <v>0.03215300437615361</v>
                </pt>
                <pt idx="10">
                  <v>0.02154044780405148</v>
                </pt>
                <pt idx="11">
                  <v>0.0217672035442534</v>
                </pt>
                <pt idx="12">
                  <v>0.01674733896530169</v>
                </pt>
                <pt idx="13">
                  <v>0.01251321817515944</v>
                </pt>
                <pt idx="14">
                  <v>0.01332489931891684</v>
                </pt>
                <pt idx="15">
                  <v>0.01239895122796393</v>
                </pt>
                <pt idx="16">
                  <v>0.01043495383144608</v>
                </pt>
                <pt idx="17">
                  <v>0.007228813886257203</v>
                </pt>
                <pt idx="18">
                  <v>0.005478458205535818</v>
                </pt>
                <pt idx="19">
                  <v>0.003605400694480831</v>
                </pt>
                <pt idx="20">
                  <v>0.002983583902105051</v>
                </pt>
                <pt idx="21">
                  <v>0.002314384229847354</v>
                </pt>
                <pt idx="22">
                  <v>0.002215108158371507</v>
                </pt>
                <pt idx="23">
                  <v>0.001681671386402343</v>
                </pt>
                <pt idx="24">
                  <v>0.001443217126230072</v>
                </pt>
                <pt idx="25">
                  <v>0.001256503272883841</v>
                </pt>
                <pt idx="26">
                  <v>0.001127526120418492</v>
                </pt>
                <pt idx="27">
                  <v>0.0007120274668172893</v>
                </pt>
                <pt idx="28">
                  <v>0.0006865047985758621</v>
                </pt>
                <pt idx="29">
                  <v>0.000501741028159611</v>
                </pt>
                <pt idx="30">
                  <v>0.0004723983061242994</v>
                </pt>
                <pt idx="31">
                  <v>0.0003873284185264333</v>
                </pt>
                <pt idx="32">
                  <v>0.0002745241530333959</v>
                </pt>
                <pt idx="33">
                  <v>0.0003153725112701101</v>
                </pt>
                <pt idx="34">
                  <v>0.0002522232250968018</v>
                </pt>
                <pt idx="35">
                  <v>0.0002031431887383648</v>
                </pt>
                <pt idx="36">
                  <v>0.0002235352458840235</v>
                </pt>
                <pt idx="37">
                  <v>0.0001477941323233865</v>
                </pt>
                <pt idx="38">
                  <v>0.000167695044105089</v>
                </pt>
                <pt idx="39">
                  <v>0.0001363516786553043</v>
                </pt>
                <pt idx="40">
                  <v>0.0001277265740939935</v>
                </pt>
                <pt idx="41">
                  <v>7.528771816433861e-05</v>
                </pt>
                <pt idx="42">
                  <v>6.601814200726462e-05</v>
                </pt>
                <pt idx="43">
                  <v>5.120045776246737e-05</v>
                </pt>
                <pt idx="44">
                  <v>5.193280703081279e-05</v>
                </pt>
                <pt idx="45">
                  <v>4.223680407160154e-05</v>
                </pt>
                <pt idx="46">
                  <v>2.745254236019835e-05</v>
                </pt>
                <pt idx="47">
                  <v>2.855399000872503e-05</v>
                </pt>
                <pt idx="48">
                  <v>1.260322091511161e-05</v>
                </pt>
                <pt idx="49">
                  <v>2.691773548149064e-05</v>
                </pt>
                <pt idx="50">
                  <v>1.662946428783397e-05</v>
                </pt>
                <pt idx="51">
                  <v>2.427037178399479e-05</v>
                </pt>
                <pt idx="52">
                  <v>1.944644622035912e-05</v>
                </pt>
                <pt idx="53">
                  <v>1.631656571927145e-05</v>
                </pt>
                <pt idx="54">
                  <v>1.08777104795143e-05</v>
                </pt>
                <pt idx="55">
                  <v>8.838139764605367e-06</v>
                </pt>
                <pt idx="56">
                  <v>1.08777104795143e-05</v>
                </pt>
                <pt idx="57">
                  <v>2.811558102521444e-06</v>
                </pt>
                <pt idx="58">
                  <v>9.060858866231268e-06</v>
                </pt>
                <pt idx="59">
                  <v>6.798569049696437e-06</v>
                </pt>
                <pt idx="60">
                  <v>2.36485859927073e-06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8398208"/>
        <axId val="130148608"/>
      </lineChart>
      <catAx>
        <axId val="58398208"/>
        <scaling>
          <orientation val="minMax"/>
        </scaling>
        <delete val="0"/>
        <axPos val="b"/>
        <majorTickMark val="none"/>
        <minorTickMark val="none"/>
        <tickLblPos val="nextTo"/>
        <crossAx val="130148608"/>
        <crosses val="autoZero"/>
        <auto val="1"/>
        <lblAlgn val="ctr"/>
        <lblOffset val="100"/>
        <tickLblSkip val="10"/>
        <noMultiLvlLbl val="0"/>
      </catAx>
      <valAx>
        <axId val="130148608"/>
        <scaling>
          <orientation val="minMax"/>
          <max val="0.3"/>
        </scaling>
        <delete val="0"/>
        <axPos val="l"/>
        <majorGridlines>
          <spPr>
            <a:ln xmlns:a="http://schemas.openxmlformats.org/drawingml/2006/main">
              <a:solidFill>
                <a:schemeClr val="bg1">
                  <a:lumMod val="85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crossAx val="58398208"/>
        <crosses val="autoZero"/>
        <crossBetween val="between"/>
        <majorUnit val="0.05"/>
        <minorUnit val="0.05"/>
      </valAx>
    </plotArea>
    <legend>
      <legendPos val="r"/>
      <layout>
        <manualLayout>
          <xMode val="edge"/>
          <yMode val="edge"/>
          <wMode val="factor"/>
          <hMode val="factor"/>
          <x val="0.8139477283649403"/>
          <y val="0.07831984543598716"/>
          <w val="0.1416550219954899"/>
          <h val="0.1350269757946923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16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1010225130309416"/>
          <y val="0.05140055409740449"/>
          <w val="0.8626163542937416"/>
          <h val="0.7982250656167978"/>
        </manualLayout>
      </layout>
      <lineChart>
        <grouping val="standard"/>
        <varyColors val="0"/>
        <ser>
          <idx val="0"/>
          <order val="0"/>
          <tx>
            <strRef>
              <f>TDFD_SocRec!$C$10</f>
              <strCache>
                <ptCount val="1"/>
                <pt idx="0">
                  <v>Survey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TDFD_SocRec!$C$11:$C$71</f>
              <numCache>
                <formatCode>0.00%</formatCode>
                <ptCount val="61"/>
                <pt idx="0">
                  <v>0.0002158179325823729</v>
                </pt>
                <pt idx="1">
                  <v>0.001413256356712542</v>
                </pt>
                <pt idx="2">
                  <v>0.002366534984454115</v>
                </pt>
                <pt idx="3">
                  <v>0.00385051551455749</v>
                </pt>
                <pt idx="4">
                  <v>0.009728295244151208</v>
                </pt>
                <pt idx="5">
                  <v>0.009539085041508476</v>
                </pt>
                <pt idx="6">
                  <v>0.0121443039752217</v>
                </pt>
                <pt idx="7">
                  <v>0.01508857060017517</v>
                </pt>
                <pt idx="8">
                  <v>0.01011255491500208</v>
                </pt>
                <pt idx="9">
                  <v>0.02287777388378102</v>
                </pt>
                <pt idx="10">
                  <v>0.009775798634655124</v>
                </pt>
                <pt idx="11">
                  <v>0.008390846123953428</v>
                </pt>
                <pt idx="12">
                  <v>0.02112263646814169</v>
                </pt>
                <pt idx="13">
                  <v>0.01816928611626216</v>
                </pt>
                <pt idx="14">
                  <v>0.01087412546080006</v>
                </pt>
                <pt idx="15">
                  <v>0.007102275210727592</v>
                </pt>
                <pt idx="16">
                  <v>0.0261533946232691</v>
                </pt>
                <pt idx="17">
                  <v>0.01477675577311131</v>
                </pt>
                <pt idx="18">
                  <v>0.04975893925635633</v>
                </pt>
                <pt idx="19">
                  <v>0.04654153423306103</v>
                </pt>
                <pt idx="20">
                  <v>0.04808008496146264</v>
                </pt>
                <pt idx="21">
                  <v>0.04000952095516734</v>
                </pt>
                <pt idx="22">
                  <v>0.04038031770147073</v>
                </pt>
                <pt idx="23">
                  <v>0.02978997176834227</v>
                </pt>
                <pt idx="24">
                  <v>0.02457024299006312</v>
                </pt>
                <pt idx="25">
                  <v>0.01833219897396527</v>
                </pt>
                <pt idx="26">
                  <v>0.04961669349133121</v>
                </pt>
                <pt idx="27">
                  <v>0.01689873430704298</v>
                </pt>
                <pt idx="28">
                  <v>0.01302450465309822</v>
                </pt>
                <pt idx="29">
                  <v>0.02540938096963692</v>
                </pt>
                <pt idx="30">
                  <v>0.01493630255188514</v>
                </pt>
                <pt idx="31">
                  <v>0.01392388852790006</v>
                </pt>
                <pt idx="32">
                  <v>0.01138858320938088</v>
                </pt>
                <pt idx="33">
                  <v>0.00813347083249049</v>
                </pt>
                <pt idx="34">
                  <v>0.01365376039071541</v>
                </pt>
                <pt idx="35">
                  <v>0.01146499548415884</v>
                </pt>
                <pt idx="36">
                  <v>0.011400338523484</v>
                </pt>
                <pt idx="37">
                  <v>0.01021908118473165</v>
                </pt>
                <pt idx="38">
                  <v>0.01074412963735014</v>
                </pt>
                <pt idx="39">
                  <v>0.002441823529562777</v>
                </pt>
                <pt idx="40">
                  <v>0.004265265571745007</v>
                </pt>
                <pt idx="41">
                  <v>0.003134897854676241</v>
                </pt>
                <pt idx="42">
                  <v>0.00471807679431957</v>
                </pt>
                <pt idx="43">
                  <v>0.001984160429358111</v>
                </pt>
                <pt idx="44">
                  <v>0.001463641335148848</v>
                </pt>
                <pt idx="45">
                  <v>0.03161297201123625</v>
                </pt>
                <pt idx="46">
                  <v>0.00405698620920524</v>
                </pt>
                <pt idx="47">
                  <v>0.002302731692465221</v>
                </pt>
                <pt idx="48">
                  <v>0.01025886864750656</v>
                </pt>
                <pt idx="49">
                  <v>0.004254743895198843</v>
                </pt>
                <pt idx="50">
                  <v>0.0004368518916808597</v>
                </pt>
                <pt idx="51">
                  <v>0.006424797455056079</v>
                </pt>
                <pt idx="52">
                  <v>0.002917158907964886</v>
                </pt>
                <pt idx="53">
                  <v>0.0008676020095784091</v>
                </pt>
                <pt idx="54">
                  <v>0.01333445761723243</v>
                </pt>
                <pt idx="55">
                  <v>0.0001960150519313991</v>
                </pt>
                <pt idx="56">
                  <v>0.004803229152971951</v>
                </pt>
                <pt idx="57">
                  <v>0.001193783261709466</v>
                </pt>
                <pt idx="58">
                  <v>0.002082034375143521</v>
                </pt>
                <pt idx="59">
                  <v>0.01168309510534692</v>
                </pt>
                <pt idx="60">
                  <v>0.008839794653218894</v>
                </pt>
              </numCache>
            </numRef>
          </val>
          <smooth val="0"/>
        </ser>
        <ser>
          <idx val="1"/>
          <order val="1"/>
          <tx>
            <strRef>
              <f>TDFD_SocRec!$G$10</f>
              <strCache>
                <ptCount val="1"/>
                <pt idx="0">
                  <v>DaySim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TDFD_SocRec!$G$11:$G$71</f>
              <numCache>
                <formatCode>0.00%</formatCode>
                <ptCount val="61"/>
                <pt idx="0">
                  <v>0.003573370152893682</v>
                </pt>
                <pt idx="1">
                  <v>0.01556193214418004</v>
                </pt>
                <pt idx="2">
                  <v>0.01853515275056016</v>
                </pt>
                <pt idx="3">
                  <v>0.02132710325620495</v>
                </pt>
                <pt idx="4">
                  <v>0.02351450306980012</v>
                </pt>
                <pt idx="5">
                  <v>0.02440312119681739</v>
                </pt>
                <pt idx="6">
                  <v>0.02492288910932309</v>
                </pt>
                <pt idx="7">
                  <v>0.02507396119176371</v>
                </pt>
                <pt idx="8">
                  <v>0.02417713234426925</v>
                </pt>
                <pt idx="9">
                  <v>0.02321216803730922</v>
                </pt>
                <pt idx="10">
                  <v>0.02175034991532346</v>
                </pt>
                <pt idx="11">
                  <v>0.02018539143682513</v>
                </pt>
                <pt idx="12">
                  <v>0.01889299788611106</v>
                </pt>
                <pt idx="13">
                  <v>0.0170900788999203</v>
                </pt>
                <pt idx="14">
                  <v>0.01512641159150599</v>
                </pt>
                <pt idx="15">
                  <v>0.01519260575252523</v>
                </pt>
                <pt idx="16">
                  <v>0.01391162438852015</v>
                </pt>
                <pt idx="17">
                  <v>0.0126558833981632</v>
                </pt>
                <pt idx="18">
                  <v>0.1091978440835045</v>
                </pt>
                <pt idx="19">
                  <v>0.0423892580598102</v>
                </pt>
                <pt idx="20">
                  <v>0.03824511560262179</v>
                </pt>
                <pt idx="21">
                  <v>0.04977837378944255</v>
                </pt>
                <pt idx="22">
                  <v>0.04900955822400635</v>
                </pt>
                <pt idx="23">
                  <v>0.03689061768071435</v>
                </pt>
                <pt idx="24">
                  <v>0.03186909949522507</v>
                </pt>
                <pt idx="25">
                  <v>0.02969132409900682</v>
                </pt>
                <pt idx="26">
                  <v>0.02512838522915233</v>
                </pt>
                <pt idx="27">
                  <v>0.01922215574783857</v>
                </pt>
                <pt idx="28">
                  <v>0.01879739370582052</v>
                </pt>
                <pt idx="29">
                  <v>0.02356785311184739</v>
                </pt>
                <pt idx="30">
                  <v>0.01592947312518079</v>
                </pt>
                <pt idx="31">
                  <v>0.01512243282724998</v>
                </pt>
                <pt idx="32">
                  <v>0.01020480603317777</v>
                </pt>
                <pt idx="33">
                  <v>0.01120822247124015</v>
                </pt>
                <pt idx="34">
                  <v>0.01286310119483066</v>
                </pt>
                <pt idx="35">
                  <v>0.009512453329049922</v>
                </pt>
                <pt idx="36">
                  <v>0.006562680934183496</v>
                </pt>
                <pt idx="37">
                  <v>0.006392832866704857</v>
                </pt>
                <pt idx="38">
                  <v>0.006275352853192326</v>
                </pt>
                <pt idx="39">
                  <v>0.006732332348123297</v>
                </pt>
                <pt idx="40">
                  <v>0.005081795700035922</v>
                </pt>
                <pt idx="41">
                  <v>0.003812786140728408</v>
                </pt>
                <pt idx="42">
                  <v>0.004111043977540156</v>
                </pt>
                <pt idx="43">
                  <v>0.003371018538415665</v>
                </pt>
                <pt idx="44">
                  <v>0.004126484061298662</v>
                </pt>
                <pt idx="45">
                  <v>0.002800734668853737</v>
                </pt>
                <pt idx="46">
                  <v>0.002557671463438759</v>
                </pt>
                <pt idx="47">
                  <v>0.002316675750578712</v>
                </pt>
                <pt idx="48">
                  <v>0.002659334071800658</v>
                </pt>
                <pt idx="49">
                  <v>0.003243526828242424</v>
                </pt>
                <pt idx="50">
                  <v>0.001705063779920146</v>
                </pt>
                <pt idx="51">
                  <v>0.001682242066748949</v>
                </pt>
                <pt idx="52">
                  <v>0.001481258379430895</v>
                </pt>
                <pt idx="53">
                  <v>0.001530023742414476</v>
                </pt>
                <pt idx="54">
                  <v>0.001247126492808337</v>
                </pt>
                <pt idx="55">
                  <v>0.00125699936534609</v>
                </pt>
                <pt idx="56">
                  <v>0.001237532097109773</v>
                </pt>
                <pt idx="57">
                  <v>0.00108324629637268</v>
                </pt>
                <pt idx="58">
                  <v>0.001869520897458587</v>
                </pt>
                <pt idx="59">
                  <v>0.001011679218399444</v>
                </pt>
                <pt idx="60">
                  <v>0.000976322431542066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3378176"/>
        <axId val="130150912"/>
      </lineChart>
      <catAx>
        <axId val="123378176"/>
        <scaling>
          <orientation val="minMax"/>
        </scaling>
        <delete val="0"/>
        <axPos val="b"/>
        <majorTickMark val="none"/>
        <minorTickMark val="none"/>
        <tickLblPos val="nextTo"/>
        <crossAx val="130150912"/>
        <crosses val="autoZero"/>
        <auto val="1"/>
        <lblAlgn val="ctr"/>
        <lblOffset val="100"/>
        <tickLblSkip val="10"/>
        <noMultiLvlLbl val="0"/>
      </catAx>
      <valAx>
        <axId val="130150912"/>
        <scaling>
          <orientation val="minMax"/>
          <max val="0.2"/>
        </scaling>
        <delete val="0"/>
        <axPos val="l"/>
        <majorGridlines>
          <spPr>
            <a:ln xmlns:a="http://schemas.openxmlformats.org/drawingml/2006/main">
              <a:solidFill>
                <a:schemeClr val="bg1">
                  <a:lumMod val="85000"/>
                </a:schemeClr>
              </a:solidFill>
              <a:prstDash val="solid"/>
            </a:ln>
          </spPr>
        </majorGridlines>
        <numFmt formatCode="0%" sourceLinked="0"/>
        <majorTickMark val="none"/>
        <minorTickMark val="none"/>
        <tickLblPos val="nextTo"/>
        <crossAx val="123378176"/>
        <crosses val="autoZero"/>
        <crossBetween val="between"/>
        <majorUnit val="0.05"/>
        <minorUnit val="0.05"/>
      </valAx>
    </plotArea>
    <legend>
      <legendPos val="r"/>
      <layout>
        <manualLayout>
          <xMode val="edge"/>
          <yMode val="edge"/>
          <wMode val="factor"/>
          <hMode val="factor"/>
          <x val="0.8139477283649403"/>
          <y val="0.07831984543598716"/>
          <w val="0.1416550219954899"/>
          <h val="0.1350269757946923"/>
        </manualLayout>
      </layout>
      <overlay val="0"/>
    </legend>
    <plotVisOnly val="1"/>
    <dispBlanksAs val="gap"/>
  </chart>
  <spPr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_rels/drawing14.xml.rels><Relationships xmlns="http://schemas.openxmlformats.org/package/2006/relationships"><Relationship Type="http://schemas.openxmlformats.org/officeDocument/2006/relationships/chart" Target="/xl/charts/chart14.xml" Id="rId1"/></Relationships>
</file>

<file path=xl/drawings/_rels/drawing15.xml.rels><Relationships xmlns="http://schemas.openxmlformats.org/package/2006/relationships"><Relationship Type="http://schemas.openxmlformats.org/officeDocument/2006/relationships/chart" Target="/xl/charts/chart15.xml" Id="rId1"/></Relationships>
</file>

<file path=xl/drawings/_rels/drawing16.xml.rels><Relationships xmlns="http://schemas.openxmlformats.org/package/2006/relationships"><Relationship Type="http://schemas.openxmlformats.org/officeDocument/2006/relationships/chart" Target="/xl/charts/chart16.xml" Id="rId1"/></Relationships>
</file>

<file path=xl/drawings/drawing1.xml><?xml version="1.0" encoding="utf-8"?>
<wsDr xmlns="http://schemas.openxmlformats.org/drawingml/2006/spreadsheetDrawing">
  <twoCellAnchor>
    <from>
      <col>9</col>
      <colOff>47625</colOff>
      <row>12</row>
      <rowOff>28575</rowOff>
    </from>
    <to>
      <col>17</col>
      <colOff>581025</colOff>
      <row>26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9</col>
      <colOff>0</colOff>
      <row>12</row>
      <rowOff>0</rowOff>
    </from>
    <to>
      <col>17</col>
      <colOff>533400</colOff>
      <row>26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9</col>
      <colOff>47625</colOff>
      <row>12</row>
      <rowOff>28575</rowOff>
    </from>
    <to>
      <col>17</col>
      <colOff>581025</colOff>
      <row>26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9</col>
      <colOff>0</colOff>
      <row>12</row>
      <rowOff>0</rowOff>
    </from>
    <to>
      <col>17</col>
      <colOff>533400</colOff>
      <row>26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9</col>
      <colOff>47625</colOff>
      <row>12</row>
      <rowOff>28575</rowOff>
    </from>
    <to>
      <col>17</col>
      <colOff>581025</colOff>
      <row>26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9</col>
      <colOff>0</colOff>
      <row>12</row>
      <rowOff>0</rowOff>
    </from>
    <to>
      <col>17</col>
      <colOff>533400</colOff>
      <row>26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9</col>
      <colOff>47625</colOff>
      <row>12</row>
      <rowOff>28575</rowOff>
    </from>
    <to>
      <col>17</col>
      <colOff>581025</colOff>
      <row>26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9</col>
      <colOff>0</colOff>
      <row>12</row>
      <rowOff>0</rowOff>
    </from>
    <to>
      <col>17</col>
      <colOff>533400</colOff>
      <row>26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9</col>
      <colOff>47625</colOff>
      <row>12</row>
      <rowOff>28575</rowOff>
    </from>
    <to>
      <col>17</col>
      <colOff>581025</colOff>
      <row>26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9</col>
      <colOff>0</colOff>
      <row>12</row>
      <rowOff>0</rowOff>
    </from>
    <to>
      <col>17</col>
      <colOff>533400</colOff>
      <row>26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9</col>
      <colOff>47625</colOff>
      <row>12</row>
      <rowOff>28575</rowOff>
    </from>
    <to>
      <col>17</col>
      <colOff>581025</colOff>
      <row>26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9</col>
      <colOff>0</colOff>
      <row>12</row>
      <rowOff>0</rowOff>
    </from>
    <to>
      <col>17</col>
      <colOff>533400</colOff>
      <row>26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9</col>
      <colOff>47625</colOff>
      <row>12</row>
      <rowOff>28575</rowOff>
    </from>
    <to>
      <col>17</col>
      <colOff>581025</colOff>
      <row>26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4.xml><?xml version="1.0" encoding="utf-8"?>
<wsDr xmlns="http://schemas.openxmlformats.org/drawingml/2006/spreadsheetDrawing">
  <twoCellAnchor>
    <from>
      <col>9</col>
      <colOff>0</colOff>
      <row>12</row>
      <rowOff>0</rowOff>
    </from>
    <to>
      <col>17</col>
      <colOff>533400</colOff>
      <row>26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5.xml><?xml version="1.0" encoding="utf-8"?>
<wsDr xmlns="http://schemas.openxmlformats.org/drawingml/2006/spreadsheetDrawing">
  <twoCellAnchor>
    <from>
      <col>9</col>
      <colOff>47625</colOff>
      <row>12</row>
      <rowOff>28575</rowOff>
    </from>
    <to>
      <col>17</col>
      <colOff>581025</colOff>
      <row>26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6.xml><?xml version="1.0" encoding="utf-8"?>
<wsDr xmlns="http://schemas.openxmlformats.org/drawingml/2006/spreadsheetDrawing">
  <twoCellAnchor>
    <from>
      <col>9</col>
      <colOff>0</colOff>
      <row>12</row>
      <rowOff>0</rowOff>
    </from>
    <to>
      <col>17</col>
      <colOff>533400</colOff>
      <row>26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11.xml" Id="rId1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12.xm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3.xml" Id="rId1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4.xml" Id="rId1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5.xml" Id="rId1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6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B102"/>
  <sheetViews>
    <sheetView tabSelected="1" topLeftCell="A75" workbookViewId="0">
      <selection activeCell="B102" sqref="B102"/>
    </sheetView>
  </sheetViews>
  <sheetFormatPr baseColWidth="8" defaultRowHeight="15"/>
  <cols>
    <col collapsed="1" width="13.5703125" customWidth="1" min="1" max="1"/>
    <col collapsed="1" width="11.42578125" customWidth="1" min="2" max="2"/>
    <col width="12.28515625" customWidth="1" min="6" max="6"/>
    <col collapsed="1" width="15.28515625" bestFit="1" customWidth="1" min="20" max="20"/>
    <col collapsed="1" width="14.28515625" bestFit="1" customWidth="1" min="21" max="21"/>
    <col collapsed="1" width="12.28515625" bestFit="1" customWidth="1" min="23" max="23"/>
    <col collapsed="1" width="14.28515625" bestFit="1" customWidth="1" min="25" max="25"/>
    <col collapsed="1" width="12.28515625" bestFit="1" customWidth="1" min="27" max="27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  <c r="T7" t="inlineStr">
        <is>
          <t>Avg. Trip Length</t>
        </is>
      </c>
    </row>
    <row r="8">
      <c r="U8" t="inlineStr">
        <is>
          <t>Survey</t>
        </is>
      </c>
      <c r="Y8" t="inlineStr">
        <is>
          <t>DaySim</t>
        </is>
      </c>
    </row>
    <row r="9" ht="15.75" customHeight="1" thickBot="1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J9" s="7" t="inlineStr">
        <is>
          <t>Table X. Average Trip Length</t>
        </is>
      </c>
      <c r="S9" t="inlineStr">
        <is>
          <t>Purpose</t>
        </is>
      </c>
      <c r="T9" s="12" t="inlineStr">
        <is>
          <t>Mode</t>
        </is>
      </c>
      <c r="U9" s="12" t="inlineStr">
        <is>
          <t>Trips</t>
        </is>
      </c>
      <c r="V9" s="12" t="inlineStr">
        <is>
          <t>Length</t>
        </is>
      </c>
      <c r="W9" s="12" t="inlineStr">
        <is>
          <t>Trips*Length</t>
        </is>
      </c>
      <c r="X9" s="12" t="n"/>
      <c r="Y9" s="12" t="inlineStr">
        <is>
          <t>Trips</t>
        </is>
      </c>
      <c r="Z9" s="12" t="inlineStr">
        <is>
          <t>Length</t>
        </is>
      </c>
      <c r="AA9" s="12" t="inlineStr">
        <is>
          <t>Trips*Length</t>
        </is>
      </c>
    </row>
    <row r="10">
      <c r="A10" s="2" t="inlineStr">
        <is>
          <t>Distance (mi)</t>
        </is>
      </c>
      <c r="B10" s="4" t="inlineStr">
        <is>
          <t>Survey</t>
        </is>
      </c>
      <c r="C10" s="4" t="inlineStr">
        <is>
          <t>Survey</t>
        </is>
      </c>
      <c r="E10" s="2" t="inlineStr">
        <is>
          <t>Distance (mi)</t>
        </is>
      </c>
      <c r="F10" s="4" t="inlineStr">
        <is>
          <t>DaySim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  <c r="S10" t="inlineStr">
        <is>
          <t>Home</t>
        </is>
      </c>
      <c r="T10" t="inlineStr">
        <is>
          <t>Walk</t>
        </is>
      </c>
      <c r="U10" s="11">
        <f>B102</f>
        <v/>
      </c>
      <c r="V10" s="5">
        <f>K11</f>
        <v/>
      </c>
      <c r="W10" s="11">
        <f>U10*V10</f>
        <v/>
      </c>
      <c r="Y10" s="11">
        <f>F102</f>
        <v/>
      </c>
      <c r="Z10" s="5">
        <f>L11</f>
        <v/>
      </c>
      <c r="AA10" s="11">
        <f>Y10*Z10</f>
        <v/>
      </c>
    </row>
    <row r="11">
      <c r="A11" t="n">
        <v>0</v>
      </c>
      <c r="B11" s="5" t="n">
        <v>224956.8544271912</v>
      </c>
      <c r="C11" s="8">
        <f>B11/B$102</f>
        <v/>
      </c>
      <c r="E11" s="9" t="n">
        <v>0</v>
      </c>
      <c r="F11" s="9" t="n">
        <v>767947.4637063877</v>
      </c>
      <c r="G11" s="8">
        <f>F11/F$102</f>
        <v/>
      </c>
      <c r="K11" s="5" t="n">
        <v>7.371756103631701</v>
      </c>
      <c r="L11" s="5" t="n">
        <v>7.197706721047807</v>
      </c>
      <c r="S11" t="inlineStr">
        <is>
          <t>Work</t>
        </is>
      </c>
      <c r="T11" t="inlineStr">
        <is>
          <t>Bike</t>
        </is>
      </c>
      <c r="U11" s="11">
        <f>TLFD_Work!B102</f>
        <v/>
      </c>
      <c r="V11" s="5">
        <f>TLFD_Work!K11</f>
        <v/>
      </c>
      <c r="W11" s="11">
        <f>U11*V11</f>
        <v/>
      </c>
      <c r="Y11" s="11">
        <f>TLFD_Work!F102</f>
        <v/>
      </c>
      <c r="Z11" s="5">
        <f>TLFD_Work!L11</f>
        <v/>
      </c>
      <c r="AA11" s="11">
        <f>Y11*Z11</f>
        <v/>
      </c>
    </row>
    <row r="12">
      <c r="A12" t="n">
        <v>1</v>
      </c>
      <c r="B12" s="5" t="n">
        <v>342386.5286541552</v>
      </c>
      <c r="C12" s="8">
        <f>B12/B$102</f>
        <v/>
      </c>
      <c r="E12" s="9" t="n">
        <v>1</v>
      </c>
      <c r="F12" s="9" t="n">
        <v>634386.4483597643</v>
      </c>
      <c r="G12" s="8">
        <f>F12/F$102</f>
        <v/>
      </c>
      <c r="K12" s="5" t="n"/>
      <c r="L12" s="9" t="n"/>
      <c r="S12" t="inlineStr">
        <is>
          <t>School</t>
        </is>
      </c>
      <c r="T12" t="inlineStr">
        <is>
          <t>SOV</t>
        </is>
      </c>
      <c r="U12" s="11">
        <f>TLFD_School!B102</f>
        <v/>
      </c>
      <c r="V12" s="5">
        <f>TLFD_School!K11</f>
        <v/>
      </c>
      <c r="W12" s="11">
        <f>U12*V12</f>
        <v/>
      </c>
      <c r="Y12" s="11">
        <f>TLFD_School!F102</f>
        <v/>
      </c>
      <c r="Z12" s="5">
        <f>TLFD_School!L11</f>
        <v/>
      </c>
      <c r="AA12" s="11">
        <f>Y12*Z12</f>
        <v/>
      </c>
    </row>
    <row r="13">
      <c r="A13" t="n">
        <v>2</v>
      </c>
      <c r="B13" s="5" t="n">
        <v>417078.9816587072</v>
      </c>
      <c r="C13" s="8">
        <f>B13/B$102</f>
        <v/>
      </c>
      <c r="E13" s="9" t="n">
        <v>2</v>
      </c>
      <c r="F13" s="9" t="n">
        <v>395429.1545816073</v>
      </c>
      <c r="G13" s="8">
        <f>F13/F$102</f>
        <v/>
      </c>
      <c r="S13" t="inlineStr">
        <is>
          <t>Escort</t>
        </is>
      </c>
      <c r="T13" t="inlineStr">
        <is>
          <t>HOV2</t>
        </is>
      </c>
      <c r="U13" s="11">
        <f>TLFD_Escort!B102</f>
        <v/>
      </c>
      <c r="V13" s="5">
        <f>TLFD_Escort!K11</f>
        <v/>
      </c>
      <c r="W13" s="11">
        <f>U13*V13</f>
        <v/>
      </c>
      <c r="Y13" s="11">
        <f>TLFD_Escort!F102</f>
        <v/>
      </c>
      <c r="Z13" s="5">
        <f>TLFD_Escort!L11</f>
        <v/>
      </c>
      <c r="AA13" s="11">
        <f>Y13*Z13</f>
        <v/>
      </c>
    </row>
    <row r="14">
      <c r="A14" t="n">
        <v>3</v>
      </c>
      <c r="B14" s="5" t="n">
        <v>572291.9908904072</v>
      </c>
      <c r="C14" s="8">
        <f>B14/B$102</f>
        <v/>
      </c>
      <c r="E14" s="9" t="n">
        <v>3</v>
      </c>
      <c r="F14" s="9" t="n">
        <v>251012.2648543858</v>
      </c>
      <c r="G14" s="8">
        <f>F14/F$102</f>
        <v/>
      </c>
      <c r="S14" t="inlineStr">
        <is>
          <t>PerBus</t>
        </is>
      </c>
      <c r="T14" t="inlineStr">
        <is>
          <t>HOV3</t>
        </is>
      </c>
      <c r="U14" s="11">
        <f>TLFD_PerBus!B102</f>
        <v/>
      </c>
      <c r="V14" s="5">
        <f>TLFD_PerBus!K11</f>
        <v/>
      </c>
      <c r="W14" s="11">
        <f>U14*V14</f>
        <v/>
      </c>
      <c r="Y14" s="11">
        <f>TLFD_PerBus!F102</f>
        <v/>
      </c>
      <c r="Z14" s="5">
        <f>TLFD_PerBus!L11</f>
        <v/>
      </c>
      <c r="AA14" s="11">
        <f>Y14*Z14</f>
        <v/>
      </c>
    </row>
    <row r="15">
      <c r="A15" t="n">
        <v>4</v>
      </c>
      <c r="B15" s="5" t="n">
        <v>993451.0432055457</v>
      </c>
      <c r="C15" s="8">
        <f>B15/B$102</f>
        <v/>
      </c>
      <c r="E15" s="9" t="n">
        <v>4</v>
      </c>
      <c r="F15" s="9" t="n">
        <v>830371.1001130003</v>
      </c>
      <c r="G15" s="8">
        <f>F15/F$102</f>
        <v/>
      </c>
      <c r="S15" t="inlineStr">
        <is>
          <t>Shop</t>
        </is>
      </c>
      <c r="T15" t="inlineStr">
        <is>
          <t>Transit</t>
        </is>
      </c>
      <c r="U15" s="11">
        <f>TLFD_Shop!B102</f>
        <v/>
      </c>
      <c r="V15" s="5">
        <f>TLFD_Shop!K11</f>
        <v/>
      </c>
      <c r="W15" s="11">
        <f>U15*V15</f>
        <v/>
      </c>
      <c r="Y15" s="11">
        <f>TLFD_Shop!F102</f>
        <v/>
      </c>
      <c r="Z15" s="5">
        <f>TLFD_Shop!L11</f>
        <v/>
      </c>
      <c r="AA15" s="11">
        <f>Y15*Z15</f>
        <v/>
      </c>
    </row>
    <row r="16">
      <c r="A16" t="n">
        <v>5</v>
      </c>
      <c r="B16" s="5" t="n">
        <v>595252.5438308496</v>
      </c>
      <c r="C16" s="8">
        <f>B16/B$102</f>
        <v/>
      </c>
      <c r="E16" s="9" t="n">
        <v>5</v>
      </c>
      <c r="F16" s="9" t="n">
        <v>456494.3306178341</v>
      </c>
      <c r="G16" s="8">
        <f>F16/F$102</f>
        <v/>
      </c>
      <c r="S16" t="inlineStr">
        <is>
          <t>Meal</t>
        </is>
      </c>
      <c r="T16" t="inlineStr">
        <is>
          <t>-</t>
        </is>
      </c>
      <c r="U16" s="5">
        <f>TLFD_Meal!B102</f>
        <v/>
      </c>
      <c r="V16" s="5">
        <f>TLFD_Meal!K11</f>
        <v/>
      </c>
      <c r="W16" s="11">
        <f>U16*V16</f>
        <v/>
      </c>
      <c r="Y16" s="5">
        <f>TLFD_Meal!F102</f>
        <v/>
      </c>
      <c r="Z16" s="5">
        <f>TLFD_Meal!L11</f>
        <v/>
      </c>
      <c r="AA16" s="11">
        <f>Y16*Z16</f>
        <v/>
      </c>
    </row>
    <row r="17">
      <c r="A17" t="n">
        <v>6</v>
      </c>
      <c r="B17" s="5" t="n">
        <v>664889.5903124817</v>
      </c>
      <c r="C17" s="8">
        <f>B17/B$102</f>
        <v/>
      </c>
      <c r="E17" s="9" t="n">
        <v>6</v>
      </c>
      <c r="F17" s="9" t="n">
        <v>454278.1983165363</v>
      </c>
      <c r="G17" s="8">
        <f>F17/F$102</f>
        <v/>
      </c>
      <c r="S17" t="inlineStr">
        <is>
          <t>SocRec</t>
        </is>
      </c>
      <c r="T17" t="inlineStr">
        <is>
          <t>School Bus</t>
        </is>
      </c>
      <c r="U17" s="11">
        <f>TLFD_SocRec!B102</f>
        <v/>
      </c>
      <c r="V17" s="5">
        <f>TLFD_SocRec!K11</f>
        <v/>
      </c>
      <c r="W17" s="11">
        <f>U17*V17</f>
        <v/>
      </c>
      <c r="Y17" s="11">
        <f>TLFD_SocRec!F102</f>
        <v/>
      </c>
      <c r="Z17" s="5">
        <f>TLFD_SocRec!L11</f>
        <v/>
      </c>
      <c r="AA17" s="11">
        <f>Y17*Z17</f>
        <v/>
      </c>
    </row>
    <row r="18">
      <c r="A18" t="n">
        <v>7</v>
      </c>
      <c r="B18" s="5" t="n">
        <v>286937.5317732772</v>
      </c>
      <c r="C18" s="8">
        <f>B18/B$102</f>
        <v/>
      </c>
      <c r="E18" s="9" t="n">
        <v>7</v>
      </c>
      <c r="F18" s="9" t="n">
        <v>291775.0004450376</v>
      </c>
      <c r="G18" s="8">
        <f>F18/F$102</f>
        <v/>
      </c>
      <c r="T18" s="13" t="inlineStr">
        <is>
          <t>ALL (mode)</t>
        </is>
      </c>
      <c r="U18" s="14">
        <f>SUM(U10:U15)+U17</f>
        <v/>
      </c>
      <c r="V18" s="15">
        <f>W18/U18</f>
        <v/>
      </c>
      <c r="W18" s="14">
        <f>SUM(W10:W15)+W17</f>
        <v/>
      </c>
      <c r="X18" s="13" t="n"/>
      <c r="Y18" s="14">
        <f>SUM(Y10:Y15)+Y17</f>
        <v/>
      </c>
      <c r="Z18" s="15">
        <f>AA18/Y18</f>
        <v/>
      </c>
      <c r="AA18" s="14">
        <f>SUM(AA10:AA15)+AA17</f>
        <v/>
      </c>
      <c r="AB18" t="inlineStr">
        <is>
          <t>Meal is not included - not a mode</t>
        </is>
      </c>
    </row>
    <row r="19">
      <c r="A19" t="n">
        <v>8</v>
      </c>
      <c r="B19" s="5" t="n">
        <v>312170.6787957893</v>
      </c>
      <c r="C19" s="8">
        <f>B19/B$102</f>
        <v/>
      </c>
      <c r="E19" s="9" t="n">
        <v>8</v>
      </c>
      <c r="F19" s="9" t="n">
        <v>296328.4769667849</v>
      </c>
      <c r="G19" s="8">
        <f>F19/F$102</f>
        <v/>
      </c>
      <c r="S19" s="13" t="inlineStr">
        <is>
          <t>ALL (purpose)</t>
        </is>
      </c>
      <c r="U19" s="16">
        <f>U18+U16</f>
        <v/>
      </c>
      <c r="V19" s="15">
        <f>W19/U19</f>
        <v/>
      </c>
      <c r="W19" s="17">
        <f>W18+W16</f>
        <v/>
      </c>
      <c r="X19" s="13" t="n"/>
      <c r="Y19" s="16">
        <f>Y18+Y16</f>
        <v/>
      </c>
      <c r="Z19" s="15">
        <f>AA19/Y19</f>
        <v/>
      </c>
      <c r="AA19" s="17">
        <f>AA18+AA16</f>
        <v/>
      </c>
      <c r="AB19" t="inlineStr">
        <is>
          <t>Meal is included</t>
        </is>
      </c>
    </row>
    <row r="20">
      <c r="A20" t="n">
        <v>9</v>
      </c>
      <c r="B20" s="5" t="n">
        <v>161831.5634316459</v>
      </c>
      <c r="C20" s="8">
        <f>B20/B$102</f>
        <v/>
      </c>
      <c r="E20" s="9" t="n">
        <v>9</v>
      </c>
      <c r="F20" s="9" t="n">
        <v>167450.3314959565</v>
      </c>
      <c r="G20" s="8">
        <f>F20/F$102</f>
        <v/>
      </c>
    </row>
    <row r="21">
      <c r="A21" t="n">
        <v>10</v>
      </c>
      <c r="B21" s="5" t="n">
        <v>303426.1524707331</v>
      </c>
      <c r="C21" s="8">
        <f>B21/B$102</f>
        <v/>
      </c>
      <c r="E21" s="9" t="n">
        <v>10</v>
      </c>
      <c r="F21" s="9" t="n">
        <v>150925.4679101873</v>
      </c>
      <c r="G21" s="8">
        <f>F21/F$102</f>
        <v/>
      </c>
    </row>
    <row r="22">
      <c r="A22" t="n">
        <v>11</v>
      </c>
      <c r="B22" s="5" t="n">
        <v>107277.2810151207</v>
      </c>
      <c r="C22" s="8">
        <f>B22/B$102</f>
        <v/>
      </c>
      <c r="E22" s="9" t="n">
        <v>11</v>
      </c>
      <c r="F22" s="9" t="n">
        <v>135254.6320953147</v>
      </c>
      <c r="G22" s="8">
        <f>F22/F$102</f>
        <v/>
      </c>
    </row>
    <row r="23">
      <c r="A23" t="n">
        <v>12</v>
      </c>
      <c r="B23" s="5" t="n">
        <v>68941.0940805081</v>
      </c>
      <c r="C23" s="8">
        <f>B23/B$102</f>
        <v/>
      </c>
      <c r="E23" s="9" t="n">
        <v>12</v>
      </c>
      <c r="F23" s="9" t="n">
        <v>124651.5993672563</v>
      </c>
      <c r="G23" s="8">
        <f>F23/F$102</f>
        <v/>
      </c>
    </row>
    <row r="24">
      <c r="A24" t="n">
        <v>13</v>
      </c>
      <c r="B24" s="5" t="n">
        <v>67934.8487846541</v>
      </c>
      <c r="C24" s="8">
        <f>B24/B$102</f>
        <v/>
      </c>
      <c r="E24" s="9" t="n">
        <v>13</v>
      </c>
      <c r="F24" s="9" t="n">
        <v>96205.14698698252</v>
      </c>
      <c r="G24" s="8">
        <f>F24/F$102</f>
        <v/>
      </c>
    </row>
    <row r="25">
      <c r="A25" t="n">
        <v>14</v>
      </c>
      <c r="B25" s="5" t="n">
        <v>79263.6666798205</v>
      </c>
      <c r="C25" s="8">
        <f>B25/B$102</f>
        <v/>
      </c>
      <c r="E25" s="9" t="n">
        <v>14</v>
      </c>
      <c r="F25" s="9" t="n">
        <v>98261.40451837154</v>
      </c>
      <c r="G25" s="8">
        <f>F25/F$102</f>
        <v/>
      </c>
    </row>
    <row r="26">
      <c r="A26" t="n">
        <v>15</v>
      </c>
      <c r="B26" s="5" t="n">
        <v>68297.19595249341</v>
      </c>
      <c r="C26" s="8">
        <f>B26/B$102</f>
        <v/>
      </c>
      <c r="E26" s="9" t="n">
        <v>15</v>
      </c>
      <c r="F26" s="9" t="n">
        <v>96840.61881469139</v>
      </c>
      <c r="G26" s="8">
        <f>F26/F$102</f>
        <v/>
      </c>
    </row>
    <row r="27">
      <c r="A27" t="n">
        <v>16</v>
      </c>
      <c r="B27" s="5" t="n">
        <v>104819.5152228798</v>
      </c>
      <c r="C27" s="8">
        <f>B27/B$102</f>
        <v/>
      </c>
      <c r="E27" s="9" t="n">
        <v>16</v>
      </c>
      <c r="F27" s="9" t="n">
        <v>92431.94187163586</v>
      </c>
      <c r="G27" s="8">
        <f>F27/F$102</f>
        <v/>
      </c>
    </row>
    <row r="28">
      <c r="A28" t="n">
        <v>17</v>
      </c>
      <c r="B28" s="5" t="n">
        <v>71057.2946511975</v>
      </c>
      <c r="C28" s="8">
        <f>B28/B$102</f>
        <v/>
      </c>
      <c r="E28" s="9" t="n">
        <v>17</v>
      </c>
      <c r="F28" s="9" t="n">
        <v>65294.16884128329</v>
      </c>
      <c r="G28" s="8">
        <f>F28/F$102</f>
        <v/>
      </c>
    </row>
    <row r="29">
      <c r="A29" t="n">
        <v>18</v>
      </c>
      <c r="B29" s="5" t="n">
        <v>62294.8413564175</v>
      </c>
      <c r="C29" s="8">
        <f>B29/B$102</f>
        <v/>
      </c>
      <c r="E29" s="9" t="n">
        <v>18</v>
      </c>
      <c r="F29" s="9" t="n">
        <v>58289.04497153359</v>
      </c>
      <c r="G29" s="8">
        <f>F29/F$102</f>
        <v/>
      </c>
    </row>
    <row r="30">
      <c r="A30" t="n">
        <v>19</v>
      </c>
      <c r="B30" s="5" t="n">
        <v>31455.8747062833</v>
      </c>
      <c r="C30" s="8">
        <f>B30/B$102</f>
        <v/>
      </c>
      <c r="E30" s="9" t="n">
        <v>19</v>
      </c>
      <c r="F30" s="9" t="n">
        <v>41301.73166423995</v>
      </c>
      <c r="G30" s="8">
        <f>F30/F$102</f>
        <v/>
      </c>
    </row>
    <row r="31">
      <c r="A31" t="n">
        <v>20</v>
      </c>
      <c r="B31" s="5" t="n">
        <v>31251.3498934255</v>
      </c>
      <c r="C31" s="8">
        <f>B31/B$102</f>
        <v/>
      </c>
      <c r="E31" s="9" t="n">
        <v>20</v>
      </c>
      <c r="F31" s="9" t="n">
        <v>43130.60541608126</v>
      </c>
      <c r="G31" s="8">
        <f>F31/F$102</f>
        <v/>
      </c>
    </row>
    <row r="32">
      <c r="A32" t="n">
        <v>21</v>
      </c>
      <c r="B32" s="5" t="n">
        <v>30265.1183943176</v>
      </c>
      <c r="C32" s="8">
        <f>B32/B$102</f>
        <v/>
      </c>
      <c r="E32" s="9" t="n">
        <v>21</v>
      </c>
      <c r="F32" s="9" t="n">
        <v>31858.13690070684</v>
      </c>
      <c r="G32" s="8">
        <f>F32/F$102</f>
        <v/>
      </c>
    </row>
    <row r="33">
      <c r="A33" t="n">
        <v>22</v>
      </c>
      <c r="B33" s="5" t="n">
        <v>27895.2779775489</v>
      </c>
      <c r="C33" s="8">
        <f>B33/B$102</f>
        <v/>
      </c>
      <c r="E33" s="9" t="n">
        <v>22</v>
      </c>
      <c r="F33" s="9" t="n">
        <v>33549.58600816316</v>
      </c>
      <c r="G33" s="8">
        <f>F33/F$102</f>
        <v/>
      </c>
    </row>
    <row r="34">
      <c r="A34" t="n">
        <v>23</v>
      </c>
      <c r="B34" s="5" t="n">
        <v>41273.0501026813</v>
      </c>
      <c r="C34" s="8">
        <f>B34/B$102</f>
        <v/>
      </c>
      <c r="E34" s="9" t="n">
        <v>23</v>
      </c>
      <c r="F34" s="9" t="n">
        <v>30826.81456877508</v>
      </c>
      <c r="G34" s="8">
        <f>F34/F$102</f>
        <v/>
      </c>
    </row>
    <row r="35">
      <c r="A35" t="n">
        <v>24</v>
      </c>
      <c r="B35" s="5" t="n">
        <v>36024.7453518698</v>
      </c>
      <c r="C35" s="8">
        <f>B35/B$102</f>
        <v/>
      </c>
      <c r="E35" s="9" t="n">
        <v>24</v>
      </c>
      <c r="F35" s="9" t="n">
        <v>26282.45361626723</v>
      </c>
      <c r="G35" s="8">
        <f>F35/F$102</f>
        <v/>
      </c>
    </row>
    <row r="36">
      <c r="A36" t="n">
        <v>25</v>
      </c>
      <c r="B36" s="5" t="n">
        <v>14997.5998395905</v>
      </c>
      <c r="C36" s="8">
        <f>B36/B$102</f>
        <v/>
      </c>
      <c r="E36" s="9" t="n">
        <v>25</v>
      </c>
      <c r="F36" s="9" t="n">
        <v>25550.67712579996</v>
      </c>
      <c r="G36" s="8">
        <f>F36/F$102</f>
        <v/>
      </c>
    </row>
    <row r="37">
      <c r="A37" t="n">
        <v>26</v>
      </c>
      <c r="B37" s="5" t="n">
        <v>23789.6408653907</v>
      </c>
      <c r="C37" s="8">
        <f>B37/B$102</f>
        <v/>
      </c>
      <c r="E37" s="9" t="n">
        <v>26</v>
      </c>
      <c r="F37" s="9" t="n">
        <v>25028.63144769887</v>
      </c>
      <c r="G37" s="8">
        <f>F37/F$102</f>
        <v/>
      </c>
    </row>
    <row r="38">
      <c r="A38" t="n">
        <v>27</v>
      </c>
      <c r="B38" s="5" t="n">
        <v>10168.2846509222</v>
      </c>
      <c r="C38" s="8">
        <f>B38/B$102</f>
        <v/>
      </c>
      <c r="E38" s="9" t="n">
        <v>27</v>
      </c>
      <c r="F38" s="9" t="n">
        <v>17923.5504257434</v>
      </c>
      <c r="G38" s="8">
        <f>F38/F$102</f>
        <v/>
      </c>
    </row>
    <row r="39">
      <c r="A39" t="n">
        <v>28</v>
      </c>
      <c r="B39" s="5" t="n">
        <v>12739.6178297624</v>
      </c>
      <c r="C39" s="8">
        <f>B39/B$102</f>
        <v/>
      </c>
      <c r="E39" s="9" t="n">
        <v>28</v>
      </c>
      <c r="F39" s="9" t="n">
        <v>16903.17020504792</v>
      </c>
      <c r="G39" s="8">
        <f>F39/F$102</f>
        <v/>
      </c>
    </row>
    <row r="40">
      <c r="A40" t="n">
        <v>29</v>
      </c>
      <c r="B40" s="5" t="n">
        <v>5811.7859794846</v>
      </c>
      <c r="C40" s="8">
        <f>B40/B$102</f>
        <v/>
      </c>
      <c r="E40" s="9" t="n">
        <v>29</v>
      </c>
      <c r="F40" s="9" t="n">
        <v>12443.93086935709</v>
      </c>
      <c r="G40" s="8">
        <f>F40/F$102</f>
        <v/>
      </c>
    </row>
    <row r="41">
      <c r="A41" t="n">
        <v>30</v>
      </c>
      <c r="B41" s="5" t="n">
        <v>9598.932142383999</v>
      </c>
      <c r="C41" s="8">
        <f>B41/B$102</f>
        <v/>
      </c>
      <c r="E41" s="9" t="n">
        <v>30</v>
      </c>
      <c r="F41" s="9" t="n">
        <v>11788.29101916628</v>
      </c>
      <c r="G41" s="8">
        <f>F41/F$102</f>
        <v/>
      </c>
    </row>
    <row r="42">
      <c r="A42" t="n">
        <v>31</v>
      </c>
      <c r="B42" s="5" t="n">
        <v>3587.2195580972</v>
      </c>
      <c r="C42" s="8">
        <f>B42/B$102</f>
        <v/>
      </c>
      <c r="E42" s="9" t="n">
        <v>31</v>
      </c>
      <c r="F42" s="9" t="n">
        <v>10133.73412108046</v>
      </c>
      <c r="G42" s="8">
        <f>F42/F$102</f>
        <v/>
      </c>
    </row>
    <row r="43">
      <c r="A43" t="n">
        <v>32</v>
      </c>
      <c r="B43" s="5" t="n">
        <v>5179.8691213308</v>
      </c>
      <c r="C43" s="8">
        <f>B43/B$102</f>
        <v/>
      </c>
      <c r="E43" s="9" t="n">
        <v>32</v>
      </c>
      <c r="F43" s="9" t="n">
        <v>9375.211207078757</v>
      </c>
      <c r="G43" s="8">
        <f>F43/F$102</f>
        <v/>
      </c>
    </row>
    <row r="44">
      <c r="A44" t="n">
        <v>33</v>
      </c>
      <c r="B44" s="5" t="n">
        <v>7294.8721683682</v>
      </c>
      <c r="C44" s="8">
        <f>B44/B$102</f>
        <v/>
      </c>
      <c r="E44" s="9" t="n">
        <v>33</v>
      </c>
      <c r="F44" s="9" t="n">
        <v>7752.544567561862</v>
      </c>
      <c r="G44" s="8">
        <f>F44/F$102</f>
        <v/>
      </c>
    </row>
    <row r="45">
      <c r="A45" t="n">
        <v>34</v>
      </c>
      <c r="B45" s="5" t="n">
        <v>7902.7951278496</v>
      </c>
      <c r="C45" s="8">
        <f>B45/B$102</f>
        <v/>
      </c>
      <c r="E45" s="9" t="n">
        <v>34</v>
      </c>
      <c r="F45" s="9" t="n">
        <v>7134.551058816928</v>
      </c>
      <c r="G45" s="8">
        <f>F45/F$102</f>
        <v/>
      </c>
    </row>
    <row r="46">
      <c r="A46" t="n">
        <v>35</v>
      </c>
      <c r="B46" s="5" t="n">
        <v>2861.0567208448</v>
      </c>
      <c r="C46" s="8">
        <f>B46/B$102</f>
        <v/>
      </c>
      <c r="E46" s="9" t="n">
        <v>35</v>
      </c>
      <c r="F46" s="9" t="n">
        <v>6791.894181070703</v>
      </c>
      <c r="G46" s="8">
        <f>F46/F$102</f>
        <v/>
      </c>
    </row>
    <row r="47">
      <c r="A47" t="n">
        <v>36</v>
      </c>
      <c r="B47" s="5" t="n">
        <v>4640.3094541366</v>
      </c>
      <c r="C47" s="8">
        <f>B47/B$102</f>
        <v/>
      </c>
      <c r="E47" s="9" t="n">
        <v>36</v>
      </c>
      <c r="F47" s="9" t="n">
        <v>6280.832966719917</v>
      </c>
      <c r="G47" s="8">
        <f>F47/F$102</f>
        <v/>
      </c>
    </row>
    <row r="48">
      <c r="A48" t="n">
        <v>37</v>
      </c>
      <c r="B48" s="5" t="n">
        <v>4062.3644320802</v>
      </c>
      <c r="C48" s="8">
        <f>B48/B$102</f>
        <v/>
      </c>
      <c r="E48" s="9" t="n">
        <v>37</v>
      </c>
      <c r="F48" s="9" t="n">
        <v>5128.501662653597</v>
      </c>
      <c r="G48" s="8">
        <f>F48/F$102</f>
        <v/>
      </c>
    </row>
    <row r="49">
      <c r="A49" t="n">
        <v>38</v>
      </c>
      <c r="B49" s="5" t="n">
        <v>6321.6633596991</v>
      </c>
      <c r="C49" s="8">
        <f>B49/B$102</f>
        <v/>
      </c>
      <c r="E49" s="9" t="n">
        <v>38</v>
      </c>
      <c r="F49" s="9" t="n">
        <v>6465.467446694985</v>
      </c>
      <c r="G49" s="8">
        <f>F49/F$102</f>
        <v/>
      </c>
    </row>
    <row r="50">
      <c r="A50" t="n">
        <v>39</v>
      </c>
      <c r="B50" s="5" t="n">
        <v>4704.9573045598</v>
      </c>
      <c r="C50" s="8">
        <f>B50/B$102</f>
        <v/>
      </c>
      <c r="E50" s="9" t="n">
        <v>39</v>
      </c>
      <c r="F50" s="9" t="n">
        <v>4536.198129537148</v>
      </c>
      <c r="G50" s="8">
        <f>F50/F$102</f>
        <v/>
      </c>
    </row>
    <row r="51">
      <c r="A51" t="n">
        <v>40</v>
      </c>
      <c r="B51" s="5" t="n">
        <v>2537.7153002963</v>
      </c>
      <c r="C51" s="8">
        <f>B51/B$102</f>
        <v/>
      </c>
      <c r="E51" s="9" t="n">
        <v>40</v>
      </c>
      <c r="F51" s="9" t="n">
        <v>3816.830757785075</v>
      </c>
      <c r="G51" s="8">
        <f>F51/F$102</f>
        <v/>
      </c>
    </row>
    <row r="52">
      <c r="A52" t="n">
        <v>41</v>
      </c>
      <c r="B52" s="5" t="n">
        <v>3990.2261728135</v>
      </c>
      <c r="C52" s="8">
        <f>B52/B$102</f>
        <v/>
      </c>
      <c r="E52" s="9" t="n">
        <v>41</v>
      </c>
      <c r="F52" s="9" t="n">
        <v>3391.393199491081</v>
      </c>
      <c r="G52" s="8">
        <f>F52/F$102</f>
        <v/>
      </c>
    </row>
    <row r="53">
      <c r="A53" t="n">
        <v>42</v>
      </c>
      <c r="B53" s="5" t="n">
        <v>1655.8316529626</v>
      </c>
      <c r="C53" s="8">
        <f>B53/B$102</f>
        <v/>
      </c>
      <c r="E53" s="9" t="n">
        <v>42</v>
      </c>
      <c r="F53" s="9" t="n">
        <v>2776.560906784598</v>
      </c>
      <c r="G53" s="8">
        <f>F53/F$102</f>
        <v/>
      </c>
    </row>
    <row r="54">
      <c r="A54" t="n">
        <v>43</v>
      </c>
      <c r="B54" s="5" t="n">
        <v>3973.891232272</v>
      </c>
      <c r="C54" s="8">
        <f>B54/B$102</f>
        <v/>
      </c>
      <c r="E54" s="9" t="n">
        <v>43</v>
      </c>
      <c r="F54" s="9" t="n">
        <v>2137.71047963516</v>
      </c>
      <c r="G54" s="8">
        <f>F54/F$102</f>
        <v/>
      </c>
    </row>
    <row r="55">
      <c r="A55" t="n">
        <v>44</v>
      </c>
      <c r="B55" s="5" t="n">
        <v>2581.772307669</v>
      </c>
      <c r="C55" s="8">
        <f>B55/B$102</f>
        <v/>
      </c>
      <c r="E55" s="9" t="n">
        <v>44</v>
      </c>
      <c r="F55" s="9" t="n">
        <v>2251.47792348066</v>
      </c>
      <c r="G55" s="8">
        <f>F55/F$102</f>
        <v/>
      </c>
    </row>
    <row r="56">
      <c r="A56" t="n">
        <v>45</v>
      </c>
      <c r="B56" s="5" t="n">
        <v>445.2098602299</v>
      </c>
      <c r="C56" s="8">
        <f>B56/B$102</f>
        <v/>
      </c>
      <c r="E56" s="9" t="n">
        <v>45</v>
      </c>
      <c r="F56" s="9" t="n">
        <v>2627.071872470556</v>
      </c>
      <c r="G56" s="8">
        <f>F56/F$102</f>
        <v/>
      </c>
    </row>
    <row r="57">
      <c r="A57" t="n">
        <v>46</v>
      </c>
      <c r="B57" s="5" t="n">
        <v>6077.408037667</v>
      </c>
      <c r="C57" s="8">
        <f>B57/B$102</f>
        <v/>
      </c>
      <c r="E57" s="9" t="n">
        <v>46</v>
      </c>
      <c r="F57" s="9" t="n">
        <v>1716.292310906257</v>
      </c>
      <c r="G57" s="8">
        <f>F57/F$102</f>
        <v/>
      </c>
    </row>
    <row r="58">
      <c r="A58" t="n">
        <v>47</v>
      </c>
      <c r="B58" s="5" t="n">
        <v>5102.070536329</v>
      </c>
      <c r="C58" s="8">
        <f>B58/B$102</f>
        <v/>
      </c>
      <c r="E58" s="9" t="n">
        <v>47</v>
      </c>
      <c r="F58" s="9" t="n">
        <v>1726.59592347815</v>
      </c>
      <c r="G58" s="8">
        <f>F58/F$102</f>
        <v/>
      </c>
    </row>
    <row r="59">
      <c r="A59" t="n">
        <v>48</v>
      </c>
      <c r="B59" s="5" t="n">
        <v>626.5966911539999</v>
      </c>
      <c r="C59" s="8">
        <f>B59/B$102</f>
        <v/>
      </c>
      <c r="E59" s="9" t="n">
        <v>48</v>
      </c>
      <c r="F59" s="9" t="n">
        <v>1232.872183370482</v>
      </c>
      <c r="G59" s="8">
        <f>F59/F$102</f>
        <v/>
      </c>
    </row>
    <row r="60">
      <c r="A60" t="n">
        <v>49</v>
      </c>
      <c r="B60" s="5" t="n">
        <v>5384.775441607</v>
      </c>
      <c r="C60" s="8">
        <f>B60/B$102</f>
        <v/>
      </c>
      <c r="E60" s="9" t="n">
        <v>49</v>
      </c>
      <c r="F60" s="9" t="n">
        <v>1154.863985111526</v>
      </c>
      <c r="G60" s="8">
        <f>F60/F$102</f>
        <v/>
      </c>
    </row>
    <row r="61">
      <c r="A61" t="n">
        <v>50</v>
      </c>
      <c r="B61" s="5" t="n">
        <v>634.7004548350001</v>
      </c>
      <c r="C61" s="8">
        <f>B61/B$102</f>
        <v/>
      </c>
      <c r="E61" s="9" t="n">
        <v>50</v>
      </c>
      <c r="F61" s="9" t="n">
        <v>900.278379635075</v>
      </c>
      <c r="G61" s="8">
        <f>F61/F$102</f>
        <v/>
      </c>
    </row>
    <row r="62">
      <c r="A62" t="n">
        <v>51</v>
      </c>
      <c r="B62" s="5" t="n">
        <v>971.458500962</v>
      </c>
      <c r="C62" s="8">
        <f>B62/B$102</f>
        <v/>
      </c>
      <c r="E62" s="9" t="n">
        <v>51</v>
      </c>
      <c r="F62" s="9" t="n">
        <v>857.576814898134</v>
      </c>
      <c r="G62" s="8">
        <f>F62/F$102</f>
        <v/>
      </c>
    </row>
    <row r="63">
      <c r="A63" t="n">
        <v>52</v>
      </c>
      <c r="B63" s="5" t="n">
        <v>1079.971539528</v>
      </c>
      <c r="C63" s="8">
        <f>B63/B$102</f>
        <v/>
      </c>
      <c r="E63" s="9" t="n">
        <v>52</v>
      </c>
      <c r="F63" s="9" t="n">
        <v>686.4469873376795</v>
      </c>
      <c r="G63" s="8">
        <f>F63/F$102</f>
        <v/>
      </c>
    </row>
    <row r="64">
      <c r="A64" t="n">
        <v>53</v>
      </c>
      <c r="B64" s="5" t="n">
        <v>5158.8769299545</v>
      </c>
      <c r="C64" s="8">
        <f>B64/B$102</f>
        <v/>
      </c>
      <c r="E64" s="9" t="n">
        <v>53</v>
      </c>
      <c r="F64" s="9" t="n">
        <v>628.4960571904902</v>
      </c>
      <c r="G64" s="8">
        <f>F64/F$102</f>
        <v/>
      </c>
    </row>
    <row r="65">
      <c r="A65" t="n">
        <v>54</v>
      </c>
      <c r="B65" s="5" t="n">
        <v>1350.700792555</v>
      </c>
      <c r="C65" s="8">
        <f>B65/B$102</f>
        <v/>
      </c>
      <c r="E65" s="9" t="n">
        <v>54</v>
      </c>
      <c r="F65" s="9" t="n">
        <v>612.5945166010537</v>
      </c>
      <c r="G65" s="8">
        <f>F65/F$102</f>
        <v/>
      </c>
    </row>
    <row r="66">
      <c r="A66" t="n">
        <v>55</v>
      </c>
      <c r="B66" s="5" t="n">
        <v>0</v>
      </c>
      <c r="C66" s="8">
        <f>B66/B$102</f>
        <v/>
      </c>
      <c r="E66" s="9" t="n">
        <v>55</v>
      </c>
      <c r="F66" s="9" t="n">
        <v>470.9421718196501</v>
      </c>
      <c r="G66" s="8">
        <f>F66/F$102</f>
        <v/>
      </c>
    </row>
    <row r="67">
      <c r="A67" t="n">
        <v>56</v>
      </c>
      <c r="B67" s="5" t="n">
        <v>0</v>
      </c>
      <c r="C67" s="8">
        <f>B67/B$102</f>
        <v/>
      </c>
      <c r="E67" s="9" t="n">
        <v>56</v>
      </c>
      <c r="F67" s="9" t="n">
        <v>530.6855898206204</v>
      </c>
      <c r="G67" s="8">
        <f>F67/F$102</f>
        <v/>
      </c>
    </row>
    <row r="68">
      <c r="A68" t="n">
        <v>57</v>
      </c>
      <c r="B68" s="5" t="n">
        <v>0</v>
      </c>
      <c r="C68" s="8">
        <f>B68/B$102</f>
        <v/>
      </c>
      <c r="E68" s="9" t="n">
        <v>57</v>
      </c>
      <c r="F68" s="9" t="n">
        <v>390.3808475184849</v>
      </c>
      <c r="G68" s="8">
        <f>F68/F$102</f>
        <v/>
      </c>
    </row>
    <row r="69">
      <c r="A69" t="n">
        <v>58</v>
      </c>
      <c r="B69" s="5" t="n">
        <v>711.727573689</v>
      </c>
      <c r="C69" s="8">
        <f>B69/B$102</f>
        <v/>
      </c>
      <c r="E69" s="9" t="n">
        <v>58</v>
      </c>
      <c r="F69" s="9" t="n">
        <v>303.8517186794176</v>
      </c>
      <c r="G69" s="8">
        <f>F69/F$102</f>
        <v/>
      </c>
    </row>
    <row r="70">
      <c r="A70" t="n">
        <v>59</v>
      </c>
      <c r="B70" s="5" t="n">
        <v>507.743697633</v>
      </c>
      <c r="C70" s="8">
        <f>B70/B$102</f>
        <v/>
      </c>
      <c r="E70" s="9" t="n">
        <v>59</v>
      </c>
      <c r="F70" s="9" t="n">
        <v>297.3120494578595</v>
      </c>
      <c r="G70" s="8">
        <f>F70/F$102</f>
        <v/>
      </c>
    </row>
    <row r="71">
      <c r="A71" t="n">
        <v>60</v>
      </c>
      <c r="B71" s="5" t="n">
        <v>0</v>
      </c>
      <c r="C71" s="8">
        <f>B71/B$102</f>
        <v/>
      </c>
      <c r="E71" s="9" t="n">
        <v>60</v>
      </c>
      <c r="F71" s="9" t="n">
        <v>277.0164016408254</v>
      </c>
      <c r="G71" s="8">
        <f>F71/F$102</f>
        <v/>
      </c>
    </row>
    <row r="72">
      <c r="A72" t="n">
        <v>61</v>
      </c>
      <c r="B72" s="5" t="n">
        <v>1707.027510072</v>
      </c>
      <c r="C72" s="8">
        <f>B72/B$102</f>
        <v/>
      </c>
      <c r="E72" s="9" t="n">
        <v>61</v>
      </c>
      <c r="F72" s="9" t="n">
        <v>199.6139293193376</v>
      </c>
      <c r="G72" s="8">
        <f>F72/F$102</f>
        <v/>
      </c>
    </row>
    <row r="73">
      <c r="A73" t="n">
        <v>62</v>
      </c>
      <c r="B73" s="5" t="n">
        <v>413.740782213</v>
      </c>
      <c r="C73" s="8">
        <f>B73/B$102</f>
        <v/>
      </c>
      <c r="E73" s="9" t="n">
        <v>62</v>
      </c>
      <c r="F73" s="9" t="n">
        <v>118.9060186686666</v>
      </c>
      <c r="G73" s="8">
        <f>F73/F$102</f>
        <v/>
      </c>
    </row>
    <row r="74">
      <c r="A74" t="n">
        <v>63</v>
      </c>
      <c r="B74" s="5" t="n">
        <v>0</v>
      </c>
      <c r="C74" s="8">
        <f>B74/B$102</f>
        <v/>
      </c>
      <c r="E74" s="9" t="n">
        <v>63</v>
      </c>
      <c r="F74" s="9" t="n">
        <v>141.2872644425883</v>
      </c>
      <c r="G74" s="8">
        <f>F74/F$102</f>
        <v/>
      </c>
    </row>
    <row r="75">
      <c r="A75" t="n">
        <v>64</v>
      </c>
      <c r="B75" s="5" t="n">
        <v>0</v>
      </c>
      <c r="C75" s="8">
        <f>B75/B$102</f>
        <v/>
      </c>
      <c r="E75" s="9" t="n">
        <v>64</v>
      </c>
      <c r="F75" s="9" t="n">
        <v>85.62927807486631</v>
      </c>
      <c r="G75" s="8">
        <f>F75/F$102</f>
        <v/>
      </c>
    </row>
    <row r="76">
      <c r="A76" t="n">
        <v>65</v>
      </c>
      <c r="B76" s="5" t="n">
        <v>0</v>
      </c>
      <c r="C76" s="8">
        <f>B76/B$102</f>
        <v/>
      </c>
      <c r="E76" s="9" t="n">
        <v>65</v>
      </c>
      <c r="F76" s="9" t="n">
        <v>96.46288767880739</v>
      </c>
      <c r="G76" s="8">
        <f>F76/F$102</f>
        <v/>
      </c>
    </row>
    <row r="77">
      <c r="A77" t="n">
        <v>66</v>
      </c>
      <c r="B77" s="5" t="n">
        <v>0</v>
      </c>
      <c r="C77" s="8">
        <f>B77/B$102</f>
        <v/>
      </c>
      <c r="E77" s="9" t="n">
        <v>66</v>
      </c>
      <c r="F77" s="9" t="n">
        <v>51.74999999999999</v>
      </c>
      <c r="G77" s="8">
        <f>F77/F$102</f>
        <v/>
      </c>
    </row>
    <row r="78">
      <c r="A78" t="n">
        <v>67</v>
      </c>
      <c r="B78" s="5" t="n">
        <v>0</v>
      </c>
      <c r="C78" s="8">
        <f>B78/B$102</f>
        <v/>
      </c>
      <c r="E78" s="9" t="n">
        <v>67</v>
      </c>
      <c r="F78" s="9" t="n">
        <v>161</v>
      </c>
      <c r="G78" s="8">
        <f>F78/F$102</f>
        <v/>
      </c>
    </row>
    <row r="79">
      <c r="A79" t="n">
        <v>68</v>
      </c>
      <c r="B79" s="5" t="n">
        <v>629.76290591</v>
      </c>
      <c r="C79" s="8">
        <f>B79/B$102</f>
        <v/>
      </c>
      <c r="E79" s="9" t="n">
        <v>68</v>
      </c>
      <c r="F79" s="9" t="n">
        <v>105.5848276453561</v>
      </c>
      <c r="G79" s="8">
        <f>F79/F$102</f>
        <v/>
      </c>
    </row>
    <row r="80">
      <c r="A80" t="n">
        <v>69</v>
      </c>
      <c r="B80" s="5" t="n">
        <v>1092.741662888</v>
      </c>
      <c r="C80" s="8">
        <f>B80/B$102</f>
        <v/>
      </c>
      <c r="E80" s="9" t="n">
        <v>69</v>
      </c>
      <c r="F80" s="9" t="n">
        <v>60.87244415820314</v>
      </c>
      <c r="G80" s="8">
        <f>F80/F$102</f>
        <v/>
      </c>
    </row>
    <row r="81">
      <c r="A81" t="n">
        <v>70</v>
      </c>
      <c r="B81" s="5" t="n">
        <v>0</v>
      </c>
      <c r="C81" s="8">
        <f>B81/B$102</f>
        <v/>
      </c>
      <c r="E81" s="9" t="n">
        <v>70</v>
      </c>
      <c r="F81" s="9" t="n">
        <v>138.659028966903</v>
      </c>
      <c r="G81" s="8">
        <f>F81/F$102</f>
        <v/>
      </c>
    </row>
    <row r="82">
      <c r="A82" t="n">
        <v>71</v>
      </c>
      <c r="B82" s="5" t="n">
        <v>2000.113239284</v>
      </c>
      <c r="C82" s="8">
        <f>B82/B$102</f>
        <v/>
      </c>
      <c r="E82" s="9" t="n">
        <v>71</v>
      </c>
      <c r="F82" s="9" t="n">
        <v>54.19492367038704</v>
      </c>
      <c r="G82" s="8">
        <f>F82/F$102</f>
        <v/>
      </c>
    </row>
    <row r="83">
      <c r="A83" t="n">
        <v>72</v>
      </c>
      <c r="B83" s="5" t="n">
        <v>432.731781518</v>
      </c>
      <c r="C83" s="8">
        <f>B83/B$102</f>
        <v/>
      </c>
      <c r="E83" s="9" t="n">
        <v>72</v>
      </c>
      <c r="F83" s="9" t="n">
        <v>56.58399780038463</v>
      </c>
      <c r="G83" s="8">
        <f>F83/F$102</f>
        <v/>
      </c>
    </row>
    <row r="84">
      <c r="A84" t="n">
        <v>73</v>
      </c>
      <c r="B84" s="5" t="n">
        <v>0</v>
      </c>
      <c r="C84" s="8">
        <f>B84/B$102</f>
        <v/>
      </c>
      <c r="E84" s="9" t="n">
        <v>73</v>
      </c>
      <c r="F84" s="9" t="n">
        <v>56.34999999999999</v>
      </c>
      <c r="G84" s="8">
        <f>F84/F$102</f>
        <v/>
      </c>
    </row>
    <row r="85">
      <c r="A85" t="n">
        <v>74</v>
      </c>
      <c r="B85" s="5" t="n">
        <v>0</v>
      </c>
      <c r="C85" s="8">
        <f>B85/B$102</f>
        <v/>
      </c>
      <c r="E85" s="9" t="n">
        <v>74</v>
      </c>
      <c r="F85" s="9" t="n">
        <v>25.3</v>
      </c>
      <c r="G85" s="8">
        <f>F85/F$102</f>
        <v/>
      </c>
    </row>
    <row r="86">
      <c r="A86" t="n">
        <v>75</v>
      </c>
      <c r="B86" s="5" t="n">
        <v>531.6972502150001</v>
      </c>
      <c r="C86" s="8">
        <f>B86/B$102</f>
        <v/>
      </c>
      <c r="E86" s="9" t="n">
        <v>75</v>
      </c>
      <c r="F86" s="9" t="n">
        <v>33.34999999999999</v>
      </c>
      <c r="G86" s="8">
        <f>F86/F$102</f>
        <v/>
      </c>
    </row>
    <row r="87">
      <c r="A87" t="n">
        <v>76</v>
      </c>
      <c r="B87" s="5" t="n">
        <v>0</v>
      </c>
      <c r="C87" s="8">
        <f>B87/B$102</f>
        <v/>
      </c>
      <c r="E87" s="9" t="n">
        <v>76</v>
      </c>
      <c r="F87" s="9" t="n">
        <v>26.45</v>
      </c>
      <c r="G87" s="8">
        <f>F87/F$102</f>
        <v/>
      </c>
    </row>
    <row r="88">
      <c r="A88" t="n">
        <v>77</v>
      </c>
      <c r="B88" s="5" t="n">
        <v>0</v>
      </c>
      <c r="C88" s="8">
        <f>B88/B$102</f>
        <v/>
      </c>
      <c r="E88" s="9" t="n">
        <v>77</v>
      </c>
      <c r="F88" s="9" t="n">
        <v>13.8</v>
      </c>
      <c r="G88" s="8">
        <f>F88/F$102</f>
        <v/>
      </c>
    </row>
    <row r="89">
      <c r="A89" t="n">
        <v>78</v>
      </c>
      <c r="B89" s="5" t="n">
        <v>1107.419474436</v>
      </c>
      <c r="C89" s="8">
        <f>B89/B$102</f>
        <v/>
      </c>
      <c r="E89" s="9" t="n">
        <v>78</v>
      </c>
      <c r="F89" s="9" t="n">
        <v>8.049999999999999</v>
      </c>
      <c r="G89" s="8">
        <f>F89/F$102</f>
        <v/>
      </c>
    </row>
    <row r="90">
      <c r="A90" t="n">
        <v>79</v>
      </c>
      <c r="B90" s="5" t="n">
        <v>0</v>
      </c>
      <c r="C90" s="8">
        <f>B90/B$102</f>
        <v/>
      </c>
      <c r="E90" s="9" t="n">
        <v>79</v>
      </c>
      <c r="F90" s="9" t="n">
        <v>5.37723377766461</v>
      </c>
      <c r="G90" s="8">
        <f>F90/F$102</f>
        <v/>
      </c>
    </row>
    <row r="91">
      <c r="A91" t="n">
        <v>80</v>
      </c>
      <c r="B91" s="5" t="n">
        <v>0</v>
      </c>
      <c r="C91" s="8">
        <f>B91/B$102</f>
        <v/>
      </c>
      <c r="E91" s="9" t="n">
        <v>80</v>
      </c>
      <c r="F91" s="9" t="n">
        <v>13.8</v>
      </c>
      <c r="G91" s="8">
        <f>F91/F$102</f>
        <v/>
      </c>
    </row>
    <row r="92">
      <c r="A92" t="n">
        <v>81</v>
      </c>
      <c r="B92" s="5" t="n">
        <v>779.4722319689999</v>
      </c>
      <c r="C92" s="8">
        <f>B92/B$102</f>
        <v/>
      </c>
      <c r="E92" s="9" t="n">
        <v>81</v>
      </c>
      <c r="F92" s="9" t="n">
        <v>22.24439330543938</v>
      </c>
      <c r="G92" s="8">
        <f>F92/F$102</f>
        <v/>
      </c>
    </row>
    <row r="93">
      <c r="A93" t="n">
        <v>82</v>
      </c>
      <c r="B93" s="5" t="n">
        <v>0</v>
      </c>
      <c r="C93" s="8">
        <f>B93/B$102</f>
        <v/>
      </c>
      <c r="E93" s="9" t="n">
        <v>82</v>
      </c>
      <c r="F93" s="9" t="n">
        <v>0</v>
      </c>
      <c r="G93" s="8">
        <f>F93/F$102</f>
        <v/>
      </c>
    </row>
    <row r="94">
      <c r="A94" t="n">
        <v>83</v>
      </c>
      <c r="B94" s="5" t="n">
        <v>351.630709955</v>
      </c>
      <c r="C94" s="8">
        <f>B94/B$102</f>
        <v/>
      </c>
      <c r="E94" s="9" t="n">
        <v>83</v>
      </c>
      <c r="F94" s="9" t="n">
        <v>13.43878661087877</v>
      </c>
      <c r="G94" s="8">
        <f>F94/F$102</f>
        <v/>
      </c>
    </row>
    <row r="95">
      <c r="A95" t="n">
        <v>84</v>
      </c>
      <c r="B95" s="5" t="n">
        <v>667.452792716</v>
      </c>
      <c r="C95" s="8">
        <f>B95/B$102</f>
        <v/>
      </c>
      <c r="E95" s="9" t="n">
        <v>84</v>
      </c>
      <c r="F95" s="9" t="n">
        <v>31.05</v>
      </c>
      <c r="G95" s="8">
        <f>F95/F$102</f>
        <v/>
      </c>
    </row>
    <row r="96">
      <c r="A96" t="n">
        <v>85</v>
      </c>
      <c r="B96" s="5" t="n">
        <v>0</v>
      </c>
      <c r="C96" s="8">
        <f>B96/B$102</f>
        <v/>
      </c>
      <c r="E96" s="9" t="n">
        <v>85</v>
      </c>
      <c r="F96" s="9" t="n">
        <v>2.3</v>
      </c>
      <c r="G96" s="8">
        <f>F96/F$102</f>
        <v/>
      </c>
    </row>
    <row r="97">
      <c r="A97" t="n">
        <v>86</v>
      </c>
      <c r="B97" s="5" t="n">
        <v>143.175005361</v>
      </c>
      <c r="C97" s="8">
        <f>B97/B$102</f>
        <v/>
      </c>
      <c r="E97" s="9" t="n">
        <v>86</v>
      </c>
      <c r="F97" s="9" t="n">
        <v>12.65</v>
      </c>
      <c r="G97" s="8">
        <f>F97/F$102</f>
        <v/>
      </c>
    </row>
    <row r="98">
      <c r="A98" t="n">
        <v>87</v>
      </c>
      <c r="B98" s="5" t="n">
        <v>82.8897619551</v>
      </c>
      <c r="C98" s="8">
        <f>B98/B$102</f>
        <v/>
      </c>
      <c r="E98" s="9" t="n">
        <v>87</v>
      </c>
      <c r="F98" s="9" t="n">
        <v>2.3</v>
      </c>
      <c r="G98" s="8">
        <f>F98/F$102</f>
        <v/>
      </c>
    </row>
    <row r="99">
      <c r="A99" t="n">
        <v>88</v>
      </c>
      <c r="B99" s="5" t="n">
        <v>0</v>
      </c>
      <c r="C99" s="8">
        <f>B99/B$102</f>
        <v/>
      </c>
      <c r="E99" s="9" t="n">
        <v>88</v>
      </c>
      <c r="F99" s="9" t="n">
        <v>1.15</v>
      </c>
      <c r="G99" s="8">
        <f>F99/F$102</f>
        <v/>
      </c>
    </row>
    <row r="100">
      <c r="A100" t="n">
        <v>89</v>
      </c>
      <c r="B100" s="5" t="n">
        <v>292.160399711</v>
      </c>
      <c r="C100" s="8">
        <f>B100/B$102</f>
        <v/>
      </c>
      <c r="E100" s="9" t="n">
        <v>89</v>
      </c>
      <c r="F100" s="9" t="n">
        <v>0</v>
      </c>
      <c r="G100" s="8">
        <f>F100/F$102</f>
        <v/>
      </c>
    </row>
    <row r="101" ht="15.75" customHeight="1" thickBot="1">
      <c r="A101" s="1" t="n">
        <v>90</v>
      </c>
      <c r="B101" s="6" t="n">
        <v>3956.7258062524</v>
      </c>
      <c r="C101" s="8">
        <f>B101/B$102</f>
        <v/>
      </c>
      <c r="E101" s="10" t="n">
        <v>90</v>
      </c>
      <c r="F101" s="10" t="n">
        <v>5.75</v>
      </c>
      <c r="G101" s="8">
        <f>F101/F$102</f>
        <v/>
      </c>
    </row>
    <row r="102">
      <c r="B102" s="5">
        <f>SUM(B11:B101)</f>
        <v/>
      </c>
      <c r="C102" s="8">
        <f>B102/B$102</f>
        <v/>
      </c>
      <c r="F102" s="5">
        <f>SUM(F11:F101)</f>
        <v/>
      </c>
      <c r="G102" s="8">
        <f>F102/F$102</f>
        <v/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L102"/>
  <sheetViews>
    <sheetView workbookViewId="0">
      <selection activeCell="A3" sqref="A3"/>
    </sheetView>
  </sheetViews>
  <sheetFormatPr baseColWidth="8" defaultRowHeight="15"/>
  <cols>
    <col collapsed="1" width="9.5703125" bestFit="1" customWidth="1" min="2" max="2"/>
  </cols>
  <sheetData>
    <row r="1">
      <c r="A1" t="inlineStr">
        <is>
          <t>Trip Duration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duration (in minutes) based on joining AM peak SOV skim values to HH survey</t>
        </is>
      </c>
    </row>
    <row r="4">
      <c r="A4" t="inlineStr">
        <is>
          <t>Frequency of trips by 1-minute increment</t>
        </is>
      </c>
    </row>
    <row r="5">
      <c r="A5" t="inlineStr">
        <is>
          <t>Distance values reflect low end of each range (ie. 0 refers to 0-1 minutes)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thickBot="1">
      <c r="A9" s="3" t="inlineStr">
        <is>
          <t>Table X. Observed Trip Durations: Survey</t>
        </is>
      </c>
      <c r="B9" s="1" t="n"/>
      <c r="E9" s="3" t="inlineStr">
        <is>
          <t>Table X. Estimated Trip Durations</t>
        </is>
      </c>
      <c r="F9" s="1" t="n"/>
      <c r="J9" s="7" t="inlineStr">
        <is>
          <t>Table X. Average Trip Duration</t>
        </is>
      </c>
    </row>
    <row r="10">
      <c r="A10" s="2" t="inlineStr">
        <is>
          <t>Time (min)</t>
        </is>
      </c>
      <c r="B10" s="4" t="inlineStr">
        <is>
          <t>Total</t>
        </is>
      </c>
      <c r="C10" s="4" t="inlineStr">
        <is>
          <t>Survey</t>
        </is>
      </c>
      <c r="E10" s="2" t="inlineStr">
        <is>
          <t>Time (min)</t>
        </is>
      </c>
      <c r="F10" s="4" t="inlineStr">
        <is>
          <t>Total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5" t="n">
        <v>6777.984679031</v>
      </c>
      <c r="C11" s="8">
        <f>B11/B$102</f>
        <v/>
      </c>
      <c r="E11" s="9" t="n">
        <v>0</v>
      </c>
      <c r="F11" s="9" t="n">
        <v>24379.70738949189</v>
      </c>
      <c r="G11" s="8">
        <f>F11/F$102</f>
        <v/>
      </c>
      <c r="K11" s="5" t="n">
        <v>30.8830153996717</v>
      </c>
      <c r="L11" s="5" t="n">
        <v>24.06380780399688</v>
      </c>
    </row>
    <row r="12">
      <c r="A12" t="n">
        <v>1</v>
      </c>
      <c r="B12" s="5" t="n">
        <v>19311.3606145139</v>
      </c>
      <c r="C12" s="8">
        <f>B12/B$102</f>
        <v/>
      </c>
      <c r="E12" s="9" t="n">
        <v>1</v>
      </c>
      <c r="F12" s="9" t="n">
        <v>92766.57272676018</v>
      </c>
      <c r="G12" s="8">
        <f>F12/F$102</f>
        <v/>
      </c>
      <c r="K12" s="5" t="n"/>
      <c r="L12" s="9" t="n"/>
    </row>
    <row r="13">
      <c r="A13" t="n">
        <v>2</v>
      </c>
      <c r="B13" s="5" t="n">
        <v>28257.979731648</v>
      </c>
      <c r="C13" s="8">
        <f>B13/B$102</f>
        <v/>
      </c>
      <c r="E13" s="9" t="n">
        <v>2</v>
      </c>
      <c r="F13" s="9" t="n">
        <v>118635.6496491036</v>
      </c>
      <c r="G13" s="8">
        <f>F13/F$102</f>
        <v/>
      </c>
    </row>
    <row r="14">
      <c r="A14" t="n">
        <v>3</v>
      </c>
      <c r="B14" s="5" t="n">
        <v>42233.0770548103</v>
      </c>
      <c r="C14" s="8">
        <f>B14/B$102</f>
        <v/>
      </c>
      <c r="E14" s="9" t="n">
        <v>3</v>
      </c>
      <c r="F14" s="9" t="n">
        <v>139208.454485499</v>
      </c>
      <c r="G14" s="8">
        <f>F14/F$102</f>
        <v/>
      </c>
    </row>
    <row r="15">
      <c r="A15" t="n">
        <v>4</v>
      </c>
      <c r="B15" s="5" t="n">
        <v>34482.6342444071</v>
      </c>
      <c r="C15" s="8">
        <f>B15/B$102</f>
        <v/>
      </c>
      <c r="E15" s="9" t="n">
        <v>4</v>
      </c>
      <c r="F15" s="9" t="n">
        <v>149852.9316763043</v>
      </c>
      <c r="G15" s="8">
        <f>F15/F$102</f>
        <v/>
      </c>
    </row>
    <row r="16">
      <c r="A16" t="n">
        <v>5</v>
      </c>
      <c r="B16" s="5" t="n">
        <v>77762.66304512489</v>
      </c>
      <c r="C16" s="8">
        <f>B16/B$102</f>
        <v/>
      </c>
      <c r="E16" s="9" t="n">
        <v>5</v>
      </c>
      <c r="F16" s="9" t="n">
        <v>152031.7699626669</v>
      </c>
      <c r="G16" s="8">
        <f>F16/F$102</f>
        <v/>
      </c>
    </row>
    <row r="17">
      <c r="A17" t="n">
        <v>6</v>
      </c>
      <c r="B17" s="5" t="n">
        <v>70590.8588643991</v>
      </c>
      <c r="C17" s="8">
        <f>B17/B$102</f>
        <v/>
      </c>
      <c r="E17" s="9" t="n">
        <v>6</v>
      </c>
      <c r="F17" s="9" t="n">
        <v>150408.572898866</v>
      </c>
      <c r="G17" s="8">
        <f>F17/F$102</f>
        <v/>
      </c>
    </row>
    <row r="18">
      <c r="A18" t="n">
        <v>7</v>
      </c>
      <c r="B18" s="5" t="n">
        <v>84339.5977201299</v>
      </c>
      <c r="C18" s="8">
        <f>B18/B$102</f>
        <v/>
      </c>
      <c r="E18" s="9" t="n">
        <v>7</v>
      </c>
      <c r="F18" s="9" t="n">
        <v>145936.2868209124</v>
      </c>
      <c r="G18" s="8">
        <f>F18/F$102</f>
        <v/>
      </c>
    </row>
    <row r="19">
      <c r="A19" t="n">
        <v>8</v>
      </c>
      <c r="B19" s="5" t="n">
        <v>64795.3680488708</v>
      </c>
      <c r="C19" s="8">
        <f>B19/B$102</f>
        <v/>
      </c>
      <c r="E19" s="9" t="n">
        <v>8</v>
      </c>
      <c r="F19" s="9" t="n">
        <v>137994.2587117658</v>
      </c>
      <c r="G19" s="8">
        <f>F19/F$102</f>
        <v/>
      </c>
    </row>
    <row r="20">
      <c r="A20" t="n">
        <v>9</v>
      </c>
      <c r="B20" s="5" t="n">
        <v>97995.2574809291</v>
      </c>
      <c r="C20" s="8">
        <f>B20/B$102</f>
        <v/>
      </c>
      <c r="E20" s="9" t="n">
        <v>9</v>
      </c>
      <c r="F20" s="9" t="n">
        <v>128623.9012633253</v>
      </c>
      <c r="G20" s="8">
        <f>F20/F$102</f>
        <v/>
      </c>
    </row>
    <row r="21">
      <c r="A21" t="n">
        <v>10</v>
      </c>
      <c r="B21" s="5" t="n">
        <v>54317.4021585116</v>
      </c>
      <c r="C21" s="8">
        <f>B21/B$102</f>
        <v/>
      </c>
      <c r="E21" s="9" t="n">
        <v>10</v>
      </c>
      <c r="F21" s="9" t="n">
        <v>118552.5744026826</v>
      </c>
      <c r="G21" s="8">
        <f>F21/F$102</f>
        <v/>
      </c>
    </row>
    <row r="22">
      <c r="A22" t="n">
        <v>11</v>
      </c>
      <c r="B22" s="5" t="n">
        <v>82687.70252916429</v>
      </c>
      <c r="C22" s="8">
        <f>B22/B$102</f>
        <v/>
      </c>
      <c r="E22" s="9" t="n">
        <v>11</v>
      </c>
      <c r="F22" s="9" t="n">
        <v>108823.2511939165</v>
      </c>
      <c r="G22" s="8">
        <f>F22/F$102</f>
        <v/>
      </c>
    </row>
    <row r="23">
      <c r="A23" t="n">
        <v>12</v>
      </c>
      <c r="B23" s="5" t="n">
        <v>117559.3164825522</v>
      </c>
      <c r="C23" s="8">
        <f>B23/B$102</f>
        <v/>
      </c>
      <c r="E23" s="9" t="n">
        <v>12</v>
      </c>
      <c r="F23" s="9" t="n">
        <v>101589.9184839702</v>
      </c>
      <c r="G23" s="8">
        <f>F23/F$102</f>
        <v/>
      </c>
    </row>
    <row r="24">
      <c r="A24" t="n">
        <v>13</v>
      </c>
      <c r="B24" s="5" t="n">
        <v>111916.2960992915</v>
      </c>
      <c r="C24" s="8">
        <f>B24/B$102</f>
        <v/>
      </c>
      <c r="E24" s="9" t="n">
        <v>13</v>
      </c>
      <c r="F24" s="9" t="n">
        <v>90347.63382961217</v>
      </c>
      <c r="G24" s="8">
        <f>F24/F$102</f>
        <v/>
      </c>
    </row>
    <row r="25">
      <c r="A25" t="n">
        <v>14</v>
      </c>
      <c r="B25" s="5" t="n">
        <v>78794.97683437431</v>
      </c>
      <c r="C25" s="8">
        <f>B25/B$102</f>
        <v/>
      </c>
      <c r="E25" s="9" t="n">
        <v>14</v>
      </c>
      <c r="F25" s="9" t="n">
        <v>81782.68173577949</v>
      </c>
      <c r="G25" s="8">
        <f>F25/F$102</f>
        <v/>
      </c>
    </row>
    <row r="26">
      <c r="A26" t="n">
        <v>15</v>
      </c>
      <c r="B26" s="5" t="n">
        <v>49387.5604071043</v>
      </c>
      <c r="C26" s="8">
        <f>B26/B$102</f>
        <v/>
      </c>
      <c r="E26" s="9" t="n">
        <v>15</v>
      </c>
      <c r="F26" s="9" t="n">
        <v>79622.77145216377</v>
      </c>
      <c r="G26" s="8">
        <f>F26/F$102</f>
        <v/>
      </c>
    </row>
    <row r="27">
      <c r="A27" t="n">
        <v>16</v>
      </c>
      <c r="B27" s="5" t="n">
        <v>200663.0878691433</v>
      </c>
      <c r="C27" s="8">
        <f>B27/B$102</f>
        <v/>
      </c>
      <c r="E27" s="9" t="n">
        <v>16</v>
      </c>
      <c r="F27" s="9" t="n">
        <v>74203.1421020374</v>
      </c>
      <c r="G27" s="8">
        <f>F27/F$102</f>
        <v/>
      </c>
    </row>
    <row r="28">
      <c r="A28" t="n">
        <v>17</v>
      </c>
      <c r="B28" s="5" t="n">
        <v>123358.2475558062</v>
      </c>
      <c r="C28" s="8">
        <f>B28/B$102</f>
        <v/>
      </c>
      <c r="E28" s="9" t="n">
        <v>17</v>
      </c>
      <c r="F28" s="9" t="n">
        <v>66797.22096778337</v>
      </c>
      <c r="G28" s="8">
        <f>F28/F$102</f>
        <v/>
      </c>
    </row>
    <row r="29">
      <c r="A29" t="n">
        <v>18</v>
      </c>
      <c r="B29" s="5" t="n">
        <v>380306.5495109273</v>
      </c>
      <c r="C29" s="8">
        <f>B29/B$102</f>
        <v/>
      </c>
      <c r="E29" s="9" t="n">
        <v>18</v>
      </c>
      <c r="F29" s="9" t="n">
        <v>574430.4382473759</v>
      </c>
      <c r="G29" s="8">
        <f>F29/F$102</f>
        <v/>
      </c>
    </row>
    <row r="30">
      <c r="A30" t="n">
        <v>19</v>
      </c>
      <c r="B30" s="5" t="n">
        <v>229001.5381152313</v>
      </c>
      <c r="C30" s="8">
        <f>B30/B$102</f>
        <v/>
      </c>
      <c r="E30" s="9" t="n">
        <v>19</v>
      </c>
      <c r="F30" s="9" t="n">
        <v>206027.7695915463</v>
      </c>
      <c r="G30" s="8">
        <f>F30/F$102</f>
        <v/>
      </c>
    </row>
    <row r="31">
      <c r="A31" t="n">
        <v>20</v>
      </c>
      <c r="B31" s="5" t="n">
        <v>339557.2219199539</v>
      </c>
      <c r="C31" s="8">
        <f>B31/B$102</f>
        <v/>
      </c>
      <c r="E31" s="9" t="n">
        <v>20</v>
      </c>
      <c r="F31" s="9" t="n">
        <v>200087.7487092017</v>
      </c>
      <c r="G31" s="8">
        <f>F31/F$102</f>
        <v/>
      </c>
    </row>
    <row r="32">
      <c r="A32" t="n">
        <v>21</v>
      </c>
      <c r="B32" s="5" t="n">
        <v>292201.3134653368</v>
      </c>
      <c r="C32" s="8">
        <f>B32/B$102</f>
        <v/>
      </c>
      <c r="E32" s="9" t="n">
        <v>21</v>
      </c>
      <c r="F32" s="9" t="n">
        <v>251120.852339116</v>
      </c>
      <c r="G32" s="8">
        <f>F32/F$102</f>
        <v/>
      </c>
    </row>
    <row r="33">
      <c r="A33" t="n">
        <v>22</v>
      </c>
      <c r="B33" s="5" t="n">
        <v>254473.8902439678</v>
      </c>
      <c r="C33" s="8">
        <f>B33/B$102</f>
        <v/>
      </c>
      <c r="E33" s="9" t="n">
        <v>22</v>
      </c>
      <c r="F33" s="9" t="n">
        <v>245720.9775676329</v>
      </c>
      <c r="G33" s="8">
        <f>F33/F$102</f>
        <v/>
      </c>
    </row>
    <row r="34">
      <c r="A34" t="n">
        <v>23</v>
      </c>
      <c r="B34" s="5" t="n">
        <v>160193.2933597781</v>
      </c>
      <c r="C34" s="8">
        <f>B34/B$102</f>
        <v/>
      </c>
      <c r="E34" s="9" t="n">
        <v>23</v>
      </c>
      <c r="F34" s="9" t="n">
        <v>204882.5458097383</v>
      </c>
      <c r="G34" s="8">
        <f>F34/F$102</f>
        <v/>
      </c>
    </row>
    <row r="35">
      <c r="A35" t="n">
        <v>24</v>
      </c>
      <c r="B35" s="5" t="n">
        <v>190560.0643605796</v>
      </c>
      <c r="C35" s="8">
        <f>B35/B$102</f>
        <v/>
      </c>
      <c r="E35" s="9" t="n">
        <v>24</v>
      </c>
      <c r="F35" s="9" t="n">
        <v>171209.6116407248</v>
      </c>
      <c r="G35" s="8">
        <f>F35/F$102</f>
        <v/>
      </c>
    </row>
    <row r="36">
      <c r="A36" t="n">
        <v>25</v>
      </c>
      <c r="B36" s="5" t="n">
        <v>130685.9164110802</v>
      </c>
      <c r="C36" s="8">
        <f>B36/B$102</f>
        <v/>
      </c>
      <c r="E36" s="9" t="n">
        <v>25</v>
      </c>
      <c r="F36" s="9" t="n">
        <v>161033.4280874767</v>
      </c>
      <c r="G36" s="8">
        <f>F36/F$102</f>
        <v/>
      </c>
    </row>
    <row r="37">
      <c r="A37" t="n">
        <v>26</v>
      </c>
      <c r="B37" s="5" t="n">
        <v>330164.1467082053</v>
      </c>
      <c r="C37" s="8">
        <f>B37/B$102</f>
        <v/>
      </c>
      <c r="E37" s="9" t="n">
        <v>26</v>
      </c>
      <c r="F37" s="9" t="n">
        <v>134522.8841442945</v>
      </c>
      <c r="G37" s="8">
        <f>F37/F$102</f>
        <v/>
      </c>
    </row>
    <row r="38">
      <c r="A38" t="n">
        <v>27</v>
      </c>
      <c r="B38" s="5" t="n">
        <v>84832.0834663148</v>
      </c>
      <c r="C38" s="8">
        <f>B38/B$102</f>
        <v/>
      </c>
      <c r="E38" s="9" t="n">
        <v>27</v>
      </c>
      <c r="F38" s="9" t="n">
        <v>126817.8324770095</v>
      </c>
      <c r="G38" s="8">
        <f>F38/F$102</f>
        <v/>
      </c>
    </row>
    <row r="39">
      <c r="A39" t="n">
        <v>28</v>
      </c>
      <c r="B39" s="5" t="n">
        <v>132759.6901069341</v>
      </c>
      <c r="C39" s="8">
        <f>B39/B$102</f>
        <v/>
      </c>
      <c r="E39" s="9" t="n">
        <v>28</v>
      </c>
      <c r="F39" s="9" t="n">
        <v>108341.3652826468</v>
      </c>
      <c r="G39" s="8">
        <f>F39/F$102</f>
        <v/>
      </c>
    </row>
    <row r="40">
      <c r="A40" t="n">
        <v>29</v>
      </c>
      <c r="B40" s="5" t="n">
        <v>117688.8388841047</v>
      </c>
      <c r="C40" s="8">
        <f>B40/B$102</f>
        <v/>
      </c>
      <c r="E40" s="9" t="n">
        <v>29</v>
      </c>
      <c r="F40" s="9" t="n">
        <v>124233.3892026824</v>
      </c>
      <c r="G40" s="8">
        <f>F40/F$102</f>
        <v/>
      </c>
    </row>
    <row r="41">
      <c r="A41" t="n">
        <v>30</v>
      </c>
      <c r="B41" s="5" t="n">
        <v>86943.2568448416</v>
      </c>
      <c r="C41" s="8">
        <f>B41/B$102</f>
        <v/>
      </c>
      <c r="E41" s="9" t="n">
        <v>30</v>
      </c>
      <c r="F41" s="9" t="n">
        <v>112527.0142477776</v>
      </c>
      <c r="G41" s="8">
        <f>F41/F$102</f>
        <v/>
      </c>
    </row>
    <row r="42">
      <c r="A42" t="n">
        <v>31</v>
      </c>
      <c r="B42" s="5" t="n">
        <v>65767.88877144179</v>
      </c>
      <c r="C42" s="8">
        <f>B42/B$102</f>
        <v/>
      </c>
      <c r="E42" s="9" t="n">
        <v>31</v>
      </c>
      <c r="F42" s="9" t="n">
        <v>91953.46643318044</v>
      </c>
      <c r="G42" s="8">
        <f>F42/F$102</f>
        <v/>
      </c>
    </row>
    <row r="43">
      <c r="A43" t="n">
        <v>32</v>
      </c>
      <c r="B43" s="5" t="n">
        <v>69007.8382609941</v>
      </c>
      <c r="C43" s="8">
        <f>B43/B$102</f>
        <v/>
      </c>
      <c r="E43" s="9" t="n">
        <v>32</v>
      </c>
      <c r="F43" s="9" t="n">
        <v>65209.36338618921</v>
      </c>
      <c r="G43" s="8">
        <f>F43/F$102</f>
        <v/>
      </c>
    </row>
    <row r="44">
      <c r="A44" t="n">
        <v>33</v>
      </c>
      <c r="B44" s="5" t="n">
        <v>61401.7830686139</v>
      </c>
      <c r="C44" s="8">
        <f>B44/B$102</f>
        <v/>
      </c>
      <c r="E44" s="9" t="n">
        <v>33</v>
      </c>
      <c r="F44" s="9" t="n">
        <v>87757.20947626932</v>
      </c>
      <c r="G44" s="8">
        <f>F44/F$102</f>
        <v/>
      </c>
    </row>
    <row r="45">
      <c r="A45" t="n">
        <v>34</v>
      </c>
      <c r="B45" s="5" t="n">
        <v>107127.6648405543</v>
      </c>
      <c r="C45" s="8">
        <f>B45/B$102</f>
        <v/>
      </c>
      <c r="E45" s="9" t="n">
        <v>34</v>
      </c>
      <c r="F45" s="9" t="n">
        <v>95252.50116047922</v>
      </c>
      <c r="G45" s="8">
        <f>F45/F$102</f>
        <v/>
      </c>
    </row>
    <row r="46">
      <c r="A46" t="n">
        <v>35</v>
      </c>
      <c r="B46" s="5" t="n">
        <v>46622.0878015611</v>
      </c>
      <c r="C46" s="8">
        <f>B46/B$102</f>
        <v/>
      </c>
      <c r="E46" s="9" t="n">
        <v>35</v>
      </c>
      <c r="F46" s="9" t="n">
        <v>71272.88471517165</v>
      </c>
      <c r="G46" s="8">
        <f>F46/F$102</f>
        <v/>
      </c>
    </row>
    <row r="47">
      <c r="A47" t="n">
        <v>36</v>
      </c>
      <c r="B47" s="5" t="n">
        <v>66157.0202221237</v>
      </c>
      <c r="C47" s="8">
        <f>B47/B$102</f>
        <v/>
      </c>
      <c r="E47" s="9" t="n">
        <v>36</v>
      </c>
      <c r="F47" s="9" t="n">
        <v>53819.20515883128</v>
      </c>
      <c r="G47" s="8">
        <f>F47/F$102</f>
        <v/>
      </c>
    </row>
    <row r="48">
      <c r="A48" t="n">
        <v>37</v>
      </c>
      <c r="B48" s="5" t="n">
        <v>81079.78166099641</v>
      </c>
      <c r="C48" s="8">
        <f>B48/B$102</f>
        <v/>
      </c>
      <c r="E48" s="9" t="n">
        <v>37</v>
      </c>
      <c r="F48" s="9" t="n">
        <v>51387.67832597831</v>
      </c>
      <c r="G48" s="8">
        <f>F48/F$102</f>
        <v/>
      </c>
    </row>
    <row r="49">
      <c r="A49" t="n">
        <v>38</v>
      </c>
      <c r="B49" s="5" t="n">
        <v>93974.88227843901</v>
      </c>
      <c r="C49" s="8">
        <f>B49/B$102</f>
        <v/>
      </c>
      <c r="E49" s="9" t="n">
        <v>38</v>
      </c>
      <c r="F49" s="9" t="n">
        <v>54647.18385114187</v>
      </c>
      <c r="G49" s="8">
        <f>F49/F$102</f>
        <v/>
      </c>
    </row>
    <row r="50">
      <c r="A50" t="n">
        <v>39</v>
      </c>
      <c r="B50" s="5" t="n">
        <v>30105.5066404392</v>
      </c>
      <c r="C50" s="8">
        <f>B50/B$102</f>
        <v/>
      </c>
      <c r="E50" s="9" t="n">
        <v>39</v>
      </c>
      <c r="F50" s="9" t="n">
        <v>53625.17705687038</v>
      </c>
      <c r="G50" s="8">
        <f>F50/F$102</f>
        <v/>
      </c>
    </row>
    <row r="51">
      <c r="A51" t="n">
        <v>40</v>
      </c>
      <c r="B51" s="5" t="n">
        <v>49804.4635479382</v>
      </c>
      <c r="C51" s="8">
        <f>B51/B$102</f>
        <v/>
      </c>
      <c r="E51" s="9" t="n">
        <v>40</v>
      </c>
      <c r="F51" s="9" t="n">
        <v>48790.07120106107</v>
      </c>
      <c r="G51" s="8">
        <f>F51/F$102</f>
        <v/>
      </c>
    </row>
    <row r="52">
      <c r="A52" t="n">
        <v>41</v>
      </c>
      <c r="B52" s="5" t="n">
        <v>31554.7260872384</v>
      </c>
      <c r="C52" s="8">
        <f>B52/B$102</f>
        <v/>
      </c>
      <c r="E52" s="9" t="n">
        <v>41</v>
      </c>
      <c r="F52" s="9" t="n">
        <v>37229.11349224586</v>
      </c>
      <c r="G52" s="8">
        <f>F52/F$102</f>
        <v/>
      </c>
    </row>
    <row r="53">
      <c r="A53" t="n">
        <v>42</v>
      </c>
      <c r="B53" s="5" t="n">
        <v>25595.9084648498</v>
      </c>
      <c r="C53" s="8">
        <f>B53/B$102</f>
        <v/>
      </c>
      <c r="E53" s="9" t="n">
        <v>42</v>
      </c>
      <c r="F53" s="9" t="n">
        <v>34728.0581813395</v>
      </c>
      <c r="G53" s="8">
        <f>F53/F$102</f>
        <v/>
      </c>
    </row>
    <row r="54">
      <c r="A54" t="n">
        <v>43</v>
      </c>
      <c r="B54" s="5" t="n">
        <v>20508.4451423708</v>
      </c>
      <c r="C54" s="8">
        <f>B54/B$102</f>
        <v/>
      </c>
      <c r="E54" s="9" t="n">
        <v>43</v>
      </c>
      <c r="F54" s="9" t="n">
        <v>28260.03525974647</v>
      </c>
      <c r="G54" s="8">
        <f>F54/F$102</f>
        <v/>
      </c>
    </row>
    <row r="55">
      <c r="A55" t="n">
        <v>44</v>
      </c>
      <c r="B55" s="5" t="n">
        <v>17426.8626140231</v>
      </c>
      <c r="C55" s="8">
        <f>B55/B$102</f>
        <v/>
      </c>
      <c r="E55" s="9" t="n">
        <v>44</v>
      </c>
      <c r="F55" s="9" t="n">
        <v>35518.883502624</v>
      </c>
      <c r="G55" s="8">
        <f>F55/F$102</f>
        <v/>
      </c>
    </row>
    <row r="56">
      <c r="A56" t="n">
        <v>45</v>
      </c>
      <c r="B56" s="5" t="n">
        <v>234208.0230709163</v>
      </c>
      <c r="C56" s="8">
        <f>B56/B$102</f>
        <v/>
      </c>
      <c r="E56" s="9" t="n">
        <v>45</v>
      </c>
      <c r="F56" s="9" t="n">
        <v>25806.74853270171</v>
      </c>
      <c r="G56" s="8">
        <f>F56/F$102</f>
        <v/>
      </c>
    </row>
    <row r="57">
      <c r="A57" t="n">
        <v>46</v>
      </c>
      <c r="B57" s="5" t="n">
        <v>23757.9870365377</v>
      </c>
      <c r="C57" s="8">
        <f>B57/B$102</f>
        <v/>
      </c>
      <c r="E57" s="9" t="n">
        <v>46</v>
      </c>
      <c r="F57" s="9" t="n">
        <v>26623.39344971645</v>
      </c>
      <c r="G57" s="8">
        <f>F57/F$102</f>
        <v/>
      </c>
    </row>
    <row r="58">
      <c r="A58" t="n">
        <v>47</v>
      </c>
      <c r="B58" s="5" t="n">
        <v>24601.2392316939</v>
      </c>
      <c r="C58" s="8">
        <f>B58/B$102</f>
        <v/>
      </c>
      <c r="E58" s="9" t="n">
        <v>47</v>
      </c>
      <c r="F58" s="9" t="n">
        <v>23049.01920408105</v>
      </c>
      <c r="G58" s="8">
        <f>F58/F$102</f>
        <v/>
      </c>
    </row>
    <row r="59">
      <c r="A59" t="n">
        <v>48</v>
      </c>
      <c r="B59" s="5" t="n">
        <v>31518.40085416</v>
      </c>
      <c r="C59" s="8">
        <f>B59/B$102</f>
        <v/>
      </c>
      <c r="E59" s="9" t="n">
        <v>48</v>
      </c>
      <c r="F59" s="9" t="n">
        <v>22726.76883554163</v>
      </c>
      <c r="G59" s="8">
        <f>F59/F$102</f>
        <v/>
      </c>
    </row>
    <row r="60">
      <c r="A60" t="n">
        <v>49</v>
      </c>
      <c r="B60" s="5" t="n">
        <v>18363.1980915131</v>
      </c>
      <c r="C60" s="8">
        <f>B60/B$102</f>
        <v/>
      </c>
      <c r="E60" s="9" t="n">
        <v>49</v>
      </c>
      <c r="F60" s="9" t="n">
        <v>25906.38024423811</v>
      </c>
      <c r="G60" s="8">
        <f>F60/F$102</f>
        <v/>
      </c>
    </row>
    <row r="61">
      <c r="A61" t="n">
        <v>50</v>
      </c>
      <c r="B61" s="5" t="n">
        <v>9833.6988481801</v>
      </c>
      <c r="C61" s="8">
        <f>B61/B$102</f>
        <v/>
      </c>
      <c r="E61" s="9" t="n">
        <v>50</v>
      </c>
      <c r="F61" s="9" t="n">
        <v>17256.94715578284</v>
      </c>
      <c r="G61" s="8">
        <f>F61/F$102</f>
        <v/>
      </c>
    </row>
    <row r="62">
      <c r="A62" t="n">
        <v>51</v>
      </c>
      <c r="B62" s="5" t="n">
        <v>22786.4690392695</v>
      </c>
      <c r="C62" s="8">
        <f>B62/B$102</f>
        <v/>
      </c>
      <c r="E62" s="9" t="n">
        <v>51</v>
      </c>
      <c r="F62" s="9" t="n">
        <v>16955.36414556754</v>
      </c>
      <c r="G62" s="8">
        <f>F62/F$102</f>
        <v/>
      </c>
    </row>
    <row r="63">
      <c r="A63" t="n">
        <v>52</v>
      </c>
      <c r="B63" s="5" t="n">
        <v>20446.1129751344</v>
      </c>
      <c r="C63" s="8">
        <f>B63/B$102</f>
        <v/>
      </c>
      <c r="E63" s="9" t="n">
        <v>52</v>
      </c>
      <c r="F63" s="9" t="n">
        <v>14133.32613140714</v>
      </c>
      <c r="G63" s="8">
        <f>F63/F$102</f>
        <v/>
      </c>
    </row>
    <row r="64">
      <c r="A64" t="n">
        <v>53</v>
      </c>
      <c r="B64" s="5" t="n">
        <v>2353.1339614491</v>
      </c>
      <c r="C64" s="8">
        <f>B64/B$102</f>
        <v/>
      </c>
      <c r="E64" s="9" t="n">
        <v>53</v>
      </c>
      <c r="F64" s="9" t="n">
        <v>15130.25617369547</v>
      </c>
      <c r="G64" s="8">
        <f>F64/F$102</f>
        <v/>
      </c>
    </row>
    <row r="65">
      <c r="A65" t="n">
        <v>54</v>
      </c>
      <c r="B65" s="5" t="n">
        <v>38811.9705766629</v>
      </c>
      <c r="C65" s="8">
        <f>B65/B$102</f>
        <v/>
      </c>
      <c r="E65" s="9" t="n">
        <v>54</v>
      </c>
      <c r="F65" s="9" t="n">
        <v>12044.92016441176</v>
      </c>
      <c r="G65" s="8">
        <f>F65/F$102</f>
        <v/>
      </c>
    </row>
    <row r="66">
      <c r="A66" t="n">
        <v>55</v>
      </c>
      <c r="B66" s="5" t="n">
        <v>3407.1738624967</v>
      </c>
      <c r="C66" s="8">
        <f>B66/B$102</f>
        <v/>
      </c>
      <c r="E66" s="9" t="n">
        <v>55</v>
      </c>
      <c r="F66" s="9" t="n">
        <v>12452.45968616082</v>
      </c>
      <c r="G66" s="8">
        <f>F66/F$102</f>
        <v/>
      </c>
    </row>
    <row r="67">
      <c r="A67" t="n">
        <v>56</v>
      </c>
      <c r="B67" s="5" t="n">
        <v>8306.3735064256</v>
      </c>
      <c r="C67" s="8">
        <f>B67/B$102</f>
        <v/>
      </c>
      <c r="E67" s="9" t="n">
        <v>56</v>
      </c>
      <c r="F67" s="9" t="n">
        <v>14798.75045940017</v>
      </c>
      <c r="G67" s="8">
        <f>F67/F$102</f>
        <v/>
      </c>
    </row>
    <row r="68">
      <c r="A68" t="n">
        <v>57</v>
      </c>
      <c r="B68" s="5" t="n">
        <v>4576.546393783</v>
      </c>
      <c r="C68" s="8">
        <f>B68/B$102</f>
        <v/>
      </c>
      <c r="E68" s="9" t="n">
        <v>57</v>
      </c>
      <c r="F68" s="9" t="n">
        <v>11265.11560438984</v>
      </c>
      <c r="G68" s="8">
        <f>F68/F$102</f>
        <v/>
      </c>
    </row>
    <row r="69">
      <c r="A69" t="n">
        <v>58</v>
      </c>
      <c r="B69" s="5" t="n">
        <v>15517.8674723471</v>
      </c>
      <c r="C69" s="8">
        <f>B69/B$102</f>
        <v/>
      </c>
      <c r="E69" s="9" t="n">
        <v>58</v>
      </c>
      <c r="F69" s="9" t="n">
        <v>16026.56910835022</v>
      </c>
      <c r="G69" s="8">
        <f>F69/F$102</f>
        <v/>
      </c>
    </row>
    <row r="70">
      <c r="A70" t="n">
        <v>59</v>
      </c>
      <c r="B70" s="5" t="n">
        <v>18685.0195483197</v>
      </c>
      <c r="C70" s="8">
        <f>B70/B$102</f>
        <v/>
      </c>
      <c r="E70" s="9" t="n">
        <v>59</v>
      </c>
      <c r="F70" s="9" t="n">
        <v>9446.581025869371</v>
      </c>
      <c r="G70" s="8">
        <f>F70/F$102</f>
        <v/>
      </c>
    </row>
    <row r="71">
      <c r="A71" t="n">
        <v>60</v>
      </c>
      <c r="B71" s="5" t="n">
        <v>25859.931172548</v>
      </c>
      <c r="C71" s="8">
        <f>B71/B$102</f>
        <v/>
      </c>
      <c r="E71" s="9" t="n">
        <v>60</v>
      </c>
      <c r="F71" s="9" t="n">
        <v>8401.024668534899</v>
      </c>
      <c r="G71" s="8">
        <f>F71/F$102</f>
        <v/>
      </c>
    </row>
    <row r="72">
      <c r="A72" t="n">
        <v>61</v>
      </c>
      <c r="B72" s="5" t="n">
        <v>27551.548556353</v>
      </c>
      <c r="C72" s="8">
        <f>B72/B$102</f>
        <v/>
      </c>
      <c r="E72" s="9" t="n">
        <v>61</v>
      </c>
      <c r="F72" s="9" t="n">
        <v>7045.140379095496</v>
      </c>
      <c r="G72" s="8">
        <f>F72/F$102</f>
        <v/>
      </c>
    </row>
    <row r="73">
      <c r="A73" t="n">
        <v>62</v>
      </c>
      <c r="B73" s="5" t="n">
        <v>5269.881621041</v>
      </c>
      <c r="C73" s="8">
        <f>B73/B$102</f>
        <v/>
      </c>
      <c r="E73" s="9" t="n">
        <v>62</v>
      </c>
      <c r="F73" s="9" t="n">
        <v>8377.588021040161</v>
      </c>
      <c r="G73" s="8">
        <f>F73/F$102</f>
        <v/>
      </c>
    </row>
    <row r="74">
      <c r="A74" t="n">
        <v>63</v>
      </c>
      <c r="B74" s="5" t="n">
        <v>2698.5191981036</v>
      </c>
      <c r="C74" s="8">
        <f>B74/B$102</f>
        <v/>
      </c>
      <c r="E74" s="9" t="n">
        <v>63</v>
      </c>
      <c r="F74" s="9" t="n">
        <v>7000.82642322729</v>
      </c>
      <c r="G74" s="8">
        <f>F74/F$102</f>
        <v/>
      </c>
    </row>
    <row r="75">
      <c r="A75" t="n">
        <v>64</v>
      </c>
      <c r="B75" s="5" t="n">
        <v>5911.163037777</v>
      </c>
      <c r="C75" s="8">
        <f>B75/B$102</f>
        <v/>
      </c>
      <c r="E75" s="9" t="n">
        <v>64</v>
      </c>
      <c r="F75" s="9" t="n">
        <v>6573.549572458661</v>
      </c>
      <c r="G75" s="8">
        <f>F75/F$102</f>
        <v/>
      </c>
    </row>
    <row r="76">
      <c r="A76" t="n">
        <v>65</v>
      </c>
      <c r="B76" s="5" t="n">
        <v>6358.2571598738</v>
      </c>
      <c r="C76" s="8">
        <f>B76/B$102</f>
        <v/>
      </c>
      <c r="E76" s="9" t="n">
        <v>65</v>
      </c>
      <c r="F76" s="9" t="n">
        <v>5887.921553489306</v>
      </c>
      <c r="G76" s="8">
        <f>F76/F$102</f>
        <v/>
      </c>
    </row>
    <row r="77">
      <c r="A77" t="n">
        <v>66</v>
      </c>
      <c r="B77" s="5" t="n">
        <v>7571.365467162</v>
      </c>
      <c r="C77" s="8">
        <f>B77/B$102</f>
        <v/>
      </c>
      <c r="E77" s="9" t="n">
        <v>66</v>
      </c>
      <c r="F77" s="9" t="n">
        <v>8358.266003815559</v>
      </c>
      <c r="G77" s="8">
        <f>F77/F$102</f>
        <v/>
      </c>
    </row>
    <row r="78">
      <c r="A78" t="n">
        <v>67</v>
      </c>
      <c r="B78" s="5" t="n">
        <v>13229.806233146</v>
      </c>
      <c r="C78" s="8">
        <f>B78/B$102</f>
        <v/>
      </c>
      <c r="E78" s="9" t="n">
        <v>67</v>
      </c>
      <c r="F78" s="9" t="n">
        <v>5503.274766722593</v>
      </c>
      <c r="G78" s="8">
        <f>F78/F$102</f>
        <v/>
      </c>
    </row>
    <row r="79">
      <c r="A79" t="n">
        <v>68</v>
      </c>
      <c r="B79" s="5" t="n">
        <v>1444.023518146</v>
      </c>
      <c r="C79" s="8">
        <f>B79/B$102</f>
        <v/>
      </c>
      <c r="E79" s="9" t="n">
        <v>68</v>
      </c>
      <c r="F79" s="9" t="n">
        <v>5799.663277646875</v>
      </c>
      <c r="G79" s="8">
        <f>F79/F$102</f>
        <v/>
      </c>
    </row>
    <row r="80">
      <c r="A80" t="n">
        <v>69</v>
      </c>
      <c r="B80" s="5" t="n">
        <v>9242.754915532299</v>
      </c>
      <c r="C80" s="8">
        <f>B80/B$102</f>
        <v/>
      </c>
      <c r="E80" s="9" t="n">
        <v>69</v>
      </c>
      <c r="F80" s="9" t="n">
        <v>5712.411803648995</v>
      </c>
      <c r="G80" s="8">
        <f>F80/F$102</f>
        <v/>
      </c>
    </row>
    <row r="81">
      <c r="A81" t="n">
        <v>70</v>
      </c>
      <c r="B81" s="5" t="n">
        <v>8123.2133185824</v>
      </c>
      <c r="C81" s="8">
        <f>B81/B$102</f>
        <v/>
      </c>
      <c r="E81" s="9" t="n">
        <v>70</v>
      </c>
      <c r="F81" s="9" t="n">
        <v>4358.67214463269</v>
      </c>
      <c r="G81" s="8">
        <f>F81/F$102</f>
        <v/>
      </c>
    </row>
    <row r="82">
      <c r="A82" t="n">
        <v>71</v>
      </c>
      <c r="B82" s="5" t="n">
        <v>6545.5658596602</v>
      </c>
      <c r="C82" s="8">
        <f>B82/B$102</f>
        <v/>
      </c>
      <c r="E82" s="9" t="n">
        <v>71</v>
      </c>
      <c r="F82" s="9" t="n">
        <v>4368.289181099679</v>
      </c>
      <c r="G82" s="8">
        <f>F82/F$102</f>
        <v/>
      </c>
    </row>
    <row r="83">
      <c r="A83" t="n">
        <v>72</v>
      </c>
      <c r="B83" s="5" t="n">
        <v>44741.4452130761</v>
      </c>
      <c r="C83" s="8">
        <f>B83/B$102</f>
        <v/>
      </c>
      <c r="E83" s="9" t="n">
        <v>72</v>
      </c>
      <c r="F83" s="9" t="n">
        <v>4247.369035995676</v>
      </c>
      <c r="G83" s="8">
        <f>F83/F$102</f>
        <v/>
      </c>
    </row>
    <row r="84">
      <c r="A84" t="n">
        <v>73</v>
      </c>
      <c r="B84" s="5" t="n">
        <v>3851.127302794</v>
      </c>
      <c r="C84" s="8">
        <f>B84/B$102</f>
        <v/>
      </c>
      <c r="E84" s="9" t="n">
        <v>73</v>
      </c>
      <c r="F84" s="9" t="n">
        <v>4977.035185827227</v>
      </c>
      <c r="G84" s="8">
        <f>F84/F$102</f>
        <v/>
      </c>
    </row>
    <row r="85">
      <c r="A85" t="n">
        <v>74</v>
      </c>
      <c r="B85" s="5" t="n">
        <v>11507.2270041624</v>
      </c>
      <c r="C85" s="8">
        <f>B85/B$102</f>
        <v/>
      </c>
      <c r="E85" s="9" t="n">
        <v>74</v>
      </c>
      <c r="F85" s="9" t="n">
        <v>4770.114636786951</v>
      </c>
      <c r="G85" s="8">
        <f>F85/F$102</f>
        <v/>
      </c>
    </row>
    <row r="86">
      <c r="A86" t="n">
        <v>75</v>
      </c>
      <c r="B86" s="5" t="n">
        <v>9615.6426573921</v>
      </c>
      <c r="C86" s="8">
        <f>B86/B$102</f>
        <v/>
      </c>
      <c r="E86" s="9" t="n">
        <v>75</v>
      </c>
      <c r="F86" s="9" t="n">
        <v>3118.502337232942</v>
      </c>
      <c r="G86" s="8">
        <f>F86/F$102</f>
        <v/>
      </c>
    </row>
    <row r="87">
      <c r="A87" t="n">
        <v>76</v>
      </c>
      <c r="B87" s="5" t="n">
        <v>17322.019147213</v>
      </c>
      <c r="C87" s="8">
        <f>B87/B$102</f>
        <v/>
      </c>
      <c r="E87" s="9" t="n">
        <v>76</v>
      </c>
      <c r="F87" s="9" t="n">
        <v>3784.424998292849</v>
      </c>
      <c r="G87" s="8">
        <f>F87/F$102</f>
        <v/>
      </c>
    </row>
    <row r="88">
      <c r="A88" t="n">
        <v>77</v>
      </c>
      <c r="B88" s="5" t="n">
        <v>3761.1715561875</v>
      </c>
      <c r="C88" s="8">
        <f>B88/B$102</f>
        <v/>
      </c>
      <c r="E88" s="9" t="n">
        <v>77</v>
      </c>
      <c r="F88" s="9" t="n">
        <v>2837.7576227098</v>
      </c>
      <c r="G88" s="8">
        <f>F88/F$102</f>
        <v/>
      </c>
    </row>
    <row r="89">
      <c r="A89" t="n">
        <v>78</v>
      </c>
      <c r="B89" s="5" t="n">
        <v>1208.3615056104</v>
      </c>
      <c r="C89" s="8">
        <f>B89/B$102</f>
        <v/>
      </c>
      <c r="E89" s="9" t="n">
        <v>78</v>
      </c>
      <c r="F89" s="9" t="n">
        <v>2747.306733642009</v>
      </c>
      <c r="G89" s="8">
        <f>F89/F$102</f>
        <v/>
      </c>
    </row>
    <row r="90">
      <c r="A90" t="n">
        <v>79</v>
      </c>
      <c r="B90" s="5" t="n">
        <v>2981.6171355287</v>
      </c>
      <c r="C90" s="8">
        <f>B90/B$102</f>
        <v/>
      </c>
      <c r="E90" s="9" t="n">
        <v>79</v>
      </c>
      <c r="F90" s="9" t="n">
        <v>2980.968681228404</v>
      </c>
      <c r="G90" s="8">
        <f>F90/F$102</f>
        <v/>
      </c>
    </row>
    <row r="91">
      <c r="A91" t="n">
        <v>80</v>
      </c>
      <c r="B91" s="5" t="n">
        <v>35198.3869241467</v>
      </c>
      <c r="C91" s="8">
        <f>B91/B$102</f>
        <v/>
      </c>
      <c r="E91" s="9" t="n">
        <v>80</v>
      </c>
      <c r="F91" s="9" t="n">
        <v>3126.639128931279</v>
      </c>
      <c r="G91" s="8">
        <f>F91/F$102</f>
        <v/>
      </c>
    </row>
    <row r="92">
      <c r="A92" t="n">
        <v>81</v>
      </c>
      <c r="B92" s="5" t="n">
        <v>2632.678679736</v>
      </c>
      <c r="C92" s="8">
        <f>B92/B$102</f>
        <v/>
      </c>
      <c r="E92" s="9" t="n">
        <v>81</v>
      </c>
      <c r="F92" s="9" t="n">
        <v>3417.008098624407</v>
      </c>
      <c r="G92" s="8">
        <f>F92/F$102</f>
        <v/>
      </c>
    </row>
    <row r="93">
      <c r="A93" t="n">
        <v>82</v>
      </c>
      <c r="B93" s="5" t="n">
        <v>9855.246057459</v>
      </c>
      <c r="C93" s="8">
        <f>B93/B$102</f>
        <v/>
      </c>
      <c r="E93" s="9" t="n">
        <v>82</v>
      </c>
      <c r="F93" s="9" t="n">
        <v>2593.613809981564</v>
      </c>
      <c r="G93" s="8">
        <f>F93/F$102</f>
        <v/>
      </c>
    </row>
    <row r="94">
      <c r="A94" t="n">
        <v>83</v>
      </c>
      <c r="B94" s="5" t="n">
        <v>5837.9404788961</v>
      </c>
      <c r="C94" s="8">
        <f>B94/B$102</f>
        <v/>
      </c>
      <c r="E94" s="9" t="n">
        <v>83</v>
      </c>
      <c r="F94" s="9" t="n">
        <v>2326.539244781643</v>
      </c>
      <c r="G94" s="8">
        <f>F94/F$102</f>
        <v/>
      </c>
    </row>
    <row r="95">
      <c r="A95" t="n">
        <v>84</v>
      </c>
      <c r="B95" s="5" t="n">
        <v>8223.5712677336</v>
      </c>
      <c r="C95" s="8">
        <f>B95/B$102</f>
        <v/>
      </c>
      <c r="E95" s="9" t="n">
        <v>84</v>
      </c>
      <c r="F95" s="9" t="n">
        <v>2638.209303749891</v>
      </c>
      <c r="G95" s="8">
        <f>F95/F$102</f>
        <v/>
      </c>
    </row>
    <row r="96">
      <c r="A96" t="n">
        <v>85</v>
      </c>
      <c r="B96" s="5" t="n">
        <v>5006.9698036617</v>
      </c>
      <c r="C96" s="8">
        <f>B96/B$102</f>
        <v/>
      </c>
      <c r="E96" s="9" t="n">
        <v>85</v>
      </c>
      <c r="F96" s="9" t="n">
        <v>2431.412627777596</v>
      </c>
      <c r="G96" s="8">
        <f>F96/F$102</f>
        <v/>
      </c>
    </row>
    <row r="97">
      <c r="A97" t="n">
        <v>86</v>
      </c>
      <c r="B97" s="5" t="n">
        <v>2867.0805968983</v>
      </c>
      <c r="C97" s="8">
        <f>B97/B$102</f>
        <v/>
      </c>
      <c r="E97" s="9" t="n">
        <v>86</v>
      </c>
      <c r="F97" s="9" t="n">
        <v>2178.774980215936</v>
      </c>
      <c r="G97" s="8">
        <f>F97/F$102</f>
        <v/>
      </c>
    </row>
    <row r="98">
      <c r="A98" t="n">
        <v>87</v>
      </c>
      <c r="B98" s="5" t="n">
        <v>7103.3543771546</v>
      </c>
      <c r="C98" s="8">
        <f>B98/B$102</f>
        <v/>
      </c>
      <c r="E98" s="9" t="n">
        <v>87</v>
      </c>
      <c r="F98" s="9" t="n">
        <v>1962.807434443293</v>
      </c>
      <c r="G98" s="8">
        <f>F98/F$102</f>
        <v/>
      </c>
    </row>
    <row r="99">
      <c r="A99" t="n">
        <v>88</v>
      </c>
      <c r="B99" s="5" t="n">
        <v>6611.2846627433</v>
      </c>
      <c r="C99" s="8">
        <f>B99/B$102</f>
        <v/>
      </c>
      <c r="E99" s="9" t="n">
        <v>88</v>
      </c>
      <c r="F99" s="9" t="n">
        <v>1825.757046499882</v>
      </c>
      <c r="G99" s="8">
        <f>F99/F$102</f>
        <v/>
      </c>
    </row>
    <row r="100">
      <c r="A100" t="n">
        <v>89</v>
      </c>
      <c r="B100" s="5" t="n">
        <v>12051.0114977885</v>
      </c>
      <c r="C100" s="8">
        <f>B100/B$102</f>
        <v/>
      </c>
      <c r="E100" s="9" t="n">
        <v>89</v>
      </c>
      <c r="F100" s="9" t="n">
        <v>1576.269254126359</v>
      </c>
      <c r="G100" s="8">
        <f>F100/F$102</f>
        <v/>
      </c>
    </row>
    <row r="101" ht="15.75" customHeight="1" thickBot="1">
      <c r="A101" s="1" t="n">
        <v>90</v>
      </c>
      <c r="B101" s="6" t="n">
        <v>255275.5855974669</v>
      </c>
      <c r="C101" s="8">
        <f>B101/B$102</f>
        <v/>
      </c>
      <c r="E101" s="10" t="n">
        <v>90</v>
      </c>
      <c r="F101" s="10" t="n">
        <v>87630.73935548068</v>
      </c>
      <c r="G101" s="8">
        <f>F101/F$102</f>
        <v/>
      </c>
    </row>
    <row r="102">
      <c r="B102" s="5">
        <f>SUM(B11:B101)</f>
        <v/>
      </c>
      <c r="C102" s="8">
        <f>B102/B$102</f>
        <v/>
      </c>
      <c r="F102" s="5">
        <f>SUM(F11:F101)</f>
        <v/>
      </c>
      <c r="G102" s="8">
        <f>F102/F$102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L102"/>
  <sheetViews>
    <sheetView workbookViewId="0">
      <selection activeCell="K11" sqref="K11:L11"/>
    </sheetView>
  </sheetViews>
  <sheetFormatPr baseColWidth="8" defaultRowHeight="15"/>
  <cols>
    <col collapsed="1" width="13.5703125" customWidth="1" min="1" max="1"/>
    <col collapsed="1" width="9.5703125" bestFit="1" customWidth="1" min="2" max="2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thickBot="1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J9" s="7" t="inlineStr">
        <is>
          <t>Table X. Average Trip Length</t>
        </is>
      </c>
    </row>
    <row r="10">
      <c r="A10" s="2" t="inlineStr">
        <is>
          <t>Distance (mi)</t>
        </is>
      </c>
      <c r="B10" s="4" t="inlineStr">
        <is>
          <t>Survey</t>
        </is>
      </c>
      <c r="C10" s="4" t="inlineStr">
        <is>
          <t>Survey</t>
        </is>
      </c>
      <c r="E10" s="2" t="inlineStr">
        <is>
          <t>Distance (mi)</t>
        </is>
      </c>
      <c r="F10" s="4" t="inlineStr">
        <is>
          <t>DaySim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5" t="n">
        <v>98296.5465534797</v>
      </c>
      <c r="C11" s="8">
        <f>B11/B$102</f>
        <v/>
      </c>
      <c r="E11" s="9" t="n">
        <v>0</v>
      </c>
      <c r="F11" s="9" t="n">
        <v>280073.4754572349</v>
      </c>
      <c r="G11" s="8">
        <f>F11/F$102</f>
        <v/>
      </c>
      <c r="K11" s="5" t="n">
        <v>10.38889320483192</v>
      </c>
      <c r="L11" s="5" t="n">
        <v>10.40040312133632</v>
      </c>
    </row>
    <row r="12">
      <c r="A12" t="n">
        <v>1</v>
      </c>
      <c r="B12" s="5" t="n">
        <v>92884.4539748665</v>
      </c>
      <c r="C12" s="8">
        <f>B12/B$102</f>
        <v/>
      </c>
      <c r="E12" s="9" t="n">
        <v>1</v>
      </c>
      <c r="F12" s="9" t="n">
        <v>171684.144478205</v>
      </c>
      <c r="G12" s="8">
        <f>F12/F$102</f>
        <v/>
      </c>
      <c r="K12" s="5" t="n"/>
      <c r="L12" s="9" t="n"/>
    </row>
    <row r="13">
      <c r="A13" t="n">
        <v>2</v>
      </c>
      <c r="B13" s="5" t="n">
        <v>77163.9047374588</v>
      </c>
      <c r="C13" s="8">
        <f>B13/B$102</f>
        <v/>
      </c>
      <c r="E13" s="9" t="n">
        <v>2</v>
      </c>
      <c r="F13" s="9" t="n">
        <v>115426.9143459835</v>
      </c>
      <c r="G13" s="8">
        <f>F13/F$102</f>
        <v/>
      </c>
    </row>
    <row r="14">
      <c r="A14" t="n">
        <v>3</v>
      </c>
      <c r="B14" s="5" t="n">
        <v>138559.283781218</v>
      </c>
      <c r="C14" s="8">
        <f>B14/B$102</f>
        <v/>
      </c>
      <c r="E14" s="9" t="n">
        <v>3</v>
      </c>
      <c r="F14" s="9" t="n">
        <v>80767.70768087664</v>
      </c>
      <c r="G14" s="8">
        <f>F14/F$102</f>
        <v/>
      </c>
    </row>
    <row r="15">
      <c r="A15" t="n">
        <v>4</v>
      </c>
      <c r="B15" s="5" t="n">
        <v>259895.0907012826</v>
      </c>
      <c r="C15" s="8">
        <f>B15/B$102</f>
        <v/>
      </c>
      <c r="E15" s="9" t="n">
        <v>4</v>
      </c>
      <c r="F15" s="9" t="n">
        <v>226563.6821995709</v>
      </c>
      <c r="G15" s="8">
        <f>F15/F$102</f>
        <v/>
      </c>
    </row>
    <row r="16">
      <c r="A16" t="n">
        <v>5</v>
      </c>
      <c r="B16" s="5" t="n">
        <v>187494.5667675218</v>
      </c>
      <c r="C16" s="8">
        <f>B16/B$102</f>
        <v/>
      </c>
      <c r="E16" s="9" t="n">
        <v>5</v>
      </c>
      <c r="F16" s="9" t="n">
        <v>189500.1771927996</v>
      </c>
      <c r="G16" s="8">
        <f>F16/F$102</f>
        <v/>
      </c>
    </row>
    <row r="17">
      <c r="A17" t="n">
        <v>6</v>
      </c>
      <c r="B17" s="5" t="n">
        <v>170117.2002851204</v>
      </c>
      <c r="C17" s="8">
        <f>B17/B$102</f>
        <v/>
      </c>
      <c r="E17" s="9" t="n">
        <v>6</v>
      </c>
      <c r="F17" s="9" t="n">
        <v>170440.4445611407</v>
      </c>
      <c r="G17" s="8">
        <f>F17/F$102</f>
        <v/>
      </c>
    </row>
    <row r="18">
      <c r="A18" t="n">
        <v>7</v>
      </c>
      <c r="B18" s="5" t="n">
        <v>115674.7960320113</v>
      </c>
      <c r="C18" s="8">
        <f>B18/B$102</f>
        <v/>
      </c>
      <c r="E18" s="9" t="n">
        <v>7</v>
      </c>
      <c r="F18" s="9" t="n">
        <v>120531.7817351422</v>
      </c>
      <c r="G18" s="8">
        <f>F18/F$102</f>
        <v/>
      </c>
    </row>
    <row r="19">
      <c r="A19" t="n">
        <v>8</v>
      </c>
      <c r="B19" s="5" t="n">
        <v>137490.15335657</v>
      </c>
      <c r="C19" s="8">
        <f>B19/B$102</f>
        <v/>
      </c>
      <c r="E19" s="9" t="n">
        <v>8</v>
      </c>
      <c r="F19" s="9" t="n">
        <v>135188.2026582798</v>
      </c>
      <c r="G19" s="8">
        <f>F19/F$102</f>
        <v/>
      </c>
    </row>
    <row r="20">
      <c r="A20" t="n">
        <v>9</v>
      </c>
      <c r="B20" s="5" t="n">
        <v>86984.82988029301</v>
      </c>
      <c r="C20" s="8">
        <f>B20/B$102</f>
        <v/>
      </c>
      <c r="E20" s="9" t="n">
        <v>9</v>
      </c>
      <c r="F20" s="9" t="n">
        <v>93623.75856638765</v>
      </c>
      <c r="G20" s="8">
        <f>F20/F$102</f>
        <v/>
      </c>
    </row>
    <row r="21">
      <c r="A21" t="n">
        <v>10</v>
      </c>
      <c r="B21" s="5" t="n">
        <v>127067.0036623775</v>
      </c>
      <c r="C21" s="8">
        <f>B21/B$102</f>
        <v/>
      </c>
      <c r="E21" s="9" t="n">
        <v>10</v>
      </c>
      <c r="F21" s="9" t="n">
        <v>85567.90286365191</v>
      </c>
      <c r="G21" s="8">
        <f>F21/F$102</f>
        <v/>
      </c>
    </row>
    <row r="22">
      <c r="A22" t="n">
        <v>11</v>
      </c>
      <c r="B22" s="5" t="n">
        <v>71225.6347937431</v>
      </c>
      <c r="C22" s="8">
        <f>B22/B$102</f>
        <v/>
      </c>
      <c r="E22" s="9" t="n">
        <v>11</v>
      </c>
      <c r="F22" s="9" t="n">
        <v>70557.21113609274</v>
      </c>
      <c r="G22" s="8">
        <f>F22/F$102</f>
        <v/>
      </c>
    </row>
    <row r="23">
      <c r="A23" t="n">
        <v>12</v>
      </c>
      <c r="B23" s="5" t="n">
        <v>64215.6654059196</v>
      </c>
      <c r="C23" s="8">
        <f>B23/B$102</f>
        <v/>
      </c>
      <c r="E23" s="9" t="n">
        <v>12</v>
      </c>
      <c r="F23" s="9" t="n">
        <v>70648.13996350029</v>
      </c>
      <c r="G23" s="8">
        <f>F23/F$102</f>
        <v/>
      </c>
    </row>
    <row r="24">
      <c r="A24" t="n">
        <v>13</v>
      </c>
      <c r="B24" s="5" t="n">
        <v>54347.4564745415</v>
      </c>
      <c r="C24" s="8">
        <f>B24/B$102</f>
        <v/>
      </c>
      <c r="E24" s="9" t="n">
        <v>13</v>
      </c>
      <c r="F24" s="9" t="n">
        <v>67344.08041072362</v>
      </c>
      <c r="G24" s="8">
        <f>F24/F$102</f>
        <v/>
      </c>
    </row>
    <row r="25">
      <c r="A25" t="n">
        <v>14</v>
      </c>
      <c r="B25" s="5" t="n">
        <v>34582.6345875854</v>
      </c>
      <c r="C25" s="8">
        <f>B25/B$102</f>
        <v/>
      </c>
      <c r="E25" s="9" t="n">
        <v>14</v>
      </c>
      <c r="F25" s="9" t="n">
        <v>67011.17994275842</v>
      </c>
      <c r="G25" s="8">
        <f>F25/F$102</f>
        <v/>
      </c>
    </row>
    <row r="26">
      <c r="A26" t="n">
        <v>15</v>
      </c>
      <c r="B26" s="5" t="n">
        <v>53821.8271244117</v>
      </c>
      <c r="C26" s="8">
        <f>B26/B$102</f>
        <v/>
      </c>
      <c r="E26" s="9" t="n">
        <v>15</v>
      </c>
      <c r="F26" s="9" t="n">
        <v>57661.74079159924</v>
      </c>
      <c r="G26" s="8">
        <f>F26/F$102</f>
        <v/>
      </c>
    </row>
    <row r="27">
      <c r="A27" t="n">
        <v>16</v>
      </c>
      <c r="B27" s="5" t="n">
        <v>59301.8653303014</v>
      </c>
      <c r="C27" s="8">
        <f>B27/B$102</f>
        <v/>
      </c>
      <c r="E27" s="9" t="n">
        <v>16</v>
      </c>
      <c r="F27" s="9" t="n">
        <v>63270.8333129407</v>
      </c>
      <c r="G27" s="8">
        <f>F27/F$102</f>
        <v/>
      </c>
    </row>
    <row r="28">
      <c r="A28" t="n">
        <v>17</v>
      </c>
      <c r="B28" s="5" t="n">
        <v>47893.4631537863</v>
      </c>
      <c r="C28" s="8">
        <f>B28/B$102</f>
        <v/>
      </c>
      <c r="E28" s="9" t="n">
        <v>17</v>
      </c>
      <c r="F28" s="9" t="n">
        <v>49724.4730292465</v>
      </c>
      <c r="G28" s="8">
        <f>F28/F$102</f>
        <v/>
      </c>
    </row>
    <row r="29">
      <c r="A29" t="n">
        <v>18</v>
      </c>
      <c r="B29" s="5" t="n">
        <v>57642.3111869992</v>
      </c>
      <c r="C29" s="8">
        <f>B29/B$102</f>
        <v/>
      </c>
      <c r="E29" s="9" t="n">
        <v>18</v>
      </c>
      <c r="F29" s="9" t="n">
        <v>46371.41158591819</v>
      </c>
      <c r="G29" s="8">
        <f>F29/F$102</f>
        <v/>
      </c>
    </row>
    <row r="30">
      <c r="A30" t="n">
        <v>19</v>
      </c>
      <c r="B30" s="5" t="n">
        <v>33051.0305787079</v>
      </c>
      <c r="C30" s="8">
        <f>B30/B$102</f>
        <v/>
      </c>
      <c r="E30" s="9" t="n">
        <v>19</v>
      </c>
      <c r="F30" s="9" t="n">
        <v>39314.4772787566</v>
      </c>
      <c r="G30" s="8">
        <f>F30/F$102</f>
        <v/>
      </c>
    </row>
    <row r="31">
      <c r="A31" t="n">
        <v>20</v>
      </c>
      <c r="B31" s="5" t="n">
        <v>30625.5526516688</v>
      </c>
      <c r="C31" s="8">
        <f>B31/B$102</f>
        <v/>
      </c>
      <c r="E31" s="9" t="n">
        <v>20</v>
      </c>
      <c r="F31" s="9" t="n">
        <v>40547.47772522199</v>
      </c>
      <c r="G31" s="8">
        <f>F31/F$102</f>
        <v/>
      </c>
    </row>
    <row r="32">
      <c r="A32" t="n">
        <v>21</v>
      </c>
      <c r="B32" s="5" t="n">
        <v>28347.0719922193</v>
      </c>
      <c r="C32" s="8">
        <f>B32/B$102</f>
        <v/>
      </c>
      <c r="E32" s="9" t="n">
        <v>21</v>
      </c>
      <c r="F32" s="9" t="n">
        <v>28536.97190973516</v>
      </c>
      <c r="G32" s="8">
        <f>F32/F$102</f>
        <v/>
      </c>
    </row>
    <row r="33">
      <c r="A33" t="n">
        <v>22</v>
      </c>
      <c r="B33" s="5" t="n">
        <v>24678.2618001255</v>
      </c>
      <c r="C33" s="8">
        <f>B33/B$102</f>
        <v/>
      </c>
      <c r="E33" s="9" t="n">
        <v>22</v>
      </c>
      <c r="F33" s="9" t="n">
        <v>30561.72050797375</v>
      </c>
      <c r="G33" s="8">
        <f>F33/F$102</f>
        <v/>
      </c>
    </row>
    <row r="34">
      <c r="A34" t="n">
        <v>23</v>
      </c>
      <c r="B34" s="5" t="n">
        <v>23681.8794503649</v>
      </c>
      <c r="C34" s="8">
        <f>B34/B$102</f>
        <v/>
      </c>
      <c r="E34" s="9" t="n">
        <v>23</v>
      </c>
      <c r="F34" s="9" t="n">
        <v>30222.48149920249</v>
      </c>
      <c r="G34" s="8">
        <f>F34/F$102</f>
        <v/>
      </c>
    </row>
    <row r="35">
      <c r="A35" t="n">
        <v>24</v>
      </c>
      <c r="B35" s="5" t="n">
        <v>19224.0360309058</v>
      </c>
      <c r="C35" s="8">
        <f>B35/B$102</f>
        <v/>
      </c>
      <c r="E35" s="9" t="n">
        <v>24</v>
      </c>
      <c r="F35" s="9" t="n">
        <v>23160.80541897575</v>
      </c>
      <c r="G35" s="8">
        <f>F35/F$102</f>
        <v/>
      </c>
    </row>
    <row r="36">
      <c r="A36" t="n">
        <v>25</v>
      </c>
      <c r="B36" s="5" t="n">
        <v>14879.560831223</v>
      </c>
      <c r="C36" s="8">
        <f>B36/B$102</f>
        <v/>
      </c>
      <c r="E36" s="9" t="n">
        <v>25</v>
      </c>
      <c r="F36" s="9" t="n">
        <v>26725.47107442928</v>
      </c>
      <c r="G36" s="8">
        <f>F36/F$102</f>
        <v/>
      </c>
    </row>
    <row r="37">
      <c r="A37" t="n">
        <v>26</v>
      </c>
      <c r="B37" s="5" t="n">
        <v>16044.2989389792</v>
      </c>
      <c r="C37" s="8">
        <f>B37/B$102</f>
        <v/>
      </c>
      <c r="E37" s="9" t="n">
        <v>26</v>
      </c>
      <c r="F37" s="9" t="n">
        <v>25580.98522052907</v>
      </c>
      <c r="G37" s="8">
        <f>F37/F$102</f>
        <v/>
      </c>
    </row>
    <row r="38">
      <c r="A38" t="n">
        <v>27</v>
      </c>
      <c r="B38" s="5" t="n">
        <v>13117.5190152414</v>
      </c>
      <c r="C38" s="8">
        <f>B38/B$102</f>
        <v/>
      </c>
      <c r="E38" s="9" t="n">
        <v>27</v>
      </c>
      <c r="F38" s="9" t="n">
        <v>14895.31242334846</v>
      </c>
      <c r="G38" s="8">
        <f>F38/F$102</f>
        <v/>
      </c>
    </row>
    <row r="39">
      <c r="A39" t="n">
        <v>28</v>
      </c>
      <c r="B39" s="5" t="n">
        <v>10672.7001227837</v>
      </c>
      <c r="C39" s="8">
        <f>B39/B$102</f>
        <v/>
      </c>
      <c r="E39" s="9" t="n">
        <v>28</v>
      </c>
      <c r="F39" s="9" t="n">
        <v>14643.94303643973</v>
      </c>
      <c r="G39" s="8">
        <f>F39/F$102</f>
        <v/>
      </c>
    </row>
    <row r="40">
      <c r="A40" t="n">
        <v>29</v>
      </c>
      <c r="B40" s="5" t="n">
        <v>6864.4818095773</v>
      </c>
      <c r="C40" s="8">
        <f>B40/B$102</f>
        <v/>
      </c>
      <c r="E40" s="9" t="n">
        <v>29</v>
      </c>
      <c r="F40" s="9" t="n">
        <v>13383.54930749365</v>
      </c>
      <c r="G40" s="8">
        <f>F40/F$102</f>
        <v/>
      </c>
    </row>
    <row r="41">
      <c r="A41" t="n">
        <v>30</v>
      </c>
      <c r="B41" s="5" t="n">
        <v>9635.4113092566</v>
      </c>
      <c r="C41" s="8">
        <f>B41/B$102</f>
        <v/>
      </c>
      <c r="E41" s="9" t="n">
        <v>30</v>
      </c>
      <c r="F41" s="9" t="n">
        <v>12659.23559173738</v>
      </c>
      <c r="G41" s="8">
        <f>F41/F$102</f>
        <v/>
      </c>
    </row>
    <row r="42">
      <c r="A42" t="n">
        <v>31</v>
      </c>
      <c r="B42" s="5" t="n">
        <v>8371.509144903301</v>
      </c>
      <c r="C42" s="8">
        <f>B42/B$102</f>
        <v/>
      </c>
      <c r="E42" s="9" t="n">
        <v>31</v>
      </c>
      <c r="F42" s="9" t="n">
        <v>11334.98204859429</v>
      </c>
      <c r="G42" s="8">
        <f>F42/F$102</f>
        <v/>
      </c>
    </row>
    <row r="43">
      <c r="A43" t="n">
        <v>32</v>
      </c>
      <c r="B43" s="5" t="n">
        <v>3723.4798190898</v>
      </c>
      <c r="C43" s="8">
        <f>B43/B$102</f>
        <v/>
      </c>
      <c r="E43" s="9" t="n">
        <v>32</v>
      </c>
      <c r="F43" s="9" t="n">
        <v>9299.186330586193</v>
      </c>
      <c r="G43" s="8">
        <f>F43/F$102</f>
        <v/>
      </c>
    </row>
    <row r="44">
      <c r="A44" t="n">
        <v>33</v>
      </c>
      <c r="B44" s="5" t="n">
        <v>5473.7832709866</v>
      </c>
      <c r="C44" s="8">
        <f>B44/B$102</f>
        <v/>
      </c>
      <c r="E44" s="9" t="n">
        <v>33</v>
      </c>
      <c r="F44" s="9" t="n">
        <v>9635.927701056642</v>
      </c>
      <c r="G44" s="8">
        <f>F44/F$102</f>
        <v/>
      </c>
    </row>
    <row r="45">
      <c r="A45" t="n">
        <v>34</v>
      </c>
      <c r="B45" s="5" t="n">
        <v>13872.398854469</v>
      </c>
      <c r="C45" s="8">
        <f>B45/B$102</f>
        <v/>
      </c>
      <c r="E45" s="9" t="n">
        <v>34</v>
      </c>
      <c r="F45" s="9" t="n">
        <v>8025.095762057384</v>
      </c>
      <c r="G45" s="8">
        <f>F45/F$102</f>
        <v/>
      </c>
    </row>
    <row r="46">
      <c r="A46" t="n">
        <v>35</v>
      </c>
      <c r="B46" s="5" t="n">
        <v>4599.1216396531</v>
      </c>
      <c r="C46" s="8">
        <f>B46/B$102</f>
        <v/>
      </c>
      <c r="E46" s="9" t="n">
        <v>35</v>
      </c>
      <c r="F46" s="9" t="n">
        <v>7348.061558169419</v>
      </c>
      <c r="G46" s="8">
        <f>F46/F$102</f>
        <v/>
      </c>
    </row>
    <row r="47">
      <c r="A47" t="n">
        <v>36</v>
      </c>
      <c r="B47" s="5" t="n">
        <v>7102.2328572607</v>
      </c>
      <c r="C47" s="8">
        <f>B47/B$102</f>
        <v/>
      </c>
      <c r="E47" s="9" t="n">
        <v>36</v>
      </c>
      <c r="F47" s="9" t="n">
        <v>8822.687276603912</v>
      </c>
      <c r="G47" s="8">
        <f>F47/F$102</f>
        <v/>
      </c>
    </row>
    <row r="48">
      <c r="A48" t="n">
        <v>37</v>
      </c>
      <c r="B48" s="5" t="n">
        <v>5285.7395312702</v>
      </c>
      <c r="C48" s="8">
        <f>B48/B$102</f>
        <v/>
      </c>
      <c r="E48" s="9" t="n">
        <v>37</v>
      </c>
      <c r="F48" s="9" t="n">
        <v>6952.671658384033</v>
      </c>
      <c r="G48" s="8">
        <f>F48/F$102</f>
        <v/>
      </c>
    </row>
    <row r="49">
      <c r="A49" t="n">
        <v>38</v>
      </c>
      <c r="B49" s="5" t="n">
        <v>7397.7355238755</v>
      </c>
      <c r="C49" s="8">
        <f>B49/B$102</f>
        <v/>
      </c>
      <c r="E49" s="9" t="n">
        <v>38</v>
      </c>
      <c r="F49" s="9" t="n">
        <v>8131.59883909435</v>
      </c>
      <c r="G49" s="8">
        <f>F49/F$102</f>
        <v/>
      </c>
    </row>
    <row r="50">
      <c r="A50" t="n">
        <v>39</v>
      </c>
      <c r="B50" s="5" t="n">
        <v>3446.054552879</v>
      </c>
      <c r="C50" s="8">
        <f>B50/B$102</f>
        <v/>
      </c>
      <c r="E50" s="9" t="n">
        <v>39</v>
      </c>
      <c r="F50" s="9" t="n">
        <v>6377.387597147684</v>
      </c>
      <c r="G50" s="8">
        <f>F50/F$102</f>
        <v/>
      </c>
    </row>
    <row r="51">
      <c r="A51" t="n">
        <v>40</v>
      </c>
      <c r="B51" s="5" t="n">
        <v>3832.832403655</v>
      </c>
      <c r="C51" s="8">
        <f>B51/B$102</f>
        <v/>
      </c>
      <c r="E51" s="9" t="n">
        <v>40</v>
      </c>
      <c r="F51" s="9" t="n">
        <v>4620.586117579722</v>
      </c>
      <c r="G51" s="8">
        <f>F51/F$102</f>
        <v/>
      </c>
    </row>
    <row r="52">
      <c r="A52" t="n">
        <v>41</v>
      </c>
      <c r="B52" s="5" t="n">
        <v>4198.0889541953</v>
      </c>
      <c r="C52" s="8">
        <f>B52/B$102</f>
        <v/>
      </c>
      <c r="E52" s="9" t="n">
        <v>41</v>
      </c>
      <c r="F52" s="9" t="n">
        <v>3879.820787608791</v>
      </c>
      <c r="G52" s="8">
        <f>F52/F$102</f>
        <v/>
      </c>
    </row>
    <row r="53">
      <c r="A53" t="n">
        <v>42</v>
      </c>
      <c r="B53" s="5" t="n">
        <v>603.942380844</v>
      </c>
      <c r="C53" s="8">
        <f>B53/B$102</f>
        <v/>
      </c>
      <c r="E53" s="9" t="n">
        <v>42</v>
      </c>
      <c r="F53" s="9" t="n">
        <v>3318.244521529913</v>
      </c>
      <c r="G53" s="8">
        <f>F53/F$102</f>
        <v/>
      </c>
    </row>
    <row r="54">
      <c r="A54" t="n">
        <v>43</v>
      </c>
      <c r="B54" s="5" t="n">
        <v>1776.9033869573</v>
      </c>
      <c r="C54" s="8">
        <f>B54/B$102</f>
        <v/>
      </c>
      <c r="E54" s="9" t="n">
        <v>43</v>
      </c>
      <c r="F54" s="9" t="n">
        <v>2949.770415680588</v>
      </c>
      <c r="G54" s="8">
        <f>F54/F$102</f>
        <v/>
      </c>
    </row>
    <row r="55">
      <c r="A55" t="n">
        <v>44</v>
      </c>
      <c r="B55" s="5" t="n">
        <v>4726.5863044316</v>
      </c>
      <c r="C55" s="8">
        <f>B55/B$102</f>
        <v/>
      </c>
      <c r="E55" s="9" t="n">
        <v>44</v>
      </c>
      <c r="F55" s="9" t="n">
        <v>2761.209193549263</v>
      </c>
      <c r="G55" s="8">
        <f>F55/F$102</f>
        <v/>
      </c>
    </row>
    <row r="56">
      <c r="A56" t="n">
        <v>45</v>
      </c>
      <c r="B56" s="5" t="n">
        <v>2273.679069858</v>
      </c>
      <c r="C56" s="8">
        <f>B56/B$102</f>
        <v/>
      </c>
      <c r="E56" s="9" t="n">
        <v>45</v>
      </c>
      <c r="F56" s="9" t="n">
        <v>3019.720201299549</v>
      </c>
      <c r="G56" s="8">
        <f>F56/F$102</f>
        <v/>
      </c>
    </row>
    <row r="57">
      <c r="A57" t="n">
        <v>46</v>
      </c>
      <c r="B57" s="5" t="n">
        <v>689.0045439149001</v>
      </c>
      <c r="C57" s="8">
        <f>B57/B$102</f>
        <v/>
      </c>
      <c r="E57" s="9" t="n">
        <v>46</v>
      </c>
      <c r="F57" s="9" t="n">
        <v>2291.461579155095</v>
      </c>
      <c r="G57" s="8">
        <f>F57/F$102</f>
        <v/>
      </c>
    </row>
    <row r="58">
      <c r="A58" t="n">
        <v>47</v>
      </c>
      <c r="B58" s="5" t="n">
        <v>6277.90774694</v>
      </c>
      <c r="C58" s="8">
        <f>B58/B$102</f>
        <v/>
      </c>
      <c r="E58" s="9" t="n">
        <v>47</v>
      </c>
      <c r="F58" s="9" t="n">
        <v>2147.040311256557</v>
      </c>
      <c r="G58" s="8">
        <f>F58/F$102</f>
        <v/>
      </c>
    </row>
    <row r="59">
      <c r="A59" t="n">
        <v>48</v>
      </c>
      <c r="B59" s="5" t="n">
        <v>3520.127117288</v>
      </c>
      <c r="C59" s="8">
        <f>B59/B$102</f>
        <v/>
      </c>
      <c r="E59" s="9" t="n">
        <v>48</v>
      </c>
      <c r="F59" s="9" t="n">
        <v>1511.290701202728</v>
      </c>
      <c r="G59" s="8">
        <f>F59/F$102</f>
        <v/>
      </c>
    </row>
    <row r="60">
      <c r="A60" t="n">
        <v>49</v>
      </c>
      <c r="B60" s="5" t="n">
        <v>492.339784141</v>
      </c>
      <c r="C60" s="8">
        <f>B60/B$102</f>
        <v/>
      </c>
      <c r="E60" s="9" t="n">
        <v>49</v>
      </c>
      <c r="F60" s="9" t="n">
        <v>1238.52438439671</v>
      </c>
      <c r="G60" s="8">
        <f>F60/F$102</f>
        <v/>
      </c>
    </row>
    <row r="61">
      <c r="A61" t="n">
        <v>50</v>
      </c>
      <c r="B61" s="5" t="n">
        <v>1172.30496159</v>
      </c>
      <c r="C61" s="8">
        <f>B61/B$102</f>
        <v/>
      </c>
      <c r="E61" s="9" t="n">
        <v>50</v>
      </c>
      <c r="F61" s="9" t="n">
        <v>1089.546706238942</v>
      </c>
      <c r="G61" s="8">
        <f>F61/F$102</f>
        <v/>
      </c>
    </row>
    <row r="62">
      <c r="A62" t="n">
        <v>51</v>
      </c>
      <c r="B62" s="5" t="n">
        <v>565.5897091849999</v>
      </c>
      <c r="C62" s="8">
        <f>B62/B$102</f>
        <v/>
      </c>
      <c r="E62" s="9" t="n">
        <v>51</v>
      </c>
      <c r="F62" s="9" t="n">
        <v>1333.036013697847</v>
      </c>
      <c r="G62" s="8">
        <f>F62/F$102</f>
        <v/>
      </c>
    </row>
    <row r="63">
      <c r="A63" t="n">
        <v>52</v>
      </c>
      <c r="B63" s="5" t="n">
        <v>2193.17997283</v>
      </c>
      <c r="C63" s="8">
        <f>B63/B$102</f>
        <v/>
      </c>
      <c r="E63" s="9" t="n">
        <v>52</v>
      </c>
      <c r="F63" s="9" t="n">
        <v>799.2962400886655</v>
      </c>
      <c r="G63" s="8">
        <f>F63/F$102</f>
        <v/>
      </c>
    </row>
    <row r="64">
      <c r="A64" t="n">
        <v>53</v>
      </c>
      <c r="B64" s="5" t="n">
        <v>461.679114339</v>
      </c>
      <c r="C64" s="8">
        <f>B64/B$102</f>
        <v/>
      </c>
      <c r="E64" s="9" t="n">
        <v>53</v>
      </c>
      <c r="F64" s="9" t="n">
        <v>970.745364871618</v>
      </c>
      <c r="G64" s="8">
        <f>F64/F$102</f>
        <v/>
      </c>
    </row>
    <row r="65">
      <c r="A65" t="n">
        <v>54</v>
      </c>
      <c r="B65" s="5" t="n">
        <v>990.599863037</v>
      </c>
      <c r="C65" s="8">
        <f>B65/B$102</f>
        <v/>
      </c>
      <c r="E65" s="9" t="n">
        <v>54</v>
      </c>
      <c r="F65" s="9" t="n">
        <v>839.6447596178666</v>
      </c>
      <c r="G65" s="8">
        <f>F65/F$102</f>
        <v/>
      </c>
    </row>
    <row r="66">
      <c r="A66" t="n">
        <v>55</v>
      </c>
      <c r="B66" s="5" t="n">
        <v>1608.764097521</v>
      </c>
      <c r="C66" s="8">
        <f>B66/B$102</f>
        <v/>
      </c>
      <c r="E66" s="9" t="n">
        <v>55</v>
      </c>
      <c r="F66" s="9" t="n">
        <v>648.8339978003846</v>
      </c>
      <c r="G66" s="8">
        <f>F66/F$102</f>
        <v/>
      </c>
    </row>
    <row r="67">
      <c r="A67" t="n">
        <v>56</v>
      </c>
      <c r="B67" s="5" t="n">
        <v>2956.089894128</v>
      </c>
      <c r="C67" s="8">
        <f>B67/B$102</f>
        <v/>
      </c>
      <c r="E67" s="9" t="n">
        <v>56</v>
      </c>
      <c r="F67" s="9" t="n">
        <v>799.7734542087304</v>
      </c>
      <c r="G67" s="8">
        <f>F67/F$102</f>
        <v/>
      </c>
    </row>
    <row r="68">
      <c r="A68" t="n">
        <v>57</v>
      </c>
      <c r="B68" s="5" t="n">
        <v>1267.960102457</v>
      </c>
      <c r="C68" s="8">
        <f>B68/B$102</f>
        <v/>
      </c>
      <c r="E68" s="9" t="n">
        <v>57</v>
      </c>
      <c r="F68" s="9" t="n">
        <v>598.905977295976</v>
      </c>
      <c r="G68" s="8">
        <f>F68/F$102</f>
        <v/>
      </c>
    </row>
    <row r="69">
      <c r="A69" t="n">
        <v>58</v>
      </c>
      <c r="B69" s="5" t="n">
        <v>0</v>
      </c>
      <c r="C69" s="8">
        <f>B69/B$102</f>
        <v/>
      </c>
      <c r="E69" s="9" t="n">
        <v>58</v>
      </c>
      <c r="F69" s="9" t="n">
        <v>331.6143629649171</v>
      </c>
      <c r="G69" s="8">
        <f>F69/F$102</f>
        <v/>
      </c>
    </row>
    <row r="70">
      <c r="A70" t="n">
        <v>59</v>
      </c>
      <c r="B70" s="5" t="n">
        <v>0</v>
      </c>
      <c r="C70" s="8">
        <f>B70/B$102</f>
        <v/>
      </c>
      <c r="E70" s="9" t="n">
        <v>59</v>
      </c>
      <c r="F70" s="9" t="n">
        <v>619.1275249887831</v>
      </c>
      <c r="G70" s="8">
        <f>F70/F$102</f>
        <v/>
      </c>
    </row>
    <row r="71">
      <c r="A71" t="n">
        <v>60</v>
      </c>
      <c r="B71" s="5" t="n">
        <v>0</v>
      </c>
      <c r="C71" s="8">
        <f>B71/B$102</f>
        <v/>
      </c>
      <c r="E71" s="9" t="n">
        <v>60</v>
      </c>
      <c r="F71" s="9" t="n">
        <v>354.7100883310085</v>
      </c>
      <c r="G71" s="8">
        <f>F71/F$102</f>
        <v/>
      </c>
    </row>
    <row r="72">
      <c r="A72" t="n">
        <v>61</v>
      </c>
      <c r="B72" s="5" t="n">
        <v>117.951606001</v>
      </c>
      <c r="C72" s="8">
        <f>B72/B$102</f>
        <v/>
      </c>
      <c r="E72" s="9" t="n">
        <v>61</v>
      </c>
      <c r="F72" s="9" t="n">
        <v>463.9119201621854</v>
      </c>
      <c r="G72" s="8">
        <f>F72/F$102</f>
        <v/>
      </c>
    </row>
    <row r="73">
      <c r="A73" t="n">
        <v>62</v>
      </c>
      <c r="B73" s="5" t="n">
        <v>0</v>
      </c>
      <c r="C73" s="8">
        <f>B73/B$102</f>
        <v/>
      </c>
      <c r="E73" s="9" t="n">
        <v>62</v>
      </c>
      <c r="F73" s="9" t="n">
        <v>193.2</v>
      </c>
      <c r="G73" s="8">
        <f>F73/F$102</f>
        <v/>
      </c>
    </row>
    <row r="74">
      <c r="A74" t="n">
        <v>63</v>
      </c>
      <c r="B74" s="5" t="n">
        <v>0</v>
      </c>
      <c r="C74" s="8">
        <f>B74/B$102</f>
        <v/>
      </c>
      <c r="E74" s="9" t="n">
        <v>63</v>
      </c>
      <c r="F74" s="9" t="n">
        <v>125.35</v>
      </c>
      <c r="G74" s="8">
        <f>F74/F$102</f>
        <v/>
      </c>
    </row>
    <row r="75">
      <c r="A75" t="n">
        <v>64</v>
      </c>
      <c r="B75" s="5" t="n">
        <v>0</v>
      </c>
      <c r="C75" s="8">
        <f>B75/B$102</f>
        <v/>
      </c>
      <c r="E75" s="9" t="n">
        <v>64</v>
      </c>
      <c r="F75" s="9" t="n">
        <v>200.4943933054394</v>
      </c>
      <c r="G75" s="8">
        <f>F75/F$102</f>
        <v/>
      </c>
    </row>
    <row r="76">
      <c r="A76" t="n">
        <v>65</v>
      </c>
      <c r="B76" s="5" t="n">
        <v>295.789176212</v>
      </c>
      <c r="C76" s="8">
        <f>B76/B$102</f>
        <v/>
      </c>
      <c r="E76" s="9" t="n">
        <v>65</v>
      </c>
      <c r="F76" s="9" t="n">
        <v>105.0267365823566</v>
      </c>
      <c r="G76" s="8">
        <f>F76/F$102</f>
        <v/>
      </c>
    </row>
    <row r="77">
      <c r="A77" t="n">
        <v>66</v>
      </c>
      <c r="B77" s="5" t="n">
        <v>0</v>
      </c>
      <c r="C77" s="8">
        <f>B77/B$102</f>
        <v/>
      </c>
      <c r="E77" s="9" t="n">
        <v>66</v>
      </c>
      <c r="F77" s="9" t="n">
        <v>128.8</v>
      </c>
      <c r="G77" s="8">
        <f>F77/F$102</f>
        <v/>
      </c>
    </row>
    <row r="78">
      <c r="A78" t="n">
        <v>67</v>
      </c>
      <c r="B78" s="5" t="n">
        <v>103.594494646</v>
      </c>
      <c r="C78" s="8">
        <f>B78/B$102</f>
        <v/>
      </c>
      <c r="E78" s="9" t="n">
        <v>67</v>
      </c>
      <c r="F78" s="9" t="n">
        <v>111.55</v>
      </c>
      <c r="G78" s="8">
        <f>F78/F$102</f>
        <v/>
      </c>
    </row>
    <row r="79">
      <c r="A79" t="n">
        <v>68</v>
      </c>
      <c r="B79" s="5" t="n">
        <v>0</v>
      </c>
      <c r="C79" s="8">
        <f>B79/B$102</f>
        <v/>
      </c>
      <c r="E79" s="9" t="n">
        <v>68</v>
      </c>
      <c r="F79" s="9" t="n">
        <v>110.800497195308</v>
      </c>
      <c r="G79" s="8">
        <f>F79/F$102</f>
        <v/>
      </c>
    </row>
    <row r="80">
      <c r="A80" t="n">
        <v>69</v>
      </c>
      <c r="B80" s="5" t="n">
        <v>607.47943235</v>
      </c>
      <c r="C80" s="8">
        <f>B80/B$102</f>
        <v/>
      </c>
      <c r="E80" s="9" t="n">
        <v>69</v>
      </c>
      <c r="F80" s="9" t="n">
        <v>97.74999999999999</v>
      </c>
      <c r="G80" s="8">
        <f>F80/F$102</f>
        <v/>
      </c>
    </row>
    <row r="81">
      <c r="A81" t="n">
        <v>70</v>
      </c>
      <c r="B81" s="5" t="n">
        <v>0</v>
      </c>
      <c r="C81" s="8">
        <f>B81/B$102</f>
        <v/>
      </c>
      <c r="E81" s="9" t="n">
        <v>70</v>
      </c>
      <c r="F81" s="9" t="n">
        <v>144.9</v>
      </c>
      <c r="G81" s="8">
        <f>F81/F$102</f>
        <v/>
      </c>
    </row>
    <row r="82">
      <c r="A82" t="n">
        <v>71</v>
      </c>
      <c r="B82" s="5" t="n">
        <v>213.4047725981</v>
      </c>
      <c r="C82" s="8">
        <f>B82/B$102</f>
        <v/>
      </c>
      <c r="E82" s="9" t="n">
        <v>71</v>
      </c>
      <c r="F82" s="9" t="n">
        <v>140.3</v>
      </c>
      <c r="G82" s="8">
        <f>F82/F$102</f>
        <v/>
      </c>
    </row>
    <row r="83">
      <c r="A83" t="n">
        <v>72</v>
      </c>
      <c r="B83" s="5" t="n">
        <v>0</v>
      </c>
      <c r="C83" s="8">
        <f>B83/B$102</f>
        <v/>
      </c>
      <c r="E83" s="9" t="n">
        <v>72</v>
      </c>
      <c r="F83" s="9" t="n">
        <v>201.25</v>
      </c>
      <c r="G83" s="8">
        <f>F83/F$102</f>
        <v/>
      </c>
    </row>
    <row r="84">
      <c r="A84" t="n">
        <v>73</v>
      </c>
      <c r="B84" s="5" t="n">
        <v>0</v>
      </c>
      <c r="C84" s="8">
        <f>B84/B$102</f>
        <v/>
      </c>
      <c r="E84" s="9" t="n">
        <v>73</v>
      </c>
      <c r="F84" s="9" t="n">
        <v>94.67673658235657</v>
      </c>
      <c r="G84" s="8">
        <f>F84/F$102</f>
        <v/>
      </c>
    </row>
    <row r="85">
      <c r="A85" t="n">
        <v>74</v>
      </c>
      <c r="B85" s="5" t="n">
        <v>474.816708997</v>
      </c>
      <c r="C85" s="8">
        <f>B85/B$102</f>
        <v/>
      </c>
      <c r="E85" s="9" t="n">
        <v>74</v>
      </c>
      <c r="F85" s="9" t="n">
        <v>59.8</v>
      </c>
      <c r="G85" s="8">
        <f>F85/F$102</f>
        <v/>
      </c>
    </row>
    <row r="86">
      <c r="A86" t="n">
        <v>75</v>
      </c>
      <c r="B86" s="5" t="n">
        <v>0</v>
      </c>
      <c r="C86" s="8">
        <f>B86/B$102</f>
        <v/>
      </c>
      <c r="E86" s="9" t="n">
        <v>75</v>
      </c>
      <c r="F86" s="9" t="n">
        <v>35.65</v>
      </c>
      <c r="G86" s="8">
        <f>F86/F$102</f>
        <v/>
      </c>
    </row>
    <row r="87">
      <c r="A87" t="n">
        <v>76</v>
      </c>
      <c r="B87" s="5" t="n">
        <v>0</v>
      </c>
      <c r="C87" s="8">
        <f>B87/B$102</f>
        <v/>
      </c>
      <c r="E87" s="9" t="n">
        <v>76</v>
      </c>
      <c r="F87" s="9" t="n">
        <v>32.2</v>
      </c>
      <c r="G87" s="8">
        <f>F87/F$102</f>
        <v/>
      </c>
    </row>
    <row r="88">
      <c r="A88" t="n">
        <v>77</v>
      </c>
      <c r="B88" s="5" t="n">
        <v>0</v>
      </c>
      <c r="C88" s="8">
        <f>B88/B$102</f>
        <v/>
      </c>
      <c r="E88" s="9" t="n">
        <v>77</v>
      </c>
      <c r="F88" s="9" t="n">
        <v>35.65</v>
      </c>
      <c r="G88" s="8">
        <f>F88/F$102</f>
        <v/>
      </c>
    </row>
    <row r="89">
      <c r="A89" t="n">
        <v>78</v>
      </c>
      <c r="B89" s="5" t="n">
        <v>1289.6121573</v>
      </c>
      <c r="C89" s="8">
        <f>B89/B$102</f>
        <v/>
      </c>
      <c r="E89" s="9" t="n">
        <v>78</v>
      </c>
      <c r="F89" s="9" t="n">
        <v>12.65</v>
      </c>
      <c r="G89" s="8">
        <f>F89/F$102</f>
        <v/>
      </c>
    </row>
    <row r="90">
      <c r="A90" t="n">
        <v>79</v>
      </c>
      <c r="B90" s="5" t="n">
        <v>0</v>
      </c>
      <c r="C90" s="8">
        <f>B90/B$102</f>
        <v/>
      </c>
      <c r="E90" s="9" t="n">
        <v>79</v>
      </c>
      <c r="F90" s="9" t="n">
        <v>14.95</v>
      </c>
      <c r="G90" s="8">
        <f>F90/F$102</f>
        <v/>
      </c>
    </row>
    <row r="91">
      <c r="A91" t="n">
        <v>80</v>
      </c>
      <c r="B91" s="5" t="n">
        <v>0</v>
      </c>
      <c r="C91" s="8">
        <f>B91/B$102</f>
        <v/>
      </c>
      <c r="E91" s="9" t="n">
        <v>80</v>
      </c>
      <c r="F91" s="9" t="n">
        <v>40.25</v>
      </c>
      <c r="G91" s="8">
        <f>F91/F$102</f>
        <v/>
      </c>
    </row>
    <row r="92">
      <c r="A92" t="n">
        <v>81</v>
      </c>
      <c r="B92" s="5" t="n">
        <v>0</v>
      </c>
      <c r="C92" s="8">
        <f>B92/B$102</f>
        <v/>
      </c>
      <c r="E92" s="9" t="n">
        <v>81</v>
      </c>
      <c r="F92" s="9" t="n">
        <v>14.95</v>
      </c>
      <c r="G92" s="8">
        <f>F92/F$102</f>
        <v/>
      </c>
    </row>
    <row r="93">
      <c r="A93" t="n">
        <v>82</v>
      </c>
      <c r="B93" s="5" t="n">
        <v>0</v>
      </c>
      <c r="C93" s="8">
        <f>B93/B$102</f>
        <v/>
      </c>
      <c r="E93" s="9" t="n">
        <v>82</v>
      </c>
      <c r="F93" s="9" t="n">
        <v>18.4</v>
      </c>
      <c r="G93" s="8">
        <f>F93/F$102</f>
        <v/>
      </c>
    </row>
    <row r="94">
      <c r="A94" t="n">
        <v>83</v>
      </c>
      <c r="B94" s="5" t="n">
        <v>0</v>
      </c>
      <c r="C94" s="8">
        <f>B94/B$102</f>
        <v/>
      </c>
      <c r="E94" s="9" t="n">
        <v>83</v>
      </c>
      <c r="F94" s="9" t="n">
        <v>31.05</v>
      </c>
      <c r="G94" s="8">
        <f>F94/F$102</f>
        <v/>
      </c>
    </row>
    <row r="95">
      <c r="A95" t="n">
        <v>84</v>
      </c>
      <c r="B95" s="5" t="n">
        <v>0</v>
      </c>
      <c r="C95" s="8">
        <f>B95/B$102</f>
        <v/>
      </c>
      <c r="E95" s="9" t="n">
        <v>84</v>
      </c>
      <c r="F95" s="9" t="n">
        <v>35.65</v>
      </c>
      <c r="G95" s="8">
        <f>F95/F$102</f>
        <v/>
      </c>
    </row>
    <row r="96">
      <c r="A96" t="n">
        <v>85</v>
      </c>
      <c r="B96" s="5" t="n">
        <v>0</v>
      </c>
      <c r="C96" s="8">
        <f>B96/B$102</f>
        <v/>
      </c>
      <c r="E96" s="9" t="n">
        <v>85</v>
      </c>
      <c r="F96" s="9" t="n">
        <v>21.85</v>
      </c>
      <c r="G96" s="8">
        <f>F96/F$102</f>
        <v/>
      </c>
    </row>
    <row r="97">
      <c r="A97" t="n">
        <v>86</v>
      </c>
      <c r="B97" s="5" t="n">
        <v>0</v>
      </c>
      <c r="C97" s="8">
        <f>B97/B$102</f>
        <v/>
      </c>
      <c r="E97" s="9" t="n">
        <v>86</v>
      </c>
      <c r="F97" s="9" t="n">
        <v>5.75</v>
      </c>
      <c r="G97" s="8">
        <f>F97/F$102</f>
        <v/>
      </c>
    </row>
    <row r="98">
      <c r="A98" t="n">
        <v>87</v>
      </c>
      <c r="B98" s="5" t="n">
        <v>0</v>
      </c>
      <c r="C98" s="8">
        <f>B98/B$102</f>
        <v/>
      </c>
      <c r="E98" s="9" t="n">
        <v>87</v>
      </c>
      <c r="F98" s="9" t="n">
        <v>8.049999999999999</v>
      </c>
      <c r="G98" s="8">
        <f>F98/F$102</f>
        <v/>
      </c>
    </row>
    <row r="99">
      <c r="A99" t="n">
        <v>88</v>
      </c>
      <c r="B99" s="5" t="n">
        <v>0</v>
      </c>
      <c r="C99" s="8">
        <f>B99/B$102</f>
        <v/>
      </c>
      <c r="E99" s="9" t="n">
        <v>88</v>
      </c>
      <c r="F99" s="9" t="n">
        <v>4.6</v>
      </c>
      <c r="G99" s="8">
        <f>F99/F$102</f>
        <v/>
      </c>
    </row>
    <row r="100">
      <c r="A100" t="n">
        <v>89</v>
      </c>
      <c r="B100" s="5" t="n">
        <v>0</v>
      </c>
      <c r="C100" s="8">
        <f>B100/B$102</f>
        <v/>
      </c>
      <c r="E100" s="9" t="n">
        <v>89</v>
      </c>
      <c r="F100" s="9" t="n">
        <v>0</v>
      </c>
      <c r="G100" s="8">
        <f>F100/F$102</f>
        <v/>
      </c>
    </row>
    <row r="101" ht="15.75" customHeight="1" thickBot="1">
      <c r="A101" s="1" t="n">
        <v>90</v>
      </c>
      <c r="B101" s="6" t="n">
        <v>0</v>
      </c>
      <c r="C101" s="8">
        <f>B101/B$102</f>
        <v/>
      </c>
      <c r="E101" s="10" t="n">
        <v>90</v>
      </c>
      <c r="F101" s="10" t="n">
        <v>11.5</v>
      </c>
      <c r="G101" s="8">
        <f>F101/F$102</f>
        <v/>
      </c>
    </row>
    <row r="102">
      <c r="B102" s="5">
        <f>SUM(B11:B101)</f>
        <v/>
      </c>
      <c r="C102" s="8">
        <f>B102/B$102</f>
        <v/>
      </c>
      <c r="F102" s="5">
        <f>SUM(F11:F101)</f>
        <v/>
      </c>
      <c r="G102" s="8">
        <f>F102/F$102</f>
        <v/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102"/>
  <sheetViews>
    <sheetView workbookViewId="0">
      <selection activeCell="A6" sqref="A6"/>
    </sheetView>
  </sheetViews>
  <sheetFormatPr baseColWidth="8" defaultRowHeight="15"/>
  <cols>
    <col collapsed="1" width="9.5703125" bestFit="1" customWidth="1" min="2" max="2"/>
  </cols>
  <sheetData>
    <row r="1">
      <c r="A1" t="inlineStr">
        <is>
          <t>Trip Duration Frequency Distribution</t>
        </is>
      </c>
    </row>
    <row r="2">
      <c r="A2" t="inlineStr">
        <is>
          <t xml:space="preserve">Observed Sources: Survey </t>
        </is>
      </c>
    </row>
    <row r="3">
      <c r="A3" t="inlineStr">
        <is>
          <t>Observed duration (in minutes) based on joining AM peak SOV skim values to HH survey</t>
        </is>
      </c>
    </row>
    <row r="4">
      <c r="A4" t="inlineStr">
        <is>
          <t>Frequency of trips by 1-minute increment</t>
        </is>
      </c>
    </row>
    <row r="5">
      <c r="A5" t="inlineStr">
        <is>
          <t>Distance values reflect low end of each range (ie. 0 refers to 0-1 minutes)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thickBot="1">
      <c r="A9" s="3" t="inlineStr">
        <is>
          <t>Table X. Observed Trip Durations: Survey</t>
        </is>
      </c>
      <c r="B9" s="1" t="n"/>
      <c r="E9" s="3" t="inlineStr">
        <is>
          <t>Table X. Estimated Trip Durations</t>
        </is>
      </c>
      <c r="F9" s="1" t="n"/>
      <c r="J9" s="7" t="inlineStr">
        <is>
          <t>Table X. Average Trip Duration</t>
        </is>
      </c>
    </row>
    <row r="10">
      <c r="A10" s="2" t="inlineStr">
        <is>
          <t>Time (min)</t>
        </is>
      </c>
      <c r="B10" s="4" t="inlineStr">
        <is>
          <t>Total</t>
        </is>
      </c>
      <c r="C10" s="4" t="inlineStr">
        <is>
          <t>Survey</t>
        </is>
      </c>
      <c r="E10" s="2" t="inlineStr">
        <is>
          <t>Time (min)</t>
        </is>
      </c>
      <c r="F10" s="4" t="inlineStr">
        <is>
          <t>Total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5" t="n">
        <v>1155.86225</v>
      </c>
      <c r="C11" s="8">
        <f>B11/B$102</f>
        <v/>
      </c>
      <c r="E11" s="9" t="n">
        <v>0</v>
      </c>
      <c r="F11" s="9" t="n">
        <v>5521.720611146065</v>
      </c>
      <c r="G11" s="8">
        <f>F11/F$102</f>
        <v/>
      </c>
      <c r="K11" s="5" t="n">
        <v>32.52853992810291</v>
      </c>
      <c r="L11" s="5" t="n">
        <v>28.89405127437323</v>
      </c>
    </row>
    <row r="12">
      <c r="A12" t="n">
        <v>1</v>
      </c>
      <c r="B12" s="5" t="n">
        <v>1720.7665339647</v>
      </c>
      <c r="C12" s="8">
        <f>B12/B$102</f>
        <v/>
      </c>
      <c r="E12" s="9" t="n">
        <v>1</v>
      </c>
      <c r="F12" s="9" t="n">
        <v>37149.19415759137</v>
      </c>
      <c r="G12" s="8">
        <f>F12/F$102</f>
        <v/>
      </c>
      <c r="K12" s="5" t="n"/>
      <c r="L12" s="9" t="n"/>
    </row>
    <row r="13">
      <c r="A13" t="n">
        <v>2</v>
      </c>
      <c r="B13" s="5" t="n">
        <v>6811.4906059887</v>
      </c>
      <c r="C13" s="8">
        <f>B13/B$102</f>
        <v/>
      </c>
      <c r="E13" s="9" t="n">
        <v>2</v>
      </c>
      <c r="F13" s="9" t="n">
        <v>40386.75701585186</v>
      </c>
      <c r="G13" s="8">
        <f>F13/F$102</f>
        <v/>
      </c>
    </row>
    <row r="14">
      <c r="A14" t="n">
        <v>3</v>
      </c>
      <c r="B14" s="5" t="n">
        <v>4251.2680403673</v>
      </c>
      <c r="C14" s="8">
        <f>B14/B$102</f>
        <v/>
      </c>
      <c r="E14" s="9" t="n">
        <v>3</v>
      </c>
      <c r="F14" s="9" t="n">
        <v>44355.92261193789</v>
      </c>
      <c r="G14" s="8">
        <f>F14/F$102</f>
        <v/>
      </c>
    </row>
    <row r="15">
      <c r="A15" t="n">
        <v>4</v>
      </c>
      <c r="B15" s="5" t="n">
        <v>11472.1839067999</v>
      </c>
      <c r="C15" s="8">
        <f>B15/B$102</f>
        <v/>
      </c>
      <c r="E15" s="9" t="n">
        <v>4</v>
      </c>
      <c r="F15" s="9" t="n">
        <v>47237.36866045788</v>
      </c>
      <c r="G15" s="8">
        <f>F15/F$102</f>
        <v/>
      </c>
    </row>
    <row r="16">
      <c r="A16" t="n">
        <v>5</v>
      </c>
      <c r="B16" s="5" t="n">
        <v>31280.8688715735</v>
      </c>
      <c r="C16" s="8">
        <f>B16/B$102</f>
        <v/>
      </c>
      <c r="E16" s="9" t="n">
        <v>5</v>
      </c>
      <c r="F16" s="9" t="n">
        <v>48314.47661899453</v>
      </c>
      <c r="G16" s="8">
        <f>F16/F$102</f>
        <v/>
      </c>
    </row>
    <row r="17">
      <c r="A17" t="n">
        <v>6</v>
      </c>
      <c r="B17" s="5" t="n">
        <v>27181.9971632518</v>
      </c>
      <c r="C17" s="8">
        <f>B17/B$102</f>
        <v/>
      </c>
      <c r="E17" s="9" t="n">
        <v>6</v>
      </c>
      <c r="F17" s="9" t="n">
        <v>48736.45723643771</v>
      </c>
      <c r="G17" s="8">
        <f>F17/F$102</f>
        <v/>
      </c>
    </row>
    <row r="18">
      <c r="A18" t="n">
        <v>7</v>
      </c>
      <c r="B18" s="5" t="n">
        <v>27277.6672007549</v>
      </c>
      <c r="C18" s="8">
        <f>B18/B$102</f>
        <v/>
      </c>
      <c r="E18" s="9" t="n">
        <v>7</v>
      </c>
      <c r="F18" s="9" t="n">
        <v>45615.76579511842</v>
      </c>
      <c r="G18" s="8">
        <f>F18/F$102</f>
        <v/>
      </c>
    </row>
    <row r="19">
      <c r="A19" t="n">
        <v>8</v>
      </c>
      <c r="B19" s="5" t="n">
        <v>16742.735384114</v>
      </c>
      <c r="C19" s="8">
        <f>B19/B$102</f>
        <v/>
      </c>
      <c r="E19" s="9" t="n">
        <v>8</v>
      </c>
      <c r="F19" s="9" t="n">
        <v>44418.28400833563</v>
      </c>
      <c r="G19" s="8">
        <f>F19/F$102</f>
        <v/>
      </c>
    </row>
    <row r="20">
      <c r="A20" t="n">
        <v>9</v>
      </c>
      <c r="B20" s="5" t="n">
        <v>40443.5402665417</v>
      </c>
      <c r="C20" s="8">
        <f>B20/B$102</f>
        <v/>
      </c>
      <c r="E20" s="9" t="n">
        <v>9</v>
      </c>
      <c r="F20" s="9" t="n">
        <v>43188.6509878814</v>
      </c>
      <c r="G20" s="8">
        <f>F20/F$102</f>
        <v/>
      </c>
    </row>
    <row r="21">
      <c r="A21" t="n">
        <v>10</v>
      </c>
      <c r="B21" s="5" t="n">
        <v>14471.684753772</v>
      </c>
      <c r="C21" s="8">
        <f>B21/B$102</f>
        <v/>
      </c>
      <c r="E21" s="9" t="n">
        <v>10</v>
      </c>
      <c r="F21" s="9" t="n">
        <v>41790.71554781859</v>
      </c>
      <c r="G21" s="8">
        <f>F21/F$102</f>
        <v/>
      </c>
    </row>
    <row r="22">
      <c r="A22" t="n">
        <v>11</v>
      </c>
      <c r="B22" s="5" t="n">
        <v>32644.4568947032</v>
      </c>
      <c r="C22" s="8">
        <f>B22/B$102</f>
        <v/>
      </c>
      <c r="E22" s="9" t="n">
        <v>11</v>
      </c>
      <c r="F22" s="9" t="n">
        <v>38063.62127199599</v>
      </c>
      <c r="G22" s="8">
        <f>F22/F$102</f>
        <v/>
      </c>
    </row>
    <row r="23">
      <c r="A23" t="n">
        <v>12</v>
      </c>
      <c r="B23" s="5" t="n">
        <v>22919.3890366204</v>
      </c>
      <c r="C23" s="8">
        <f>B23/B$102</f>
        <v/>
      </c>
      <c r="E23" s="9" t="n">
        <v>12</v>
      </c>
      <c r="F23" s="9" t="n">
        <v>36280.04808287331</v>
      </c>
      <c r="G23" s="8">
        <f>F23/F$102</f>
        <v/>
      </c>
    </row>
    <row r="24">
      <c r="A24" t="n">
        <v>13</v>
      </c>
      <c r="B24" s="5" t="n">
        <v>24145.2279901926</v>
      </c>
      <c r="C24" s="8">
        <f>B24/B$102</f>
        <v/>
      </c>
      <c r="E24" s="9" t="n">
        <v>13</v>
      </c>
      <c r="F24" s="9" t="n">
        <v>33538.39945974039</v>
      </c>
      <c r="G24" s="8">
        <f>F24/F$102</f>
        <v/>
      </c>
    </row>
    <row r="25">
      <c r="A25" t="n">
        <v>14</v>
      </c>
      <c r="B25" s="5" t="n">
        <v>26937.5737895802</v>
      </c>
      <c r="C25" s="8">
        <f>B25/B$102</f>
        <v/>
      </c>
      <c r="E25" s="9" t="n">
        <v>14</v>
      </c>
      <c r="F25" s="9" t="n">
        <v>29741.1877876306</v>
      </c>
      <c r="G25" s="8">
        <f>F25/F$102</f>
        <v/>
      </c>
    </row>
    <row r="26">
      <c r="A26" t="n">
        <v>15</v>
      </c>
      <c r="B26" s="5" t="n">
        <v>22281.1991966786</v>
      </c>
      <c r="C26" s="8">
        <f>B26/B$102</f>
        <v/>
      </c>
      <c r="E26" s="9" t="n">
        <v>15</v>
      </c>
      <c r="F26" s="9" t="n">
        <v>28707.31545051056</v>
      </c>
      <c r="G26" s="8">
        <f>F26/F$102</f>
        <v/>
      </c>
    </row>
    <row r="27">
      <c r="A27" t="n">
        <v>16</v>
      </c>
      <c r="B27" s="5" t="n">
        <v>38109.4670393277</v>
      </c>
      <c r="C27" s="8">
        <f>B27/B$102</f>
        <v/>
      </c>
      <c r="E27" s="9" t="n">
        <v>16</v>
      </c>
      <c r="F27" s="9" t="n">
        <v>26471.54001867793</v>
      </c>
      <c r="G27" s="8">
        <f>F27/F$102</f>
        <v/>
      </c>
    </row>
    <row r="28">
      <c r="A28" t="n">
        <v>17</v>
      </c>
      <c r="B28" s="5" t="n">
        <v>22110.4327896362</v>
      </c>
      <c r="C28" s="8">
        <f>B28/B$102</f>
        <v/>
      </c>
      <c r="E28" s="9" t="n">
        <v>17</v>
      </c>
      <c r="F28" s="9" t="n">
        <v>24975.34716326376</v>
      </c>
      <c r="G28" s="8">
        <f>F28/F$102</f>
        <v/>
      </c>
    </row>
    <row r="29">
      <c r="A29" t="n">
        <v>18</v>
      </c>
      <c r="B29" s="5" t="n">
        <v>105837.1079004428</v>
      </c>
      <c r="C29" s="8">
        <f>B29/B$102</f>
        <v/>
      </c>
      <c r="E29" s="9" t="n">
        <v>18</v>
      </c>
      <c r="F29" s="9" t="n">
        <v>137969.4712724258</v>
      </c>
      <c r="G29" s="8">
        <f>F29/F$102</f>
        <v/>
      </c>
    </row>
    <row r="30">
      <c r="A30" t="n">
        <v>19</v>
      </c>
      <c r="B30" s="5" t="n">
        <v>68303.31988695249</v>
      </c>
      <c r="C30" s="8">
        <f>B30/B$102</f>
        <v/>
      </c>
      <c r="E30" s="9" t="n">
        <v>19</v>
      </c>
      <c r="F30" s="9" t="n">
        <v>70544.0500363373</v>
      </c>
      <c r="G30" s="8">
        <f>F30/F$102</f>
        <v/>
      </c>
    </row>
    <row r="31">
      <c r="A31" t="n">
        <v>20</v>
      </c>
      <c r="B31" s="5" t="n">
        <v>79044.0022951943</v>
      </c>
      <c r="C31" s="8">
        <f>B31/B$102</f>
        <v/>
      </c>
      <c r="E31" s="9" t="n">
        <v>20</v>
      </c>
      <c r="F31" s="9" t="n">
        <v>64499.41288731003</v>
      </c>
      <c r="G31" s="8">
        <f>F31/F$102</f>
        <v/>
      </c>
    </row>
    <row r="32">
      <c r="A32" t="n">
        <v>21</v>
      </c>
      <c r="B32" s="5" t="n">
        <v>107600.0791541659</v>
      </c>
      <c r="C32" s="8">
        <f>B32/B$102</f>
        <v/>
      </c>
      <c r="E32" s="9" t="n">
        <v>21</v>
      </c>
      <c r="F32" s="9" t="n">
        <v>98571.30751136616</v>
      </c>
      <c r="G32" s="8">
        <f>F32/F$102</f>
        <v/>
      </c>
    </row>
    <row r="33">
      <c r="A33" t="n">
        <v>22</v>
      </c>
      <c r="B33" s="5" t="n">
        <v>72921.56236420049</v>
      </c>
      <c r="C33" s="8">
        <f>B33/B$102</f>
        <v/>
      </c>
      <c r="E33" s="9" t="n">
        <v>22</v>
      </c>
      <c r="F33" s="9" t="n">
        <v>90179.74064834017</v>
      </c>
      <c r="G33" s="8">
        <f>F33/F$102</f>
        <v/>
      </c>
    </row>
    <row r="34">
      <c r="A34" t="n">
        <v>23</v>
      </c>
      <c r="B34" s="5" t="n">
        <v>63263.1592733378</v>
      </c>
      <c r="C34" s="8">
        <f>B34/B$102</f>
        <v/>
      </c>
      <c r="E34" s="9" t="n">
        <v>23</v>
      </c>
      <c r="F34" s="9" t="n">
        <v>83184.49695413644</v>
      </c>
      <c r="G34" s="8">
        <f>F34/F$102</f>
        <v/>
      </c>
    </row>
    <row r="35">
      <c r="A35" t="n">
        <v>24</v>
      </c>
      <c r="B35" s="5" t="n">
        <v>83926.9010217318</v>
      </c>
      <c r="C35" s="8">
        <f>B35/B$102</f>
        <v/>
      </c>
      <c r="E35" s="9" t="n">
        <v>24</v>
      </c>
      <c r="F35" s="9" t="n">
        <v>68917.98007067443</v>
      </c>
      <c r="G35" s="8">
        <f>F35/F$102</f>
        <v/>
      </c>
    </row>
    <row r="36">
      <c r="A36" t="n">
        <v>25</v>
      </c>
      <c r="B36" s="5" t="n">
        <v>51355.298671269</v>
      </c>
      <c r="C36" s="8">
        <f>B36/B$102</f>
        <v/>
      </c>
      <c r="E36" s="9" t="n">
        <v>25</v>
      </c>
      <c r="F36" s="9" t="n">
        <v>67480.25659220551</v>
      </c>
      <c r="G36" s="8">
        <f>F36/F$102</f>
        <v/>
      </c>
    </row>
    <row r="37">
      <c r="A37" t="n">
        <v>26</v>
      </c>
      <c r="B37" s="5" t="n">
        <v>82141.6613049422</v>
      </c>
      <c r="C37" s="8">
        <f>B37/B$102</f>
        <v/>
      </c>
      <c r="E37" s="9" t="n">
        <v>26</v>
      </c>
      <c r="F37" s="9" t="n">
        <v>68583.61623002905</v>
      </c>
      <c r="G37" s="8">
        <f>F37/F$102</f>
        <v/>
      </c>
    </row>
    <row r="38">
      <c r="A38" t="n">
        <v>27</v>
      </c>
      <c r="B38" s="5" t="n">
        <v>55556.9176240146</v>
      </c>
      <c r="C38" s="8">
        <f>B38/B$102</f>
        <v/>
      </c>
      <c r="E38" s="9" t="n">
        <v>27</v>
      </c>
      <c r="F38" s="9" t="n">
        <v>52611.15667715588</v>
      </c>
      <c r="G38" s="8">
        <f>F38/F$102</f>
        <v/>
      </c>
    </row>
    <row r="39">
      <c r="A39" t="n">
        <v>28</v>
      </c>
      <c r="B39" s="5" t="n">
        <v>62357.2688072419</v>
      </c>
      <c r="C39" s="8">
        <f>B39/B$102</f>
        <v/>
      </c>
      <c r="E39" s="9" t="n">
        <v>28</v>
      </c>
      <c r="F39" s="9" t="n">
        <v>65215.59561139087</v>
      </c>
      <c r="G39" s="8">
        <f>F39/F$102</f>
        <v/>
      </c>
    </row>
    <row r="40">
      <c r="A40" t="n">
        <v>29</v>
      </c>
      <c r="B40" s="5" t="n">
        <v>51535.0302141344</v>
      </c>
      <c r="C40" s="8">
        <f>B40/B$102</f>
        <v/>
      </c>
      <c r="E40" s="9" t="n">
        <v>29</v>
      </c>
      <c r="F40" s="9" t="n">
        <v>63680.17807492261</v>
      </c>
      <c r="G40" s="8">
        <f>F40/F$102</f>
        <v/>
      </c>
    </row>
    <row r="41">
      <c r="A41" t="n">
        <v>30</v>
      </c>
      <c r="B41" s="5" t="n">
        <v>58252.7162792023</v>
      </c>
      <c r="C41" s="8">
        <f>B41/B$102</f>
        <v/>
      </c>
      <c r="E41" s="9" t="n">
        <v>30</v>
      </c>
      <c r="F41" s="9" t="n">
        <v>50685.74387438007</v>
      </c>
      <c r="G41" s="8">
        <f>F41/F$102</f>
        <v/>
      </c>
    </row>
    <row r="42">
      <c r="A42" t="n">
        <v>31</v>
      </c>
      <c r="B42" s="5" t="n">
        <v>39366.1801904863</v>
      </c>
      <c r="C42" s="8">
        <f>B42/B$102</f>
        <v/>
      </c>
      <c r="E42" s="9" t="n">
        <v>31</v>
      </c>
      <c r="F42" s="9" t="n">
        <v>49606.24422095741</v>
      </c>
      <c r="G42" s="8">
        <f>F42/F$102</f>
        <v/>
      </c>
    </row>
    <row r="43">
      <c r="A43" t="n">
        <v>32</v>
      </c>
      <c r="B43" s="5" t="n">
        <v>42019.8293876317</v>
      </c>
      <c r="C43" s="8">
        <f>B43/B$102</f>
        <v/>
      </c>
      <c r="E43" s="9" t="n">
        <v>32</v>
      </c>
      <c r="F43" s="9" t="n">
        <v>43829.11329048542</v>
      </c>
      <c r="G43" s="8">
        <f>F43/F$102</f>
        <v/>
      </c>
    </row>
    <row r="44">
      <c r="A44" t="n">
        <v>33</v>
      </c>
      <c r="B44" s="5" t="n">
        <v>47207.9746990884</v>
      </c>
      <c r="C44" s="8">
        <f>B44/B$102</f>
        <v/>
      </c>
      <c r="E44" s="9" t="n">
        <v>33</v>
      </c>
      <c r="F44" s="9" t="n">
        <v>49756.30978392168</v>
      </c>
      <c r="G44" s="8">
        <f>F44/F$102</f>
        <v/>
      </c>
    </row>
    <row r="45">
      <c r="A45" t="n">
        <v>34</v>
      </c>
      <c r="B45" s="5" t="n">
        <v>65899.2919475246</v>
      </c>
      <c r="C45" s="8">
        <f>B45/B$102</f>
        <v/>
      </c>
      <c r="E45" s="9" t="n">
        <v>34</v>
      </c>
      <c r="F45" s="9" t="n">
        <v>50913.71056056492</v>
      </c>
      <c r="G45" s="8">
        <f>F45/F$102</f>
        <v/>
      </c>
    </row>
    <row r="46">
      <c r="A46" t="n">
        <v>35</v>
      </c>
      <c r="B46" s="5" t="n">
        <v>42405.1846177952</v>
      </c>
      <c r="C46" s="8">
        <f>B46/B$102</f>
        <v/>
      </c>
      <c r="E46" s="9" t="n">
        <v>35</v>
      </c>
      <c r="F46" s="9" t="n">
        <v>49189.32997209552</v>
      </c>
      <c r="G46" s="8">
        <f>F46/F$102</f>
        <v/>
      </c>
    </row>
    <row r="47">
      <c r="A47" t="n">
        <v>36</v>
      </c>
      <c r="B47" s="5" t="n">
        <v>29733.4662834582</v>
      </c>
      <c r="C47" s="8">
        <f>B47/B$102</f>
        <v/>
      </c>
      <c r="E47" s="9" t="n">
        <v>36</v>
      </c>
      <c r="F47" s="9" t="n">
        <v>34442.65256849611</v>
      </c>
      <c r="G47" s="8">
        <f>F47/F$102</f>
        <v/>
      </c>
    </row>
    <row r="48">
      <c r="A48" t="n">
        <v>37</v>
      </c>
      <c r="B48" s="5" t="n">
        <v>39459.7565063371</v>
      </c>
      <c r="C48" s="8">
        <f>B48/B$102</f>
        <v/>
      </c>
      <c r="E48" s="9" t="n">
        <v>37</v>
      </c>
      <c r="F48" s="9" t="n">
        <v>36914.0759927662</v>
      </c>
      <c r="G48" s="8">
        <f>F48/F$102</f>
        <v/>
      </c>
    </row>
    <row r="49">
      <c r="A49" t="n">
        <v>38</v>
      </c>
      <c r="B49" s="5" t="n">
        <v>49950.4677449011</v>
      </c>
      <c r="C49" s="8">
        <f>B49/B$102</f>
        <v/>
      </c>
      <c r="E49" s="9" t="n">
        <v>38</v>
      </c>
      <c r="F49" s="9" t="n">
        <v>40948.41441857319</v>
      </c>
      <c r="G49" s="8">
        <f>F49/F$102</f>
        <v/>
      </c>
    </row>
    <row r="50">
      <c r="A50" t="n">
        <v>39</v>
      </c>
      <c r="B50" s="5" t="n">
        <v>26826.9801566843</v>
      </c>
      <c r="C50" s="8">
        <f>B50/B$102</f>
        <v/>
      </c>
      <c r="E50" s="9" t="n">
        <v>39</v>
      </c>
      <c r="F50" s="9" t="n">
        <v>31625.81953566966</v>
      </c>
      <c r="G50" s="8">
        <f>F50/F$102</f>
        <v/>
      </c>
    </row>
    <row r="51">
      <c r="A51" t="n">
        <v>40</v>
      </c>
      <c r="B51" s="5" t="n">
        <v>22806.5623389667</v>
      </c>
      <c r="C51" s="8">
        <f>B51/B$102</f>
        <v/>
      </c>
      <c r="E51" s="9" t="n">
        <v>40</v>
      </c>
      <c r="F51" s="9" t="n">
        <v>38105.10650395083</v>
      </c>
      <c r="G51" s="8">
        <f>F51/F$102</f>
        <v/>
      </c>
    </row>
    <row r="52">
      <c r="A52" t="n">
        <v>41</v>
      </c>
      <c r="B52" s="5" t="n">
        <v>34178.4904173338</v>
      </c>
      <c r="C52" s="8">
        <f>B52/B$102</f>
        <v/>
      </c>
      <c r="E52" s="9" t="n">
        <v>41</v>
      </c>
      <c r="F52" s="9" t="n">
        <v>29034.74137977095</v>
      </c>
      <c r="G52" s="8">
        <f>F52/F$102</f>
        <v/>
      </c>
    </row>
    <row r="53">
      <c r="A53" t="n">
        <v>42</v>
      </c>
      <c r="B53" s="5" t="n">
        <v>16748.1320321737</v>
      </c>
      <c r="C53" s="8">
        <f>B53/B$102</f>
        <v/>
      </c>
      <c r="E53" s="9" t="n">
        <v>42</v>
      </c>
      <c r="F53" s="9" t="n">
        <v>27373.62148722376</v>
      </c>
      <c r="G53" s="8">
        <f>F53/F$102</f>
        <v/>
      </c>
    </row>
    <row r="54">
      <c r="A54" t="n">
        <v>43</v>
      </c>
      <c r="B54" s="5" t="n">
        <v>23369.8926176147</v>
      </c>
      <c r="C54" s="8">
        <f>B54/B$102</f>
        <v/>
      </c>
      <c r="E54" s="9" t="n">
        <v>43</v>
      </c>
      <c r="F54" s="9" t="n">
        <v>30787.48608427614</v>
      </c>
      <c r="G54" s="8">
        <f>F54/F$102</f>
        <v/>
      </c>
    </row>
    <row r="55">
      <c r="A55" t="n">
        <v>44</v>
      </c>
      <c r="B55" s="5" t="n">
        <v>16419.2491607173</v>
      </c>
      <c r="C55" s="8">
        <f>B55/B$102</f>
        <v/>
      </c>
      <c r="E55" s="9" t="n">
        <v>44</v>
      </c>
      <c r="F55" s="9" t="n">
        <v>23507.60257009106</v>
      </c>
      <c r="G55" s="8">
        <f>F55/F$102</f>
        <v/>
      </c>
    </row>
    <row r="56">
      <c r="A56" t="n">
        <v>45</v>
      </c>
      <c r="B56" s="5" t="n">
        <v>78303.9627850625</v>
      </c>
      <c r="C56" s="8">
        <f>B56/B$102</f>
        <v/>
      </c>
      <c r="E56" s="9" t="n">
        <v>45</v>
      </c>
      <c r="F56" s="9" t="n">
        <v>21620.21694025368</v>
      </c>
      <c r="G56" s="8">
        <f>F56/F$102</f>
        <v/>
      </c>
    </row>
    <row r="57">
      <c r="A57" t="n">
        <v>46</v>
      </c>
      <c r="B57" s="5" t="n">
        <v>22627.2471930562</v>
      </c>
      <c r="C57" s="8">
        <f>B57/B$102</f>
        <v/>
      </c>
      <c r="E57" s="9" t="n">
        <v>46</v>
      </c>
      <c r="F57" s="9" t="n">
        <v>20959.86537847788</v>
      </c>
      <c r="G57" s="8">
        <f>F57/F$102</f>
        <v/>
      </c>
    </row>
    <row r="58">
      <c r="A58" t="n">
        <v>47</v>
      </c>
      <c r="B58" s="5" t="n">
        <v>19452.7884863026</v>
      </c>
      <c r="C58" s="8">
        <f>B58/B$102</f>
        <v/>
      </c>
      <c r="E58" s="9" t="n">
        <v>47</v>
      </c>
      <c r="F58" s="9" t="n">
        <v>18888.70388658969</v>
      </c>
      <c r="G58" s="8">
        <f>F58/F$102</f>
        <v/>
      </c>
    </row>
    <row r="59">
      <c r="A59" t="n">
        <v>48</v>
      </c>
      <c r="B59" s="5" t="n">
        <v>16817.7551480508</v>
      </c>
      <c r="C59" s="8">
        <f>B59/B$102</f>
        <v/>
      </c>
      <c r="E59" s="9" t="n">
        <v>48</v>
      </c>
      <c r="F59" s="9" t="n">
        <v>21124.35057832889</v>
      </c>
      <c r="G59" s="8">
        <f>F59/F$102</f>
        <v/>
      </c>
    </row>
    <row r="60">
      <c r="A60" t="n">
        <v>49</v>
      </c>
      <c r="B60" s="5" t="n">
        <v>10864.1708488704</v>
      </c>
      <c r="C60" s="8">
        <f>B60/B$102</f>
        <v/>
      </c>
      <c r="E60" s="9" t="n">
        <v>49</v>
      </c>
      <c r="F60" s="9" t="n">
        <v>18394.5999743841</v>
      </c>
      <c r="G60" s="8">
        <f>F60/F$102</f>
        <v/>
      </c>
    </row>
    <row r="61">
      <c r="A61" t="n">
        <v>50</v>
      </c>
      <c r="B61" s="5" t="n">
        <v>13469.7626508183</v>
      </c>
      <c r="C61" s="8">
        <f>B61/B$102</f>
        <v/>
      </c>
      <c r="E61" s="9" t="n">
        <v>50</v>
      </c>
      <c r="F61" s="9" t="n">
        <v>14752.83504609281</v>
      </c>
      <c r="G61" s="8">
        <f>F61/F$102</f>
        <v/>
      </c>
    </row>
    <row r="62">
      <c r="A62" t="n">
        <v>51</v>
      </c>
      <c r="B62" s="5" t="n">
        <v>10416.5379670777</v>
      </c>
      <c r="C62" s="8">
        <f>B62/B$102</f>
        <v/>
      </c>
      <c r="E62" s="9" t="n">
        <v>51</v>
      </c>
      <c r="F62" s="9" t="n">
        <v>15775.56025713425</v>
      </c>
      <c r="G62" s="8">
        <f>F62/F$102</f>
        <v/>
      </c>
    </row>
    <row r="63">
      <c r="A63" t="n">
        <v>52</v>
      </c>
      <c r="B63" s="5" t="n">
        <v>14889.9035465995</v>
      </c>
      <c r="C63" s="8">
        <f>B63/B$102</f>
        <v/>
      </c>
      <c r="E63" s="9" t="n">
        <v>52</v>
      </c>
      <c r="F63" s="9" t="n">
        <v>15505.44489572586</v>
      </c>
      <c r="G63" s="8">
        <f>F63/F$102</f>
        <v/>
      </c>
    </row>
    <row r="64">
      <c r="A64" t="n">
        <v>53</v>
      </c>
      <c r="B64" s="5" t="n">
        <v>11651.6865954139</v>
      </c>
      <c r="C64" s="8">
        <f>B64/B$102</f>
        <v/>
      </c>
      <c r="E64" s="9" t="n">
        <v>53</v>
      </c>
      <c r="F64" s="9" t="n">
        <v>14509.98079199019</v>
      </c>
      <c r="G64" s="8">
        <f>F64/F$102</f>
        <v/>
      </c>
    </row>
    <row r="65">
      <c r="A65" t="n">
        <v>54</v>
      </c>
      <c r="B65" s="5" t="n">
        <v>9859.3833991214</v>
      </c>
      <c r="C65" s="8">
        <f>B65/B$102</f>
        <v/>
      </c>
      <c r="E65" s="9" t="n">
        <v>54</v>
      </c>
      <c r="F65" s="9" t="n">
        <v>10152.93194645317</v>
      </c>
      <c r="G65" s="8">
        <f>F65/F$102</f>
        <v/>
      </c>
    </row>
    <row r="66">
      <c r="A66" t="n">
        <v>55</v>
      </c>
      <c r="B66" s="5" t="n">
        <v>13916.8931184971</v>
      </c>
      <c r="C66" s="8">
        <f>B66/B$102</f>
        <v/>
      </c>
      <c r="E66" s="9" t="n">
        <v>55</v>
      </c>
      <c r="F66" s="9" t="n">
        <v>10613.01594638027</v>
      </c>
      <c r="G66" s="8">
        <f>F66/F$102</f>
        <v/>
      </c>
    </row>
    <row r="67">
      <c r="A67" t="n">
        <v>56</v>
      </c>
      <c r="B67" s="5" t="n">
        <v>7311.7558387176</v>
      </c>
      <c r="C67" s="8">
        <f>B67/B$102</f>
        <v/>
      </c>
      <c r="E67" s="9" t="n">
        <v>56</v>
      </c>
      <c r="F67" s="9" t="n">
        <v>13113.36314681904</v>
      </c>
      <c r="G67" s="8">
        <f>F67/F$102</f>
        <v/>
      </c>
    </row>
    <row r="68">
      <c r="A68" t="n">
        <v>57</v>
      </c>
      <c r="B68" s="5" t="n">
        <v>4446.7276208381</v>
      </c>
      <c r="C68" s="8">
        <f>B68/B$102</f>
        <v/>
      </c>
      <c r="E68" s="9" t="n">
        <v>57</v>
      </c>
      <c r="F68" s="9" t="n">
        <v>10554.70031701871</v>
      </c>
      <c r="G68" s="8">
        <f>F68/F$102</f>
        <v/>
      </c>
    </row>
    <row r="69">
      <c r="A69" t="n">
        <v>58</v>
      </c>
      <c r="B69" s="5" t="n">
        <v>5162.9732608134</v>
      </c>
      <c r="C69" s="8">
        <f>B69/B$102</f>
        <v/>
      </c>
      <c r="E69" s="9" t="n">
        <v>58</v>
      </c>
      <c r="F69" s="9" t="n">
        <v>14773.40871015651</v>
      </c>
      <c r="G69" s="8">
        <f>F69/F$102</f>
        <v/>
      </c>
    </row>
    <row r="70">
      <c r="A70" t="n">
        <v>59</v>
      </c>
      <c r="B70" s="5" t="n">
        <v>6637.0448324079</v>
      </c>
      <c r="C70" s="8">
        <f>B70/B$102</f>
        <v/>
      </c>
      <c r="E70" s="9" t="n">
        <v>59</v>
      </c>
      <c r="F70" s="9" t="n">
        <v>11854.06532170009</v>
      </c>
      <c r="G70" s="8">
        <f>F70/F$102</f>
        <v/>
      </c>
    </row>
    <row r="71">
      <c r="A71" t="n">
        <v>60</v>
      </c>
      <c r="B71" s="5" t="n">
        <v>6401.8810918365</v>
      </c>
      <c r="C71" s="8">
        <f>B71/B$102</f>
        <v/>
      </c>
      <c r="E71" s="9" t="n">
        <v>60</v>
      </c>
      <c r="F71" s="9" t="n">
        <v>10234.50090393954</v>
      </c>
      <c r="G71" s="8">
        <f>F71/F$102</f>
        <v/>
      </c>
    </row>
    <row r="72">
      <c r="A72" t="n">
        <v>61</v>
      </c>
      <c r="B72" s="5" t="n">
        <v>11655.4694613099</v>
      </c>
      <c r="C72" s="8">
        <f>B72/B$102</f>
        <v/>
      </c>
      <c r="E72" s="9" t="n">
        <v>61</v>
      </c>
      <c r="F72" s="9" t="n">
        <v>7644.291538594603</v>
      </c>
      <c r="G72" s="8">
        <f>F72/F$102</f>
        <v/>
      </c>
    </row>
    <row r="73">
      <c r="A73" t="n">
        <v>62</v>
      </c>
      <c r="B73" s="5" t="n">
        <v>4935.535422183</v>
      </c>
      <c r="C73" s="8">
        <f>B73/B$102</f>
        <v/>
      </c>
      <c r="E73" s="9" t="n">
        <v>62</v>
      </c>
      <c r="F73" s="9" t="n">
        <v>9784.505094235965</v>
      </c>
      <c r="G73" s="8">
        <f>F73/F$102</f>
        <v/>
      </c>
    </row>
    <row r="74">
      <c r="A74" t="n">
        <v>63</v>
      </c>
      <c r="B74" s="5" t="n">
        <v>3688.8441649693</v>
      </c>
      <c r="C74" s="8">
        <f>B74/B$102</f>
        <v/>
      </c>
      <c r="E74" s="9" t="n">
        <v>63</v>
      </c>
      <c r="F74" s="9" t="n">
        <v>6577.516600097376</v>
      </c>
      <c r="G74" s="8">
        <f>F74/F$102</f>
        <v/>
      </c>
    </row>
    <row r="75">
      <c r="A75" t="n">
        <v>64</v>
      </c>
      <c r="B75" s="5" t="n">
        <v>2942.699904596</v>
      </c>
      <c r="C75" s="8">
        <f>B75/B$102</f>
        <v/>
      </c>
      <c r="E75" s="9" t="n">
        <v>64</v>
      </c>
      <c r="F75" s="9" t="n">
        <v>6145.929505341359</v>
      </c>
      <c r="G75" s="8">
        <f>F75/F$102</f>
        <v/>
      </c>
    </row>
    <row r="76">
      <c r="A76" t="n">
        <v>65</v>
      </c>
      <c r="B76" s="5" t="n">
        <v>5892.5558191137</v>
      </c>
      <c r="C76" s="8">
        <f>B76/B$102</f>
        <v/>
      </c>
      <c r="E76" s="9" t="n">
        <v>65</v>
      </c>
      <c r="F76" s="9" t="n">
        <v>6664.109142337417</v>
      </c>
      <c r="G76" s="8">
        <f>F76/F$102</f>
        <v/>
      </c>
    </row>
    <row r="77">
      <c r="A77" t="n">
        <v>66</v>
      </c>
      <c r="B77" s="5" t="n">
        <v>4155.034293272</v>
      </c>
      <c r="C77" s="8">
        <f>B77/B$102</f>
        <v/>
      </c>
      <c r="E77" s="9" t="n">
        <v>66</v>
      </c>
      <c r="F77" s="9" t="n">
        <v>5145.109565616788</v>
      </c>
      <c r="G77" s="8">
        <f>F77/F$102</f>
        <v/>
      </c>
    </row>
    <row r="78">
      <c r="A78" t="n">
        <v>67</v>
      </c>
      <c r="B78" s="5" t="n">
        <v>6053.7855554197</v>
      </c>
      <c r="C78" s="8">
        <f>B78/B$102</f>
        <v/>
      </c>
      <c r="E78" s="9" t="n">
        <v>67</v>
      </c>
      <c r="F78" s="9" t="n">
        <v>6224.211957236496</v>
      </c>
      <c r="G78" s="8">
        <f>F78/F$102</f>
        <v/>
      </c>
    </row>
    <row r="79">
      <c r="A79" t="n">
        <v>68</v>
      </c>
      <c r="B79" s="5" t="n">
        <v>1592.181722849</v>
      </c>
      <c r="C79" s="8">
        <f>B79/B$102</f>
        <v/>
      </c>
      <c r="E79" s="9" t="n">
        <v>68</v>
      </c>
      <c r="F79" s="9" t="n">
        <v>5564.57634654059</v>
      </c>
      <c r="G79" s="8">
        <f>F79/F$102</f>
        <v/>
      </c>
    </row>
    <row r="80">
      <c r="A80" t="n">
        <v>69</v>
      </c>
      <c r="B80" s="5" t="n">
        <v>4028.6973121152</v>
      </c>
      <c r="C80" s="8">
        <f>B80/B$102</f>
        <v/>
      </c>
      <c r="E80" s="9" t="n">
        <v>69</v>
      </c>
      <c r="F80" s="9" t="n">
        <v>8002.971095044767</v>
      </c>
      <c r="G80" s="8">
        <f>F80/F$102</f>
        <v/>
      </c>
    </row>
    <row r="81">
      <c r="A81" t="n">
        <v>70</v>
      </c>
      <c r="B81" s="5" t="n">
        <v>7374.5215670546</v>
      </c>
      <c r="C81" s="8">
        <f>B81/B$102</f>
        <v/>
      </c>
      <c r="E81" s="9" t="n">
        <v>70</v>
      </c>
      <c r="F81" s="9" t="n">
        <v>3794.656934985364</v>
      </c>
      <c r="G81" s="8">
        <f>F81/F$102</f>
        <v/>
      </c>
    </row>
    <row r="82">
      <c r="A82" t="n">
        <v>71</v>
      </c>
      <c r="B82" s="5" t="n">
        <v>1567.8307832096</v>
      </c>
      <c r="C82" s="8">
        <f>B82/B$102</f>
        <v/>
      </c>
      <c r="E82" s="9" t="n">
        <v>71</v>
      </c>
      <c r="F82" s="9" t="n">
        <v>4541.778988468949</v>
      </c>
      <c r="G82" s="8">
        <f>F82/F$102</f>
        <v/>
      </c>
    </row>
    <row r="83">
      <c r="A83" t="n">
        <v>72</v>
      </c>
      <c r="B83" s="5" t="n">
        <v>11656.6625317656</v>
      </c>
      <c r="C83" s="8">
        <f>B83/B$102</f>
        <v/>
      </c>
      <c r="E83" s="9" t="n">
        <v>72</v>
      </c>
      <c r="F83" s="9" t="n">
        <v>3532.140259006628</v>
      </c>
      <c r="G83" s="8">
        <f>F83/F$102</f>
        <v/>
      </c>
    </row>
    <row r="84">
      <c r="A84" t="n">
        <v>73</v>
      </c>
      <c r="B84" s="5" t="n">
        <v>3696.5753452032</v>
      </c>
      <c r="C84" s="8">
        <f>B84/B$102</f>
        <v/>
      </c>
      <c r="E84" s="9" t="n">
        <v>73</v>
      </c>
      <c r="F84" s="9" t="n">
        <v>4103.382139457124</v>
      </c>
      <c r="G84" s="8">
        <f>F84/F$102</f>
        <v/>
      </c>
    </row>
    <row r="85">
      <c r="A85" t="n">
        <v>74</v>
      </c>
      <c r="B85" s="5" t="n">
        <v>7720.0441044545</v>
      </c>
      <c r="C85" s="8">
        <f>B85/B$102</f>
        <v/>
      </c>
      <c r="E85" s="9" t="n">
        <v>74</v>
      </c>
      <c r="F85" s="9" t="n">
        <v>4093.209326128936</v>
      </c>
      <c r="G85" s="8">
        <f>F85/F$102</f>
        <v/>
      </c>
    </row>
    <row r="86">
      <c r="A86" t="n">
        <v>75</v>
      </c>
      <c r="B86" s="5" t="n">
        <v>5444.093177335</v>
      </c>
      <c r="C86" s="8">
        <f>B86/B$102</f>
        <v/>
      </c>
      <c r="E86" s="9" t="n">
        <v>75</v>
      </c>
      <c r="F86" s="9" t="n">
        <v>3219.625208382703</v>
      </c>
      <c r="G86" s="8">
        <f>F86/F$102</f>
        <v/>
      </c>
    </row>
    <row r="87">
      <c r="A87" t="n">
        <v>76</v>
      </c>
      <c r="B87" s="5" t="n">
        <v>5967.730672062</v>
      </c>
      <c r="C87" s="8">
        <f>B87/B$102</f>
        <v/>
      </c>
      <c r="E87" s="9" t="n">
        <v>76</v>
      </c>
      <c r="F87" s="9" t="n">
        <v>3496.274850625428</v>
      </c>
      <c r="G87" s="8">
        <f>F87/F$102</f>
        <v/>
      </c>
    </row>
    <row r="88">
      <c r="A88" t="n">
        <v>77</v>
      </c>
      <c r="B88" s="5" t="n">
        <v>8134.7387629777</v>
      </c>
      <c r="C88" s="8">
        <f>B88/B$102</f>
        <v/>
      </c>
      <c r="E88" s="9" t="n">
        <v>77</v>
      </c>
      <c r="F88" s="9" t="n">
        <v>2582.685794818036</v>
      </c>
      <c r="G88" s="8">
        <f>F88/F$102</f>
        <v/>
      </c>
    </row>
    <row r="89">
      <c r="A89" t="n">
        <v>78</v>
      </c>
      <c r="B89" s="5" t="n">
        <v>2079.23907002</v>
      </c>
      <c r="C89" s="8">
        <f>B89/B$102</f>
        <v/>
      </c>
      <c r="E89" s="9" t="n">
        <v>78</v>
      </c>
      <c r="F89" s="9" t="n">
        <v>2133.138794647502</v>
      </c>
      <c r="G89" s="8">
        <f>F89/F$102</f>
        <v/>
      </c>
    </row>
    <row r="90">
      <c r="A90" t="n">
        <v>79</v>
      </c>
      <c r="B90" s="5" t="n">
        <v>4368.217477308001</v>
      </c>
      <c r="C90" s="8">
        <f>B90/B$102</f>
        <v/>
      </c>
      <c r="E90" s="9" t="n">
        <v>79</v>
      </c>
      <c r="F90" s="9" t="n">
        <v>2357.457513736257</v>
      </c>
      <c r="G90" s="8">
        <f>F90/F$102</f>
        <v/>
      </c>
    </row>
    <row r="91">
      <c r="A91" t="n">
        <v>80</v>
      </c>
      <c r="B91" s="5" t="n">
        <v>5711.655378544599</v>
      </c>
      <c r="C91" s="8">
        <f>B91/B$102</f>
        <v/>
      </c>
      <c r="E91" s="9" t="n">
        <v>80</v>
      </c>
      <c r="F91" s="9" t="n">
        <v>2317.447622837919</v>
      </c>
      <c r="G91" s="8">
        <f>F91/F$102</f>
        <v/>
      </c>
    </row>
    <row r="92">
      <c r="A92" t="n">
        <v>81</v>
      </c>
      <c r="B92" s="5" t="n">
        <v>2193.429335609</v>
      </c>
      <c r="C92" s="8">
        <f>B92/B$102</f>
        <v/>
      </c>
      <c r="E92" s="9" t="n">
        <v>81</v>
      </c>
      <c r="F92" s="9" t="n">
        <v>2830.749891293159</v>
      </c>
      <c r="G92" s="8">
        <f>F92/F$102</f>
        <v/>
      </c>
    </row>
    <row r="93">
      <c r="A93" t="n">
        <v>82</v>
      </c>
      <c r="B93" s="5" t="n">
        <v>9498.3727614091</v>
      </c>
      <c r="C93" s="8">
        <f>B93/B$102</f>
        <v/>
      </c>
      <c r="E93" s="9" t="n">
        <v>82</v>
      </c>
      <c r="F93" s="9" t="n">
        <v>2747.78932600152</v>
      </c>
      <c r="G93" s="8">
        <f>F93/F$102</f>
        <v/>
      </c>
    </row>
    <row r="94">
      <c r="A94" t="n">
        <v>83</v>
      </c>
      <c r="B94" s="5" t="n">
        <v>5403.1790240475</v>
      </c>
      <c r="C94" s="8">
        <f>B94/B$102</f>
        <v/>
      </c>
      <c r="E94" s="9" t="n">
        <v>83</v>
      </c>
      <c r="F94" s="9" t="n">
        <v>1404.449538875189</v>
      </c>
      <c r="G94" s="8">
        <f>F94/F$102</f>
        <v/>
      </c>
    </row>
    <row r="95">
      <c r="A95" t="n">
        <v>84</v>
      </c>
      <c r="B95" s="5" t="n">
        <v>3207.608601018</v>
      </c>
      <c r="C95" s="8">
        <f>B95/B$102</f>
        <v/>
      </c>
      <c r="E95" s="9" t="n">
        <v>84</v>
      </c>
      <c r="F95" s="9" t="n">
        <v>1792.841011421452</v>
      </c>
      <c r="G95" s="8">
        <f>F95/F$102</f>
        <v/>
      </c>
    </row>
    <row r="96">
      <c r="A96" t="n">
        <v>85</v>
      </c>
      <c r="B96" s="5" t="n">
        <v>3556.3916417301</v>
      </c>
      <c r="C96" s="8">
        <f>B96/B$102</f>
        <v/>
      </c>
      <c r="E96" s="9" t="n">
        <v>85</v>
      </c>
      <c r="F96" s="9" t="n">
        <v>2076.683929044975</v>
      </c>
      <c r="G96" s="8">
        <f>F96/F$102</f>
        <v/>
      </c>
    </row>
    <row r="97">
      <c r="A97" t="n">
        <v>86</v>
      </c>
      <c r="B97" s="5" t="n">
        <v>8154.8321200373</v>
      </c>
      <c r="C97" s="8">
        <f>B97/B$102</f>
        <v/>
      </c>
      <c r="E97" s="9" t="n">
        <v>86</v>
      </c>
      <c r="F97" s="9" t="n">
        <v>1486.482806171517</v>
      </c>
      <c r="G97" s="8">
        <f>F97/F$102</f>
        <v/>
      </c>
    </row>
    <row r="98">
      <c r="A98" t="n">
        <v>87</v>
      </c>
      <c r="B98" s="5" t="n">
        <v>1438.7523178411</v>
      </c>
      <c r="C98" s="8">
        <f>B98/B$102</f>
        <v/>
      </c>
      <c r="E98" s="9" t="n">
        <v>87</v>
      </c>
      <c r="F98" s="9" t="n">
        <v>1586.552124637801</v>
      </c>
      <c r="G98" s="8">
        <f>F98/F$102</f>
        <v/>
      </c>
    </row>
    <row r="99">
      <c r="A99" t="n">
        <v>88</v>
      </c>
      <c r="B99" s="5" t="n">
        <v>2191.2054852572</v>
      </c>
      <c r="C99" s="8">
        <f>B99/B$102</f>
        <v/>
      </c>
      <c r="E99" s="9" t="n">
        <v>88</v>
      </c>
      <c r="F99" s="9" t="n">
        <v>1441.959110517288</v>
      </c>
      <c r="G99" s="8">
        <f>F99/F$102</f>
        <v/>
      </c>
    </row>
    <row r="100">
      <c r="A100" t="n">
        <v>89</v>
      </c>
      <c r="B100" s="5" t="n">
        <v>6096.0213704741</v>
      </c>
      <c r="C100" s="8">
        <f>B100/B$102</f>
        <v/>
      </c>
      <c r="E100" s="9" t="n">
        <v>89</v>
      </c>
      <c r="F100" s="9" t="n">
        <v>1115.763422590211</v>
      </c>
      <c r="G100" s="8">
        <f>F100/F$102</f>
        <v/>
      </c>
    </row>
    <row r="101" ht="15.75" customHeight="1" thickBot="1">
      <c r="A101" s="1" t="n">
        <v>90</v>
      </c>
      <c r="B101" s="6" t="n">
        <v>54382.1010922642</v>
      </c>
      <c r="C101" s="8">
        <f>B101/B$102</f>
        <v/>
      </c>
      <c r="E101" s="10" t="n">
        <v>90</v>
      </c>
      <c r="F101" s="10" t="n">
        <v>36855.31388886085</v>
      </c>
      <c r="G101" s="8">
        <f>F101/F$102</f>
        <v/>
      </c>
    </row>
    <row r="102">
      <c r="B102" s="5">
        <f>SUM(B11:B101)</f>
        <v/>
      </c>
      <c r="C102" s="8">
        <f>B102/B$102</f>
        <v/>
      </c>
      <c r="F102" s="5">
        <f>SUM(F11:F101)</f>
        <v/>
      </c>
      <c r="G102" s="8">
        <f>F102/F$102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L102"/>
  <sheetViews>
    <sheetView workbookViewId="0">
      <selection activeCell="K11" sqref="K11:L11"/>
    </sheetView>
  </sheetViews>
  <sheetFormatPr baseColWidth="8" defaultRowHeight="15"/>
  <cols>
    <col collapsed="1" width="13.5703125" customWidth="1" min="1" max="1"/>
    <col collapsed="1" width="9.5703125" bestFit="1" customWidth="1" min="2" max="2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thickBot="1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J9" s="7" t="inlineStr">
        <is>
          <t>Table X. Average Trip Length</t>
        </is>
      </c>
    </row>
    <row r="10">
      <c r="A10" s="2" t="inlineStr">
        <is>
          <t>Distance (mi)</t>
        </is>
      </c>
      <c r="B10" s="4" t="inlineStr">
        <is>
          <t>Survey</t>
        </is>
      </c>
      <c r="C10" s="4" t="inlineStr">
        <is>
          <t>Survey</t>
        </is>
      </c>
      <c r="E10" s="2" t="inlineStr">
        <is>
          <t>Distance (mi)</t>
        </is>
      </c>
      <c r="F10" s="4" t="inlineStr">
        <is>
          <t>DaySim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5" t="n">
        <v>59197.4312510411</v>
      </c>
      <c r="C11" s="8">
        <f>B11/B$102</f>
        <v/>
      </c>
      <c r="E11" s="9" t="n">
        <v>0</v>
      </c>
      <c r="F11" s="9" t="n">
        <v>142448.0298202049</v>
      </c>
      <c r="G11" s="8">
        <f>F11/F$102</f>
        <v/>
      </c>
      <c r="K11" s="5" t="n">
        <v>6.034896763595643</v>
      </c>
      <c r="L11" s="5" t="n">
        <v>4.656338593380176</v>
      </c>
    </row>
    <row r="12">
      <c r="A12" t="n">
        <v>1</v>
      </c>
      <c r="B12" s="5" t="n">
        <v>43875.6146879342</v>
      </c>
      <c r="C12" s="8">
        <f>B12/B$102</f>
        <v/>
      </c>
      <c r="E12" s="9" t="n">
        <v>1</v>
      </c>
      <c r="F12" s="9" t="n">
        <v>138868.4485678673</v>
      </c>
      <c r="G12" s="8">
        <f>F12/F$102</f>
        <v/>
      </c>
      <c r="K12" s="5" t="n"/>
      <c r="L12" s="9" t="n"/>
    </row>
    <row r="13">
      <c r="A13" t="n">
        <v>2</v>
      </c>
      <c r="B13" s="5" t="n">
        <v>56232.611562098</v>
      </c>
      <c r="C13" s="8">
        <f>B13/B$102</f>
        <v/>
      </c>
      <c r="E13" s="9" t="n">
        <v>2</v>
      </c>
      <c r="F13" s="9" t="n">
        <v>77985.23540444425</v>
      </c>
      <c r="G13" s="8">
        <f>F13/F$102</f>
        <v/>
      </c>
    </row>
    <row r="14">
      <c r="A14" t="n">
        <v>3</v>
      </c>
      <c r="B14" s="5" t="n">
        <v>83102.9846085566</v>
      </c>
      <c r="C14" s="8">
        <f>B14/B$102</f>
        <v/>
      </c>
      <c r="E14" s="9" t="n">
        <v>3</v>
      </c>
      <c r="F14" s="9" t="n">
        <v>47183.9074971482</v>
      </c>
      <c r="G14" s="8">
        <f>F14/F$102</f>
        <v/>
      </c>
    </row>
    <row r="15">
      <c r="A15" t="n">
        <v>4</v>
      </c>
      <c r="B15" s="5" t="n">
        <v>176389.9788356086</v>
      </c>
      <c r="C15" s="8">
        <f>B15/B$102</f>
        <v/>
      </c>
      <c r="E15" s="9" t="n">
        <v>4</v>
      </c>
      <c r="F15" s="9" t="n">
        <v>147654.2308807962</v>
      </c>
      <c r="G15" s="8">
        <f>F15/F$102</f>
        <v/>
      </c>
    </row>
    <row r="16">
      <c r="A16" t="n">
        <v>5</v>
      </c>
      <c r="B16" s="5" t="n">
        <v>74454.41727465591</v>
      </c>
      <c r="C16" s="8">
        <f>B16/B$102</f>
        <v/>
      </c>
      <c r="E16" s="9" t="n">
        <v>5</v>
      </c>
      <c r="F16" s="9" t="n">
        <v>61601.76627779248</v>
      </c>
      <c r="G16" s="8">
        <f>F16/F$102</f>
        <v/>
      </c>
    </row>
    <row r="17">
      <c r="A17" t="n">
        <v>6</v>
      </c>
      <c r="B17" s="5" t="n">
        <v>124431.505992334</v>
      </c>
      <c r="C17" s="8">
        <f>B17/B$102</f>
        <v/>
      </c>
      <c r="E17" s="9" t="n">
        <v>6</v>
      </c>
      <c r="F17" s="9" t="n">
        <v>67577.7587369489</v>
      </c>
      <c r="G17" s="8">
        <f>F17/F$102</f>
        <v/>
      </c>
    </row>
    <row r="18">
      <c r="A18" t="n">
        <v>7</v>
      </c>
      <c r="B18" s="5" t="n">
        <v>46721.186487828</v>
      </c>
      <c r="C18" s="8">
        <f>B18/B$102</f>
        <v/>
      </c>
      <c r="E18" s="9" t="n">
        <v>7</v>
      </c>
      <c r="F18" s="9" t="n">
        <v>39957.65446198733</v>
      </c>
      <c r="G18" s="8">
        <f>F18/F$102</f>
        <v/>
      </c>
    </row>
    <row r="19">
      <c r="A19" t="n">
        <v>8</v>
      </c>
      <c r="B19" s="5" t="n">
        <v>39474.5795078497</v>
      </c>
      <c r="C19" s="8">
        <f>B19/B$102</f>
        <v/>
      </c>
      <c r="E19" s="9" t="n">
        <v>8</v>
      </c>
      <c r="F19" s="9" t="n">
        <v>35389.62924804391</v>
      </c>
      <c r="G19" s="8">
        <f>F19/F$102</f>
        <v/>
      </c>
    </row>
    <row r="20">
      <c r="A20" t="n">
        <v>9</v>
      </c>
      <c r="B20" s="5" t="n">
        <v>29773.5607171911</v>
      </c>
      <c r="C20" s="8">
        <f>B20/B$102</f>
        <v/>
      </c>
      <c r="E20" s="9" t="n">
        <v>9</v>
      </c>
      <c r="F20" s="9" t="n">
        <v>25244.56335005206</v>
      </c>
      <c r="G20" s="8">
        <f>F20/F$102</f>
        <v/>
      </c>
    </row>
    <row r="21">
      <c r="A21" t="n">
        <v>10</v>
      </c>
      <c r="B21" s="5" t="n">
        <v>52862.6879539628</v>
      </c>
      <c r="C21" s="8">
        <f>B21/B$102</f>
        <v/>
      </c>
      <c r="E21" s="9" t="n">
        <v>10</v>
      </c>
      <c r="F21" s="9" t="n">
        <v>13780.04059371989</v>
      </c>
      <c r="G21" s="8">
        <f>F21/F$102</f>
        <v/>
      </c>
    </row>
    <row r="22">
      <c r="A22" t="n">
        <v>11</v>
      </c>
      <c r="B22" s="5" t="n">
        <v>10239.009300654</v>
      </c>
      <c r="C22" s="8">
        <f>B22/B$102</f>
        <v/>
      </c>
      <c r="E22" s="9" t="n">
        <v>11</v>
      </c>
      <c r="F22" s="9" t="n">
        <v>13032.77098639686</v>
      </c>
      <c r="G22" s="8">
        <f>F22/F$102</f>
        <v/>
      </c>
    </row>
    <row r="23">
      <c r="A23" t="n">
        <v>12</v>
      </c>
      <c r="B23" s="5" t="n">
        <v>7829.2745191903</v>
      </c>
      <c r="C23" s="8">
        <f>B23/B$102</f>
        <v/>
      </c>
      <c r="E23" s="9" t="n">
        <v>12</v>
      </c>
      <c r="F23" s="9" t="n">
        <v>10908.46104732811</v>
      </c>
      <c r="G23" s="8">
        <f>F23/F$102</f>
        <v/>
      </c>
    </row>
    <row r="24">
      <c r="A24" t="n">
        <v>13</v>
      </c>
      <c r="B24" s="5" t="n">
        <v>5569.2913049226</v>
      </c>
      <c r="C24" s="8">
        <f>B24/B$102</f>
        <v/>
      </c>
      <c r="E24" s="9" t="n">
        <v>13</v>
      </c>
      <c r="F24" s="9" t="n">
        <v>8210.706662619055</v>
      </c>
      <c r="G24" s="8">
        <f>F24/F$102</f>
        <v/>
      </c>
    </row>
    <row r="25">
      <c r="A25" t="n">
        <v>14</v>
      </c>
      <c r="B25" s="5" t="n">
        <v>5428.3616234731</v>
      </c>
      <c r="C25" s="8">
        <f>B25/B$102</f>
        <v/>
      </c>
      <c r="E25" s="9" t="n">
        <v>14</v>
      </c>
      <c r="F25" s="9" t="n">
        <v>6532.810123072984</v>
      </c>
      <c r="G25" s="8">
        <f>F25/F$102</f>
        <v/>
      </c>
    </row>
    <row r="26">
      <c r="A26" t="n">
        <v>15</v>
      </c>
      <c r="B26" s="5" t="n">
        <v>2742.316574661</v>
      </c>
      <c r="C26" s="8">
        <f>B26/B$102</f>
        <v/>
      </c>
      <c r="E26" s="9" t="n">
        <v>15</v>
      </c>
      <c r="F26" s="9" t="n">
        <v>5448.090411400246</v>
      </c>
      <c r="G26" s="8">
        <f>F26/F$102</f>
        <v/>
      </c>
    </row>
    <row r="27">
      <c r="A27" t="n">
        <v>16</v>
      </c>
      <c r="B27" s="5" t="n">
        <v>10449.0733677851</v>
      </c>
      <c r="C27" s="8">
        <f>B27/B$102</f>
        <v/>
      </c>
      <c r="E27" s="9" t="n">
        <v>16</v>
      </c>
      <c r="F27" s="9" t="n">
        <v>4138.270092547333</v>
      </c>
      <c r="G27" s="8">
        <f>F27/F$102</f>
        <v/>
      </c>
    </row>
    <row r="28">
      <c r="A28" t="n">
        <v>17</v>
      </c>
      <c r="B28" s="5" t="n">
        <v>6295.3419629264</v>
      </c>
      <c r="C28" s="8">
        <f>B28/B$102</f>
        <v/>
      </c>
      <c r="E28" s="9" t="n">
        <v>17</v>
      </c>
      <c r="F28" s="9" t="n">
        <v>3042.518474691533</v>
      </c>
      <c r="G28" s="8">
        <f>F28/F$102</f>
        <v/>
      </c>
    </row>
    <row r="29">
      <c r="A29" t="n">
        <v>18</v>
      </c>
      <c r="B29" s="5" t="n">
        <v>6140.745494987001</v>
      </c>
      <c r="C29" s="8">
        <f>B29/B$102</f>
        <v/>
      </c>
      <c r="E29" s="9" t="n">
        <v>18</v>
      </c>
      <c r="F29" s="9" t="n">
        <v>2494.606053299511</v>
      </c>
      <c r="G29" s="8">
        <f>F29/F$102</f>
        <v/>
      </c>
    </row>
    <row r="30">
      <c r="A30" t="n">
        <v>19</v>
      </c>
      <c r="B30" s="5" t="n">
        <v>1810.597354693</v>
      </c>
      <c r="C30" s="8">
        <f>B30/B$102</f>
        <v/>
      </c>
      <c r="E30" s="9" t="n">
        <v>19</v>
      </c>
      <c r="F30" s="9" t="n">
        <v>1750.945391457891</v>
      </c>
      <c r="G30" s="8">
        <f>F30/F$102</f>
        <v/>
      </c>
    </row>
    <row r="31">
      <c r="A31" t="n">
        <v>20</v>
      </c>
      <c r="B31" s="5" t="n">
        <v>1688.255696476</v>
      </c>
      <c r="C31" s="8">
        <f>B31/B$102</f>
        <v/>
      </c>
      <c r="E31" s="9" t="n">
        <v>20</v>
      </c>
      <c r="F31" s="9" t="n">
        <v>1481.970410604807</v>
      </c>
      <c r="G31" s="8">
        <f>F31/F$102</f>
        <v/>
      </c>
    </row>
    <row r="32">
      <c r="A32" t="n">
        <v>21</v>
      </c>
      <c r="B32" s="5" t="n">
        <v>8002.3638754794</v>
      </c>
      <c r="C32" s="8">
        <f>B32/B$102</f>
        <v/>
      </c>
      <c r="E32" s="9" t="n">
        <v>21</v>
      </c>
      <c r="F32" s="9" t="n">
        <v>1334.555919320987</v>
      </c>
      <c r="G32" s="8">
        <f>F32/F$102</f>
        <v/>
      </c>
    </row>
    <row r="33">
      <c r="A33" t="n">
        <v>22</v>
      </c>
      <c r="B33" s="5" t="n">
        <v>2202.724216397</v>
      </c>
      <c r="C33" s="8">
        <f>B33/B$102</f>
        <v/>
      </c>
      <c r="E33" s="9" t="n">
        <v>22</v>
      </c>
      <c r="F33" s="9" t="n">
        <v>760.7619576179593</v>
      </c>
      <c r="G33" s="8">
        <f>F33/F$102</f>
        <v/>
      </c>
    </row>
    <row r="34">
      <c r="A34" t="n">
        <v>23</v>
      </c>
      <c r="B34" s="5" t="n">
        <v>9592.527319450999</v>
      </c>
      <c r="C34" s="8">
        <f>B34/B$102</f>
        <v/>
      </c>
      <c r="E34" s="9" t="n">
        <v>23</v>
      </c>
      <c r="F34" s="9" t="n">
        <v>940.080472098162</v>
      </c>
      <c r="G34" s="8">
        <f>F34/F$102</f>
        <v/>
      </c>
    </row>
    <row r="35">
      <c r="A35" t="n">
        <v>24</v>
      </c>
      <c r="B35" s="5" t="n">
        <v>179.297583701</v>
      </c>
      <c r="C35" s="8">
        <f>B35/B$102</f>
        <v/>
      </c>
      <c r="E35" s="9" t="n">
        <v>24</v>
      </c>
      <c r="F35" s="9" t="n">
        <v>737.0495848118084</v>
      </c>
      <c r="G35" s="8">
        <f>F35/F$102</f>
        <v/>
      </c>
    </row>
    <row r="36">
      <c r="A36" t="n">
        <v>25</v>
      </c>
      <c r="B36" s="5" t="n">
        <v>1088.724914105</v>
      </c>
      <c r="C36" s="8">
        <f>B36/B$102</f>
        <v/>
      </c>
      <c r="E36" s="9" t="n">
        <v>25</v>
      </c>
      <c r="F36" s="9" t="n">
        <v>558.127779919697</v>
      </c>
      <c r="G36" s="8">
        <f>F36/F$102</f>
        <v/>
      </c>
    </row>
    <row r="37">
      <c r="A37" t="n">
        <v>26</v>
      </c>
      <c r="B37" s="5" t="n">
        <v>1057.542875</v>
      </c>
      <c r="C37" s="8">
        <f>B37/B$102</f>
        <v/>
      </c>
      <c r="E37" s="9" t="n">
        <v>26</v>
      </c>
      <c r="F37" s="9" t="n">
        <v>475.4634156853273</v>
      </c>
      <c r="G37" s="8">
        <f>F37/F$102</f>
        <v/>
      </c>
    </row>
    <row r="38">
      <c r="A38" t="n">
        <v>27</v>
      </c>
      <c r="B38" s="5" t="n">
        <v>18.23</v>
      </c>
      <c r="C38" s="8">
        <f>B38/B$102</f>
        <v/>
      </c>
      <c r="E38" s="9" t="n">
        <v>27</v>
      </c>
      <c r="F38" s="9" t="n">
        <v>434.1687356931853</v>
      </c>
      <c r="G38" s="8">
        <f>F38/F$102</f>
        <v/>
      </c>
    </row>
    <row r="39">
      <c r="A39" t="n">
        <v>28</v>
      </c>
      <c r="B39" s="5" t="n">
        <v>1720.55017111</v>
      </c>
      <c r="C39" s="8">
        <f>B39/B$102</f>
        <v/>
      </c>
      <c r="E39" s="9" t="n">
        <v>28</v>
      </c>
      <c r="F39" s="9" t="n">
        <v>252.8740443074531</v>
      </c>
      <c r="G39" s="8">
        <f>F39/F$102</f>
        <v/>
      </c>
    </row>
    <row r="40">
      <c r="A40" t="n">
        <v>29</v>
      </c>
      <c r="B40" s="5" t="n">
        <v>308.776770034</v>
      </c>
      <c r="C40" s="8">
        <f>B40/B$102</f>
        <v/>
      </c>
      <c r="E40" s="9" t="n">
        <v>29</v>
      </c>
      <c r="F40" s="9" t="n">
        <v>245.4739980172393</v>
      </c>
      <c r="G40" s="8">
        <f>F40/F$102</f>
        <v/>
      </c>
    </row>
    <row r="41">
      <c r="A41" t="n">
        <v>30</v>
      </c>
      <c r="B41" s="5" t="n">
        <v>0</v>
      </c>
      <c r="C41" s="8">
        <f>B41/B$102</f>
        <v/>
      </c>
      <c r="E41" s="9" t="n">
        <v>30</v>
      </c>
      <c r="F41" s="9" t="n">
        <v>207.2658101397185</v>
      </c>
      <c r="G41" s="8">
        <f>F41/F$102</f>
        <v/>
      </c>
    </row>
    <row r="42">
      <c r="A42" t="n">
        <v>31</v>
      </c>
      <c r="B42" s="5" t="n">
        <v>0</v>
      </c>
      <c r="C42" s="8">
        <f>B42/B$102</f>
        <v/>
      </c>
      <c r="E42" s="9" t="n">
        <v>31</v>
      </c>
      <c r="F42" s="9" t="n">
        <v>137.1408746576786</v>
      </c>
      <c r="G42" s="8">
        <f>F42/F$102</f>
        <v/>
      </c>
    </row>
    <row r="43">
      <c r="A43" t="n">
        <v>32</v>
      </c>
      <c r="B43" s="5" t="n">
        <v>15.92375</v>
      </c>
      <c r="C43" s="8">
        <f>B43/B$102</f>
        <v/>
      </c>
      <c r="E43" s="9" t="n">
        <v>32</v>
      </c>
      <c r="F43" s="9" t="n">
        <v>160.2028281936237</v>
      </c>
      <c r="G43" s="8">
        <f>F43/F$102</f>
        <v/>
      </c>
    </row>
    <row r="44">
      <c r="A44" t="n">
        <v>33</v>
      </c>
      <c r="B44" s="5" t="n">
        <v>0</v>
      </c>
      <c r="C44" s="8">
        <f>B44/B$102</f>
        <v/>
      </c>
      <c r="E44" s="9" t="n">
        <v>33</v>
      </c>
      <c r="F44" s="9" t="n">
        <v>170.4848162733215</v>
      </c>
      <c r="G44" s="8">
        <f>F44/F$102</f>
        <v/>
      </c>
    </row>
    <row r="45">
      <c r="A45" t="n">
        <v>34</v>
      </c>
      <c r="B45" s="5" t="n">
        <v>596.97480037</v>
      </c>
      <c r="C45" s="8">
        <f>B45/B$102</f>
        <v/>
      </c>
      <c r="E45" s="9" t="n">
        <v>34</v>
      </c>
      <c r="F45" s="9" t="n">
        <v>74.55305063199901</v>
      </c>
      <c r="G45" s="8">
        <f>F45/F$102</f>
        <v/>
      </c>
    </row>
    <row r="46">
      <c r="A46" t="n">
        <v>35</v>
      </c>
      <c r="B46" s="5" t="n">
        <v>10.1925</v>
      </c>
      <c r="C46" s="8">
        <f>B46/B$102</f>
        <v/>
      </c>
      <c r="E46" s="9" t="n">
        <v>35</v>
      </c>
      <c r="F46" s="9" t="n">
        <v>87.02404730769912</v>
      </c>
      <c r="G46" s="8">
        <f>F46/F$102</f>
        <v/>
      </c>
    </row>
    <row r="47">
      <c r="A47" t="n">
        <v>36</v>
      </c>
      <c r="B47" s="5" t="n">
        <v>0</v>
      </c>
      <c r="C47" s="8">
        <f>B47/B$102</f>
        <v/>
      </c>
      <c r="E47" s="9" t="n">
        <v>36</v>
      </c>
      <c r="F47" s="9" t="n">
        <v>83.79159768300838</v>
      </c>
      <c r="G47" s="8">
        <f>F47/F$102</f>
        <v/>
      </c>
    </row>
    <row r="48">
      <c r="A48" t="n">
        <v>37</v>
      </c>
      <c r="B48" s="5" t="n">
        <v>0</v>
      </c>
      <c r="C48" s="8">
        <f>B48/B$102</f>
        <v/>
      </c>
      <c r="E48" s="9" t="n">
        <v>37</v>
      </c>
      <c r="F48" s="9" t="n">
        <v>60.20072638774718</v>
      </c>
      <c r="G48" s="8">
        <f>F48/F$102</f>
        <v/>
      </c>
    </row>
    <row r="49">
      <c r="A49" t="n">
        <v>38</v>
      </c>
      <c r="B49" s="5" t="n">
        <v>0</v>
      </c>
      <c r="C49" s="8">
        <f>B49/B$102</f>
        <v/>
      </c>
      <c r="E49" s="9" t="n">
        <v>38</v>
      </c>
      <c r="F49" s="9" t="n">
        <v>52.357396815163</v>
      </c>
      <c r="G49" s="8">
        <f>F49/F$102</f>
        <v/>
      </c>
    </row>
    <row r="50">
      <c r="A50" t="n">
        <v>39</v>
      </c>
      <c r="B50" s="5" t="n">
        <v>5.16</v>
      </c>
      <c r="C50" s="8">
        <f>B50/B$102</f>
        <v/>
      </c>
      <c r="E50" s="9" t="n">
        <v>39</v>
      </c>
      <c r="F50" s="9" t="n">
        <v>35.13449499569266</v>
      </c>
      <c r="G50" s="8">
        <f>F50/F$102</f>
        <v/>
      </c>
    </row>
    <row r="51">
      <c r="A51" t="n">
        <v>40</v>
      </c>
      <c r="B51" s="5" t="n">
        <v>5.51</v>
      </c>
      <c r="C51" s="8">
        <f>B51/B$102</f>
        <v/>
      </c>
      <c r="E51" s="9" t="n">
        <v>40</v>
      </c>
      <c r="F51" s="9" t="n">
        <v>52.58995444965815</v>
      </c>
      <c r="G51" s="8">
        <f>F51/F$102</f>
        <v/>
      </c>
    </row>
    <row r="52">
      <c r="A52" t="n">
        <v>41</v>
      </c>
      <c r="B52" s="5" t="n">
        <v>0</v>
      </c>
      <c r="C52" s="8">
        <f>B52/B$102</f>
        <v/>
      </c>
      <c r="E52" s="9" t="n">
        <v>41</v>
      </c>
      <c r="F52" s="9" t="n">
        <v>27.37339301170108</v>
      </c>
      <c r="G52" s="8">
        <f>F52/F$102</f>
        <v/>
      </c>
    </row>
    <row r="53">
      <c r="A53" t="n">
        <v>42</v>
      </c>
      <c r="B53" s="5" t="n">
        <v>339.706125</v>
      </c>
      <c r="C53" s="8">
        <f>B53/B$102</f>
        <v/>
      </c>
      <c r="E53" s="9" t="n">
        <v>42</v>
      </c>
      <c r="F53" s="9" t="n">
        <v>14.95</v>
      </c>
      <c r="G53" s="8">
        <f>F53/F$102</f>
        <v/>
      </c>
    </row>
    <row r="54">
      <c r="A54" t="n">
        <v>43</v>
      </c>
      <c r="B54" s="5" t="n">
        <v>351.42375</v>
      </c>
      <c r="C54" s="8">
        <f>B54/B$102</f>
        <v/>
      </c>
      <c r="E54" s="9" t="n">
        <v>43</v>
      </c>
      <c r="F54" s="9" t="n">
        <v>20.98984734077409</v>
      </c>
      <c r="G54" s="8">
        <f>F54/F$102</f>
        <v/>
      </c>
    </row>
    <row r="55">
      <c r="A55" t="n">
        <v>44</v>
      </c>
      <c r="B55" s="5" t="n">
        <v>0</v>
      </c>
      <c r="C55" s="8">
        <f>B55/B$102</f>
        <v/>
      </c>
      <c r="E55" s="9" t="n">
        <v>44</v>
      </c>
      <c r="F55" s="9" t="n">
        <v>34.44291468577708</v>
      </c>
      <c r="G55" s="8">
        <f>F55/F$102</f>
        <v/>
      </c>
    </row>
    <row r="56">
      <c r="A56" t="n">
        <v>45</v>
      </c>
      <c r="B56" s="5" t="n">
        <v>0</v>
      </c>
      <c r="C56" s="8">
        <f>B56/B$102</f>
        <v/>
      </c>
      <c r="E56" s="9" t="n">
        <v>45</v>
      </c>
      <c r="F56" s="9" t="n">
        <v>12.65</v>
      </c>
      <c r="G56" s="8">
        <f>F56/F$102</f>
        <v/>
      </c>
    </row>
    <row r="57">
      <c r="A57" t="n">
        <v>46</v>
      </c>
      <c r="B57" s="5" t="n">
        <v>1427.72808527</v>
      </c>
      <c r="C57" s="8">
        <f>B57/B$102</f>
        <v/>
      </c>
      <c r="E57" s="9" t="n">
        <v>46</v>
      </c>
      <c r="F57" s="9" t="n">
        <v>31.12724950404115</v>
      </c>
      <c r="G57" s="8">
        <f>F57/F$102</f>
        <v/>
      </c>
    </row>
    <row r="58">
      <c r="A58" t="n">
        <v>47</v>
      </c>
      <c r="B58" s="5" t="n">
        <v>0</v>
      </c>
      <c r="C58" s="8">
        <f>B58/B$102</f>
        <v/>
      </c>
      <c r="E58" s="9" t="n">
        <v>47</v>
      </c>
      <c r="F58" s="9" t="n">
        <v>3.45</v>
      </c>
      <c r="G58" s="8">
        <f>F58/F$102</f>
        <v/>
      </c>
    </row>
    <row r="59">
      <c r="A59" t="n">
        <v>48</v>
      </c>
      <c r="B59" s="5" t="n">
        <v>0</v>
      </c>
      <c r="C59" s="8">
        <f>B59/B$102</f>
        <v/>
      </c>
      <c r="E59" s="9" t="n">
        <v>48</v>
      </c>
      <c r="F59" s="9" t="n">
        <v>11.32200849319405</v>
      </c>
      <c r="G59" s="8">
        <f>F59/F$102</f>
        <v/>
      </c>
    </row>
    <row r="60">
      <c r="A60" t="n">
        <v>49</v>
      </c>
      <c r="B60" s="5" t="n">
        <v>0</v>
      </c>
      <c r="C60" s="8">
        <f>B60/B$102</f>
        <v/>
      </c>
      <c r="E60" s="9" t="n">
        <v>49</v>
      </c>
      <c r="F60" s="9" t="n">
        <v>2.810088331008574</v>
      </c>
      <c r="G60" s="8">
        <f>F60/F$102</f>
        <v/>
      </c>
    </row>
    <row r="61">
      <c r="A61" t="n">
        <v>50</v>
      </c>
      <c r="B61" s="5" t="n">
        <v>0</v>
      </c>
      <c r="C61" s="8">
        <f>B61/B$102</f>
        <v/>
      </c>
      <c r="E61" s="9" t="n">
        <v>50</v>
      </c>
      <c r="F61" s="9" t="n">
        <v>2.3</v>
      </c>
      <c r="G61" s="8">
        <f>F61/F$102</f>
        <v/>
      </c>
    </row>
    <row r="62">
      <c r="A62" t="n">
        <v>51</v>
      </c>
      <c r="B62" s="5" t="n">
        <v>0</v>
      </c>
      <c r="C62" s="8">
        <f>B62/B$102</f>
        <v/>
      </c>
      <c r="E62" s="9" t="n">
        <v>51</v>
      </c>
      <c r="F62" s="9" t="n">
        <v>9.199999999999999</v>
      </c>
      <c r="G62" s="8">
        <f>F62/F$102</f>
        <v/>
      </c>
    </row>
    <row r="63">
      <c r="A63" t="n">
        <v>52</v>
      </c>
      <c r="B63" s="5" t="n">
        <v>0</v>
      </c>
      <c r="C63" s="8">
        <f>B63/B$102</f>
        <v/>
      </c>
      <c r="E63" s="9" t="n">
        <v>52</v>
      </c>
      <c r="F63" s="9" t="n">
        <v>0</v>
      </c>
      <c r="G63" s="8">
        <f>F63/F$102</f>
        <v/>
      </c>
    </row>
    <row r="64">
      <c r="A64" t="n">
        <v>53</v>
      </c>
      <c r="B64" s="5" t="n">
        <v>0</v>
      </c>
      <c r="C64" s="8">
        <f>B64/B$102</f>
        <v/>
      </c>
      <c r="E64" s="9" t="n">
        <v>53</v>
      </c>
      <c r="F64" s="9" t="n">
        <v>8.049999999999999</v>
      </c>
      <c r="G64" s="8">
        <f>F64/F$102</f>
        <v/>
      </c>
    </row>
    <row r="65">
      <c r="A65" t="n">
        <v>54</v>
      </c>
      <c r="B65" s="5" t="n">
        <v>0</v>
      </c>
      <c r="C65" s="8">
        <f>B65/B$102</f>
        <v/>
      </c>
      <c r="E65" s="9" t="n">
        <v>54</v>
      </c>
      <c r="F65" s="9" t="n">
        <v>2.3</v>
      </c>
      <c r="G65" s="8">
        <f>F65/F$102</f>
        <v/>
      </c>
    </row>
    <row r="66">
      <c r="A66" t="n">
        <v>55</v>
      </c>
      <c r="B66" s="5" t="n">
        <v>0</v>
      </c>
      <c r="C66" s="8">
        <f>B66/B$102</f>
        <v/>
      </c>
      <c r="E66" s="9" t="n">
        <v>55</v>
      </c>
      <c r="F66" s="9" t="n">
        <v>0</v>
      </c>
      <c r="G66" s="8">
        <f>F66/F$102</f>
        <v/>
      </c>
    </row>
    <row r="67">
      <c r="A67" t="n">
        <v>56</v>
      </c>
      <c r="B67" s="5" t="n">
        <v>0</v>
      </c>
      <c r="C67" s="8">
        <f>B67/B$102</f>
        <v/>
      </c>
      <c r="E67" s="9" t="n">
        <v>56</v>
      </c>
      <c r="F67" s="9" t="n">
        <v>1.15</v>
      </c>
      <c r="G67" s="8">
        <f>F67/F$102</f>
        <v/>
      </c>
    </row>
    <row r="68">
      <c r="A68" t="n">
        <v>57</v>
      </c>
      <c r="B68" s="5" t="n">
        <v>0</v>
      </c>
      <c r="C68" s="8">
        <f>B68/B$102</f>
        <v/>
      </c>
      <c r="E68" s="9" t="n">
        <v>57</v>
      </c>
      <c r="F68" s="9" t="n">
        <v>0</v>
      </c>
      <c r="G68" s="8">
        <f>F68/F$102</f>
        <v/>
      </c>
    </row>
    <row r="69">
      <c r="A69" t="n">
        <v>58</v>
      </c>
      <c r="B69" s="5" t="n">
        <v>0</v>
      </c>
      <c r="C69" s="8">
        <f>B69/B$102</f>
        <v/>
      </c>
      <c r="E69" s="9" t="n">
        <v>58</v>
      </c>
      <c r="F69" s="9" t="n">
        <v>0</v>
      </c>
      <c r="G69" s="8">
        <f>F69/F$102</f>
        <v/>
      </c>
    </row>
    <row r="70">
      <c r="A70" t="n">
        <v>59</v>
      </c>
      <c r="B70" s="5" t="n">
        <v>0</v>
      </c>
      <c r="C70" s="8">
        <f>B70/B$102</f>
        <v/>
      </c>
      <c r="E70" s="9" t="n">
        <v>59</v>
      </c>
      <c r="F70" s="9" t="n">
        <v>2.749674796748008</v>
      </c>
      <c r="G70" s="8">
        <f>F70/F$102</f>
        <v/>
      </c>
    </row>
    <row r="71">
      <c r="A71" t="n">
        <v>60</v>
      </c>
      <c r="B71" s="5" t="n">
        <v>0</v>
      </c>
      <c r="C71" s="8">
        <f>B71/B$102</f>
        <v/>
      </c>
      <c r="E71" s="9" t="n">
        <v>60</v>
      </c>
      <c r="F71" s="9" t="n">
        <v>0</v>
      </c>
      <c r="G71" s="8">
        <f>F71/F$102</f>
        <v/>
      </c>
    </row>
    <row r="72">
      <c r="A72" t="n">
        <v>61</v>
      </c>
      <c r="B72" s="5" t="n">
        <v>0</v>
      </c>
      <c r="C72" s="8">
        <f>B72/B$102</f>
        <v/>
      </c>
      <c r="E72" s="9" t="n">
        <v>61</v>
      </c>
      <c r="F72" s="9" t="n">
        <v>1.15</v>
      </c>
      <c r="G72" s="8">
        <f>F72/F$102</f>
        <v/>
      </c>
    </row>
    <row r="73">
      <c r="A73" t="n">
        <v>62</v>
      </c>
      <c r="B73" s="5" t="n">
        <v>0</v>
      </c>
      <c r="C73" s="8">
        <f>B73/B$102</f>
        <v/>
      </c>
      <c r="E73" s="9" t="n">
        <v>62</v>
      </c>
      <c r="F73" s="9" t="n">
        <v>0</v>
      </c>
      <c r="G73" s="8">
        <f>F73/F$102</f>
        <v/>
      </c>
    </row>
    <row r="74">
      <c r="A74" t="n">
        <v>63</v>
      </c>
      <c r="B74" s="5" t="n">
        <v>0</v>
      </c>
      <c r="C74" s="8">
        <f>B74/B$102</f>
        <v/>
      </c>
      <c r="E74" s="9" t="n">
        <v>63</v>
      </c>
      <c r="F74" s="9" t="n">
        <v>0</v>
      </c>
      <c r="G74" s="8">
        <f>F74/F$102</f>
        <v/>
      </c>
    </row>
    <row r="75">
      <c r="A75" t="n">
        <v>64</v>
      </c>
      <c r="B75" s="5" t="n">
        <v>0</v>
      </c>
      <c r="C75" s="8">
        <f>B75/B$102</f>
        <v/>
      </c>
      <c r="E75" s="9" t="n">
        <v>64</v>
      </c>
      <c r="F75" s="9" t="n">
        <v>0</v>
      </c>
      <c r="G75" s="8">
        <f>F75/F$102</f>
        <v/>
      </c>
    </row>
    <row r="76">
      <c r="A76" t="n">
        <v>65</v>
      </c>
      <c r="B76" s="5" t="n">
        <v>0</v>
      </c>
      <c r="C76" s="8">
        <f>B76/B$102</f>
        <v/>
      </c>
      <c r="E76" s="9" t="n">
        <v>65</v>
      </c>
      <c r="F76" s="9" t="n">
        <v>0</v>
      </c>
      <c r="G76" s="8">
        <f>F76/F$102</f>
        <v/>
      </c>
    </row>
    <row r="77">
      <c r="A77" t="n">
        <v>66</v>
      </c>
      <c r="B77" s="5" t="n">
        <v>0</v>
      </c>
      <c r="C77" s="8">
        <f>B77/B$102</f>
        <v/>
      </c>
      <c r="E77" s="9" t="n">
        <v>66</v>
      </c>
      <c r="F77" s="9" t="n">
        <v>0</v>
      </c>
      <c r="G77" s="8">
        <f>F77/F$102</f>
        <v/>
      </c>
    </row>
    <row r="78">
      <c r="A78" t="n">
        <v>67</v>
      </c>
      <c r="B78" s="5" t="n">
        <v>0</v>
      </c>
      <c r="C78" s="8">
        <f>B78/B$102</f>
        <v/>
      </c>
      <c r="E78" s="9" t="n">
        <v>67</v>
      </c>
      <c r="F78" s="9" t="n">
        <v>0</v>
      </c>
      <c r="G78" s="8">
        <f>F78/F$102</f>
        <v/>
      </c>
    </row>
    <row r="79">
      <c r="A79" t="n">
        <v>68</v>
      </c>
      <c r="B79" s="5" t="n">
        <v>0</v>
      </c>
      <c r="C79" s="8">
        <f>B79/B$102</f>
        <v/>
      </c>
      <c r="E79" s="9" t="n">
        <v>68</v>
      </c>
      <c r="F79" s="9" t="n">
        <v>0</v>
      </c>
      <c r="G79" s="8">
        <f>F79/F$102</f>
        <v/>
      </c>
    </row>
    <row r="80">
      <c r="A80" t="n">
        <v>69</v>
      </c>
      <c r="B80" s="5" t="n">
        <v>0</v>
      </c>
      <c r="C80" s="8">
        <f>B80/B$102</f>
        <v/>
      </c>
      <c r="E80" s="9" t="n">
        <v>69</v>
      </c>
      <c r="F80" s="9" t="n">
        <v>0</v>
      </c>
      <c r="G80" s="8">
        <f>F80/F$102</f>
        <v/>
      </c>
    </row>
    <row r="81">
      <c r="A81" t="n">
        <v>70</v>
      </c>
      <c r="B81" s="5" t="n">
        <v>0</v>
      </c>
      <c r="C81" s="8">
        <f>B81/B$102</f>
        <v/>
      </c>
      <c r="E81" s="9" t="n">
        <v>70</v>
      </c>
      <c r="F81" s="9" t="n">
        <v>0</v>
      </c>
      <c r="G81" s="8">
        <f>F81/F$102</f>
        <v/>
      </c>
    </row>
    <row r="82">
      <c r="A82" t="n">
        <v>71</v>
      </c>
      <c r="B82" s="5" t="n">
        <v>0</v>
      </c>
      <c r="C82" s="8">
        <f>B82/B$102</f>
        <v/>
      </c>
      <c r="E82" s="9" t="n">
        <v>71</v>
      </c>
      <c r="F82" s="9" t="n">
        <v>0</v>
      </c>
      <c r="G82" s="8">
        <f>F82/F$102</f>
        <v/>
      </c>
    </row>
    <row r="83">
      <c r="A83" t="n">
        <v>72</v>
      </c>
      <c r="B83" s="5" t="n">
        <v>0</v>
      </c>
      <c r="C83" s="8">
        <f>B83/B$102</f>
        <v/>
      </c>
      <c r="E83" s="9" t="n">
        <v>72</v>
      </c>
      <c r="F83" s="9" t="n">
        <v>0</v>
      </c>
      <c r="G83" s="8">
        <f>F83/F$102</f>
        <v/>
      </c>
    </row>
    <row r="84">
      <c r="A84" t="n">
        <v>73</v>
      </c>
      <c r="B84" s="5" t="n">
        <v>0</v>
      </c>
      <c r="C84" s="8">
        <f>B84/B$102</f>
        <v/>
      </c>
      <c r="E84" s="9" t="n">
        <v>73</v>
      </c>
      <c r="F84" s="9" t="n">
        <v>0</v>
      </c>
      <c r="G84" s="8">
        <f>F84/F$102</f>
        <v/>
      </c>
    </row>
    <row r="85">
      <c r="A85" t="n">
        <v>74</v>
      </c>
      <c r="B85" s="5" t="n">
        <v>0</v>
      </c>
      <c r="C85" s="8">
        <f>B85/B$102</f>
        <v/>
      </c>
      <c r="E85" s="9" t="n">
        <v>74</v>
      </c>
      <c r="F85" s="9" t="n">
        <v>0</v>
      </c>
      <c r="G85" s="8">
        <f>F85/F$102</f>
        <v/>
      </c>
    </row>
    <row r="86">
      <c r="A86" t="n">
        <v>75</v>
      </c>
      <c r="B86" s="5" t="n">
        <v>0</v>
      </c>
      <c r="C86" s="8">
        <f>B86/B$102</f>
        <v/>
      </c>
      <c r="E86" s="9" t="n">
        <v>75</v>
      </c>
      <c r="F86" s="9" t="n">
        <v>0</v>
      </c>
      <c r="G86" s="8">
        <f>F86/F$102</f>
        <v/>
      </c>
    </row>
    <row r="87">
      <c r="A87" t="n">
        <v>76</v>
      </c>
      <c r="B87" s="5" t="n">
        <v>0</v>
      </c>
      <c r="C87" s="8">
        <f>B87/B$102</f>
        <v/>
      </c>
      <c r="E87" s="9" t="n">
        <v>76</v>
      </c>
      <c r="F87" s="9" t="n">
        <v>0</v>
      </c>
      <c r="G87" s="8">
        <f>F87/F$102</f>
        <v/>
      </c>
    </row>
    <row r="88">
      <c r="A88" t="n">
        <v>77</v>
      </c>
      <c r="B88" s="5" t="n">
        <v>0</v>
      </c>
      <c r="C88" s="8">
        <f>B88/B$102</f>
        <v/>
      </c>
      <c r="E88" s="9" t="n">
        <v>77</v>
      </c>
      <c r="F88" s="9" t="n">
        <v>0</v>
      </c>
      <c r="G88" s="8">
        <f>F88/F$102</f>
        <v/>
      </c>
    </row>
    <row r="89">
      <c r="A89" t="n">
        <v>78</v>
      </c>
      <c r="B89" s="5" t="n">
        <v>0</v>
      </c>
      <c r="C89" s="8">
        <f>B89/B$102</f>
        <v/>
      </c>
      <c r="E89" s="9" t="n">
        <v>78</v>
      </c>
      <c r="F89" s="9" t="n">
        <v>0</v>
      </c>
      <c r="G89" s="8">
        <f>F89/F$102</f>
        <v/>
      </c>
    </row>
    <row r="90">
      <c r="A90" t="n">
        <v>79</v>
      </c>
      <c r="B90" s="5" t="n">
        <v>0</v>
      </c>
      <c r="C90" s="8">
        <f>B90/B$102</f>
        <v/>
      </c>
      <c r="E90" s="9" t="n">
        <v>79</v>
      </c>
      <c r="F90" s="9" t="n">
        <v>0</v>
      </c>
      <c r="G90" s="8">
        <f>F90/F$102</f>
        <v/>
      </c>
    </row>
    <row r="91">
      <c r="A91" t="n">
        <v>80</v>
      </c>
      <c r="B91" s="5" t="n">
        <v>0</v>
      </c>
      <c r="C91" s="8">
        <f>B91/B$102</f>
        <v/>
      </c>
      <c r="E91" s="9" t="n">
        <v>80</v>
      </c>
      <c r="F91" s="9" t="n">
        <v>0</v>
      </c>
      <c r="G91" s="8">
        <f>F91/F$102</f>
        <v/>
      </c>
    </row>
    <row r="92">
      <c r="A92" t="n">
        <v>81</v>
      </c>
      <c r="B92" s="5" t="n">
        <v>0</v>
      </c>
      <c r="C92" s="8">
        <f>B92/B$102</f>
        <v/>
      </c>
      <c r="E92" s="9" t="n">
        <v>81</v>
      </c>
      <c r="F92" s="9" t="n">
        <v>0</v>
      </c>
      <c r="G92" s="8">
        <f>F92/F$102</f>
        <v/>
      </c>
    </row>
    <row r="93">
      <c r="A93" t="n">
        <v>82</v>
      </c>
      <c r="B93" s="5" t="n">
        <v>0</v>
      </c>
      <c r="C93" s="8">
        <f>B93/B$102</f>
        <v/>
      </c>
      <c r="E93" s="9" t="n">
        <v>82</v>
      </c>
      <c r="F93" s="9" t="n">
        <v>0</v>
      </c>
      <c r="G93" s="8">
        <f>F93/F$102</f>
        <v/>
      </c>
    </row>
    <row r="94">
      <c r="A94" t="n">
        <v>83</v>
      </c>
      <c r="B94" s="5" t="n">
        <v>0</v>
      </c>
      <c r="C94" s="8">
        <f>B94/B$102</f>
        <v/>
      </c>
      <c r="E94" s="9" t="n">
        <v>83</v>
      </c>
      <c r="F94" s="9" t="n">
        <v>0</v>
      </c>
      <c r="G94" s="8">
        <f>F94/F$102</f>
        <v/>
      </c>
    </row>
    <row r="95">
      <c r="A95" t="n">
        <v>84</v>
      </c>
      <c r="B95" s="5" t="n">
        <v>0</v>
      </c>
      <c r="C95" s="8">
        <f>B95/B$102</f>
        <v/>
      </c>
      <c r="E95" s="9" t="n">
        <v>84</v>
      </c>
      <c r="F95" s="9" t="n">
        <v>0</v>
      </c>
      <c r="G95" s="8">
        <f>F95/F$102</f>
        <v/>
      </c>
    </row>
    <row r="96">
      <c r="A96" t="n">
        <v>85</v>
      </c>
      <c r="B96" s="5" t="n">
        <v>0</v>
      </c>
      <c r="C96" s="8">
        <f>B96/B$102</f>
        <v/>
      </c>
      <c r="E96" s="9" t="n">
        <v>85</v>
      </c>
      <c r="F96" s="9" t="n">
        <v>0</v>
      </c>
      <c r="G96" s="8">
        <f>F96/F$102</f>
        <v/>
      </c>
    </row>
    <row r="97">
      <c r="A97" t="n">
        <v>86</v>
      </c>
      <c r="B97" s="5" t="n">
        <v>0</v>
      </c>
      <c r="C97" s="8">
        <f>B97/B$102</f>
        <v/>
      </c>
      <c r="E97" s="9" t="n">
        <v>86</v>
      </c>
      <c r="F97" s="9" t="n">
        <v>0</v>
      </c>
      <c r="G97" s="8">
        <f>F97/F$102</f>
        <v/>
      </c>
    </row>
    <row r="98">
      <c r="A98" t="n">
        <v>87</v>
      </c>
      <c r="B98" s="5" t="n">
        <v>0</v>
      </c>
      <c r="C98" s="8">
        <f>B98/B$102</f>
        <v/>
      </c>
      <c r="E98" s="9" t="n">
        <v>87</v>
      </c>
      <c r="F98" s="9" t="n">
        <v>0</v>
      </c>
      <c r="G98" s="8">
        <f>F98/F$102</f>
        <v/>
      </c>
    </row>
    <row r="99">
      <c r="A99" t="n">
        <v>88</v>
      </c>
      <c r="B99" s="5" t="n">
        <v>0</v>
      </c>
      <c r="C99" s="8">
        <f>B99/B$102</f>
        <v/>
      </c>
      <c r="E99" s="9" t="n">
        <v>88</v>
      </c>
      <c r="F99" s="9" t="n">
        <v>0</v>
      </c>
      <c r="G99" s="8">
        <f>F99/F$102</f>
        <v/>
      </c>
    </row>
    <row r="100">
      <c r="A100" t="n">
        <v>89</v>
      </c>
      <c r="B100" s="5" t="n">
        <v>0</v>
      </c>
      <c r="C100" s="8">
        <f>B100/B$102</f>
        <v/>
      </c>
      <c r="E100" s="9" t="n">
        <v>89</v>
      </c>
      <c r="F100" s="9" t="n">
        <v>0</v>
      </c>
      <c r="G100" s="8">
        <f>F100/F$102</f>
        <v/>
      </c>
    </row>
    <row r="101" ht="15.75" customHeight="1" thickBot="1">
      <c r="A101" s="1" t="n">
        <v>90</v>
      </c>
      <c r="B101" s="6" t="n">
        <v>87.34412500000001</v>
      </c>
      <c r="C101" s="8">
        <f>B101/B$102</f>
        <v/>
      </c>
      <c r="E101" s="10" t="n">
        <v>90</v>
      </c>
      <c r="F101" s="10" t="n">
        <v>0</v>
      </c>
      <c r="G101" s="8">
        <f>F101/F$102</f>
        <v/>
      </c>
    </row>
    <row r="102">
      <c r="B102" s="5">
        <f>SUM(B11:B101)</f>
        <v/>
      </c>
      <c r="C102" s="8">
        <f>B102/B$102</f>
        <v/>
      </c>
      <c r="F102" s="5">
        <f>SUM(F11:F101)</f>
        <v/>
      </c>
      <c r="G102" s="8">
        <f>F102/F$102</f>
        <v/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L102"/>
  <sheetViews>
    <sheetView workbookViewId="0">
      <selection activeCell="A6" sqref="A6"/>
    </sheetView>
  </sheetViews>
  <sheetFormatPr baseColWidth="8" defaultRowHeight="15"/>
  <cols>
    <col collapsed="1" width="9.5703125" bestFit="1" customWidth="1" min="2" max="2"/>
  </cols>
  <sheetData>
    <row r="1">
      <c r="A1" t="inlineStr">
        <is>
          <t>Trip Duration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duration (in minutes) based on joining AM peak SOV skim values to HH survey</t>
        </is>
      </c>
    </row>
    <row r="4">
      <c r="A4" t="inlineStr">
        <is>
          <t>Frequency of trips by 1-minute increment</t>
        </is>
      </c>
    </row>
    <row r="5">
      <c r="A5" t="inlineStr">
        <is>
          <t>Distance values reflect low end of each range (ie. 0 refers to 0-1 minutes)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thickBot="1">
      <c r="A9" s="3" t="inlineStr">
        <is>
          <t>Table X. Observed Trip Durations: Survey</t>
        </is>
      </c>
      <c r="B9" s="1" t="n"/>
      <c r="E9" s="3" t="inlineStr">
        <is>
          <t>Table X. Estimated Trip Durations</t>
        </is>
      </c>
      <c r="F9" s="1" t="n"/>
      <c r="J9" s="7" t="inlineStr">
        <is>
          <t>Table X. Average Trip Duration</t>
        </is>
      </c>
    </row>
    <row r="10">
      <c r="A10" s="2" t="inlineStr">
        <is>
          <t>Time (min)</t>
        </is>
      </c>
      <c r="B10" s="4" t="inlineStr">
        <is>
          <t>Total</t>
        </is>
      </c>
      <c r="C10" s="4" t="inlineStr">
        <is>
          <t>Survey</t>
        </is>
      </c>
      <c r="E10" s="2" t="inlineStr">
        <is>
          <t>Time (min)</t>
        </is>
      </c>
      <c r="F10" s="4" t="inlineStr">
        <is>
          <t>Total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5" t="n">
        <v>0</v>
      </c>
      <c r="C11" s="8">
        <f>B11/B$102</f>
        <v/>
      </c>
      <c r="E11" s="9" t="n">
        <v>0</v>
      </c>
      <c r="F11" s="9" t="n">
        <v>682.1372030517158</v>
      </c>
      <c r="G11" s="8">
        <f>F11/F$102</f>
        <v/>
      </c>
      <c r="K11" s="5" t="n">
        <v>27.22950729756785</v>
      </c>
      <c r="L11" s="5" t="n">
        <v>20.5389999212296</v>
      </c>
    </row>
    <row r="12">
      <c r="A12" t="n">
        <v>1</v>
      </c>
      <c r="B12" s="5" t="n">
        <v>7110.049809966999</v>
      </c>
      <c r="C12" s="8">
        <f>B12/B$102</f>
        <v/>
      </c>
      <c r="E12" s="9" t="n">
        <v>1</v>
      </c>
      <c r="F12" s="9" t="n">
        <v>17770.84044662624</v>
      </c>
      <c r="G12" s="8">
        <f>F12/F$102</f>
        <v/>
      </c>
      <c r="K12" s="5" t="n"/>
      <c r="L12" s="9" t="n"/>
    </row>
    <row r="13">
      <c r="A13" t="n">
        <v>2</v>
      </c>
      <c r="B13" s="5" t="n">
        <v>5940.385875</v>
      </c>
      <c r="C13" s="8">
        <f>B13/B$102</f>
        <v/>
      </c>
      <c r="E13" s="9" t="n">
        <v>2</v>
      </c>
      <c r="F13" s="9" t="n">
        <v>24693.82510086751</v>
      </c>
      <c r="G13" s="8">
        <f>F13/F$102</f>
        <v/>
      </c>
    </row>
    <row r="14">
      <c r="A14" t="n">
        <v>3</v>
      </c>
      <c r="B14" s="5" t="n">
        <v>12405.263875</v>
      </c>
      <c r="C14" s="8">
        <f>B14/B$102</f>
        <v/>
      </c>
      <c r="E14" s="9" t="n">
        <v>3</v>
      </c>
      <c r="F14" s="9" t="n">
        <v>29256.24871410413</v>
      </c>
      <c r="G14" s="8">
        <f>F14/F$102</f>
        <v/>
      </c>
    </row>
    <row r="15">
      <c r="A15" t="n">
        <v>4</v>
      </c>
      <c r="B15" s="5" t="n">
        <v>9398.885019863001</v>
      </c>
      <c r="C15" s="8">
        <f>B15/B$102</f>
        <v/>
      </c>
      <c r="E15" s="9" t="n">
        <v>4</v>
      </c>
      <c r="F15" s="9" t="n">
        <v>30814.52585364291</v>
      </c>
      <c r="G15" s="8">
        <f>F15/F$102</f>
        <v/>
      </c>
    </row>
    <row r="16">
      <c r="A16" t="n">
        <v>5</v>
      </c>
      <c r="B16" s="5" t="n">
        <v>7768.9418596495</v>
      </c>
      <c r="C16" s="8">
        <f>B16/B$102</f>
        <v/>
      </c>
      <c r="E16" s="9" t="n">
        <v>5</v>
      </c>
      <c r="F16" s="9" t="n">
        <v>31145.78097504339</v>
      </c>
      <c r="G16" s="8">
        <f>F16/F$102</f>
        <v/>
      </c>
    </row>
    <row r="17">
      <c r="A17" t="n">
        <v>6</v>
      </c>
      <c r="B17" s="5" t="n">
        <v>7600.1131034088</v>
      </c>
      <c r="C17" s="8">
        <f>B17/B$102</f>
        <v/>
      </c>
      <c r="E17" s="9" t="n">
        <v>6</v>
      </c>
      <c r="F17" s="9" t="n">
        <v>30909.28781751816</v>
      </c>
      <c r="G17" s="8">
        <f>F17/F$102</f>
        <v/>
      </c>
    </row>
    <row r="18">
      <c r="A18" t="n">
        <v>7</v>
      </c>
      <c r="B18" s="5" t="n">
        <v>14197.309744598</v>
      </c>
      <c r="C18" s="8">
        <f>B18/B$102</f>
        <v/>
      </c>
      <c r="E18" s="9" t="n">
        <v>7</v>
      </c>
      <c r="F18" s="9" t="n">
        <v>29325.85230754551</v>
      </c>
      <c r="G18" s="8">
        <f>F18/F$102</f>
        <v/>
      </c>
    </row>
    <row r="19">
      <c r="A19" t="n">
        <v>8</v>
      </c>
      <c r="B19" s="5" t="n">
        <v>3404.8727056371</v>
      </c>
      <c r="C19" s="8">
        <f>B19/B$102</f>
        <v/>
      </c>
      <c r="E19" s="9" t="n">
        <v>8</v>
      </c>
      <c r="F19" s="9" t="n">
        <v>26729.15839208665</v>
      </c>
      <c r="G19" s="8">
        <f>F19/F$102</f>
        <v/>
      </c>
    </row>
    <row r="20">
      <c r="A20" t="n">
        <v>9</v>
      </c>
      <c r="B20" s="5" t="n">
        <v>12242.4308221423</v>
      </c>
      <c r="C20" s="8">
        <f>B20/B$102</f>
        <v/>
      </c>
      <c r="E20" s="9" t="n">
        <v>9</v>
      </c>
      <c r="F20" s="9" t="n">
        <v>24328.38833813825</v>
      </c>
      <c r="G20" s="8">
        <f>F20/F$102</f>
        <v/>
      </c>
    </row>
    <row r="21">
      <c r="A21" t="n">
        <v>10</v>
      </c>
      <c r="B21" s="5" t="n">
        <v>7303.4503721597</v>
      </c>
      <c r="C21" s="8">
        <f>B21/B$102</f>
        <v/>
      </c>
      <c r="E21" s="9" t="n">
        <v>10</v>
      </c>
      <c r="F21" s="9" t="n">
        <v>22077.31617965137</v>
      </c>
      <c r="G21" s="8">
        <f>F21/F$102</f>
        <v/>
      </c>
    </row>
    <row r="22">
      <c r="A22" t="n">
        <v>11</v>
      </c>
      <c r="B22" s="5" t="n">
        <v>14101.232282578</v>
      </c>
      <c r="C22" s="8">
        <f>B22/B$102</f>
        <v/>
      </c>
      <c r="E22" s="9" t="n">
        <v>11</v>
      </c>
      <c r="F22" s="9" t="n">
        <v>19827.68278264647</v>
      </c>
      <c r="G22" s="8">
        <f>F22/F$102</f>
        <v/>
      </c>
    </row>
    <row r="23">
      <c r="A23" t="n">
        <v>12</v>
      </c>
      <c r="B23" s="5" t="n">
        <v>31133.2469759201</v>
      </c>
      <c r="C23" s="8">
        <f>B23/B$102</f>
        <v/>
      </c>
      <c r="E23" s="9" t="n">
        <v>12</v>
      </c>
      <c r="F23" s="9" t="n">
        <v>17875.91027197444</v>
      </c>
      <c r="G23" s="8">
        <f>F23/F$102</f>
        <v/>
      </c>
    </row>
    <row r="24">
      <c r="A24" t="n">
        <v>13</v>
      </c>
      <c r="B24" s="5" t="n">
        <v>9661.257592661001</v>
      </c>
      <c r="C24" s="8">
        <f>B24/B$102</f>
        <v/>
      </c>
      <c r="E24" s="9" t="n">
        <v>13</v>
      </c>
      <c r="F24" s="9" t="n">
        <v>15530.2963594718</v>
      </c>
      <c r="G24" s="8">
        <f>F24/F$102</f>
        <v/>
      </c>
    </row>
    <row r="25">
      <c r="A25" t="n">
        <v>14</v>
      </c>
      <c r="B25" s="5" t="n">
        <v>14519.794074703</v>
      </c>
      <c r="C25" s="8">
        <f>B25/B$102</f>
        <v/>
      </c>
      <c r="E25" s="9" t="n">
        <v>14</v>
      </c>
      <c r="F25" s="9" t="n">
        <v>13732.16858728823</v>
      </c>
      <c r="G25" s="8">
        <f>F25/F$102</f>
        <v/>
      </c>
    </row>
    <row r="26">
      <c r="A26" t="n">
        <v>15</v>
      </c>
      <c r="B26" s="5" t="n">
        <v>3368.382303396</v>
      </c>
      <c r="C26" s="8">
        <f>B26/B$102</f>
        <v/>
      </c>
      <c r="E26" s="9" t="n">
        <v>15</v>
      </c>
      <c r="F26" s="9" t="n">
        <v>13441.21283994073</v>
      </c>
      <c r="G26" s="8">
        <f>F26/F$102</f>
        <v/>
      </c>
    </row>
    <row r="27">
      <c r="A27" t="n">
        <v>16</v>
      </c>
      <c r="B27" s="5" t="n">
        <v>34406.9848658459</v>
      </c>
      <c r="C27" s="8">
        <f>B27/B$102</f>
        <v/>
      </c>
      <c r="E27" s="9" t="n">
        <v>16</v>
      </c>
      <c r="F27" s="9" t="n">
        <v>12531.37829205878</v>
      </c>
      <c r="G27" s="8">
        <f>F27/F$102</f>
        <v/>
      </c>
    </row>
    <row r="28">
      <c r="A28" t="n">
        <v>17</v>
      </c>
      <c r="B28" s="5" t="n">
        <v>15814.9717867568</v>
      </c>
      <c r="C28" s="8">
        <f>B28/B$102</f>
        <v/>
      </c>
      <c r="E28" s="9" t="n">
        <v>17</v>
      </c>
      <c r="F28" s="9" t="n">
        <v>11807.89181001973</v>
      </c>
      <c r="G28" s="8">
        <f>F28/F$102</f>
        <v/>
      </c>
    </row>
    <row r="29">
      <c r="A29" t="n">
        <v>18</v>
      </c>
      <c r="B29" s="5" t="n">
        <v>90240.6690296788</v>
      </c>
      <c r="C29" s="8">
        <f>B29/B$102</f>
        <v/>
      </c>
      <c r="E29" s="9" t="n">
        <v>18</v>
      </c>
      <c r="F29" s="9" t="n">
        <v>108641.2092888977</v>
      </c>
      <c r="G29" s="8">
        <f>F29/F$102</f>
        <v/>
      </c>
    </row>
    <row r="30">
      <c r="A30" t="n">
        <v>19</v>
      </c>
      <c r="B30" s="5" t="n">
        <v>32868.7721913293</v>
      </c>
      <c r="C30" s="8">
        <f>B30/B$102</f>
        <v/>
      </c>
      <c r="E30" s="9" t="n">
        <v>19</v>
      </c>
      <c r="F30" s="9" t="n">
        <v>28190.16313902999</v>
      </c>
      <c r="G30" s="8">
        <f>F30/F$102</f>
        <v/>
      </c>
    </row>
    <row r="31">
      <c r="A31" t="n">
        <v>20</v>
      </c>
      <c r="B31" s="5" t="n">
        <v>54635.1204438281</v>
      </c>
      <c r="C31" s="8">
        <f>B31/B$102</f>
        <v/>
      </c>
      <c r="E31" s="9" t="n">
        <v>20</v>
      </c>
      <c r="F31" s="9" t="n">
        <v>23595.64344580367</v>
      </c>
      <c r="G31" s="8">
        <f>F31/F$102</f>
        <v/>
      </c>
    </row>
    <row r="32">
      <c r="A32" t="n">
        <v>21</v>
      </c>
      <c r="B32" s="5" t="n">
        <v>38153.8051073435</v>
      </c>
      <c r="C32" s="8">
        <f>B32/B$102</f>
        <v/>
      </c>
      <c r="E32" s="9" t="n">
        <v>21</v>
      </c>
      <c r="F32" s="9" t="n">
        <v>35739.93986295526</v>
      </c>
      <c r="G32" s="8">
        <f>F32/F$102</f>
        <v/>
      </c>
    </row>
    <row r="33">
      <c r="A33" t="n">
        <v>22</v>
      </c>
      <c r="B33" s="5" t="n">
        <v>32414.434958815</v>
      </c>
      <c r="C33" s="8">
        <f>B33/B$102</f>
        <v/>
      </c>
      <c r="E33" s="9" t="n">
        <v>22</v>
      </c>
      <c r="F33" s="9" t="n">
        <v>33584.24208993598</v>
      </c>
      <c r="G33" s="8">
        <f>F33/F$102</f>
        <v/>
      </c>
    </row>
    <row r="34">
      <c r="A34" t="n">
        <v>23</v>
      </c>
      <c r="B34" s="5" t="n">
        <v>15008.6658807407</v>
      </c>
      <c r="C34" s="8">
        <f>B34/B$102</f>
        <v/>
      </c>
      <c r="E34" s="9" t="n">
        <v>23</v>
      </c>
      <c r="F34" s="9" t="n">
        <v>30931.72477808245</v>
      </c>
      <c r="G34" s="8">
        <f>F34/F$102</f>
        <v/>
      </c>
    </row>
    <row r="35">
      <c r="A35" t="n">
        <v>24</v>
      </c>
      <c r="B35" s="5" t="n">
        <v>31128.0315245751</v>
      </c>
      <c r="C35" s="8">
        <f>B35/B$102</f>
        <v/>
      </c>
      <c r="E35" s="9" t="n">
        <v>24</v>
      </c>
      <c r="F35" s="9" t="n">
        <v>26094.50223013268</v>
      </c>
      <c r="G35" s="8">
        <f>F35/F$102</f>
        <v/>
      </c>
    </row>
    <row r="36">
      <c r="A36" t="n">
        <v>25</v>
      </c>
      <c r="B36" s="5" t="n">
        <v>29682.1350614951</v>
      </c>
      <c r="C36" s="8">
        <f>B36/B$102</f>
        <v/>
      </c>
      <c r="E36" s="9" t="n">
        <v>25</v>
      </c>
      <c r="F36" s="9" t="n">
        <v>18380.74237142507</v>
      </c>
      <c r="G36" s="8">
        <f>F36/F$102</f>
        <v/>
      </c>
    </row>
    <row r="37">
      <c r="A37" t="n">
        <v>26</v>
      </c>
      <c r="B37" s="5" t="n">
        <v>65883.04137359381</v>
      </c>
      <c r="C37" s="8">
        <f>B37/B$102</f>
        <v/>
      </c>
      <c r="E37" s="9" t="n">
        <v>26</v>
      </c>
      <c r="F37" s="9" t="n">
        <v>19787.89154164583</v>
      </c>
      <c r="G37" s="8">
        <f>F37/F$102</f>
        <v/>
      </c>
    </row>
    <row r="38">
      <c r="A38" t="n">
        <v>27</v>
      </c>
      <c r="B38" s="5" t="n">
        <v>10172.1557195947</v>
      </c>
      <c r="C38" s="8">
        <f>B38/B$102</f>
        <v/>
      </c>
      <c r="E38" s="9" t="n">
        <v>27</v>
      </c>
      <c r="F38" s="9" t="n">
        <v>11063.94277646944</v>
      </c>
      <c r="G38" s="8">
        <f>F38/F$102</f>
        <v/>
      </c>
    </row>
    <row r="39">
      <c r="A39" t="n">
        <v>28</v>
      </c>
      <c r="B39" s="5" t="n">
        <v>18649.033094828</v>
      </c>
      <c r="C39" s="8">
        <f>B39/B$102</f>
        <v/>
      </c>
      <c r="E39" s="9" t="n">
        <v>28</v>
      </c>
      <c r="F39" s="9" t="n">
        <v>14327.64795763839</v>
      </c>
      <c r="G39" s="8">
        <f>F39/F$102</f>
        <v/>
      </c>
    </row>
    <row r="40">
      <c r="A40" t="n">
        <v>29</v>
      </c>
      <c r="B40" s="5" t="n">
        <v>15265.4231899969</v>
      </c>
      <c r="C40" s="8">
        <f>B40/B$102</f>
        <v/>
      </c>
      <c r="E40" s="9" t="n">
        <v>29</v>
      </c>
      <c r="F40" s="9" t="n">
        <v>15929.70892117638</v>
      </c>
      <c r="G40" s="8">
        <f>F40/F$102</f>
        <v/>
      </c>
    </row>
    <row r="41">
      <c r="A41" t="n">
        <v>30</v>
      </c>
      <c r="B41" s="5" t="n">
        <v>15834.1694981826</v>
      </c>
      <c r="C41" s="8">
        <f>B41/B$102</f>
        <v/>
      </c>
      <c r="E41" s="9" t="n">
        <v>30</v>
      </c>
      <c r="F41" s="9" t="n">
        <v>8900.276246382617</v>
      </c>
      <c r="G41" s="8">
        <f>F41/F$102</f>
        <v/>
      </c>
    </row>
    <row r="42">
      <c r="A42" t="n">
        <v>31</v>
      </c>
      <c r="B42" s="5" t="n">
        <v>13341.339103737</v>
      </c>
      <c r="C42" s="8">
        <f>B42/B$102</f>
        <v/>
      </c>
      <c r="E42" s="9" t="n">
        <v>31</v>
      </c>
      <c r="F42" s="9" t="n">
        <v>8424.119201751852</v>
      </c>
      <c r="G42" s="8">
        <f>F42/F$102</f>
        <v/>
      </c>
    </row>
    <row r="43">
      <c r="A43" t="n">
        <v>32</v>
      </c>
      <c r="B43" s="5" t="n">
        <v>5775.828733145</v>
      </c>
      <c r="C43" s="8">
        <f>B43/B$102</f>
        <v/>
      </c>
      <c r="E43" s="9" t="n">
        <v>32</v>
      </c>
      <c r="F43" s="9" t="n">
        <v>6949.078374420141</v>
      </c>
      <c r="G43" s="8">
        <f>F43/F$102</f>
        <v/>
      </c>
    </row>
    <row r="44">
      <c r="A44" t="n">
        <v>33</v>
      </c>
      <c r="B44" s="5" t="n">
        <v>9175.148680508701</v>
      </c>
      <c r="C44" s="8">
        <f>B44/B$102</f>
        <v/>
      </c>
      <c r="E44" s="9" t="n">
        <v>33</v>
      </c>
      <c r="F44" s="9" t="n">
        <v>9759.898874905253</v>
      </c>
      <c r="G44" s="8">
        <f>F44/F$102</f>
        <v/>
      </c>
    </row>
    <row r="45">
      <c r="A45" t="n">
        <v>34</v>
      </c>
      <c r="B45" s="5" t="n">
        <v>19789.5180472356</v>
      </c>
      <c r="C45" s="8">
        <f>B45/B$102</f>
        <v/>
      </c>
      <c r="E45" s="9" t="n">
        <v>34</v>
      </c>
      <c r="F45" s="9" t="n">
        <v>11391.3175955348</v>
      </c>
      <c r="G45" s="8">
        <f>F45/F$102</f>
        <v/>
      </c>
    </row>
    <row r="46">
      <c r="A46" t="n">
        <v>35</v>
      </c>
      <c r="B46" s="5" t="n">
        <v>4831.111649248101</v>
      </c>
      <c r="C46" s="8">
        <f>B46/B$102</f>
        <v/>
      </c>
      <c r="E46" s="9" t="n">
        <v>35</v>
      </c>
      <c r="F46" s="9" t="n">
        <v>5952.797736262275</v>
      </c>
      <c r="G46" s="8">
        <f>F46/F$102</f>
        <v/>
      </c>
    </row>
    <row r="47">
      <c r="A47" t="n">
        <v>36</v>
      </c>
      <c r="B47" s="5" t="n">
        <v>5120.352550202</v>
      </c>
      <c r="C47" s="8">
        <f>B47/B$102</f>
        <v/>
      </c>
      <c r="E47" s="9" t="n">
        <v>36</v>
      </c>
      <c r="F47" s="9" t="n">
        <v>4188.799598681589</v>
      </c>
      <c r="G47" s="8">
        <f>F47/F$102</f>
        <v/>
      </c>
    </row>
    <row r="48">
      <c r="A48" t="n">
        <v>37</v>
      </c>
      <c r="B48" s="5" t="n">
        <v>10341.908245021</v>
      </c>
      <c r="C48" s="8">
        <f>B48/B$102</f>
        <v/>
      </c>
      <c r="E48" s="9" t="n">
        <v>37</v>
      </c>
      <c r="F48" s="9" t="n">
        <v>4166.258330627623</v>
      </c>
      <c r="G48" s="8">
        <f>F48/F$102</f>
        <v/>
      </c>
    </row>
    <row r="49">
      <c r="A49" t="n">
        <v>38</v>
      </c>
      <c r="B49" s="5" t="n">
        <v>14109.4155229302</v>
      </c>
      <c r="C49" s="8">
        <f>B49/B$102</f>
        <v/>
      </c>
      <c r="E49" s="9" t="n">
        <v>38</v>
      </c>
      <c r="F49" s="9" t="n">
        <v>3763.040796240383</v>
      </c>
      <c r="G49" s="8">
        <f>F49/F$102</f>
        <v/>
      </c>
    </row>
    <row r="50">
      <c r="A50" t="n">
        <v>39</v>
      </c>
      <c r="B50" s="5" t="n">
        <v>2853.7853158464</v>
      </c>
      <c r="C50" s="8">
        <f>B50/B$102</f>
        <v/>
      </c>
      <c r="E50" s="9" t="n">
        <v>39</v>
      </c>
      <c r="F50" s="9" t="n">
        <v>3157.756526739901</v>
      </c>
      <c r="G50" s="8">
        <f>F50/F$102</f>
        <v/>
      </c>
    </row>
    <row r="51">
      <c r="A51" t="n">
        <v>40</v>
      </c>
      <c r="B51" s="5" t="n">
        <v>984.8458708764</v>
      </c>
      <c r="C51" s="8">
        <f>B51/B$102</f>
        <v/>
      </c>
      <c r="E51" s="9" t="n">
        <v>40</v>
      </c>
      <c r="F51" s="9" t="n">
        <v>3101.207596739131</v>
      </c>
      <c r="G51" s="8">
        <f>F51/F$102</f>
        <v/>
      </c>
    </row>
    <row r="52">
      <c r="A52" t="n">
        <v>41</v>
      </c>
      <c r="B52" s="5" t="n">
        <v>7230.856374999999</v>
      </c>
      <c r="C52" s="8">
        <f>B52/B$102</f>
        <v/>
      </c>
      <c r="E52" s="9" t="n">
        <v>41</v>
      </c>
      <c r="F52" s="9" t="n">
        <v>2734.656583324019</v>
      </c>
      <c r="G52" s="8">
        <f>F52/F$102</f>
        <v/>
      </c>
    </row>
    <row r="53">
      <c r="A53" t="n">
        <v>42</v>
      </c>
      <c r="B53" s="5" t="n">
        <v>1569.247120981</v>
      </c>
      <c r="C53" s="8">
        <f>B53/B$102</f>
        <v/>
      </c>
      <c r="E53" s="9" t="n">
        <v>42</v>
      </c>
      <c r="F53" s="9" t="n">
        <v>2725.739769703735</v>
      </c>
      <c r="G53" s="8">
        <f>F53/F$102</f>
        <v/>
      </c>
    </row>
    <row r="54">
      <c r="A54" t="n">
        <v>43</v>
      </c>
      <c r="B54" s="5" t="n">
        <v>1173.021376812</v>
      </c>
      <c r="C54" s="8">
        <f>B54/B$102</f>
        <v/>
      </c>
      <c r="E54" s="9" t="n">
        <v>43</v>
      </c>
      <c r="F54" s="9" t="n">
        <v>2643.208947684552</v>
      </c>
      <c r="G54" s="8">
        <f>F54/F$102</f>
        <v/>
      </c>
    </row>
    <row r="55">
      <c r="A55" t="n">
        <v>44</v>
      </c>
      <c r="B55" s="5" t="n">
        <v>1196.801803842</v>
      </c>
      <c r="C55" s="8">
        <f>B55/B$102</f>
        <v/>
      </c>
      <c r="E55" s="9" t="n">
        <v>44</v>
      </c>
      <c r="F55" s="9" t="n">
        <v>1983.661025472544</v>
      </c>
      <c r="G55" s="8">
        <f>F55/F$102</f>
        <v/>
      </c>
    </row>
    <row r="56">
      <c r="A56" t="n">
        <v>45</v>
      </c>
      <c r="B56" s="5" t="n">
        <v>37424.629805929</v>
      </c>
      <c r="C56" s="8">
        <f>B56/B$102</f>
        <v/>
      </c>
      <c r="E56" s="9" t="n">
        <v>45</v>
      </c>
      <c r="F56" s="9" t="n">
        <v>2819.914014769506</v>
      </c>
      <c r="G56" s="8">
        <f>F56/F$102</f>
        <v/>
      </c>
    </row>
    <row r="57">
      <c r="A57" t="n">
        <v>46</v>
      </c>
      <c r="B57" s="5" t="n">
        <v>5549.771822802</v>
      </c>
      <c r="C57" s="8">
        <f>B57/B$102</f>
        <v/>
      </c>
      <c r="E57" s="9" t="n">
        <v>46</v>
      </c>
      <c r="F57" s="9" t="n">
        <v>1689.037914891462</v>
      </c>
      <c r="G57" s="8">
        <f>F57/F$102</f>
        <v/>
      </c>
    </row>
    <row r="58">
      <c r="A58" t="n">
        <v>47</v>
      </c>
      <c r="B58" s="5" t="n">
        <v>4244.099974671</v>
      </c>
      <c r="C58" s="8">
        <f>B58/B$102</f>
        <v/>
      </c>
      <c r="E58" s="9" t="n">
        <v>47</v>
      </c>
      <c r="F58" s="9" t="n">
        <v>1368.368989918403</v>
      </c>
      <c r="G58" s="8">
        <f>F58/F$102</f>
        <v/>
      </c>
    </row>
    <row r="59">
      <c r="A59" t="n">
        <v>48</v>
      </c>
      <c r="B59" s="5" t="n">
        <v>2507.59786587</v>
      </c>
      <c r="C59" s="8">
        <f>B59/B$102</f>
        <v/>
      </c>
      <c r="E59" s="9" t="n">
        <v>48</v>
      </c>
      <c r="F59" s="9" t="n">
        <v>1497.927983294099</v>
      </c>
      <c r="G59" s="8">
        <f>F59/F$102</f>
        <v/>
      </c>
    </row>
    <row r="60">
      <c r="A60" t="n">
        <v>49</v>
      </c>
      <c r="B60" s="5" t="n">
        <v>1084.341280303</v>
      </c>
      <c r="C60" s="8">
        <f>B60/B$102</f>
        <v/>
      </c>
      <c r="E60" s="9" t="n">
        <v>49</v>
      </c>
      <c r="F60" s="9" t="n">
        <v>1564.50586977068</v>
      </c>
      <c r="G60" s="8">
        <f>F60/F$102</f>
        <v/>
      </c>
    </row>
    <row r="61">
      <c r="A61" t="n">
        <v>50</v>
      </c>
      <c r="B61" s="5" t="n">
        <v>354.408375</v>
      </c>
      <c r="C61" s="8">
        <f>B61/B$102</f>
        <v/>
      </c>
      <c r="E61" s="9" t="n">
        <v>50</v>
      </c>
      <c r="F61" s="9" t="n">
        <v>1088.718634923501</v>
      </c>
      <c r="G61" s="8">
        <f>F61/F$102</f>
        <v/>
      </c>
    </row>
    <row r="62">
      <c r="A62" t="n">
        <v>51</v>
      </c>
      <c r="B62" s="5" t="n">
        <v>1425.581625</v>
      </c>
      <c r="C62" s="8">
        <f>B62/B$102</f>
        <v/>
      </c>
      <c r="E62" s="9" t="n">
        <v>51</v>
      </c>
      <c r="F62" s="9" t="n">
        <v>1301.828589620106</v>
      </c>
      <c r="G62" s="8">
        <f>F62/F$102</f>
        <v/>
      </c>
    </row>
    <row r="63">
      <c r="A63" t="n">
        <v>52</v>
      </c>
      <c r="B63" s="5" t="n">
        <v>1095.81675</v>
      </c>
      <c r="C63" s="8">
        <f>B63/B$102</f>
        <v/>
      </c>
      <c r="E63" s="9" t="n">
        <v>52</v>
      </c>
      <c r="F63" s="9" t="n">
        <v>975.1073475910782</v>
      </c>
      <c r="G63" s="8">
        <f>F63/F$102</f>
        <v/>
      </c>
    </row>
    <row r="64">
      <c r="A64" t="n">
        <v>53</v>
      </c>
      <c r="B64" s="5" t="n">
        <v>0</v>
      </c>
      <c r="C64" s="8">
        <f>B64/B$102</f>
        <v/>
      </c>
      <c r="E64" s="9" t="n">
        <v>53</v>
      </c>
      <c r="F64" s="9" t="n">
        <v>977.76480035515</v>
      </c>
      <c r="G64" s="8">
        <f>F64/F$102</f>
        <v/>
      </c>
    </row>
    <row r="65">
      <c r="A65" t="n">
        <v>54</v>
      </c>
      <c r="B65" s="5" t="n">
        <v>2105.130729518</v>
      </c>
      <c r="C65" s="8">
        <f>B65/B$102</f>
        <v/>
      </c>
      <c r="E65" s="9" t="n">
        <v>54</v>
      </c>
      <c r="F65" s="9" t="n">
        <v>884.4257831994049</v>
      </c>
      <c r="G65" s="8">
        <f>F65/F$102</f>
        <v/>
      </c>
    </row>
    <row r="66">
      <c r="A66" t="n">
        <v>55</v>
      </c>
      <c r="B66" s="5" t="n">
        <v>3268.71792537</v>
      </c>
      <c r="C66" s="8">
        <f>B66/B$102</f>
        <v/>
      </c>
      <c r="E66" s="9" t="n">
        <v>55</v>
      </c>
      <c r="F66" s="9" t="n">
        <v>785.6731114635178</v>
      </c>
      <c r="G66" s="8">
        <f>F66/F$102</f>
        <v/>
      </c>
    </row>
    <row r="67">
      <c r="A67" t="n">
        <v>56</v>
      </c>
      <c r="B67" s="5" t="n">
        <v>0</v>
      </c>
      <c r="C67" s="8">
        <f>B67/B$102</f>
        <v/>
      </c>
      <c r="E67" s="9" t="n">
        <v>56</v>
      </c>
      <c r="F67" s="9" t="n">
        <v>852.1843381746978</v>
      </c>
      <c r="G67" s="8">
        <f>F67/F$102</f>
        <v/>
      </c>
    </row>
    <row r="68">
      <c r="A68" t="n">
        <v>57</v>
      </c>
      <c r="B68" s="5" t="n">
        <v>0</v>
      </c>
      <c r="C68" s="8">
        <f>B68/B$102</f>
        <v/>
      </c>
      <c r="E68" s="9" t="n">
        <v>57</v>
      </c>
      <c r="F68" s="9" t="n">
        <v>708.6274964206101</v>
      </c>
      <c r="G68" s="8">
        <f>F68/F$102</f>
        <v/>
      </c>
    </row>
    <row r="69">
      <c r="A69" t="n">
        <v>58</v>
      </c>
      <c r="B69" s="5" t="n">
        <v>15.92375</v>
      </c>
      <c r="C69" s="8">
        <f>B69/B$102</f>
        <v/>
      </c>
      <c r="E69" s="9" t="n">
        <v>58</v>
      </c>
      <c r="F69" s="9" t="n">
        <v>985.6463896011062</v>
      </c>
      <c r="G69" s="8">
        <f>F69/F$102</f>
        <v/>
      </c>
    </row>
    <row r="70">
      <c r="A70" t="n">
        <v>59</v>
      </c>
      <c r="B70" s="5" t="n">
        <v>651.2942178769999</v>
      </c>
      <c r="C70" s="8">
        <f>B70/B$102</f>
        <v/>
      </c>
      <c r="E70" s="9" t="n">
        <v>59</v>
      </c>
      <c r="F70" s="9" t="n">
        <v>727.3853249623797</v>
      </c>
      <c r="G70" s="8">
        <f>F70/F$102</f>
        <v/>
      </c>
    </row>
    <row r="71">
      <c r="A71" t="n">
        <v>60</v>
      </c>
      <c r="B71" s="5" t="n">
        <v>0</v>
      </c>
      <c r="C71" s="8">
        <f>B71/B$102</f>
        <v/>
      </c>
      <c r="E71" s="9" t="n">
        <v>60</v>
      </c>
      <c r="F71" s="9" t="n">
        <v>743.2854867111574</v>
      </c>
      <c r="G71" s="8">
        <f>F71/F$102</f>
        <v/>
      </c>
    </row>
    <row r="72">
      <c r="A72" t="n">
        <v>61</v>
      </c>
      <c r="B72" s="5" t="n">
        <v>6072.2657120416</v>
      </c>
      <c r="C72" s="8">
        <f>B72/B$102</f>
        <v/>
      </c>
      <c r="E72" s="9" t="n">
        <v>61</v>
      </c>
      <c r="F72" s="9" t="n">
        <v>579.4008437131416</v>
      </c>
      <c r="G72" s="8">
        <f>F72/F$102</f>
        <v/>
      </c>
    </row>
    <row r="73">
      <c r="A73" t="n">
        <v>62</v>
      </c>
      <c r="B73" s="5" t="n">
        <v>0</v>
      </c>
      <c r="C73" s="8">
        <f>B73/B$102</f>
        <v/>
      </c>
      <c r="E73" s="9" t="n">
        <v>62</v>
      </c>
      <c r="F73" s="9" t="n">
        <v>664.0801317781339</v>
      </c>
      <c r="G73" s="8">
        <f>F73/F$102</f>
        <v/>
      </c>
    </row>
    <row r="74">
      <c r="A74" t="n">
        <v>63</v>
      </c>
      <c r="B74" s="5" t="n">
        <v>5.16</v>
      </c>
      <c r="C74" s="8">
        <f>B74/B$102</f>
        <v/>
      </c>
      <c r="E74" s="9" t="n">
        <v>63</v>
      </c>
      <c r="F74" s="9" t="n">
        <v>518.4237884594382</v>
      </c>
      <c r="G74" s="8">
        <f>F74/F$102</f>
        <v/>
      </c>
    </row>
    <row r="75">
      <c r="A75" t="n">
        <v>64</v>
      </c>
      <c r="B75" s="5" t="n">
        <v>0</v>
      </c>
      <c r="C75" s="8">
        <f>B75/B$102</f>
        <v/>
      </c>
      <c r="E75" s="9" t="n">
        <v>64</v>
      </c>
      <c r="F75" s="9" t="n">
        <v>570.4601919187294</v>
      </c>
      <c r="G75" s="8">
        <f>F75/F$102</f>
        <v/>
      </c>
    </row>
    <row r="76">
      <c r="A76" t="n">
        <v>65</v>
      </c>
      <c r="B76" s="5" t="n">
        <v>0</v>
      </c>
      <c r="C76" s="8">
        <f>B76/B$102</f>
        <v/>
      </c>
      <c r="E76" s="9" t="n">
        <v>65</v>
      </c>
      <c r="F76" s="9" t="n">
        <v>494.9500405105006</v>
      </c>
      <c r="G76" s="8">
        <f>F76/F$102</f>
        <v/>
      </c>
    </row>
    <row r="77">
      <c r="A77" t="n">
        <v>66</v>
      </c>
      <c r="B77" s="5" t="n">
        <v>1427.72808527</v>
      </c>
      <c r="C77" s="8">
        <f>B77/B$102</f>
        <v/>
      </c>
      <c r="E77" s="9" t="n">
        <v>66</v>
      </c>
      <c r="F77" s="9" t="n">
        <v>535.6455098414341</v>
      </c>
      <c r="G77" s="8">
        <f>F77/F$102</f>
        <v/>
      </c>
    </row>
    <row r="78">
      <c r="A78" t="n">
        <v>67</v>
      </c>
      <c r="B78" s="5" t="n">
        <v>0</v>
      </c>
      <c r="C78" s="8">
        <f>B78/B$102</f>
        <v/>
      </c>
      <c r="E78" s="9" t="n">
        <v>67</v>
      </c>
      <c r="F78" s="9" t="n">
        <v>484.8287456171986</v>
      </c>
      <c r="G78" s="8">
        <f>F78/F$102</f>
        <v/>
      </c>
    </row>
    <row r="79">
      <c r="A79" t="n">
        <v>68</v>
      </c>
      <c r="B79" s="5" t="n">
        <v>0</v>
      </c>
      <c r="C79" s="8">
        <f>B79/B$102</f>
        <v/>
      </c>
      <c r="E79" s="9" t="n">
        <v>68</v>
      </c>
      <c r="F79" s="9" t="n">
        <v>465.0654221279727</v>
      </c>
      <c r="G79" s="8">
        <f>F79/F$102</f>
        <v/>
      </c>
    </row>
    <row r="80">
      <c r="A80" t="n">
        <v>69</v>
      </c>
      <c r="B80" s="5" t="n">
        <v>1036.537015762</v>
      </c>
      <c r="C80" s="8">
        <f>B80/B$102</f>
        <v/>
      </c>
      <c r="E80" s="9" t="n">
        <v>69</v>
      </c>
      <c r="F80" s="9" t="n">
        <v>423.1742698324946</v>
      </c>
      <c r="G80" s="8">
        <f>F80/F$102</f>
        <v/>
      </c>
    </row>
    <row r="81">
      <c r="A81" t="n">
        <v>70</v>
      </c>
      <c r="B81" s="5" t="n">
        <v>0</v>
      </c>
      <c r="C81" s="8">
        <f>B81/B$102</f>
        <v/>
      </c>
      <c r="E81" s="9" t="n">
        <v>70</v>
      </c>
      <c r="F81" s="9" t="n">
        <v>475.5567289387726</v>
      </c>
      <c r="G81" s="8">
        <f>F81/F$102</f>
        <v/>
      </c>
    </row>
    <row r="82">
      <c r="A82" t="n">
        <v>71</v>
      </c>
      <c r="B82" s="5" t="n">
        <v>0</v>
      </c>
      <c r="C82" s="8">
        <f>B82/B$102</f>
        <v/>
      </c>
      <c r="E82" s="9" t="n">
        <v>71</v>
      </c>
      <c r="F82" s="9" t="n">
        <v>429.8986007907711</v>
      </c>
      <c r="G82" s="8">
        <f>F82/F$102</f>
        <v/>
      </c>
    </row>
    <row r="83">
      <c r="A83" t="n">
        <v>72</v>
      </c>
      <c r="B83" s="5" t="n">
        <v>3300.7833570129</v>
      </c>
      <c r="C83" s="8">
        <f>B83/B$102</f>
        <v/>
      </c>
      <c r="E83" s="9" t="n">
        <v>72</v>
      </c>
      <c r="F83" s="9" t="n">
        <v>403.9358209561831</v>
      </c>
      <c r="G83" s="8">
        <f>F83/F$102</f>
        <v/>
      </c>
    </row>
    <row r="84">
      <c r="A84" t="n">
        <v>73</v>
      </c>
      <c r="B84" s="5" t="n">
        <v>0</v>
      </c>
      <c r="C84" s="8">
        <f>B84/B$102</f>
        <v/>
      </c>
      <c r="E84" s="9" t="n">
        <v>73</v>
      </c>
      <c r="F84" s="9" t="n">
        <v>454.2752040434933</v>
      </c>
      <c r="G84" s="8">
        <f>F84/F$102</f>
        <v/>
      </c>
    </row>
    <row r="85">
      <c r="A85" t="n">
        <v>74</v>
      </c>
      <c r="B85" s="5" t="n">
        <v>1126.495875</v>
      </c>
      <c r="C85" s="8">
        <f>B85/B$102</f>
        <v/>
      </c>
      <c r="E85" s="9" t="n">
        <v>74</v>
      </c>
      <c r="F85" s="9" t="n">
        <v>378.4245443372821</v>
      </c>
      <c r="G85" s="8">
        <f>F85/F$102</f>
        <v/>
      </c>
    </row>
    <row r="86">
      <c r="A86" t="n">
        <v>75</v>
      </c>
      <c r="B86" s="5" t="n">
        <v>970.9034999999999</v>
      </c>
      <c r="C86" s="8">
        <f>B86/B$102</f>
        <v/>
      </c>
      <c r="E86" s="9" t="n">
        <v>75</v>
      </c>
      <c r="F86" s="9" t="n">
        <v>331.9977935182175</v>
      </c>
      <c r="G86" s="8">
        <f>F86/F$102</f>
        <v/>
      </c>
    </row>
    <row r="87">
      <c r="A87" t="n">
        <v>76</v>
      </c>
      <c r="B87" s="5" t="n">
        <v>2431.275216484</v>
      </c>
      <c r="C87" s="8">
        <f>B87/B$102</f>
        <v/>
      </c>
      <c r="E87" s="9" t="n">
        <v>76</v>
      </c>
      <c r="F87" s="9" t="n">
        <v>343.1960527166316</v>
      </c>
      <c r="G87" s="8">
        <f>F87/F$102</f>
        <v/>
      </c>
    </row>
    <row r="88">
      <c r="A88" t="n">
        <v>77</v>
      </c>
      <c r="B88" s="5" t="n">
        <v>0</v>
      </c>
      <c r="C88" s="8">
        <f>B88/B$102</f>
        <v/>
      </c>
      <c r="E88" s="9" t="n">
        <v>77</v>
      </c>
      <c r="F88" s="9" t="n">
        <v>330.0350141576305</v>
      </c>
      <c r="G88" s="8">
        <f>F88/F$102</f>
        <v/>
      </c>
    </row>
    <row r="89">
      <c r="A89" t="n">
        <v>78</v>
      </c>
      <c r="B89" s="5" t="n">
        <v>265.778875</v>
      </c>
      <c r="C89" s="8">
        <f>B89/B$102</f>
        <v/>
      </c>
      <c r="E89" s="9" t="n">
        <v>78</v>
      </c>
      <c r="F89" s="9" t="n">
        <v>289.8031542324092</v>
      </c>
      <c r="G89" s="8">
        <f>F89/F$102</f>
        <v/>
      </c>
    </row>
    <row r="90">
      <c r="A90" t="n">
        <v>79</v>
      </c>
      <c r="B90" s="5" t="n">
        <v>0</v>
      </c>
      <c r="C90" s="8">
        <f>B90/B$102</f>
        <v/>
      </c>
      <c r="E90" s="9" t="n">
        <v>79</v>
      </c>
      <c r="F90" s="9" t="n">
        <v>306.0999230853661</v>
      </c>
      <c r="G90" s="8">
        <f>F90/F$102</f>
        <v/>
      </c>
    </row>
    <row r="91">
      <c r="A91" t="n">
        <v>80</v>
      </c>
      <c r="B91" s="5" t="n">
        <v>8712.436162205</v>
      </c>
      <c r="C91" s="8">
        <f>B91/B$102</f>
        <v/>
      </c>
      <c r="E91" s="9" t="n">
        <v>80</v>
      </c>
      <c r="F91" s="9" t="n">
        <v>275.45231535941</v>
      </c>
      <c r="G91" s="8">
        <f>F91/F$102</f>
        <v/>
      </c>
    </row>
    <row r="92">
      <c r="A92" t="n">
        <v>81</v>
      </c>
      <c r="B92" s="5" t="n">
        <v>0</v>
      </c>
      <c r="C92" s="8">
        <f>B92/B$102</f>
        <v/>
      </c>
      <c r="E92" s="9" t="n">
        <v>81</v>
      </c>
      <c r="F92" s="9" t="n">
        <v>285.9760170474732</v>
      </c>
      <c r="G92" s="8">
        <f>F92/F$102</f>
        <v/>
      </c>
    </row>
    <row r="93">
      <c r="A93" t="n">
        <v>82</v>
      </c>
      <c r="B93" s="5" t="n">
        <v>1587.06225</v>
      </c>
      <c r="C93" s="8">
        <f>B93/B$102</f>
        <v/>
      </c>
      <c r="E93" s="9" t="n">
        <v>82</v>
      </c>
      <c r="F93" s="9" t="n">
        <v>202.5726793839036</v>
      </c>
      <c r="G93" s="8">
        <f>F93/F$102</f>
        <v/>
      </c>
    </row>
    <row r="94">
      <c r="A94" t="n">
        <v>83</v>
      </c>
      <c r="B94" s="5" t="n">
        <v>21.55125</v>
      </c>
      <c r="C94" s="8">
        <f>B94/B$102</f>
        <v/>
      </c>
      <c r="E94" s="9" t="n">
        <v>83</v>
      </c>
      <c r="F94" s="9" t="n">
        <v>266.6903774936758</v>
      </c>
      <c r="G94" s="8">
        <f>F94/F$102</f>
        <v/>
      </c>
    </row>
    <row r="95">
      <c r="A95" t="n">
        <v>84</v>
      </c>
      <c r="B95" s="5" t="n">
        <v>736.1920170764</v>
      </c>
      <c r="C95" s="8">
        <f>B95/B$102</f>
        <v/>
      </c>
      <c r="E95" s="9" t="n">
        <v>84</v>
      </c>
      <c r="F95" s="9" t="n">
        <v>277.6170173488875</v>
      </c>
      <c r="G95" s="8">
        <f>F95/F$102</f>
        <v/>
      </c>
    </row>
    <row r="96">
      <c r="A96" t="n">
        <v>85</v>
      </c>
      <c r="B96" s="5" t="n">
        <v>176.449698513</v>
      </c>
      <c r="C96" s="8">
        <f>B96/B$102</f>
        <v/>
      </c>
      <c r="E96" s="9" t="n">
        <v>85</v>
      </c>
      <c r="F96" s="9" t="n">
        <v>247.2958936638094</v>
      </c>
      <c r="G96" s="8">
        <f>F96/F$102</f>
        <v/>
      </c>
    </row>
    <row r="97">
      <c r="A97" t="n">
        <v>86</v>
      </c>
      <c r="B97" s="5" t="n">
        <v>339.706125</v>
      </c>
      <c r="C97" s="8">
        <f>B97/B$102</f>
        <v/>
      </c>
      <c r="E97" s="9" t="n">
        <v>86</v>
      </c>
      <c r="F97" s="9" t="n">
        <v>244.6370074631297</v>
      </c>
      <c r="G97" s="8">
        <f>F97/F$102</f>
        <v/>
      </c>
    </row>
    <row r="98">
      <c r="A98" t="n">
        <v>87</v>
      </c>
      <c r="B98" s="5" t="n">
        <v>143.194</v>
      </c>
      <c r="C98" s="8">
        <f>B98/B$102</f>
        <v/>
      </c>
      <c r="E98" s="9" t="n">
        <v>87</v>
      </c>
      <c r="F98" s="9" t="n">
        <v>217.4324822734138</v>
      </c>
      <c r="G98" s="8">
        <f>F98/F$102</f>
        <v/>
      </c>
    </row>
    <row r="99">
      <c r="A99" t="n">
        <v>88</v>
      </c>
      <c r="B99" s="5" t="n">
        <v>195.045</v>
      </c>
      <c r="C99" s="8">
        <f>B99/B$102</f>
        <v/>
      </c>
      <c r="E99" s="9" t="n">
        <v>88</v>
      </c>
      <c r="F99" s="9" t="n">
        <v>208.7631444153193</v>
      </c>
      <c r="G99" s="8">
        <f>F99/F$102</f>
        <v/>
      </c>
    </row>
    <row r="100">
      <c r="A100" t="n">
        <v>89</v>
      </c>
      <c r="B100" s="5" t="n">
        <v>3248.298665265</v>
      </c>
      <c r="C100" s="8">
        <f>B100/B$102</f>
        <v/>
      </c>
      <c r="E100" s="9" t="n">
        <v>89</v>
      </c>
      <c r="F100" s="9" t="n">
        <v>193.2161704479757</v>
      </c>
      <c r="G100" s="8">
        <f>F100/F$102</f>
        <v/>
      </c>
    </row>
    <row r="101" ht="15.75" customHeight="1" thickBot="1">
      <c r="A101" s="1" t="n">
        <v>90</v>
      </c>
      <c r="B101" s="6" t="n">
        <v>22389.1394741028</v>
      </c>
      <c r="C101" s="8">
        <f>B101/B$102</f>
        <v/>
      </c>
      <c r="E101" s="10" t="n">
        <v>90</v>
      </c>
      <c r="F101" s="10" t="n">
        <v>13319.34633311545</v>
      </c>
      <c r="G101" s="8">
        <f>F101/F$102</f>
        <v/>
      </c>
    </row>
    <row r="102">
      <c r="B102" s="5">
        <f>SUM(B11:B101)</f>
        <v/>
      </c>
      <c r="C102" s="8">
        <f>B102/B$102</f>
        <v/>
      </c>
      <c r="F102" s="5">
        <f>SUM(F11:F101)</f>
        <v/>
      </c>
      <c r="G102" s="8">
        <f>F102/F$102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L102"/>
  <sheetViews>
    <sheetView workbookViewId="0">
      <selection activeCell="K11" sqref="K11:L11"/>
    </sheetView>
  </sheetViews>
  <sheetFormatPr baseColWidth="8" defaultRowHeight="15"/>
  <cols>
    <col collapsed="1" width="13.5703125" customWidth="1" min="1" max="1"/>
    <col collapsed="1" width="9.5703125" bestFit="1" customWidth="1" min="2" max="2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thickBot="1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J9" s="7" t="inlineStr">
        <is>
          <t>Table X. Average Trip Length</t>
        </is>
      </c>
    </row>
    <row r="10">
      <c r="A10" s="2" t="inlineStr">
        <is>
          <t>Distance (mi)</t>
        </is>
      </c>
      <c r="B10" s="4" t="inlineStr">
        <is>
          <t>Survey</t>
        </is>
      </c>
      <c r="C10" s="4" t="inlineStr">
        <is>
          <t>Survey</t>
        </is>
      </c>
      <c r="E10" s="2" t="inlineStr">
        <is>
          <t>Distance (mi)</t>
        </is>
      </c>
      <c r="F10" s="4" t="inlineStr">
        <is>
          <t>DaySim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5" t="n">
        <v>41036.6144514812</v>
      </c>
      <c r="C11" s="8">
        <f>B11/B$102</f>
        <v/>
      </c>
      <c r="E11" s="9" t="n">
        <v>0</v>
      </c>
      <c r="F11" s="9" t="n">
        <v>196351.0543357398</v>
      </c>
      <c r="G11" s="8">
        <f>F11/F$102</f>
        <v/>
      </c>
      <c r="K11" s="5" t="n">
        <v>6.893956947417957</v>
      </c>
      <c r="L11" s="5" t="n">
        <v>6.220207479107076</v>
      </c>
    </row>
    <row r="12">
      <c r="A12" t="n">
        <v>1</v>
      </c>
      <c r="B12" s="5" t="n">
        <v>70014.0946293031</v>
      </c>
      <c r="C12" s="8">
        <f>B12/B$102</f>
        <v/>
      </c>
      <c r="E12" s="9" t="n">
        <v>1</v>
      </c>
      <c r="F12" s="9" t="n">
        <v>173699.3036727626</v>
      </c>
      <c r="G12" s="8">
        <f>F12/F$102</f>
        <v/>
      </c>
      <c r="K12" s="5" t="n"/>
      <c r="L12" s="9" t="n"/>
    </row>
    <row r="13">
      <c r="A13" t="n">
        <v>2</v>
      </c>
      <c r="B13" s="5" t="n">
        <v>72983.42456198471</v>
      </c>
      <c r="C13" s="8">
        <f>B13/B$102</f>
        <v/>
      </c>
      <c r="E13" s="9" t="n">
        <v>2</v>
      </c>
      <c r="F13" s="9" t="n">
        <v>108873.9766242344</v>
      </c>
      <c r="G13" s="8">
        <f>F13/F$102</f>
        <v/>
      </c>
    </row>
    <row r="14">
      <c r="A14" t="n">
        <v>3</v>
      </c>
      <c r="B14" s="5" t="n">
        <v>120628.8023949881</v>
      </c>
      <c r="C14" s="8">
        <f>B14/B$102</f>
        <v/>
      </c>
      <c r="E14" s="9" t="n">
        <v>3</v>
      </c>
      <c r="F14" s="9" t="n">
        <v>67451.33426462926</v>
      </c>
      <c r="G14" s="8">
        <f>F14/F$102</f>
        <v/>
      </c>
    </row>
    <row r="15">
      <c r="A15" t="n">
        <v>4</v>
      </c>
      <c r="B15" s="5" t="n">
        <v>233807.7245633377</v>
      </c>
      <c r="C15" s="8">
        <f>B15/B$102</f>
        <v/>
      </c>
      <c r="E15" s="9" t="n">
        <v>4</v>
      </c>
      <c r="F15" s="9" t="n">
        <v>204778.2333472786</v>
      </c>
      <c r="G15" s="8">
        <f>F15/F$102</f>
        <v/>
      </c>
    </row>
    <row r="16">
      <c r="A16" t="n">
        <v>5</v>
      </c>
      <c r="B16" s="5" t="n">
        <v>111745.1382012634</v>
      </c>
      <c r="C16" s="8">
        <f>B16/B$102</f>
        <v/>
      </c>
      <c r="E16" s="9" t="n">
        <v>5</v>
      </c>
      <c r="F16" s="9" t="n">
        <v>94830.45451895741</v>
      </c>
      <c r="G16" s="8">
        <f>F16/F$102</f>
        <v/>
      </c>
    </row>
    <row r="17">
      <c r="A17" t="n">
        <v>6</v>
      </c>
      <c r="B17" s="5" t="n">
        <v>133033.0757617559</v>
      </c>
      <c r="C17" s="8">
        <f>B17/B$102</f>
        <v/>
      </c>
      <c r="E17" s="9" t="n">
        <v>6</v>
      </c>
      <c r="F17" s="9" t="n">
        <v>96412.53128034015</v>
      </c>
      <c r="G17" s="8">
        <f>F17/F$102</f>
        <v/>
      </c>
    </row>
    <row r="18">
      <c r="A18" t="n">
        <v>7</v>
      </c>
      <c r="B18" s="5" t="n">
        <v>107861.5911012974</v>
      </c>
      <c r="C18" s="8">
        <f>B18/B$102</f>
        <v/>
      </c>
      <c r="E18" s="9" t="n">
        <v>7</v>
      </c>
      <c r="F18" s="9" t="n">
        <v>54377.7226583123</v>
      </c>
      <c r="G18" s="8">
        <f>F18/F$102</f>
        <v/>
      </c>
    </row>
    <row r="19">
      <c r="A19" t="n">
        <v>8</v>
      </c>
      <c r="B19" s="5" t="n">
        <v>50501.0687918001</v>
      </c>
      <c r="C19" s="8">
        <f>B19/B$102</f>
        <v/>
      </c>
      <c r="E19" s="9" t="n">
        <v>8</v>
      </c>
      <c r="F19" s="9" t="n">
        <v>50732.90601350663</v>
      </c>
      <c r="G19" s="8">
        <f>F19/F$102</f>
        <v/>
      </c>
    </row>
    <row r="20">
      <c r="A20" t="n">
        <v>9</v>
      </c>
      <c r="B20" s="5" t="n">
        <v>31816.0735574426</v>
      </c>
      <c r="C20" s="8">
        <f>B20/B$102</f>
        <v/>
      </c>
      <c r="E20" s="9" t="n">
        <v>9</v>
      </c>
      <c r="F20" s="9" t="n">
        <v>31283.16565465218</v>
      </c>
      <c r="G20" s="8">
        <f>F20/F$102</f>
        <v/>
      </c>
    </row>
    <row r="21">
      <c r="A21" t="n">
        <v>10</v>
      </c>
      <c r="B21" s="5" t="n">
        <v>86161.2258041164</v>
      </c>
      <c r="C21" s="8">
        <f>B21/B$102</f>
        <v/>
      </c>
      <c r="E21" s="9" t="n">
        <v>10</v>
      </c>
      <c r="F21" s="9" t="n">
        <v>23302.57775630596</v>
      </c>
      <c r="G21" s="8">
        <f>F21/F$102</f>
        <v/>
      </c>
    </row>
    <row r="22">
      <c r="A22" t="n">
        <v>11</v>
      </c>
      <c r="B22" s="5" t="n">
        <v>23471.3984698237</v>
      </c>
      <c r="C22" s="8">
        <f>B22/B$102</f>
        <v/>
      </c>
      <c r="E22" s="9" t="n">
        <v>11</v>
      </c>
      <c r="F22" s="9" t="n">
        <v>23966.22481935789</v>
      </c>
      <c r="G22" s="8">
        <f>F22/F$102</f>
        <v/>
      </c>
    </row>
    <row r="23">
      <c r="A23" t="n">
        <v>12</v>
      </c>
      <c r="B23" s="5" t="n">
        <v>16892.030641544</v>
      </c>
      <c r="C23" s="8">
        <f>B23/B$102</f>
        <v/>
      </c>
      <c r="E23" s="9" t="n">
        <v>12</v>
      </c>
      <c r="F23" s="9" t="n">
        <v>21094.90208743365</v>
      </c>
      <c r="G23" s="8">
        <f>F23/F$102</f>
        <v/>
      </c>
    </row>
    <row r="24">
      <c r="A24" t="n">
        <v>13</v>
      </c>
      <c r="B24" s="5" t="n">
        <v>15943.1519336711</v>
      </c>
      <c r="C24" s="8">
        <f>B24/B$102</f>
        <v/>
      </c>
      <c r="E24" s="9" t="n">
        <v>13</v>
      </c>
      <c r="F24" s="9" t="n">
        <v>16829.62720833189</v>
      </c>
      <c r="G24" s="8">
        <f>F24/F$102</f>
        <v/>
      </c>
    </row>
    <row r="25">
      <c r="A25" t="n">
        <v>14</v>
      </c>
      <c r="B25" s="5" t="n">
        <v>7832.5718147952</v>
      </c>
      <c r="C25" s="8">
        <f>B25/B$102</f>
        <v/>
      </c>
      <c r="E25" s="9" t="n">
        <v>14</v>
      </c>
      <c r="F25" s="9" t="n">
        <v>16563.40851139301</v>
      </c>
      <c r="G25" s="8">
        <f>F25/F$102</f>
        <v/>
      </c>
    </row>
    <row r="26">
      <c r="A26" t="n">
        <v>15</v>
      </c>
      <c r="B26" s="5" t="n">
        <v>12343.4433601623</v>
      </c>
      <c r="C26" s="8">
        <f>B26/B$102</f>
        <v/>
      </c>
      <c r="E26" s="9" t="n">
        <v>15</v>
      </c>
      <c r="F26" s="9" t="n">
        <v>18479.31701819414</v>
      </c>
      <c r="G26" s="8">
        <f>F26/F$102</f>
        <v/>
      </c>
    </row>
    <row r="27">
      <c r="A27" t="n">
        <v>16</v>
      </c>
      <c r="B27" s="5" t="n">
        <v>10817.380646548</v>
      </c>
      <c r="C27" s="8">
        <f>B27/B$102</f>
        <v/>
      </c>
      <c r="E27" s="9" t="n">
        <v>16</v>
      </c>
      <c r="F27" s="9" t="n">
        <v>17113.73982913474</v>
      </c>
      <c r="G27" s="8">
        <f>F27/F$102</f>
        <v/>
      </c>
    </row>
    <row r="28">
      <c r="A28" t="n">
        <v>17</v>
      </c>
      <c r="B28" s="5" t="n">
        <v>17419.7887826173</v>
      </c>
      <c r="C28" s="8">
        <f>B28/B$102</f>
        <v/>
      </c>
      <c r="E28" s="9" t="n">
        <v>17</v>
      </c>
      <c r="F28" s="9" t="n">
        <v>12360.55150954667</v>
      </c>
      <c r="G28" s="8">
        <f>F28/F$102</f>
        <v/>
      </c>
    </row>
    <row r="29">
      <c r="A29" t="n">
        <v>18</v>
      </c>
      <c r="B29" s="5" t="n">
        <v>18966.5703644235</v>
      </c>
      <c r="C29" s="8">
        <f>B29/B$102</f>
        <v/>
      </c>
      <c r="E29" s="9" t="n">
        <v>18</v>
      </c>
      <c r="F29" s="9" t="n">
        <v>10028.16968030473</v>
      </c>
      <c r="G29" s="8">
        <f>F29/F$102</f>
        <v/>
      </c>
    </row>
    <row r="30">
      <c r="A30" t="n">
        <v>19</v>
      </c>
      <c r="B30" s="5" t="n">
        <v>5712.8777091771</v>
      </c>
      <c r="C30" s="8">
        <f>B30/B$102</f>
        <v/>
      </c>
      <c r="E30" s="9" t="n">
        <v>19</v>
      </c>
      <c r="F30" s="9" t="n">
        <v>7657.207736282159</v>
      </c>
      <c r="G30" s="8">
        <f>F30/F$102</f>
        <v/>
      </c>
    </row>
    <row r="31">
      <c r="A31" t="n">
        <v>20</v>
      </c>
      <c r="B31" s="5" t="n">
        <v>7905.4607745684</v>
      </c>
      <c r="C31" s="8">
        <f>B31/B$102</f>
        <v/>
      </c>
      <c r="E31" s="9" t="n">
        <v>20</v>
      </c>
      <c r="F31" s="9" t="n">
        <v>8245.994016854052</v>
      </c>
      <c r="G31" s="8">
        <f>F31/F$102</f>
        <v/>
      </c>
    </row>
    <row r="32">
      <c r="A32" t="n">
        <v>21</v>
      </c>
      <c r="B32" s="5" t="n">
        <v>5865.5300556841</v>
      </c>
      <c r="C32" s="8">
        <f>B32/B$102</f>
        <v/>
      </c>
      <c r="E32" s="9" t="n">
        <v>21</v>
      </c>
      <c r="F32" s="9" t="n">
        <v>5790.755568748651</v>
      </c>
      <c r="G32" s="8">
        <f>F32/F$102</f>
        <v/>
      </c>
    </row>
    <row r="33">
      <c r="A33" t="n">
        <v>22</v>
      </c>
      <c r="B33" s="5" t="n">
        <v>5503.4160241288</v>
      </c>
      <c r="C33" s="8">
        <f>B33/B$102</f>
        <v/>
      </c>
      <c r="E33" s="9" t="n">
        <v>22</v>
      </c>
      <c r="F33" s="9" t="n">
        <v>6034.002244478928</v>
      </c>
      <c r="G33" s="8">
        <f>F33/F$102</f>
        <v/>
      </c>
    </row>
    <row r="34">
      <c r="A34" t="n">
        <v>23</v>
      </c>
      <c r="B34" s="5" t="n">
        <v>7207.0823968347</v>
      </c>
      <c r="C34" s="8">
        <f>B34/B$102</f>
        <v/>
      </c>
      <c r="E34" s="9" t="n">
        <v>23</v>
      </c>
      <c r="F34" s="9" t="n">
        <v>4961.222150711141</v>
      </c>
      <c r="G34" s="8">
        <f>F34/F$102</f>
        <v/>
      </c>
    </row>
    <row r="35">
      <c r="A35" t="n">
        <v>24</v>
      </c>
      <c r="B35" s="5" t="n">
        <v>1879.5049007177</v>
      </c>
      <c r="C35" s="8">
        <f>B35/B$102</f>
        <v/>
      </c>
      <c r="E35" s="9" t="n">
        <v>24</v>
      </c>
      <c r="F35" s="9" t="n">
        <v>4856.809920977201</v>
      </c>
      <c r="G35" s="8">
        <f>F35/F$102</f>
        <v/>
      </c>
    </row>
    <row r="36">
      <c r="A36" t="n">
        <v>25</v>
      </c>
      <c r="B36" s="5" t="n">
        <v>1572.429199</v>
      </c>
      <c r="C36" s="8">
        <f>B36/B$102</f>
        <v/>
      </c>
      <c r="E36" s="9" t="n">
        <v>25</v>
      </c>
      <c r="F36" s="9" t="n">
        <v>4570.655010013908</v>
      </c>
      <c r="G36" s="8">
        <f>F36/F$102</f>
        <v/>
      </c>
    </row>
    <row r="37">
      <c r="A37" t="n">
        <v>26</v>
      </c>
      <c r="B37" s="5" t="n">
        <v>501.9088297287</v>
      </c>
      <c r="C37" s="8">
        <f>B37/B$102</f>
        <v/>
      </c>
      <c r="E37" s="9" t="n">
        <v>26</v>
      </c>
      <c r="F37" s="9" t="n">
        <v>4426.494261729675</v>
      </c>
      <c r="G37" s="8">
        <f>F37/F$102</f>
        <v/>
      </c>
    </row>
    <row r="38">
      <c r="A38" t="n">
        <v>27</v>
      </c>
      <c r="B38" s="5" t="n">
        <v>3553.514310411</v>
      </c>
      <c r="C38" s="8">
        <f>B38/B$102</f>
        <v/>
      </c>
      <c r="E38" s="9" t="n">
        <v>27</v>
      </c>
      <c r="F38" s="9" t="n">
        <v>2923.672471717101</v>
      </c>
      <c r="G38" s="8">
        <f>F38/F$102</f>
        <v/>
      </c>
    </row>
    <row r="39">
      <c r="A39" t="n">
        <v>28</v>
      </c>
      <c r="B39" s="5" t="n">
        <v>2277.679470475</v>
      </c>
      <c r="C39" s="8">
        <f>B39/B$102</f>
        <v/>
      </c>
      <c r="E39" s="9" t="n">
        <v>28</v>
      </c>
      <c r="F39" s="9" t="n">
        <v>3240.002319365611</v>
      </c>
      <c r="G39" s="8">
        <f>F39/F$102</f>
        <v/>
      </c>
    </row>
    <row r="40">
      <c r="A40" t="n">
        <v>29</v>
      </c>
      <c r="B40" s="5" t="n">
        <v>1110.185088022</v>
      </c>
      <c r="C40" s="8">
        <f>B40/B$102</f>
        <v/>
      </c>
      <c r="E40" s="9" t="n">
        <v>29</v>
      </c>
      <c r="F40" s="9" t="n">
        <v>2463.313255415377</v>
      </c>
      <c r="G40" s="8">
        <f>F40/F$102</f>
        <v/>
      </c>
    </row>
    <row r="41">
      <c r="A41" t="n">
        <v>30</v>
      </c>
      <c r="B41" s="5" t="n">
        <v>0</v>
      </c>
      <c r="C41" s="8">
        <f>B41/B$102</f>
        <v/>
      </c>
      <c r="E41" s="9" t="n">
        <v>30</v>
      </c>
      <c r="F41" s="9" t="n">
        <v>2207.733558545079</v>
      </c>
      <c r="G41" s="8">
        <f>F41/F$102</f>
        <v/>
      </c>
    </row>
    <row r="42">
      <c r="A42" t="n">
        <v>31</v>
      </c>
      <c r="B42" s="5" t="n">
        <v>616.4765828231</v>
      </c>
      <c r="C42" s="8">
        <f>B42/B$102</f>
        <v/>
      </c>
      <c r="E42" s="9" t="n">
        <v>31</v>
      </c>
      <c r="F42" s="9" t="n">
        <v>1929.866869565845</v>
      </c>
      <c r="G42" s="8">
        <f>F42/F$102</f>
        <v/>
      </c>
    </row>
    <row r="43">
      <c r="A43" t="n">
        <v>32</v>
      </c>
      <c r="B43" s="5" t="n">
        <v>159.396922991</v>
      </c>
      <c r="C43" s="8">
        <f>B43/B$102</f>
        <v/>
      </c>
      <c r="E43" s="9" t="n">
        <v>32</v>
      </c>
      <c r="F43" s="9" t="n">
        <v>1514.558236899092</v>
      </c>
      <c r="G43" s="8">
        <f>F43/F$102</f>
        <v/>
      </c>
    </row>
    <row r="44">
      <c r="A44" t="n">
        <v>33</v>
      </c>
      <c r="B44" s="5" t="n">
        <v>1202.624334424</v>
      </c>
      <c r="C44" s="8">
        <f>B44/B$102</f>
        <v/>
      </c>
      <c r="E44" s="9" t="n">
        <v>33</v>
      </c>
      <c r="F44" s="9" t="n">
        <v>1413.203908032099</v>
      </c>
      <c r="G44" s="8">
        <f>F44/F$102</f>
        <v/>
      </c>
    </row>
    <row r="45">
      <c r="A45" t="n">
        <v>34</v>
      </c>
      <c r="B45" s="5" t="n">
        <v>8406.910522039199</v>
      </c>
      <c r="C45" s="8">
        <f>B45/B$102</f>
        <v/>
      </c>
      <c r="E45" s="9" t="n">
        <v>34</v>
      </c>
      <c r="F45" s="9" t="n">
        <v>1182.826546511355</v>
      </c>
      <c r="G45" s="8">
        <f>F45/F$102</f>
        <v/>
      </c>
    </row>
    <row r="46">
      <c r="A46" t="n">
        <v>35</v>
      </c>
      <c r="B46" s="5" t="n">
        <v>760.643560281</v>
      </c>
      <c r="C46" s="8">
        <f>B46/B$102</f>
        <v/>
      </c>
      <c r="E46" s="9" t="n">
        <v>35</v>
      </c>
      <c r="F46" s="9" t="n">
        <v>978.4921629119478</v>
      </c>
      <c r="G46" s="8">
        <f>F46/F$102</f>
        <v/>
      </c>
    </row>
    <row r="47">
      <c r="A47" t="n">
        <v>36</v>
      </c>
      <c r="B47" s="5" t="n">
        <v>0</v>
      </c>
      <c r="C47" s="8">
        <f>B47/B$102</f>
        <v/>
      </c>
      <c r="E47" s="9" t="n">
        <v>36</v>
      </c>
      <c r="F47" s="9" t="n">
        <v>1190.473425373769</v>
      </c>
      <c r="G47" s="8">
        <f>F47/F$102</f>
        <v/>
      </c>
    </row>
    <row r="48">
      <c r="A48" t="n">
        <v>37</v>
      </c>
      <c r="B48" s="5" t="n">
        <v>205.011586153</v>
      </c>
      <c r="C48" s="8">
        <f>B48/B$102</f>
        <v/>
      </c>
      <c r="E48" s="9" t="n">
        <v>37</v>
      </c>
      <c r="F48" s="9" t="n">
        <v>886.8179469804011</v>
      </c>
      <c r="G48" s="8">
        <f>F48/F$102</f>
        <v/>
      </c>
    </row>
    <row r="49">
      <c r="A49" t="n">
        <v>38</v>
      </c>
      <c r="B49" s="5" t="n">
        <v>1198.864695919</v>
      </c>
      <c r="C49" s="8">
        <f>B49/B$102</f>
        <v/>
      </c>
      <c r="E49" s="9" t="n">
        <v>38</v>
      </c>
      <c r="F49" s="9" t="n">
        <v>905.8120198969465</v>
      </c>
      <c r="G49" s="8">
        <f>F49/F$102</f>
        <v/>
      </c>
    </row>
    <row r="50">
      <c r="A50" t="n">
        <v>39</v>
      </c>
      <c r="B50" s="5" t="n">
        <v>1778.05794497</v>
      </c>
      <c r="C50" s="8">
        <f>B50/B$102</f>
        <v/>
      </c>
      <c r="E50" s="9" t="n">
        <v>39</v>
      </c>
      <c r="F50" s="9" t="n">
        <v>776.3386973987377</v>
      </c>
      <c r="G50" s="8">
        <f>F50/F$102</f>
        <v/>
      </c>
    </row>
    <row r="51">
      <c r="A51" t="n">
        <v>40</v>
      </c>
      <c r="B51" s="5" t="n">
        <v>0</v>
      </c>
      <c r="C51" s="8">
        <f>B51/B$102</f>
        <v/>
      </c>
      <c r="E51" s="9" t="n">
        <v>40</v>
      </c>
      <c r="F51" s="9" t="n">
        <v>614.3159217665184</v>
      </c>
      <c r="G51" s="8">
        <f>F51/F$102</f>
        <v/>
      </c>
    </row>
    <row r="52">
      <c r="A52" t="n">
        <v>41</v>
      </c>
      <c r="B52" s="5" t="n">
        <v>0</v>
      </c>
      <c r="C52" s="8">
        <f>B52/B$102</f>
        <v/>
      </c>
      <c r="E52" s="9" t="n">
        <v>41</v>
      </c>
      <c r="F52" s="9" t="n">
        <v>454.4506965187492</v>
      </c>
      <c r="G52" s="8">
        <f>F52/F$102</f>
        <v/>
      </c>
    </row>
    <row r="53">
      <c r="A53" t="n">
        <v>42</v>
      </c>
      <c r="B53" s="5" t="n">
        <v>317.065697077</v>
      </c>
      <c r="C53" s="8">
        <f>B53/B$102</f>
        <v/>
      </c>
      <c r="E53" s="9" t="n">
        <v>42</v>
      </c>
      <c r="F53" s="9" t="n">
        <v>409.9837023926071</v>
      </c>
      <c r="G53" s="8">
        <f>F53/F$102</f>
        <v/>
      </c>
    </row>
    <row r="54">
      <c r="A54" t="n">
        <v>43</v>
      </c>
      <c r="B54" s="5" t="n">
        <v>794.0327051950001</v>
      </c>
      <c r="C54" s="8">
        <f>B54/B$102</f>
        <v/>
      </c>
      <c r="E54" s="9" t="n">
        <v>43</v>
      </c>
      <c r="F54" s="9" t="n">
        <v>312.3997370646218</v>
      </c>
      <c r="G54" s="8">
        <f>F54/F$102</f>
        <v/>
      </c>
    </row>
    <row r="55">
      <c r="A55" t="n">
        <v>44</v>
      </c>
      <c r="B55" s="5" t="n">
        <v>387.674382174</v>
      </c>
      <c r="C55" s="8">
        <f>B55/B$102</f>
        <v/>
      </c>
      <c r="E55" s="9" t="n">
        <v>44</v>
      </c>
      <c r="F55" s="9" t="n">
        <v>275.8475569304552</v>
      </c>
      <c r="G55" s="8">
        <f>F55/F$102</f>
        <v/>
      </c>
    </row>
    <row r="56">
      <c r="A56" t="n">
        <v>45</v>
      </c>
      <c r="B56" s="5" t="n">
        <v>343.963060963</v>
      </c>
      <c r="C56" s="8">
        <f>B56/B$102</f>
        <v/>
      </c>
      <c r="E56" s="9" t="n">
        <v>45</v>
      </c>
      <c r="F56" s="9" t="n">
        <v>304.2256911498563</v>
      </c>
      <c r="G56" s="8">
        <f>F56/F$102</f>
        <v/>
      </c>
    </row>
    <row r="57">
      <c r="A57" t="n">
        <v>46</v>
      </c>
      <c r="B57" s="5" t="n">
        <v>0</v>
      </c>
      <c r="C57" s="8">
        <f>B57/B$102</f>
        <v/>
      </c>
      <c r="E57" s="9" t="n">
        <v>46</v>
      </c>
      <c r="F57" s="9" t="n">
        <v>224.5015633933258</v>
      </c>
      <c r="G57" s="8">
        <f>F57/F$102</f>
        <v/>
      </c>
    </row>
    <row r="58">
      <c r="A58" t="n">
        <v>47</v>
      </c>
      <c r="B58" s="5" t="n">
        <v>0</v>
      </c>
      <c r="C58" s="8">
        <f>B58/B$102</f>
        <v/>
      </c>
      <c r="E58" s="9" t="n">
        <v>47</v>
      </c>
      <c r="F58" s="9" t="n">
        <v>218.7945950051323</v>
      </c>
      <c r="G58" s="8">
        <f>F58/F$102</f>
        <v/>
      </c>
    </row>
    <row r="59">
      <c r="A59" t="n">
        <v>48</v>
      </c>
      <c r="B59" s="5" t="n">
        <v>0</v>
      </c>
      <c r="C59" s="8">
        <f>B59/B$102</f>
        <v/>
      </c>
      <c r="E59" s="9" t="n">
        <v>48</v>
      </c>
      <c r="F59" s="9" t="n">
        <v>169.0333358211174</v>
      </c>
      <c r="G59" s="8">
        <f>F59/F$102</f>
        <v/>
      </c>
    </row>
    <row r="60">
      <c r="A60" t="n">
        <v>49</v>
      </c>
      <c r="B60" s="5" t="n">
        <v>0</v>
      </c>
      <c r="C60" s="8">
        <f>B60/B$102</f>
        <v/>
      </c>
      <c r="E60" s="9" t="n">
        <v>49</v>
      </c>
      <c r="F60" s="9" t="n">
        <v>150.4453522283337</v>
      </c>
      <c r="G60" s="8">
        <f>F60/F$102</f>
        <v/>
      </c>
    </row>
    <row r="61">
      <c r="A61" t="n">
        <v>50</v>
      </c>
      <c r="B61" s="5" t="n">
        <v>0</v>
      </c>
      <c r="C61" s="8">
        <f>B61/B$102</f>
        <v/>
      </c>
      <c r="E61" s="9" t="n">
        <v>50</v>
      </c>
      <c r="F61" s="9" t="n">
        <v>107.7239600847543</v>
      </c>
      <c r="G61" s="8">
        <f>F61/F$102</f>
        <v/>
      </c>
    </row>
    <row r="62">
      <c r="A62" t="n">
        <v>51</v>
      </c>
      <c r="B62" s="5" t="n">
        <v>0</v>
      </c>
      <c r="C62" s="8">
        <f>B62/B$102</f>
        <v/>
      </c>
      <c r="E62" s="9" t="n">
        <v>51</v>
      </c>
      <c r="F62" s="9" t="n">
        <v>152.9887299340892</v>
      </c>
      <c r="G62" s="8">
        <f>F62/F$102</f>
        <v/>
      </c>
    </row>
    <row r="63">
      <c r="A63" t="n">
        <v>52</v>
      </c>
      <c r="B63" s="5" t="n">
        <v>554.6612293970001</v>
      </c>
      <c r="C63" s="8">
        <f>B63/B$102</f>
        <v/>
      </c>
      <c r="E63" s="9" t="n">
        <v>52</v>
      </c>
      <c r="F63" s="9" t="n">
        <v>88.95754175344958</v>
      </c>
      <c r="G63" s="8">
        <f>F63/F$102</f>
        <v/>
      </c>
    </row>
    <row r="64">
      <c r="A64" t="n">
        <v>53</v>
      </c>
      <c r="B64" s="5" t="n">
        <v>4.59375</v>
      </c>
      <c r="C64" s="8">
        <f>B64/B$102</f>
        <v/>
      </c>
      <c r="E64" s="9" t="n">
        <v>53</v>
      </c>
      <c r="F64" s="9" t="n">
        <v>86.82958171132466</v>
      </c>
      <c r="G64" s="8">
        <f>F64/F$102</f>
        <v/>
      </c>
    </row>
    <row r="65">
      <c r="A65" t="n">
        <v>54</v>
      </c>
      <c r="B65" s="5" t="n">
        <v>0</v>
      </c>
      <c r="C65" s="8">
        <f>B65/B$102</f>
        <v/>
      </c>
      <c r="E65" s="9" t="n">
        <v>54</v>
      </c>
      <c r="F65" s="9" t="n">
        <v>74.40777301221443</v>
      </c>
      <c r="G65" s="8">
        <f>F65/F$102</f>
        <v/>
      </c>
    </row>
    <row r="66">
      <c r="A66" t="n">
        <v>55</v>
      </c>
      <c r="B66" s="5" t="n">
        <v>0</v>
      </c>
      <c r="C66" s="8">
        <f>B66/B$102</f>
        <v/>
      </c>
      <c r="E66" s="9" t="n">
        <v>55</v>
      </c>
      <c r="F66" s="9" t="n">
        <v>55.66539853508298</v>
      </c>
      <c r="G66" s="8">
        <f>F66/F$102</f>
        <v/>
      </c>
    </row>
    <row r="67">
      <c r="A67" t="n">
        <v>56</v>
      </c>
      <c r="B67" s="5" t="n">
        <v>248.013120292</v>
      </c>
      <c r="C67" s="8">
        <f>B67/B$102</f>
        <v/>
      </c>
      <c r="E67" s="9" t="n">
        <v>56</v>
      </c>
      <c r="F67" s="9" t="n">
        <v>51.77135938914985</v>
      </c>
      <c r="G67" s="8">
        <f>F67/F$102</f>
        <v/>
      </c>
    </row>
    <row r="68">
      <c r="A68" t="n">
        <v>57</v>
      </c>
      <c r="B68" s="5" t="n">
        <v>0</v>
      </c>
      <c r="C68" s="8">
        <f>B68/B$102</f>
        <v/>
      </c>
      <c r="E68" s="9" t="n">
        <v>57</v>
      </c>
      <c r="F68" s="9" t="n">
        <v>43.41196813276155</v>
      </c>
      <c r="G68" s="8">
        <f>F68/F$102</f>
        <v/>
      </c>
    </row>
    <row r="69">
      <c r="A69" t="n">
        <v>58</v>
      </c>
      <c r="B69" s="5" t="n">
        <v>0</v>
      </c>
      <c r="C69" s="8">
        <f>B69/B$102</f>
        <v/>
      </c>
      <c r="E69" s="9" t="n">
        <v>58</v>
      </c>
      <c r="F69" s="9" t="n">
        <v>49.98084566105227</v>
      </c>
      <c r="G69" s="8">
        <f>F69/F$102</f>
        <v/>
      </c>
    </row>
    <row r="70">
      <c r="A70" t="n">
        <v>59</v>
      </c>
      <c r="B70" s="5" t="n">
        <v>0</v>
      </c>
      <c r="C70" s="8">
        <f>B70/B$102</f>
        <v/>
      </c>
      <c r="E70" s="9" t="n">
        <v>59</v>
      </c>
      <c r="F70" s="9" t="n">
        <v>33.3331370071571</v>
      </c>
      <c r="G70" s="8">
        <f>F70/F$102</f>
        <v/>
      </c>
    </row>
    <row r="71">
      <c r="A71" t="n">
        <v>60</v>
      </c>
      <c r="B71" s="5" t="n">
        <v>0</v>
      </c>
      <c r="C71" s="8">
        <f>B71/B$102</f>
        <v/>
      </c>
      <c r="E71" s="9" t="n">
        <v>60</v>
      </c>
      <c r="F71" s="9" t="n">
        <v>27.07087775303515</v>
      </c>
      <c r="G71" s="8">
        <f>F71/F$102</f>
        <v/>
      </c>
    </row>
    <row r="72">
      <c r="A72" t="n">
        <v>61</v>
      </c>
      <c r="B72" s="5" t="n">
        <v>0</v>
      </c>
      <c r="C72" s="8">
        <f>B72/B$102</f>
        <v/>
      </c>
      <c r="E72" s="9" t="n">
        <v>61</v>
      </c>
      <c r="F72" s="9" t="n">
        <v>22.31294194674821</v>
      </c>
      <c r="G72" s="8">
        <f>F72/F$102</f>
        <v/>
      </c>
    </row>
    <row r="73">
      <c r="A73" t="n">
        <v>62</v>
      </c>
      <c r="B73" s="5" t="n">
        <v>0</v>
      </c>
      <c r="C73" s="8">
        <f>B73/B$102</f>
        <v/>
      </c>
      <c r="E73" s="9" t="n">
        <v>62</v>
      </c>
      <c r="F73" s="9" t="n">
        <v>18.53875637315706</v>
      </c>
      <c r="G73" s="8">
        <f>F73/F$102</f>
        <v/>
      </c>
    </row>
    <row r="74">
      <c r="A74" t="n">
        <v>63</v>
      </c>
      <c r="B74" s="5" t="n">
        <v>0</v>
      </c>
      <c r="C74" s="8">
        <f>B74/B$102</f>
        <v/>
      </c>
      <c r="E74" s="9" t="n">
        <v>63</v>
      </c>
      <c r="F74" s="9" t="n">
        <v>24.7008234590451</v>
      </c>
      <c r="G74" s="8">
        <f>F74/F$102</f>
        <v/>
      </c>
    </row>
    <row r="75">
      <c r="A75" t="n">
        <v>64</v>
      </c>
      <c r="B75" s="5" t="n">
        <v>0</v>
      </c>
      <c r="C75" s="8">
        <f>B75/B$102</f>
        <v/>
      </c>
      <c r="E75" s="9" t="n">
        <v>64</v>
      </c>
      <c r="F75" s="9" t="n">
        <v>12.65</v>
      </c>
      <c r="G75" s="8">
        <f>F75/F$102</f>
        <v/>
      </c>
    </row>
    <row r="76">
      <c r="A76" t="n">
        <v>65</v>
      </c>
      <c r="B76" s="5" t="n">
        <v>0</v>
      </c>
      <c r="C76" s="8">
        <f>B76/B$102</f>
        <v/>
      </c>
      <c r="E76" s="9" t="n">
        <v>65</v>
      </c>
      <c r="F76" s="9" t="n">
        <v>4.6</v>
      </c>
      <c r="G76" s="8">
        <f>F76/F$102</f>
        <v/>
      </c>
    </row>
    <row r="77">
      <c r="A77" t="n">
        <v>66</v>
      </c>
      <c r="B77" s="5" t="n">
        <v>0</v>
      </c>
      <c r="C77" s="8">
        <f>B77/B$102</f>
        <v/>
      </c>
      <c r="E77" s="9" t="n">
        <v>66</v>
      </c>
      <c r="F77" s="9" t="n">
        <v>0</v>
      </c>
      <c r="G77" s="8">
        <f>F77/F$102</f>
        <v/>
      </c>
    </row>
    <row r="78">
      <c r="A78" t="n">
        <v>67</v>
      </c>
      <c r="B78" s="5" t="n">
        <v>0</v>
      </c>
      <c r="C78" s="8">
        <f>B78/B$102</f>
        <v/>
      </c>
      <c r="E78" s="9" t="n">
        <v>67</v>
      </c>
      <c r="F78" s="9" t="n">
        <v>18.4</v>
      </c>
      <c r="G78" s="8">
        <f>F78/F$102</f>
        <v/>
      </c>
    </row>
    <row r="79">
      <c r="A79" t="n">
        <v>68</v>
      </c>
      <c r="B79" s="5" t="n">
        <v>0</v>
      </c>
      <c r="C79" s="8">
        <f>B79/B$102</f>
        <v/>
      </c>
      <c r="E79" s="9" t="n">
        <v>68</v>
      </c>
      <c r="F79" s="9" t="n">
        <v>17.21477856159799</v>
      </c>
      <c r="G79" s="8">
        <f>F79/F$102</f>
        <v/>
      </c>
    </row>
    <row r="80">
      <c r="A80" t="n">
        <v>69</v>
      </c>
      <c r="B80" s="5" t="n">
        <v>0</v>
      </c>
      <c r="C80" s="8">
        <f>B80/B$102</f>
        <v/>
      </c>
      <c r="E80" s="9" t="n">
        <v>69</v>
      </c>
      <c r="F80" s="9" t="n">
        <v>4.6</v>
      </c>
      <c r="G80" s="8">
        <f>F80/F$102</f>
        <v/>
      </c>
    </row>
    <row r="81">
      <c r="A81" t="n">
        <v>70</v>
      </c>
      <c r="B81" s="5" t="n">
        <v>0</v>
      </c>
      <c r="C81" s="8">
        <f>B81/B$102</f>
        <v/>
      </c>
      <c r="E81" s="9" t="n">
        <v>70</v>
      </c>
      <c r="F81" s="9" t="n">
        <v>4.6</v>
      </c>
      <c r="G81" s="8">
        <f>F81/F$102</f>
        <v/>
      </c>
    </row>
    <row r="82">
      <c r="A82" t="n">
        <v>71</v>
      </c>
      <c r="B82" s="5" t="n">
        <v>0</v>
      </c>
      <c r="C82" s="8">
        <f>B82/B$102</f>
        <v/>
      </c>
      <c r="E82" s="9" t="n">
        <v>71</v>
      </c>
      <c r="F82" s="9" t="n">
        <v>2.3</v>
      </c>
      <c r="G82" s="8">
        <f>F82/F$102</f>
        <v/>
      </c>
    </row>
    <row r="83">
      <c r="A83" t="n">
        <v>72</v>
      </c>
      <c r="B83" s="5" t="n">
        <v>0</v>
      </c>
      <c r="C83" s="8">
        <f>B83/B$102</f>
        <v/>
      </c>
      <c r="E83" s="9" t="n">
        <v>72</v>
      </c>
      <c r="F83" s="9" t="n">
        <v>3.683997800384635</v>
      </c>
      <c r="G83" s="8">
        <f>F83/F$102</f>
        <v/>
      </c>
    </row>
    <row r="84">
      <c r="A84" t="n">
        <v>73</v>
      </c>
      <c r="B84" s="5" t="n">
        <v>0</v>
      </c>
      <c r="C84" s="8">
        <f>B84/B$102</f>
        <v/>
      </c>
      <c r="E84" s="9" t="n">
        <v>73</v>
      </c>
      <c r="F84" s="9" t="n">
        <v>0.389406779661043</v>
      </c>
      <c r="G84" s="8">
        <f>F84/F$102</f>
        <v/>
      </c>
    </row>
    <row r="85">
      <c r="A85" t="n">
        <v>74</v>
      </c>
      <c r="B85" s="5" t="n">
        <v>0</v>
      </c>
      <c r="C85" s="8">
        <f>B85/B$102</f>
        <v/>
      </c>
      <c r="E85" s="9" t="n">
        <v>74</v>
      </c>
      <c r="F85" s="9" t="n">
        <v>2.3</v>
      </c>
      <c r="G85" s="8">
        <f>F85/F$102</f>
        <v/>
      </c>
    </row>
    <row r="86">
      <c r="A86" t="n">
        <v>75</v>
      </c>
      <c r="B86" s="5" t="n">
        <v>0</v>
      </c>
      <c r="C86" s="8">
        <f>B86/B$102</f>
        <v/>
      </c>
      <c r="E86" s="9" t="n">
        <v>75</v>
      </c>
      <c r="F86" s="9" t="n">
        <v>1.15</v>
      </c>
      <c r="G86" s="8">
        <f>F86/F$102</f>
        <v/>
      </c>
    </row>
    <row r="87">
      <c r="A87" t="n">
        <v>76</v>
      </c>
      <c r="B87" s="5" t="n">
        <v>0</v>
      </c>
      <c r="C87" s="8">
        <f>B87/B$102</f>
        <v/>
      </c>
      <c r="E87" s="9" t="n">
        <v>76</v>
      </c>
      <c r="F87" s="9" t="n">
        <v>0</v>
      </c>
      <c r="G87" s="8">
        <f>F87/F$102</f>
        <v/>
      </c>
    </row>
    <row r="88">
      <c r="A88" t="n">
        <v>77</v>
      </c>
      <c r="B88" s="5" t="n">
        <v>0</v>
      </c>
      <c r="C88" s="8">
        <f>B88/B$102</f>
        <v/>
      </c>
      <c r="E88" s="9" t="n">
        <v>77</v>
      </c>
      <c r="F88" s="9" t="n">
        <v>3.45</v>
      </c>
      <c r="G88" s="8">
        <f>F88/F$102</f>
        <v/>
      </c>
    </row>
    <row r="89">
      <c r="A89" t="n">
        <v>78</v>
      </c>
      <c r="B89" s="5" t="n">
        <v>0</v>
      </c>
      <c r="C89" s="8">
        <f>B89/B$102</f>
        <v/>
      </c>
      <c r="E89" s="9" t="n">
        <v>78</v>
      </c>
      <c r="F89" s="9" t="n">
        <v>0</v>
      </c>
      <c r="G89" s="8">
        <f>F89/F$102</f>
        <v/>
      </c>
    </row>
    <row r="90">
      <c r="A90" t="n">
        <v>79</v>
      </c>
      <c r="B90" s="5" t="n">
        <v>0</v>
      </c>
      <c r="C90" s="8">
        <f>B90/B$102</f>
        <v/>
      </c>
      <c r="E90" s="9" t="n">
        <v>79</v>
      </c>
      <c r="F90" s="9" t="n">
        <v>2.3</v>
      </c>
      <c r="G90" s="8">
        <f>F90/F$102</f>
        <v/>
      </c>
    </row>
    <row r="91">
      <c r="A91" t="n">
        <v>80</v>
      </c>
      <c r="B91" s="5" t="n">
        <v>0</v>
      </c>
      <c r="C91" s="8">
        <f>B91/B$102</f>
        <v/>
      </c>
      <c r="E91" s="9" t="n">
        <v>80</v>
      </c>
      <c r="F91" s="9" t="n">
        <v>0</v>
      </c>
      <c r="G91" s="8">
        <f>F91/F$102</f>
        <v/>
      </c>
    </row>
    <row r="92">
      <c r="A92" t="n">
        <v>81</v>
      </c>
      <c r="B92" s="5" t="n">
        <v>0</v>
      </c>
      <c r="C92" s="8">
        <f>B92/B$102</f>
        <v/>
      </c>
      <c r="E92" s="9" t="n">
        <v>81</v>
      </c>
      <c r="F92" s="9" t="n">
        <v>2.694393305439387</v>
      </c>
      <c r="G92" s="8">
        <f>F92/F$102</f>
        <v/>
      </c>
    </row>
    <row r="93">
      <c r="A93" t="n">
        <v>82</v>
      </c>
      <c r="B93" s="5" t="n">
        <v>0</v>
      </c>
      <c r="C93" s="8">
        <f>B93/B$102</f>
        <v/>
      </c>
      <c r="E93" s="9" t="n">
        <v>82</v>
      </c>
      <c r="F93" s="9" t="n">
        <v>0</v>
      </c>
      <c r="G93" s="8">
        <f>F93/F$102</f>
        <v/>
      </c>
    </row>
    <row r="94">
      <c r="A94" t="n">
        <v>83</v>
      </c>
      <c r="B94" s="5" t="n">
        <v>0</v>
      </c>
      <c r="C94" s="8">
        <f>B94/B$102</f>
        <v/>
      </c>
      <c r="E94" s="9" t="n">
        <v>83</v>
      </c>
      <c r="F94" s="9" t="n">
        <v>1.938786610878774</v>
      </c>
      <c r="G94" s="8">
        <f>F94/F$102</f>
        <v/>
      </c>
    </row>
    <row r="95">
      <c r="A95" t="n">
        <v>84</v>
      </c>
      <c r="B95" s="5" t="n">
        <v>0</v>
      </c>
      <c r="C95" s="8">
        <f>B95/B$102</f>
        <v/>
      </c>
      <c r="E95" s="9" t="n">
        <v>84</v>
      </c>
      <c r="F95" s="9" t="n">
        <v>1.15</v>
      </c>
      <c r="G95" s="8">
        <f>F95/F$102</f>
        <v/>
      </c>
    </row>
    <row r="96">
      <c r="A96" t="n">
        <v>85</v>
      </c>
      <c r="B96" s="5" t="n">
        <v>0</v>
      </c>
      <c r="C96" s="8">
        <f>B96/B$102</f>
        <v/>
      </c>
      <c r="E96" s="9" t="n">
        <v>85</v>
      </c>
      <c r="F96" s="9" t="n">
        <v>0</v>
      </c>
      <c r="G96" s="8">
        <f>F96/F$102</f>
        <v/>
      </c>
    </row>
    <row r="97">
      <c r="A97" t="n">
        <v>86</v>
      </c>
      <c r="B97" s="5" t="n">
        <v>0</v>
      </c>
      <c r="C97" s="8">
        <f>B97/B$102</f>
        <v/>
      </c>
      <c r="E97" s="9" t="n">
        <v>86</v>
      </c>
      <c r="F97" s="9" t="n">
        <v>0</v>
      </c>
      <c r="G97" s="8">
        <f>F97/F$102</f>
        <v/>
      </c>
    </row>
    <row r="98">
      <c r="A98" t="n">
        <v>87</v>
      </c>
      <c r="B98" s="5" t="n">
        <v>0</v>
      </c>
      <c r="C98" s="8">
        <f>B98/B$102</f>
        <v/>
      </c>
      <c r="E98" s="9" t="n">
        <v>87</v>
      </c>
      <c r="F98" s="9" t="n">
        <v>0</v>
      </c>
      <c r="G98" s="8">
        <f>F98/F$102</f>
        <v/>
      </c>
    </row>
    <row r="99">
      <c r="A99" t="n">
        <v>88</v>
      </c>
      <c r="B99" s="5" t="n">
        <v>0</v>
      </c>
      <c r="C99" s="8">
        <f>B99/B$102</f>
        <v/>
      </c>
      <c r="E99" s="9" t="n">
        <v>88</v>
      </c>
      <c r="F99" s="9" t="n">
        <v>0</v>
      </c>
      <c r="G99" s="8">
        <f>F99/F$102</f>
        <v/>
      </c>
    </row>
    <row r="100">
      <c r="A100" t="n">
        <v>89</v>
      </c>
      <c r="B100" s="5" t="n">
        <v>0</v>
      </c>
      <c r="C100" s="8">
        <f>B100/B$102</f>
        <v/>
      </c>
      <c r="E100" s="9" t="n">
        <v>89</v>
      </c>
      <c r="F100" s="9" t="n">
        <v>0</v>
      </c>
      <c r="G100" s="8">
        <f>F100/F$102</f>
        <v/>
      </c>
    </row>
    <row r="101" ht="15.75" customHeight="1" thickBot="1">
      <c r="A101" s="1" t="n">
        <v>90</v>
      </c>
      <c r="B101" s="6" t="n">
        <v>81.0922660552</v>
      </c>
      <c r="C101" s="8">
        <f>B101/B$102</f>
        <v/>
      </c>
      <c r="E101" s="10" t="n">
        <v>90</v>
      </c>
      <c r="F101" s="10" t="n">
        <v>0</v>
      </c>
      <c r="G101" s="8">
        <f>F101/F$102</f>
        <v/>
      </c>
    </row>
    <row r="102">
      <c r="B102" s="5">
        <f>SUM(B11:B101)</f>
        <v/>
      </c>
      <c r="C102" s="8">
        <f>B102/B$102</f>
        <v/>
      </c>
      <c r="F102" s="5">
        <f>SUM(F11:F101)</f>
        <v/>
      </c>
      <c r="G102" s="8">
        <f>F102/F$102</f>
        <v/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L102"/>
  <sheetViews>
    <sheetView workbookViewId="0">
      <selection activeCell="D5" sqref="D5"/>
    </sheetView>
  </sheetViews>
  <sheetFormatPr baseColWidth="8" defaultRowHeight="15"/>
  <cols>
    <col collapsed="1" width="9.5703125" bestFit="1" customWidth="1" min="2" max="2"/>
  </cols>
  <sheetData>
    <row r="1">
      <c r="A1" t="inlineStr">
        <is>
          <t>Trip Duration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duration (in minutes) based on joining AM peak SOV skim values to HH survey</t>
        </is>
      </c>
    </row>
    <row r="4">
      <c r="A4" t="inlineStr">
        <is>
          <t>Frequency of trips by 1-minute increment</t>
        </is>
      </c>
    </row>
    <row r="5">
      <c r="A5" t="inlineStr">
        <is>
          <t>Distance values reflect low end of each range (ie. 0 refers to 0-1 minutes)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thickBot="1">
      <c r="A9" s="3" t="inlineStr">
        <is>
          <t>Table X. Observed Trip Durations: Survey</t>
        </is>
      </c>
      <c r="B9" s="1" t="n"/>
      <c r="E9" s="3" t="inlineStr">
        <is>
          <t>Table X. Estimated Trip Durations</t>
        </is>
      </c>
      <c r="F9" s="1" t="n"/>
      <c r="J9" s="7" t="inlineStr">
        <is>
          <t>Table X. Average Trip Duration</t>
        </is>
      </c>
    </row>
    <row r="10">
      <c r="A10" s="2" t="inlineStr">
        <is>
          <t>Time (min)</t>
        </is>
      </c>
      <c r="B10" s="4" t="inlineStr">
        <is>
          <t>Total</t>
        </is>
      </c>
      <c r="C10" s="4" t="inlineStr">
        <is>
          <t>Survey</t>
        </is>
      </c>
      <c r="E10" s="2" t="inlineStr">
        <is>
          <t>Time (min)</t>
        </is>
      </c>
      <c r="F10" s="4" t="inlineStr">
        <is>
          <t>Total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5" t="n">
        <v>6421.666277464999</v>
      </c>
      <c r="C11" s="8">
        <f>B11/B$102</f>
        <v/>
      </c>
      <c r="E11" s="9" t="n">
        <v>0</v>
      </c>
      <c r="F11" s="9" t="n">
        <v>8813.28804258204</v>
      </c>
      <c r="G11" s="8">
        <f>F11/F$102</f>
        <v/>
      </c>
      <c r="K11" s="5" t="n">
        <v>25.65263951213388</v>
      </c>
      <c r="L11" s="5" t="n">
        <v>20.35014486182907</v>
      </c>
    </row>
    <row r="12">
      <c r="A12" t="n">
        <v>1</v>
      </c>
      <c r="B12" s="5" t="n">
        <v>7648.6649553169</v>
      </c>
      <c r="C12" s="8">
        <f>B12/B$102</f>
        <v/>
      </c>
      <c r="E12" s="9" t="n">
        <v>1</v>
      </c>
      <c r="F12" s="9" t="n">
        <v>31292.07481841008</v>
      </c>
      <c r="G12" s="8">
        <f>F12/F$102</f>
        <v/>
      </c>
      <c r="K12" s="5" t="n"/>
      <c r="L12" s="9" t="n"/>
    </row>
    <row r="13">
      <c r="A13" t="n">
        <v>2</v>
      </c>
      <c r="B13" s="5" t="n">
        <v>7659.395382573</v>
      </c>
      <c r="C13" s="8">
        <f>B13/B$102</f>
        <v/>
      </c>
      <c r="E13" s="9" t="n">
        <v>2</v>
      </c>
      <c r="F13" s="9" t="n">
        <v>39143.00751632075</v>
      </c>
      <c r="G13" s="8">
        <f>F13/F$102</f>
        <v/>
      </c>
    </row>
    <row r="14">
      <c r="A14" t="n">
        <v>3</v>
      </c>
      <c r="B14" s="5" t="n">
        <v>11138.1608098898</v>
      </c>
      <c r="C14" s="8">
        <f>B14/B$102</f>
        <v/>
      </c>
      <c r="E14" s="9" t="n">
        <v>3</v>
      </c>
      <c r="F14" s="9" t="n">
        <v>44060.24350022797</v>
      </c>
      <c r="G14" s="8">
        <f>F14/F$102</f>
        <v/>
      </c>
    </row>
    <row r="15">
      <c r="A15" t="n">
        <v>4</v>
      </c>
      <c r="B15" s="5" t="n">
        <v>15713.2697782597</v>
      </c>
      <c r="C15" s="8">
        <f>B15/B$102</f>
        <v/>
      </c>
      <c r="E15" s="9" t="n">
        <v>4</v>
      </c>
      <c r="F15" s="9" t="n">
        <v>47209.11054696659</v>
      </c>
      <c r="G15" s="8">
        <f>F15/F$102</f>
        <v/>
      </c>
    </row>
    <row r="16">
      <c r="A16" t="n">
        <v>5</v>
      </c>
      <c r="B16" s="5" t="n">
        <v>17497.7260123518</v>
      </c>
      <c r="C16" s="8">
        <f>B16/B$102</f>
        <v/>
      </c>
      <c r="E16" s="9" t="n">
        <v>5</v>
      </c>
      <c r="F16" s="9" t="n">
        <v>47129.08947634959</v>
      </c>
      <c r="G16" s="8">
        <f>F16/F$102</f>
        <v/>
      </c>
    </row>
    <row r="17">
      <c r="A17" t="n">
        <v>6</v>
      </c>
      <c r="B17" s="5" t="n">
        <v>17900.7109937355</v>
      </c>
      <c r="C17" s="8">
        <f>B17/B$102</f>
        <v/>
      </c>
      <c r="E17" s="9" t="n">
        <v>6</v>
      </c>
      <c r="F17" s="9" t="n">
        <v>44822.92732412449</v>
      </c>
      <c r="G17" s="8">
        <f>F17/F$102</f>
        <v/>
      </c>
    </row>
    <row r="18">
      <c r="A18" t="n">
        <v>7</v>
      </c>
      <c r="B18" s="5" t="n">
        <v>23731.144678382</v>
      </c>
      <c r="C18" s="8">
        <f>B18/B$102</f>
        <v/>
      </c>
      <c r="E18" s="9" t="n">
        <v>7</v>
      </c>
      <c r="F18" s="9" t="n">
        <v>42490.25181511829</v>
      </c>
      <c r="G18" s="8">
        <f>F18/F$102</f>
        <v/>
      </c>
    </row>
    <row r="19">
      <c r="A19" t="n">
        <v>8</v>
      </c>
      <c r="B19" s="5" t="n">
        <v>13210.0662664562</v>
      </c>
      <c r="C19" s="8">
        <f>B19/B$102</f>
        <v/>
      </c>
      <c r="E19" s="9" t="n">
        <v>8</v>
      </c>
      <c r="F19" s="9" t="n">
        <v>39218.99488822313</v>
      </c>
      <c r="G19" s="8">
        <f>F19/F$102</f>
        <v/>
      </c>
    </row>
    <row r="20">
      <c r="A20" t="n">
        <v>9</v>
      </c>
      <c r="B20" s="5" t="n">
        <v>25852.2630383261</v>
      </c>
      <c r="C20" s="8">
        <f>B20/B$102</f>
        <v/>
      </c>
      <c r="E20" s="9" t="n">
        <v>9</v>
      </c>
      <c r="F20" s="9" t="n">
        <v>35574.9752555075</v>
      </c>
      <c r="G20" s="8">
        <f>F20/F$102</f>
        <v/>
      </c>
    </row>
    <row r="21">
      <c r="A21" t="n">
        <v>10</v>
      </c>
      <c r="B21" s="5" t="n">
        <v>13020.6747208126</v>
      </c>
      <c r="C21" s="8">
        <f>B21/B$102</f>
        <v/>
      </c>
      <c r="E21" s="9" t="n">
        <v>10</v>
      </c>
      <c r="F21" s="9" t="n">
        <v>31806.38119009888</v>
      </c>
      <c r="G21" s="8">
        <f>F21/F$102</f>
        <v/>
      </c>
    </row>
    <row r="22">
      <c r="A22" t="n">
        <v>11</v>
      </c>
      <c r="B22" s="5" t="n">
        <v>18581.0337230459</v>
      </c>
      <c r="C22" s="8">
        <f>B22/B$102</f>
        <v/>
      </c>
      <c r="E22" s="9" t="n">
        <v>11</v>
      </c>
      <c r="F22" s="9" t="n">
        <v>27426.56862475655</v>
      </c>
      <c r="G22" s="8">
        <f>F22/F$102</f>
        <v/>
      </c>
    </row>
    <row r="23">
      <c r="A23" t="n">
        <v>12</v>
      </c>
      <c r="B23" s="5" t="n">
        <v>26721.0186142712</v>
      </c>
      <c r="C23" s="8">
        <f>B23/B$102</f>
        <v/>
      </c>
      <c r="E23" s="9" t="n">
        <v>12</v>
      </c>
      <c r="F23" s="9" t="n">
        <v>25489.96788154425</v>
      </c>
      <c r="G23" s="8">
        <f>F23/F$102</f>
        <v/>
      </c>
    </row>
    <row r="24">
      <c r="A24" t="n">
        <v>13</v>
      </c>
      <c r="B24" s="5" t="n">
        <v>15262.9778604272</v>
      </c>
      <c r="C24" s="8">
        <f>B24/B$102</f>
        <v/>
      </c>
      <c r="E24" s="9" t="n">
        <v>13</v>
      </c>
      <c r="F24" s="9" t="n">
        <v>21761.56350049274</v>
      </c>
      <c r="G24" s="8">
        <f>F24/F$102</f>
        <v/>
      </c>
    </row>
    <row r="25">
      <c r="A25" t="n">
        <v>14</v>
      </c>
      <c r="B25" s="5" t="n">
        <v>19788.6422370046</v>
      </c>
      <c r="C25" s="8">
        <f>B25/B$102</f>
        <v/>
      </c>
      <c r="E25" s="9" t="n">
        <v>14</v>
      </c>
      <c r="F25" s="9" t="n">
        <v>18990.55413004499</v>
      </c>
      <c r="G25" s="8">
        <f>F25/F$102</f>
        <v/>
      </c>
    </row>
    <row r="26">
      <c r="A26" t="n">
        <v>15</v>
      </c>
      <c r="B26" s="5" t="n">
        <v>11436.9077321757</v>
      </c>
      <c r="C26" s="8">
        <f>B26/B$102</f>
        <v/>
      </c>
      <c r="E26" s="9" t="n">
        <v>15</v>
      </c>
      <c r="F26" s="9" t="n">
        <v>18203.55377220234</v>
      </c>
      <c r="G26" s="8">
        <f>F26/F$102</f>
        <v/>
      </c>
    </row>
    <row r="27">
      <c r="A27" t="n">
        <v>16</v>
      </c>
      <c r="B27" s="5" t="n">
        <v>53589.1865883111</v>
      </c>
      <c r="C27" s="8">
        <f>B27/B$102</f>
        <v/>
      </c>
      <c r="E27" s="9" t="n">
        <v>16</v>
      </c>
      <c r="F27" s="9" t="n">
        <v>16405.4031663347</v>
      </c>
      <c r="G27" s="8">
        <f>F27/F$102</f>
        <v/>
      </c>
    </row>
    <row r="28">
      <c r="A28" t="n">
        <v>17</v>
      </c>
      <c r="B28" s="5" t="n">
        <v>20646.848872426</v>
      </c>
      <c r="C28" s="8">
        <f>B28/B$102</f>
        <v/>
      </c>
      <c r="E28" s="9" t="n">
        <v>17</v>
      </c>
      <c r="F28" s="9" t="n">
        <v>14171.14175316102</v>
      </c>
      <c r="G28" s="8">
        <f>F28/F$102</f>
        <v/>
      </c>
    </row>
    <row r="29">
      <c r="A29" t="n">
        <v>18</v>
      </c>
      <c r="B29" s="5" t="n">
        <v>103552.3413162795</v>
      </c>
      <c r="C29" s="8">
        <f>B29/B$102</f>
        <v/>
      </c>
      <c r="E29" s="9" t="n">
        <v>18</v>
      </c>
      <c r="F29" s="9" t="n">
        <v>140505.2172363219</v>
      </c>
      <c r="G29" s="8">
        <f>F29/F$102</f>
        <v/>
      </c>
    </row>
    <row r="30">
      <c r="A30" t="n">
        <v>19</v>
      </c>
      <c r="B30" s="5" t="n">
        <v>41570.2531289806</v>
      </c>
      <c r="C30" s="8">
        <f>B30/B$102</f>
        <v/>
      </c>
      <c r="E30" s="9" t="n">
        <v>19</v>
      </c>
      <c r="F30" s="9" t="n">
        <v>44730.24097952813</v>
      </c>
      <c r="G30" s="8">
        <f>F30/F$102</f>
        <v/>
      </c>
    </row>
    <row r="31">
      <c r="A31" t="n">
        <v>20</v>
      </c>
      <c r="B31" s="5" t="n">
        <v>70021.09222918539</v>
      </c>
      <c r="C31" s="8">
        <f>B31/B$102</f>
        <v/>
      </c>
      <c r="E31" s="9" t="n">
        <v>20</v>
      </c>
      <c r="F31" s="9" t="n">
        <v>39082.22742614419</v>
      </c>
      <c r="G31" s="8">
        <f>F31/F$102</f>
        <v/>
      </c>
    </row>
    <row r="32">
      <c r="A32" t="n">
        <v>21</v>
      </c>
      <c r="B32" s="5" t="n">
        <v>71969.4357187571</v>
      </c>
      <c r="C32" s="8">
        <f>B32/B$102</f>
        <v/>
      </c>
      <c r="E32" s="9" t="n">
        <v>21</v>
      </c>
      <c r="F32" s="9" t="n">
        <v>54827.31934169866</v>
      </c>
      <c r="G32" s="8">
        <f>F32/F$102</f>
        <v/>
      </c>
    </row>
    <row r="33">
      <c r="A33" t="n">
        <v>22</v>
      </c>
      <c r="B33" s="5" t="n">
        <v>53096.8992932809</v>
      </c>
      <c r="C33" s="8">
        <f>B33/B$102</f>
        <v/>
      </c>
      <c r="E33" s="9" t="n">
        <v>22</v>
      </c>
      <c r="F33" s="9" t="n">
        <v>50923.49213953643</v>
      </c>
      <c r="G33" s="8">
        <f>F33/F$102</f>
        <v/>
      </c>
    </row>
    <row r="34">
      <c r="A34" t="n">
        <v>23</v>
      </c>
      <c r="B34" s="5" t="n">
        <v>30341.0556983332</v>
      </c>
      <c r="C34" s="8">
        <f>B34/B$102</f>
        <v/>
      </c>
      <c r="E34" s="9" t="n">
        <v>23</v>
      </c>
      <c r="F34" s="9" t="n">
        <v>39410.46228637834</v>
      </c>
      <c r="G34" s="8">
        <f>F34/F$102</f>
        <v/>
      </c>
    </row>
    <row r="35">
      <c r="A35" t="n">
        <v>24</v>
      </c>
      <c r="B35" s="5" t="n">
        <v>49422.4163759885</v>
      </c>
      <c r="C35" s="8">
        <f>B35/B$102</f>
        <v/>
      </c>
      <c r="E35" s="9" t="n">
        <v>24</v>
      </c>
      <c r="F35" s="9" t="n">
        <v>34468.0834553934</v>
      </c>
      <c r="G35" s="8">
        <f>F35/F$102</f>
        <v/>
      </c>
    </row>
    <row r="36">
      <c r="A36" t="n">
        <v>25</v>
      </c>
      <c r="B36" s="5" t="n">
        <v>49744.7315411318</v>
      </c>
      <c r="C36" s="8">
        <f>B36/B$102</f>
        <v/>
      </c>
      <c r="E36" s="9" t="n">
        <v>25</v>
      </c>
      <c r="F36" s="9" t="n">
        <v>28151.06558497352</v>
      </c>
      <c r="G36" s="8">
        <f>F36/F$102</f>
        <v/>
      </c>
    </row>
    <row r="37">
      <c r="A37" t="n">
        <v>26</v>
      </c>
      <c r="B37" s="5" t="n">
        <v>68052.13546412651</v>
      </c>
      <c r="C37" s="8">
        <f>B37/B$102</f>
        <v/>
      </c>
      <c r="E37" s="9" t="n">
        <v>26</v>
      </c>
      <c r="F37" s="9" t="n">
        <v>25861.59160704747</v>
      </c>
      <c r="G37" s="8">
        <f>F37/F$102</f>
        <v/>
      </c>
    </row>
    <row r="38">
      <c r="A38" t="n">
        <v>27</v>
      </c>
      <c r="B38" s="5" t="n">
        <v>15320.2817464266</v>
      </c>
      <c r="C38" s="8">
        <f>B38/B$102</f>
        <v/>
      </c>
      <c r="E38" s="9" t="n">
        <v>27</v>
      </c>
      <c r="F38" s="9" t="n">
        <v>18708.99912061611</v>
      </c>
      <c r="G38" s="8">
        <f>F38/F$102</f>
        <v/>
      </c>
    </row>
    <row r="39">
      <c r="A39" t="n">
        <v>28</v>
      </c>
      <c r="B39" s="5" t="n">
        <v>36574.7358172345</v>
      </c>
      <c r="C39" s="8">
        <f>B39/B$102</f>
        <v/>
      </c>
      <c r="E39" s="9" t="n">
        <v>28</v>
      </c>
      <c r="F39" s="9" t="n">
        <v>20639.71875314755</v>
      </c>
      <c r="G39" s="8">
        <f>F39/F$102</f>
        <v/>
      </c>
    </row>
    <row r="40">
      <c r="A40" t="n">
        <v>29</v>
      </c>
      <c r="B40" s="5" t="n">
        <v>35161.0764728262</v>
      </c>
      <c r="C40" s="8">
        <f>B40/B$102</f>
        <v/>
      </c>
      <c r="E40" s="9" t="n">
        <v>29</v>
      </c>
      <c r="F40" s="9" t="n">
        <v>25076.49016857615</v>
      </c>
      <c r="G40" s="8">
        <f>F40/F$102</f>
        <v/>
      </c>
    </row>
    <row r="41">
      <c r="A41" t="n">
        <v>30</v>
      </c>
      <c r="B41" s="5" t="n">
        <v>13374.6339022859</v>
      </c>
      <c r="C41" s="8">
        <f>B41/B$102</f>
        <v/>
      </c>
      <c r="E41" s="9" t="n">
        <v>30</v>
      </c>
      <c r="F41" s="9" t="n">
        <v>17698.32064074712</v>
      </c>
      <c r="G41" s="8">
        <f>F41/F$102</f>
        <v/>
      </c>
    </row>
    <row r="42">
      <c r="A42" t="n">
        <v>31</v>
      </c>
      <c r="B42" s="5" t="n">
        <v>15754.3258050098</v>
      </c>
      <c r="C42" s="8">
        <f>B42/B$102</f>
        <v/>
      </c>
      <c r="E42" s="9" t="n">
        <v>31</v>
      </c>
      <c r="F42" s="9" t="n">
        <v>15914.69495255063</v>
      </c>
      <c r="G42" s="8">
        <f>F42/F$102</f>
        <v/>
      </c>
    </row>
    <row r="43">
      <c r="A43" t="n">
        <v>32</v>
      </c>
      <c r="B43" s="5" t="n">
        <v>11668.721304254</v>
      </c>
      <c r="C43" s="8">
        <f>B43/B$102</f>
        <v/>
      </c>
      <c r="E43" s="9" t="n">
        <v>32</v>
      </c>
      <c r="F43" s="9" t="n">
        <v>11902.93674649927</v>
      </c>
      <c r="G43" s="8">
        <f>F43/F$102</f>
        <v/>
      </c>
    </row>
    <row r="44">
      <c r="A44" t="n">
        <v>33</v>
      </c>
      <c r="B44" s="5" t="n">
        <v>11849.0646945744</v>
      </c>
      <c r="C44" s="8">
        <f>B44/B$102</f>
        <v/>
      </c>
      <c r="E44" s="9" t="n">
        <v>33</v>
      </c>
      <c r="F44" s="9" t="n">
        <v>15741.59349822692</v>
      </c>
      <c r="G44" s="8">
        <f>F44/F$102</f>
        <v/>
      </c>
    </row>
    <row r="45">
      <c r="A45" t="n">
        <v>34</v>
      </c>
      <c r="B45" s="5" t="n">
        <v>23530.5115890691</v>
      </c>
      <c r="C45" s="8">
        <f>B45/B$102</f>
        <v/>
      </c>
      <c r="E45" s="9" t="n">
        <v>34</v>
      </c>
      <c r="F45" s="9" t="n">
        <v>18547.28802322446</v>
      </c>
      <c r="G45" s="8">
        <f>F45/F$102</f>
        <v/>
      </c>
    </row>
    <row r="46">
      <c r="A46" t="n">
        <v>35</v>
      </c>
      <c r="B46" s="5" t="n">
        <v>5695.0917906069</v>
      </c>
      <c r="C46" s="8">
        <f>B46/B$102</f>
        <v/>
      </c>
      <c r="E46" s="9" t="n">
        <v>35</v>
      </c>
      <c r="F46" s="9" t="n">
        <v>12726.51309784347</v>
      </c>
      <c r="G46" s="8">
        <f>F46/F$102</f>
        <v/>
      </c>
    </row>
    <row r="47">
      <c r="A47" t="n">
        <v>36</v>
      </c>
      <c r="B47" s="5" t="n">
        <v>8840.319108272899</v>
      </c>
      <c r="C47" s="8">
        <f>B47/B$102</f>
        <v/>
      </c>
      <c r="E47" s="9" t="n">
        <v>36</v>
      </c>
      <c r="F47" s="9" t="n">
        <v>8729.447148354695</v>
      </c>
      <c r="G47" s="8">
        <f>F47/F$102</f>
        <v/>
      </c>
    </row>
    <row r="48">
      <c r="A48" t="n">
        <v>37</v>
      </c>
      <c r="B48" s="5" t="n">
        <v>13417.1450114356</v>
      </c>
      <c r="C48" s="8">
        <f>B48/B$102</f>
        <v/>
      </c>
      <c r="E48" s="9" t="n">
        <v>37</v>
      </c>
      <c r="F48" s="9" t="n">
        <v>9056.053336460676</v>
      </c>
      <c r="G48" s="8">
        <f>F48/F$102</f>
        <v/>
      </c>
    </row>
    <row r="49">
      <c r="A49" t="n">
        <v>38</v>
      </c>
      <c r="B49" s="5" t="n">
        <v>10524.5438093544</v>
      </c>
      <c r="C49" s="8">
        <f>B49/B$102</f>
        <v/>
      </c>
      <c r="E49" s="9" t="n">
        <v>38</v>
      </c>
      <c r="F49" s="9" t="n">
        <v>9663.766586711123</v>
      </c>
      <c r="G49" s="8">
        <f>F49/F$102</f>
        <v/>
      </c>
    </row>
    <row r="50">
      <c r="A50" t="n">
        <v>39</v>
      </c>
      <c r="B50" s="5" t="n">
        <v>8018.5525139096</v>
      </c>
      <c r="C50" s="8">
        <f>B50/B$102</f>
        <v/>
      </c>
      <c r="E50" s="9" t="n">
        <v>39</v>
      </c>
      <c r="F50" s="9" t="n">
        <v>9043.683986647933</v>
      </c>
      <c r="G50" s="8">
        <f>F50/F$102</f>
        <v/>
      </c>
    </row>
    <row r="51">
      <c r="A51" t="n">
        <v>40</v>
      </c>
      <c r="B51" s="5" t="n">
        <v>3963.915382048</v>
      </c>
      <c r="C51" s="8">
        <f>B51/B$102</f>
        <v/>
      </c>
      <c r="E51" s="9" t="n">
        <v>40</v>
      </c>
      <c r="F51" s="9" t="n">
        <v>9308.716622709098</v>
      </c>
      <c r="G51" s="8">
        <f>F51/F$102</f>
        <v/>
      </c>
    </row>
    <row r="52">
      <c r="A52" t="n">
        <v>41</v>
      </c>
      <c r="B52" s="5" t="n">
        <v>5150.0373927865</v>
      </c>
      <c r="C52" s="8">
        <f>B52/B$102</f>
        <v/>
      </c>
      <c r="E52" s="9" t="n">
        <v>41</v>
      </c>
      <c r="F52" s="9" t="n">
        <v>5880.342813989644</v>
      </c>
      <c r="G52" s="8">
        <f>F52/F$102</f>
        <v/>
      </c>
    </row>
    <row r="53">
      <c r="A53" t="n">
        <v>42</v>
      </c>
      <c r="B53" s="5" t="n">
        <v>4159.499616987</v>
      </c>
      <c r="C53" s="8">
        <f>B53/B$102</f>
        <v/>
      </c>
      <c r="E53" s="9" t="n">
        <v>42</v>
      </c>
      <c r="F53" s="9" t="n">
        <v>7122.11352236719</v>
      </c>
      <c r="G53" s="8">
        <f>F53/F$102</f>
        <v/>
      </c>
    </row>
    <row r="54">
      <c r="A54" t="n">
        <v>43</v>
      </c>
      <c r="B54" s="5" t="n">
        <v>1974.1526066899</v>
      </c>
      <c r="C54" s="8">
        <f>B54/B$102</f>
        <v/>
      </c>
      <c r="E54" s="9" t="n">
        <v>43</v>
      </c>
      <c r="F54" s="9" t="n">
        <v>5531.322858593408</v>
      </c>
      <c r="G54" s="8">
        <f>F54/F$102</f>
        <v/>
      </c>
    </row>
    <row r="55">
      <c r="A55" t="n">
        <v>44</v>
      </c>
      <c r="B55" s="5" t="n">
        <v>5666.177239367</v>
      </c>
      <c r="C55" s="8">
        <f>B55/B$102</f>
        <v/>
      </c>
      <c r="E55" s="9" t="n">
        <v>44</v>
      </c>
      <c r="F55" s="9" t="n">
        <v>6723.731631694302</v>
      </c>
      <c r="G55" s="8">
        <f>F55/F$102</f>
        <v/>
      </c>
    </row>
    <row r="56">
      <c r="A56" t="n">
        <v>45</v>
      </c>
      <c r="B56" s="5" t="n">
        <v>60805.3532925623</v>
      </c>
      <c r="C56" s="8">
        <f>B56/B$102</f>
        <v/>
      </c>
      <c r="E56" s="9" t="n">
        <v>45</v>
      </c>
      <c r="F56" s="9" t="n">
        <v>5134.244398866627</v>
      </c>
      <c r="G56" s="8">
        <f>F56/F$102</f>
        <v/>
      </c>
    </row>
    <row r="57">
      <c r="A57" t="n">
        <v>46</v>
      </c>
      <c r="B57" s="5" t="n">
        <v>5223.5974528909</v>
      </c>
      <c r="C57" s="8">
        <f>B57/B$102</f>
        <v/>
      </c>
      <c r="E57" s="9" t="n">
        <v>46</v>
      </c>
      <c r="F57" s="9" t="n">
        <v>4203.307917562712</v>
      </c>
      <c r="G57" s="8">
        <f>F57/F$102</f>
        <v/>
      </c>
    </row>
    <row r="58">
      <c r="A58" t="n">
        <v>47</v>
      </c>
      <c r="B58" s="5" t="n">
        <v>1079.5162234178</v>
      </c>
      <c r="C58" s="8">
        <f>B58/B$102</f>
        <v/>
      </c>
      <c r="E58" s="9" t="n">
        <v>47</v>
      </c>
      <c r="F58" s="9" t="n">
        <v>3721.921523213415</v>
      </c>
      <c r="G58" s="8">
        <f>F58/F$102</f>
        <v/>
      </c>
    </row>
    <row r="59">
      <c r="A59" t="n">
        <v>48</v>
      </c>
      <c r="B59" s="5" t="n">
        <v>7816.9410410554</v>
      </c>
      <c r="C59" s="8">
        <f>B59/B$102</f>
        <v/>
      </c>
      <c r="E59" s="9" t="n">
        <v>48</v>
      </c>
      <c r="F59" s="9" t="n">
        <v>4119.163548080999</v>
      </c>
      <c r="G59" s="8">
        <f>F59/F$102</f>
        <v/>
      </c>
    </row>
    <row r="60">
      <c r="A60" t="n">
        <v>49</v>
      </c>
      <c r="B60" s="5" t="n">
        <v>2959.4788009108</v>
      </c>
      <c r="C60" s="8">
        <f>B60/B$102</f>
        <v/>
      </c>
      <c r="E60" s="9" t="n">
        <v>49</v>
      </c>
      <c r="F60" s="9" t="n">
        <v>4319.493070347296</v>
      </c>
      <c r="G60" s="8">
        <f>F60/F$102</f>
        <v/>
      </c>
    </row>
    <row r="61">
      <c r="A61" t="n">
        <v>50</v>
      </c>
      <c r="B61" s="5" t="n">
        <v>324.775829405</v>
      </c>
      <c r="C61" s="8">
        <f>B61/B$102</f>
        <v/>
      </c>
      <c r="E61" s="9" t="n">
        <v>50</v>
      </c>
      <c r="F61" s="9" t="n">
        <v>2454.187839918233</v>
      </c>
      <c r="G61" s="8">
        <f>F61/F$102</f>
        <v/>
      </c>
    </row>
    <row r="62">
      <c r="A62" t="n">
        <v>51</v>
      </c>
      <c r="B62" s="5" t="n">
        <v>3048.658339682</v>
      </c>
      <c r="C62" s="8">
        <f>B62/B$102</f>
        <v/>
      </c>
      <c r="E62" s="9" t="n">
        <v>51</v>
      </c>
      <c r="F62" s="9" t="n">
        <v>2991.93491199328</v>
      </c>
      <c r="G62" s="8">
        <f>F62/F$102</f>
        <v/>
      </c>
    </row>
    <row r="63">
      <c r="A63" t="n">
        <v>52</v>
      </c>
      <c r="B63" s="5" t="n">
        <v>918.2951712859999</v>
      </c>
      <c r="C63" s="8">
        <f>B63/B$102</f>
        <v/>
      </c>
      <c r="E63" s="9" t="n">
        <v>52</v>
      </c>
      <c r="F63" s="9" t="n">
        <v>2543.678950847301</v>
      </c>
      <c r="G63" s="8">
        <f>F63/F$102</f>
        <v/>
      </c>
    </row>
    <row r="64">
      <c r="A64" t="n">
        <v>53</v>
      </c>
      <c r="B64" s="5" t="n">
        <v>1326.9797182303</v>
      </c>
      <c r="C64" s="8">
        <f>B64/B$102</f>
        <v/>
      </c>
      <c r="E64" s="9" t="n">
        <v>53</v>
      </c>
      <c r="F64" s="9" t="n">
        <v>2624.868942652505</v>
      </c>
      <c r="G64" s="8">
        <f>F64/F$102</f>
        <v/>
      </c>
    </row>
    <row r="65">
      <c r="A65" t="n">
        <v>54</v>
      </c>
      <c r="B65" s="5" t="n">
        <v>1218.2238847201</v>
      </c>
      <c r="C65" s="8">
        <f>B65/B$102</f>
        <v/>
      </c>
      <c r="E65" s="9" t="n">
        <v>54</v>
      </c>
      <c r="F65" s="9" t="n">
        <v>1807.592437762004</v>
      </c>
      <c r="G65" s="8">
        <f>F65/F$102</f>
        <v/>
      </c>
    </row>
    <row r="66">
      <c r="A66" t="n">
        <v>55</v>
      </c>
      <c r="B66" s="5" t="n">
        <v>2253.546885552</v>
      </c>
      <c r="C66" s="8">
        <f>B66/B$102</f>
        <v/>
      </c>
      <c r="E66" s="9" t="n">
        <v>55</v>
      </c>
      <c r="F66" s="9" t="n">
        <v>1787.086403951873</v>
      </c>
      <c r="G66" s="8">
        <f>F66/F$102</f>
        <v/>
      </c>
    </row>
    <row r="67">
      <c r="A67" t="n">
        <v>56</v>
      </c>
      <c r="B67" s="5" t="n">
        <v>68.8733229496</v>
      </c>
      <c r="C67" s="8">
        <f>B67/B$102</f>
        <v/>
      </c>
      <c r="E67" s="9" t="n">
        <v>56</v>
      </c>
      <c r="F67" s="9" t="n">
        <v>2198.731496156574</v>
      </c>
      <c r="G67" s="8">
        <f>F67/F$102</f>
        <v/>
      </c>
    </row>
    <row r="68">
      <c r="A68" t="n">
        <v>57</v>
      </c>
      <c r="B68" s="5" t="n">
        <v>5831.556239654</v>
      </c>
      <c r="C68" s="8">
        <f>B68/B$102</f>
        <v/>
      </c>
      <c r="E68" s="9" t="n">
        <v>57</v>
      </c>
      <c r="F68" s="9" t="n">
        <v>1594.934155909769</v>
      </c>
      <c r="G68" s="8">
        <f>F68/F$102</f>
        <v/>
      </c>
    </row>
    <row r="69">
      <c r="A69" t="n">
        <v>58</v>
      </c>
      <c r="B69" s="5" t="n">
        <v>1680.9734764976</v>
      </c>
      <c r="C69" s="8">
        <f>B69/B$102</f>
        <v/>
      </c>
      <c r="E69" s="9" t="n">
        <v>58</v>
      </c>
      <c r="F69" s="9" t="n">
        <v>2724.806274277797</v>
      </c>
      <c r="G69" s="8">
        <f>F69/F$102</f>
        <v/>
      </c>
    </row>
    <row r="70">
      <c r="A70" t="n">
        <v>59</v>
      </c>
      <c r="B70" s="5" t="n">
        <v>1054.82463615</v>
      </c>
      <c r="C70" s="8">
        <f>B70/B$102</f>
        <v/>
      </c>
      <c r="E70" s="9" t="n">
        <v>59</v>
      </c>
      <c r="F70" s="9" t="n">
        <v>1514.037968195091</v>
      </c>
      <c r="G70" s="8">
        <f>F70/F$102</f>
        <v/>
      </c>
    </row>
    <row r="71">
      <c r="A71" t="n">
        <v>60</v>
      </c>
      <c r="B71" s="5" t="n">
        <v>1759.135719961</v>
      </c>
      <c r="C71" s="8">
        <f>B71/B$102</f>
        <v/>
      </c>
      <c r="E71" s="9" t="n">
        <v>60</v>
      </c>
      <c r="F71" s="9" t="n">
        <v>1246.754471011907</v>
      </c>
      <c r="G71" s="8">
        <f>F71/F$102</f>
        <v/>
      </c>
    </row>
    <row r="72">
      <c r="A72" t="n">
        <v>61</v>
      </c>
      <c r="B72" s="5" t="n">
        <v>5521.870757824</v>
      </c>
      <c r="C72" s="8">
        <f>B72/B$102</f>
        <v/>
      </c>
      <c r="E72" s="9" t="n">
        <v>61</v>
      </c>
      <c r="F72" s="9" t="n">
        <v>963.5008965512943</v>
      </c>
      <c r="G72" s="8">
        <f>F72/F$102</f>
        <v/>
      </c>
    </row>
    <row r="73">
      <c r="A73" t="n">
        <v>62</v>
      </c>
      <c r="B73" s="5" t="n">
        <v>1229.465098057</v>
      </c>
      <c r="C73" s="8">
        <f>B73/B$102</f>
        <v/>
      </c>
      <c r="E73" s="9" t="n">
        <v>62</v>
      </c>
      <c r="F73" s="9" t="n">
        <v>1085.750770906275</v>
      </c>
      <c r="G73" s="8">
        <f>F73/F$102</f>
        <v/>
      </c>
    </row>
    <row r="74">
      <c r="A74" t="n">
        <v>63</v>
      </c>
      <c r="B74" s="5" t="n">
        <v>122.959794439</v>
      </c>
      <c r="C74" s="8">
        <f>B74/B$102</f>
        <v/>
      </c>
      <c r="E74" s="9" t="n">
        <v>63</v>
      </c>
      <c r="F74" s="9" t="n">
        <v>779.8138353505331</v>
      </c>
      <c r="G74" s="8">
        <f>F74/F$102</f>
        <v/>
      </c>
    </row>
    <row r="75">
      <c r="A75" t="n">
        <v>64</v>
      </c>
      <c r="B75" s="5" t="n">
        <v>1118.42644497</v>
      </c>
      <c r="C75" s="8">
        <f>B75/B$102</f>
        <v/>
      </c>
      <c r="E75" s="9" t="n">
        <v>64</v>
      </c>
      <c r="F75" s="9" t="n">
        <v>830.403527078283</v>
      </c>
      <c r="G75" s="8">
        <f>F75/F$102</f>
        <v/>
      </c>
    </row>
    <row r="76">
      <c r="A76" t="n">
        <v>65</v>
      </c>
      <c r="B76" s="5" t="n">
        <v>400.049271747</v>
      </c>
      <c r="C76" s="8">
        <f>B76/B$102</f>
        <v/>
      </c>
      <c r="E76" s="9" t="n">
        <v>65</v>
      </c>
      <c r="F76" s="9" t="n">
        <v>762.0581747629782</v>
      </c>
      <c r="G76" s="8">
        <f>F76/F$102</f>
        <v/>
      </c>
    </row>
    <row r="77">
      <c r="A77" t="n">
        <v>66</v>
      </c>
      <c r="B77" s="5" t="n">
        <v>466.560819543</v>
      </c>
      <c r="C77" s="8">
        <f>B77/B$102</f>
        <v/>
      </c>
      <c r="E77" s="9" t="n">
        <v>66</v>
      </c>
      <c r="F77" s="9" t="n">
        <v>835.148791260848</v>
      </c>
      <c r="G77" s="8">
        <f>F77/F$102</f>
        <v/>
      </c>
    </row>
    <row r="78">
      <c r="A78" t="n">
        <v>67</v>
      </c>
      <c r="B78" s="5" t="n">
        <v>1515.945734731</v>
      </c>
      <c r="C78" s="8">
        <f>B78/B$102</f>
        <v/>
      </c>
      <c r="E78" s="9" t="n">
        <v>67</v>
      </c>
      <c r="F78" s="9" t="n">
        <v>652.9091393199731</v>
      </c>
      <c r="G78" s="8">
        <f>F78/F$102</f>
        <v/>
      </c>
    </row>
    <row r="79">
      <c r="A79" t="n">
        <v>68</v>
      </c>
      <c r="B79" s="5" t="n">
        <v>0</v>
      </c>
      <c r="C79" s="8">
        <f>B79/B$102</f>
        <v/>
      </c>
      <c r="E79" s="9" t="n">
        <v>68</v>
      </c>
      <c r="F79" s="9" t="n">
        <v>889.844736327734</v>
      </c>
      <c r="G79" s="8">
        <f>F79/F$102</f>
        <v/>
      </c>
    </row>
    <row r="80">
      <c r="A80" t="n">
        <v>69</v>
      </c>
      <c r="B80" s="5" t="n">
        <v>561.315777145</v>
      </c>
      <c r="C80" s="8">
        <f>B80/B$102</f>
        <v/>
      </c>
      <c r="E80" s="9" t="n">
        <v>69</v>
      </c>
      <c r="F80" s="9" t="n">
        <v>697.7754916783357</v>
      </c>
      <c r="G80" s="8">
        <f>F80/F$102</f>
        <v/>
      </c>
    </row>
    <row r="81">
      <c r="A81" t="n">
        <v>70</v>
      </c>
      <c r="B81" s="5" t="n">
        <v>636.3466766844</v>
      </c>
      <c r="C81" s="8">
        <f>B81/B$102</f>
        <v/>
      </c>
      <c r="E81" s="9" t="n">
        <v>70</v>
      </c>
      <c r="F81" s="9" t="n">
        <v>502.0439277753862</v>
      </c>
      <c r="G81" s="8">
        <f>F81/F$102</f>
        <v/>
      </c>
    </row>
    <row r="82">
      <c r="A82" t="n">
        <v>71</v>
      </c>
      <c r="B82" s="5" t="n">
        <v>422.35595372</v>
      </c>
      <c r="C82" s="8">
        <f>B82/B$102</f>
        <v/>
      </c>
      <c r="E82" s="9" t="n">
        <v>71</v>
      </c>
      <c r="F82" s="9" t="n">
        <v>509.2972808823757</v>
      </c>
      <c r="G82" s="8">
        <f>F82/F$102</f>
        <v/>
      </c>
    </row>
    <row r="83">
      <c r="A83" t="n">
        <v>72</v>
      </c>
      <c r="B83" s="5" t="n">
        <v>5978.151532144</v>
      </c>
      <c r="C83" s="8">
        <f>B83/B$102</f>
        <v/>
      </c>
      <c r="E83" s="9" t="n">
        <v>72</v>
      </c>
      <c r="F83" s="9" t="n">
        <v>471.0317104246632</v>
      </c>
      <c r="G83" s="8">
        <f>F83/F$102</f>
        <v/>
      </c>
    </row>
    <row r="84">
      <c r="A84" t="n">
        <v>73</v>
      </c>
      <c r="B84" s="5" t="n">
        <v>65.7862003602</v>
      </c>
      <c r="C84" s="8">
        <f>B84/B$102</f>
        <v/>
      </c>
      <c r="E84" s="9" t="n">
        <v>73</v>
      </c>
      <c r="F84" s="9" t="n">
        <v>1018.909553067381</v>
      </c>
      <c r="G84" s="8">
        <f>F84/F$102</f>
        <v/>
      </c>
    </row>
    <row r="85">
      <c r="A85" t="n">
        <v>74</v>
      </c>
      <c r="B85" s="5" t="n">
        <v>411.770390229</v>
      </c>
      <c r="C85" s="8">
        <f>B85/B$102</f>
        <v/>
      </c>
      <c r="E85" s="9" t="n">
        <v>74</v>
      </c>
      <c r="F85" s="9" t="n">
        <v>723.7085224799027</v>
      </c>
      <c r="G85" s="8">
        <f>F85/F$102</f>
        <v/>
      </c>
    </row>
    <row r="86">
      <c r="A86" t="n">
        <v>75</v>
      </c>
      <c r="B86" s="5" t="n">
        <v>0</v>
      </c>
      <c r="C86" s="8">
        <f>B86/B$102</f>
        <v/>
      </c>
      <c r="E86" s="9" t="n">
        <v>75</v>
      </c>
      <c r="F86" s="9" t="n">
        <v>373.3495313795569</v>
      </c>
      <c r="G86" s="8">
        <f>F86/F$102</f>
        <v/>
      </c>
    </row>
    <row r="87">
      <c r="A87" t="n">
        <v>76</v>
      </c>
      <c r="B87" s="5" t="n">
        <v>2655.91924548</v>
      </c>
      <c r="C87" s="8">
        <f>B87/B$102</f>
        <v/>
      </c>
      <c r="E87" s="9" t="n">
        <v>76</v>
      </c>
      <c r="F87" s="9" t="n">
        <v>795.3979264498016</v>
      </c>
      <c r="G87" s="8">
        <f>F87/F$102</f>
        <v/>
      </c>
    </row>
    <row r="88">
      <c r="A88" t="n">
        <v>77</v>
      </c>
      <c r="B88" s="5" t="n">
        <v>808.1524793999999</v>
      </c>
      <c r="C88" s="8">
        <f>B88/B$102</f>
        <v/>
      </c>
      <c r="E88" s="9" t="n">
        <v>77</v>
      </c>
      <c r="F88" s="9" t="n">
        <v>280.7111965746109</v>
      </c>
      <c r="G88" s="8">
        <f>F88/F$102</f>
        <v/>
      </c>
    </row>
    <row r="89">
      <c r="A89" t="n">
        <v>78</v>
      </c>
      <c r="B89" s="5" t="n">
        <v>256.371317496</v>
      </c>
      <c r="C89" s="8">
        <f>B89/B$102</f>
        <v/>
      </c>
      <c r="E89" s="9" t="n">
        <v>78</v>
      </c>
      <c r="F89" s="9" t="n">
        <v>337.3611006168298</v>
      </c>
      <c r="G89" s="8">
        <f>F89/F$102</f>
        <v/>
      </c>
    </row>
    <row r="90">
      <c r="A90" t="n">
        <v>79</v>
      </c>
      <c r="B90" s="5" t="n">
        <v>256.371317496</v>
      </c>
      <c r="C90" s="8">
        <f>B90/B$102</f>
        <v/>
      </c>
      <c r="E90" s="9" t="n">
        <v>79</v>
      </c>
      <c r="F90" s="9" t="n">
        <v>512.7971006763862</v>
      </c>
      <c r="G90" s="8">
        <f>F90/F$102</f>
        <v/>
      </c>
    </row>
    <row r="91">
      <c r="A91" t="n">
        <v>80</v>
      </c>
      <c r="B91" s="5" t="n">
        <v>1593.262710215</v>
      </c>
      <c r="C91" s="8">
        <f>B91/B$102</f>
        <v/>
      </c>
      <c r="E91" s="9" t="n">
        <v>80</v>
      </c>
      <c r="F91" s="9" t="n">
        <v>607.7067100476872</v>
      </c>
      <c r="G91" s="8">
        <f>F91/F$102</f>
        <v/>
      </c>
    </row>
    <row r="92">
      <c r="A92" t="n">
        <v>81</v>
      </c>
      <c r="B92" s="5" t="n">
        <v>554.6612293970001</v>
      </c>
      <c r="C92" s="8">
        <f>B92/B$102</f>
        <v/>
      </c>
      <c r="E92" s="9" t="n">
        <v>81</v>
      </c>
      <c r="F92" s="9" t="n">
        <v>543.4569338667336</v>
      </c>
      <c r="G92" s="8">
        <f>F92/F$102</f>
        <v/>
      </c>
    </row>
    <row r="93">
      <c r="A93" t="n">
        <v>82</v>
      </c>
      <c r="B93" s="5" t="n">
        <v>739.676000992</v>
      </c>
      <c r="C93" s="8">
        <f>B93/B$102</f>
        <v/>
      </c>
      <c r="E93" s="9" t="n">
        <v>82</v>
      </c>
      <c r="F93" s="9" t="n">
        <v>313.6144815465743</v>
      </c>
      <c r="G93" s="8">
        <f>F93/F$102</f>
        <v/>
      </c>
    </row>
    <row r="94">
      <c r="A94" t="n">
        <v>83</v>
      </c>
      <c r="B94" s="5" t="n">
        <v>0</v>
      </c>
      <c r="C94" s="8">
        <f>B94/B$102</f>
        <v/>
      </c>
      <c r="E94" s="9" t="n">
        <v>83</v>
      </c>
      <c r="F94" s="9" t="n">
        <v>244.6242894434399</v>
      </c>
      <c r="G94" s="8">
        <f>F94/F$102</f>
        <v/>
      </c>
    </row>
    <row r="95">
      <c r="A95" t="n">
        <v>84</v>
      </c>
      <c r="B95" s="5" t="n">
        <v>2404.586148969</v>
      </c>
      <c r="C95" s="8">
        <f>B95/B$102</f>
        <v/>
      </c>
      <c r="E95" s="9" t="n">
        <v>84</v>
      </c>
      <c r="F95" s="9" t="n">
        <v>335.1913281596055</v>
      </c>
      <c r="G95" s="8">
        <f>F95/F$102</f>
        <v/>
      </c>
    </row>
    <row r="96">
      <c r="A96" t="n">
        <v>85</v>
      </c>
      <c r="B96" s="5" t="n">
        <v>76.87611452039999</v>
      </c>
      <c r="C96" s="8">
        <f>B96/B$102</f>
        <v/>
      </c>
      <c r="E96" s="9" t="n">
        <v>85</v>
      </c>
      <c r="F96" s="9" t="n">
        <v>258.853654055327</v>
      </c>
      <c r="G96" s="8">
        <f>F96/F$102</f>
        <v/>
      </c>
    </row>
    <row r="97">
      <c r="A97" t="n">
        <v>86</v>
      </c>
      <c r="B97" s="5" t="n">
        <v>880.136943483</v>
      </c>
      <c r="C97" s="8">
        <f>B97/B$102</f>
        <v/>
      </c>
      <c r="E97" s="9" t="n">
        <v>86</v>
      </c>
      <c r="F97" s="9" t="n">
        <v>251.2612963326735</v>
      </c>
      <c r="G97" s="8">
        <f>F97/F$102</f>
        <v/>
      </c>
    </row>
    <row r="98">
      <c r="A98" t="n">
        <v>87</v>
      </c>
      <c r="B98" s="5" t="n">
        <v>0</v>
      </c>
      <c r="C98" s="8">
        <f>B98/B$102</f>
        <v/>
      </c>
      <c r="E98" s="9" t="n">
        <v>87</v>
      </c>
      <c r="F98" s="9" t="n">
        <v>243.0093125335375</v>
      </c>
      <c r="G98" s="8">
        <f>F98/F$102</f>
        <v/>
      </c>
    </row>
    <row r="99">
      <c r="A99" t="n">
        <v>88</v>
      </c>
      <c r="B99" s="5" t="n">
        <v>300.952409273</v>
      </c>
      <c r="C99" s="8">
        <f>B99/B$102</f>
        <v/>
      </c>
      <c r="E99" s="9" t="n">
        <v>88</v>
      </c>
      <c r="F99" s="9" t="n">
        <v>227.3482608153889</v>
      </c>
      <c r="G99" s="8">
        <f>F99/F$102</f>
        <v/>
      </c>
    </row>
    <row r="100">
      <c r="A100" t="n">
        <v>89</v>
      </c>
      <c r="B100" s="5" t="n">
        <v>357.255567611</v>
      </c>
      <c r="C100" s="8">
        <f>B100/B$102</f>
        <v/>
      </c>
      <c r="E100" s="9" t="n">
        <v>89</v>
      </c>
      <c r="F100" s="9" t="n">
        <v>160.2461337124668</v>
      </c>
      <c r="G100" s="8">
        <f>F100/F$102</f>
        <v/>
      </c>
    </row>
    <row r="101" ht="15.75" customHeight="1" thickBot="1">
      <c r="A101" s="1" t="n">
        <v>90</v>
      </c>
      <c r="B101" s="6" t="n">
        <v>22484.3798705738</v>
      </c>
      <c r="C101" s="8">
        <f>B101/B$102</f>
        <v/>
      </c>
      <c r="E101" s="10" t="n">
        <v>90</v>
      </c>
      <c r="F101" s="10" t="n">
        <v>9562.165635634756</v>
      </c>
      <c r="G101" s="8">
        <f>F101/F$102</f>
        <v/>
      </c>
    </row>
    <row r="102">
      <c r="B102" s="5">
        <f>SUM(B11:B101)</f>
        <v/>
      </c>
      <c r="C102" s="8">
        <f>B102/B$102</f>
        <v/>
      </c>
      <c r="F102" s="5">
        <f>SUM(F11:F101)</f>
        <v/>
      </c>
      <c r="G102" s="8">
        <f>F102/F$102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L102"/>
  <sheetViews>
    <sheetView workbookViewId="0">
      <selection activeCell="U14" sqref="U14"/>
    </sheetView>
  </sheetViews>
  <sheetFormatPr baseColWidth="8" defaultRowHeight="15"/>
  <cols>
    <col collapsed="1" width="13.5703125" customWidth="1" min="1" max="1"/>
    <col collapsed="1" width="9.5703125" bestFit="1" customWidth="1" min="2" max="2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NERPM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thickBot="1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J9" s="7" t="inlineStr">
        <is>
          <t>Table X. Average Trip Length</t>
        </is>
      </c>
    </row>
    <row r="10">
      <c r="A10" s="2" t="inlineStr">
        <is>
          <t>Distance (mi)</t>
        </is>
      </c>
      <c r="B10" s="4" t="inlineStr">
        <is>
          <t>Survey</t>
        </is>
      </c>
      <c r="C10" s="4" t="inlineStr">
        <is>
          <t>Survey</t>
        </is>
      </c>
      <c r="E10" s="2" t="inlineStr">
        <is>
          <t>Distance (mi)</t>
        </is>
      </c>
      <c r="F10" s="4" t="inlineStr">
        <is>
          <t>DaySim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5" t="n">
        <v>84907.0721932005</v>
      </c>
      <c r="C11" s="8">
        <f>B11/B$102</f>
        <v/>
      </c>
      <c r="E11" s="9" t="n">
        <v>0</v>
      </c>
      <c r="F11" s="9" t="n">
        <v>313784.0178817952</v>
      </c>
      <c r="G11" s="8">
        <f>F11/F$102</f>
        <v/>
      </c>
      <c r="K11" s="5" t="n">
        <v>7.186638090075824</v>
      </c>
      <c r="L11" s="5" t="n">
        <v>5.765353703576883</v>
      </c>
    </row>
    <row r="12">
      <c r="A12" t="n">
        <v>1</v>
      </c>
      <c r="B12" s="5" t="n">
        <v>101459.22475387</v>
      </c>
      <c r="C12" s="8">
        <f>B12/B$102</f>
        <v/>
      </c>
      <c r="E12" s="9" t="n">
        <v>1</v>
      </c>
      <c r="F12" s="9" t="n">
        <v>233205.3590350071</v>
      </c>
      <c r="G12" s="8">
        <f>F12/F$102</f>
        <v/>
      </c>
      <c r="K12" s="5" t="n"/>
      <c r="L12" s="9" t="n"/>
    </row>
    <row r="13">
      <c r="A13" t="n">
        <v>2</v>
      </c>
      <c r="B13" s="5" t="n">
        <v>100404.4870225725</v>
      </c>
      <c r="C13" s="8">
        <f>B13/B$102</f>
        <v/>
      </c>
      <c r="E13" s="9" t="n">
        <v>2</v>
      </c>
      <c r="F13" s="9" t="n">
        <v>139996.7556542314</v>
      </c>
      <c r="G13" s="8">
        <f>F13/F$102</f>
        <v/>
      </c>
    </row>
    <row r="14">
      <c r="A14" t="n">
        <v>3</v>
      </c>
      <c r="B14" s="5" t="n">
        <v>190531.2426494512</v>
      </c>
      <c r="C14" s="8">
        <f>B14/B$102</f>
        <v/>
      </c>
      <c r="E14" s="9" t="n">
        <v>3</v>
      </c>
      <c r="F14" s="9" t="n">
        <v>84579.63895343161</v>
      </c>
      <c r="G14" s="8">
        <f>F14/F$102</f>
        <v/>
      </c>
    </row>
    <row r="15">
      <c r="A15" t="n">
        <v>4</v>
      </c>
      <c r="B15" s="5" t="n">
        <v>307024.78858326</v>
      </c>
      <c r="C15" s="8">
        <f>B15/B$102</f>
        <v/>
      </c>
      <c r="E15" s="9" t="n">
        <v>4</v>
      </c>
      <c r="F15" s="9" t="n">
        <v>246199.2267855397</v>
      </c>
      <c r="G15" s="8">
        <f>F15/F$102</f>
        <v/>
      </c>
    </row>
    <row r="16">
      <c r="A16" t="n">
        <v>5</v>
      </c>
      <c r="B16" s="5" t="n">
        <v>206551.5250263804</v>
      </c>
      <c r="C16" s="8">
        <f>B16/B$102</f>
        <v/>
      </c>
      <c r="E16" s="9" t="n">
        <v>5</v>
      </c>
      <c r="F16" s="9" t="n">
        <v>126683.0330250714</v>
      </c>
      <c r="G16" s="8">
        <f>F16/F$102</f>
        <v/>
      </c>
    </row>
    <row r="17">
      <c r="A17" t="n">
        <v>6</v>
      </c>
      <c r="B17" s="5" t="n">
        <v>195336.4394175845</v>
      </c>
      <c r="C17" s="8">
        <f>B17/B$102</f>
        <v/>
      </c>
      <c r="E17" s="9" t="n">
        <v>6</v>
      </c>
      <c r="F17" s="9" t="n">
        <v>119263.7168991364</v>
      </c>
      <c r="G17" s="8">
        <f>F17/F$102</f>
        <v/>
      </c>
    </row>
    <row r="18">
      <c r="A18" t="n">
        <v>7</v>
      </c>
      <c r="B18" s="5" t="n">
        <v>96019.9389225083</v>
      </c>
      <c r="C18" s="8">
        <f>B18/B$102</f>
        <v/>
      </c>
      <c r="E18" s="9" t="n">
        <v>7</v>
      </c>
      <c r="F18" s="9" t="n">
        <v>71803.14727934108</v>
      </c>
      <c r="G18" s="8">
        <f>F18/F$102</f>
        <v/>
      </c>
    </row>
    <row r="19">
      <c r="A19" t="n">
        <v>8</v>
      </c>
      <c r="B19" s="5" t="n">
        <v>81411.287863505</v>
      </c>
      <c r="C19" s="8">
        <f>B19/B$102</f>
        <v/>
      </c>
      <c r="E19" s="9" t="n">
        <v>8</v>
      </c>
      <c r="F19" s="9" t="n">
        <v>72990.80898817304</v>
      </c>
      <c r="G19" s="8">
        <f>F19/F$102</f>
        <v/>
      </c>
    </row>
    <row r="20">
      <c r="A20" t="n">
        <v>9</v>
      </c>
      <c r="B20" s="5" t="n">
        <v>62555.5230922982</v>
      </c>
      <c r="C20" s="8">
        <f>B20/B$102</f>
        <v/>
      </c>
      <c r="E20" s="9" t="n">
        <v>9</v>
      </c>
      <c r="F20" s="9" t="n">
        <v>44602.7663764172</v>
      </c>
      <c r="G20" s="8">
        <f>F20/F$102</f>
        <v/>
      </c>
    </row>
    <row r="21">
      <c r="A21" t="n">
        <v>10</v>
      </c>
      <c r="B21" s="5" t="n">
        <v>119012.2937959228</v>
      </c>
      <c r="C21" s="8">
        <f>B21/B$102</f>
        <v/>
      </c>
      <c r="E21" s="9" t="n">
        <v>10</v>
      </c>
      <c r="F21" s="9" t="n">
        <v>31079.22577097585</v>
      </c>
      <c r="G21" s="8">
        <f>F21/F$102</f>
        <v/>
      </c>
    </row>
    <row r="22">
      <c r="A22" t="n">
        <v>11</v>
      </c>
      <c r="B22" s="5" t="n">
        <v>36479.2789345701</v>
      </c>
      <c r="C22" s="8">
        <f>B22/B$102</f>
        <v/>
      </c>
      <c r="E22" s="9" t="n">
        <v>11</v>
      </c>
      <c r="F22" s="9" t="n">
        <v>30641.43289416471</v>
      </c>
      <c r="G22" s="8">
        <f>F22/F$102</f>
        <v/>
      </c>
    </row>
    <row r="23">
      <c r="A23" t="n">
        <v>12</v>
      </c>
      <c r="B23" s="5" t="n">
        <v>32629.1127797312</v>
      </c>
      <c r="C23" s="8">
        <f>B23/B$102</f>
        <v/>
      </c>
      <c r="E23" s="9" t="n">
        <v>12</v>
      </c>
      <c r="F23" s="9" t="n">
        <v>26251.21119065009</v>
      </c>
      <c r="G23" s="8">
        <f>F23/F$102</f>
        <v/>
      </c>
    </row>
    <row r="24">
      <c r="A24" t="n">
        <v>13</v>
      </c>
      <c r="B24" s="5" t="n">
        <v>17994.8006290605</v>
      </c>
      <c r="C24" s="8">
        <f>B24/B$102</f>
        <v/>
      </c>
      <c r="E24" s="9" t="n">
        <v>13</v>
      </c>
      <c r="F24" s="9" t="n">
        <v>21766.20675128203</v>
      </c>
      <c r="G24" s="8">
        <f>F24/F$102</f>
        <v/>
      </c>
    </row>
    <row r="25">
      <c r="A25" t="n">
        <v>14</v>
      </c>
      <c r="B25" s="5" t="n">
        <v>18414.0822075536</v>
      </c>
      <c r="C25" s="8">
        <f>B25/B$102</f>
        <v/>
      </c>
      <c r="E25" s="9" t="n">
        <v>14</v>
      </c>
      <c r="F25" s="9" t="n">
        <v>22567.69050421657</v>
      </c>
      <c r="G25" s="8">
        <f>F25/F$102</f>
        <v/>
      </c>
    </row>
    <row r="26">
      <c r="A26" t="n">
        <v>15</v>
      </c>
      <c r="B26" s="5" t="n">
        <v>17555.1507469961</v>
      </c>
      <c r="C26" s="8">
        <f>B26/B$102</f>
        <v/>
      </c>
      <c r="E26" s="9" t="n">
        <v>15</v>
      </c>
      <c r="F26" s="9" t="n">
        <v>22152.77924940022</v>
      </c>
      <c r="G26" s="8">
        <f>F26/F$102</f>
        <v/>
      </c>
    </row>
    <row r="27">
      <c r="A27" t="n">
        <v>16</v>
      </c>
      <c r="B27" s="5" t="n">
        <v>30793.3270430476</v>
      </c>
      <c r="C27" s="8">
        <f>B27/B$102</f>
        <v/>
      </c>
      <c r="E27" s="9" t="n">
        <v>16</v>
      </c>
      <c r="F27" s="9" t="n">
        <v>19864.21203665334</v>
      </c>
      <c r="G27" s="8">
        <f>F27/F$102</f>
        <v/>
      </c>
    </row>
    <row r="28">
      <c r="A28" t="n">
        <v>17</v>
      </c>
      <c r="B28" s="5" t="n">
        <v>14174.9013813592</v>
      </c>
      <c r="C28" s="8">
        <f>B28/B$102</f>
        <v/>
      </c>
      <c r="E28" s="9" t="n">
        <v>17</v>
      </c>
      <c r="F28" s="9" t="n">
        <v>15250.7239227183</v>
      </c>
      <c r="G28" s="8">
        <f>F28/F$102</f>
        <v/>
      </c>
    </row>
    <row r="29">
      <c r="A29" t="n">
        <v>18</v>
      </c>
      <c r="B29" s="5" t="n">
        <v>14542.7372729443</v>
      </c>
      <c r="C29" s="8">
        <f>B29/B$102</f>
        <v/>
      </c>
      <c r="E29" s="9" t="n">
        <v>18</v>
      </c>
      <c r="F29" s="9" t="n">
        <v>11955.82672580302</v>
      </c>
      <c r="G29" s="8">
        <f>F29/F$102</f>
        <v/>
      </c>
    </row>
    <row r="30">
      <c r="A30" t="n">
        <v>19</v>
      </c>
      <c r="B30" s="5" t="n">
        <v>18690.2688199726</v>
      </c>
      <c r="C30" s="8">
        <f>B30/B$102</f>
        <v/>
      </c>
      <c r="E30" s="9" t="n">
        <v>19</v>
      </c>
      <c r="F30" s="9" t="n">
        <v>9115.036115375895</v>
      </c>
      <c r="G30" s="8">
        <f>F30/F$102</f>
        <v/>
      </c>
    </row>
    <row r="31">
      <c r="A31" t="n">
        <v>20</v>
      </c>
      <c r="B31" s="5" t="n">
        <v>8832.9782351174</v>
      </c>
      <c r="C31" s="8">
        <f>B31/B$102</f>
        <v/>
      </c>
      <c r="E31" s="9" t="n">
        <v>20</v>
      </c>
      <c r="F31" s="9" t="n">
        <v>8786.846647571347</v>
      </c>
      <c r="G31" s="8">
        <f>F31/F$102</f>
        <v/>
      </c>
    </row>
    <row r="32">
      <c r="A32" t="n">
        <v>21</v>
      </c>
      <c r="B32" s="5" t="n">
        <v>9212.629900026699</v>
      </c>
      <c r="C32" s="8">
        <f>B32/B$102</f>
        <v/>
      </c>
      <c r="E32" s="9" t="n">
        <v>21</v>
      </c>
      <c r="F32" s="9" t="n">
        <v>6652.307807521224</v>
      </c>
      <c r="G32" s="8">
        <f>F32/F$102</f>
        <v/>
      </c>
    </row>
    <row r="33">
      <c r="A33" t="n">
        <v>22</v>
      </c>
      <c r="B33" s="5" t="n">
        <v>12829.9965571878</v>
      </c>
      <c r="C33" s="8">
        <f>B33/B$102</f>
        <v/>
      </c>
      <c r="E33" s="9" t="n">
        <v>22</v>
      </c>
      <c r="F33" s="9" t="n">
        <v>6614.328600996931</v>
      </c>
      <c r="G33" s="8">
        <f>F33/F$102</f>
        <v/>
      </c>
    </row>
    <row r="34">
      <c r="A34" t="n">
        <v>23</v>
      </c>
      <c r="B34" s="5" t="n">
        <v>14398.7517202314</v>
      </c>
      <c r="C34" s="8">
        <f>B34/B$102</f>
        <v/>
      </c>
      <c r="E34" s="9" t="n">
        <v>23</v>
      </c>
      <c r="F34" s="9" t="n">
        <v>5744.069107451114</v>
      </c>
      <c r="G34" s="8">
        <f>F34/F$102</f>
        <v/>
      </c>
    </row>
    <row r="35">
      <c r="A35" t="n">
        <v>24</v>
      </c>
      <c r="B35" s="5" t="n">
        <v>1073.090578754</v>
      </c>
      <c r="C35" s="8">
        <f>B35/B$102</f>
        <v/>
      </c>
      <c r="E35" s="9" t="n">
        <v>24</v>
      </c>
      <c r="F35" s="9" t="n">
        <v>5333.866393666434</v>
      </c>
      <c r="G35" s="8">
        <f>F35/F$102</f>
        <v/>
      </c>
    </row>
    <row r="36">
      <c r="A36" t="n">
        <v>25</v>
      </c>
      <c r="B36" s="5" t="n">
        <v>1734.205127289</v>
      </c>
      <c r="C36" s="8">
        <f>B36/B$102</f>
        <v/>
      </c>
      <c r="E36" s="9" t="n">
        <v>25</v>
      </c>
      <c r="F36" s="9" t="n">
        <v>5241.684061256518</v>
      </c>
      <c r="G36" s="8">
        <f>F36/F$102</f>
        <v/>
      </c>
    </row>
    <row r="37">
      <c r="A37" t="n">
        <v>26</v>
      </c>
      <c r="B37" s="5" t="n">
        <v>1382.3037132361</v>
      </c>
      <c r="C37" s="8">
        <f>B37/B$102</f>
        <v/>
      </c>
      <c r="E37" s="9" t="n">
        <v>26</v>
      </c>
      <c r="F37" s="9" t="n">
        <v>4111.204881289459</v>
      </c>
      <c r="G37" s="8">
        <f>F37/F$102</f>
        <v/>
      </c>
    </row>
    <row r="38">
      <c r="A38" t="n">
        <v>27</v>
      </c>
      <c r="B38" s="5" t="n">
        <v>2415.69175757</v>
      </c>
      <c r="C38" s="8">
        <f>B38/B$102</f>
        <v/>
      </c>
      <c r="E38" s="9" t="n">
        <v>27</v>
      </c>
      <c r="F38" s="9" t="n">
        <v>2652.309417207117</v>
      </c>
      <c r="G38" s="8">
        <f>F38/F$102</f>
        <v/>
      </c>
    </row>
    <row r="39">
      <c r="A39" t="n">
        <v>28</v>
      </c>
      <c r="B39" s="5" t="n">
        <v>3355.6392179848</v>
      </c>
      <c r="C39" s="8">
        <f>B39/B$102</f>
        <v/>
      </c>
      <c r="E39" s="9" t="n">
        <v>28</v>
      </c>
      <c r="F39" s="9" t="n">
        <v>2959.925007467786</v>
      </c>
      <c r="G39" s="8">
        <f>F39/F$102</f>
        <v/>
      </c>
    </row>
    <row r="40">
      <c r="A40" t="n">
        <v>29</v>
      </c>
      <c r="B40" s="5" t="n">
        <v>1049.6642425372</v>
      </c>
      <c r="C40" s="8">
        <f>B40/B$102</f>
        <v/>
      </c>
      <c r="E40" s="9" t="n">
        <v>29</v>
      </c>
      <c r="F40" s="9" t="n">
        <v>2384.948335358347</v>
      </c>
      <c r="G40" s="8">
        <f>F40/F$102</f>
        <v/>
      </c>
    </row>
    <row r="41">
      <c r="A41" t="n">
        <v>30</v>
      </c>
      <c r="B41" s="5" t="n">
        <v>1586.4049019792</v>
      </c>
      <c r="C41" s="8">
        <f>B41/B$102</f>
        <v/>
      </c>
      <c r="E41" s="9" t="n">
        <v>30</v>
      </c>
      <c r="F41" s="9" t="n">
        <v>2239.175196287047</v>
      </c>
      <c r="G41" s="8">
        <f>F41/F$102</f>
        <v/>
      </c>
    </row>
    <row r="42">
      <c r="A42" t="n">
        <v>31</v>
      </c>
      <c r="B42" s="5" t="n">
        <v>2692.10237777</v>
      </c>
      <c r="C42" s="8">
        <f>B42/B$102</f>
        <v/>
      </c>
      <c r="E42" s="9" t="n">
        <v>31</v>
      </c>
      <c r="F42" s="9" t="n">
        <v>1726.612495805051</v>
      </c>
      <c r="G42" s="8">
        <f>F42/F$102</f>
        <v/>
      </c>
    </row>
    <row r="43">
      <c r="A43" t="n">
        <v>32</v>
      </c>
      <c r="B43" s="5" t="n">
        <v>1018.187280604</v>
      </c>
      <c r="C43" s="8">
        <f>B43/B$102</f>
        <v/>
      </c>
      <c r="E43" s="9" t="n">
        <v>32</v>
      </c>
      <c r="F43" s="9" t="n">
        <v>1588.862476198944</v>
      </c>
      <c r="G43" s="8">
        <f>F43/F$102</f>
        <v/>
      </c>
    </row>
    <row r="44">
      <c r="A44" t="n">
        <v>33</v>
      </c>
      <c r="B44" s="5" t="n">
        <v>1938.450463821</v>
      </c>
      <c r="C44" s="8">
        <f>B44/B$102</f>
        <v/>
      </c>
      <c r="E44" s="9" t="n">
        <v>33</v>
      </c>
      <c r="F44" s="9" t="n">
        <v>1342.233426109798</v>
      </c>
      <c r="G44" s="8">
        <f>F44/F$102</f>
        <v/>
      </c>
    </row>
    <row r="45">
      <c r="A45" t="n">
        <v>34</v>
      </c>
      <c r="B45" s="5" t="n">
        <v>1449.092665293</v>
      </c>
      <c r="C45" s="8">
        <f>B45/B$102</f>
        <v/>
      </c>
      <c r="E45" s="9" t="n">
        <v>34</v>
      </c>
      <c r="F45" s="9" t="n">
        <v>1156.954045149872</v>
      </c>
      <c r="G45" s="8">
        <f>F45/F$102</f>
        <v/>
      </c>
    </row>
    <row r="46">
      <c r="A46" t="n">
        <v>35</v>
      </c>
      <c r="B46" s="5" t="n">
        <v>1498.404540075</v>
      </c>
      <c r="C46" s="8">
        <f>B46/B$102</f>
        <v/>
      </c>
      <c r="E46" s="9" t="n">
        <v>35</v>
      </c>
      <c r="F46" s="9" t="n">
        <v>918.3152114449521</v>
      </c>
      <c r="G46" s="8">
        <f>F46/F$102</f>
        <v/>
      </c>
    </row>
    <row r="47">
      <c r="A47" t="n">
        <v>36</v>
      </c>
      <c r="B47" s="5" t="n">
        <v>1085.272294945</v>
      </c>
      <c r="C47" s="8">
        <f>B47/B$102</f>
        <v/>
      </c>
      <c r="E47" s="9" t="n">
        <v>36</v>
      </c>
      <c r="F47" s="9" t="n">
        <v>1231.820116083946</v>
      </c>
      <c r="G47" s="8">
        <f>F47/F$102</f>
        <v/>
      </c>
    </row>
    <row r="48">
      <c r="A48" t="n">
        <v>37</v>
      </c>
      <c r="B48" s="5" t="n">
        <v>570.856988644</v>
      </c>
      <c r="C48" s="8">
        <f>B48/B$102</f>
        <v/>
      </c>
      <c r="E48" s="9" t="n">
        <v>37</v>
      </c>
      <c r="F48" s="9" t="n">
        <v>855.1419230086035</v>
      </c>
      <c r="G48" s="8">
        <f>F48/F$102</f>
        <v/>
      </c>
    </row>
    <row r="49">
      <c r="A49" t="n">
        <v>38</v>
      </c>
      <c r="B49" s="5" t="n">
        <v>4.59375</v>
      </c>
      <c r="C49" s="8">
        <f>B49/B$102</f>
        <v/>
      </c>
      <c r="E49" s="9" t="n">
        <v>38</v>
      </c>
      <c r="F49" s="9" t="n">
        <v>827.3658718136496</v>
      </c>
      <c r="G49" s="8">
        <f>F49/F$102</f>
        <v/>
      </c>
    </row>
    <row r="50">
      <c r="A50" t="n">
        <v>39</v>
      </c>
      <c r="B50" s="5" t="n">
        <v>396.0371562029</v>
      </c>
      <c r="C50" s="8">
        <f>B50/B$102</f>
        <v/>
      </c>
      <c r="E50" s="9" t="n">
        <v>39</v>
      </c>
      <c r="F50" s="9" t="n">
        <v>709.8771716278235</v>
      </c>
      <c r="G50" s="8">
        <f>F50/F$102</f>
        <v/>
      </c>
    </row>
    <row r="51">
      <c r="A51" t="n">
        <v>40</v>
      </c>
      <c r="B51" s="5" t="n">
        <v>2029.291388077</v>
      </c>
      <c r="C51" s="8">
        <f>B51/B$102</f>
        <v/>
      </c>
      <c r="E51" s="9" t="n">
        <v>40</v>
      </c>
      <c r="F51" s="9" t="n">
        <v>514.5155968414017</v>
      </c>
      <c r="G51" s="8">
        <f>F51/F$102</f>
        <v/>
      </c>
    </row>
    <row r="52">
      <c r="A52" t="n">
        <v>41</v>
      </c>
      <c r="B52" s="5" t="n">
        <v>2470.933528429</v>
      </c>
      <c r="C52" s="8">
        <f>B52/B$102</f>
        <v/>
      </c>
      <c r="E52" s="9" t="n">
        <v>41</v>
      </c>
      <c r="F52" s="9" t="n">
        <v>416.3446260848045</v>
      </c>
      <c r="G52" s="8">
        <f>F52/F$102</f>
        <v/>
      </c>
    </row>
    <row r="53">
      <c r="A53" t="n">
        <v>42</v>
      </c>
      <c r="B53" s="5" t="n">
        <v>0</v>
      </c>
      <c r="C53" s="8">
        <f>B53/B$102</f>
        <v/>
      </c>
      <c r="E53" s="9" t="n">
        <v>42</v>
      </c>
      <c r="F53" s="9" t="n">
        <v>323.8772993097679</v>
      </c>
      <c r="G53" s="8">
        <f>F53/F$102</f>
        <v/>
      </c>
    </row>
    <row r="54">
      <c r="A54" t="n">
        <v>43</v>
      </c>
      <c r="B54" s="5" t="n">
        <v>143.589273955</v>
      </c>
      <c r="C54" s="8">
        <f>B54/B$102</f>
        <v/>
      </c>
      <c r="E54" s="9" t="n">
        <v>43</v>
      </c>
      <c r="F54" s="9" t="n">
        <v>219.7028211326461</v>
      </c>
      <c r="G54" s="8">
        <f>F54/F$102</f>
        <v/>
      </c>
    </row>
    <row r="55">
      <c r="A55" t="n">
        <v>44</v>
      </c>
      <c r="B55" s="5" t="n">
        <v>1125.3988481578</v>
      </c>
      <c r="C55" s="8">
        <f>B55/B$102</f>
        <v/>
      </c>
      <c r="E55" s="9" t="n">
        <v>44</v>
      </c>
      <c r="F55" s="9" t="n">
        <v>225.27872347621</v>
      </c>
      <c r="G55" s="8">
        <f>F55/F$102</f>
        <v/>
      </c>
    </row>
    <row r="56">
      <c r="A56" t="n">
        <v>45</v>
      </c>
      <c r="B56" s="5" t="n">
        <v>0</v>
      </c>
      <c r="C56" s="8">
        <f>B56/B$102</f>
        <v/>
      </c>
      <c r="E56" s="9" t="n">
        <v>45</v>
      </c>
      <c r="F56" s="9" t="n">
        <v>290.3782956245118</v>
      </c>
      <c r="G56" s="8">
        <f>F56/F$102</f>
        <v/>
      </c>
    </row>
    <row r="57">
      <c r="A57" t="n">
        <v>46</v>
      </c>
      <c r="B57" s="5" t="n">
        <v>1531.936598843</v>
      </c>
      <c r="C57" s="8">
        <f>B57/B$102</f>
        <v/>
      </c>
      <c r="E57" s="9" t="n">
        <v>46</v>
      </c>
      <c r="F57" s="9" t="n">
        <v>163.860553074025</v>
      </c>
      <c r="G57" s="8">
        <f>F57/F$102</f>
        <v/>
      </c>
    </row>
    <row r="58">
      <c r="A58" t="n">
        <v>47</v>
      </c>
      <c r="B58" s="5" t="n">
        <v>5149.1823438</v>
      </c>
      <c r="C58" s="8">
        <f>B58/B$102</f>
        <v/>
      </c>
      <c r="E58" s="9" t="n">
        <v>47</v>
      </c>
      <c r="F58" s="9" t="n">
        <v>173.89177277792</v>
      </c>
      <c r="G58" s="8">
        <f>F58/F$102</f>
        <v/>
      </c>
    </row>
    <row r="59">
      <c r="A59" t="n">
        <v>48</v>
      </c>
      <c r="B59" s="5" t="n">
        <v>213.886510635</v>
      </c>
      <c r="C59" s="8">
        <f>B59/B$102</f>
        <v/>
      </c>
      <c r="E59" s="9" t="n">
        <v>48</v>
      </c>
      <c r="F59" s="9" t="n">
        <v>116.2043748611218</v>
      </c>
      <c r="G59" s="8">
        <f>F59/F$102</f>
        <v/>
      </c>
    </row>
    <row r="60">
      <c r="A60" t="n">
        <v>49</v>
      </c>
      <c r="B60" s="5" t="n">
        <v>406.812011884</v>
      </c>
      <c r="C60" s="8">
        <f>B60/B$102</f>
        <v/>
      </c>
      <c r="E60" s="9" t="n">
        <v>49</v>
      </c>
      <c r="F60" s="9" t="n">
        <v>135.0098943070178</v>
      </c>
      <c r="G60" s="8">
        <f>F60/F$102</f>
        <v/>
      </c>
    </row>
    <row r="61">
      <c r="A61" t="n">
        <v>50</v>
      </c>
      <c r="B61" s="5" t="n">
        <v>454.367233631</v>
      </c>
      <c r="C61" s="8">
        <f>B61/B$102</f>
        <v/>
      </c>
      <c r="E61" s="9" t="n">
        <v>50</v>
      </c>
      <c r="F61" s="9" t="n">
        <v>97.37593265194116</v>
      </c>
      <c r="G61" s="8">
        <f>F61/F$102</f>
        <v/>
      </c>
    </row>
    <row r="62">
      <c r="A62" t="n">
        <v>51</v>
      </c>
      <c r="B62" s="5" t="n">
        <v>94.7244864348</v>
      </c>
      <c r="C62" s="8">
        <f>B62/B$102</f>
        <v/>
      </c>
      <c r="E62" s="9" t="n">
        <v>51</v>
      </c>
      <c r="F62" s="9" t="n">
        <v>106.9678524207068</v>
      </c>
      <c r="G62" s="8">
        <f>F62/F$102</f>
        <v/>
      </c>
    </row>
    <row r="63">
      <c r="A63" t="n">
        <v>52</v>
      </c>
      <c r="B63" s="5" t="n">
        <v>0</v>
      </c>
      <c r="C63" s="8">
        <f>B63/B$102</f>
        <v/>
      </c>
      <c r="E63" s="9" t="n">
        <v>52</v>
      </c>
      <c r="F63" s="9" t="n">
        <v>63.51668069117454</v>
      </c>
      <c r="G63" s="8">
        <f>F63/F$102</f>
        <v/>
      </c>
    </row>
    <row r="64">
      <c r="A64" t="n">
        <v>53</v>
      </c>
      <c r="B64" s="5" t="n">
        <v>0</v>
      </c>
      <c r="C64" s="8">
        <f>B64/B$102</f>
        <v/>
      </c>
      <c r="E64" s="9" t="n">
        <v>53</v>
      </c>
      <c r="F64" s="9" t="n">
        <v>50.3172558570518</v>
      </c>
      <c r="G64" s="8">
        <f>F64/F$102</f>
        <v/>
      </c>
    </row>
    <row r="65">
      <c r="A65" t="n">
        <v>54</v>
      </c>
      <c r="B65" s="5" t="n">
        <v>0</v>
      </c>
      <c r="C65" s="8">
        <f>B65/B$102</f>
        <v/>
      </c>
      <c r="E65" s="9" t="n">
        <v>54</v>
      </c>
      <c r="F65" s="9" t="n">
        <v>48.58327361597707</v>
      </c>
      <c r="G65" s="8">
        <f>F65/F$102</f>
        <v/>
      </c>
    </row>
    <row r="66">
      <c r="A66" t="n">
        <v>55</v>
      </c>
      <c r="B66" s="5" t="n">
        <v>0</v>
      </c>
      <c r="C66" s="8">
        <f>B66/B$102</f>
        <v/>
      </c>
      <c r="E66" s="9" t="n">
        <v>55</v>
      </c>
      <c r="F66" s="9" t="n">
        <v>63.11800550119217</v>
      </c>
      <c r="G66" s="8">
        <f>F66/F$102</f>
        <v/>
      </c>
    </row>
    <row r="67">
      <c r="A67" t="n">
        <v>56</v>
      </c>
      <c r="B67" s="5" t="n">
        <v>767.701778901</v>
      </c>
      <c r="C67" s="8">
        <f>B67/B$102</f>
        <v/>
      </c>
      <c r="E67" s="9" t="n">
        <v>56</v>
      </c>
      <c r="F67" s="9" t="n">
        <v>39.9057883102879</v>
      </c>
      <c r="G67" s="8">
        <f>F67/F$102</f>
        <v/>
      </c>
    </row>
    <row r="68">
      <c r="A68" t="n">
        <v>57</v>
      </c>
      <c r="B68" s="5" t="n">
        <v>654.907218069</v>
      </c>
      <c r="C68" s="8">
        <f>B68/B$102</f>
        <v/>
      </c>
      <c r="E68" s="9" t="n">
        <v>57</v>
      </c>
      <c r="F68" s="9" t="n">
        <v>33.09630944118293</v>
      </c>
      <c r="G68" s="8">
        <f>F68/F$102</f>
        <v/>
      </c>
    </row>
    <row r="69">
      <c r="A69" t="n">
        <v>58</v>
      </c>
      <c r="B69" s="5" t="n">
        <v>0</v>
      </c>
      <c r="C69" s="8">
        <f>B69/B$102</f>
        <v/>
      </c>
      <c r="E69" s="9" t="n">
        <v>58</v>
      </c>
      <c r="F69" s="9" t="n">
        <v>13.55595915917885</v>
      </c>
      <c r="G69" s="8">
        <f>F69/F$102</f>
        <v/>
      </c>
    </row>
    <row r="70">
      <c r="A70" t="n">
        <v>59</v>
      </c>
      <c r="B70" s="5" t="n">
        <v>0</v>
      </c>
      <c r="C70" s="8">
        <f>B70/B$102</f>
        <v/>
      </c>
      <c r="E70" s="9" t="n">
        <v>59</v>
      </c>
      <c r="F70" s="9" t="n">
        <v>18.52021091918921</v>
      </c>
      <c r="G70" s="8">
        <f>F70/F$102</f>
        <v/>
      </c>
    </row>
    <row r="71">
      <c r="A71" t="n">
        <v>60</v>
      </c>
      <c r="B71" s="5" t="n">
        <v>0</v>
      </c>
      <c r="C71" s="8">
        <f>B71/B$102</f>
        <v/>
      </c>
      <c r="E71" s="9" t="n">
        <v>60</v>
      </c>
      <c r="F71" s="9" t="n">
        <v>13.6581115397526</v>
      </c>
      <c r="G71" s="8">
        <f>F71/F$102</f>
        <v/>
      </c>
    </row>
    <row r="72">
      <c r="A72" t="n">
        <v>61</v>
      </c>
      <c r="B72" s="5" t="n">
        <v>0</v>
      </c>
      <c r="C72" s="8">
        <f>B72/B$102</f>
        <v/>
      </c>
      <c r="E72" s="9" t="n">
        <v>61</v>
      </c>
      <c r="F72" s="9" t="n">
        <v>22.10105038434974</v>
      </c>
      <c r="G72" s="8">
        <f>F72/F$102</f>
        <v/>
      </c>
    </row>
    <row r="73">
      <c r="A73" t="n">
        <v>62</v>
      </c>
      <c r="B73" s="5" t="n">
        <v>0</v>
      </c>
      <c r="C73" s="8">
        <f>B73/B$102</f>
        <v/>
      </c>
      <c r="E73" s="9" t="n">
        <v>62</v>
      </c>
      <c r="F73" s="9" t="n">
        <v>8.197279237084219</v>
      </c>
      <c r="G73" s="8">
        <f>F73/F$102</f>
        <v/>
      </c>
    </row>
    <row r="74">
      <c r="A74" t="n">
        <v>63</v>
      </c>
      <c r="B74" s="5" t="n">
        <v>0</v>
      </c>
      <c r="C74" s="8">
        <f>B74/B$102</f>
        <v/>
      </c>
      <c r="E74" s="9" t="n">
        <v>63</v>
      </c>
      <c r="F74" s="9" t="n">
        <v>4.989406779661042</v>
      </c>
      <c r="G74" s="8">
        <f>F74/F$102</f>
        <v/>
      </c>
    </row>
    <row r="75">
      <c r="A75" t="n">
        <v>64</v>
      </c>
      <c r="B75" s="5" t="n">
        <v>0</v>
      </c>
      <c r="C75" s="8">
        <f>B75/B$102</f>
        <v/>
      </c>
      <c r="E75" s="9" t="n">
        <v>64</v>
      </c>
      <c r="F75" s="9" t="n">
        <v>2.3</v>
      </c>
      <c r="G75" s="8">
        <f>F75/F$102</f>
        <v/>
      </c>
    </row>
    <row r="76">
      <c r="A76" t="n">
        <v>65</v>
      </c>
      <c r="B76" s="5" t="n">
        <v>0</v>
      </c>
      <c r="C76" s="8">
        <f>B76/B$102</f>
        <v/>
      </c>
      <c r="E76" s="9" t="n">
        <v>65</v>
      </c>
      <c r="F76" s="9" t="n">
        <v>6.72330955118318</v>
      </c>
      <c r="G76" s="8">
        <f>F76/F$102</f>
        <v/>
      </c>
    </row>
    <row r="77">
      <c r="A77" t="n">
        <v>66</v>
      </c>
      <c r="B77" s="5" t="n">
        <v>0</v>
      </c>
      <c r="C77" s="8">
        <f>B77/B$102</f>
        <v/>
      </c>
      <c r="E77" s="9" t="n">
        <v>66</v>
      </c>
      <c r="F77" s="9" t="n">
        <v>3.45</v>
      </c>
      <c r="G77" s="8">
        <f>F77/F$102</f>
        <v/>
      </c>
    </row>
    <row r="78">
      <c r="A78" t="n">
        <v>67</v>
      </c>
      <c r="B78" s="5" t="n">
        <v>0</v>
      </c>
      <c r="C78" s="8">
        <f>B78/B$102</f>
        <v/>
      </c>
      <c r="E78" s="9" t="n">
        <v>67</v>
      </c>
      <c r="F78" s="9" t="n">
        <v>6.373194193322125</v>
      </c>
      <c r="G78" s="8">
        <f>F78/F$102</f>
        <v/>
      </c>
    </row>
    <row r="79">
      <c r="A79" t="n">
        <v>68</v>
      </c>
      <c r="B79" s="5" t="n">
        <v>0</v>
      </c>
      <c r="C79" s="8">
        <f>B79/B$102</f>
        <v/>
      </c>
      <c r="E79" s="9" t="n">
        <v>68</v>
      </c>
      <c r="F79" s="9" t="n">
        <v>3.45</v>
      </c>
      <c r="G79" s="8">
        <f>F79/F$102</f>
        <v/>
      </c>
    </row>
    <row r="80">
      <c r="A80" t="n">
        <v>69</v>
      </c>
      <c r="B80" s="5" t="n">
        <v>376.597523036</v>
      </c>
      <c r="C80" s="8">
        <f>B80/B$102</f>
        <v/>
      </c>
      <c r="E80" s="9" t="n">
        <v>69</v>
      </c>
      <c r="F80" s="9" t="n">
        <v>2.3</v>
      </c>
      <c r="G80" s="8">
        <f>F80/F$102</f>
        <v/>
      </c>
    </row>
    <row r="81">
      <c r="A81" t="n">
        <v>70</v>
      </c>
      <c r="B81" s="5" t="n">
        <v>0</v>
      </c>
      <c r="C81" s="8">
        <f>B81/B$102</f>
        <v/>
      </c>
      <c r="E81" s="9" t="n">
        <v>70</v>
      </c>
      <c r="F81" s="9" t="n">
        <v>2.700497195308028</v>
      </c>
      <c r="G81" s="8">
        <f>F81/F$102</f>
        <v/>
      </c>
    </row>
    <row r="82">
      <c r="A82" t="n">
        <v>71</v>
      </c>
      <c r="B82" s="5" t="n">
        <v>5138.639889169</v>
      </c>
      <c r="C82" s="8">
        <f>B82/B$102</f>
        <v/>
      </c>
      <c r="E82" s="9" t="n">
        <v>71</v>
      </c>
      <c r="F82" s="9" t="n">
        <v>1.15</v>
      </c>
      <c r="G82" s="8">
        <f>F82/F$102</f>
        <v/>
      </c>
    </row>
    <row r="83">
      <c r="A83" t="n">
        <v>72</v>
      </c>
      <c r="B83" s="5" t="n">
        <v>0</v>
      </c>
      <c r="C83" s="8">
        <f>B83/B$102</f>
        <v/>
      </c>
      <c r="E83" s="9" t="n">
        <v>72</v>
      </c>
      <c r="F83" s="9" t="n">
        <v>5.223404580045678</v>
      </c>
      <c r="G83" s="8">
        <f>F83/F$102</f>
        <v/>
      </c>
    </row>
    <row r="84">
      <c r="A84" t="n">
        <v>73</v>
      </c>
      <c r="B84" s="5" t="n">
        <v>224.140299381</v>
      </c>
      <c r="C84" s="8">
        <f>B84/B$102</f>
        <v/>
      </c>
      <c r="E84" s="9" t="n">
        <v>73</v>
      </c>
      <c r="F84" s="9" t="n">
        <v>6.899999999999999</v>
      </c>
      <c r="G84" s="8">
        <f>F84/F$102</f>
        <v/>
      </c>
    </row>
    <row r="85">
      <c r="A85" t="n">
        <v>74</v>
      </c>
      <c r="B85" s="5" t="n">
        <v>0</v>
      </c>
      <c r="C85" s="8">
        <f>B85/B$102</f>
        <v/>
      </c>
      <c r="E85" s="9" t="n">
        <v>74</v>
      </c>
      <c r="F85" s="9" t="n">
        <v>0</v>
      </c>
      <c r="G85" s="8">
        <f>F85/F$102</f>
        <v/>
      </c>
    </row>
    <row r="86">
      <c r="A86" t="n">
        <v>75</v>
      </c>
      <c r="B86" s="5" t="n">
        <v>0</v>
      </c>
      <c r="C86" s="8">
        <f>B86/B$102</f>
        <v/>
      </c>
      <c r="E86" s="9" t="n">
        <v>75</v>
      </c>
      <c r="F86" s="9" t="n">
        <v>1.383997800384635</v>
      </c>
      <c r="G86" s="8">
        <f>F86/F$102</f>
        <v/>
      </c>
    </row>
    <row r="87">
      <c r="A87" t="n">
        <v>76</v>
      </c>
      <c r="B87" s="5" t="n">
        <v>0</v>
      </c>
      <c r="C87" s="8">
        <f>B87/B$102</f>
        <v/>
      </c>
      <c r="E87" s="9" t="n">
        <v>76</v>
      </c>
      <c r="F87" s="9" t="n">
        <v>0</v>
      </c>
      <c r="G87" s="8">
        <f>F87/F$102</f>
        <v/>
      </c>
    </row>
    <row r="88">
      <c r="A88" t="n">
        <v>77</v>
      </c>
      <c r="B88" s="5" t="n">
        <v>0</v>
      </c>
      <c r="C88" s="8">
        <f>B88/B$102</f>
        <v/>
      </c>
      <c r="E88" s="9" t="n">
        <v>77</v>
      </c>
      <c r="F88" s="9" t="n">
        <v>0</v>
      </c>
      <c r="G88" s="8">
        <f>F88/F$102</f>
        <v/>
      </c>
    </row>
    <row r="89">
      <c r="A89" t="n">
        <v>78</v>
      </c>
      <c r="B89" s="5" t="n">
        <v>0</v>
      </c>
      <c r="C89" s="8">
        <f>B89/B$102</f>
        <v/>
      </c>
      <c r="E89" s="9" t="n">
        <v>78</v>
      </c>
      <c r="F89" s="9" t="n">
        <v>0.400497195308028</v>
      </c>
      <c r="G89" s="8">
        <f>F89/F$102</f>
        <v/>
      </c>
    </row>
    <row r="90">
      <c r="A90" t="n">
        <v>79</v>
      </c>
      <c r="B90" s="5" t="n">
        <v>0</v>
      </c>
      <c r="C90" s="8">
        <f>B90/B$102</f>
        <v/>
      </c>
      <c r="E90" s="9" t="n">
        <v>79</v>
      </c>
      <c r="F90" s="9" t="n">
        <v>0</v>
      </c>
      <c r="G90" s="8">
        <f>F90/F$102</f>
        <v/>
      </c>
    </row>
    <row r="91">
      <c r="A91" t="n">
        <v>80</v>
      </c>
      <c r="B91" s="5" t="n">
        <v>0</v>
      </c>
      <c r="C91" s="8">
        <f>B91/B$102</f>
        <v/>
      </c>
      <c r="E91" s="9" t="n">
        <v>80</v>
      </c>
      <c r="F91" s="9" t="n">
        <v>0.0588178294574379</v>
      </c>
      <c r="G91" s="8">
        <f>F91/F$102</f>
        <v/>
      </c>
    </row>
    <row r="92">
      <c r="A92" t="n">
        <v>81</v>
      </c>
      <c r="B92" s="5" t="n">
        <v>0</v>
      </c>
      <c r="C92" s="8">
        <f>B92/B$102</f>
        <v/>
      </c>
      <c r="E92" s="9" t="n">
        <v>81</v>
      </c>
      <c r="F92" s="9" t="n">
        <v>1.15</v>
      </c>
      <c r="G92" s="8">
        <f>F92/F$102</f>
        <v/>
      </c>
    </row>
    <row r="93">
      <c r="A93" t="n">
        <v>82</v>
      </c>
      <c r="B93" s="5" t="n">
        <v>85.7260115733</v>
      </c>
      <c r="C93" s="8">
        <f>B93/B$102</f>
        <v/>
      </c>
      <c r="E93" s="9" t="n">
        <v>82</v>
      </c>
      <c r="F93" s="9" t="n">
        <v>0</v>
      </c>
      <c r="G93" s="8">
        <f>F93/F$102</f>
        <v/>
      </c>
    </row>
    <row r="94">
      <c r="A94" t="n">
        <v>83</v>
      </c>
      <c r="B94" s="5" t="n">
        <v>0</v>
      </c>
      <c r="C94" s="8">
        <f>B94/B$102</f>
        <v/>
      </c>
      <c r="E94" s="9" t="n">
        <v>83</v>
      </c>
      <c r="F94" s="9" t="n">
        <v>0</v>
      </c>
      <c r="G94" s="8">
        <f>F94/F$102</f>
        <v/>
      </c>
    </row>
    <row r="95">
      <c r="A95" t="n">
        <v>84</v>
      </c>
      <c r="B95" s="5" t="n">
        <v>297.868494818</v>
      </c>
      <c r="C95" s="8">
        <f>B95/B$102</f>
        <v/>
      </c>
      <c r="E95" s="9" t="n">
        <v>84</v>
      </c>
      <c r="F95" s="9" t="n">
        <v>0</v>
      </c>
      <c r="G95" s="8">
        <f>F95/F$102</f>
        <v/>
      </c>
    </row>
    <row r="96">
      <c r="A96" t="n">
        <v>85</v>
      </c>
      <c r="B96" s="5" t="n">
        <v>0</v>
      </c>
      <c r="C96" s="8">
        <f>B96/B$102</f>
        <v/>
      </c>
      <c r="E96" s="9" t="n">
        <v>85</v>
      </c>
      <c r="F96" s="9" t="n">
        <v>1.15</v>
      </c>
      <c r="G96" s="8">
        <f>F96/F$102</f>
        <v/>
      </c>
    </row>
    <row r="97">
      <c r="A97" t="n">
        <v>86</v>
      </c>
      <c r="B97" s="5" t="n">
        <v>0</v>
      </c>
      <c r="C97" s="8">
        <f>B97/B$102</f>
        <v/>
      </c>
      <c r="E97" s="9" t="n">
        <v>86</v>
      </c>
      <c r="F97" s="9" t="n">
        <v>0</v>
      </c>
      <c r="G97" s="8">
        <f>F97/F$102</f>
        <v/>
      </c>
    </row>
    <row r="98">
      <c r="A98" t="n">
        <v>87</v>
      </c>
      <c r="B98" s="5" t="n">
        <v>0</v>
      </c>
      <c r="C98" s="8">
        <f>B98/B$102</f>
        <v/>
      </c>
      <c r="E98" s="9" t="n">
        <v>87</v>
      </c>
      <c r="F98" s="9" t="n">
        <v>0</v>
      </c>
      <c r="G98" s="8">
        <f>F98/F$102</f>
        <v/>
      </c>
    </row>
    <row r="99">
      <c r="A99" t="n">
        <v>88</v>
      </c>
      <c r="B99" s="5" t="n">
        <v>0</v>
      </c>
      <c r="C99" s="8">
        <f>B99/B$102</f>
        <v/>
      </c>
      <c r="E99" s="9" t="n">
        <v>88</v>
      </c>
      <c r="F99" s="9" t="n">
        <v>0</v>
      </c>
      <c r="G99" s="8">
        <f>F99/F$102</f>
        <v/>
      </c>
    </row>
    <row r="100">
      <c r="A100" t="n">
        <v>89</v>
      </c>
      <c r="B100" s="5" t="n">
        <v>0</v>
      </c>
      <c r="C100" s="8">
        <f>B100/B$102</f>
        <v/>
      </c>
      <c r="E100" s="9" t="n">
        <v>89</v>
      </c>
      <c r="F100" s="9" t="n">
        <v>0</v>
      </c>
      <c r="G100" s="8">
        <f>F100/F$102</f>
        <v/>
      </c>
    </row>
    <row r="101" ht="15.75" customHeight="1" thickBot="1">
      <c r="A101" s="1" t="n">
        <v>90</v>
      </c>
      <c r="B101" s="6" t="n">
        <v>176.0946851223</v>
      </c>
      <c r="C101" s="8">
        <f>B101/B$102</f>
        <v/>
      </c>
      <c r="E101" s="10" t="n">
        <v>90</v>
      </c>
      <c r="F101" s="10" t="n">
        <v>0</v>
      </c>
      <c r="G101" s="8">
        <f>F101/F$102</f>
        <v/>
      </c>
    </row>
    <row r="102">
      <c r="B102" s="5">
        <f>SUM(B11:B101)</f>
        <v/>
      </c>
      <c r="C102" s="8">
        <f>B102/B$102</f>
        <v/>
      </c>
      <c r="F102" s="5">
        <f>SUM(F11:F101)</f>
        <v/>
      </c>
      <c r="G102" s="8">
        <f>F102/F$102</f>
        <v/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L102"/>
  <sheetViews>
    <sheetView workbookViewId="0">
      <selection activeCell="A6" sqref="A6"/>
    </sheetView>
  </sheetViews>
  <sheetFormatPr baseColWidth="8" defaultRowHeight="15"/>
  <cols>
    <col collapsed="1" width="9.5703125" bestFit="1" customWidth="1" min="2" max="2"/>
  </cols>
  <sheetData>
    <row r="1">
      <c r="A1" t="inlineStr">
        <is>
          <t>Trip Duration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duration (in minutes) based on joining AM peak SOV skim values to HH survey</t>
        </is>
      </c>
    </row>
    <row r="4">
      <c r="A4" t="inlineStr">
        <is>
          <t>Frequency of trips by 1-minute increment</t>
        </is>
      </c>
    </row>
    <row r="5">
      <c r="A5" t="inlineStr">
        <is>
          <t>Distance values reflect low end of each range (ie. 0 refers to 0-1 minutes)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thickBot="1">
      <c r="A9" s="3" t="inlineStr">
        <is>
          <t>Table X. Observed Trip Durations: Survey</t>
        </is>
      </c>
      <c r="B9" s="1" t="n"/>
      <c r="E9" s="3" t="inlineStr">
        <is>
          <t>Table X. Estimated Trip Durations</t>
        </is>
      </c>
      <c r="F9" s="1" t="n"/>
      <c r="J9" s="7" t="inlineStr">
        <is>
          <t>Table X. Average Trip Duration</t>
        </is>
      </c>
    </row>
    <row r="10">
      <c r="A10" s="2" t="inlineStr">
        <is>
          <t>Time (min)</t>
        </is>
      </c>
      <c r="B10" s="4" t="inlineStr">
        <is>
          <t>Total</t>
        </is>
      </c>
      <c r="C10" s="4" t="inlineStr">
        <is>
          <t>Survey</t>
        </is>
      </c>
      <c r="E10" s="2" t="inlineStr">
        <is>
          <t>Time (min)</t>
        </is>
      </c>
      <c r="F10" s="4" t="inlineStr">
        <is>
          <t>Total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5" t="n">
        <v>0</v>
      </c>
      <c r="C11" s="8">
        <f>B11/B$102</f>
        <v/>
      </c>
      <c r="E11" s="9" t="n">
        <v>0</v>
      </c>
      <c r="F11" s="9" t="n">
        <v>15595.73792610518</v>
      </c>
      <c r="G11" s="8">
        <f>F11/F$102</f>
        <v/>
      </c>
      <c r="K11" s="5" t="n">
        <v>28.84352924141742</v>
      </c>
      <c r="L11" s="5" t="n">
        <v>20.48179585783314</v>
      </c>
    </row>
    <row r="12">
      <c r="A12" t="n">
        <v>1</v>
      </c>
      <c r="B12" s="5" t="n">
        <v>5313.254217762</v>
      </c>
      <c r="C12" s="8">
        <f>B12/B$102</f>
        <v/>
      </c>
      <c r="E12" s="9" t="n">
        <v>1</v>
      </c>
      <c r="F12" s="9" t="n">
        <v>48745.60978583511</v>
      </c>
      <c r="G12" s="8">
        <f>F12/F$102</f>
        <v/>
      </c>
      <c r="K12" s="5" t="n"/>
      <c r="L12" s="9" t="n"/>
    </row>
    <row r="13">
      <c r="A13" t="n">
        <v>2</v>
      </c>
      <c r="B13" s="5" t="n">
        <v>6389.6046907162</v>
      </c>
      <c r="C13" s="8">
        <f>B13/B$102</f>
        <v/>
      </c>
      <c r="E13" s="9" t="n">
        <v>2</v>
      </c>
      <c r="F13" s="9" t="n">
        <v>55894.05569777213</v>
      </c>
      <c r="G13" s="8">
        <f>F13/F$102</f>
        <v/>
      </c>
    </row>
    <row r="14">
      <c r="A14" t="n">
        <v>3</v>
      </c>
      <c r="B14" s="5" t="n">
        <v>13973.773785649</v>
      </c>
      <c r="C14" s="8">
        <f>B14/B$102</f>
        <v/>
      </c>
      <c r="E14" s="9" t="n">
        <v>3</v>
      </c>
      <c r="F14" s="9" t="n">
        <v>61347.21677973957</v>
      </c>
      <c r="G14" s="8">
        <f>F14/F$102</f>
        <v/>
      </c>
    </row>
    <row r="15">
      <c r="A15" t="n">
        <v>4</v>
      </c>
      <c r="B15" s="5" t="n">
        <v>13800.1013854615</v>
      </c>
      <c r="C15" s="8">
        <f>B15/B$102</f>
        <v/>
      </c>
      <c r="E15" s="9" t="n">
        <v>4</v>
      </c>
      <c r="F15" s="9" t="n">
        <v>63975.58615283599</v>
      </c>
      <c r="G15" s="8">
        <f>F15/F$102</f>
        <v/>
      </c>
    </row>
    <row r="16">
      <c r="A16" t="n">
        <v>5</v>
      </c>
      <c r="B16" s="5" t="n">
        <v>34458.8167548928</v>
      </c>
      <c r="C16" s="8">
        <f>B16/B$102</f>
        <v/>
      </c>
      <c r="E16" s="9" t="n">
        <v>5</v>
      </c>
      <c r="F16" s="9" t="n">
        <v>63194.05256843788</v>
      </c>
      <c r="G16" s="8">
        <f>F16/F$102</f>
        <v/>
      </c>
    </row>
    <row r="17">
      <c r="A17" t="n">
        <v>6</v>
      </c>
      <c r="B17" s="5" t="n">
        <v>28394.946194512</v>
      </c>
      <c r="C17" s="8">
        <f>B17/B$102</f>
        <v/>
      </c>
      <c r="E17" s="9" t="n">
        <v>6</v>
      </c>
      <c r="F17" s="9" t="n">
        <v>59989.24781576547</v>
      </c>
      <c r="G17" s="8">
        <f>F17/F$102</f>
        <v/>
      </c>
    </row>
    <row r="18">
      <c r="A18" t="n">
        <v>7</v>
      </c>
      <c r="B18" s="5" t="n">
        <v>26352.3672654389</v>
      </c>
      <c r="C18" s="8">
        <f>B18/B$102</f>
        <v/>
      </c>
      <c r="E18" s="9" t="n">
        <v>7</v>
      </c>
      <c r="F18" s="9" t="n">
        <v>55806.62124377891</v>
      </c>
      <c r="G18" s="8">
        <f>F18/F$102</f>
        <v/>
      </c>
    </row>
    <row r="19">
      <c r="A19" t="n">
        <v>8</v>
      </c>
      <c r="B19" s="5" t="n">
        <v>16526.9496719312</v>
      </c>
      <c r="C19" s="8">
        <f>B19/B$102</f>
        <v/>
      </c>
      <c r="E19" s="9" t="n">
        <v>8</v>
      </c>
      <c r="F19" s="9" t="n">
        <v>50838.28319985576</v>
      </c>
      <c r="G19" s="8">
        <f>F19/F$102</f>
        <v/>
      </c>
    </row>
    <row r="20">
      <c r="A20" t="n">
        <v>9</v>
      </c>
      <c r="B20" s="5" t="n">
        <v>26699.4299645152</v>
      </c>
      <c r="C20" s="8">
        <f>B20/B$102</f>
        <v/>
      </c>
      <c r="E20" s="9" t="n">
        <v>9</v>
      </c>
      <c r="F20" s="9" t="n">
        <v>46012.96333750312</v>
      </c>
      <c r="G20" s="8">
        <f>F20/F$102</f>
        <v/>
      </c>
    </row>
    <row r="21">
      <c r="A21" t="n">
        <v>10</v>
      </c>
      <c r="B21" s="5" t="n">
        <v>12987.020080087</v>
      </c>
      <c r="C21" s="8">
        <f>B21/B$102</f>
        <v/>
      </c>
      <c r="E21" s="9" t="n">
        <v>10</v>
      </c>
      <c r="F21" s="9" t="n">
        <v>41282.59861828207</v>
      </c>
      <c r="G21" s="8">
        <f>F21/F$102</f>
        <v/>
      </c>
    </row>
    <row r="22">
      <c r="A22" t="n">
        <v>11</v>
      </c>
      <c r="B22" s="5" t="n">
        <v>30669.6281921</v>
      </c>
      <c r="C22" s="8">
        <f>B22/B$102</f>
        <v/>
      </c>
      <c r="E22" s="9" t="n">
        <v>11</v>
      </c>
      <c r="F22" s="9" t="n">
        <v>36253.02136148003</v>
      </c>
      <c r="G22" s="8">
        <f>F22/F$102</f>
        <v/>
      </c>
    </row>
    <row r="23">
      <c r="A23" t="n">
        <v>12</v>
      </c>
      <c r="B23" s="5" t="n">
        <v>20330.218013868</v>
      </c>
      <c r="C23" s="8">
        <f>B23/B$102</f>
        <v/>
      </c>
      <c r="E23" s="9" t="n">
        <v>12</v>
      </c>
      <c r="F23" s="9" t="n">
        <v>33334.49979081024</v>
      </c>
      <c r="G23" s="8">
        <f>F23/F$102</f>
        <v/>
      </c>
    </row>
    <row r="24">
      <c r="A24" t="n">
        <v>13</v>
      </c>
      <c r="B24" s="5" t="n">
        <v>41291.8230397567</v>
      </c>
      <c r="C24" s="8">
        <f>B24/B$102</f>
        <v/>
      </c>
      <c r="E24" s="9" t="n">
        <v>13</v>
      </c>
      <c r="F24" s="9" t="n">
        <v>29885.02997102637</v>
      </c>
      <c r="G24" s="8">
        <f>F24/F$102</f>
        <v/>
      </c>
    </row>
    <row r="25">
      <c r="A25" t="n">
        <v>14</v>
      </c>
      <c r="B25" s="5" t="n">
        <v>29980.0848011551</v>
      </c>
      <c r="C25" s="8">
        <f>B25/B$102</f>
        <v/>
      </c>
      <c r="E25" s="9" t="n">
        <v>14</v>
      </c>
      <c r="F25" s="9" t="n">
        <v>25516.36249055552</v>
      </c>
      <c r="G25" s="8">
        <f>F25/F$102</f>
        <v/>
      </c>
    </row>
    <row r="26">
      <c r="A26" t="n">
        <v>15</v>
      </c>
      <c r="B26" s="5" t="n">
        <v>17899.9419861152</v>
      </c>
      <c r="C26" s="8">
        <f>B26/B$102</f>
        <v/>
      </c>
      <c r="E26" s="9" t="n">
        <v>15</v>
      </c>
      <c r="F26" s="9" t="n">
        <v>23998.30971794677</v>
      </c>
      <c r="G26" s="8">
        <f>F26/F$102</f>
        <v/>
      </c>
    </row>
    <row r="27">
      <c r="A27" t="n">
        <v>16</v>
      </c>
      <c r="B27" s="5" t="n">
        <v>72842.59101933699</v>
      </c>
      <c r="C27" s="8">
        <f>B27/B$102</f>
        <v/>
      </c>
      <c r="E27" s="9" t="n">
        <v>16</v>
      </c>
      <c r="F27" s="9" t="n">
        <v>21483.18790074163</v>
      </c>
      <c r="G27" s="8">
        <f>F27/F$102</f>
        <v/>
      </c>
    </row>
    <row r="28">
      <c r="A28" t="n">
        <v>17</v>
      </c>
      <c r="B28" s="5" t="n">
        <v>46574.5812964009</v>
      </c>
      <c r="C28" s="8">
        <f>B28/B$102</f>
        <v/>
      </c>
      <c r="E28" s="9" t="n">
        <v>17</v>
      </c>
      <c r="F28" s="9" t="n">
        <v>19236.77004442215</v>
      </c>
      <c r="G28" s="8">
        <f>F28/F$102</f>
        <v/>
      </c>
    </row>
    <row r="29">
      <c r="A29" t="n">
        <v>18</v>
      </c>
      <c r="B29" s="5" t="n">
        <v>113264.1225477295</v>
      </c>
      <c r="C29" s="8">
        <f>B29/B$102</f>
        <v/>
      </c>
      <c r="E29" s="9" t="n">
        <v>18</v>
      </c>
      <c r="F29" s="9" t="n">
        <v>166342.7435962571</v>
      </c>
      <c r="G29" s="8">
        <f>F29/F$102</f>
        <v/>
      </c>
    </row>
    <row r="30">
      <c r="A30" t="n">
        <v>19</v>
      </c>
      <c r="B30" s="5" t="n">
        <v>83456.4227470186</v>
      </c>
      <c r="C30" s="8">
        <f>B30/B$102</f>
        <v/>
      </c>
      <c r="E30" s="9" t="n">
        <v>19</v>
      </c>
      <c r="F30" s="9" t="n">
        <v>58242.9363105875</v>
      </c>
      <c r="G30" s="8">
        <f>F30/F$102</f>
        <v/>
      </c>
    </row>
    <row r="31">
      <c r="A31" t="n">
        <v>20</v>
      </c>
      <c r="B31" s="5" t="n">
        <v>112739.6663888013</v>
      </c>
      <c r="C31" s="8">
        <f>B31/B$102</f>
        <v/>
      </c>
      <c r="E31" s="9" t="n">
        <v>20</v>
      </c>
      <c r="F31" s="9" t="n">
        <v>48622.51627799066</v>
      </c>
      <c r="G31" s="8">
        <f>F31/F$102</f>
        <v/>
      </c>
    </row>
    <row r="32">
      <c r="A32" t="n">
        <v>21</v>
      </c>
      <c r="B32" s="5" t="n">
        <v>116179.2189363789</v>
      </c>
      <c r="C32" s="8">
        <f>B32/B$102</f>
        <v/>
      </c>
      <c r="E32" s="9" t="n">
        <v>21</v>
      </c>
      <c r="F32" s="9" t="n">
        <v>70867.74503806762</v>
      </c>
      <c r="G32" s="8">
        <f>F32/F$102</f>
        <v/>
      </c>
    </row>
    <row r="33">
      <c r="A33" t="n">
        <v>22</v>
      </c>
      <c r="B33" s="5" t="n">
        <v>67523.33690712749</v>
      </c>
      <c r="C33" s="8">
        <f>B33/B$102</f>
        <v/>
      </c>
      <c r="E33" s="9" t="n">
        <v>22</v>
      </c>
      <c r="F33" s="9" t="n">
        <v>67132.26781581686</v>
      </c>
      <c r="G33" s="8">
        <f>F33/F$102</f>
        <v/>
      </c>
    </row>
    <row r="34">
      <c r="A34" t="n">
        <v>23</v>
      </c>
      <c r="B34" s="5" t="n">
        <v>50583.3154186086</v>
      </c>
      <c r="C34" s="8">
        <f>B34/B$102</f>
        <v/>
      </c>
      <c r="E34" s="9" t="n">
        <v>23</v>
      </c>
      <c r="F34" s="9" t="n">
        <v>52314.35869816179</v>
      </c>
      <c r="G34" s="8">
        <f>F34/F$102</f>
        <v/>
      </c>
    </row>
    <row r="35">
      <c r="A35" t="n">
        <v>24</v>
      </c>
      <c r="B35" s="5" t="n">
        <v>80460.4084551868</v>
      </c>
      <c r="C35" s="8">
        <f>B35/B$102</f>
        <v/>
      </c>
      <c r="E35" s="9" t="n">
        <v>24</v>
      </c>
      <c r="F35" s="9" t="n">
        <v>45327.00509932275</v>
      </c>
      <c r="G35" s="8">
        <f>F35/F$102</f>
        <v/>
      </c>
    </row>
    <row r="36">
      <c r="A36" t="n">
        <v>25</v>
      </c>
      <c r="B36" s="5" t="n">
        <v>35770.8225262329</v>
      </c>
      <c r="C36" s="8">
        <f>B36/B$102</f>
        <v/>
      </c>
      <c r="E36" s="9" t="n">
        <v>25</v>
      </c>
      <c r="F36" s="9" t="n">
        <v>39139.53372186584</v>
      </c>
      <c r="G36" s="8">
        <f>F36/F$102</f>
        <v/>
      </c>
    </row>
    <row r="37">
      <c r="A37" t="n">
        <v>26</v>
      </c>
      <c r="B37" s="5" t="n">
        <v>112389.3691747498</v>
      </c>
      <c r="C37" s="8">
        <f>B37/B$102</f>
        <v/>
      </c>
      <c r="E37" s="9" t="n">
        <v>26</v>
      </c>
      <c r="F37" s="9" t="n">
        <v>34278.46630161226</v>
      </c>
      <c r="G37" s="8">
        <f>F37/F$102</f>
        <v/>
      </c>
    </row>
    <row r="38">
      <c r="A38" t="n">
        <v>27</v>
      </c>
      <c r="B38" s="5" t="n">
        <v>24031.5465713304</v>
      </c>
      <c r="C38" s="8">
        <f>B38/B$102</f>
        <v/>
      </c>
      <c r="E38" s="9" t="n">
        <v>27</v>
      </c>
      <c r="F38" s="9" t="n">
        <v>25753.01824228894</v>
      </c>
      <c r="G38" s="8">
        <f>F38/F$102</f>
        <v/>
      </c>
    </row>
    <row r="39">
      <c r="A39" t="n">
        <v>28</v>
      </c>
      <c r="B39" s="5" t="n">
        <v>33903.287707423</v>
      </c>
      <c r="C39" s="8">
        <f>B39/B$102</f>
        <v/>
      </c>
      <c r="E39" s="9" t="n">
        <v>28</v>
      </c>
      <c r="F39" s="9" t="n">
        <v>26905.76058683046</v>
      </c>
      <c r="G39" s="8">
        <f>F39/F$102</f>
        <v/>
      </c>
    </row>
    <row r="40">
      <c r="A40" t="n">
        <v>29</v>
      </c>
      <c r="B40" s="5" t="n">
        <v>33390.5943867468</v>
      </c>
      <c r="C40" s="8">
        <f>B40/B$102</f>
        <v/>
      </c>
      <c r="E40" s="9" t="n">
        <v>29</v>
      </c>
      <c r="F40" s="9" t="n">
        <v>34739.12891719511</v>
      </c>
      <c r="G40" s="8">
        <f>F40/F$102</f>
        <v/>
      </c>
    </row>
    <row r="41">
      <c r="A41" t="n">
        <v>30</v>
      </c>
      <c r="B41" s="5" t="n">
        <v>12524.7176558547</v>
      </c>
      <c r="C41" s="8">
        <f>B41/B$102</f>
        <v/>
      </c>
      <c r="E41" s="9" t="n">
        <v>30</v>
      </c>
      <c r="F41" s="9" t="n">
        <v>22468.93267751732</v>
      </c>
      <c r="G41" s="8">
        <f>F41/F$102</f>
        <v/>
      </c>
    </row>
    <row r="42">
      <c r="A42" t="n">
        <v>31</v>
      </c>
      <c r="B42" s="5" t="n">
        <v>25089.3246470452</v>
      </c>
      <c r="C42" s="8">
        <f>B42/B$102</f>
        <v/>
      </c>
      <c r="E42" s="9" t="n">
        <v>31</v>
      </c>
      <c r="F42" s="9" t="n">
        <v>21689.95180502434</v>
      </c>
      <c r="G42" s="8">
        <f>F42/F$102</f>
        <v/>
      </c>
    </row>
    <row r="43">
      <c r="A43" t="n">
        <v>32</v>
      </c>
      <c r="B43" s="5" t="n">
        <v>14873.1976608673</v>
      </c>
      <c r="C43" s="8">
        <f>B43/B$102</f>
        <v/>
      </c>
      <c r="E43" s="9" t="n">
        <v>32</v>
      </c>
      <c r="F43" s="9" t="n">
        <v>16113.92400480747</v>
      </c>
      <c r="G43" s="8">
        <f>F43/F$102</f>
        <v/>
      </c>
    </row>
    <row r="44">
      <c r="A44" t="n">
        <v>33</v>
      </c>
      <c r="B44" s="5" t="n">
        <v>27548.4082023621</v>
      </c>
      <c r="C44" s="8">
        <f>B44/B$102</f>
        <v/>
      </c>
      <c r="E44" s="9" t="n">
        <v>33</v>
      </c>
      <c r="F44" s="9" t="n">
        <v>20887.77193855437</v>
      </c>
      <c r="G44" s="8">
        <f>F44/F$102</f>
        <v/>
      </c>
    </row>
    <row r="45">
      <c r="A45" t="n">
        <v>34</v>
      </c>
      <c r="B45" s="5" t="n">
        <v>37714.2587981178</v>
      </c>
      <c r="C45" s="8">
        <f>B45/B$102</f>
        <v/>
      </c>
      <c r="E45" s="9" t="n">
        <v>34</v>
      </c>
      <c r="F45" s="9" t="n">
        <v>25169.69571810825</v>
      </c>
      <c r="G45" s="8">
        <f>F45/F$102</f>
        <v/>
      </c>
    </row>
    <row r="46">
      <c r="A46" t="n">
        <v>35</v>
      </c>
      <c r="B46" s="5" t="n">
        <v>24955.9714428659</v>
      </c>
      <c r="C46" s="8">
        <f>B46/B$102</f>
        <v/>
      </c>
      <c r="E46" s="9" t="n">
        <v>35</v>
      </c>
      <c r="F46" s="9" t="n">
        <v>16519.42225045343</v>
      </c>
      <c r="G46" s="8">
        <f>F46/F$102</f>
        <v/>
      </c>
    </row>
    <row r="47">
      <c r="A47" t="n">
        <v>36</v>
      </c>
      <c r="B47" s="5" t="n">
        <v>11672.6343034436</v>
      </c>
      <c r="C47" s="8">
        <f>B47/B$102</f>
        <v/>
      </c>
      <c r="E47" s="9" t="n">
        <v>36</v>
      </c>
      <c r="F47" s="9" t="n">
        <v>11655.91107996125</v>
      </c>
      <c r="G47" s="8">
        <f>F47/F$102</f>
        <v/>
      </c>
    </row>
    <row r="48">
      <c r="A48" t="n">
        <v>37</v>
      </c>
      <c r="B48" s="5" t="n">
        <v>24737.8694603382</v>
      </c>
      <c r="C48" s="8">
        <f>B48/B$102</f>
        <v/>
      </c>
      <c r="E48" s="9" t="n">
        <v>37</v>
      </c>
      <c r="F48" s="9" t="n">
        <v>12042.80576164201</v>
      </c>
      <c r="G48" s="8">
        <f>F48/F$102</f>
        <v/>
      </c>
    </row>
    <row r="49">
      <c r="A49" t="n">
        <v>38</v>
      </c>
      <c r="B49" s="5" t="n">
        <v>22185.304254814</v>
      </c>
      <c r="C49" s="8">
        <f>B49/B$102</f>
        <v/>
      </c>
      <c r="E49" s="9" t="n">
        <v>38</v>
      </c>
      <c r="F49" s="9" t="n">
        <v>12593.56906747525</v>
      </c>
      <c r="G49" s="8">
        <f>F49/F$102</f>
        <v/>
      </c>
    </row>
    <row r="50">
      <c r="A50" t="n">
        <v>39</v>
      </c>
      <c r="B50" s="5" t="n">
        <v>10317.9096040444</v>
      </c>
      <c r="C50" s="8">
        <f>B50/B$102</f>
        <v/>
      </c>
      <c r="E50" s="9" t="n">
        <v>39</v>
      </c>
      <c r="F50" s="9" t="n">
        <v>11652.21479509702</v>
      </c>
      <c r="G50" s="8">
        <f>F50/F$102</f>
        <v/>
      </c>
    </row>
    <row r="51">
      <c r="A51" t="n">
        <v>40</v>
      </c>
      <c r="B51" s="5" t="n">
        <v>17700.9045033165</v>
      </c>
      <c r="C51" s="8">
        <f>B51/B$102</f>
        <v/>
      </c>
      <c r="E51" s="9" t="n">
        <v>40</v>
      </c>
      <c r="F51" s="9" t="n">
        <v>11417.70360231375</v>
      </c>
      <c r="G51" s="8">
        <f>F51/F$102</f>
        <v/>
      </c>
    </row>
    <row r="52">
      <c r="A52" t="n">
        <v>41</v>
      </c>
      <c r="B52" s="5" t="n">
        <v>17719.2764140243</v>
      </c>
      <c r="C52" s="8">
        <f>B52/B$102</f>
        <v/>
      </c>
      <c r="E52" s="9" t="n">
        <v>41</v>
      </c>
      <c r="F52" s="9" t="n">
        <v>7491.394260032223</v>
      </c>
      <c r="G52" s="8">
        <f>F52/F$102</f>
        <v/>
      </c>
    </row>
    <row r="53">
      <c r="A53" t="n">
        <v>42</v>
      </c>
      <c r="B53" s="5" t="n">
        <v>4971.9996765032</v>
      </c>
      <c r="C53" s="8">
        <f>B53/B$102</f>
        <v/>
      </c>
      <c r="E53" s="9" t="n">
        <v>42</v>
      </c>
      <c r="F53" s="9" t="n">
        <v>7961.568243191786</v>
      </c>
      <c r="G53" s="8">
        <f>F53/F$102</f>
        <v/>
      </c>
    </row>
    <row r="54">
      <c r="A54" t="n">
        <v>43</v>
      </c>
      <c r="B54" s="5" t="n">
        <v>4521.353864761</v>
      </c>
      <c r="C54" s="8">
        <f>B54/B$102</f>
        <v/>
      </c>
      <c r="E54" s="9" t="n">
        <v>43</v>
      </c>
      <c r="F54" s="9" t="n">
        <v>6919.227588533633</v>
      </c>
      <c r="G54" s="8">
        <f>F54/F$102</f>
        <v/>
      </c>
    </row>
    <row r="55">
      <c r="A55" t="n">
        <v>44</v>
      </c>
      <c r="B55" s="5" t="n">
        <v>5576.0734471752</v>
      </c>
      <c r="C55" s="8">
        <f>B55/B$102</f>
        <v/>
      </c>
      <c r="E55" s="9" t="n">
        <v>44</v>
      </c>
      <c r="F55" s="9" t="n">
        <v>8811.577690547168</v>
      </c>
      <c r="G55" s="8">
        <f>F55/F$102</f>
        <v/>
      </c>
    </row>
    <row r="56">
      <c r="A56" t="n">
        <v>45</v>
      </c>
      <c r="B56" s="5" t="n">
        <v>97690.7346128137</v>
      </c>
      <c r="C56" s="8">
        <f>B56/B$102</f>
        <v/>
      </c>
      <c r="E56" s="9" t="n">
        <v>45</v>
      </c>
      <c r="F56" s="9" t="n">
        <v>5993.526406984789</v>
      </c>
      <c r="G56" s="8">
        <f>F56/F$102</f>
        <v/>
      </c>
    </row>
    <row r="57">
      <c r="A57" t="n">
        <v>46</v>
      </c>
      <c r="B57" s="5" t="n">
        <v>6548.0381223014</v>
      </c>
      <c r="C57" s="8">
        <f>B57/B$102</f>
        <v/>
      </c>
      <c r="E57" s="9" t="n">
        <v>46</v>
      </c>
      <c r="F57" s="9" t="n">
        <v>5276.315501808163</v>
      </c>
      <c r="G57" s="8">
        <f>F57/F$102</f>
        <v/>
      </c>
    </row>
    <row r="58">
      <c r="A58" t="n">
        <v>47</v>
      </c>
      <c r="B58" s="5" t="n">
        <v>5066.7335276113</v>
      </c>
      <c r="C58" s="8">
        <f>B58/B$102</f>
        <v/>
      </c>
      <c r="E58" s="9" t="n">
        <v>47</v>
      </c>
      <c r="F58" s="9" t="n">
        <v>4884.743908218715</v>
      </c>
      <c r="G58" s="8">
        <f>F58/F$102</f>
        <v/>
      </c>
    </row>
    <row r="59">
      <c r="A59" t="n">
        <v>48</v>
      </c>
      <c r="B59" s="5" t="n">
        <v>1103.2167900027</v>
      </c>
      <c r="C59" s="8">
        <f>B59/B$102</f>
        <v/>
      </c>
      <c r="E59" s="9" t="n">
        <v>48</v>
      </c>
      <c r="F59" s="9" t="n">
        <v>4864.062195767799</v>
      </c>
      <c r="G59" s="8">
        <f>F59/F$102</f>
        <v/>
      </c>
    </row>
    <row r="60">
      <c r="A60" t="n">
        <v>49</v>
      </c>
      <c r="B60" s="5" t="n">
        <v>3178.6539217439</v>
      </c>
      <c r="C60" s="8">
        <f>B60/B$102</f>
        <v/>
      </c>
      <c r="E60" s="9" t="n">
        <v>49</v>
      </c>
      <c r="F60" s="9" t="n">
        <v>5189.407398653841</v>
      </c>
      <c r="G60" s="8">
        <f>F60/F$102</f>
        <v/>
      </c>
    </row>
    <row r="61">
      <c r="A61" t="n">
        <v>50</v>
      </c>
      <c r="B61" s="5" t="n">
        <v>2798.5643410527</v>
      </c>
      <c r="C61" s="8">
        <f>B61/B$102</f>
        <v/>
      </c>
      <c r="E61" s="9" t="n">
        <v>50</v>
      </c>
      <c r="F61" s="9" t="n">
        <v>3047.526020700558</v>
      </c>
      <c r="G61" s="8">
        <f>F61/F$102</f>
        <v/>
      </c>
    </row>
    <row r="62">
      <c r="A62" t="n">
        <v>51</v>
      </c>
      <c r="B62" s="5" t="n">
        <v>1402.4920803706</v>
      </c>
      <c r="C62" s="8">
        <f>B62/B$102</f>
        <v/>
      </c>
      <c r="E62" s="9" t="n">
        <v>51</v>
      </c>
      <c r="F62" s="9" t="n">
        <v>3746.893412226124</v>
      </c>
      <c r="G62" s="8">
        <f>F62/F$102</f>
        <v/>
      </c>
    </row>
    <row r="63">
      <c r="A63" t="n">
        <v>52</v>
      </c>
      <c r="B63" s="5" t="n">
        <v>1700.5931489561</v>
      </c>
      <c r="C63" s="8">
        <f>B63/B$102</f>
        <v/>
      </c>
      <c r="E63" s="9" t="n">
        <v>52</v>
      </c>
      <c r="F63" s="9" t="n">
        <v>2849.743509900482</v>
      </c>
      <c r="G63" s="8">
        <f>F63/F$102</f>
        <v/>
      </c>
    </row>
    <row r="64">
      <c r="A64" t="n">
        <v>53</v>
      </c>
      <c r="B64" s="5" t="n">
        <v>3572.472136139</v>
      </c>
      <c r="C64" s="8">
        <f>B64/B$102</f>
        <v/>
      </c>
      <c r="E64" s="9" t="n">
        <v>53</v>
      </c>
      <c r="F64" s="9" t="n">
        <v>3073.611828359333</v>
      </c>
      <c r="G64" s="8">
        <f>F64/F$102</f>
        <v/>
      </c>
    </row>
    <row r="65">
      <c r="A65" t="n">
        <v>54</v>
      </c>
      <c r="B65" s="5" t="n">
        <v>6716.766130417</v>
      </c>
      <c r="C65" s="8">
        <f>B65/B$102</f>
        <v/>
      </c>
      <c r="E65" s="9" t="n">
        <v>54</v>
      </c>
      <c r="F65" s="9" t="n">
        <v>2337.571163225663</v>
      </c>
      <c r="G65" s="8">
        <f>F65/F$102</f>
        <v/>
      </c>
    </row>
    <row r="66">
      <c r="A66" t="n">
        <v>55</v>
      </c>
      <c r="B66" s="5" t="n">
        <v>0</v>
      </c>
      <c r="C66" s="8">
        <f>B66/B$102</f>
        <v/>
      </c>
      <c r="E66" s="9" t="n">
        <v>55</v>
      </c>
      <c r="F66" s="9" t="n">
        <v>2155.978461057504</v>
      </c>
      <c r="G66" s="8">
        <f>F66/F$102</f>
        <v/>
      </c>
    </row>
    <row r="67">
      <c r="A67" t="n">
        <v>56</v>
      </c>
      <c r="B67" s="5" t="n">
        <v>1908.1655340476</v>
      </c>
      <c r="C67" s="8">
        <f>B67/B$102</f>
        <v/>
      </c>
      <c r="E67" s="9" t="n">
        <v>56</v>
      </c>
      <c r="F67" s="9" t="n">
        <v>2945.241943527066</v>
      </c>
      <c r="G67" s="8">
        <f>F67/F$102</f>
        <v/>
      </c>
    </row>
    <row r="68">
      <c r="A68" t="n">
        <v>57</v>
      </c>
      <c r="B68" s="5" t="n">
        <v>1557.301640887</v>
      </c>
      <c r="C68" s="8">
        <f>B68/B$102</f>
        <v/>
      </c>
      <c r="E68" s="9" t="n">
        <v>57</v>
      </c>
      <c r="F68" s="9" t="n">
        <v>1860.860385811167</v>
      </c>
      <c r="G68" s="8">
        <f>F68/F$102</f>
        <v/>
      </c>
    </row>
    <row r="69">
      <c r="A69" t="n">
        <v>58</v>
      </c>
      <c r="B69" s="5" t="n">
        <v>5955.264272062</v>
      </c>
      <c r="C69" s="8">
        <f>B69/B$102</f>
        <v/>
      </c>
      <c r="E69" s="9" t="n">
        <v>58</v>
      </c>
      <c r="F69" s="9" t="n">
        <v>3232.535099073698</v>
      </c>
      <c r="G69" s="8">
        <f>F69/F$102</f>
        <v/>
      </c>
    </row>
    <row r="70">
      <c r="A70" t="n">
        <v>59</v>
      </c>
      <c r="B70" s="5" t="n">
        <v>5238.3987727063</v>
      </c>
      <c r="C70" s="8">
        <f>B70/B$102</f>
        <v/>
      </c>
      <c r="E70" s="9" t="n">
        <v>59</v>
      </c>
      <c r="F70" s="9" t="n">
        <v>1803.472266654125</v>
      </c>
      <c r="G70" s="8">
        <f>F70/F$102</f>
        <v/>
      </c>
    </row>
    <row r="71">
      <c r="A71" t="n">
        <v>60</v>
      </c>
      <c r="B71" s="5" t="n">
        <v>4981.3137635427</v>
      </c>
      <c r="C71" s="8">
        <f>B71/B$102</f>
        <v/>
      </c>
      <c r="E71" s="9" t="n">
        <v>60</v>
      </c>
      <c r="F71" s="9" t="n">
        <v>1538.395651134423</v>
      </c>
      <c r="G71" s="8">
        <f>F71/F$102</f>
        <v/>
      </c>
    </row>
    <row r="72">
      <c r="A72" t="n">
        <v>61</v>
      </c>
      <c r="B72" s="5" t="n">
        <v>6562.2558684261</v>
      </c>
      <c r="C72" s="8">
        <f>B72/B$102</f>
        <v/>
      </c>
      <c r="E72" s="9" t="n">
        <v>61</v>
      </c>
      <c r="F72" s="9" t="n">
        <v>1295.422987445081</v>
      </c>
      <c r="G72" s="8">
        <f>F72/F$102</f>
        <v/>
      </c>
    </row>
    <row r="73">
      <c r="A73" t="n">
        <v>62</v>
      </c>
      <c r="B73" s="5" t="n">
        <v>249.386870068</v>
      </c>
      <c r="C73" s="8">
        <f>B73/B$102</f>
        <v/>
      </c>
      <c r="E73" s="9" t="n">
        <v>62</v>
      </c>
      <c r="F73" s="9" t="n">
        <v>1348.158011328204</v>
      </c>
      <c r="G73" s="8">
        <f>F73/F$102</f>
        <v/>
      </c>
    </row>
    <row r="74">
      <c r="A74" t="n">
        <v>63</v>
      </c>
      <c r="B74" s="5" t="n">
        <v>803.2207739549999</v>
      </c>
      <c r="C74" s="8">
        <f>B74/B$102</f>
        <v/>
      </c>
      <c r="E74" s="9" t="n">
        <v>63</v>
      </c>
      <c r="F74" s="9" t="n">
        <v>1135.573794811487</v>
      </c>
      <c r="G74" s="8">
        <f>F74/F$102</f>
        <v/>
      </c>
    </row>
    <row r="75">
      <c r="A75" t="n">
        <v>64</v>
      </c>
      <c r="B75" s="5" t="n">
        <v>0</v>
      </c>
      <c r="C75" s="8">
        <f>B75/B$102</f>
        <v/>
      </c>
      <c r="E75" s="9" t="n">
        <v>64</v>
      </c>
      <c r="F75" s="9" t="n">
        <v>1080.610731460672</v>
      </c>
      <c r="G75" s="8">
        <f>F75/F$102</f>
        <v/>
      </c>
    </row>
    <row r="76">
      <c r="A76" t="n">
        <v>65</v>
      </c>
      <c r="B76" s="5" t="n">
        <v>2021.7684500008</v>
      </c>
      <c r="C76" s="8">
        <f>B76/B$102</f>
        <v/>
      </c>
      <c r="E76" s="9" t="n">
        <v>65</v>
      </c>
      <c r="F76" s="9" t="n">
        <v>1026.361480811703</v>
      </c>
      <c r="G76" s="8">
        <f>F76/F$102</f>
        <v/>
      </c>
    </row>
    <row r="77">
      <c r="A77" t="n">
        <v>66</v>
      </c>
      <c r="B77" s="5" t="n">
        <v>915.373954487</v>
      </c>
      <c r="C77" s="8">
        <f>B77/B$102</f>
        <v/>
      </c>
      <c r="E77" s="9" t="n">
        <v>66</v>
      </c>
      <c r="F77" s="9" t="n">
        <v>1095.554452182584</v>
      </c>
      <c r="G77" s="8">
        <f>F77/F$102</f>
        <v/>
      </c>
    </row>
    <row r="78">
      <c r="A78" t="n">
        <v>67</v>
      </c>
      <c r="B78" s="5" t="n">
        <v>6064.041144876</v>
      </c>
      <c r="C78" s="8">
        <f>B78/B$102</f>
        <v/>
      </c>
      <c r="E78" s="9" t="n">
        <v>67</v>
      </c>
      <c r="F78" s="9" t="n">
        <v>886.3372075375809</v>
      </c>
      <c r="G78" s="8">
        <f>F78/F$102</f>
        <v/>
      </c>
    </row>
    <row r="79">
      <c r="A79" t="n">
        <v>68</v>
      </c>
      <c r="B79" s="5" t="n">
        <v>0</v>
      </c>
      <c r="C79" s="8">
        <f>B79/B$102</f>
        <v/>
      </c>
      <c r="E79" s="9" t="n">
        <v>68</v>
      </c>
      <c r="F79" s="9" t="n">
        <v>1143.951439555629</v>
      </c>
      <c r="G79" s="8">
        <f>F79/F$102</f>
        <v/>
      </c>
    </row>
    <row r="80">
      <c r="A80" t="n">
        <v>69</v>
      </c>
      <c r="B80" s="5" t="n">
        <v>2099.717678017</v>
      </c>
      <c r="C80" s="8">
        <f>B80/B$102</f>
        <v/>
      </c>
      <c r="E80" s="9" t="n">
        <v>69</v>
      </c>
      <c r="F80" s="9" t="n">
        <v>844.1525488551541</v>
      </c>
      <c r="G80" s="8">
        <f>F80/F$102</f>
        <v/>
      </c>
    </row>
    <row r="81">
      <c r="A81" t="n">
        <v>70</v>
      </c>
      <c r="B81" s="5" t="n">
        <v>4.59375</v>
      </c>
      <c r="C81" s="8">
        <f>B81/B$102</f>
        <v/>
      </c>
      <c r="E81" s="9" t="n">
        <v>70</v>
      </c>
      <c r="F81" s="9" t="n">
        <v>748.0002116457206</v>
      </c>
      <c r="G81" s="8">
        <f>F81/F$102</f>
        <v/>
      </c>
    </row>
    <row r="82">
      <c r="A82" t="n">
        <v>71</v>
      </c>
      <c r="B82" s="5" t="n">
        <v>0</v>
      </c>
      <c r="C82" s="8">
        <f>B82/B$102</f>
        <v/>
      </c>
      <c r="E82" s="9" t="n">
        <v>71</v>
      </c>
      <c r="F82" s="9" t="n">
        <v>740.3632383795172</v>
      </c>
      <c r="G82" s="8">
        <f>F82/F$102</f>
        <v/>
      </c>
    </row>
    <row r="83">
      <c r="A83" t="n">
        <v>72</v>
      </c>
      <c r="B83" s="5" t="n">
        <v>16235.1886455532</v>
      </c>
      <c r="C83" s="8">
        <f>B83/B$102</f>
        <v/>
      </c>
      <c r="E83" s="9" t="n">
        <v>72</v>
      </c>
      <c r="F83" s="9" t="n">
        <v>690.0979757358617</v>
      </c>
      <c r="G83" s="8">
        <f>F83/F$102</f>
        <v/>
      </c>
    </row>
    <row r="84">
      <c r="A84" t="n">
        <v>73</v>
      </c>
      <c r="B84" s="5" t="n">
        <v>1610.438278859</v>
      </c>
      <c r="C84" s="8">
        <f>B84/B$102</f>
        <v/>
      </c>
      <c r="E84" s="9" t="n">
        <v>73</v>
      </c>
      <c r="F84" s="9" t="n">
        <v>1226.716072358748</v>
      </c>
      <c r="G84" s="8">
        <f>F84/F$102</f>
        <v/>
      </c>
    </row>
    <row r="85">
      <c r="A85" t="n">
        <v>74</v>
      </c>
      <c r="B85" s="5" t="n">
        <v>3050.173453257</v>
      </c>
      <c r="C85" s="8">
        <f>B85/B$102</f>
        <v/>
      </c>
      <c r="E85" s="9" t="n">
        <v>74</v>
      </c>
      <c r="F85" s="9" t="n">
        <v>1015.497742875339</v>
      </c>
      <c r="G85" s="8">
        <f>F85/F$102</f>
        <v/>
      </c>
    </row>
    <row r="86">
      <c r="A86" t="n">
        <v>75</v>
      </c>
      <c r="B86" s="5" t="n">
        <v>876.744893286</v>
      </c>
      <c r="C86" s="8">
        <f>B86/B$102</f>
        <v/>
      </c>
      <c r="E86" s="9" t="n">
        <v>75</v>
      </c>
      <c r="F86" s="9" t="n">
        <v>546.5768473454667</v>
      </c>
      <c r="G86" s="8">
        <f>F86/F$102</f>
        <v/>
      </c>
    </row>
    <row r="87">
      <c r="A87" t="n">
        <v>76</v>
      </c>
      <c r="B87" s="5" t="n">
        <v>0</v>
      </c>
      <c r="C87" s="8">
        <f>B87/B$102</f>
        <v/>
      </c>
      <c r="E87" s="9" t="n">
        <v>76</v>
      </c>
      <c r="F87" s="9" t="n">
        <v>938.2909090484584</v>
      </c>
      <c r="G87" s="8">
        <f>F87/F$102</f>
        <v/>
      </c>
    </row>
    <row r="88">
      <c r="A88" t="n">
        <v>77</v>
      </c>
      <c r="B88" s="5" t="n">
        <v>103.884081167</v>
      </c>
      <c r="C88" s="8">
        <f>B88/B$102</f>
        <v/>
      </c>
      <c r="E88" s="9" t="n">
        <v>77</v>
      </c>
      <c r="F88" s="9" t="n">
        <v>471.2936625286197</v>
      </c>
      <c r="G88" s="8">
        <f>F88/F$102</f>
        <v/>
      </c>
    </row>
    <row r="89">
      <c r="A89" t="n">
        <v>78</v>
      </c>
      <c r="B89" s="5" t="n">
        <v>552.1879851021999</v>
      </c>
      <c r="C89" s="8">
        <f>B89/B$102</f>
        <v/>
      </c>
      <c r="E89" s="9" t="n">
        <v>78</v>
      </c>
      <c r="F89" s="9" t="n">
        <v>569.3471423397883</v>
      </c>
      <c r="G89" s="8">
        <f>F89/F$102</f>
        <v/>
      </c>
    </row>
    <row r="90">
      <c r="A90" t="n">
        <v>79</v>
      </c>
      <c r="B90" s="5" t="n">
        <v>3617.977487135</v>
      </c>
      <c r="C90" s="8">
        <f>B90/B$102</f>
        <v/>
      </c>
      <c r="E90" s="9" t="n">
        <v>79</v>
      </c>
      <c r="F90" s="9" t="n">
        <v>703.4767876357881</v>
      </c>
      <c r="G90" s="8">
        <f>F90/F$102</f>
        <v/>
      </c>
    </row>
    <row r="91">
      <c r="A91" t="n">
        <v>80</v>
      </c>
      <c r="B91" s="5" t="n">
        <v>2416.7367966575</v>
      </c>
      <c r="C91" s="8">
        <f>B91/B$102</f>
        <v/>
      </c>
      <c r="E91" s="9" t="n">
        <v>80</v>
      </c>
      <c r="F91" s="9" t="n">
        <v>682.8853801021722</v>
      </c>
      <c r="G91" s="8">
        <f>F91/F$102</f>
        <v/>
      </c>
    </row>
    <row r="92">
      <c r="A92" t="n">
        <v>81</v>
      </c>
      <c r="B92" s="5" t="n">
        <v>761.4660318990001</v>
      </c>
      <c r="C92" s="8">
        <f>B92/B$102</f>
        <v/>
      </c>
      <c r="E92" s="9" t="n">
        <v>81</v>
      </c>
      <c r="F92" s="9" t="n">
        <v>682.4538775306711</v>
      </c>
      <c r="G92" s="8">
        <f>F92/F$102</f>
        <v/>
      </c>
    </row>
    <row r="93">
      <c r="A93" t="n">
        <v>82</v>
      </c>
      <c r="B93" s="5" t="n">
        <v>3526.6496723439</v>
      </c>
      <c r="C93" s="8">
        <f>B93/B$102</f>
        <v/>
      </c>
      <c r="E93" s="9" t="n">
        <v>82</v>
      </c>
      <c r="F93" s="9" t="n">
        <v>410.7728904912389</v>
      </c>
      <c r="G93" s="8">
        <f>F93/F$102</f>
        <v/>
      </c>
    </row>
    <row r="94">
      <c r="A94" t="n">
        <v>83</v>
      </c>
      <c r="B94" s="5" t="n">
        <v>820.3342852221</v>
      </c>
      <c r="C94" s="8">
        <f>B94/B$102</f>
        <v/>
      </c>
      <c r="E94" s="9" t="n">
        <v>83</v>
      </c>
      <c r="F94" s="9" t="n">
        <v>355.7605317710296</v>
      </c>
      <c r="G94" s="8">
        <f>F94/F$102</f>
        <v/>
      </c>
    </row>
    <row r="95">
      <c r="A95" t="n">
        <v>84</v>
      </c>
      <c r="B95" s="5" t="n">
        <v>2873.8604379418</v>
      </c>
      <c r="C95" s="8">
        <f>B95/B$102</f>
        <v/>
      </c>
      <c r="E95" s="9" t="n">
        <v>84</v>
      </c>
      <c r="F95" s="9" t="n">
        <v>483.5573531712295</v>
      </c>
      <c r="G95" s="8">
        <f>F95/F$102</f>
        <v/>
      </c>
    </row>
    <row r="96">
      <c r="A96" t="n">
        <v>85</v>
      </c>
      <c r="B96" s="5" t="n">
        <v>1261.1307661893</v>
      </c>
      <c r="C96" s="8">
        <f>B96/B$102</f>
        <v/>
      </c>
      <c r="E96" s="9" t="n">
        <v>85</v>
      </c>
      <c r="F96" s="9" t="n">
        <v>425.6054277036699</v>
      </c>
      <c r="G96" s="8">
        <f>F96/F$102</f>
        <v/>
      </c>
    </row>
    <row r="97">
      <c r="A97" t="n">
        <v>86</v>
      </c>
      <c r="B97" s="5" t="n">
        <v>2109.970783763</v>
      </c>
      <c r="C97" s="8">
        <f>B97/B$102</f>
        <v/>
      </c>
      <c r="E97" s="9" t="n">
        <v>86</v>
      </c>
      <c r="F97" s="9" t="n">
        <v>400.3947069424695</v>
      </c>
      <c r="G97" s="8">
        <f>F97/F$102</f>
        <v/>
      </c>
    </row>
    <row r="98">
      <c r="A98" t="n">
        <v>87</v>
      </c>
      <c r="B98" s="5" t="n">
        <v>388.0936255263</v>
      </c>
      <c r="C98" s="8">
        <f>B98/B$102</f>
        <v/>
      </c>
      <c r="E98" s="9" t="n">
        <v>87</v>
      </c>
      <c r="F98" s="9" t="n">
        <v>344.1282101496291</v>
      </c>
      <c r="G98" s="8">
        <f>F98/F$102</f>
        <v/>
      </c>
    </row>
    <row r="99">
      <c r="A99" t="n">
        <v>88</v>
      </c>
      <c r="B99" s="5" t="n">
        <v>1669.1180393491</v>
      </c>
      <c r="C99" s="8">
        <f>B99/B$102</f>
        <v/>
      </c>
      <c r="E99" s="9" t="n">
        <v>88</v>
      </c>
      <c r="F99" s="9" t="n">
        <v>314.8546463143956</v>
      </c>
      <c r="G99" s="8">
        <f>F99/F$102</f>
        <v/>
      </c>
    </row>
    <row r="100">
      <c r="A100" t="n">
        <v>89</v>
      </c>
      <c r="B100" s="5" t="n">
        <v>2315.2432777259</v>
      </c>
      <c r="C100" s="8">
        <f>B100/B$102</f>
        <v/>
      </c>
      <c r="E100" s="9" t="n">
        <v>89</v>
      </c>
      <c r="F100" s="9" t="n">
        <v>274.3602640304243</v>
      </c>
      <c r="G100" s="8">
        <f>F100/F$102</f>
        <v/>
      </c>
    </row>
    <row r="101" ht="15.75" customHeight="1" thickBot="1">
      <c r="A101" s="1" t="n">
        <v>90</v>
      </c>
      <c r="B101" s="6" t="n">
        <v>53738.9208409459</v>
      </c>
      <c r="C101" s="8">
        <f>B101/B$102</f>
        <v/>
      </c>
      <c r="E101" s="10" t="n">
        <v>90</v>
      </c>
      <c r="F101" s="10" t="n">
        <v>17907.59784770015</v>
      </c>
      <c r="G101" s="8">
        <f>F101/F$102</f>
        <v/>
      </c>
    </row>
    <row r="102">
      <c r="B102" s="5">
        <f>SUM(B11:B101)</f>
        <v/>
      </c>
      <c r="C102" s="8">
        <f>B102/B$102</f>
        <v/>
      </c>
      <c r="F102" s="5">
        <f>SUM(F11:F101)</f>
        <v/>
      </c>
      <c r="G102" s="8">
        <f>F102/F$102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L102"/>
  <sheetViews>
    <sheetView workbookViewId="0">
      <selection activeCell="K11" sqref="K11:L11"/>
    </sheetView>
  </sheetViews>
  <sheetFormatPr baseColWidth="8" defaultRowHeight="15"/>
  <cols>
    <col collapsed="1" width="13.5703125" customWidth="1" min="1" max="1"/>
    <col collapsed="1" width="9.5703125" bestFit="1" customWidth="1" min="2" max="2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thickBot="1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J9" s="7" t="inlineStr">
        <is>
          <t>Table X. Average Trip Length</t>
        </is>
      </c>
    </row>
    <row r="10">
      <c r="A10" s="2" t="inlineStr">
        <is>
          <t>Distance (mi)</t>
        </is>
      </c>
      <c r="B10" s="4" t="inlineStr">
        <is>
          <t>Survey</t>
        </is>
      </c>
      <c r="C10" s="4" t="inlineStr">
        <is>
          <t>Survey</t>
        </is>
      </c>
      <c r="E10" s="2" t="inlineStr">
        <is>
          <t>Distance (mi)</t>
        </is>
      </c>
      <c r="F10" s="4" t="inlineStr">
        <is>
          <t>DaySim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5" t="n">
        <v>113359.6166626039</v>
      </c>
      <c r="C11" s="8">
        <f>B11/B$102</f>
        <v/>
      </c>
      <c r="E11" s="9" t="n">
        <v>0</v>
      </c>
      <c r="F11" s="9" t="n">
        <v>402643.0311461981</v>
      </c>
      <c r="G11" s="8">
        <f>F11/F$102</f>
        <v/>
      </c>
      <c r="K11" s="5" t="n">
        <v>5.915546454757694</v>
      </c>
      <c r="L11" s="5" t="n">
        <v>5.435253332735914</v>
      </c>
    </row>
    <row r="12">
      <c r="A12" t="n">
        <v>1</v>
      </c>
      <c r="B12" s="5" t="n">
        <v>126795.2627680881</v>
      </c>
      <c r="C12" s="8">
        <f>B12/B$102</f>
        <v/>
      </c>
      <c r="E12" s="9" t="n">
        <v>1</v>
      </c>
      <c r="F12" s="9" t="n">
        <v>258634.0744600052</v>
      </c>
      <c r="G12" s="8">
        <f>F12/F$102</f>
        <v/>
      </c>
      <c r="K12" s="5" t="n"/>
      <c r="L12" s="9" t="n"/>
    </row>
    <row r="13">
      <c r="A13" t="n">
        <v>2</v>
      </c>
      <c r="B13" s="5" t="n">
        <v>141891.8256687545</v>
      </c>
      <c r="C13" s="8">
        <f>B13/B$102</f>
        <v/>
      </c>
      <c r="E13" s="9" t="n">
        <v>2</v>
      </c>
      <c r="F13" s="9" t="n">
        <v>155023.7532205705</v>
      </c>
      <c r="G13" s="8">
        <f>F13/F$102</f>
        <v/>
      </c>
    </row>
    <row r="14">
      <c r="A14" t="n">
        <v>3</v>
      </c>
      <c r="B14" s="5" t="n">
        <v>225607.7176510919</v>
      </c>
      <c r="C14" s="8">
        <f>B14/B$102</f>
        <v/>
      </c>
      <c r="E14" s="9" t="n">
        <v>3</v>
      </c>
      <c r="F14" s="9" t="n">
        <v>93422.76657338336</v>
      </c>
      <c r="G14" s="8">
        <f>F14/F$102</f>
        <v/>
      </c>
    </row>
    <row r="15">
      <c r="A15" t="n">
        <v>4</v>
      </c>
      <c r="B15" s="5" t="n">
        <v>413747.1636875012</v>
      </c>
      <c r="C15" s="8">
        <f>B15/B$102</f>
        <v/>
      </c>
      <c r="E15" s="9" t="n">
        <v>4</v>
      </c>
      <c r="F15" s="9" t="n">
        <v>254895.2539098099</v>
      </c>
      <c r="G15" s="8">
        <f>F15/F$102</f>
        <v/>
      </c>
    </row>
    <row r="16">
      <c r="A16" t="n">
        <v>5</v>
      </c>
      <c r="B16" s="5" t="n">
        <v>230209.7423684467</v>
      </c>
      <c r="C16" s="8">
        <f>B16/B$102</f>
        <v/>
      </c>
      <c r="E16" s="9" t="n">
        <v>5</v>
      </c>
      <c r="F16" s="9" t="n">
        <v>134125.1131372612</v>
      </c>
      <c r="G16" s="8">
        <f>F16/F$102</f>
        <v/>
      </c>
    </row>
    <row r="17">
      <c r="A17" t="n">
        <v>6</v>
      </c>
      <c r="B17" s="5" t="n">
        <v>235618.4631274111</v>
      </c>
      <c r="C17" s="8">
        <f>B17/B$102</f>
        <v/>
      </c>
      <c r="E17" s="9" t="n">
        <v>6</v>
      </c>
      <c r="F17" s="9" t="n">
        <v>130791.4427435914</v>
      </c>
      <c r="G17" s="8">
        <f>F17/F$102</f>
        <v/>
      </c>
    </row>
    <row r="18">
      <c r="A18" t="n">
        <v>7</v>
      </c>
      <c r="B18" s="5" t="n">
        <v>107183.5989000451</v>
      </c>
      <c r="C18" s="8">
        <f>B18/B$102</f>
        <v/>
      </c>
      <c r="E18" s="9" t="n">
        <v>7</v>
      </c>
      <c r="F18" s="9" t="n">
        <v>75527.52126905433</v>
      </c>
      <c r="G18" s="8">
        <f>F18/F$102</f>
        <v/>
      </c>
    </row>
    <row r="19">
      <c r="A19" t="n">
        <v>8</v>
      </c>
      <c r="B19" s="5" t="n">
        <v>82252.62699326521</v>
      </c>
      <c r="C19" s="8">
        <f>B19/B$102</f>
        <v/>
      </c>
      <c r="E19" s="9" t="n">
        <v>8</v>
      </c>
      <c r="F19" s="9" t="n">
        <v>83362.27603350174</v>
      </c>
      <c r="G19" s="8">
        <f>F19/F$102</f>
        <v/>
      </c>
    </row>
    <row r="20">
      <c r="A20" t="n">
        <v>9</v>
      </c>
      <c r="B20" s="5" t="n">
        <v>46588.5628611997</v>
      </c>
      <c r="C20" s="8">
        <f>B20/B$102</f>
        <v/>
      </c>
      <c r="E20" s="9" t="n">
        <v>9</v>
      </c>
      <c r="F20" s="9" t="n">
        <v>49838.52275110029</v>
      </c>
      <c r="G20" s="8">
        <f>F20/F$102</f>
        <v/>
      </c>
    </row>
    <row r="21">
      <c r="A21" t="n">
        <v>10</v>
      </c>
      <c r="B21" s="5" t="n">
        <v>115326.1530039552</v>
      </c>
      <c r="C21" s="8">
        <f>B21/B$102</f>
        <v/>
      </c>
      <c r="E21" s="9" t="n">
        <v>10</v>
      </c>
      <c r="F21" s="9" t="n">
        <v>37344.7289011305</v>
      </c>
      <c r="G21" s="8">
        <f>F21/F$102</f>
        <v/>
      </c>
    </row>
    <row r="22">
      <c r="A22" t="n">
        <v>11</v>
      </c>
      <c r="B22" s="5" t="n">
        <v>15341.0399911743</v>
      </c>
      <c r="C22" s="8">
        <f>B22/B$102</f>
        <v/>
      </c>
      <c r="E22" s="9" t="n">
        <v>11</v>
      </c>
      <c r="F22" s="9" t="n">
        <v>35297.14956286226</v>
      </c>
      <c r="G22" s="8">
        <f>F22/F$102</f>
        <v/>
      </c>
    </row>
    <row r="23">
      <c r="A23" t="n">
        <v>12</v>
      </c>
      <c r="B23" s="5" t="n">
        <v>22383.8945055376</v>
      </c>
      <c r="C23" s="8">
        <f>B23/B$102</f>
        <v/>
      </c>
      <c r="E23" s="9" t="n">
        <v>12</v>
      </c>
      <c r="F23" s="9" t="n">
        <v>30260.25332335319</v>
      </c>
      <c r="G23" s="8">
        <f>F23/F$102</f>
        <v/>
      </c>
    </row>
    <row r="24">
      <c r="A24" t="n">
        <v>13</v>
      </c>
      <c r="B24" s="5" t="n">
        <v>14197.5271913507</v>
      </c>
      <c r="C24" s="8">
        <f>B24/B$102</f>
        <v/>
      </c>
      <c r="E24" s="9" t="n">
        <v>13</v>
      </c>
      <c r="F24" s="9" t="n">
        <v>25026.04816402507</v>
      </c>
      <c r="G24" s="8">
        <f>F24/F$102</f>
        <v/>
      </c>
    </row>
    <row r="25">
      <c r="A25" t="n">
        <v>14</v>
      </c>
      <c r="B25" s="5" t="n">
        <v>19465.1021855141</v>
      </c>
      <c r="C25" s="8">
        <f>B25/B$102</f>
        <v/>
      </c>
      <c r="E25" s="9" t="n">
        <v>14</v>
      </c>
      <c r="F25" s="9" t="n">
        <v>23196.888158338</v>
      </c>
      <c r="G25" s="8">
        <f>F25/F$102</f>
        <v/>
      </c>
    </row>
    <row r="26">
      <c r="A26" t="n">
        <v>15</v>
      </c>
      <c r="B26" s="5" t="n">
        <v>18287.4398454624</v>
      </c>
      <c r="C26" s="8">
        <f>B26/B$102</f>
        <v/>
      </c>
      <c r="E26" s="9" t="n">
        <v>15</v>
      </c>
      <c r="F26" s="9" t="n">
        <v>24832.85848035158</v>
      </c>
      <c r="G26" s="8">
        <f>F26/F$102</f>
        <v/>
      </c>
    </row>
    <row r="27">
      <c r="A27" t="n">
        <v>16</v>
      </c>
      <c r="B27" s="5" t="n">
        <v>25028.2522898597</v>
      </c>
      <c r="C27" s="8">
        <f>B27/B$102</f>
        <v/>
      </c>
      <c r="E27" s="9" t="n">
        <v>16</v>
      </c>
      <c r="F27" s="9" t="n">
        <v>21535.14780879843</v>
      </c>
      <c r="G27" s="8">
        <f>F27/F$102</f>
        <v/>
      </c>
    </row>
    <row r="28">
      <c r="A28" t="n">
        <v>17</v>
      </c>
      <c r="B28" s="5" t="n">
        <v>8823.2339609629</v>
      </c>
      <c r="C28" s="8">
        <f>B28/B$102</f>
        <v/>
      </c>
      <c r="E28" s="9" t="n">
        <v>17</v>
      </c>
      <c r="F28" s="9" t="n">
        <v>15779.77389496206</v>
      </c>
      <c r="G28" s="8">
        <f>F28/F$102</f>
        <v/>
      </c>
    </row>
    <row r="29">
      <c r="A29" t="n">
        <v>18</v>
      </c>
      <c r="B29" s="5" t="n">
        <v>9997.942972463799</v>
      </c>
      <c r="C29" s="8">
        <f>B29/B$102</f>
        <v/>
      </c>
      <c r="E29" s="9" t="n">
        <v>18</v>
      </c>
      <c r="F29" s="9" t="n">
        <v>10368.52770555645</v>
      </c>
      <c r="G29" s="8">
        <f>F29/F$102</f>
        <v/>
      </c>
    </row>
    <row r="30">
      <c r="A30" t="n">
        <v>19</v>
      </c>
      <c r="B30" s="5" t="n">
        <v>5777.0382751024</v>
      </c>
      <c r="C30" s="8">
        <f>B30/B$102</f>
        <v/>
      </c>
      <c r="E30" s="9" t="n">
        <v>19</v>
      </c>
      <c r="F30" s="9" t="n">
        <v>8641.095454572473</v>
      </c>
      <c r="G30" s="8">
        <f>F30/F$102</f>
        <v/>
      </c>
    </row>
    <row r="31">
      <c r="A31" t="n">
        <v>20</v>
      </c>
      <c r="B31" s="5" t="n">
        <v>8041.7737813974</v>
      </c>
      <c r="C31" s="8">
        <f>B31/B$102</f>
        <v/>
      </c>
      <c r="E31" s="9" t="n">
        <v>20</v>
      </c>
      <c r="F31" s="9" t="n">
        <v>8545.90538813734</v>
      </c>
      <c r="G31" s="8">
        <f>F31/F$102</f>
        <v/>
      </c>
    </row>
    <row r="32">
      <c r="A32" t="n">
        <v>21</v>
      </c>
      <c r="B32" s="5" t="n">
        <v>3325.8476424468</v>
      </c>
      <c r="C32" s="8">
        <f>B32/B$102</f>
        <v/>
      </c>
      <c r="E32" s="9" t="n">
        <v>21</v>
      </c>
      <c r="F32" s="9" t="n">
        <v>6046.006838996101</v>
      </c>
      <c r="G32" s="8">
        <f>F32/F$102</f>
        <v/>
      </c>
    </row>
    <row r="33">
      <c r="A33" t="n">
        <v>22</v>
      </c>
      <c r="B33" s="5" t="n">
        <v>5474.0762088095</v>
      </c>
      <c r="C33" s="8">
        <f>B33/B$102</f>
        <v/>
      </c>
      <c r="E33" s="9" t="n">
        <v>22</v>
      </c>
      <c r="F33" s="9" t="n">
        <v>6299.172382428719</v>
      </c>
      <c r="G33" s="8">
        <f>F33/F$102</f>
        <v/>
      </c>
    </row>
    <row r="34">
      <c r="A34" t="n">
        <v>23</v>
      </c>
      <c r="B34" s="5" t="n">
        <v>2761.1998975502</v>
      </c>
      <c r="C34" s="8">
        <f>B34/B$102</f>
        <v/>
      </c>
      <c r="E34" s="9" t="n">
        <v>23</v>
      </c>
      <c r="F34" s="9" t="n">
        <v>4846.679069653675</v>
      </c>
      <c r="G34" s="8">
        <f>F34/F$102</f>
        <v/>
      </c>
    </row>
    <row r="35">
      <c r="A35" t="n">
        <v>24</v>
      </c>
      <c r="B35" s="5" t="n">
        <v>2493.0056068305</v>
      </c>
      <c r="C35" s="8">
        <f>B35/B$102</f>
        <v/>
      </c>
      <c r="E35" s="9" t="n">
        <v>24</v>
      </c>
      <c r="F35" s="9" t="n">
        <v>4852.598317243755</v>
      </c>
      <c r="G35" s="8">
        <f>F35/F$102</f>
        <v/>
      </c>
    </row>
    <row r="36">
      <c r="A36" t="n">
        <v>25</v>
      </c>
      <c r="B36" s="5" t="n">
        <v>4345.189184787</v>
      </c>
      <c r="C36" s="8">
        <f>B36/B$102</f>
        <v/>
      </c>
      <c r="E36" s="9" t="n">
        <v>25</v>
      </c>
      <c r="F36" s="9" t="n">
        <v>4596.660523521168</v>
      </c>
      <c r="G36" s="8">
        <f>F36/F$102</f>
        <v/>
      </c>
    </row>
    <row r="37">
      <c r="A37" t="n">
        <v>26</v>
      </c>
      <c r="B37" s="5" t="n">
        <v>2761.08808221</v>
      </c>
      <c r="C37" s="8">
        <f>B37/B$102</f>
        <v/>
      </c>
      <c r="E37" s="9" t="n">
        <v>26</v>
      </c>
      <c r="F37" s="9" t="n">
        <v>3328.691699109739</v>
      </c>
      <c r="G37" s="8">
        <f>F37/F$102</f>
        <v/>
      </c>
    </row>
    <row r="38">
      <c r="A38" t="n">
        <v>27</v>
      </c>
      <c r="B38" s="5" t="n">
        <v>1627.630489631</v>
      </c>
      <c r="C38" s="8">
        <f>B38/B$102</f>
        <v/>
      </c>
      <c r="E38" s="9" t="n">
        <v>27</v>
      </c>
      <c r="F38" s="9" t="n">
        <v>2133.061935055473</v>
      </c>
      <c r="G38" s="8">
        <f>F38/F$102</f>
        <v/>
      </c>
    </row>
    <row r="39">
      <c r="A39" t="n">
        <v>28</v>
      </c>
      <c r="B39" s="5" t="n">
        <v>719.280889893</v>
      </c>
      <c r="C39" s="8">
        <f>B39/B$102</f>
        <v/>
      </c>
      <c r="E39" s="9" t="n">
        <v>28</v>
      </c>
      <c r="F39" s="9" t="n">
        <v>2620.678209678922</v>
      </c>
      <c r="G39" s="8">
        <f>F39/F$102</f>
        <v/>
      </c>
    </row>
    <row r="40">
      <c r="A40" t="n">
        <v>29</v>
      </c>
      <c r="B40" s="5" t="n">
        <v>433.333643768</v>
      </c>
      <c r="C40" s="8">
        <f>B40/B$102</f>
        <v/>
      </c>
      <c r="E40" s="9" t="n">
        <v>29</v>
      </c>
      <c r="F40" s="9" t="n">
        <v>2039.574160387398</v>
      </c>
      <c r="G40" s="8">
        <f>F40/F$102</f>
        <v/>
      </c>
    </row>
    <row r="41">
      <c r="A41" t="n">
        <v>30</v>
      </c>
      <c r="B41" s="5" t="n">
        <v>532.239404069</v>
      </c>
      <c r="C41" s="8">
        <f>B41/B$102</f>
        <v/>
      </c>
      <c r="E41" s="9" t="n">
        <v>30</v>
      </c>
      <c r="F41" s="9" t="n">
        <v>2187.749067867787</v>
      </c>
      <c r="G41" s="8">
        <f>F41/F$102</f>
        <v/>
      </c>
    </row>
    <row r="42">
      <c r="A42" t="n">
        <v>31</v>
      </c>
      <c r="B42" s="5" t="n">
        <v>2253.359654918</v>
      </c>
      <c r="C42" s="8">
        <f>B42/B$102</f>
        <v/>
      </c>
      <c r="E42" s="9" t="n">
        <v>31</v>
      </c>
      <c r="F42" s="9" t="n">
        <v>1610.037251260842</v>
      </c>
      <c r="G42" s="8">
        <f>F42/F$102</f>
        <v/>
      </c>
    </row>
    <row r="43">
      <c r="A43" t="n">
        <v>32</v>
      </c>
      <c r="B43" s="5" t="n">
        <v>2598.271736033</v>
      </c>
      <c r="C43" s="8">
        <f>B43/B$102</f>
        <v/>
      </c>
      <c r="E43" s="9" t="n">
        <v>32</v>
      </c>
      <c r="F43" s="9" t="n">
        <v>1278.720237189402</v>
      </c>
      <c r="G43" s="8">
        <f>F43/F$102</f>
        <v/>
      </c>
    </row>
    <row r="44">
      <c r="A44" t="n">
        <v>33</v>
      </c>
      <c r="B44" s="5" t="n">
        <v>282.2315825548</v>
      </c>
      <c r="C44" s="8">
        <f>B44/B$102</f>
        <v/>
      </c>
      <c r="E44" s="9" t="n">
        <v>33</v>
      </c>
      <c r="F44" s="9" t="n">
        <v>1077.727769128751</v>
      </c>
      <c r="G44" s="8">
        <f>F44/F$102</f>
        <v/>
      </c>
    </row>
    <row r="45">
      <c r="A45" t="n">
        <v>34</v>
      </c>
      <c r="B45" s="5" t="n">
        <v>251.017759731</v>
      </c>
      <c r="C45" s="8">
        <f>B45/B$102</f>
        <v/>
      </c>
      <c r="E45" s="9" t="n">
        <v>34</v>
      </c>
      <c r="F45" s="9" t="n">
        <v>1057.744416220038</v>
      </c>
      <c r="G45" s="8">
        <f>F45/F$102</f>
        <v/>
      </c>
    </row>
    <row r="46">
      <c r="A46" t="n">
        <v>35</v>
      </c>
      <c r="B46" s="5" t="n">
        <v>1001.676862693</v>
      </c>
      <c r="C46" s="8">
        <f>B46/B$102</f>
        <v/>
      </c>
      <c r="E46" s="9" t="n">
        <v>35</v>
      </c>
      <c r="F46" s="9" t="n">
        <v>766.6612764390219</v>
      </c>
      <c r="G46" s="8">
        <f>F46/F$102</f>
        <v/>
      </c>
    </row>
    <row r="47">
      <c r="A47" t="n">
        <v>36</v>
      </c>
      <c r="B47" s="5" t="n">
        <v>636.756808327</v>
      </c>
      <c r="C47" s="8">
        <f>B47/B$102</f>
        <v/>
      </c>
      <c r="E47" s="9" t="n">
        <v>36</v>
      </c>
      <c r="F47" s="9" t="n">
        <v>989.3812021751446</v>
      </c>
      <c r="G47" s="8">
        <f>F47/F$102</f>
        <v/>
      </c>
    </row>
    <row r="48">
      <c r="A48" t="n">
        <v>37</v>
      </c>
      <c r="B48" s="5" t="n">
        <v>0</v>
      </c>
      <c r="C48" s="8">
        <f>B48/B$102</f>
        <v/>
      </c>
      <c r="E48" s="9" t="n">
        <v>37</v>
      </c>
      <c r="F48" s="9" t="n">
        <v>706.0796712691764</v>
      </c>
      <c r="G48" s="8">
        <f>F48/F$102</f>
        <v/>
      </c>
    </row>
    <row r="49">
      <c r="A49" t="n">
        <v>38</v>
      </c>
      <c r="B49" s="5" t="n">
        <v>650.2374823820001</v>
      </c>
      <c r="C49" s="8">
        <f>B49/B$102</f>
        <v/>
      </c>
      <c r="E49" s="9" t="n">
        <v>38</v>
      </c>
      <c r="F49" s="9" t="n">
        <v>758.6822421426323</v>
      </c>
      <c r="G49" s="8">
        <f>F49/F$102</f>
        <v/>
      </c>
    </row>
    <row r="50">
      <c r="A50" t="n">
        <v>39</v>
      </c>
      <c r="B50" s="5" t="n">
        <v>664.0014366752</v>
      </c>
      <c r="C50" s="8">
        <f>B50/B$102</f>
        <v/>
      </c>
      <c r="E50" s="9" t="n">
        <v>39</v>
      </c>
      <c r="F50" s="9" t="n">
        <v>599.1852341629376</v>
      </c>
      <c r="G50" s="8">
        <f>F50/F$102</f>
        <v/>
      </c>
    </row>
    <row r="51">
      <c r="A51" t="n">
        <v>40</v>
      </c>
      <c r="B51" s="5" t="n">
        <v>0</v>
      </c>
      <c r="C51" s="8">
        <f>B51/B$102</f>
        <v/>
      </c>
      <c r="E51" s="9" t="n">
        <v>40</v>
      </c>
      <c r="F51" s="9" t="n">
        <v>478.2019155228538</v>
      </c>
      <c r="G51" s="8">
        <f>F51/F$102</f>
        <v/>
      </c>
    </row>
    <row r="52">
      <c r="A52" t="n">
        <v>41</v>
      </c>
      <c r="B52" s="5" t="n">
        <v>0</v>
      </c>
      <c r="C52" s="8">
        <f>B52/B$102</f>
        <v/>
      </c>
      <c r="E52" s="9" t="n">
        <v>41</v>
      </c>
      <c r="F52" s="9" t="n">
        <v>330.4195412273379</v>
      </c>
      <c r="G52" s="8">
        <f>F52/F$102</f>
        <v/>
      </c>
    </row>
    <row r="53">
      <c r="A53" t="n">
        <v>42</v>
      </c>
      <c r="B53" s="5" t="n">
        <v>0</v>
      </c>
      <c r="C53" s="8">
        <f>B53/B$102</f>
        <v/>
      </c>
      <c r="E53" s="9" t="n">
        <v>42</v>
      </c>
      <c r="F53" s="9" t="n">
        <v>254.2141040799814</v>
      </c>
      <c r="G53" s="8">
        <f>F53/F$102</f>
        <v/>
      </c>
    </row>
    <row r="54">
      <c r="A54" t="n">
        <v>43</v>
      </c>
      <c r="B54" s="5" t="n">
        <v>4.59375</v>
      </c>
      <c r="C54" s="8">
        <f>B54/B$102</f>
        <v/>
      </c>
      <c r="E54" s="9" t="n">
        <v>43</v>
      </c>
      <c r="F54" s="9" t="n">
        <v>185.1638019703552</v>
      </c>
      <c r="G54" s="8">
        <f>F54/F$102</f>
        <v/>
      </c>
    </row>
    <row r="55">
      <c r="A55" t="n">
        <v>44</v>
      </c>
      <c r="B55" s="5" t="n">
        <v>5084.525540346</v>
      </c>
      <c r="C55" s="8">
        <f>B55/B$102</f>
        <v/>
      </c>
      <c r="E55" s="9" t="n">
        <v>44</v>
      </c>
      <c r="F55" s="9" t="n">
        <v>187.2713461810655</v>
      </c>
      <c r="G55" s="8">
        <f>F55/F$102</f>
        <v/>
      </c>
    </row>
    <row r="56">
      <c r="A56" t="n">
        <v>45</v>
      </c>
      <c r="B56" s="5" t="n">
        <v>250.40304101</v>
      </c>
      <c r="C56" s="8">
        <f>B56/B$102</f>
        <v/>
      </c>
      <c r="E56" s="9" t="n">
        <v>45</v>
      </c>
      <c r="F56" s="9" t="n">
        <v>220.4658194877623</v>
      </c>
      <c r="G56" s="8">
        <f>F56/F$102</f>
        <v/>
      </c>
    </row>
    <row r="57">
      <c r="A57" t="n">
        <v>46</v>
      </c>
      <c r="B57" s="5" t="n">
        <v>0</v>
      </c>
      <c r="C57" s="8">
        <f>B57/B$102</f>
        <v/>
      </c>
      <c r="E57" s="9" t="n">
        <v>46</v>
      </c>
      <c r="F57" s="9" t="n">
        <v>142.9308436905072</v>
      </c>
      <c r="G57" s="8">
        <f>F57/F$102</f>
        <v/>
      </c>
    </row>
    <row r="58">
      <c r="A58" t="n">
        <v>47</v>
      </c>
      <c r="B58" s="5" t="n">
        <v>0</v>
      </c>
      <c r="C58" s="8">
        <f>B58/B$102</f>
        <v/>
      </c>
      <c r="E58" s="9" t="n">
        <v>47</v>
      </c>
      <c r="F58" s="9" t="n">
        <v>125.7403137308722</v>
      </c>
      <c r="G58" s="8">
        <f>F58/F$102</f>
        <v/>
      </c>
    </row>
    <row r="59">
      <c r="A59" t="n">
        <v>48</v>
      </c>
      <c r="B59" s="5" t="n">
        <v>0</v>
      </c>
      <c r="C59" s="8">
        <f>B59/B$102</f>
        <v/>
      </c>
      <c r="E59" s="9" t="n">
        <v>48</v>
      </c>
      <c r="F59" s="9" t="n">
        <v>104.354493311717</v>
      </c>
      <c r="G59" s="8">
        <f>F59/F$102</f>
        <v/>
      </c>
    </row>
    <row r="60">
      <c r="A60" t="n">
        <v>49</v>
      </c>
      <c r="B60" s="5" t="n">
        <v>0</v>
      </c>
      <c r="C60" s="8">
        <f>B60/B$102</f>
        <v/>
      </c>
      <c r="E60" s="9" t="n">
        <v>49</v>
      </c>
      <c r="F60" s="9" t="n">
        <v>89.59837832408927</v>
      </c>
      <c r="G60" s="8">
        <f>F60/F$102</f>
        <v/>
      </c>
    </row>
    <row r="61">
      <c r="A61" t="n">
        <v>50</v>
      </c>
      <c r="B61" s="5" t="n">
        <v>1172.30496159</v>
      </c>
      <c r="C61" s="8">
        <f>B61/B$102</f>
        <v/>
      </c>
      <c r="E61" s="9" t="n">
        <v>50</v>
      </c>
      <c r="F61" s="9" t="n">
        <v>58.81543412050085</v>
      </c>
      <c r="G61" s="8">
        <f>F61/F$102</f>
        <v/>
      </c>
    </row>
    <row r="62">
      <c r="A62" t="n">
        <v>51</v>
      </c>
      <c r="B62" s="5" t="n">
        <v>0</v>
      </c>
      <c r="C62" s="8">
        <f>B62/B$102</f>
        <v/>
      </c>
      <c r="E62" s="9" t="n">
        <v>51</v>
      </c>
      <c r="F62" s="9" t="n">
        <v>103.1759516186904</v>
      </c>
      <c r="G62" s="8">
        <f>F62/F$102</f>
        <v/>
      </c>
    </row>
    <row r="63">
      <c r="A63" t="n">
        <v>52</v>
      </c>
      <c r="B63" s="5" t="n">
        <v>0</v>
      </c>
      <c r="C63" s="8">
        <f>B63/B$102</f>
        <v/>
      </c>
      <c r="E63" s="9" t="n">
        <v>52</v>
      </c>
      <c r="F63" s="9" t="n">
        <v>56.54572217084758</v>
      </c>
      <c r="G63" s="8">
        <f>F63/F$102</f>
        <v/>
      </c>
    </row>
    <row r="64">
      <c r="A64" t="n">
        <v>53</v>
      </c>
      <c r="B64" s="5" t="n">
        <v>523.2999854879999</v>
      </c>
      <c r="C64" s="8">
        <f>B64/B$102</f>
        <v/>
      </c>
      <c r="E64" s="9" t="n">
        <v>53</v>
      </c>
      <c r="F64" s="9" t="n">
        <v>49.98463061873714</v>
      </c>
      <c r="G64" s="8">
        <f>F64/F$102</f>
        <v/>
      </c>
    </row>
    <row r="65">
      <c r="A65" t="n">
        <v>54</v>
      </c>
      <c r="B65" s="5" t="n">
        <v>1866.478794016</v>
      </c>
      <c r="C65" s="8">
        <f>B65/B$102</f>
        <v/>
      </c>
      <c r="E65" s="9" t="n">
        <v>54</v>
      </c>
      <c r="F65" s="9" t="n">
        <v>27.30132694184652</v>
      </c>
      <c r="G65" s="8">
        <f>F65/F$102</f>
        <v/>
      </c>
    </row>
    <row r="66">
      <c r="A66" t="n">
        <v>55</v>
      </c>
      <c r="B66" s="5" t="n">
        <v>0</v>
      </c>
      <c r="C66" s="8">
        <f>B66/B$102</f>
        <v/>
      </c>
      <c r="E66" s="9" t="n">
        <v>55</v>
      </c>
      <c r="F66" s="9" t="n">
        <v>31.1280635242031</v>
      </c>
      <c r="G66" s="8">
        <f>F66/F$102</f>
        <v/>
      </c>
    </row>
    <row r="67">
      <c r="A67" t="n">
        <v>56</v>
      </c>
      <c r="B67" s="5" t="n">
        <v>668.7115357709999</v>
      </c>
      <c r="C67" s="8">
        <f>B67/B$102</f>
        <v/>
      </c>
      <c r="E67" s="9" t="n">
        <v>56</v>
      </c>
      <c r="F67" s="9" t="n">
        <v>34.04672936040929</v>
      </c>
      <c r="G67" s="8">
        <f>F67/F$102</f>
        <v/>
      </c>
    </row>
    <row r="68">
      <c r="A68" t="n">
        <v>57</v>
      </c>
      <c r="B68" s="5" t="n">
        <v>569.501209051</v>
      </c>
      <c r="C68" s="8">
        <f>B68/B$102</f>
        <v/>
      </c>
      <c r="E68" s="9" t="n">
        <v>57</v>
      </c>
      <c r="F68" s="9" t="n">
        <v>8.949349593496015</v>
      </c>
      <c r="G68" s="8">
        <f>F68/F$102</f>
        <v/>
      </c>
    </row>
    <row r="69">
      <c r="A69" t="n">
        <v>58</v>
      </c>
      <c r="B69" s="5" t="n">
        <v>0</v>
      </c>
      <c r="C69" s="8">
        <f>B69/B$102</f>
        <v/>
      </c>
      <c r="E69" s="9" t="n">
        <v>58</v>
      </c>
      <c r="F69" s="9" t="n">
        <v>15.39967479674801</v>
      </c>
      <c r="G69" s="8">
        <f>F69/F$102</f>
        <v/>
      </c>
    </row>
    <row r="70">
      <c r="A70" t="n">
        <v>59</v>
      </c>
      <c r="B70" s="5" t="n">
        <v>224.682816265</v>
      </c>
      <c r="C70" s="8">
        <f>B70/B$102</f>
        <v/>
      </c>
      <c r="E70" s="9" t="n">
        <v>59</v>
      </c>
      <c r="F70" s="9" t="n">
        <v>17.63940677966104</v>
      </c>
      <c r="G70" s="8">
        <f>F70/F$102</f>
        <v/>
      </c>
    </row>
    <row r="71">
      <c r="A71" t="n">
        <v>60</v>
      </c>
      <c r="B71" s="5" t="n">
        <v>0</v>
      </c>
      <c r="C71" s="8">
        <f>B71/B$102</f>
        <v/>
      </c>
      <c r="E71" s="9" t="n">
        <v>60</v>
      </c>
      <c r="F71" s="9" t="n">
        <v>24.15</v>
      </c>
      <c r="G71" s="8">
        <f>F71/F$102</f>
        <v/>
      </c>
    </row>
    <row r="72">
      <c r="A72" t="n">
        <v>61</v>
      </c>
      <c r="B72" s="5" t="n">
        <v>0</v>
      </c>
      <c r="C72" s="8">
        <f>B72/B$102</f>
        <v/>
      </c>
      <c r="E72" s="9" t="n">
        <v>61</v>
      </c>
      <c r="F72" s="9" t="n">
        <v>14.95</v>
      </c>
      <c r="G72" s="8">
        <f>F72/F$102</f>
        <v/>
      </c>
    </row>
    <row r="73">
      <c r="A73" t="n">
        <v>62</v>
      </c>
      <c r="B73" s="5" t="n">
        <v>0</v>
      </c>
      <c r="C73" s="8">
        <f>B73/B$102</f>
        <v/>
      </c>
      <c r="E73" s="9" t="n">
        <v>62</v>
      </c>
      <c r="F73" s="9" t="n">
        <v>4.658817829457438</v>
      </c>
      <c r="G73" s="8">
        <f>F73/F$102</f>
        <v/>
      </c>
    </row>
    <row r="74">
      <c r="A74" t="n">
        <v>63</v>
      </c>
      <c r="B74" s="5" t="n">
        <v>0</v>
      </c>
      <c r="C74" s="8">
        <f>B74/B$102</f>
        <v/>
      </c>
      <c r="E74" s="9" t="n">
        <v>63</v>
      </c>
      <c r="F74" s="9" t="n">
        <v>10.35</v>
      </c>
      <c r="G74" s="8">
        <f>F74/F$102</f>
        <v/>
      </c>
    </row>
    <row r="75">
      <c r="A75" t="n">
        <v>64</v>
      </c>
      <c r="B75" s="5" t="n">
        <v>0</v>
      </c>
      <c r="C75" s="8">
        <f>B75/B$102</f>
        <v/>
      </c>
      <c r="E75" s="9" t="n">
        <v>64</v>
      </c>
      <c r="F75" s="9" t="n">
        <v>3.594923670387045</v>
      </c>
      <c r="G75" s="8">
        <f>F75/F$102</f>
        <v/>
      </c>
    </row>
    <row r="76">
      <c r="A76" t="n">
        <v>65</v>
      </c>
      <c r="B76" s="5" t="n">
        <v>0</v>
      </c>
      <c r="C76" s="8">
        <f>B76/B$102</f>
        <v/>
      </c>
      <c r="E76" s="9" t="n">
        <v>65</v>
      </c>
      <c r="F76" s="9" t="n">
        <v>6.899999999999999</v>
      </c>
      <c r="G76" s="8">
        <f>F76/F$102</f>
        <v/>
      </c>
    </row>
    <row r="77">
      <c r="A77" t="n">
        <v>66</v>
      </c>
      <c r="B77" s="5" t="n">
        <v>0</v>
      </c>
      <c r="C77" s="8">
        <f>B77/B$102</f>
        <v/>
      </c>
      <c r="E77" s="9" t="n">
        <v>66</v>
      </c>
      <c r="F77" s="9" t="n">
        <v>4.6</v>
      </c>
      <c r="G77" s="8">
        <f>F77/F$102</f>
        <v/>
      </c>
    </row>
    <row r="78">
      <c r="A78" t="n">
        <v>67</v>
      </c>
      <c r="B78" s="5" t="n">
        <v>0</v>
      </c>
      <c r="C78" s="8">
        <f>B78/B$102</f>
        <v/>
      </c>
      <c r="E78" s="9" t="n">
        <v>67</v>
      </c>
      <c r="F78" s="9" t="n">
        <v>5.75</v>
      </c>
      <c r="G78" s="8">
        <f>F78/F$102</f>
        <v/>
      </c>
    </row>
    <row r="79">
      <c r="A79" t="n">
        <v>68</v>
      </c>
      <c r="B79" s="5" t="n">
        <v>0</v>
      </c>
      <c r="C79" s="8">
        <f>B79/B$102</f>
        <v/>
      </c>
      <c r="E79" s="9" t="n">
        <v>68</v>
      </c>
      <c r="F79" s="9" t="n">
        <v>8.049999999999999</v>
      </c>
      <c r="G79" s="8">
        <f>F79/F$102</f>
        <v/>
      </c>
    </row>
    <row r="80">
      <c r="A80" t="n">
        <v>69</v>
      </c>
      <c r="B80" s="5" t="n">
        <v>0</v>
      </c>
      <c r="C80" s="8">
        <f>B80/B$102</f>
        <v/>
      </c>
      <c r="E80" s="9" t="n">
        <v>69</v>
      </c>
      <c r="F80" s="9" t="n">
        <v>2.676736582356582</v>
      </c>
      <c r="G80" s="8">
        <f>F80/F$102</f>
        <v/>
      </c>
    </row>
    <row r="81">
      <c r="A81" t="n">
        <v>70</v>
      </c>
      <c r="B81" s="5" t="n">
        <v>0</v>
      </c>
      <c r="C81" s="8">
        <f>B81/B$102</f>
        <v/>
      </c>
      <c r="E81" s="9" t="n">
        <v>70</v>
      </c>
      <c r="F81" s="9" t="n">
        <v>2.725031166518327</v>
      </c>
      <c r="G81" s="8">
        <f>F81/F$102</f>
        <v/>
      </c>
    </row>
    <row r="82">
      <c r="A82" t="n">
        <v>71</v>
      </c>
      <c r="B82" s="5" t="n">
        <v>0</v>
      </c>
      <c r="C82" s="8">
        <f>B82/B$102</f>
        <v/>
      </c>
      <c r="E82" s="9" t="n">
        <v>71</v>
      </c>
      <c r="F82" s="9" t="n">
        <v>2.3</v>
      </c>
      <c r="G82" s="8">
        <f>F82/F$102</f>
        <v/>
      </c>
    </row>
    <row r="83">
      <c r="A83" t="n">
        <v>72</v>
      </c>
      <c r="B83" s="5" t="n">
        <v>0</v>
      </c>
      <c r="C83" s="8">
        <f>B83/B$102</f>
        <v/>
      </c>
      <c r="E83" s="9" t="n">
        <v>72</v>
      </c>
      <c r="F83" s="9" t="n">
        <v>3.45</v>
      </c>
      <c r="G83" s="8">
        <f>F83/F$102</f>
        <v/>
      </c>
    </row>
    <row r="84">
      <c r="A84" t="n">
        <v>73</v>
      </c>
      <c r="B84" s="5" t="n">
        <v>0</v>
      </c>
      <c r="C84" s="8">
        <f>B84/B$102</f>
        <v/>
      </c>
      <c r="E84" s="9" t="n">
        <v>73</v>
      </c>
      <c r="F84" s="9" t="n">
        <v>3.45</v>
      </c>
      <c r="G84" s="8">
        <f>F84/F$102</f>
        <v/>
      </c>
    </row>
    <row r="85">
      <c r="A85" t="n">
        <v>74</v>
      </c>
      <c r="B85" s="5" t="n">
        <v>0</v>
      </c>
      <c r="C85" s="8">
        <f>B85/B$102</f>
        <v/>
      </c>
      <c r="E85" s="9" t="n">
        <v>74</v>
      </c>
      <c r="F85" s="9" t="n">
        <v>0</v>
      </c>
      <c r="G85" s="8">
        <f>F85/F$102</f>
        <v/>
      </c>
    </row>
    <row r="86">
      <c r="A86" t="n">
        <v>75</v>
      </c>
      <c r="B86" s="5" t="n">
        <v>0</v>
      </c>
      <c r="C86" s="8">
        <f>B86/B$102</f>
        <v/>
      </c>
      <c r="E86" s="9" t="n">
        <v>75</v>
      </c>
      <c r="F86" s="9" t="n">
        <v>0</v>
      </c>
      <c r="G86" s="8">
        <f>F86/F$102</f>
        <v/>
      </c>
    </row>
    <row r="87">
      <c r="A87" t="n">
        <v>76</v>
      </c>
      <c r="B87" s="5" t="n">
        <v>0</v>
      </c>
      <c r="C87" s="8">
        <f>B87/B$102</f>
        <v/>
      </c>
      <c r="E87" s="9" t="n">
        <v>76</v>
      </c>
      <c r="F87" s="9" t="n">
        <v>0</v>
      </c>
      <c r="G87" s="8">
        <f>F87/F$102</f>
        <v/>
      </c>
    </row>
    <row r="88">
      <c r="A88" t="n">
        <v>77</v>
      </c>
      <c r="B88" s="5" t="n">
        <v>0</v>
      </c>
      <c r="C88" s="8">
        <f>B88/B$102</f>
        <v/>
      </c>
      <c r="E88" s="9" t="n">
        <v>77</v>
      </c>
      <c r="F88" s="9" t="n">
        <v>0</v>
      </c>
      <c r="G88" s="8">
        <f>F88/F$102</f>
        <v/>
      </c>
    </row>
    <row r="89">
      <c r="A89" t="n">
        <v>78</v>
      </c>
      <c r="B89" s="5" t="n">
        <v>0</v>
      </c>
      <c r="C89" s="8">
        <f>B89/B$102</f>
        <v/>
      </c>
      <c r="E89" s="9" t="n">
        <v>78</v>
      </c>
      <c r="F89" s="9" t="n">
        <v>1.15</v>
      </c>
      <c r="G89" s="8">
        <f>F89/F$102</f>
        <v/>
      </c>
    </row>
    <row r="90">
      <c r="A90" t="n">
        <v>79</v>
      </c>
      <c r="B90" s="5" t="n">
        <v>0</v>
      </c>
      <c r="C90" s="8">
        <f>B90/B$102</f>
        <v/>
      </c>
      <c r="E90" s="9" t="n">
        <v>79</v>
      </c>
      <c r="F90" s="9" t="n">
        <v>0</v>
      </c>
      <c r="G90" s="8">
        <f>F90/F$102</f>
        <v/>
      </c>
    </row>
    <row r="91">
      <c r="A91" t="n">
        <v>80</v>
      </c>
      <c r="B91" s="5" t="n">
        <v>0</v>
      </c>
      <c r="C91" s="8">
        <f>B91/B$102</f>
        <v/>
      </c>
      <c r="E91" s="9" t="n">
        <v>80</v>
      </c>
      <c r="F91" s="9" t="n">
        <v>1.15</v>
      </c>
      <c r="G91" s="8">
        <f>F91/F$102</f>
        <v/>
      </c>
    </row>
    <row r="92">
      <c r="A92" t="n">
        <v>81</v>
      </c>
      <c r="B92" s="5" t="n">
        <v>0</v>
      </c>
      <c r="C92" s="8">
        <f>B92/B$102</f>
        <v/>
      </c>
      <c r="E92" s="9" t="n">
        <v>81</v>
      </c>
      <c r="F92" s="9" t="n">
        <v>0</v>
      </c>
      <c r="G92" s="8">
        <f>F92/F$102</f>
        <v/>
      </c>
    </row>
    <row r="93">
      <c r="A93" t="n">
        <v>82</v>
      </c>
      <c r="B93" s="5" t="n">
        <v>0</v>
      </c>
      <c r="C93" s="8">
        <f>B93/B$102</f>
        <v/>
      </c>
      <c r="E93" s="9" t="n">
        <v>82</v>
      </c>
      <c r="F93" s="9" t="n">
        <v>0</v>
      </c>
      <c r="G93" s="8">
        <f>F93/F$102</f>
        <v/>
      </c>
    </row>
    <row r="94">
      <c r="A94" t="n">
        <v>83</v>
      </c>
      <c r="B94" s="5" t="n">
        <v>0</v>
      </c>
      <c r="C94" s="8">
        <f>B94/B$102</f>
        <v/>
      </c>
      <c r="E94" s="9" t="n">
        <v>83</v>
      </c>
      <c r="F94" s="9" t="n">
        <v>1.15</v>
      </c>
      <c r="G94" s="8">
        <f>F94/F$102</f>
        <v/>
      </c>
    </row>
    <row r="95">
      <c r="A95" t="n">
        <v>84</v>
      </c>
      <c r="B95" s="5" t="n">
        <v>0</v>
      </c>
      <c r="C95" s="8">
        <f>B95/B$102</f>
        <v/>
      </c>
      <c r="E95" s="9" t="n">
        <v>84</v>
      </c>
      <c r="F95" s="9" t="n">
        <v>0</v>
      </c>
      <c r="G95" s="8">
        <f>F95/F$102</f>
        <v/>
      </c>
    </row>
    <row r="96">
      <c r="A96" t="n">
        <v>85</v>
      </c>
      <c r="B96" s="5" t="n">
        <v>0</v>
      </c>
      <c r="C96" s="8">
        <f>B96/B$102</f>
        <v/>
      </c>
      <c r="E96" s="9" t="n">
        <v>85</v>
      </c>
      <c r="F96" s="9" t="n">
        <v>1.15</v>
      </c>
      <c r="G96" s="8">
        <f>F96/F$102</f>
        <v/>
      </c>
    </row>
    <row r="97">
      <c r="A97" t="n">
        <v>86</v>
      </c>
      <c r="B97" s="5" t="n">
        <v>0</v>
      </c>
      <c r="C97" s="8">
        <f>B97/B$102</f>
        <v/>
      </c>
      <c r="E97" s="9" t="n">
        <v>86</v>
      </c>
      <c r="F97" s="9" t="n">
        <v>0</v>
      </c>
      <c r="G97" s="8">
        <f>F97/F$102</f>
        <v/>
      </c>
    </row>
    <row r="98">
      <c r="A98" t="n">
        <v>87</v>
      </c>
      <c r="B98" s="5" t="n">
        <v>0</v>
      </c>
      <c r="C98" s="8">
        <f>B98/B$102</f>
        <v/>
      </c>
      <c r="E98" s="9" t="n">
        <v>87</v>
      </c>
      <c r="F98" s="9" t="n">
        <v>0</v>
      </c>
      <c r="G98" s="8">
        <f>F98/F$102</f>
        <v/>
      </c>
    </row>
    <row r="99">
      <c r="A99" t="n">
        <v>88</v>
      </c>
      <c r="B99" s="5" t="n">
        <v>0</v>
      </c>
      <c r="C99" s="8">
        <f>B99/B$102</f>
        <v/>
      </c>
      <c r="E99" s="9" t="n">
        <v>88</v>
      </c>
      <c r="F99" s="9" t="n">
        <v>0</v>
      </c>
      <c r="G99" s="8">
        <f>F99/F$102</f>
        <v/>
      </c>
    </row>
    <row r="100">
      <c r="A100" t="n">
        <v>89</v>
      </c>
      <c r="B100" s="5" t="n">
        <v>598.2158718779999</v>
      </c>
      <c r="C100" s="8">
        <f>B100/B$102</f>
        <v/>
      </c>
      <c r="E100" s="9" t="n">
        <v>89</v>
      </c>
      <c r="F100" s="9" t="n">
        <v>0</v>
      </c>
      <c r="G100" s="8">
        <f>F100/F$102</f>
        <v/>
      </c>
    </row>
    <row r="101" ht="15.75" customHeight="1" thickBot="1">
      <c r="A101" s="1" t="n">
        <v>90</v>
      </c>
      <c r="B101" s="6" t="n">
        <v>242.68014145</v>
      </c>
      <c r="C101" s="8">
        <f>B101/B$102</f>
        <v/>
      </c>
      <c r="E101" s="10" t="n">
        <v>90</v>
      </c>
      <c r="F101" s="10" t="n">
        <v>0</v>
      </c>
      <c r="G101" s="8">
        <f>F101/F$102</f>
        <v/>
      </c>
    </row>
    <row r="102">
      <c r="B102" s="5">
        <f>SUM(B11:B101)</f>
        <v/>
      </c>
      <c r="C102" s="8">
        <f>B102/B$102</f>
        <v/>
      </c>
      <c r="F102" s="5">
        <f>SUM(F11:F101)</f>
        <v/>
      </c>
      <c r="G102" s="8">
        <f>F102/F$102</f>
        <v/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L102"/>
  <sheetViews>
    <sheetView workbookViewId="0">
      <selection activeCell="A6" sqref="A6"/>
    </sheetView>
  </sheetViews>
  <sheetFormatPr baseColWidth="8" defaultRowHeight="15"/>
  <cols>
    <col collapsed="1" width="9.5703125" bestFit="1" customWidth="1" min="2" max="2"/>
  </cols>
  <sheetData>
    <row r="1">
      <c r="A1" t="inlineStr">
        <is>
          <t>Trip Duration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duration (in minutes) based on joining AM peak SOV skim values to HH survey</t>
        </is>
      </c>
    </row>
    <row r="4">
      <c r="A4" t="inlineStr">
        <is>
          <t>Frequency of trips by 1-minute increment</t>
        </is>
      </c>
    </row>
    <row r="5">
      <c r="A5" t="inlineStr">
        <is>
          <t>Distance values reflect low end of each range (ie. 0 refers to 0-1 minutes)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thickBot="1">
      <c r="A9" s="3" t="inlineStr">
        <is>
          <t>Table X. Observed Trip Durations: Survey</t>
        </is>
      </c>
      <c r="B9" s="1" t="n"/>
      <c r="E9" s="3" t="inlineStr">
        <is>
          <t>Table X. Estimated Trip Durations</t>
        </is>
      </c>
      <c r="F9" s="1" t="n"/>
      <c r="J9" s="7" t="inlineStr">
        <is>
          <t>Table X. Average Trip Duration</t>
        </is>
      </c>
    </row>
    <row r="10">
      <c r="A10" s="2" t="inlineStr">
        <is>
          <t>Time (min)</t>
        </is>
      </c>
      <c r="B10" s="4" t="inlineStr">
        <is>
          <t>Total</t>
        </is>
      </c>
      <c r="C10" s="4" t="inlineStr">
        <is>
          <t>Survey</t>
        </is>
      </c>
      <c r="E10" s="2" t="inlineStr">
        <is>
          <t>Time (min)</t>
        </is>
      </c>
      <c r="F10" s="4" t="inlineStr">
        <is>
          <t>Total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5" t="n">
        <v>1928.253894652</v>
      </c>
      <c r="C11" s="8">
        <f>B11/B$102</f>
        <v/>
      </c>
      <c r="E11" s="9" t="n">
        <v>0</v>
      </c>
      <c r="F11" s="9" t="n">
        <v>28480.51640694006</v>
      </c>
      <c r="G11" s="8">
        <f>F11/F$102</f>
        <v/>
      </c>
      <c r="K11" s="5" t="n">
        <v>26.42033049655191</v>
      </c>
      <c r="L11" s="5" t="n">
        <v>20.084020523584</v>
      </c>
    </row>
    <row r="12">
      <c r="A12" t="n">
        <v>1</v>
      </c>
      <c r="B12" s="5" t="n">
        <v>1838.9710621157</v>
      </c>
      <c r="C12" s="8">
        <f>B12/B$102</f>
        <v/>
      </c>
      <c r="E12" s="9" t="n">
        <v>1</v>
      </c>
      <c r="F12" s="9" t="n">
        <v>65904.97620683769</v>
      </c>
      <c r="G12" s="8">
        <f>F12/F$102</f>
        <v/>
      </c>
      <c r="K12" s="5" t="n"/>
      <c r="L12" s="9" t="n"/>
    </row>
    <row r="13">
      <c r="A13" t="n">
        <v>2</v>
      </c>
      <c r="B13" s="5" t="n">
        <v>7623.5141350644</v>
      </c>
      <c r="C13" s="8">
        <f>B13/B$102</f>
        <v/>
      </c>
      <c r="E13" s="9" t="n">
        <v>2</v>
      </c>
      <c r="F13" s="9" t="n">
        <v>68537.02390820379</v>
      </c>
      <c r="G13" s="8">
        <f>F13/F$102</f>
        <v/>
      </c>
    </row>
    <row r="14">
      <c r="A14" t="n">
        <v>3</v>
      </c>
      <c r="B14" s="5" t="n">
        <v>18870.8449381437</v>
      </c>
      <c r="C14" s="8">
        <f>B14/B$102</f>
        <v/>
      </c>
      <c r="E14" s="9" t="n">
        <v>3</v>
      </c>
      <c r="F14" s="9" t="n">
        <v>72072.78869614533</v>
      </c>
      <c r="G14" s="8">
        <f>F14/F$102</f>
        <v/>
      </c>
    </row>
    <row r="15">
      <c r="A15" t="n">
        <v>4</v>
      </c>
      <c r="B15" s="5" t="n">
        <v>25029.602429171</v>
      </c>
      <c r="C15" s="8">
        <f>B15/B$102</f>
        <v/>
      </c>
      <c r="E15" s="9" t="n">
        <v>4</v>
      </c>
      <c r="F15" s="9" t="n">
        <v>74697.59700243163</v>
      </c>
      <c r="G15" s="8">
        <f>F15/F$102</f>
        <v/>
      </c>
    </row>
    <row r="16">
      <c r="A16" t="n">
        <v>5</v>
      </c>
      <c r="B16" s="5" t="n">
        <v>53986.3758109383</v>
      </c>
      <c r="C16" s="8">
        <f>B16/B$102</f>
        <v/>
      </c>
      <c r="E16" s="9" t="n">
        <v>5</v>
      </c>
      <c r="F16" s="9" t="n">
        <v>73054.70212564986</v>
      </c>
      <c r="G16" s="8">
        <f>F16/F$102</f>
        <v/>
      </c>
    </row>
    <row r="17">
      <c r="A17" t="n">
        <v>6</v>
      </c>
      <c r="B17" s="5" t="n">
        <v>24084.6150984608</v>
      </c>
      <c r="C17" s="8">
        <f>B17/B$102</f>
        <v/>
      </c>
      <c r="E17" s="9" t="n">
        <v>6</v>
      </c>
      <c r="F17" s="9" t="n">
        <v>68471.59058926237</v>
      </c>
      <c r="G17" s="8">
        <f>F17/F$102</f>
        <v/>
      </c>
    </row>
    <row r="18">
      <c r="A18" t="n">
        <v>7</v>
      </c>
      <c r="B18" s="5" t="n">
        <v>39960.7998382585</v>
      </c>
      <c r="C18" s="8">
        <f>B18/B$102</f>
        <v/>
      </c>
      <c r="E18" s="9" t="n">
        <v>7</v>
      </c>
      <c r="F18" s="9" t="n">
        <v>63132.36327527714</v>
      </c>
      <c r="G18" s="8">
        <f>F18/F$102</f>
        <v/>
      </c>
    </row>
    <row r="19">
      <c r="A19" t="n">
        <v>8</v>
      </c>
      <c r="B19" s="5" t="n">
        <v>16572.5700703421</v>
      </c>
      <c r="C19" s="8">
        <f>B19/B$102</f>
        <v/>
      </c>
      <c r="E19" s="9" t="n">
        <v>8</v>
      </c>
      <c r="F19" s="9" t="n">
        <v>56867.84872334867</v>
      </c>
      <c r="G19" s="8">
        <f>F19/F$102</f>
        <v/>
      </c>
    </row>
    <row r="20">
      <c r="A20" t="n">
        <v>9</v>
      </c>
      <c r="B20" s="5" t="n">
        <v>41901.0024359184</v>
      </c>
      <c r="C20" s="8">
        <f>B20/B$102</f>
        <v/>
      </c>
      <c r="E20" s="9" t="n">
        <v>9</v>
      </c>
      <c r="F20" s="9" t="n">
        <v>50411.80914769173</v>
      </c>
      <c r="G20" s="8">
        <f>F20/F$102</f>
        <v/>
      </c>
    </row>
    <row r="21">
      <c r="A21" t="n">
        <v>10</v>
      </c>
      <c r="B21" s="5" t="n">
        <v>14290.6902735547</v>
      </c>
      <c r="C21" s="8">
        <f>B21/B$102</f>
        <v/>
      </c>
      <c r="E21" s="9" t="n">
        <v>10</v>
      </c>
      <c r="F21" s="9" t="n">
        <v>46188.21957636087</v>
      </c>
      <c r="G21" s="8">
        <f>F21/F$102</f>
        <v/>
      </c>
    </row>
    <row r="22">
      <c r="A22" t="n">
        <v>11</v>
      </c>
      <c r="B22" s="5" t="n">
        <v>19308.9802986893</v>
      </c>
      <c r="C22" s="8">
        <f>B22/B$102</f>
        <v/>
      </c>
      <c r="E22" s="9" t="n">
        <v>11</v>
      </c>
      <c r="F22" s="9" t="n">
        <v>41370.96551609426</v>
      </c>
      <c r="G22" s="8">
        <f>F22/F$102</f>
        <v/>
      </c>
    </row>
    <row r="23">
      <c r="A23" t="n">
        <v>12</v>
      </c>
      <c r="B23" s="5" t="n">
        <v>43500.6364308009</v>
      </c>
      <c r="C23" s="8">
        <f>B23/B$102</f>
        <v/>
      </c>
      <c r="E23" s="9" t="n">
        <v>12</v>
      </c>
      <c r="F23" s="9" t="n">
        <v>37744.00956733074</v>
      </c>
      <c r="G23" s="8">
        <f>F23/F$102</f>
        <v/>
      </c>
    </row>
    <row r="24">
      <c r="A24" t="n">
        <v>13</v>
      </c>
      <c r="B24" s="5" t="n">
        <v>52407.6470557855</v>
      </c>
      <c r="C24" s="8">
        <f>B24/B$102</f>
        <v/>
      </c>
      <c r="E24" s="9" t="n">
        <v>13</v>
      </c>
      <c r="F24" s="9" t="n">
        <v>33475.50762665491</v>
      </c>
      <c r="G24" s="8">
        <f>F24/F$102</f>
        <v/>
      </c>
    </row>
    <row r="25">
      <c r="A25" t="n">
        <v>14</v>
      </c>
      <c r="B25" s="5" t="n">
        <v>27859.4381014104</v>
      </c>
      <c r="C25" s="8">
        <f>B25/B$102</f>
        <v/>
      </c>
      <c r="E25" s="9" t="n">
        <v>14</v>
      </c>
      <c r="F25" s="9" t="n">
        <v>28181.47892520251</v>
      </c>
      <c r="G25" s="8">
        <f>F25/F$102</f>
        <v/>
      </c>
    </row>
    <row r="26">
      <c r="A26" t="n">
        <v>15</v>
      </c>
      <c r="B26" s="5" t="n">
        <v>25657.6589039263</v>
      </c>
      <c r="C26" s="8">
        <f>B26/B$102</f>
        <v/>
      </c>
      <c r="E26" s="9" t="n">
        <v>15</v>
      </c>
      <c r="F26" s="9" t="n">
        <v>26955.17543034904</v>
      </c>
      <c r="G26" s="8">
        <f>F26/F$102</f>
        <v/>
      </c>
    </row>
    <row r="27">
      <c r="A27" t="n">
        <v>16</v>
      </c>
      <c r="B27" s="5" t="n">
        <v>82814.1721389969</v>
      </c>
      <c r="C27" s="8">
        <f>B27/B$102</f>
        <v/>
      </c>
      <c r="E27" s="9" t="n">
        <v>16</v>
      </c>
      <c r="F27" s="9" t="n">
        <v>23929.29617075236</v>
      </c>
      <c r="G27" s="8">
        <f>F27/F$102</f>
        <v/>
      </c>
    </row>
    <row r="28">
      <c r="A28" t="n">
        <v>17</v>
      </c>
      <c r="B28" s="5" t="n">
        <v>59076.6278002357</v>
      </c>
      <c r="C28" s="8">
        <f>B28/B$102</f>
        <v/>
      </c>
      <c r="E28" s="9" t="n">
        <v>17</v>
      </c>
      <c r="F28" s="9" t="n">
        <v>20901.99874175437</v>
      </c>
      <c r="G28" s="8">
        <f>F28/F$102</f>
        <v/>
      </c>
    </row>
    <row r="29">
      <c r="A29" t="n">
        <v>18</v>
      </c>
      <c r="B29" s="5" t="n">
        <v>181156.8419824206</v>
      </c>
      <c r="C29" s="8">
        <f>B29/B$102</f>
        <v/>
      </c>
      <c r="E29" s="9" t="n">
        <v>18</v>
      </c>
      <c r="F29" s="9" t="n">
        <v>168395.1837788459</v>
      </c>
      <c r="G29" s="8">
        <f>F29/F$102</f>
        <v/>
      </c>
    </row>
    <row r="30">
      <c r="A30" t="n">
        <v>19</v>
      </c>
      <c r="B30" s="5" t="n">
        <v>90493.5241566084</v>
      </c>
      <c r="C30" s="8">
        <f>B30/B$102</f>
        <v/>
      </c>
      <c r="E30" s="9" t="n">
        <v>19</v>
      </c>
      <c r="F30" s="9" t="n">
        <v>63804.90506832262</v>
      </c>
      <c r="G30" s="8">
        <f>F30/F$102</f>
        <v/>
      </c>
    </row>
    <row r="31">
      <c r="A31" t="n">
        <v>20</v>
      </c>
      <c r="B31" s="5" t="n">
        <v>146330.0457686585</v>
      </c>
      <c r="C31" s="8">
        <f>B31/B$102</f>
        <v/>
      </c>
      <c r="E31" s="9" t="n">
        <v>20</v>
      </c>
      <c r="F31" s="9" t="n">
        <v>53991.20449688066</v>
      </c>
      <c r="G31" s="8">
        <f>F31/F$102</f>
        <v/>
      </c>
    </row>
    <row r="32">
      <c r="A32" t="n">
        <v>21</v>
      </c>
      <c r="B32" s="5" t="n">
        <v>133058.1272911626</v>
      </c>
      <c r="C32" s="8">
        <f>B32/B$102</f>
        <v/>
      </c>
      <c r="E32" s="9" t="n">
        <v>21</v>
      </c>
      <c r="F32" s="9" t="n">
        <v>72851.51792791572</v>
      </c>
      <c r="G32" s="8">
        <f>F32/F$102</f>
        <v/>
      </c>
    </row>
    <row r="33">
      <c r="A33" t="n">
        <v>22</v>
      </c>
      <c r="B33" s="5" t="n">
        <v>83422.5215521091</v>
      </c>
      <c r="C33" s="8">
        <f>B33/B$102</f>
        <v/>
      </c>
      <c r="E33" s="9" t="n">
        <v>22</v>
      </c>
      <c r="F33" s="9" t="n">
        <v>71069.33399400047</v>
      </c>
      <c r="G33" s="8">
        <f>F33/F$102</f>
        <v/>
      </c>
    </row>
    <row r="34">
      <c r="A34" t="n">
        <v>23</v>
      </c>
      <c r="B34" s="5" t="n">
        <v>64787.7067685242</v>
      </c>
      <c r="C34" s="8">
        <f>B34/B$102</f>
        <v/>
      </c>
      <c r="E34" s="9" t="n">
        <v>23</v>
      </c>
      <c r="F34" s="9" t="n">
        <v>57398.7701450016</v>
      </c>
      <c r="G34" s="8">
        <f>F34/F$102</f>
        <v/>
      </c>
    </row>
    <row r="35">
      <c r="A35" t="n">
        <v>24</v>
      </c>
      <c r="B35" s="5" t="n">
        <v>78852.7448294897</v>
      </c>
      <c r="C35" s="8">
        <f>B35/B$102</f>
        <v/>
      </c>
      <c r="E35" s="9" t="n">
        <v>24</v>
      </c>
      <c r="F35" s="9" t="n">
        <v>46335.25021753826</v>
      </c>
      <c r="G35" s="8">
        <f>F35/F$102</f>
        <v/>
      </c>
    </row>
    <row r="36">
      <c r="A36" t="n">
        <v>25</v>
      </c>
      <c r="B36" s="5" t="n">
        <v>31363.9415121713</v>
      </c>
      <c r="C36" s="8">
        <f>B36/B$102</f>
        <v/>
      </c>
      <c r="E36" s="9" t="n">
        <v>25</v>
      </c>
      <c r="F36" s="9" t="n">
        <v>40443.04406706915</v>
      </c>
      <c r="G36" s="8">
        <f>F36/F$102</f>
        <v/>
      </c>
    </row>
    <row r="37">
      <c r="A37" t="n">
        <v>26</v>
      </c>
      <c r="B37" s="5" t="n">
        <v>121371.7756253273</v>
      </c>
      <c r="C37" s="8">
        <f>B37/B$102</f>
        <v/>
      </c>
      <c r="E37" s="9" t="n">
        <v>26</v>
      </c>
      <c r="F37" s="9" t="n">
        <v>38751.62556841019</v>
      </c>
      <c r="G37" s="8">
        <f>F37/F$102</f>
        <v/>
      </c>
    </row>
    <row r="38">
      <c r="A38" t="n">
        <v>27</v>
      </c>
      <c r="B38" s="5" t="n">
        <v>17466.8171904011</v>
      </c>
      <c r="C38" s="8">
        <f>B38/B$102</f>
        <v/>
      </c>
      <c r="E38" s="9" t="n">
        <v>27</v>
      </c>
      <c r="F38" s="9" t="n">
        <v>29466.138006948</v>
      </c>
      <c r="G38" s="8">
        <f>F38/F$102</f>
        <v/>
      </c>
    </row>
    <row r="39">
      <c r="A39" t="n">
        <v>28</v>
      </c>
      <c r="B39" s="5" t="n">
        <v>35901.7130316506</v>
      </c>
      <c r="C39" s="8">
        <f>B39/B$102</f>
        <v/>
      </c>
      <c r="E39" s="9" t="n">
        <v>28</v>
      </c>
      <c r="F39" s="9" t="n">
        <v>28823.90880476734</v>
      </c>
      <c r="G39" s="8">
        <f>F39/F$102</f>
        <v/>
      </c>
    </row>
    <row r="40">
      <c r="A40" t="n">
        <v>29</v>
      </c>
      <c r="B40" s="5" t="n">
        <v>18995.8431028642</v>
      </c>
      <c r="C40" s="8">
        <f>B40/B$102</f>
        <v/>
      </c>
      <c r="E40" s="9" t="n">
        <v>29</v>
      </c>
      <c r="F40" s="9" t="n">
        <v>38265.41852756575</v>
      </c>
      <c r="G40" s="8">
        <f>F40/F$102</f>
        <v/>
      </c>
    </row>
    <row r="41">
      <c r="A41" t="n">
        <v>30</v>
      </c>
      <c r="B41" s="5" t="n">
        <v>19495.6622964483</v>
      </c>
      <c r="C41" s="8">
        <f>B41/B$102</f>
        <v/>
      </c>
      <c r="E41" s="9" t="n">
        <v>30</v>
      </c>
      <c r="F41" s="9" t="n">
        <v>26034.11526718836</v>
      </c>
      <c r="G41" s="8">
        <f>F41/F$102</f>
        <v/>
      </c>
    </row>
    <row r="42">
      <c r="A42" t="n">
        <v>31</v>
      </c>
      <c r="B42" s="5" t="n">
        <v>11200.6386329483</v>
      </c>
      <c r="C42" s="8">
        <f>B42/B$102</f>
        <v/>
      </c>
      <c r="E42" s="9" t="n">
        <v>31</v>
      </c>
      <c r="F42" s="9" t="n">
        <v>24625.37188281798</v>
      </c>
      <c r="G42" s="8">
        <f>F42/F$102</f>
        <v/>
      </c>
    </row>
    <row r="43">
      <c r="A43" t="n">
        <v>32</v>
      </c>
      <c r="B43" s="5" t="n">
        <v>26368.5448227949</v>
      </c>
      <c r="C43" s="8">
        <f>B43/B$102</f>
        <v/>
      </c>
      <c r="E43" s="9" t="n">
        <v>32</v>
      </c>
      <c r="F43" s="9" t="n">
        <v>18069.82100283268</v>
      </c>
      <c r="G43" s="8">
        <f>F43/F$102</f>
        <v/>
      </c>
    </row>
    <row r="44">
      <c r="A44" t="n">
        <v>33</v>
      </c>
      <c r="B44" s="5" t="n">
        <v>11368.8734499698</v>
      </c>
      <c r="C44" s="8">
        <f>B44/B$102</f>
        <v/>
      </c>
      <c r="E44" s="9" t="n">
        <v>33</v>
      </c>
      <c r="F44" s="9" t="n">
        <v>26462.51137233329</v>
      </c>
      <c r="G44" s="8">
        <f>F44/F$102</f>
        <v/>
      </c>
    </row>
    <row r="45">
      <c r="A45" t="n">
        <v>34</v>
      </c>
      <c r="B45" s="5" t="n">
        <v>23643.2902777245</v>
      </c>
      <c r="C45" s="8">
        <f>B45/B$102</f>
        <v/>
      </c>
      <c r="E45" s="9" t="n">
        <v>34</v>
      </c>
      <c r="F45" s="9" t="n">
        <v>28139.84128769765</v>
      </c>
      <c r="G45" s="8">
        <f>F45/F$102</f>
        <v/>
      </c>
    </row>
    <row r="46">
      <c r="A46" t="n">
        <v>35</v>
      </c>
      <c r="B46" s="5" t="n">
        <v>17759.4390997597</v>
      </c>
      <c r="C46" s="8">
        <f>B46/B$102</f>
        <v/>
      </c>
      <c r="E46" s="9" t="n">
        <v>35</v>
      </c>
      <c r="F46" s="9" t="n">
        <v>18336.54585106499</v>
      </c>
      <c r="G46" s="8">
        <f>F46/F$102</f>
        <v/>
      </c>
    </row>
    <row r="47">
      <c r="A47" t="n">
        <v>36</v>
      </c>
      <c r="B47" s="5" t="n">
        <v>8793.5905390019</v>
      </c>
      <c r="C47" s="8">
        <f>B47/B$102</f>
        <v/>
      </c>
      <c r="E47" s="9" t="n">
        <v>36</v>
      </c>
      <c r="F47" s="9" t="n">
        <v>12109.69588135957</v>
      </c>
      <c r="G47" s="8">
        <f>F47/F$102</f>
        <v/>
      </c>
    </row>
    <row r="48">
      <c r="A48" t="n">
        <v>37</v>
      </c>
      <c r="B48" s="5" t="n">
        <v>26363.6880420618</v>
      </c>
      <c r="C48" s="8">
        <f>B48/B$102</f>
        <v/>
      </c>
      <c r="E48" s="9" t="n">
        <v>37</v>
      </c>
      <c r="F48" s="9" t="n">
        <v>12749.47459997097</v>
      </c>
      <c r="G48" s="8">
        <f>F48/F$102</f>
        <v/>
      </c>
    </row>
    <row r="49">
      <c r="A49" t="n">
        <v>38</v>
      </c>
      <c r="B49" s="5" t="n">
        <v>17597.9342190206</v>
      </c>
      <c r="C49" s="8">
        <f>B49/B$102</f>
        <v/>
      </c>
      <c r="E49" s="9" t="n">
        <v>38</v>
      </c>
      <c r="F49" s="9" t="n">
        <v>13439.4811032479</v>
      </c>
      <c r="G49" s="8">
        <f>F49/F$102</f>
        <v/>
      </c>
    </row>
    <row r="50">
      <c r="A50" t="n">
        <v>39</v>
      </c>
      <c r="B50" s="5" t="n">
        <v>3866.5482941869</v>
      </c>
      <c r="C50" s="8">
        <f>B50/B$102</f>
        <v/>
      </c>
      <c r="E50" s="9" t="n">
        <v>39</v>
      </c>
      <c r="F50" s="9" t="n">
        <v>12433.70450691251</v>
      </c>
      <c r="G50" s="8">
        <f>F50/F$102</f>
        <v/>
      </c>
    </row>
    <row r="51">
      <c r="A51" t="n">
        <v>40</v>
      </c>
      <c r="B51" s="5" t="n">
        <v>6005.4311671088</v>
      </c>
      <c r="C51" s="8">
        <f>B51/B$102</f>
        <v/>
      </c>
      <c r="E51" s="9" t="n">
        <v>40</v>
      </c>
      <c r="F51" s="9" t="n">
        <v>12071.06542224028</v>
      </c>
      <c r="G51" s="8">
        <f>F51/F$102</f>
        <v/>
      </c>
    </row>
    <row r="52">
      <c r="A52" t="n">
        <v>41</v>
      </c>
      <c r="B52" s="5" t="n">
        <v>6949.9674741894</v>
      </c>
      <c r="C52" s="8">
        <f>B52/B$102</f>
        <v/>
      </c>
      <c r="E52" s="9" t="n">
        <v>41</v>
      </c>
      <c r="F52" s="9" t="n">
        <v>7220.490549006454</v>
      </c>
      <c r="G52" s="8">
        <f>F52/F$102</f>
        <v/>
      </c>
    </row>
    <row r="53">
      <c r="A53" t="n">
        <v>42</v>
      </c>
      <c r="B53" s="5" t="n">
        <v>2822.718397943</v>
      </c>
      <c r="C53" s="8">
        <f>B53/B$102</f>
        <v/>
      </c>
      <c r="E53" s="9" t="n">
        <v>42</v>
      </c>
      <c r="F53" s="9" t="n">
        <v>7836.625942869543</v>
      </c>
      <c r="G53" s="8">
        <f>F53/F$102</f>
        <v/>
      </c>
    </row>
    <row r="54">
      <c r="A54" t="n">
        <v>43</v>
      </c>
      <c r="B54" s="5" t="n">
        <v>2693.4751585069</v>
      </c>
      <c r="C54" s="8">
        <f>B54/B$102</f>
        <v/>
      </c>
      <c r="E54" s="9" t="n">
        <v>43</v>
      </c>
      <c r="F54" s="9" t="n">
        <v>6559.09623271591</v>
      </c>
      <c r="G54" s="8">
        <f>F54/F$102</f>
        <v/>
      </c>
    </row>
    <row r="55">
      <c r="A55" t="n">
        <v>44</v>
      </c>
      <c r="B55" s="5" t="n">
        <v>3335.7432707195</v>
      </c>
      <c r="C55" s="8">
        <f>B55/B$102</f>
        <v/>
      </c>
      <c r="E55" s="9" t="n">
        <v>44</v>
      </c>
      <c r="F55" s="9" t="n">
        <v>8917.553461354057</v>
      </c>
      <c r="G55" s="8">
        <f>F55/F$102</f>
        <v/>
      </c>
    </row>
    <row r="56">
      <c r="A56" t="n">
        <v>45</v>
      </c>
      <c r="B56" s="5" t="n">
        <v>100623.4744096711</v>
      </c>
      <c r="C56" s="8">
        <f>B56/B$102</f>
        <v/>
      </c>
      <c r="E56" s="9" t="n">
        <v>45</v>
      </c>
      <c r="F56" s="9" t="n">
        <v>6274.798198274749</v>
      </c>
      <c r="G56" s="8">
        <f>F56/F$102</f>
        <v/>
      </c>
    </row>
    <row r="57">
      <c r="A57" t="n">
        <v>46</v>
      </c>
      <c r="B57" s="5" t="n">
        <v>9429.771808621499</v>
      </c>
      <c r="C57" s="8">
        <f>B57/B$102</f>
        <v/>
      </c>
      <c r="E57" s="9" t="n">
        <v>46</v>
      </c>
      <c r="F57" s="9" t="n">
        <v>5861.471614949455</v>
      </c>
      <c r="G57" s="8">
        <f>F57/F$102</f>
        <v/>
      </c>
    </row>
    <row r="58">
      <c r="A58" t="n">
        <v>47</v>
      </c>
      <c r="B58" s="5" t="n">
        <v>2893.214614618</v>
      </c>
      <c r="C58" s="8">
        <f>B58/B$102</f>
        <v/>
      </c>
      <c r="E58" s="9" t="n">
        <v>47</v>
      </c>
      <c r="F58" s="9" t="n">
        <v>5439.077134666277</v>
      </c>
      <c r="G58" s="8">
        <f>F58/F$102</f>
        <v/>
      </c>
    </row>
    <row r="59">
      <c r="A59" t="n">
        <v>48</v>
      </c>
      <c r="B59" s="5" t="n">
        <v>1856.3849775777</v>
      </c>
      <c r="C59" s="8">
        <f>B59/B$102</f>
        <v/>
      </c>
      <c r="E59" s="9" t="n">
        <v>48</v>
      </c>
      <c r="F59" s="9" t="n">
        <v>5015.824317958761</v>
      </c>
      <c r="G59" s="8">
        <f>F59/F$102</f>
        <v/>
      </c>
    </row>
    <row r="60">
      <c r="A60" t="n">
        <v>49</v>
      </c>
      <c r="B60" s="5" t="n">
        <v>3974.9595683289</v>
      </c>
      <c r="C60" s="8">
        <f>B60/B$102</f>
        <v/>
      </c>
      <c r="E60" s="9" t="n">
        <v>49</v>
      </c>
      <c r="F60" s="9" t="n">
        <v>5675.054972427372</v>
      </c>
      <c r="G60" s="8">
        <f>F60/F$102</f>
        <v/>
      </c>
    </row>
    <row r="61">
      <c r="A61" t="n">
        <v>50</v>
      </c>
      <c r="B61" s="5" t="n">
        <v>1058.475504325</v>
      </c>
      <c r="C61" s="8">
        <f>B61/B$102</f>
        <v/>
      </c>
      <c r="E61" s="9" t="n">
        <v>50</v>
      </c>
      <c r="F61" s="9" t="n">
        <v>3080.915417616397</v>
      </c>
      <c r="G61" s="8">
        <f>F61/F$102</f>
        <v/>
      </c>
    </row>
    <row r="62">
      <c r="A62" t="n">
        <v>51</v>
      </c>
      <c r="B62" s="5" t="n">
        <v>814.0671532819</v>
      </c>
      <c r="C62" s="8">
        <f>B62/B$102</f>
        <v/>
      </c>
      <c r="E62" s="9" t="n">
        <v>51</v>
      </c>
      <c r="F62" s="9" t="n">
        <v>3803.059474490653</v>
      </c>
      <c r="G62" s="8">
        <f>F62/F$102</f>
        <v/>
      </c>
    </row>
    <row r="63">
      <c r="A63" t="n">
        <v>52</v>
      </c>
      <c r="B63" s="5" t="n">
        <v>12823.199834345</v>
      </c>
      <c r="C63" s="8">
        <f>B63/B$102</f>
        <v/>
      </c>
      <c r="E63" s="9" t="n">
        <v>52</v>
      </c>
      <c r="F63" s="9" t="n">
        <v>2932.263176261296</v>
      </c>
      <c r="G63" s="8">
        <f>F63/F$102</f>
        <v/>
      </c>
    </row>
    <row r="64">
      <c r="A64" t="n">
        <v>53</v>
      </c>
      <c r="B64" s="5" t="n">
        <v>1475.37451594</v>
      </c>
      <c r="C64" s="8">
        <f>B64/B$102</f>
        <v/>
      </c>
      <c r="E64" s="9" t="n">
        <v>53</v>
      </c>
      <c r="F64" s="9" t="n">
        <v>2721.181632922045</v>
      </c>
      <c r="G64" s="8">
        <f>F64/F$102</f>
        <v/>
      </c>
    </row>
    <row r="65">
      <c r="A65" t="n">
        <v>54</v>
      </c>
      <c r="B65" s="5" t="n">
        <v>5816.0031152033</v>
      </c>
      <c r="C65" s="8">
        <f>B65/B$102</f>
        <v/>
      </c>
      <c r="E65" s="9" t="n">
        <v>54</v>
      </c>
      <c r="F65" s="9" t="n">
        <v>2263.901501757304</v>
      </c>
      <c r="G65" s="8">
        <f>F65/F$102</f>
        <v/>
      </c>
    </row>
    <row r="66">
      <c r="A66" t="n">
        <v>55</v>
      </c>
      <c r="B66" s="5" t="n">
        <v>662.957073809</v>
      </c>
      <c r="C66" s="8">
        <f>B66/B$102</f>
        <v/>
      </c>
      <c r="E66" s="9" t="n">
        <v>55</v>
      </c>
      <c r="F66" s="9" t="n">
        <v>2369.188740490313</v>
      </c>
      <c r="G66" s="8">
        <f>F66/F$102</f>
        <v/>
      </c>
    </row>
    <row r="67">
      <c r="A67" t="n">
        <v>56</v>
      </c>
      <c r="B67" s="5" t="n">
        <v>106.37362877</v>
      </c>
      <c r="C67" s="8">
        <f>B67/B$102</f>
        <v/>
      </c>
      <c r="E67" s="9" t="n">
        <v>56</v>
      </c>
      <c r="F67" s="9" t="n">
        <v>2902.967004805877</v>
      </c>
      <c r="G67" s="8">
        <f>F67/F$102</f>
        <v/>
      </c>
    </row>
    <row r="68">
      <c r="A68" t="n">
        <v>57</v>
      </c>
      <c r="B68" s="5" t="n">
        <v>1576.926795032</v>
      </c>
      <c r="C68" s="8">
        <f>B68/B$102</f>
        <v/>
      </c>
      <c r="E68" s="9" t="n">
        <v>57</v>
      </c>
      <c r="F68" s="9" t="n">
        <v>1962.809867674886</v>
      </c>
      <c r="G68" s="8">
        <f>F68/F$102</f>
        <v/>
      </c>
    </row>
    <row r="69">
      <c r="A69" t="n">
        <v>58</v>
      </c>
      <c r="B69" s="5" t="n">
        <v>4885.84852718</v>
      </c>
      <c r="C69" s="8">
        <f>B69/B$102</f>
        <v/>
      </c>
      <c r="E69" s="9" t="n">
        <v>58</v>
      </c>
      <c r="F69" s="9" t="n">
        <v>3578.066358880652</v>
      </c>
      <c r="G69" s="8">
        <f>F69/F$102</f>
        <v/>
      </c>
    </row>
    <row r="70">
      <c r="A70" t="n">
        <v>59</v>
      </c>
      <c r="B70" s="5" t="n">
        <v>1504.4063101476</v>
      </c>
      <c r="C70" s="8">
        <f>B70/B$102</f>
        <v/>
      </c>
      <c r="E70" s="9" t="n">
        <v>59</v>
      </c>
      <c r="F70" s="9" t="n">
        <v>1852.668707821392</v>
      </c>
      <c r="G70" s="8">
        <f>F70/F$102</f>
        <v/>
      </c>
    </row>
    <row r="71">
      <c r="A71" t="n">
        <v>60</v>
      </c>
      <c r="B71" s="5" t="n">
        <v>6053.1094642147</v>
      </c>
      <c r="C71" s="8">
        <f>B71/B$102</f>
        <v/>
      </c>
      <c r="E71" s="9" t="n">
        <v>60</v>
      </c>
      <c r="F71" s="9" t="n">
        <v>1520.469200559125</v>
      </c>
      <c r="G71" s="8">
        <f>F71/F$102</f>
        <v/>
      </c>
    </row>
    <row r="72">
      <c r="A72" t="n">
        <v>61</v>
      </c>
      <c r="B72" s="5" t="n">
        <v>6516.230696508</v>
      </c>
      <c r="C72" s="8">
        <f>B72/B$102</f>
        <v/>
      </c>
      <c r="E72" s="9" t="n">
        <v>61</v>
      </c>
      <c r="F72" s="9" t="n">
        <v>1293.343631876406</v>
      </c>
      <c r="G72" s="8">
        <f>F72/F$102</f>
        <v/>
      </c>
    </row>
    <row r="73">
      <c r="A73" t="n">
        <v>62</v>
      </c>
      <c r="B73" s="5" t="n">
        <v>0</v>
      </c>
      <c r="C73" s="8">
        <f>B73/B$102</f>
        <v/>
      </c>
      <c r="E73" s="9" t="n">
        <v>62</v>
      </c>
      <c r="F73" s="9" t="n">
        <v>1423.109642659565</v>
      </c>
      <c r="G73" s="8">
        <f>F73/F$102</f>
        <v/>
      </c>
    </row>
    <row r="74">
      <c r="A74" t="n">
        <v>63</v>
      </c>
      <c r="B74" s="5" t="n">
        <v>0</v>
      </c>
      <c r="C74" s="8">
        <f>B74/B$102</f>
        <v/>
      </c>
      <c r="E74" s="9" t="n">
        <v>63</v>
      </c>
      <c r="F74" s="9" t="n">
        <v>1162.972585563617</v>
      </c>
      <c r="G74" s="8">
        <f>F74/F$102</f>
        <v/>
      </c>
    </row>
    <row r="75">
      <c r="A75" t="n">
        <v>64</v>
      </c>
      <c r="B75" s="5" t="n">
        <v>0</v>
      </c>
      <c r="C75" s="8">
        <f>B75/B$102</f>
        <v/>
      </c>
      <c r="E75" s="9" t="n">
        <v>64</v>
      </c>
      <c r="F75" s="9" t="n">
        <v>1147.265025215055</v>
      </c>
      <c r="G75" s="8">
        <f>F75/F$102</f>
        <v/>
      </c>
    </row>
    <row r="76">
      <c r="A76" t="n">
        <v>65</v>
      </c>
      <c r="B76" s="5" t="n">
        <v>6039.223909766</v>
      </c>
      <c r="C76" s="8">
        <f>B76/B$102</f>
        <v/>
      </c>
      <c r="E76" s="9" t="n">
        <v>65</v>
      </c>
      <c r="F76" s="9" t="n">
        <v>1049.928240744184</v>
      </c>
      <c r="G76" s="8">
        <f>F76/F$102</f>
        <v/>
      </c>
    </row>
    <row r="77">
      <c r="A77" t="n">
        <v>66</v>
      </c>
      <c r="B77" s="5" t="n">
        <v>1262.824399592</v>
      </c>
      <c r="C77" s="8">
        <f>B77/B$102</f>
        <v/>
      </c>
      <c r="E77" s="9" t="n">
        <v>66</v>
      </c>
      <c r="F77" s="9" t="n">
        <v>1059.934221272796</v>
      </c>
      <c r="G77" s="8">
        <f>F77/F$102</f>
        <v/>
      </c>
    </row>
    <row r="78">
      <c r="A78" t="n">
        <v>67</v>
      </c>
      <c r="B78" s="5" t="n">
        <v>2362.394573078</v>
      </c>
      <c r="C78" s="8">
        <f>B78/B$102</f>
        <v/>
      </c>
      <c r="E78" s="9" t="n">
        <v>67</v>
      </c>
      <c r="F78" s="9" t="n">
        <v>962.8085918261628</v>
      </c>
      <c r="G78" s="8">
        <f>F78/F$102</f>
        <v/>
      </c>
    </row>
    <row r="79">
      <c r="A79" t="n">
        <v>68</v>
      </c>
      <c r="B79" s="5" t="n">
        <v>385.518005105</v>
      </c>
      <c r="C79" s="8">
        <f>B79/B$102</f>
        <v/>
      </c>
      <c r="E79" s="9" t="n">
        <v>68</v>
      </c>
      <c r="F79" s="9" t="n">
        <v>1040.813263140978</v>
      </c>
      <c r="G79" s="8">
        <f>F79/F$102</f>
        <v/>
      </c>
    </row>
    <row r="80">
      <c r="A80" t="n">
        <v>69</v>
      </c>
      <c r="B80" s="5" t="n">
        <v>2700.8750317959</v>
      </c>
      <c r="C80" s="8">
        <f>B80/B$102</f>
        <v/>
      </c>
      <c r="E80" s="9" t="n">
        <v>69</v>
      </c>
      <c r="F80" s="9" t="n">
        <v>934.8868284675613</v>
      </c>
      <c r="G80" s="8">
        <f>F80/F$102</f>
        <v/>
      </c>
    </row>
    <row r="81">
      <c r="A81" t="n">
        <v>70</v>
      </c>
      <c r="B81" s="5" t="n">
        <v>3317.574433313</v>
      </c>
      <c r="C81" s="8">
        <f>B81/B$102</f>
        <v/>
      </c>
      <c r="E81" s="9" t="n">
        <v>70</v>
      </c>
      <c r="F81" s="9" t="n">
        <v>740.0803489472257</v>
      </c>
      <c r="G81" s="8">
        <f>F81/F$102</f>
        <v/>
      </c>
    </row>
    <row r="82">
      <c r="A82" t="n">
        <v>71</v>
      </c>
      <c r="B82" s="5" t="n">
        <v>0</v>
      </c>
      <c r="C82" s="8">
        <f>B82/B$102</f>
        <v/>
      </c>
      <c r="E82" s="9" t="n">
        <v>71</v>
      </c>
      <c r="F82" s="9" t="n">
        <v>725.6217605734349</v>
      </c>
      <c r="G82" s="8">
        <f>F82/F$102</f>
        <v/>
      </c>
    </row>
    <row r="83">
      <c r="A83" t="n">
        <v>72</v>
      </c>
      <c r="B83" s="5" t="n">
        <v>10258.7789274218</v>
      </c>
      <c r="C83" s="8">
        <f>B83/B$102</f>
        <v/>
      </c>
      <c r="E83" s="9" t="n">
        <v>72</v>
      </c>
      <c r="F83" s="9" t="n">
        <v>719.2523665148375</v>
      </c>
      <c r="G83" s="8">
        <f>F83/F$102</f>
        <v/>
      </c>
    </row>
    <row r="84">
      <c r="A84" t="n">
        <v>73</v>
      </c>
      <c r="B84" s="5" t="n">
        <v>0</v>
      </c>
      <c r="C84" s="8">
        <f>B84/B$102</f>
        <v/>
      </c>
      <c r="E84" s="9" t="n">
        <v>73</v>
      </c>
      <c r="F84" s="9" t="n">
        <v>2835.015807362555</v>
      </c>
      <c r="G84" s="8">
        <f>F84/F$102</f>
        <v/>
      </c>
    </row>
    <row r="85">
      <c r="A85" t="n">
        <v>74</v>
      </c>
      <c r="B85" s="5" t="n">
        <v>3967.364534988</v>
      </c>
      <c r="C85" s="8">
        <f>B85/B$102</f>
        <v/>
      </c>
      <c r="E85" s="9" t="n">
        <v>74</v>
      </c>
      <c r="F85" s="9" t="n">
        <v>1750.370616978399</v>
      </c>
      <c r="G85" s="8">
        <f>F85/F$102</f>
        <v/>
      </c>
    </row>
    <row r="86">
      <c r="A86" t="n">
        <v>75</v>
      </c>
      <c r="B86" s="5" t="n">
        <v>5834.957319452</v>
      </c>
      <c r="C86" s="8">
        <f>B86/B$102</f>
        <v/>
      </c>
      <c r="E86" s="9" t="n">
        <v>75</v>
      </c>
      <c r="F86" s="9" t="n">
        <v>586.0889360844161</v>
      </c>
      <c r="G86" s="8">
        <f>F86/F$102</f>
        <v/>
      </c>
    </row>
    <row r="87">
      <c r="A87" t="n">
        <v>76</v>
      </c>
      <c r="B87" s="5" t="n">
        <v>3993.838428155</v>
      </c>
      <c r="C87" s="8">
        <f>B87/B$102</f>
        <v/>
      </c>
      <c r="E87" s="9" t="n">
        <v>76</v>
      </c>
      <c r="F87" s="9" t="n">
        <v>1378.957563682726</v>
      </c>
      <c r="G87" s="8">
        <f>F87/F$102</f>
        <v/>
      </c>
    </row>
    <row r="88">
      <c r="A88" t="n">
        <v>77</v>
      </c>
      <c r="B88" s="5" t="n">
        <v>1083.714443592</v>
      </c>
      <c r="C88" s="8">
        <f>B88/B$102</f>
        <v/>
      </c>
      <c r="E88" s="9" t="n">
        <v>77</v>
      </c>
      <c r="F88" s="9" t="n">
        <v>550.15364568525</v>
      </c>
      <c r="G88" s="8">
        <f>F88/F$102</f>
        <v/>
      </c>
    </row>
    <row r="89">
      <c r="A89" t="n">
        <v>78</v>
      </c>
      <c r="B89" s="5" t="n">
        <v>523.2999854879999</v>
      </c>
      <c r="C89" s="8">
        <f>B89/B$102</f>
        <v/>
      </c>
      <c r="E89" s="9" t="n">
        <v>78</v>
      </c>
      <c r="F89" s="9" t="n">
        <v>639.2640311760495</v>
      </c>
      <c r="G89" s="8">
        <f>F89/F$102</f>
        <v/>
      </c>
    </row>
    <row r="90">
      <c r="A90" t="n">
        <v>79</v>
      </c>
      <c r="B90" s="5" t="n">
        <v>649.4609449740001</v>
      </c>
      <c r="C90" s="8">
        <f>B90/B$102</f>
        <v/>
      </c>
      <c r="E90" s="9" t="n">
        <v>79</v>
      </c>
      <c r="F90" s="9" t="n">
        <v>776.8700159911368</v>
      </c>
      <c r="G90" s="8">
        <f>F90/F$102</f>
        <v/>
      </c>
    </row>
    <row r="91">
      <c r="A91" t="n">
        <v>80</v>
      </c>
      <c r="B91" s="5" t="n">
        <v>5404.0538728265</v>
      </c>
      <c r="C91" s="8">
        <f>B91/B$102</f>
        <v/>
      </c>
      <c r="E91" s="9" t="n">
        <v>80</v>
      </c>
      <c r="F91" s="9" t="n">
        <v>1326.962253653536</v>
      </c>
      <c r="G91" s="8">
        <f>F91/F$102</f>
        <v/>
      </c>
    </row>
    <row r="92">
      <c r="A92" t="n">
        <v>81</v>
      </c>
      <c r="B92" s="5" t="n">
        <v>668.7115357709999</v>
      </c>
      <c r="C92" s="8">
        <f>B92/B$102</f>
        <v/>
      </c>
      <c r="E92" s="9" t="n">
        <v>81</v>
      </c>
      <c r="F92" s="9" t="n">
        <v>1027.653643564939</v>
      </c>
      <c r="G92" s="8">
        <f>F92/F$102</f>
        <v/>
      </c>
    </row>
    <row r="93">
      <c r="A93" t="n">
        <v>82</v>
      </c>
      <c r="B93" s="5" t="n">
        <v>3436.0861575477</v>
      </c>
      <c r="C93" s="8">
        <f>B93/B$102</f>
        <v/>
      </c>
      <c r="E93" s="9" t="n">
        <v>82</v>
      </c>
      <c r="F93" s="9" t="n">
        <v>561.6213624575468</v>
      </c>
      <c r="G93" s="8">
        <f>F93/F$102</f>
        <v/>
      </c>
    </row>
    <row r="94">
      <c r="A94" t="n">
        <v>83</v>
      </c>
      <c r="B94" s="5" t="n">
        <v>4707.4822341094</v>
      </c>
      <c r="C94" s="8">
        <f>B94/B$102</f>
        <v/>
      </c>
      <c r="E94" s="9" t="n">
        <v>83</v>
      </c>
      <c r="F94" s="9" t="n">
        <v>415.8594186431359</v>
      </c>
      <c r="G94" s="8">
        <f>F94/F$102</f>
        <v/>
      </c>
    </row>
    <row r="95">
      <c r="A95" t="n">
        <v>84</v>
      </c>
      <c r="B95" s="5" t="n">
        <v>4050.4151157999</v>
      </c>
      <c r="C95" s="8">
        <f>B95/B$102</f>
        <v/>
      </c>
      <c r="E95" s="9" t="n">
        <v>84</v>
      </c>
      <c r="F95" s="9" t="n">
        <v>588.771023724417</v>
      </c>
      <c r="G95" s="8">
        <f>F95/F$102</f>
        <v/>
      </c>
    </row>
    <row r="96">
      <c r="A96" t="n">
        <v>85</v>
      </c>
      <c r="B96" s="5" t="n">
        <v>745.6925231339001</v>
      </c>
      <c r="C96" s="8">
        <f>B96/B$102</f>
        <v/>
      </c>
      <c r="E96" s="9" t="n">
        <v>85</v>
      </c>
      <c r="F96" s="9" t="n">
        <v>465.9710065598998</v>
      </c>
      <c r="G96" s="8">
        <f>F96/F$102</f>
        <v/>
      </c>
    </row>
    <row r="97">
      <c r="A97" t="n">
        <v>86</v>
      </c>
      <c r="B97" s="5" t="n">
        <v>2097.1040707584</v>
      </c>
      <c r="C97" s="8">
        <f>B97/B$102</f>
        <v/>
      </c>
      <c r="E97" s="9" t="n">
        <v>86</v>
      </c>
      <c r="F97" s="9" t="n">
        <v>498.4576545488367</v>
      </c>
      <c r="G97" s="8">
        <f>F97/F$102</f>
        <v/>
      </c>
    </row>
    <row r="98">
      <c r="A98" t="n">
        <v>87</v>
      </c>
      <c r="B98" s="5" t="n">
        <v>2490.6570966944</v>
      </c>
      <c r="C98" s="8">
        <f>B98/B$102</f>
        <v/>
      </c>
      <c r="E98" s="9" t="n">
        <v>87</v>
      </c>
      <c r="F98" s="9" t="n">
        <v>423.3387898703147</v>
      </c>
      <c r="G98" s="8">
        <f>F98/F$102</f>
        <v/>
      </c>
    </row>
    <row r="99">
      <c r="A99" t="n">
        <v>88</v>
      </c>
      <c r="B99" s="5" t="n">
        <v>289.143108231</v>
      </c>
      <c r="C99" s="8">
        <f>B99/B$102</f>
        <v/>
      </c>
      <c r="E99" s="9" t="n">
        <v>88</v>
      </c>
      <c r="F99" s="9" t="n">
        <v>354.1868168895853</v>
      </c>
      <c r="G99" s="8">
        <f>F99/F$102</f>
        <v/>
      </c>
    </row>
    <row r="100">
      <c r="A100" t="n">
        <v>89</v>
      </c>
      <c r="B100" s="5" t="n">
        <v>2614.6389136738</v>
      </c>
      <c r="C100" s="8">
        <f>B100/B$102</f>
        <v/>
      </c>
      <c r="E100" s="9" t="n">
        <v>89</v>
      </c>
      <c r="F100" s="9" t="n">
        <v>344.255579055126</v>
      </c>
      <c r="G100" s="8">
        <f>F100/F$102</f>
        <v/>
      </c>
    </row>
    <row r="101" ht="15.75" customHeight="1" thickBot="1">
      <c r="A101" s="1" t="n">
        <v>90</v>
      </c>
      <c r="B101" s="6" t="n">
        <v>50805.684478285</v>
      </c>
      <c r="C101" s="8">
        <f>B101/B$102</f>
        <v/>
      </c>
      <c r="E101" s="10" t="n">
        <v>90</v>
      </c>
      <c r="F101" s="10" t="n">
        <v>20493.68134934094</v>
      </c>
      <c r="G101" s="8">
        <f>F101/F$102</f>
        <v/>
      </c>
    </row>
    <row r="102">
      <c r="B102" s="5">
        <f>SUM(B11:B101)</f>
        <v/>
      </c>
      <c r="C102" s="8">
        <f>B102/B$102</f>
        <v/>
      </c>
      <c r="F102" s="5">
        <f>SUM(F11:F101)</f>
        <v/>
      </c>
      <c r="G102" s="8">
        <f>F102/F$102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L102"/>
  <sheetViews>
    <sheetView workbookViewId="0">
      <selection activeCell="A6" sqref="A6"/>
    </sheetView>
  </sheetViews>
  <sheetFormatPr baseColWidth="8" defaultRowHeight="15"/>
  <cols>
    <col collapsed="1" width="13.5703125" customWidth="1" min="1" max="1"/>
    <col collapsed="1" width="9.5703125" bestFit="1" customWidth="1" min="2" max="2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thickBot="1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J9" s="7" t="inlineStr">
        <is>
          <t>Table X. Average Trip Length</t>
        </is>
      </c>
    </row>
    <row r="10">
      <c r="A10" s="2" t="inlineStr">
        <is>
          <t>Distance (mi)</t>
        </is>
      </c>
      <c r="B10" s="4" t="inlineStr">
        <is>
          <t>Survey</t>
        </is>
      </c>
      <c r="C10" s="4" t="inlineStr">
        <is>
          <t>Survey</t>
        </is>
      </c>
      <c r="E10" s="2" t="inlineStr">
        <is>
          <t>Distance (mi)</t>
        </is>
      </c>
      <c r="F10" s="4" t="inlineStr">
        <is>
          <t>DaySim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5" t="n">
        <v>99734.6244811823</v>
      </c>
      <c r="C11" s="8">
        <f>B11/B$102</f>
        <v/>
      </c>
      <c r="E11" s="9" t="n">
        <v>0</v>
      </c>
      <c r="F11" s="9" t="n">
        <v>212914.1755233412</v>
      </c>
      <c r="G11" s="8">
        <f>F11/F$102</f>
        <v/>
      </c>
      <c r="K11" s="5" t="n">
        <v>5.133613232373561</v>
      </c>
      <c r="L11" s="5" t="n">
        <v>5.03234568633661</v>
      </c>
    </row>
    <row r="12">
      <c r="A12" t="n">
        <v>1</v>
      </c>
      <c r="B12" s="5" t="n">
        <v>66863.81887598841</v>
      </c>
      <c r="C12" s="8">
        <f>B12/B$102</f>
        <v/>
      </c>
      <c r="E12" s="9" t="n">
        <v>1</v>
      </c>
      <c r="F12" s="9" t="n">
        <v>117651.8061174018</v>
      </c>
      <c r="G12" s="8">
        <f>F12/F$102</f>
        <v/>
      </c>
      <c r="K12" s="5" t="n"/>
      <c r="L12" s="9" t="n"/>
    </row>
    <row r="13">
      <c r="A13" t="n">
        <v>2</v>
      </c>
      <c r="B13" s="5" t="n">
        <v>56287.0601906336</v>
      </c>
      <c r="C13" s="8">
        <f>B13/B$102</f>
        <v/>
      </c>
      <c r="E13" s="9" t="n">
        <v>2</v>
      </c>
      <c r="F13" s="9" t="n">
        <v>67286.42602529902</v>
      </c>
      <c r="G13" s="8">
        <f>F13/F$102</f>
        <v/>
      </c>
    </row>
    <row r="14">
      <c r="A14" t="n">
        <v>3</v>
      </c>
      <c r="B14" s="5" t="n">
        <v>110832.9786498835</v>
      </c>
      <c r="C14" s="8">
        <f>B14/B$102</f>
        <v/>
      </c>
      <c r="E14" s="9" t="n">
        <v>3</v>
      </c>
      <c r="F14" s="9" t="n">
        <v>37923.53709259427</v>
      </c>
      <c r="G14" s="8">
        <f>F14/F$102</f>
        <v/>
      </c>
    </row>
    <row r="15">
      <c r="A15" t="n">
        <v>4</v>
      </c>
      <c r="B15" s="5" t="n">
        <v>158008.07101755</v>
      </c>
      <c r="C15" s="8">
        <f>B15/B$102</f>
        <v/>
      </c>
      <c r="E15" s="9" t="n">
        <v>4</v>
      </c>
      <c r="F15" s="9" t="n">
        <v>108916.8005426555</v>
      </c>
      <c r="G15" s="8">
        <f>F15/F$102</f>
        <v/>
      </c>
    </row>
    <row r="16">
      <c r="A16" t="n">
        <v>5</v>
      </c>
      <c r="B16" s="5" t="n">
        <v>97161.1988953487</v>
      </c>
      <c r="C16" s="8">
        <f>B16/B$102</f>
        <v/>
      </c>
      <c r="E16" s="9" t="n">
        <v>5</v>
      </c>
      <c r="F16" s="9" t="n">
        <v>56914.13246749774</v>
      </c>
      <c r="G16" s="8">
        <f>F16/F$102</f>
        <v/>
      </c>
    </row>
    <row r="17">
      <c r="A17" t="n">
        <v>6</v>
      </c>
      <c r="B17" s="5" t="n">
        <v>63476.4891383036</v>
      </c>
      <c r="C17" s="8">
        <f>B17/B$102</f>
        <v/>
      </c>
      <c r="E17" s="9" t="n">
        <v>6</v>
      </c>
      <c r="F17" s="9" t="n">
        <v>52034.13639034544</v>
      </c>
      <c r="G17" s="8">
        <f>F17/F$102</f>
        <v/>
      </c>
    </row>
    <row r="18">
      <c r="A18" t="n">
        <v>7</v>
      </c>
      <c r="B18" s="5" t="n">
        <v>20608.0840047582</v>
      </c>
      <c r="C18" s="8">
        <f>B18/B$102</f>
        <v/>
      </c>
      <c r="E18" s="9" t="n">
        <v>7</v>
      </c>
      <c r="F18" s="9" t="n">
        <v>31466.39899246242</v>
      </c>
      <c r="G18" s="8">
        <f>F18/F$102</f>
        <v/>
      </c>
    </row>
    <row r="19">
      <c r="A19" t="n">
        <v>8</v>
      </c>
      <c r="B19" s="5" t="n">
        <v>28640.0076767817</v>
      </c>
      <c r="C19" s="8">
        <f>B19/B$102</f>
        <v/>
      </c>
      <c r="E19" s="9" t="n">
        <v>8</v>
      </c>
      <c r="F19" s="9" t="n">
        <v>29696.47791736237</v>
      </c>
      <c r="G19" s="8">
        <f>F19/F$102</f>
        <v/>
      </c>
    </row>
    <row r="20">
      <c r="A20" t="n">
        <v>9</v>
      </c>
      <c r="B20" s="5" t="n">
        <v>12865.8674469713</v>
      </c>
      <c r="C20" s="8">
        <f>B20/B$102</f>
        <v/>
      </c>
      <c r="E20" s="9" t="n">
        <v>9</v>
      </c>
      <c r="F20" s="9" t="n">
        <v>19313.20608721662</v>
      </c>
      <c r="G20" s="8">
        <f>F20/F$102</f>
        <v/>
      </c>
    </row>
    <row r="21">
      <c r="A21" t="n">
        <v>10</v>
      </c>
      <c r="B21" s="5" t="n">
        <v>38226.1467989727</v>
      </c>
      <c r="C21" s="8">
        <f>B21/B$102</f>
        <v/>
      </c>
      <c r="E21" s="9" t="n">
        <v>10</v>
      </c>
      <c r="F21" s="9" t="n">
        <v>13661.1509511313</v>
      </c>
      <c r="G21" s="8">
        <f>F21/F$102</f>
        <v/>
      </c>
    </row>
    <row r="22">
      <c r="A22" t="n">
        <v>11</v>
      </c>
      <c r="B22" s="5" t="n">
        <v>7826.5269435087</v>
      </c>
      <c r="C22" s="8">
        <f>B22/B$102</f>
        <v/>
      </c>
      <c r="E22" s="9" t="n">
        <v>11</v>
      </c>
      <c r="F22" s="9" t="n">
        <v>12051.7244071629</v>
      </c>
      <c r="G22" s="8">
        <f>F22/F$102</f>
        <v/>
      </c>
    </row>
    <row r="23">
      <c r="A23" t="n">
        <v>12</v>
      </c>
      <c r="B23" s="5" t="n">
        <v>6689.1261270045</v>
      </c>
      <c r="C23" s="8">
        <f>B23/B$102</f>
        <v/>
      </c>
      <c r="E23" s="9" t="n">
        <v>12</v>
      </c>
      <c r="F23" s="9" t="n">
        <v>10929.74156335664</v>
      </c>
      <c r="G23" s="8">
        <f>F23/F$102</f>
        <v/>
      </c>
    </row>
    <row r="24">
      <c r="A24" t="n">
        <v>13</v>
      </c>
      <c r="B24" s="5" t="n">
        <v>13864.6232157974</v>
      </c>
      <c r="C24" s="8">
        <f>B24/B$102</f>
        <v/>
      </c>
      <c r="E24" s="9" t="n">
        <v>13</v>
      </c>
      <c r="F24" s="9" t="n">
        <v>8744.355963636137</v>
      </c>
      <c r="G24" s="8">
        <f>F24/F$102</f>
        <v/>
      </c>
    </row>
    <row r="25">
      <c r="A25" t="n">
        <v>14</v>
      </c>
      <c r="B25" s="5" t="n">
        <v>3916.866872967</v>
      </c>
      <c r="C25" s="8">
        <f>B25/B$102</f>
        <v/>
      </c>
      <c r="E25" s="9" t="n">
        <v>14</v>
      </c>
      <c r="F25" s="9" t="n">
        <v>8844.015054713997</v>
      </c>
      <c r="G25" s="8">
        <f>F25/F$102</f>
        <v/>
      </c>
    </row>
    <row r="26">
      <c r="A26" t="n">
        <v>15</v>
      </c>
      <c r="B26" s="5" t="n">
        <v>10321.8034266164</v>
      </c>
      <c r="C26" s="8">
        <f>B26/B$102</f>
        <v/>
      </c>
      <c r="E26" s="9" t="n">
        <v>15</v>
      </c>
      <c r="F26" s="9" t="n">
        <v>7784.028359358359</v>
      </c>
      <c r="G26" s="8">
        <f>F26/F$102</f>
        <v/>
      </c>
    </row>
    <row r="27">
      <c r="A27" t="n">
        <v>16</v>
      </c>
      <c r="B27" s="5" t="n">
        <v>7911.9769347471</v>
      </c>
      <c r="C27" s="8">
        <f>B27/B$102</f>
        <v/>
      </c>
      <c r="E27" s="9" t="n">
        <v>16</v>
      </c>
      <c r="F27" s="9" t="n">
        <v>7278.067919665754</v>
      </c>
      <c r="G27" s="8">
        <f>F27/F$102</f>
        <v/>
      </c>
    </row>
    <row r="28">
      <c r="A28" t="n">
        <v>17</v>
      </c>
      <c r="B28" s="5" t="n">
        <v>2591.5978135516</v>
      </c>
      <c r="C28" s="8">
        <f>B28/B$102</f>
        <v/>
      </c>
      <c r="E28" s="9" t="n">
        <v>17</v>
      </c>
      <c r="F28" s="9" t="n">
        <v>5170.453595962401</v>
      </c>
      <c r="G28" s="8">
        <f>F28/F$102</f>
        <v/>
      </c>
    </row>
    <row r="29">
      <c r="A29" t="n">
        <v>18</v>
      </c>
      <c r="B29" s="5" t="n">
        <v>4600.4915824173</v>
      </c>
      <c r="C29" s="8">
        <f>B29/B$102</f>
        <v/>
      </c>
      <c r="E29" s="9" t="n">
        <v>18</v>
      </c>
      <c r="F29" s="9" t="n">
        <v>5243.914504515777</v>
      </c>
      <c r="G29" s="8">
        <f>F29/F$102</f>
        <v/>
      </c>
    </row>
    <row r="30">
      <c r="A30" t="n">
        <v>19</v>
      </c>
      <c r="B30" s="5" t="n">
        <v>402.0374973392</v>
      </c>
      <c r="C30" s="8">
        <f>B30/B$102</f>
        <v/>
      </c>
      <c r="E30" s="9" t="n">
        <v>19</v>
      </c>
      <c r="F30" s="9" t="n">
        <v>4278.245251971559</v>
      </c>
      <c r="G30" s="8">
        <f>F30/F$102</f>
        <v/>
      </c>
    </row>
    <row r="31">
      <c r="A31" t="n">
        <v>20</v>
      </c>
      <c r="B31" s="5" t="n">
        <v>1086.216272507</v>
      </c>
      <c r="C31" s="8">
        <f>B31/B$102</f>
        <v/>
      </c>
      <c r="E31" s="9" t="n">
        <v>20</v>
      </c>
      <c r="F31" s="9" t="n">
        <v>3643.526965415885</v>
      </c>
      <c r="G31" s="8">
        <f>F31/F$102</f>
        <v/>
      </c>
    </row>
    <row r="32">
      <c r="A32" t="n">
        <v>21</v>
      </c>
      <c r="B32" s="5" t="n">
        <v>2507.3412075616</v>
      </c>
      <c r="C32" s="8">
        <f>B32/B$102</f>
        <v/>
      </c>
      <c r="E32" s="9" t="n">
        <v>21</v>
      </c>
      <c r="F32" s="9" t="n">
        <v>2804.895338276775</v>
      </c>
      <c r="G32" s="8">
        <f>F32/F$102</f>
        <v/>
      </c>
    </row>
    <row r="33">
      <c r="A33" t="n">
        <v>22</v>
      </c>
      <c r="B33" s="5" t="n">
        <v>2371.829540066</v>
      </c>
      <c r="C33" s="8">
        <f>B33/B$102</f>
        <v/>
      </c>
      <c r="E33" s="9" t="n">
        <v>22</v>
      </c>
      <c r="F33" s="9" t="n">
        <v>2807.036499679582</v>
      </c>
      <c r="G33" s="8">
        <f>F33/F$102</f>
        <v/>
      </c>
    </row>
    <row r="34">
      <c r="A34" t="n">
        <v>23</v>
      </c>
      <c r="B34" s="5" t="n">
        <v>1770.2506230066</v>
      </c>
      <c r="C34" s="8">
        <f>B34/B$102</f>
        <v/>
      </c>
      <c r="E34" s="9" t="n">
        <v>23</v>
      </c>
      <c r="F34" s="9" t="n">
        <v>2492.789233253996</v>
      </c>
      <c r="G34" s="8">
        <f>F34/F$102</f>
        <v/>
      </c>
    </row>
    <row r="35">
      <c r="A35" t="n">
        <v>24</v>
      </c>
      <c r="B35" s="5" t="n">
        <v>736.563073278</v>
      </c>
      <c r="C35" s="8">
        <f>B35/B$102</f>
        <v/>
      </c>
      <c r="E35" s="9" t="n">
        <v>24</v>
      </c>
      <c r="F35" s="9" t="n">
        <v>2105.854712969318</v>
      </c>
      <c r="G35" s="8">
        <f>F35/F$102</f>
        <v/>
      </c>
    </row>
    <row r="36">
      <c r="A36" t="n">
        <v>25</v>
      </c>
      <c r="B36" s="5" t="n">
        <v>1160.436957656</v>
      </c>
      <c r="C36" s="8">
        <f>B36/B$102</f>
        <v/>
      </c>
      <c r="E36" s="9" t="n">
        <v>25</v>
      </c>
      <c r="F36" s="9" t="n">
        <v>2091.367471196654</v>
      </c>
      <c r="G36" s="8">
        <f>F36/F$102</f>
        <v/>
      </c>
    </row>
    <row r="37">
      <c r="A37" t="n">
        <v>26</v>
      </c>
      <c r="B37" s="5" t="n">
        <v>1124.4476883681</v>
      </c>
      <c r="C37" s="8">
        <f>B37/B$102</f>
        <v/>
      </c>
      <c r="E37" s="9" t="n">
        <v>26</v>
      </c>
      <c r="F37" s="9" t="n">
        <v>1519.694022132249</v>
      </c>
      <c r="G37" s="8">
        <f>F37/F$102</f>
        <v/>
      </c>
    </row>
    <row r="38">
      <c r="A38" t="n">
        <v>27</v>
      </c>
      <c r="B38" s="5" t="n">
        <v>306.240016457</v>
      </c>
      <c r="C38" s="8">
        <f>B38/B$102</f>
        <v/>
      </c>
      <c r="E38" s="9" t="n">
        <v>27</v>
      </c>
      <c r="F38" s="9" t="n">
        <v>1036.915052657742</v>
      </c>
      <c r="G38" s="8">
        <f>F38/F$102</f>
        <v/>
      </c>
    </row>
    <row r="39">
      <c r="A39" t="n">
        <v>28</v>
      </c>
      <c r="B39" s="5" t="n">
        <v>948.557181251</v>
      </c>
      <c r="C39" s="8">
        <f>B39/B$102</f>
        <v/>
      </c>
      <c r="E39" s="9" t="n">
        <v>28</v>
      </c>
      <c r="F39" s="9" t="n">
        <v>1087.273077371684</v>
      </c>
      <c r="G39" s="8">
        <f>F39/F$102</f>
        <v/>
      </c>
    </row>
    <row r="40">
      <c r="A40" t="n">
        <v>29</v>
      </c>
      <c r="B40" s="5" t="n">
        <v>0</v>
      </c>
      <c r="C40" s="8">
        <f>B40/B$102</f>
        <v/>
      </c>
      <c r="E40" s="9" t="n">
        <v>29</v>
      </c>
      <c r="F40" s="9" t="n">
        <v>921.6837452964172</v>
      </c>
      <c r="G40" s="8">
        <f>F40/F$102</f>
        <v/>
      </c>
    </row>
    <row r="41">
      <c r="A41" t="n">
        <v>30</v>
      </c>
      <c r="B41" s="5" t="n">
        <v>0</v>
      </c>
      <c r="C41" s="8">
        <f>B41/B$102</f>
        <v/>
      </c>
      <c r="E41" s="9" t="n">
        <v>30</v>
      </c>
      <c r="F41" s="9" t="n">
        <v>780.4645205531506</v>
      </c>
      <c r="G41" s="8">
        <f>F41/F$102</f>
        <v/>
      </c>
    </row>
    <row r="42">
      <c r="A42" t="n">
        <v>31</v>
      </c>
      <c r="B42" s="5" t="n">
        <v>61.6654467019</v>
      </c>
      <c r="C42" s="8">
        <f>B42/B$102</f>
        <v/>
      </c>
      <c r="E42" s="9" t="n">
        <v>31</v>
      </c>
      <c r="F42" s="9" t="n">
        <v>709.3036955170489</v>
      </c>
      <c r="G42" s="8">
        <f>F42/F$102</f>
        <v/>
      </c>
    </row>
    <row r="43">
      <c r="A43" t="n">
        <v>32</v>
      </c>
      <c r="B43" s="5" t="n">
        <v>290.873582631</v>
      </c>
      <c r="C43" s="8">
        <f>B43/B$102</f>
        <v/>
      </c>
      <c r="E43" s="9" t="n">
        <v>32</v>
      </c>
      <c r="F43" s="9" t="n">
        <v>613.2614656577234</v>
      </c>
      <c r="G43" s="8">
        <f>F43/F$102</f>
        <v/>
      </c>
    </row>
    <row r="44">
      <c r="A44" t="n">
        <v>33</v>
      </c>
      <c r="B44" s="5" t="n">
        <v>139.99557747</v>
      </c>
      <c r="C44" s="8">
        <f>B44/B$102</f>
        <v/>
      </c>
      <c r="E44" s="9" t="n">
        <v>33</v>
      </c>
      <c r="F44" s="9" t="n">
        <v>541.5424300120444</v>
      </c>
      <c r="G44" s="8">
        <f>F44/F$102</f>
        <v/>
      </c>
    </row>
    <row r="45">
      <c r="A45" t="n">
        <v>34</v>
      </c>
      <c r="B45" s="5" t="n">
        <v>1343.61970522</v>
      </c>
      <c r="C45" s="8">
        <f>B45/B$102</f>
        <v/>
      </c>
      <c r="E45" s="9" t="n">
        <v>34</v>
      </c>
      <c r="F45" s="9" t="n">
        <v>534.4707065420902</v>
      </c>
      <c r="G45" s="8">
        <f>F45/F$102</f>
        <v/>
      </c>
    </row>
    <row r="46">
      <c r="A46" t="n">
        <v>35</v>
      </c>
      <c r="B46" s="5" t="n">
        <v>342.481278879</v>
      </c>
      <c r="C46" s="8">
        <f>B46/B$102</f>
        <v/>
      </c>
      <c r="E46" s="9" t="n">
        <v>35</v>
      </c>
      <c r="F46" s="9" t="n">
        <v>431.2632166336858</v>
      </c>
      <c r="G46" s="8">
        <f>F46/F$102</f>
        <v/>
      </c>
    </row>
    <row r="47">
      <c r="A47" t="n">
        <v>36</v>
      </c>
      <c r="B47" s="5" t="n">
        <v>0</v>
      </c>
      <c r="C47" s="8">
        <f>B47/B$102</f>
        <v/>
      </c>
      <c r="E47" s="9" t="n">
        <v>36</v>
      </c>
      <c r="F47" s="9" t="n">
        <v>520.8475253166346</v>
      </c>
      <c r="G47" s="8">
        <f>F47/F$102</f>
        <v/>
      </c>
    </row>
    <row r="48">
      <c r="A48" t="n">
        <v>37</v>
      </c>
      <c r="B48" s="5" t="n">
        <v>0</v>
      </c>
      <c r="C48" s="8">
        <f>B48/B$102</f>
        <v/>
      </c>
      <c r="E48" s="9" t="n">
        <v>37</v>
      </c>
      <c r="F48" s="9" t="n">
        <v>362.0539271872635</v>
      </c>
      <c r="G48" s="8">
        <f>F48/F$102</f>
        <v/>
      </c>
    </row>
    <row r="49">
      <c r="A49" t="n">
        <v>38</v>
      </c>
      <c r="B49" s="5" t="n">
        <v>0</v>
      </c>
      <c r="C49" s="8">
        <f>B49/B$102</f>
        <v/>
      </c>
      <c r="E49" s="9" t="n">
        <v>38</v>
      </c>
      <c r="F49" s="9" t="n">
        <v>363.9827366499853</v>
      </c>
      <c r="G49" s="8">
        <f>F49/F$102</f>
        <v/>
      </c>
    </row>
    <row r="50">
      <c r="A50" t="n">
        <v>39</v>
      </c>
      <c r="B50" s="5" t="n">
        <v>357.9078832048</v>
      </c>
      <c r="C50" s="8">
        <f>B50/B$102</f>
        <v/>
      </c>
      <c r="E50" s="9" t="n">
        <v>39</v>
      </c>
      <c r="F50" s="9" t="n">
        <v>339.2044386927295</v>
      </c>
      <c r="G50" s="8">
        <f>F50/F$102</f>
        <v/>
      </c>
    </row>
    <row r="51">
      <c r="A51" t="n">
        <v>40</v>
      </c>
      <c r="B51" s="5" t="n">
        <v>417.967608267</v>
      </c>
      <c r="C51" s="8">
        <f>B51/B$102</f>
        <v/>
      </c>
      <c r="E51" s="9" t="n">
        <v>40</v>
      </c>
      <c r="F51" s="9" t="n">
        <v>256.3266159322271</v>
      </c>
      <c r="G51" s="8">
        <f>F51/F$102</f>
        <v/>
      </c>
    </row>
    <row r="52">
      <c r="A52" t="n">
        <v>41</v>
      </c>
      <c r="B52" s="5" t="n">
        <v>1433.570723277</v>
      </c>
      <c r="C52" s="8">
        <f>B52/B$102</f>
        <v/>
      </c>
      <c r="E52" s="9" t="n">
        <v>41</v>
      </c>
      <c r="F52" s="9" t="n">
        <v>218.2433151292237</v>
      </c>
      <c r="G52" s="8">
        <f>F52/F$102</f>
        <v/>
      </c>
    </row>
    <row r="53">
      <c r="A53" t="n">
        <v>42</v>
      </c>
      <c r="B53" s="5" t="n">
        <v>0</v>
      </c>
      <c r="C53" s="8">
        <f>B53/B$102</f>
        <v/>
      </c>
      <c r="E53" s="9" t="n">
        <v>42</v>
      </c>
      <c r="F53" s="9" t="n">
        <v>151.990991632727</v>
      </c>
      <c r="G53" s="8">
        <f>F53/F$102</f>
        <v/>
      </c>
    </row>
    <row r="54">
      <c r="A54" t="n">
        <v>43</v>
      </c>
      <c r="B54" s="5" t="n">
        <v>0</v>
      </c>
      <c r="C54" s="8">
        <f>B54/B$102</f>
        <v/>
      </c>
      <c r="E54" s="9" t="n">
        <v>43</v>
      </c>
      <c r="F54" s="9" t="n">
        <v>109.122318446847</v>
      </c>
      <c r="G54" s="8">
        <f>F54/F$102</f>
        <v/>
      </c>
    </row>
    <row r="55">
      <c r="A55" t="n">
        <v>44</v>
      </c>
      <c r="B55" s="5" t="n">
        <v>0</v>
      </c>
      <c r="C55" s="8">
        <f>B55/B$102</f>
        <v/>
      </c>
      <c r="E55" s="9" t="n">
        <v>44</v>
      </c>
      <c r="F55" s="9" t="n">
        <v>101.174482110307</v>
      </c>
      <c r="G55" s="8">
        <f>F55/F$102</f>
        <v/>
      </c>
    </row>
    <row r="56">
      <c r="A56" t="n">
        <v>45</v>
      </c>
      <c r="B56" s="5" t="n">
        <v>0</v>
      </c>
      <c r="C56" s="8">
        <f>B56/B$102</f>
        <v/>
      </c>
      <c r="E56" s="9" t="n">
        <v>45</v>
      </c>
      <c r="F56" s="9" t="n">
        <v>101.5225536144351</v>
      </c>
      <c r="G56" s="8">
        <f>F56/F$102</f>
        <v/>
      </c>
    </row>
    <row r="57">
      <c r="A57" t="n">
        <v>46</v>
      </c>
      <c r="B57" s="5" t="n">
        <v>0</v>
      </c>
      <c r="C57" s="8">
        <f>B57/B$102</f>
        <v/>
      </c>
      <c r="E57" s="9" t="n">
        <v>46</v>
      </c>
      <c r="F57" s="9" t="n">
        <v>51.31020469250424</v>
      </c>
      <c r="G57" s="8">
        <f>F57/F$102</f>
        <v/>
      </c>
    </row>
    <row r="58">
      <c r="A58" t="n">
        <v>47</v>
      </c>
      <c r="B58" s="5" t="n">
        <v>381.900134436</v>
      </c>
      <c r="C58" s="8">
        <f>B58/B$102</f>
        <v/>
      </c>
      <c r="E58" s="9" t="n">
        <v>47</v>
      </c>
      <c r="F58" s="9" t="n">
        <v>52.95158116176442</v>
      </c>
      <c r="G58" s="8">
        <f>F58/F$102</f>
        <v/>
      </c>
    </row>
    <row r="59">
      <c r="A59" t="n">
        <v>48</v>
      </c>
      <c r="B59" s="5" t="n">
        <v>0</v>
      </c>
      <c r="C59" s="8">
        <f>B59/B$102</f>
        <v/>
      </c>
      <c r="E59" s="9" t="n">
        <v>48</v>
      </c>
      <c r="F59" s="9" t="n">
        <v>55.14668064977867</v>
      </c>
      <c r="G59" s="8">
        <f>F59/F$102</f>
        <v/>
      </c>
    </row>
    <row r="60">
      <c r="A60" t="n">
        <v>49</v>
      </c>
      <c r="B60" s="5" t="n">
        <v>0</v>
      </c>
      <c r="C60" s="8">
        <f>B60/B$102</f>
        <v/>
      </c>
      <c r="E60" s="9" t="n">
        <v>49</v>
      </c>
      <c r="F60" s="9" t="n">
        <v>53.40691479327339</v>
      </c>
      <c r="G60" s="8">
        <f>F60/F$102</f>
        <v/>
      </c>
    </row>
    <row r="61">
      <c r="A61" t="n">
        <v>50</v>
      </c>
      <c r="B61" s="5" t="n">
        <v>14.08625</v>
      </c>
      <c r="C61" s="8">
        <f>B61/B$102</f>
        <v/>
      </c>
      <c r="E61" s="9" t="n">
        <v>50</v>
      </c>
      <c r="F61" s="9" t="n">
        <v>55.00848372520086</v>
      </c>
      <c r="G61" s="8">
        <f>F61/F$102</f>
        <v/>
      </c>
    </row>
    <row r="62">
      <c r="A62" t="n">
        <v>51</v>
      </c>
      <c r="B62" s="5" t="n">
        <v>41.7609222283</v>
      </c>
      <c r="C62" s="8">
        <f>B62/B$102</f>
        <v/>
      </c>
      <c r="E62" s="9" t="n">
        <v>51</v>
      </c>
      <c r="F62" s="9" t="n">
        <v>41.78940677966104</v>
      </c>
      <c r="G62" s="8">
        <f>F62/F$102</f>
        <v/>
      </c>
    </row>
    <row r="63">
      <c r="A63" t="n">
        <v>52</v>
      </c>
      <c r="B63" s="5" t="n">
        <v>0</v>
      </c>
      <c r="C63" s="8">
        <f>B63/B$102</f>
        <v/>
      </c>
      <c r="E63" s="9" t="n">
        <v>52</v>
      </c>
      <c r="F63" s="9" t="n">
        <v>18.77673658235658</v>
      </c>
      <c r="G63" s="8">
        <f>F63/F$102</f>
        <v/>
      </c>
    </row>
    <row r="64">
      <c r="A64" t="n">
        <v>53</v>
      </c>
      <c r="B64" s="5" t="n">
        <v>0</v>
      </c>
      <c r="C64" s="8">
        <f>B64/B$102</f>
        <v/>
      </c>
      <c r="E64" s="9" t="n">
        <v>53</v>
      </c>
      <c r="F64" s="9" t="n">
        <v>21.38346221040909</v>
      </c>
      <c r="G64" s="8">
        <f>F64/F$102</f>
        <v/>
      </c>
    </row>
    <row r="65">
      <c r="A65" t="n">
        <v>54</v>
      </c>
      <c r="B65" s="5" t="n">
        <v>0</v>
      </c>
      <c r="C65" s="8">
        <f>B65/B$102</f>
        <v/>
      </c>
      <c r="E65" s="9" t="n">
        <v>54</v>
      </c>
      <c r="F65" s="9" t="n">
        <v>17.93114577012211</v>
      </c>
      <c r="G65" s="8">
        <f>F65/F$102</f>
        <v/>
      </c>
    </row>
    <row r="66">
      <c r="A66" t="n">
        <v>55</v>
      </c>
      <c r="B66" s="5" t="n">
        <v>4.59375</v>
      </c>
      <c r="C66" s="8">
        <f>B66/B$102</f>
        <v/>
      </c>
      <c r="E66" s="9" t="n">
        <v>55</v>
      </c>
      <c r="F66" s="9" t="n">
        <v>23.23378741366108</v>
      </c>
      <c r="G66" s="8">
        <f>F66/F$102</f>
        <v/>
      </c>
    </row>
    <row r="67">
      <c r="A67" t="n">
        <v>56</v>
      </c>
      <c r="B67" s="5" t="n">
        <v>0</v>
      </c>
      <c r="C67" s="8">
        <f>B67/B$102</f>
        <v/>
      </c>
      <c r="E67" s="9" t="n">
        <v>56</v>
      </c>
      <c r="F67" s="9" t="n">
        <v>14.95</v>
      </c>
      <c r="G67" s="8">
        <f>F67/F$102</f>
        <v/>
      </c>
    </row>
    <row r="68">
      <c r="A68" t="n">
        <v>57</v>
      </c>
      <c r="B68" s="5" t="n">
        <v>0</v>
      </c>
      <c r="C68" s="8">
        <f>B68/B$102</f>
        <v/>
      </c>
      <c r="E68" s="9" t="n">
        <v>57</v>
      </c>
      <c r="F68" s="9" t="n">
        <v>3.45</v>
      </c>
      <c r="G68" s="8">
        <f>F68/F$102</f>
        <v/>
      </c>
    </row>
    <row r="69">
      <c r="A69" t="n">
        <v>58</v>
      </c>
      <c r="B69" s="5" t="n">
        <v>0</v>
      </c>
      <c r="C69" s="8">
        <f>B69/B$102</f>
        <v/>
      </c>
      <c r="E69" s="9" t="n">
        <v>58</v>
      </c>
      <c r="F69" s="9" t="n">
        <v>14.95</v>
      </c>
      <c r="G69" s="8">
        <f>F69/F$102</f>
        <v/>
      </c>
    </row>
    <row r="70">
      <c r="A70" t="n">
        <v>59</v>
      </c>
      <c r="B70" s="5" t="n">
        <v>0</v>
      </c>
      <c r="C70" s="8">
        <f>B70/B$102</f>
        <v/>
      </c>
      <c r="E70" s="9" t="n">
        <v>59</v>
      </c>
      <c r="F70" s="9" t="n">
        <v>5.75</v>
      </c>
      <c r="G70" s="8">
        <f>F70/F$102</f>
        <v/>
      </c>
    </row>
    <row r="71">
      <c r="A71" t="n">
        <v>60</v>
      </c>
      <c r="B71" s="5" t="n">
        <v>0</v>
      </c>
      <c r="C71" s="8">
        <f>B71/B$102</f>
        <v/>
      </c>
      <c r="E71" s="9" t="n">
        <v>60</v>
      </c>
      <c r="F71" s="9" t="n">
        <v>6.899999999999999</v>
      </c>
      <c r="G71" s="8">
        <f>F71/F$102</f>
        <v/>
      </c>
    </row>
    <row r="72">
      <c r="A72" t="n">
        <v>61</v>
      </c>
      <c r="B72" s="5" t="n">
        <v>0</v>
      </c>
      <c r="C72" s="8">
        <f>B72/B$102</f>
        <v/>
      </c>
      <c r="E72" s="9" t="n">
        <v>61</v>
      </c>
      <c r="F72" s="9" t="n">
        <v>9.199999999999999</v>
      </c>
      <c r="G72" s="8">
        <f>F72/F$102</f>
        <v/>
      </c>
    </row>
    <row r="73">
      <c r="A73" t="n">
        <v>62</v>
      </c>
      <c r="B73" s="5" t="n">
        <v>0</v>
      </c>
      <c r="C73" s="8">
        <f>B73/B$102</f>
        <v/>
      </c>
      <c r="E73" s="9" t="n">
        <v>62</v>
      </c>
      <c r="F73" s="9" t="n">
        <v>0</v>
      </c>
      <c r="G73" s="8">
        <f>F73/F$102</f>
        <v/>
      </c>
    </row>
    <row r="74">
      <c r="A74" t="n">
        <v>63</v>
      </c>
      <c r="B74" s="5" t="n">
        <v>0</v>
      </c>
      <c r="C74" s="8">
        <f>B74/B$102</f>
        <v/>
      </c>
      <c r="E74" s="9" t="n">
        <v>63</v>
      </c>
      <c r="F74" s="9" t="n">
        <v>6.899999999999999</v>
      </c>
      <c r="G74" s="8">
        <f>F74/F$102</f>
        <v/>
      </c>
    </row>
    <row r="75">
      <c r="A75" t="n">
        <v>64</v>
      </c>
      <c r="B75" s="5" t="n">
        <v>0</v>
      </c>
      <c r="C75" s="8">
        <f>B75/B$102</f>
        <v/>
      </c>
      <c r="E75" s="9" t="n">
        <v>64</v>
      </c>
      <c r="F75" s="9" t="n">
        <v>0.231470973374108</v>
      </c>
      <c r="G75" s="8">
        <f>F75/F$102</f>
        <v/>
      </c>
    </row>
    <row r="76">
      <c r="A76" t="n">
        <v>65</v>
      </c>
      <c r="B76" s="5" t="n">
        <v>0</v>
      </c>
      <c r="C76" s="8">
        <f>B76/B$102</f>
        <v/>
      </c>
      <c r="E76" s="9" t="n">
        <v>65</v>
      </c>
      <c r="F76" s="9" t="n">
        <v>1.15</v>
      </c>
      <c r="G76" s="8">
        <f>F76/F$102</f>
        <v/>
      </c>
    </row>
    <row r="77">
      <c r="A77" t="n">
        <v>66</v>
      </c>
      <c r="B77" s="5" t="n">
        <v>0</v>
      </c>
      <c r="C77" s="8">
        <f>B77/B$102</f>
        <v/>
      </c>
      <c r="E77" s="9" t="n">
        <v>66</v>
      </c>
      <c r="F77" s="9" t="n">
        <v>0</v>
      </c>
      <c r="G77" s="8">
        <f>F77/F$102</f>
        <v/>
      </c>
    </row>
    <row r="78">
      <c r="A78" t="n">
        <v>67</v>
      </c>
      <c r="B78" s="5" t="n">
        <v>0</v>
      </c>
      <c r="C78" s="8">
        <f>B78/B$102</f>
        <v/>
      </c>
      <c r="E78" s="9" t="n">
        <v>67</v>
      </c>
      <c r="F78" s="9" t="n">
        <v>2.3</v>
      </c>
      <c r="G78" s="8">
        <f>F78/F$102</f>
        <v/>
      </c>
    </row>
    <row r="79">
      <c r="A79" t="n">
        <v>68</v>
      </c>
      <c r="B79" s="5" t="n">
        <v>0</v>
      </c>
      <c r="C79" s="8">
        <f>B79/B$102</f>
        <v/>
      </c>
      <c r="E79" s="9" t="n">
        <v>68</v>
      </c>
      <c r="F79" s="9" t="n">
        <v>3.45</v>
      </c>
      <c r="G79" s="8">
        <f>F79/F$102</f>
        <v/>
      </c>
    </row>
    <row r="80">
      <c r="A80" t="n">
        <v>69</v>
      </c>
      <c r="B80" s="5" t="n">
        <v>0</v>
      </c>
      <c r="C80" s="8">
        <f>B80/B$102</f>
        <v/>
      </c>
      <c r="E80" s="9" t="n">
        <v>69</v>
      </c>
      <c r="F80" s="9" t="n">
        <v>1.15</v>
      </c>
      <c r="G80" s="8">
        <f>F80/F$102</f>
        <v/>
      </c>
    </row>
    <row r="81">
      <c r="A81" t="n">
        <v>70</v>
      </c>
      <c r="B81" s="5" t="n">
        <v>0</v>
      </c>
      <c r="C81" s="8">
        <f>B81/B$102</f>
        <v/>
      </c>
      <c r="E81" s="9" t="n">
        <v>70</v>
      </c>
      <c r="F81" s="9" t="n">
        <v>2.3</v>
      </c>
      <c r="G81" s="8">
        <f>F81/F$102</f>
        <v/>
      </c>
    </row>
    <row r="82">
      <c r="A82" t="n">
        <v>71</v>
      </c>
      <c r="B82" s="5" t="n">
        <v>58.1809956208</v>
      </c>
      <c r="C82" s="8">
        <f>B82/B$102</f>
        <v/>
      </c>
      <c r="E82" s="9" t="n">
        <v>71</v>
      </c>
      <c r="F82" s="9" t="n">
        <v>2.3</v>
      </c>
      <c r="G82" s="8">
        <f>F82/F$102</f>
        <v/>
      </c>
    </row>
    <row r="83">
      <c r="A83" t="n">
        <v>72</v>
      </c>
      <c r="B83" s="5" t="n">
        <v>0</v>
      </c>
      <c r="C83" s="8">
        <f>B83/B$102</f>
        <v/>
      </c>
      <c r="E83" s="9" t="n">
        <v>72</v>
      </c>
      <c r="F83" s="9" t="n">
        <v>1.15</v>
      </c>
      <c r="G83" s="8">
        <f>F83/F$102</f>
        <v/>
      </c>
    </row>
    <row r="84">
      <c r="A84" t="n">
        <v>73</v>
      </c>
      <c r="B84" s="5" t="n">
        <v>0</v>
      </c>
      <c r="C84" s="8">
        <f>B84/B$102</f>
        <v/>
      </c>
      <c r="E84" s="9" t="n">
        <v>73</v>
      </c>
      <c r="F84" s="9" t="n">
        <v>0</v>
      </c>
      <c r="G84" s="8">
        <f>F84/F$102</f>
        <v/>
      </c>
    </row>
    <row r="85">
      <c r="A85" t="n">
        <v>74</v>
      </c>
      <c r="B85" s="5" t="n">
        <v>0</v>
      </c>
      <c r="C85" s="8">
        <f>B85/B$102</f>
        <v/>
      </c>
      <c r="E85" s="9" t="n">
        <v>74</v>
      </c>
      <c r="F85" s="9" t="n">
        <v>0</v>
      </c>
      <c r="G85" s="8">
        <f>F85/F$102</f>
        <v/>
      </c>
    </row>
    <row r="86">
      <c r="A86" t="n">
        <v>75</v>
      </c>
      <c r="B86" s="5" t="n">
        <v>0</v>
      </c>
      <c r="C86" s="8">
        <f>B86/B$102</f>
        <v/>
      </c>
      <c r="E86" s="9" t="n">
        <v>75</v>
      </c>
      <c r="F86" s="9" t="n">
        <v>1.15</v>
      </c>
      <c r="G86" s="8">
        <f>F86/F$102</f>
        <v/>
      </c>
    </row>
    <row r="87">
      <c r="A87" t="n">
        <v>76</v>
      </c>
      <c r="B87" s="5" t="n">
        <v>0</v>
      </c>
      <c r="C87" s="8">
        <f>B87/B$102</f>
        <v/>
      </c>
      <c r="E87" s="9" t="n">
        <v>76</v>
      </c>
      <c r="F87" s="9" t="n">
        <v>0</v>
      </c>
      <c r="G87" s="8">
        <f>F87/F$102</f>
        <v/>
      </c>
    </row>
    <row r="88">
      <c r="A88" t="n">
        <v>77</v>
      </c>
      <c r="B88" s="5" t="n">
        <v>0</v>
      </c>
      <c r="C88" s="8">
        <f>B88/B$102</f>
        <v/>
      </c>
      <c r="E88" s="9" t="n">
        <v>77</v>
      </c>
      <c r="F88" s="9" t="n">
        <v>0</v>
      </c>
      <c r="G88" s="8">
        <f>F88/F$102</f>
        <v/>
      </c>
    </row>
    <row r="89">
      <c r="A89" t="n">
        <v>78</v>
      </c>
      <c r="B89" s="5" t="n">
        <v>0</v>
      </c>
      <c r="C89" s="8">
        <f>B89/B$102</f>
        <v/>
      </c>
      <c r="E89" s="9" t="n">
        <v>78</v>
      </c>
      <c r="F89" s="9" t="n">
        <v>0</v>
      </c>
      <c r="G89" s="8">
        <f>F89/F$102</f>
        <v/>
      </c>
    </row>
    <row r="90">
      <c r="A90" t="n">
        <v>79</v>
      </c>
      <c r="B90" s="5" t="n">
        <v>0</v>
      </c>
      <c r="C90" s="8">
        <f>B90/B$102</f>
        <v/>
      </c>
      <c r="E90" s="9" t="n">
        <v>79</v>
      </c>
      <c r="F90" s="9" t="n">
        <v>0</v>
      </c>
      <c r="G90" s="8">
        <f>F90/F$102</f>
        <v/>
      </c>
    </row>
    <row r="91">
      <c r="A91" t="n">
        <v>80</v>
      </c>
      <c r="B91" s="5" t="n">
        <v>0</v>
      </c>
      <c r="C91" s="8">
        <f>B91/B$102</f>
        <v/>
      </c>
      <c r="E91" s="9" t="n">
        <v>80</v>
      </c>
      <c r="F91" s="9" t="n">
        <v>0</v>
      </c>
      <c r="G91" s="8">
        <f>F91/F$102</f>
        <v/>
      </c>
    </row>
    <row r="92">
      <c r="A92" t="n">
        <v>81</v>
      </c>
      <c r="B92" s="5" t="n">
        <v>0</v>
      </c>
      <c r="C92" s="8">
        <f>B92/B$102</f>
        <v/>
      </c>
      <c r="E92" s="9" t="n">
        <v>81</v>
      </c>
      <c r="F92" s="9" t="n">
        <v>0</v>
      </c>
      <c r="G92" s="8">
        <f>F92/F$102</f>
        <v/>
      </c>
    </row>
    <row r="93">
      <c r="A93" t="n">
        <v>82</v>
      </c>
      <c r="B93" s="5" t="n">
        <v>0</v>
      </c>
      <c r="C93" s="8">
        <f>B93/B$102</f>
        <v/>
      </c>
      <c r="E93" s="9" t="n">
        <v>82</v>
      </c>
      <c r="F93" s="9" t="n">
        <v>0</v>
      </c>
      <c r="G93" s="8">
        <f>F93/F$102</f>
        <v/>
      </c>
    </row>
    <row r="94">
      <c r="A94" t="n">
        <v>83</v>
      </c>
      <c r="B94" s="5" t="n">
        <v>0</v>
      </c>
      <c r="C94" s="8">
        <f>B94/B$102</f>
        <v/>
      </c>
      <c r="E94" s="9" t="n">
        <v>83</v>
      </c>
      <c r="F94" s="9" t="n">
        <v>0</v>
      </c>
      <c r="G94" s="8">
        <f>F94/F$102</f>
        <v/>
      </c>
    </row>
    <row r="95">
      <c r="A95" t="n">
        <v>84</v>
      </c>
      <c r="B95" s="5" t="n">
        <v>0</v>
      </c>
      <c r="C95" s="8">
        <f>B95/B$102</f>
        <v/>
      </c>
      <c r="E95" s="9" t="n">
        <v>84</v>
      </c>
      <c r="F95" s="9" t="n">
        <v>0</v>
      </c>
      <c r="G95" s="8">
        <f>F95/F$102</f>
        <v/>
      </c>
    </row>
    <row r="96">
      <c r="A96" t="n">
        <v>85</v>
      </c>
      <c r="B96" s="5" t="n">
        <v>0</v>
      </c>
      <c r="C96" s="8">
        <f>B96/B$102</f>
        <v/>
      </c>
      <c r="E96" s="9" t="n">
        <v>85</v>
      </c>
      <c r="F96" s="9" t="n">
        <v>0</v>
      </c>
      <c r="G96" s="8">
        <f>F96/F$102</f>
        <v/>
      </c>
    </row>
    <row r="97">
      <c r="A97" t="n">
        <v>86</v>
      </c>
      <c r="B97" s="5" t="n">
        <v>0</v>
      </c>
      <c r="C97" s="8">
        <f>B97/B$102</f>
        <v/>
      </c>
      <c r="E97" s="9" t="n">
        <v>86</v>
      </c>
      <c r="F97" s="9" t="n">
        <v>0</v>
      </c>
      <c r="G97" s="8">
        <f>F97/F$102</f>
        <v/>
      </c>
    </row>
    <row r="98">
      <c r="A98" t="n">
        <v>87</v>
      </c>
      <c r="B98" s="5" t="n">
        <v>0</v>
      </c>
      <c r="C98" s="8">
        <f>B98/B$102</f>
        <v/>
      </c>
      <c r="E98" s="9" t="n">
        <v>87</v>
      </c>
      <c r="F98" s="9" t="n">
        <v>0</v>
      </c>
      <c r="G98" s="8">
        <f>F98/F$102</f>
        <v/>
      </c>
    </row>
    <row r="99">
      <c r="A99" t="n">
        <v>88</v>
      </c>
      <c r="B99" s="5" t="n">
        <v>0</v>
      </c>
      <c r="C99" s="8">
        <f>B99/B$102</f>
        <v/>
      </c>
      <c r="E99" s="9" t="n">
        <v>88</v>
      </c>
      <c r="F99" s="9" t="n">
        <v>0</v>
      </c>
      <c r="G99" s="8">
        <f>F99/F$102</f>
        <v/>
      </c>
    </row>
    <row r="100">
      <c r="A100" t="n">
        <v>89</v>
      </c>
      <c r="B100" s="5" t="n">
        <v>0</v>
      </c>
      <c r="C100" s="8">
        <f>B100/B$102</f>
        <v/>
      </c>
      <c r="E100" s="9" t="n">
        <v>89</v>
      </c>
      <c r="F100" s="9" t="n">
        <v>0</v>
      </c>
      <c r="G100" s="8">
        <f>F100/F$102</f>
        <v/>
      </c>
    </row>
    <row r="101" ht="15.75" customHeight="1" thickBot="1">
      <c r="A101" s="1" t="n">
        <v>90</v>
      </c>
      <c r="B101" s="6" t="n">
        <v>0</v>
      </c>
      <c r="C101" s="8">
        <f>B101/B$102</f>
        <v/>
      </c>
      <c r="E101" s="10" t="n">
        <v>90</v>
      </c>
      <c r="F101" s="10" t="n">
        <v>0</v>
      </c>
      <c r="G101" s="8">
        <f>F101/F$102</f>
        <v/>
      </c>
    </row>
    <row r="102">
      <c r="B102" s="5">
        <f>SUM(B11:B101)</f>
        <v/>
      </c>
      <c r="C102" s="8">
        <f>B102/B$102</f>
        <v/>
      </c>
      <c r="F102" s="5">
        <f>SUM(F11:F101)</f>
        <v/>
      </c>
      <c r="G102" s="8">
        <f>F102/F$102</f>
        <v/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L102"/>
  <sheetViews>
    <sheetView workbookViewId="0">
      <selection activeCell="A4" sqref="A4"/>
    </sheetView>
  </sheetViews>
  <sheetFormatPr baseColWidth="8" defaultRowHeight="15"/>
  <cols>
    <col collapsed="1" width="9.5703125" bestFit="1" customWidth="1" min="2" max="2"/>
  </cols>
  <sheetData>
    <row r="1">
      <c r="A1" t="inlineStr">
        <is>
          <t>Trip Duration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duration (in minutes) based on joining AM peak SOV skim values to HH survey</t>
        </is>
      </c>
    </row>
    <row r="4">
      <c r="A4" t="inlineStr">
        <is>
          <t>Frequency of trips by 1-minute increment</t>
        </is>
      </c>
    </row>
    <row r="5">
      <c r="A5" t="inlineStr">
        <is>
          <t>Distance values reflect low end of each range (ie. 0 refers to 0-1 minutes)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thickBot="1">
      <c r="A9" s="3" t="inlineStr">
        <is>
          <t>Table X. Observed Trip Durations: Survey</t>
        </is>
      </c>
      <c r="B9" s="1" t="n"/>
      <c r="E9" s="3" t="inlineStr">
        <is>
          <t>Table X. Estimated Trip Durations</t>
        </is>
      </c>
      <c r="F9" s="1" t="n"/>
      <c r="J9" s="7" t="inlineStr">
        <is>
          <t>Table X. Average Trip Duration</t>
        </is>
      </c>
    </row>
    <row r="10">
      <c r="A10" s="2" t="inlineStr">
        <is>
          <t>Time (min)</t>
        </is>
      </c>
      <c r="B10" s="4" t="inlineStr">
        <is>
          <t>Total</t>
        </is>
      </c>
      <c r="C10" s="4" t="inlineStr">
        <is>
          <t>Survey</t>
        </is>
      </c>
      <c r="E10" s="2" t="inlineStr">
        <is>
          <t>Time (min)</t>
        </is>
      </c>
      <c r="F10" s="4" t="inlineStr">
        <is>
          <t>Total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5" t="n">
        <v>0</v>
      </c>
      <c r="C11" s="8">
        <f>B11/B$102</f>
        <v/>
      </c>
      <c r="E11" s="9" t="n">
        <v>0</v>
      </c>
      <c r="F11" s="9" t="n">
        <v>9733.298063352193</v>
      </c>
      <c r="G11" s="8">
        <f>F11/F$102</f>
        <v/>
      </c>
      <c r="K11" s="5" t="n">
        <v>27.4328406367195</v>
      </c>
      <c r="L11" s="5" t="n">
        <v>19.07794404453429</v>
      </c>
    </row>
    <row r="12">
      <c r="A12" t="n">
        <v>1</v>
      </c>
      <c r="B12" s="5" t="n">
        <v>193.998839214</v>
      </c>
      <c r="C12" s="8">
        <f>B12/B$102</f>
        <v/>
      </c>
      <c r="E12" s="9" t="n">
        <v>1</v>
      </c>
      <c r="F12" s="9" t="n">
        <v>31814.39433161967</v>
      </c>
      <c r="G12" s="8">
        <f>F12/F$102</f>
        <v/>
      </c>
      <c r="K12" s="5" t="n"/>
      <c r="L12" s="9" t="n"/>
    </row>
    <row r="13">
      <c r="A13" t="n">
        <v>2</v>
      </c>
      <c r="B13" s="5" t="n">
        <v>1261.3043626441</v>
      </c>
      <c r="C13" s="8">
        <f>B13/B$102</f>
        <v/>
      </c>
      <c r="E13" s="9" t="n">
        <v>2</v>
      </c>
      <c r="F13" s="9" t="n">
        <v>33433.79638346404</v>
      </c>
      <c r="G13" s="8">
        <f>F13/F$102</f>
        <v/>
      </c>
    </row>
    <row r="14">
      <c r="A14" t="n">
        <v>3</v>
      </c>
      <c r="B14" s="5" t="n">
        <v>10100.747637068</v>
      </c>
      <c r="C14" s="8">
        <f>B14/B$102</f>
        <v/>
      </c>
      <c r="E14" s="9" t="n">
        <v>3</v>
      </c>
      <c r="F14" s="9" t="n">
        <v>35300.76773976148</v>
      </c>
      <c r="G14" s="8">
        <f>F14/F$102</f>
        <v/>
      </c>
    </row>
    <row r="15">
      <c r="A15" t="n">
        <v>4</v>
      </c>
      <c r="B15" s="5" t="n">
        <v>8791.3304586005</v>
      </c>
      <c r="C15" s="8">
        <f>B15/B$102</f>
        <v/>
      </c>
      <c r="E15" s="9" t="n">
        <v>4</v>
      </c>
      <c r="F15" s="9" t="n">
        <v>35674.55875353968</v>
      </c>
      <c r="G15" s="8">
        <f>F15/F$102</f>
        <v/>
      </c>
    </row>
    <row r="16">
      <c r="A16" t="n">
        <v>5</v>
      </c>
      <c r="B16" s="5" t="n">
        <v>21057.7362336818</v>
      </c>
      <c r="C16" s="8">
        <f>B16/B$102</f>
        <v/>
      </c>
      <c r="E16" s="9" t="n">
        <v>5</v>
      </c>
      <c r="F16" s="9" t="n">
        <v>35337.90285752573</v>
      </c>
      <c r="G16" s="8">
        <f>F16/F$102</f>
        <v/>
      </c>
    </row>
    <row r="17">
      <c r="A17" t="n">
        <v>6</v>
      </c>
      <c r="B17" s="5" t="n">
        <v>16944.011316876</v>
      </c>
      <c r="C17" s="8">
        <f>B17/B$102</f>
        <v/>
      </c>
      <c r="E17" s="9" t="n">
        <v>6</v>
      </c>
      <c r="F17" s="9" t="n">
        <v>32884.47205559196</v>
      </c>
      <c r="G17" s="8">
        <f>F17/F$102</f>
        <v/>
      </c>
    </row>
    <row r="18">
      <c r="A18" t="n">
        <v>7</v>
      </c>
      <c r="B18" s="5" t="n">
        <v>19388.4705215282</v>
      </c>
      <c r="C18" s="8">
        <f>B18/B$102</f>
        <v/>
      </c>
      <c r="E18" s="9" t="n">
        <v>7</v>
      </c>
      <c r="F18" s="9" t="n">
        <v>30177.77816470927</v>
      </c>
      <c r="G18" s="8">
        <f>F18/F$102</f>
        <v/>
      </c>
    </row>
    <row r="19">
      <c r="A19" t="n">
        <v>8</v>
      </c>
      <c r="B19" s="5" t="n">
        <v>11538.2597059862</v>
      </c>
      <c r="C19" s="8">
        <f>B19/B$102</f>
        <v/>
      </c>
      <c r="E19" s="9" t="n">
        <v>8</v>
      </c>
      <c r="F19" s="9" t="n">
        <v>27100.54392831796</v>
      </c>
      <c r="G19" s="8">
        <f>F19/F$102</f>
        <v/>
      </c>
    </row>
    <row r="20">
      <c r="A20" t="n">
        <v>9</v>
      </c>
      <c r="B20" s="5" t="n">
        <v>27215.8770255288</v>
      </c>
      <c r="C20" s="8">
        <f>B20/B$102</f>
        <v/>
      </c>
      <c r="E20" s="9" t="n">
        <v>9</v>
      </c>
      <c r="F20" s="9" t="n">
        <v>23774.35527771363</v>
      </c>
      <c r="G20" s="8">
        <f>F20/F$102</f>
        <v/>
      </c>
    </row>
    <row r="21">
      <c r="A21" t="n">
        <v>10</v>
      </c>
      <c r="B21" s="5" t="n">
        <v>8595.701377526701</v>
      </c>
      <c r="C21" s="8">
        <f>B21/B$102</f>
        <v/>
      </c>
      <c r="E21" s="9" t="n">
        <v>10</v>
      </c>
      <c r="F21" s="9" t="n">
        <v>21541.66242846289</v>
      </c>
      <c r="G21" s="8">
        <f>F21/F$102</f>
        <v/>
      </c>
    </row>
    <row r="22">
      <c r="A22" t="n">
        <v>11</v>
      </c>
      <c r="B22" s="5" t="n">
        <v>12579.7285983122</v>
      </c>
      <c r="C22" s="8">
        <f>B22/B$102</f>
        <v/>
      </c>
      <c r="E22" s="9" t="n">
        <v>11</v>
      </c>
      <c r="F22" s="9" t="n">
        <v>18838.87362605158</v>
      </c>
      <c r="G22" s="8">
        <f>F22/F$102</f>
        <v/>
      </c>
    </row>
    <row r="23">
      <c r="A23" t="n">
        <v>12</v>
      </c>
      <c r="B23" s="5" t="n">
        <v>12466.883373857</v>
      </c>
      <c r="C23" s="8">
        <f>B23/B$102</f>
        <v/>
      </c>
      <c r="E23" s="9" t="n">
        <v>12</v>
      </c>
      <c r="F23" s="9" t="n">
        <v>17156.79874662163</v>
      </c>
      <c r="G23" s="8">
        <f>F23/F$102</f>
        <v/>
      </c>
    </row>
    <row r="24">
      <c r="A24" t="n">
        <v>13</v>
      </c>
      <c r="B24" s="5" t="n">
        <v>23774.6987384881</v>
      </c>
      <c r="C24" s="8">
        <f>B24/B$102</f>
        <v/>
      </c>
      <c r="E24" s="9" t="n">
        <v>13</v>
      </c>
      <c r="F24" s="9" t="n">
        <v>15094.05450075608</v>
      </c>
      <c r="G24" s="8">
        <f>F24/F$102</f>
        <v/>
      </c>
    </row>
    <row r="25">
      <c r="A25" t="n">
        <v>14</v>
      </c>
      <c r="B25" s="5" t="n">
        <v>24776.0882145826</v>
      </c>
      <c r="C25" s="8">
        <f>B25/B$102</f>
        <v/>
      </c>
      <c r="E25" s="9" t="n">
        <v>14</v>
      </c>
      <c r="F25" s="9" t="n">
        <v>12867.7663646594</v>
      </c>
      <c r="G25" s="8">
        <f>F25/F$102</f>
        <v/>
      </c>
    </row>
    <row r="26">
      <c r="A26" t="n">
        <v>15</v>
      </c>
      <c r="B26" s="5" t="n">
        <v>19898.5972249723</v>
      </c>
      <c r="C26" s="8">
        <f>B26/B$102</f>
        <v/>
      </c>
      <c r="E26" s="9" t="n">
        <v>15</v>
      </c>
      <c r="F26" s="9" t="n">
        <v>11910.25143108463</v>
      </c>
      <c r="G26" s="8">
        <f>F26/F$102</f>
        <v/>
      </c>
    </row>
    <row r="27">
      <c r="A27" t="n">
        <v>16</v>
      </c>
      <c r="B27" s="5" t="n">
        <v>29893.4061617485</v>
      </c>
      <c r="C27" s="8">
        <f>B27/B$102</f>
        <v/>
      </c>
      <c r="E27" s="9" t="n">
        <v>16</v>
      </c>
      <c r="F27" s="9" t="n">
        <v>10958.30060979184</v>
      </c>
      <c r="G27" s="8">
        <f>F27/F$102</f>
        <v/>
      </c>
    </row>
    <row r="28">
      <c r="A28" t="n">
        <v>17</v>
      </c>
      <c r="B28" s="5" t="n">
        <v>18307.9495975561</v>
      </c>
      <c r="C28" s="8">
        <f>B28/B$102</f>
        <v/>
      </c>
      <c r="E28" s="9" t="n">
        <v>17</v>
      </c>
      <c r="F28" s="9" t="n">
        <v>9565.116533002642</v>
      </c>
      <c r="G28" s="8">
        <f>F28/F$102</f>
        <v/>
      </c>
    </row>
    <row r="29">
      <c r="A29" t="n">
        <v>18</v>
      </c>
      <c r="B29" s="5" t="n">
        <v>64111.6141650007</v>
      </c>
      <c r="C29" s="8">
        <f>B29/B$102</f>
        <v/>
      </c>
      <c r="E29" s="9" t="n">
        <v>18</v>
      </c>
      <c r="F29" s="9" t="n">
        <v>73750.49188091651</v>
      </c>
      <c r="G29" s="8">
        <f>F29/F$102</f>
        <v/>
      </c>
    </row>
    <row r="30">
      <c r="A30" t="n">
        <v>19</v>
      </c>
      <c r="B30" s="5" t="n">
        <v>34934.0342878927</v>
      </c>
      <c r="C30" s="8">
        <f>B30/B$102</f>
        <v/>
      </c>
      <c r="E30" s="9" t="n">
        <v>19</v>
      </c>
      <c r="F30" s="9" t="n">
        <v>27400.86516753051</v>
      </c>
      <c r="G30" s="8">
        <f>F30/F$102</f>
        <v/>
      </c>
    </row>
    <row r="31">
      <c r="A31" t="n">
        <v>20</v>
      </c>
      <c r="B31" s="5" t="n">
        <v>67232.07459343239</v>
      </c>
      <c r="C31" s="8">
        <f>B31/B$102</f>
        <v/>
      </c>
      <c r="E31" s="9" t="n">
        <v>20</v>
      </c>
      <c r="F31" s="9" t="n">
        <v>23758.83829087767</v>
      </c>
      <c r="G31" s="8">
        <f>F31/F$102</f>
        <v/>
      </c>
    </row>
    <row r="32">
      <c r="A32" t="n">
        <v>21</v>
      </c>
      <c r="B32" s="5" t="n">
        <v>39999.7503910708</v>
      </c>
      <c r="C32" s="8">
        <f>B32/B$102</f>
        <v/>
      </c>
      <c r="E32" s="9" t="n">
        <v>21</v>
      </c>
      <c r="F32" s="9" t="n">
        <v>33417.75512832799</v>
      </c>
      <c r="G32" s="8">
        <f>F32/F$102</f>
        <v/>
      </c>
    </row>
    <row r="33">
      <c r="A33" t="n">
        <v>22</v>
      </c>
      <c r="B33" s="5" t="n">
        <v>31371.3109664737</v>
      </c>
      <c r="C33" s="8">
        <f>B33/B$102</f>
        <v/>
      </c>
      <c r="E33" s="9" t="n">
        <v>22</v>
      </c>
      <c r="F33" s="9" t="n">
        <v>30348.65964927509</v>
      </c>
      <c r="G33" s="8">
        <f>F33/F$102</f>
        <v/>
      </c>
    </row>
    <row r="34">
      <c r="A34" t="n">
        <v>23</v>
      </c>
      <c r="B34" s="5" t="n">
        <v>14483.9621031227</v>
      </c>
      <c r="C34" s="8">
        <f>B34/B$102</f>
        <v/>
      </c>
      <c r="E34" s="9" t="n">
        <v>23</v>
      </c>
      <c r="F34" s="9" t="n">
        <v>23870.5828324178</v>
      </c>
      <c r="G34" s="8">
        <f>F34/F$102</f>
        <v/>
      </c>
    </row>
    <row r="35">
      <c r="A35" t="n">
        <v>24</v>
      </c>
      <c r="B35" s="5" t="n">
        <v>21641.0403248742</v>
      </c>
      <c r="C35" s="8">
        <f>B35/B$102</f>
        <v/>
      </c>
      <c r="E35" s="9" t="n">
        <v>24</v>
      </c>
      <c r="F35" s="9" t="n">
        <v>20344.21176711612</v>
      </c>
      <c r="G35" s="8">
        <f>F35/F$102</f>
        <v/>
      </c>
    </row>
    <row r="36">
      <c r="A36" t="n">
        <v>25</v>
      </c>
      <c r="B36" s="5" t="n">
        <v>18315.0773149931</v>
      </c>
      <c r="C36" s="8">
        <f>B36/B$102</f>
        <v/>
      </c>
      <c r="E36" s="9" t="n">
        <v>25</v>
      </c>
      <c r="F36" s="9" t="n">
        <v>17857.84887768925</v>
      </c>
      <c r="G36" s="8">
        <f>F36/F$102</f>
        <v/>
      </c>
    </row>
    <row r="37">
      <c r="A37" t="n">
        <v>26</v>
      </c>
      <c r="B37" s="5" t="n">
        <v>27253.7314687657</v>
      </c>
      <c r="C37" s="8">
        <f>B37/B$102</f>
        <v/>
      </c>
      <c r="E37" s="9" t="n">
        <v>26</v>
      </c>
      <c r="F37" s="9" t="n">
        <v>15685.64706445258</v>
      </c>
      <c r="G37" s="8">
        <f>F37/F$102</f>
        <v/>
      </c>
    </row>
    <row r="38">
      <c r="A38" t="n">
        <v>27</v>
      </c>
      <c r="B38" s="5" t="n">
        <v>13933.790947589</v>
      </c>
      <c r="C38" s="8">
        <f>B38/B$102</f>
        <v/>
      </c>
      <c r="E38" s="9" t="n">
        <v>27</v>
      </c>
      <c r="F38" s="9" t="n">
        <v>11530.90053698274</v>
      </c>
      <c r="G38" s="8">
        <f>F38/F$102</f>
        <v/>
      </c>
    </row>
    <row r="39">
      <c r="A39" t="n">
        <v>28</v>
      </c>
      <c r="B39" s="5" t="n">
        <v>13873.6430692714</v>
      </c>
      <c r="C39" s="8">
        <f>B39/B$102</f>
        <v/>
      </c>
      <c r="E39" s="9" t="n">
        <v>28</v>
      </c>
      <c r="F39" s="9" t="n">
        <v>11851.70819337019</v>
      </c>
      <c r="G39" s="8">
        <f>F39/F$102</f>
        <v/>
      </c>
    </row>
    <row r="40">
      <c r="A40" t="n">
        <v>29</v>
      </c>
      <c r="B40" s="5" t="n">
        <v>10175.7087463841</v>
      </c>
      <c r="C40" s="8">
        <f>B40/B$102</f>
        <v/>
      </c>
      <c r="E40" s="9" t="n">
        <v>29</v>
      </c>
      <c r="F40" s="9" t="n">
        <v>13775.15347229051</v>
      </c>
      <c r="G40" s="8">
        <f>F40/F$102</f>
        <v/>
      </c>
    </row>
    <row r="41">
      <c r="A41" t="n">
        <v>30</v>
      </c>
      <c r="B41" s="5" t="n">
        <v>9297.3868442496</v>
      </c>
      <c r="C41" s="8">
        <f>B41/B$102</f>
        <v/>
      </c>
      <c r="E41" s="9" t="n">
        <v>30</v>
      </c>
      <c r="F41" s="9" t="n">
        <v>9450.497696646047</v>
      </c>
      <c r="G41" s="8">
        <f>F41/F$102</f>
        <v/>
      </c>
    </row>
    <row r="42">
      <c r="A42" t="n">
        <v>31</v>
      </c>
      <c r="B42" s="5" t="n">
        <v>5360.1951048411</v>
      </c>
      <c r="C42" s="8">
        <f>B42/B$102</f>
        <v/>
      </c>
      <c r="E42" s="9" t="n">
        <v>31</v>
      </c>
      <c r="F42" s="9" t="n">
        <v>8757.178917503858</v>
      </c>
      <c r="G42" s="8">
        <f>F42/F$102</f>
        <v/>
      </c>
    </row>
    <row r="43">
      <c r="A43" t="n">
        <v>32</v>
      </c>
      <c r="B43" s="5" t="n">
        <v>2913.8867434077</v>
      </c>
      <c r="C43" s="8">
        <f>B43/B$102</f>
        <v/>
      </c>
      <c r="E43" s="9" t="n">
        <v>32</v>
      </c>
      <c r="F43" s="9" t="n">
        <v>7108.783779508875</v>
      </c>
      <c r="G43" s="8">
        <f>F43/F$102</f>
        <v/>
      </c>
    </row>
    <row r="44">
      <c r="A44" t="n">
        <v>33</v>
      </c>
      <c r="B44" s="5" t="n">
        <v>8293.4907287759</v>
      </c>
      <c r="C44" s="8">
        <f>B44/B$102</f>
        <v/>
      </c>
      <c r="E44" s="9" t="n">
        <v>33</v>
      </c>
      <c r="F44" s="9" t="n">
        <v>8750.018501074901</v>
      </c>
      <c r="G44" s="8">
        <f>F44/F$102</f>
        <v/>
      </c>
    </row>
    <row r="45">
      <c r="A45" t="n">
        <v>34</v>
      </c>
      <c r="B45" s="5" t="n">
        <v>11042.4657995426</v>
      </c>
      <c r="C45" s="8">
        <f>B45/B$102</f>
        <v/>
      </c>
      <c r="E45" s="9" t="n">
        <v>34</v>
      </c>
      <c r="F45" s="9" t="n">
        <v>7999.966640463713</v>
      </c>
      <c r="G45" s="8">
        <f>F45/F$102</f>
        <v/>
      </c>
    </row>
    <row r="46">
      <c r="A46" t="n">
        <v>35</v>
      </c>
      <c r="B46" s="5" t="n">
        <v>2890.6258853281</v>
      </c>
      <c r="C46" s="8">
        <f>B46/B$102</f>
        <v/>
      </c>
      <c r="E46" s="9" t="n">
        <v>35</v>
      </c>
      <c r="F46" s="9" t="n">
        <v>7295.810925173486</v>
      </c>
      <c r="G46" s="8">
        <f>F46/F$102</f>
        <v/>
      </c>
    </row>
    <row r="47">
      <c r="A47" t="n">
        <v>36</v>
      </c>
      <c r="B47" s="5" t="n">
        <v>3595.7369614325</v>
      </c>
      <c r="C47" s="8">
        <f>B47/B$102</f>
        <v/>
      </c>
      <c r="E47" s="9" t="n">
        <v>36</v>
      </c>
      <c r="F47" s="9" t="n">
        <v>5050.069559898126</v>
      </c>
      <c r="G47" s="8">
        <f>F47/F$102</f>
        <v/>
      </c>
    </row>
    <row r="48">
      <c r="A48" t="n">
        <v>37</v>
      </c>
      <c r="B48" s="5" t="n">
        <v>4397.7934521712</v>
      </c>
      <c r="C48" s="8">
        <f>B48/B$102</f>
        <v/>
      </c>
      <c r="E48" s="9" t="n">
        <v>37</v>
      </c>
      <c r="F48" s="9" t="n">
        <v>4821.336772604347</v>
      </c>
      <c r="G48" s="8">
        <f>F48/F$102</f>
        <v/>
      </c>
    </row>
    <row r="49">
      <c r="A49" t="n">
        <v>38</v>
      </c>
      <c r="B49" s="5" t="n">
        <v>7401.8104657561</v>
      </c>
      <c r="C49" s="8">
        <f>B49/B$102</f>
        <v/>
      </c>
      <c r="E49" s="9" t="n">
        <v>38</v>
      </c>
      <c r="F49" s="9" t="n">
        <v>4934.203635743009</v>
      </c>
      <c r="G49" s="8">
        <f>F49/F$102</f>
        <v/>
      </c>
    </row>
    <row r="50">
      <c r="A50" t="n">
        <v>39</v>
      </c>
      <c r="B50" s="5" t="n">
        <v>7257.3489524035</v>
      </c>
      <c r="C50" s="8">
        <f>B50/B$102</f>
        <v/>
      </c>
      <c r="E50" s="9" t="n">
        <v>39</v>
      </c>
      <c r="F50" s="9" t="n">
        <v>4663.292403346236</v>
      </c>
      <c r="G50" s="8">
        <f>F50/F$102</f>
        <v/>
      </c>
    </row>
    <row r="51">
      <c r="A51" t="n">
        <v>40</v>
      </c>
      <c r="B51" s="5" t="n">
        <v>2179.8435373172</v>
      </c>
      <c r="C51" s="8">
        <f>B51/B$102</f>
        <v/>
      </c>
      <c r="E51" s="9" t="n">
        <v>40</v>
      </c>
      <c r="F51" s="9" t="n">
        <v>4205.182228720536</v>
      </c>
      <c r="G51" s="8">
        <f>F51/F$102</f>
        <v/>
      </c>
    </row>
    <row r="52">
      <c r="A52" t="n">
        <v>41</v>
      </c>
      <c r="B52" s="5" t="n">
        <v>1361.2943780764</v>
      </c>
      <c r="C52" s="8">
        <f>B52/B$102</f>
        <v/>
      </c>
      <c r="E52" s="9" t="n">
        <v>41</v>
      </c>
      <c r="F52" s="9" t="n">
        <v>3373.871221042071</v>
      </c>
      <c r="G52" s="8">
        <f>F52/F$102</f>
        <v/>
      </c>
    </row>
    <row r="53">
      <c r="A53" t="n">
        <v>42</v>
      </c>
      <c r="B53" s="5" t="n">
        <v>1570.429064819</v>
      </c>
      <c r="C53" s="8">
        <f>B53/B$102</f>
        <v/>
      </c>
      <c r="E53" s="9" t="n">
        <v>42</v>
      </c>
      <c r="F53" s="9" t="n">
        <v>3254.467707232201</v>
      </c>
      <c r="G53" s="8">
        <f>F53/F$102</f>
        <v/>
      </c>
    </row>
    <row r="54">
      <c r="A54" t="n">
        <v>43</v>
      </c>
      <c r="B54" s="5" t="n">
        <v>166.816897117</v>
      </c>
      <c r="C54" s="8">
        <f>B54/B$102</f>
        <v/>
      </c>
      <c r="E54" s="9" t="n">
        <v>43</v>
      </c>
      <c r="F54" s="9" t="n">
        <v>2990.716991210708</v>
      </c>
      <c r="G54" s="8">
        <f>F54/F$102</f>
        <v/>
      </c>
    </row>
    <row r="55">
      <c r="A55" t="n">
        <v>44</v>
      </c>
      <c r="B55" s="5" t="n">
        <v>1677.879461423</v>
      </c>
      <c r="C55" s="8">
        <f>B55/B$102</f>
        <v/>
      </c>
      <c r="E55" s="9" t="n">
        <v>44</v>
      </c>
      <c r="F55" s="9" t="n">
        <v>3011.411541165022</v>
      </c>
      <c r="G55" s="8">
        <f>F55/F$102</f>
        <v/>
      </c>
    </row>
    <row r="56">
      <c r="A56" t="n">
        <v>45</v>
      </c>
      <c r="B56" s="5" t="n">
        <v>34981.9315860991</v>
      </c>
      <c r="C56" s="8">
        <f>B56/B$102</f>
        <v/>
      </c>
      <c r="E56" s="9" t="n">
        <v>45</v>
      </c>
      <c r="F56" s="9" t="n">
        <v>2728.009965800097</v>
      </c>
      <c r="G56" s="8">
        <f>F56/F$102</f>
        <v/>
      </c>
    </row>
    <row r="57">
      <c r="A57" t="n">
        <v>46</v>
      </c>
      <c r="B57" s="5" t="n">
        <v>2656.6600039386</v>
      </c>
      <c r="C57" s="8">
        <f>B57/B$102</f>
        <v/>
      </c>
      <c r="E57" s="9" t="n">
        <v>46</v>
      </c>
      <c r="F57" s="9" t="n">
        <v>2417.159142650752</v>
      </c>
      <c r="G57" s="8">
        <f>F57/F$102</f>
        <v/>
      </c>
    </row>
    <row r="58">
      <c r="A58" t="n">
        <v>47</v>
      </c>
      <c r="B58" s="5" t="n">
        <v>918.5879227810001</v>
      </c>
      <c r="C58" s="8">
        <f>B58/B$102</f>
        <v/>
      </c>
      <c r="E58" s="9" t="n">
        <v>47</v>
      </c>
      <c r="F58" s="9" t="n">
        <v>2343.990339297397</v>
      </c>
      <c r="G58" s="8">
        <f>F58/F$102</f>
        <v/>
      </c>
    </row>
    <row r="59">
      <c r="A59" t="n">
        <v>48</v>
      </c>
      <c r="B59" s="5" t="n">
        <v>1523.343837732</v>
      </c>
      <c r="C59" s="8">
        <f>B59/B$102</f>
        <v/>
      </c>
      <c r="E59" s="9" t="n">
        <v>48</v>
      </c>
      <c r="F59" s="9" t="n">
        <v>1927.977387067398</v>
      </c>
      <c r="G59" s="8">
        <f>F59/F$102</f>
        <v/>
      </c>
    </row>
    <row r="60">
      <c r="A60" t="n">
        <v>49</v>
      </c>
      <c r="B60" s="5" t="n">
        <v>1317.0669416869</v>
      </c>
      <c r="C60" s="8">
        <f>B60/B$102</f>
        <v/>
      </c>
      <c r="E60" s="9" t="n">
        <v>49</v>
      </c>
      <c r="F60" s="9" t="n">
        <v>1896.343373371582</v>
      </c>
      <c r="G60" s="8">
        <f>F60/F$102</f>
        <v/>
      </c>
    </row>
    <row r="61">
      <c r="A61" t="n">
        <v>50</v>
      </c>
      <c r="B61" s="5" t="n">
        <v>576.395338841</v>
      </c>
      <c r="C61" s="8">
        <f>B61/B$102</f>
        <v/>
      </c>
      <c r="E61" s="9" t="n">
        <v>50</v>
      </c>
      <c r="F61" s="9" t="n">
        <v>1472.179765747136</v>
      </c>
      <c r="G61" s="8">
        <f>F61/F$102</f>
        <v/>
      </c>
    </row>
    <row r="62">
      <c r="A62" t="n">
        <v>51</v>
      </c>
      <c r="B62" s="5" t="n">
        <v>1820.3334592241</v>
      </c>
      <c r="C62" s="8">
        <f>B62/B$102</f>
        <v/>
      </c>
      <c r="E62" s="9" t="n">
        <v>51</v>
      </c>
      <c r="F62" s="9" t="n">
        <v>1510.989325159809</v>
      </c>
      <c r="G62" s="8">
        <f>F62/F$102</f>
        <v/>
      </c>
    </row>
    <row r="63">
      <c r="A63" t="n">
        <v>52</v>
      </c>
      <c r="B63" s="5" t="n">
        <v>2367.273756757</v>
      </c>
      <c r="C63" s="8">
        <f>B63/B$102</f>
        <v/>
      </c>
      <c r="E63" s="9" t="n">
        <v>52</v>
      </c>
      <c r="F63" s="9" t="n">
        <v>1247.554187815359</v>
      </c>
      <c r="G63" s="8">
        <f>F63/F$102</f>
        <v/>
      </c>
    </row>
    <row r="64">
      <c r="A64" t="n">
        <v>53</v>
      </c>
      <c r="B64" s="5" t="n">
        <v>1634.493287851</v>
      </c>
      <c r="C64" s="8">
        <f>B64/B$102</f>
        <v/>
      </c>
      <c r="E64" s="9" t="n">
        <v>53</v>
      </c>
      <c r="F64" s="9" t="n">
        <v>1252.329868448063</v>
      </c>
      <c r="G64" s="8">
        <f>F64/F$102</f>
        <v/>
      </c>
    </row>
    <row r="65">
      <c r="A65" t="n">
        <v>54</v>
      </c>
      <c r="B65" s="5" t="n">
        <v>497.294945861</v>
      </c>
      <c r="C65" s="8">
        <f>B65/B$102</f>
        <v/>
      </c>
      <c r="E65" s="9" t="n">
        <v>54</v>
      </c>
      <c r="F65" s="9" t="n">
        <v>1050.474314019773</v>
      </c>
      <c r="G65" s="8">
        <f>F65/F$102</f>
        <v/>
      </c>
    </row>
    <row r="66">
      <c r="A66" t="n">
        <v>55</v>
      </c>
      <c r="B66" s="5" t="n">
        <v>0</v>
      </c>
      <c r="C66" s="8">
        <f>B66/B$102</f>
        <v/>
      </c>
      <c r="E66" s="9" t="n">
        <v>55</v>
      </c>
      <c r="F66" s="9" t="n">
        <v>1081.566467419633</v>
      </c>
      <c r="G66" s="8">
        <f>F66/F$102</f>
        <v/>
      </c>
    </row>
    <row r="67">
      <c r="A67" t="n">
        <v>56</v>
      </c>
      <c r="B67" s="5" t="n">
        <v>1411.82231242</v>
      </c>
      <c r="C67" s="8">
        <f>B67/B$102</f>
        <v/>
      </c>
      <c r="E67" s="9" t="n">
        <v>56</v>
      </c>
      <c r="F67" s="9" t="n">
        <v>1180.137510497499</v>
      </c>
      <c r="G67" s="8">
        <f>F67/F$102</f>
        <v/>
      </c>
    </row>
    <row r="68">
      <c r="A68" t="n">
        <v>57</v>
      </c>
      <c r="B68" s="5" t="n">
        <v>407.7075447018</v>
      </c>
      <c r="C68" s="8">
        <f>B68/B$102</f>
        <v/>
      </c>
      <c r="E68" s="9" t="n">
        <v>57</v>
      </c>
      <c r="F68" s="9" t="n">
        <v>952.1471514267253</v>
      </c>
      <c r="G68" s="8">
        <f>F68/F$102</f>
        <v/>
      </c>
    </row>
    <row r="69">
      <c r="A69" t="n">
        <v>58</v>
      </c>
      <c r="B69" s="5" t="n">
        <v>401.236422482</v>
      </c>
      <c r="C69" s="8">
        <f>B69/B$102</f>
        <v/>
      </c>
      <c r="E69" s="9" t="n">
        <v>58</v>
      </c>
      <c r="F69" s="9" t="n">
        <v>1219.335793384472</v>
      </c>
      <c r="G69" s="8">
        <f>F69/F$102</f>
        <v/>
      </c>
    </row>
    <row r="70">
      <c r="A70" t="n">
        <v>59</v>
      </c>
      <c r="B70" s="5" t="n">
        <v>5013.607408734299</v>
      </c>
      <c r="C70" s="8">
        <f>B70/B$102</f>
        <v/>
      </c>
      <c r="E70" s="9" t="n">
        <v>59</v>
      </c>
      <c r="F70" s="9" t="n">
        <v>815.3557617770773</v>
      </c>
      <c r="G70" s="8">
        <f>F70/F$102</f>
        <v/>
      </c>
    </row>
    <row r="71">
      <c r="A71" t="n">
        <v>60</v>
      </c>
      <c r="B71" s="5" t="n">
        <v>4757.6773804485</v>
      </c>
      <c r="C71" s="8">
        <f>B71/B$102</f>
        <v/>
      </c>
      <c r="E71" s="9" t="n">
        <v>60</v>
      </c>
      <c r="F71" s="9" t="n">
        <v>767.8537619590985</v>
      </c>
      <c r="G71" s="8">
        <f>F71/F$102</f>
        <v/>
      </c>
    </row>
    <row r="72">
      <c r="A72" t="n">
        <v>61</v>
      </c>
      <c r="B72" s="5" t="n">
        <v>5067.707759863</v>
      </c>
      <c r="C72" s="8">
        <f>B72/B$102</f>
        <v/>
      </c>
      <c r="E72" s="9" t="n">
        <v>61</v>
      </c>
      <c r="F72" s="9" t="n">
        <v>673.4679508728526</v>
      </c>
      <c r="G72" s="8">
        <f>F72/F$102</f>
        <v/>
      </c>
    </row>
    <row r="73">
      <c r="A73" t="n">
        <v>62</v>
      </c>
      <c r="B73" s="5" t="n">
        <v>0</v>
      </c>
      <c r="C73" s="8">
        <f>B73/B$102</f>
        <v/>
      </c>
      <c r="E73" s="9" t="n">
        <v>62</v>
      </c>
      <c r="F73" s="9" t="n">
        <v>655.4744933615658</v>
      </c>
      <c r="G73" s="8">
        <f>F73/F$102</f>
        <v/>
      </c>
    </row>
    <row r="74">
      <c r="A74" t="n">
        <v>63</v>
      </c>
      <c r="B74" s="5" t="n">
        <v>292.681617382</v>
      </c>
      <c r="C74" s="8">
        <f>B74/B$102</f>
        <v/>
      </c>
      <c r="E74" s="9" t="n">
        <v>63</v>
      </c>
      <c r="F74" s="9" t="n">
        <v>550.4980321044319</v>
      </c>
      <c r="G74" s="8">
        <f>F74/F$102</f>
        <v/>
      </c>
    </row>
    <row r="75">
      <c r="A75" t="n">
        <v>64</v>
      </c>
      <c r="B75" s="5" t="n">
        <v>139.99557747</v>
      </c>
      <c r="C75" s="8">
        <f>B75/B$102</f>
        <v/>
      </c>
      <c r="E75" s="9" t="n">
        <v>64</v>
      </c>
      <c r="F75" s="9" t="n">
        <v>571.9612285336319</v>
      </c>
      <c r="G75" s="8">
        <f>F75/F$102</f>
        <v/>
      </c>
    </row>
    <row r="76">
      <c r="A76" t="n">
        <v>65</v>
      </c>
      <c r="B76" s="5" t="n">
        <v>0</v>
      </c>
      <c r="C76" s="8">
        <f>B76/B$102</f>
        <v/>
      </c>
      <c r="E76" s="9" t="n">
        <v>65</v>
      </c>
      <c r="F76" s="9" t="n">
        <v>495.8508426604021</v>
      </c>
      <c r="G76" s="8">
        <f>F76/F$102</f>
        <v/>
      </c>
    </row>
    <row r="77">
      <c r="A77" t="n">
        <v>66</v>
      </c>
      <c r="B77" s="5" t="n">
        <v>0</v>
      </c>
      <c r="C77" s="8">
        <f>B77/B$102</f>
        <v/>
      </c>
      <c r="E77" s="9" t="n">
        <v>66</v>
      </c>
      <c r="F77" s="9" t="n">
        <v>525.016733324561</v>
      </c>
      <c r="G77" s="8">
        <f>F77/F$102</f>
        <v/>
      </c>
    </row>
    <row r="78">
      <c r="A78" t="n">
        <v>67</v>
      </c>
      <c r="B78" s="5" t="n">
        <v>572.780526274</v>
      </c>
      <c r="C78" s="8">
        <f>B78/B$102</f>
        <v/>
      </c>
      <c r="E78" s="9" t="n">
        <v>67</v>
      </c>
      <c r="F78" s="9" t="n">
        <v>435.1524973245256</v>
      </c>
      <c r="G78" s="8">
        <f>F78/F$102</f>
        <v/>
      </c>
    </row>
    <row r="79">
      <c r="A79" t="n">
        <v>68</v>
      </c>
      <c r="B79" s="5" t="n">
        <v>417.967608267</v>
      </c>
      <c r="C79" s="8">
        <f>B79/B$102</f>
        <v/>
      </c>
      <c r="E79" s="9" t="n">
        <v>68</v>
      </c>
      <c r="F79" s="9" t="n">
        <v>408.27293090974</v>
      </c>
      <c r="G79" s="8">
        <f>F79/F$102</f>
        <v/>
      </c>
    </row>
    <row r="80">
      <c r="A80" t="n">
        <v>69</v>
      </c>
      <c r="B80" s="5" t="n">
        <v>1800.3456108754</v>
      </c>
      <c r="C80" s="8">
        <f>B80/B$102</f>
        <v/>
      </c>
      <c r="E80" s="9" t="n">
        <v>69</v>
      </c>
      <c r="F80" s="9" t="n">
        <v>394.9731796958741</v>
      </c>
      <c r="G80" s="8">
        <f>F80/F$102</f>
        <v/>
      </c>
    </row>
    <row r="81">
      <c r="A81" t="n">
        <v>70</v>
      </c>
      <c r="B81" s="5" t="n">
        <v>447.661861621</v>
      </c>
      <c r="C81" s="8">
        <f>B81/B$102</f>
        <v/>
      </c>
      <c r="E81" s="9" t="n">
        <v>70</v>
      </c>
      <c r="F81" s="9" t="n">
        <v>369.4576030665573</v>
      </c>
      <c r="G81" s="8">
        <f>F81/F$102</f>
        <v/>
      </c>
    </row>
    <row r="82">
      <c r="A82" t="n">
        <v>71</v>
      </c>
      <c r="B82" s="5" t="n">
        <v>0</v>
      </c>
      <c r="C82" s="8">
        <f>B82/B$102</f>
        <v/>
      </c>
      <c r="E82" s="9" t="n">
        <v>71</v>
      </c>
      <c r="F82" s="9" t="n">
        <v>328.5388475765147</v>
      </c>
      <c r="G82" s="8">
        <f>F82/F$102</f>
        <v/>
      </c>
    </row>
    <row r="83">
      <c r="A83" t="n">
        <v>72</v>
      </c>
      <c r="B83" s="5" t="n">
        <v>5043.1483091938</v>
      </c>
      <c r="C83" s="8">
        <f>B83/B$102</f>
        <v/>
      </c>
      <c r="E83" s="9" t="n">
        <v>72</v>
      </c>
      <c r="F83" s="9" t="n">
        <v>360.7904727370345</v>
      </c>
      <c r="G83" s="8">
        <f>F83/F$102</f>
        <v/>
      </c>
    </row>
    <row r="84">
      <c r="A84" t="n">
        <v>73</v>
      </c>
      <c r="B84" s="5" t="n">
        <v>0</v>
      </c>
      <c r="C84" s="8">
        <f>B84/B$102</f>
        <v/>
      </c>
      <c r="E84" s="9" t="n">
        <v>73</v>
      </c>
      <c r="F84" s="9" t="n">
        <v>480.2631602893667</v>
      </c>
      <c r="G84" s="8">
        <f>F84/F$102</f>
        <v/>
      </c>
    </row>
    <row r="85">
      <c r="A85" t="n">
        <v>74</v>
      </c>
      <c r="B85" s="5" t="n">
        <v>1148.663232487</v>
      </c>
      <c r="C85" s="8">
        <f>B85/B$102</f>
        <v/>
      </c>
      <c r="E85" s="9" t="n">
        <v>74</v>
      </c>
      <c r="F85" s="9" t="n">
        <v>540.7284605264837</v>
      </c>
      <c r="G85" s="8">
        <f>F85/F$102</f>
        <v/>
      </c>
    </row>
    <row r="86">
      <c r="A86" t="n">
        <v>75</v>
      </c>
      <c r="B86" s="5" t="n">
        <v>163.60110245</v>
      </c>
      <c r="C86" s="8">
        <f>B86/B$102</f>
        <v/>
      </c>
      <c r="E86" s="9" t="n">
        <v>75</v>
      </c>
      <c r="F86" s="9" t="n">
        <v>245.1396361652613</v>
      </c>
      <c r="G86" s="8">
        <f>F86/F$102</f>
        <v/>
      </c>
    </row>
    <row r="87">
      <c r="A87" t="n">
        <v>76</v>
      </c>
      <c r="B87" s="5" t="n">
        <v>389.7060896903</v>
      </c>
      <c r="C87" s="8">
        <f>B87/B$102</f>
        <v/>
      </c>
      <c r="E87" s="9" t="n">
        <v>76</v>
      </c>
      <c r="F87" s="9" t="n">
        <v>406.3168559469589</v>
      </c>
      <c r="G87" s="8">
        <f>F87/F$102</f>
        <v/>
      </c>
    </row>
    <row r="88">
      <c r="A88" t="n">
        <v>77</v>
      </c>
      <c r="B88" s="5" t="n">
        <v>675.1977254860001</v>
      </c>
      <c r="C88" s="8">
        <f>B88/B$102</f>
        <v/>
      </c>
      <c r="E88" s="9" t="n">
        <v>77</v>
      </c>
      <c r="F88" s="9" t="n">
        <v>268.7669247114815</v>
      </c>
      <c r="G88" s="8">
        <f>F88/F$102</f>
        <v/>
      </c>
    </row>
    <row r="89">
      <c r="A89" t="n">
        <v>78</v>
      </c>
      <c r="B89" s="5" t="n">
        <v>396.701349191</v>
      </c>
      <c r="C89" s="8">
        <f>B89/B$102</f>
        <v/>
      </c>
      <c r="E89" s="9" t="n">
        <v>78</v>
      </c>
      <c r="F89" s="9" t="n">
        <v>284.3251235326856</v>
      </c>
      <c r="G89" s="8">
        <f>F89/F$102</f>
        <v/>
      </c>
    </row>
    <row r="90">
      <c r="A90" t="n">
        <v>79</v>
      </c>
      <c r="B90" s="5" t="n">
        <v>0</v>
      </c>
      <c r="C90" s="8">
        <f>B90/B$102</f>
        <v/>
      </c>
      <c r="E90" s="9" t="n">
        <v>79</v>
      </c>
      <c r="F90" s="9" t="n">
        <v>274.1144004067897</v>
      </c>
      <c r="G90" s="8">
        <f>F90/F$102</f>
        <v/>
      </c>
    </row>
    <row r="91">
      <c r="A91" t="n">
        <v>80</v>
      </c>
      <c r="B91" s="5" t="n">
        <v>5233.4319689765</v>
      </c>
      <c r="C91" s="8">
        <f>B91/B$102</f>
        <v/>
      </c>
      <c r="E91" s="9" t="n">
        <v>80</v>
      </c>
      <c r="F91" s="9" t="n">
        <v>284.6076762202643</v>
      </c>
      <c r="G91" s="8">
        <f>F91/F$102</f>
        <v/>
      </c>
    </row>
    <row r="92">
      <c r="A92" t="n">
        <v>81</v>
      </c>
      <c r="B92" s="5" t="n">
        <v>0</v>
      </c>
      <c r="C92" s="8">
        <f>B92/B$102</f>
        <v/>
      </c>
      <c r="E92" s="9" t="n">
        <v>81</v>
      </c>
      <c r="F92" s="9" t="n">
        <v>346.7111411969952</v>
      </c>
      <c r="G92" s="8">
        <f>F92/F$102</f>
        <v/>
      </c>
    </row>
    <row r="93">
      <c r="A93" t="n">
        <v>82</v>
      </c>
      <c r="B93" s="5" t="n">
        <v>5586.8327977748</v>
      </c>
      <c r="C93" s="8">
        <f>B93/B$102</f>
        <v/>
      </c>
      <c r="E93" s="9" t="n">
        <v>82</v>
      </c>
      <c r="F93" s="9" t="n">
        <v>229.2999233734816</v>
      </c>
      <c r="G93" s="8">
        <f>F93/F$102</f>
        <v/>
      </c>
    </row>
    <row r="94">
      <c r="A94" t="n">
        <v>83</v>
      </c>
      <c r="B94" s="5" t="n">
        <v>4737.5454665157</v>
      </c>
      <c r="C94" s="8">
        <f>B94/B$102</f>
        <v/>
      </c>
      <c r="E94" s="9" t="n">
        <v>83</v>
      </c>
      <c r="F94" s="9" t="n">
        <v>184.9484906601208</v>
      </c>
      <c r="G94" s="8">
        <f>F94/F$102</f>
        <v/>
      </c>
    </row>
    <row r="95">
      <c r="A95" t="n">
        <v>84</v>
      </c>
      <c r="B95" s="5" t="n">
        <v>1122.5382264593</v>
      </c>
      <c r="C95" s="8">
        <f>B95/B$102</f>
        <v/>
      </c>
      <c r="E95" s="9" t="n">
        <v>84</v>
      </c>
      <c r="F95" s="9" t="n">
        <v>217.3078457659342</v>
      </c>
      <c r="G95" s="8">
        <f>F95/F$102</f>
        <v/>
      </c>
    </row>
    <row r="96">
      <c r="A96" t="n">
        <v>85</v>
      </c>
      <c r="B96" s="5" t="n">
        <v>2026.8807861107</v>
      </c>
      <c r="C96" s="8">
        <f>B96/B$102</f>
        <v/>
      </c>
      <c r="E96" s="9" t="n">
        <v>85</v>
      </c>
      <c r="F96" s="9" t="n">
        <v>230.6304056621666</v>
      </c>
      <c r="G96" s="8">
        <f>F96/F$102</f>
        <v/>
      </c>
    </row>
    <row r="97">
      <c r="A97" t="n">
        <v>86</v>
      </c>
      <c r="B97" s="5" t="n">
        <v>4191.5226006486</v>
      </c>
      <c r="C97" s="8">
        <f>B97/B$102</f>
        <v/>
      </c>
      <c r="E97" s="9" t="n">
        <v>86</v>
      </c>
      <c r="F97" s="9" t="n">
        <v>202.7089319687386</v>
      </c>
      <c r="G97" s="8">
        <f>F97/F$102</f>
        <v/>
      </c>
    </row>
    <row r="98">
      <c r="A98" t="n">
        <v>87</v>
      </c>
      <c r="B98" s="5" t="n">
        <v>180.749366264</v>
      </c>
      <c r="C98" s="8">
        <f>B98/B$102</f>
        <v/>
      </c>
      <c r="E98" s="9" t="n">
        <v>87</v>
      </c>
      <c r="F98" s="9" t="n">
        <v>156.3001638466992</v>
      </c>
      <c r="G98" s="8">
        <f>F98/F$102</f>
        <v/>
      </c>
    </row>
    <row r="99">
      <c r="A99" t="n">
        <v>88</v>
      </c>
      <c r="B99" s="5" t="n">
        <v>418.0378414412</v>
      </c>
      <c r="C99" s="8">
        <f>B99/B$102</f>
        <v/>
      </c>
      <c r="E99" s="9" t="n">
        <v>88</v>
      </c>
      <c r="F99" s="9" t="n">
        <v>146.214535416054</v>
      </c>
      <c r="G99" s="8">
        <f>F99/F$102</f>
        <v/>
      </c>
    </row>
    <row r="100">
      <c r="A100" t="n">
        <v>89</v>
      </c>
      <c r="B100" s="5" t="n">
        <v>3949.6120293596</v>
      </c>
      <c r="C100" s="8">
        <f>B100/B$102</f>
        <v/>
      </c>
      <c r="E100" s="9" t="n">
        <v>89</v>
      </c>
      <c r="F100" s="9" t="n">
        <v>139.1132244182432</v>
      </c>
      <c r="G100" s="8">
        <f>F100/F$102</f>
        <v/>
      </c>
    </row>
    <row r="101" ht="15.75" customHeight="1" thickBot="1">
      <c r="A101" s="1" t="n">
        <v>90</v>
      </c>
      <c r="B101" s="6" t="n">
        <v>29923.6103613486</v>
      </c>
      <c r="C101" s="8">
        <f>B101/B$102</f>
        <v/>
      </c>
      <c r="E101" s="10" t="n">
        <v>90</v>
      </c>
      <c r="F101" s="10" t="n">
        <v>8522.306653558004</v>
      </c>
      <c r="G101" s="8">
        <f>F101/F$102</f>
        <v/>
      </c>
    </row>
    <row r="102">
      <c r="B102" s="5">
        <f>SUM(B11:B101)</f>
        <v/>
      </c>
      <c r="C102" s="8">
        <f>B102/B$102</f>
        <v/>
      </c>
      <c r="F102" s="5">
        <f>SUM(F11:F101)</f>
        <v/>
      </c>
      <c r="G102" s="8">
        <f>F102/F$102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L102"/>
  <sheetViews>
    <sheetView workbookViewId="0">
      <selection activeCell="H11" sqref="H11"/>
    </sheetView>
  </sheetViews>
  <sheetFormatPr baseColWidth="8" defaultRowHeight="15"/>
  <cols>
    <col collapsed="1" width="13.5703125" customWidth="1" min="1" max="1"/>
    <col collapsed="1" width="9.5703125" bestFit="1" customWidth="1" min="2" max="2"/>
    <col collapsed="1" width="12" bestFit="1" customWidth="1" min="6" max="6"/>
  </cols>
  <sheetData>
    <row r="1">
      <c r="A1" t="inlineStr">
        <is>
          <t>Trip Length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distance (in miles) based on joining AM peak SOV skim values to HH survey</t>
        </is>
      </c>
    </row>
    <row r="4">
      <c r="A4" t="inlineStr">
        <is>
          <t>Frequency of trips by 1-mile increment</t>
        </is>
      </c>
    </row>
    <row r="5">
      <c r="A5" t="inlineStr">
        <is>
          <t>Distance values reflect low end of each range (ie. 0 refers to 0-1 miles)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thickBot="1">
      <c r="A9" s="3" t="inlineStr">
        <is>
          <t>Table X. Observed Trip Lengths: Survey</t>
        </is>
      </c>
      <c r="B9" s="1" t="n"/>
      <c r="E9" s="3" t="inlineStr">
        <is>
          <t>Table X. Estimated Trip Lengths</t>
        </is>
      </c>
      <c r="F9" s="1" t="n"/>
      <c r="J9" s="7" t="inlineStr">
        <is>
          <t>Table X. Average Trip Length</t>
        </is>
      </c>
    </row>
    <row r="10">
      <c r="A10" s="2" t="inlineStr">
        <is>
          <t>Distance (mi)</t>
        </is>
      </c>
      <c r="B10" s="4" t="inlineStr">
        <is>
          <t>Survey</t>
        </is>
      </c>
      <c r="C10" s="4" t="inlineStr">
        <is>
          <t>Survey</t>
        </is>
      </c>
      <c r="E10" s="2" t="inlineStr">
        <is>
          <t>Distance (mi)</t>
        </is>
      </c>
      <c r="F10" s="4" t="inlineStr">
        <is>
          <t>DaySim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5" t="n">
        <v>88989.0822894533</v>
      </c>
      <c r="C11" s="8">
        <f>B11/B$102</f>
        <v/>
      </c>
      <c r="E11" s="9" t="n">
        <v>0</v>
      </c>
      <c r="F11" s="9" t="n">
        <v>239949.6419901739</v>
      </c>
      <c r="G11" s="8">
        <f>F11/F$102</f>
        <v/>
      </c>
      <c r="K11" s="5" t="n">
        <v>6.842549838897551</v>
      </c>
      <c r="L11" s="5" t="n">
        <v>5.69398295993665</v>
      </c>
    </row>
    <row r="12">
      <c r="A12" t="n">
        <v>1</v>
      </c>
      <c r="B12" s="5" t="n">
        <v>144351.9775061903</v>
      </c>
      <c r="C12" s="8">
        <f>B12/B$102</f>
        <v/>
      </c>
      <c r="E12" s="9" t="n">
        <v>1</v>
      </c>
      <c r="F12" s="9" t="n">
        <v>194396.7750266822</v>
      </c>
      <c r="G12" s="8">
        <f>F12/F$102</f>
        <v/>
      </c>
      <c r="K12" s="5" t="n"/>
      <c r="L12" s="9" t="n"/>
    </row>
    <row r="13">
      <c r="A13" t="n">
        <v>2</v>
      </c>
      <c r="B13" s="5" t="n">
        <v>158978.2238425212</v>
      </c>
      <c r="C13" s="8">
        <f>B13/B$102</f>
        <v/>
      </c>
      <c r="E13" s="9" t="n">
        <v>2</v>
      </c>
      <c r="F13" s="9" t="n">
        <v>121564.348025702</v>
      </c>
      <c r="G13" s="8">
        <f>F13/F$102</f>
        <v/>
      </c>
    </row>
    <row r="14">
      <c r="A14" t="n">
        <v>3</v>
      </c>
      <c r="B14" s="5" t="n">
        <v>169110.3044010722</v>
      </c>
      <c r="C14" s="8">
        <f>B14/B$102</f>
        <v/>
      </c>
      <c r="E14" s="9" t="n">
        <v>3</v>
      </c>
      <c r="F14" s="9" t="n">
        <v>78158.6724407345</v>
      </c>
      <c r="G14" s="8">
        <f>F14/F$102</f>
        <v/>
      </c>
    </row>
    <row r="15">
      <c r="A15" t="n">
        <v>4</v>
      </c>
      <c r="B15" s="5" t="n">
        <v>268965.1926010485</v>
      </c>
      <c r="C15" s="8">
        <f>B15/B$102</f>
        <v/>
      </c>
      <c r="E15" s="9" t="n">
        <v>4</v>
      </c>
      <c r="F15" s="9" t="n">
        <v>276334.4610204317</v>
      </c>
      <c r="G15" s="8">
        <f>F15/F$102</f>
        <v/>
      </c>
    </row>
    <row r="16">
      <c r="A16" t="n">
        <v>5</v>
      </c>
      <c r="B16" s="5" t="n">
        <v>180812.668571439</v>
      </c>
      <c r="C16" s="8">
        <f>B16/B$102</f>
        <v/>
      </c>
      <c r="E16" s="9" t="n">
        <v>5</v>
      </c>
      <c r="F16" s="9" t="n">
        <v>150204.3540194541</v>
      </c>
      <c r="G16" s="8">
        <f>F16/F$102</f>
        <v/>
      </c>
    </row>
    <row r="17">
      <c r="A17" t="n">
        <v>6</v>
      </c>
      <c r="B17" s="5" t="n">
        <v>169934.7394024362</v>
      </c>
      <c r="C17" s="8">
        <f>B17/B$102</f>
        <v/>
      </c>
      <c r="E17" s="9" t="n">
        <v>6</v>
      </c>
      <c r="F17" s="9" t="n">
        <v>148080.703826367</v>
      </c>
      <c r="G17" s="8">
        <f>F17/F$102</f>
        <v/>
      </c>
    </row>
    <row r="18">
      <c r="A18" t="n">
        <v>7</v>
      </c>
      <c r="B18" s="5" t="n">
        <v>79434.48891362629</v>
      </c>
      <c r="C18" s="8">
        <f>B18/B$102</f>
        <v/>
      </c>
      <c r="E18" s="9" t="n">
        <v>7</v>
      </c>
      <c r="F18" s="9" t="n">
        <v>87753.13512864015</v>
      </c>
      <c r="G18" s="8">
        <f>F18/F$102</f>
        <v/>
      </c>
    </row>
    <row r="19">
      <c r="A19" t="n">
        <v>8</v>
      </c>
      <c r="B19" s="5" t="n">
        <v>65695.4420657575</v>
      </c>
      <c r="C19" s="8">
        <f>B19/B$102</f>
        <v/>
      </c>
      <c r="E19" s="9" t="n">
        <v>8</v>
      </c>
      <c r="F19" s="9" t="n">
        <v>98470.7072307396</v>
      </c>
      <c r="G19" s="8">
        <f>F19/F$102</f>
        <v/>
      </c>
    </row>
    <row r="20">
      <c r="A20" t="n">
        <v>9</v>
      </c>
      <c r="B20" s="5" t="n">
        <v>52864.0558629907</v>
      </c>
      <c r="C20" s="8">
        <f>B20/B$102</f>
        <v/>
      </c>
      <c r="E20" s="9" t="n">
        <v>9</v>
      </c>
      <c r="F20" s="9" t="n">
        <v>54387.84950522444</v>
      </c>
      <c r="G20" s="8">
        <f>F20/F$102</f>
        <v/>
      </c>
    </row>
    <row r="21">
      <c r="A21" t="n">
        <v>10</v>
      </c>
      <c r="B21" s="5" t="n">
        <v>69887.9369850826</v>
      </c>
      <c r="C21" s="8">
        <f>B21/B$102</f>
        <v/>
      </c>
      <c r="E21" s="9" t="n">
        <v>10</v>
      </c>
      <c r="F21" s="9" t="n">
        <v>36436.36593757223</v>
      </c>
      <c r="G21" s="8">
        <f>F21/F$102</f>
        <v/>
      </c>
    </row>
    <row r="22">
      <c r="A22" t="n">
        <v>11</v>
      </c>
      <c r="B22" s="5" t="n">
        <v>20370.3425742806</v>
      </c>
      <c r="C22" s="8">
        <f>B22/B$102</f>
        <v/>
      </c>
      <c r="E22" s="9" t="n">
        <v>11</v>
      </c>
      <c r="F22" s="9" t="n">
        <v>36819.93062497339</v>
      </c>
      <c r="G22" s="8">
        <f>F22/F$102</f>
        <v/>
      </c>
    </row>
    <row r="23">
      <c r="A23" t="n">
        <v>12</v>
      </c>
      <c r="B23" s="5" t="n">
        <v>40885.8840611204</v>
      </c>
      <c r="C23" s="8">
        <f>B23/B$102</f>
        <v/>
      </c>
      <c r="E23" s="9" t="n">
        <v>12</v>
      </c>
      <c r="F23" s="9" t="n">
        <v>28328.66691404259</v>
      </c>
      <c r="G23" s="8">
        <f>F23/F$102</f>
        <v/>
      </c>
    </row>
    <row r="24">
      <c r="A24" t="n">
        <v>13</v>
      </c>
      <c r="B24" s="5" t="n">
        <v>18813.9798094492</v>
      </c>
      <c r="C24" s="8">
        <f>B24/B$102</f>
        <v/>
      </c>
      <c r="E24" s="9" t="n">
        <v>13</v>
      </c>
      <c r="F24" s="9" t="n">
        <v>21166.51430064668</v>
      </c>
      <c r="G24" s="8">
        <f>F24/F$102</f>
        <v/>
      </c>
    </row>
    <row r="25">
      <c r="A25" t="n">
        <v>14</v>
      </c>
      <c r="B25" s="5" t="n">
        <v>16201.9636071072</v>
      </c>
      <c r="C25" s="8">
        <f>B25/B$102</f>
        <v/>
      </c>
      <c r="E25" s="9" t="n">
        <v>14</v>
      </c>
      <c r="F25" s="9" t="n">
        <v>22539.49927512846</v>
      </c>
      <c r="G25" s="8">
        <f>F25/F$102</f>
        <v/>
      </c>
    </row>
    <row r="26">
      <c r="A26" t="n">
        <v>15</v>
      </c>
      <c r="B26" s="5" t="n">
        <v>24241.415518188</v>
      </c>
      <c r="C26" s="8">
        <f>B26/B$102</f>
        <v/>
      </c>
      <c r="E26" s="9" t="n">
        <v>15</v>
      </c>
      <c r="F26" s="9" t="n">
        <v>20973.22805421118</v>
      </c>
      <c r="G26" s="8">
        <f>F26/F$102</f>
        <v/>
      </c>
    </row>
    <row r="27">
      <c r="A27" t="n">
        <v>16</v>
      </c>
      <c r="B27" s="5" t="n">
        <v>22263.9916033926</v>
      </c>
      <c r="C27" s="8">
        <f>B27/B$102</f>
        <v/>
      </c>
      <c r="E27" s="9" t="n">
        <v>16</v>
      </c>
      <c r="F27" s="9" t="n">
        <v>17651.06277283279</v>
      </c>
      <c r="G27" s="8">
        <f>F27/F$102</f>
        <v/>
      </c>
    </row>
    <row r="28">
      <c r="A28" t="n">
        <v>17</v>
      </c>
      <c r="B28" s="5" t="n">
        <v>13011.9076555398</v>
      </c>
      <c r="C28" s="8">
        <f>B28/B$102</f>
        <v/>
      </c>
      <c r="E28" s="9" t="n">
        <v>17</v>
      </c>
      <c r="F28" s="9" t="n">
        <v>12227.77309229061</v>
      </c>
      <c r="G28" s="8">
        <f>F28/F$102</f>
        <v/>
      </c>
    </row>
    <row r="29">
      <c r="A29" t="n">
        <v>18</v>
      </c>
      <c r="B29" s="5" t="n">
        <v>10901.8437191889</v>
      </c>
      <c r="C29" s="8">
        <f>B29/B$102</f>
        <v/>
      </c>
      <c r="E29" s="9" t="n">
        <v>18</v>
      </c>
      <c r="F29" s="9" t="n">
        <v>9266.989700792261</v>
      </c>
      <c r="G29" s="8">
        <f>F29/F$102</f>
        <v/>
      </c>
    </row>
    <row r="30">
      <c r="A30" t="n">
        <v>19</v>
      </c>
      <c r="B30" s="5" t="n">
        <v>5698.454614629301</v>
      </c>
      <c r="C30" s="8">
        <f>B30/B$102</f>
        <v/>
      </c>
      <c r="E30" s="9" t="n">
        <v>19</v>
      </c>
      <c r="F30" s="9" t="n">
        <v>6098.652184518282</v>
      </c>
      <c r="G30" s="8">
        <f>F30/F$102</f>
        <v/>
      </c>
    </row>
    <row r="31">
      <c r="A31" t="n">
        <v>20</v>
      </c>
      <c r="B31" s="5" t="n">
        <v>6297.8179559432</v>
      </c>
      <c r="C31" s="8">
        <f>B31/B$102</f>
        <v/>
      </c>
      <c r="E31" s="9" t="n">
        <v>20</v>
      </c>
      <c r="F31" s="9" t="n">
        <v>5046.828916996897</v>
      </c>
      <c r="G31" s="8">
        <f>F31/F$102</f>
        <v/>
      </c>
    </row>
    <row r="32">
      <c r="A32" t="n">
        <v>21</v>
      </c>
      <c r="B32" s="5" t="n">
        <v>4027.3734591741</v>
      </c>
      <c r="C32" s="8">
        <f>B32/B$102</f>
        <v/>
      </c>
      <c r="E32" s="9" t="n">
        <v>21</v>
      </c>
      <c r="F32" s="9" t="n">
        <v>3914.855971703777</v>
      </c>
      <c r="G32" s="8">
        <f>F32/F$102</f>
        <v/>
      </c>
    </row>
    <row r="33">
      <c r="A33" t="n">
        <v>22</v>
      </c>
      <c r="B33" s="5" t="n">
        <v>4862.7571396641</v>
      </c>
      <c r="C33" s="8">
        <f>B33/B$102</f>
        <v/>
      </c>
      <c r="E33" s="9" t="n">
        <v>22</v>
      </c>
      <c r="F33" s="9" t="n">
        <v>3746.927277646722</v>
      </c>
      <c r="G33" s="8">
        <f>F33/F$102</f>
        <v/>
      </c>
    </row>
    <row r="34">
      <c r="A34" t="n">
        <v>23</v>
      </c>
      <c r="B34" s="5" t="n">
        <v>10382.7599595237</v>
      </c>
      <c r="C34" s="8">
        <f>B34/B$102</f>
        <v/>
      </c>
      <c r="E34" s="9" t="n">
        <v>23</v>
      </c>
      <c r="F34" s="9" t="n">
        <v>2844.601680480168</v>
      </c>
      <c r="G34" s="8">
        <f>F34/F$102</f>
        <v/>
      </c>
    </row>
    <row r="35">
      <c r="A35" t="n">
        <v>24</v>
      </c>
      <c r="B35" s="5" t="n">
        <v>9946.773656600901</v>
      </c>
      <c r="C35" s="8">
        <f>B35/B$102</f>
        <v/>
      </c>
      <c r="E35" s="9" t="n">
        <v>24</v>
      </c>
      <c r="F35" s="9" t="n">
        <v>2441.248567209434</v>
      </c>
      <c r="G35" s="8">
        <f>F35/F$102</f>
        <v/>
      </c>
    </row>
    <row r="36">
      <c r="A36" t="n">
        <v>25</v>
      </c>
      <c r="B36" s="5" t="n">
        <v>3525.964048134</v>
      </c>
      <c r="C36" s="8">
        <f>B36/B$102</f>
        <v/>
      </c>
      <c r="E36" s="9" t="n">
        <v>25</v>
      </c>
      <c r="F36" s="9" t="n">
        <v>2125.416029834892</v>
      </c>
      <c r="G36" s="8">
        <f>F36/F$102</f>
        <v/>
      </c>
    </row>
    <row r="37">
      <c r="A37" t="n">
        <v>26</v>
      </c>
      <c r="B37" s="5" t="n">
        <v>9469.253023867999</v>
      </c>
      <c r="C37" s="8">
        <f>B37/B$102</f>
        <v/>
      </c>
      <c r="E37" s="9" t="n">
        <v>26</v>
      </c>
      <c r="F37" s="9" t="n">
        <v>1907.246994187935</v>
      </c>
      <c r="G37" s="8">
        <f>F37/F$102</f>
        <v/>
      </c>
    </row>
    <row r="38">
      <c r="A38" t="n">
        <v>27</v>
      </c>
      <c r="B38" s="5" t="n">
        <v>2080.830879692</v>
      </c>
      <c r="C38" s="8">
        <f>B38/B$102</f>
        <v/>
      </c>
      <c r="E38" s="9" t="n">
        <v>27</v>
      </c>
      <c r="F38" s="9" t="n">
        <v>1204.417548537577</v>
      </c>
      <c r="G38" s="8">
        <f>F38/F$102</f>
        <v/>
      </c>
    </row>
    <row r="39">
      <c r="A39" t="n">
        <v>28</v>
      </c>
      <c r="B39" s="5" t="n">
        <v>638.5252072000001</v>
      </c>
      <c r="C39" s="8">
        <f>B39/B$102</f>
        <v/>
      </c>
      <c r="E39" s="9" t="n">
        <v>28</v>
      </c>
      <c r="F39" s="9" t="n">
        <v>1161.24512760151</v>
      </c>
      <c r="G39" s="8">
        <f>F39/F$102</f>
        <v/>
      </c>
    </row>
    <row r="40">
      <c r="A40" t="n">
        <v>29</v>
      </c>
      <c r="B40" s="5" t="n">
        <v>1162.7322729418</v>
      </c>
      <c r="C40" s="8">
        <f>B40/B$102</f>
        <v/>
      </c>
      <c r="E40" s="9" t="n">
        <v>29</v>
      </c>
      <c r="F40" s="9" t="n">
        <v>848.7112187370024</v>
      </c>
      <c r="G40" s="8">
        <f>F40/F$102</f>
        <v/>
      </c>
    </row>
    <row r="41">
      <c r="A41" t="n">
        <v>30</v>
      </c>
      <c r="B41" s="5" t="n">
        <v>367.060631163</v>
      </c>
      <c r="C41" s="8">
        <f>B41/B$102</f>
        <v/>
      </c>
      <c r="E41" s="9" t="n">
        <v>30</v>
      </c>
      <c r="F41" s="9" t="n">
        <v>799.07705293837</v>
      </c>
      <c r="G41" s="8">
        <f>F41/F$102</f>
        <v/>
      </c>
    </row>
    <row r="42">
      <c r="A42" t="n">
        <v>31</v>
      </c>
      <c r="B42" s="5" t="n">
        <v>1676.031328635</v>
      </c>
      <c r="C42" s="8">
        <f>B42/B$102</f>
        <v/>
      </c>
      <c r="E42" s="9" t="n">
        <v>31</v>
      </c>
      <c r="F42" s="9" t="n">
        <v>655.1785795648971</v>
      </c>
      <c r="G42" s="8">
        <f>F42/F$102</f>
        <v/>
      </c>
    </row>
    <row r="43">
      <c r="A43" t="n">
        <v>32</v>
      </c>
      <c r="B43" s="5" t="n">
        <v>1387.7529686497</v>
      </c>
      <c r="C43" s="8">
        <f>B43/B$102</f>
        <v/>
      </c>
      <c r="E43" s="9" t="n">
        <v>32</v>
      </c>
      <c r="F43" s="9" t="n">
        <v>464.3665066584883</v>
      </c>
      <c r="G43" s="8">
        <f>F43/F$102</f>
        <v/>
      </c>
    </row>
    <row r="44">
      <c r="A44" t="n">
        <v>33</v>
      </c>
      <c r="B44" s="5" t="n">
        <v>1376.858994262</v>
      </c>
      <c r="C44" s="8">
        <f>B44/B$102</f>
        <v/>
      </c>
      <c r="E44" s="9" t="n">
        <v>33</v>
      </c>
      <c r="F44" s="9" t="n">
        <v>533.4628291770024</v>
      </c>
      <c r="G44" s="8">
        <f>F44/F$102</f>
        <v/>
      </c>
    </row>
    <row r="45">
      <c r="A45" t="n">
        <v>34</v>
      </c>
      <c r="B45" s="5" t="n">
        <v>2187.712304919</v>
      </c>
      <c r="C45" s="8">
        <f>B45/B$102</f>
        <v/>
      </c>
      <c r="E45" s="9" t="n">
        <v>34</v>
      </c>
      <c r="F45" s="9" t="n">
        <v>426.6437639171635</v>
      </c>
      <c r="G45" s="8">
        <f>F45/F$102</f>
        <v/>
      </c>
    </row>
    <row r="46">
      <c r="A46" t="n">
        <v>35</v>
      </c>
      <c r="B46" s="5" t="n">
        <v>1254.4259388314</v>
      </c>
      <c r="C46" s="8">
        <f>B46/B$102</f>
        <v/>
      </c>
      <c r="E46" s="9" t="n">
        <v>35</v>
      </c>
      <c r="F46" s="9" t="n">
        <v>343.6232909328922</v>
      </c>
      <c r="G46" s="8">
        <f>F46/F$102</f>
        <v/>
      </c>
    </row>
    <row r="47">
      <c r="A47" t="n">
        <v>36</v>
      </c>
      <c r="B47" s="5" t="n">
        <v>2138.139549584</v>
      </c>
      <c r="C47" s="8">
        <f>B47/B$102</f>
        <v/>
      </c>
      <c r="E47" s="9" t="n">
        <v>36</v>
      </c>
      <c r="F47" s="9" t="n">
        <v>378.1171168337332</v>
      </c>
      <c r="G47" s="8">
        <f>F47/F$102</f>
        <v/>
      </c>
    </row>
    <row r="48">
      <c r="A48" t="n">
        <v>37</v>
      </c>
      <c r="B48" s="5" t="n">
        <v>435.6266693499</v>
      </c>
      <c r="C48" s="8">
        <f>B48/B$102</f>
        <v/>
      </c>
      <c r="E48" s="9" t="n">
        <v>37</v>
      </c>
      <c r="F48" s="9" t="n">
        <v>249.9985672418573</v>
      </c>
      <c r="G48" s="8">
        <f>F48/F$102</f>
        <v/>
      </c>
    </row>
    <row r="49">
      <c r="A49" t="n">
        <v>38</v>
      </c>
      <c r="B49" s="5" t="n">
        <v>697.23633098</v>
      </c>
      <c r="C49" s="8">
        <f>B49/B$102</f>
        <v/>
      </c>
      <c r="E49" s="9" t="n">
        <v>38</v>
      </c>
      <c r="F49" s="9" t="n">
        <v>283.6616048335396</v>
      </c>
      <c r="G49" s="8">
        <f>F49/F$102</f>
        <v/>
      </c>
    </row>
    <row r="50">
      <c r="A50" t="n">
        <v>39</v>
      </c>
      <c r="B50" s="5" t="n">
        <v>1276.819868687</v>
      </c>
      <c r="C50" s="8">
        <f>B50/B$102</f>
        <v/>
      </c>
      <c r="E50" s="9" t="n">
        <v>39</v>
      </c>
      <c r="F50" s="9" t="n">
        <v>230.6432858258627</v>
      </c>
      <c r="G50" s="8">
        <f>F50/F$102</f>
        <v/>
      </c>
    </row>
    <row r="51">
      <c r="A51" t="n">
        <v>40</v>
      </c>
      <c r="B51" s="5" t="n">
        <v>336.097862622</v>
      </c>
      <c r="C51" s="8">
        <f>B51/B$102</f>
        <v/>
      </c>
      <c r="E51" s="9" t="n">
        <v>40</v>
      </c>
      <c r="F51" s="9" t="n">
        <v>216.0536417801789</v>
      </c>
      <c r="G51" s="8">
        <f>F51/F$102</f>
        <v/>
      </c>
    </row>
    <row r="52">
      <c r="A52" t="n">
        <v>41</v>
      </c>
      <c r="B52" s="5" t="n">
        <v>1460.367116579</v>
      </c>
      <c r="C52" s="8">
        <f>B52/B$102</f>
        <v/>
      </c>
      <c r="E52" s="9" t="n">
        <v>41</v>
      </c>
      <c r="F52" s="9" t="n">
        <v>127.3516165771021</v>
      </c>
      <c r="G52" s="8">
        <f>F52/F$102</f>
        <v/>
      </c>
    </row>
    <row r="53">
      <c r="A53" t="n">
        <v>42</v>
      </c>
      <c r="B53" s="5" t="n">
        <v>435.7994321551</v>
      </c>
      <c r="C53" s="8">
        <f>B53/B$102</f>
        <v/>
      </c>
      <c r="E53" s="9" t="n">
        <v>42</v>
      </c>
      <c r="F53" s="9" t="n">
        <v>111.6718279293556</v>
      </c>
      <c r="G53" s="8">
        <f>F53/F$102</f>
        <v/>
      </c>
    </row>
    <row r="54">
      <c r="A54" t="n">
        <v>43</v>
      </c>
      <c r="B54" s="5" t="n">
        <v>1712.091986692</v>
      </c>
      <c r="C54" s="8">
        <f>B54/B$102</f>
        <v/>
      </c>
      <c r="E54" s="9" t="n">
        <v>43</v>
      </c>
      <c r="F54" s="9" t="n">
        <v>86.60723454660882</v>
      </c>
      <c r="G54" s="8">
        <f>F54/F$102</f>
        <v/>
      </c>
    </row>
    <row r="55">
      <c r="A55" t="n">
        <v>44</v>
      </c>
      <c r="B55" s="5" t="n">
        <v>4102.962444131</v>
      </c>
      <c r="C55" s="8">
        <f>B55/B$102</f>
        <v/>
      </c>
      <c r="E55" s="9" t="n">
        <v>44</v>
      </c>
      <c r="F55" s="9" t="n">
        <v>87.84602708139205</v>
      </c>
      <c r="G55" s="8">
        <f>F55/F$102</f>
        <v/>
      </c>
    </row>
    <row r="56">
      <c r="A56" t="n">
        <v>45</v>
      </c>
      <c r="B56" s="5" t="n">
        <v>0</v>
      </c>
      <c r="C56" s="8">
        <f>B56/B$102</f>
        <v/>
      </c>
      <c r="E56" s="9" t="n">
        <v>45</v>
      </c>
      <c r="F56" s="9" t="n">
        <v>71.44492367038704</v>
      </c>
      <c r="G56" s="8">
        <f>F56/F$102</f>
        <v/>
      </c>
    </row>
    <row r="57">
      <c r="A57" t="n">
        <v>46</v>
      </c>
      <c r="B57" s="5" t="n">
        <v>0</v>
      </c>
      <c r="C57" s="8">
        <f>B57/B$102</f>
        <v/>
      </c>
      <c r="E57" s="9" t="n">
        <v>46</v>
      </c>
      <c r="F57" s="9" t="n">
        <v>46.43686558664541</v>
      </c>
      <c r="G57" s="8">
        <f>F57/F$102</f>
        <v/>
      </c>
    </row>
    <row r="58">
      <c r="A58" t="n">
        <v>47</v>
      </c>
      <c r="B58" s="5" t="n">
        <v>803.505355967</v>
      </c>
      <c r="C58" s="8">
        <f>B58/B$102</f>
        <v/>
      </c>
      <c r="E58" s="9" t="n">
        <v>47</v>
      </c>
      <c r="F58" s="9" t="n">
        <v>48.3</v>
      </c>
      <c r="G58" s="8">
        <f>F58/F$102</f>
        <v/>
      </c>
    </row>
    <row r="59">
      <c r="A59" t="n">
        <v>48</v>
      </c>
      <c r="B59" s="5" t="n">
        <v>0</v>
      </c>
      <c r="C59" s="8">
        <f>B59/B$102</f>
        <v/>
      </c>
      <c r="E59" s="9" t="n">
        <v>48</v>
      </c>
      <c r="F59" s="9" t="n">
        <v>21.31875685373161</v>
      </c>
      <c r="G59" s="8">
        <f>F59/F$102</f>
        <v/>
      </c>
    </row>
    <row r="60">
      <c r="A60" t="n">
        <v>49</v>
      </c>
      <c r="B60" s="5" t="n">
        <v>667.99538554</v>
      </c>
      <c r="C60" s="8">
        <f>B60/B$102</f>
        <v/>
      </c>
      <c r="E60" s="9" t="n">
        <v>49</v>
      </c>
      <c r="F60" s="9" t="n">
        <v>45.53222240950311</v>
      </c>
      <c r="G60" s="8">
        <f>F60/F$102</f>
        <v/>
      </c>
    </row>
    <row r="61">
      <c r="A61" t="n">
        <v>50</v>
      </c>
      <c r="B61" s="5" t="n">
        <v>0</v>
      </c>
      <c r="C61" s="8">
        <f>B61/B$102</f>
        <v/>
      </c>
      <c r="E61" s="9" t="n">
        <v>50</v>
      </c>
      <c r="F61" s="9" t="n">
        <v>28.12927807486631</v>
      </c>
      <c r="G61" s="8">
        <f>F61/F$102</f>
        <v/>
      </c>
    </row>
    <row r="62">
      <c r="A62" t="n">
        <v>51</v>
      </c>
      <c r="B62" s="5" t="n">
        <v>387.674382174</v>
      </c>
      <c r="C62" s="8">
        <f>B62/B$102</f>
        <v/>
      </c>
      <c r="E62" s="9" t="n">
        <v>51</v>
      </c>
      <c r="F62" s="9" t="n">
        <v>41.05412087097985</v>
      </c>
      <c r="G62" s="8">
        <f>F62/F$102</f>
        <v/>
      </c>
    </row>
    <row r="63">
      <c r="A63" t="n">
        <v>52</v>
      </c>
      <c r="B63" s="5" t="n">
        <v>181.031838601</v>
      </c>
      <c r="C63" s="8">
        <f>B63/B$102</f>
        <v/>
      </c>
      <c r="E63" s="9" t="n">
        <v>52</v>
      </c>
      <c r="F63" s="9" t="n">
        <v>32.89429435803338</v>
      </c>
      <c r="G63" s="8">
        <f>F63/F$102</f>
        <v/>
      </c>
    </row>
    <row r="64">
      <c r="A64" t="n">
        <v>53</v>
      </c>
      <c r="B64" s="5" t="n">
        <v>706.8156593735</v>
      </c>
      <c r="C64" s="8">
        <f>B64/B$102</f>
        <v/>
      </c>
      <c r="E64" s="9" t="n">
        <v>53</v>
      </c>
      <c r="F64" s="9" t="n">
        <v>27.6</v>
      </c>
      <c r="G64" s="8">
        <f>F64/F$102</f>
        <v/>
      </c>
    </row>
    <row r="65">
      <c r="A65" t="n">
        <v>54</v>
      </c>
      <c r="B65" s="5" t="n">
        <v>1175.904314993</v>
      </c>
      <c r="C65" s="8">
        <f>B65/B$102</f>
        <v/>
      </c>
      <c r="E65" s="9" t="n">
        <v>54</v>
      </c>
      <c r="F65" s="9" t="n">
        <v>18.4</v>
      </c>
      <c r="G65" s="8">
        <f>F65/F$102</f>
        <v/>
      </c>
    </row>
    <row r="66">
      <c r="A66" t="n">
        <v>55</v>
      </c>
      <c r="B66" s="5" t="n">
        <v>0</v>
      </c>
      <c r="C66" s="8">
        <f>B66/B$102</f>
        <v/>
      </c>
      <c r="E66" s="9" t="n">
        <v>55</v>
      </c>
      <c r="F66" s="9" t="n">
        <v>14.95</v>
      </c>
      <c r="G66" s="8">
        <f>F66/F$102</f>
        <v/>
      </c>
    </row>
    <row r="67">
      <c r="A67" t="n">
        <v>56</v>
      </c>
      <c r="B67" s="5" t="n">
        <v>1829.478686078</v>
      </c>
      <c r="C67" s="8">
        <f>B67/B$102</f>
        <v/>
      </c>
      <c r="E67" s="9" t="n">
        <v>56</v>
      </c>
      <c r="F67" s="9" t="n">
        <v>18.4</v>
      </c>
      <c r="G67" s="8">
        <f>F67/F$102</f>
        <v/>
      </c>
    </row>
    <row r="68">
      <c r="A68" t="n">
        <v>57</v>
      </c>
      <c r="B68" s="5" t="n">
        <v>542.140045727</v>
      </c>
      <c r="C68" s="8">
        <f>B68/B$102</f>
        <v/>
      </c>
      <c r="E68" s="9" t="n">
        <v>57</v>
      </c>
      <c r="F68" s="9" t="n">
        <v>4.755841698841068</v>
      </c>
      <c r="G68" s="8">
        <f>F68/F$102</f>
        <v/>
      </c>
    </row>
    <row r="69">
      <c r="A69" t="n">
        <v>58</v>
      </c>
      <c r="B69" s="5" t="n">
        <v>0</v>
      </c>
      <c r="C69" s="8">
        <f>B69/B$102</f>
        <v/>
      </c>
      <c r="E69" s="9" t="n">
        <v>58</v>
      </c>
      <c r="F69" s="9" t="n">
        <v>15.32673658235658</v>
      </c>
      <c r="G69" s="8">
        <f>F69/F$102</f>
        <v/>
      </c>
    </row>
    <row r="70">
      <c r="A70" t="n">
        <v>59</v>
      </c>
      <c r="B70" s="5" t="n">
        <v>0</v>
      </c>
      <c r="C70" s="8">
        <f>B70/B$102</f>
        <v/>
      </c>
      <c r="E70" s="9" t="n">
        <v>59</v>
      </c>
      <c r="F70" s="9" t="n">
        <v>11.5</v>
      </c>
      <c r="G70" s="8">
        <f>F70/F$102</f>
        <v/>
      </c>
    </row>
    <row r="71">
      <c r="A71" t="n">
        <v>60</v>
      </c>
      <c r="B71" s="5" t="n">
        <v>0</v>
      </c>
      <c r="C71" s="8">
        <f>B71/B$102</f>
        <v/>
      </c>
      <c r="E71" s="9" t="n">
        <v>60</v>
      </c>
      <c r="F71" s="9" t="n">
        <v>4.000235004280455</v>
      </c>
      <c r="G71" s="8">
        <f>F71/F$102</f>
        <v/>
      </c>
    </row>
    <row r="72">
      <c r="A72" t="n">
        <v>61</v>
      </c>
      <c r="B72" s="5" t="n">
        <v>0</v>
      </c>
      <c r="C72" s="8">
        <f>B72/B$102</f>
        <v/>
      </c>
      <c r="E72" s="9" t="n">
        <v>61</v>
      </c>
      <c r="F72" s="9" t="n">
        <v>9.199999999999999</v>
      </c>
      <c r="G72" s="8">
        <f>F72/F$102</f>
        <v/>
      </c>
    </row>
    <row r="73">
      <c r="A73" t="n">
        <v>62</v>
      </c>
      <c r="B73" s="5" t="n">
        <v>0</v>
      </c>
      <c r="C73" s="8">
        <f>B73/B$102</f>
        <v/>
      </c>
      <c r="E73" s="9" t="n">
        <v>62</v>
      </c>
      <c r="F73" s="9" t="n">
        <v>1.15</v>
      </c>
      <c r="G73" s="8">
        <f>F73/F$102</f>
        <v/>
      </c>
    </row>
    <row r="74">
      <c r="A74" t="n">
        <v>63</v>
      </c>
      <c r="B74" s="5" t="n">
        <v>0</v>
      </c>
      <c r="C74" s="8">
        <f>B74/B$102</f>
        <v/>
      </c>
      <c r="E74" s="9" t="n">
        <v>63</v>
      </c>
      <c r="F74" s="9" t="n">
        <v>3.899674796748008</v>
      </c>
      <c r="G74" s="8">
        <f>F74/F$102</f>
        <v/>
      </c>
    </row>
    <row r="75">
      <c r="A75" t="n">
        <v>64</v>
      </c>
      <c r="B75" s="5" t="n">
        <v>0</v>
      </c>
      <c r="C75" s="8">
        <f>B75/B$102</f>
        <v/>
      </c>
      <c r="E75" s="9" t="n">
        <v>64</v>
      </c>
      <c r="F75" s="9" t="n">
        <v>3.45</v>
      </c>
      <c r="G75" s="8">
        <f>F75/F$102</f>
        <v/>
      </c>
    </row>
    <row r="76">
      <c r="A76" t="n">
        <v>65</v>
      </c>
      <c r="B76" s="5" t="n">
        <v>0</v>
      </c>
      <c r="C76" s="8">
        <f>B76/B$102</f>
        <v/>
      </c>
      <c r="E76" s="9" t="n">
        <v>65</v>
      </c>
      <c r="F76" s="9" t="n">
        <v>0</v>
      </c>
      <c r="G76" s="8">
        <f>F76/F$102</f>
        <v/>
      </c>
    </row>
    <row r="77">
      <c r="A77" t="n">
        <v>66</v>
      </c>
      <c r="B77" s="5" t="n">
        <v>0</v>
      </c>
      <c r="C77" s="8">
        <f>B77/B$102</f>
        <v/>
      </c>
      <c r="E77" s="9" t="n">
        <v>66</v>
      </c>
      <c r="F77" s="9" t="n">
        <v>1.15</v>
      </c>
      <c r="G77" s="8">
        <f>F77/F$102</f>
        <v/>
      </c>
    </row>
    <row r="78">
      <c r="A78" t="n">
        <v>67</v>
      </c>
      <c r="B78" s="5" t="n">
        <v>0</v>
      </c>
      <c r="C78" s="8">
        <f>B78/B$102</f>
        <v/>
      </c>
      <c r="E78" s="9" t="n">
        <v>67</v>
      </c>
      <c r="F78" s="9" t="n">
        <v>1.15</v>
      </c>
      <c r="G78" s="8">
        <f>F78/F$102</f>
        <v/>
      </c>
    </row>
    <row r="79">
      <c r="A79" t="n">
        <v>68</v>
      </c>
      <c r="B79" s="5" t="n">
        <v>0</v>
      </c>
      <c r="C79" s="8">
        <f>B79/B$102</f>
        <v/>
      </c>
      <c r="E79" s="9" t="n">
        <v>68</v>
      </c>
      <c r="F79" s="9" t="n">
        <v>4.6</v>
      </c>
      <c r="G79" s="8">
        <f>F79/F$102</f>
        <v/>
      </c>
    </row>
    <row r="80">
      <c r="A80" t="n">
        <v>69</v>
      </c>
      <c r="B80" s="5" t="n">
        <v>0</v>
      </c>
      <c r="C80" s="8">
        <f>B80/B$102</f>
        <v/>
      </c>
      <c r="E80" s="9" t="n">
        <v>69</v>
      </c>
      <c r="F80" s="9" t="n">
        <v>1.15</v>
      </c>
      <c r="G80" s="8">
        <f>F80/F$102</f>
        <v/>
      </c>
    </row>
    <row r="81">
      <c r="A81" t="n">
        <v>70</v>
      </c>
      <c r="B81" s="5" t="n">
        <v>0</v>
      </c>
      <c r="C81" s="8">
        <f>B81/B$102</f>
        <v/>
      </c>
      <c r="E81" s="9" t="n">
        <v>70</v>
      </c>
      <c r="F81" s="9" t="n">
        <v>1.15</v>
      </c>
      <c r="G81" s="8">
        <f>F81/F$102</f>
        <v/>
      </c>
    </row>
    <row r="82">
      <c r="A82" t="n">
        <v>71</v>
      </c>
      <c r="B82" s="5" t="n">
        <v>215.6958943</v>
      </c>
      <c r="C82" s="8">
        <f>B82/B$102</f>
        <v/>
      </c>
      <c r="E82" s="9" t="n">
        <v>71</v>
      </c>
      <c r="F82" s="9" t="n">
        <v>0</v>
      </c>
      <c r="G82" s="8">
        <f>F82/F$102</f>
        <v/>
      </c>
    </row>
    <row r="83">
      <c r="A83" t="n">
        <v>72</v>
      </c>
      <c r="B83" s="5" t="n">
        <v>4605.9932193</v>
      </c>
      <c r="C83" s="8">
        <f>B83/B$102</f>
        <v/>
      </c>
      <c r="E83" s="9" t="n">
        <v>72</v>
      </c>
      <c r="F83" s="9" t="n">
        <v>2.3</v>
      </c>
      <c r="G83" s="8">
        <f>F83/F$102</f>
        <v/>
      </c>
    </row>
    <row r="84">
      <c r="A84" t="n">
        <v>73</v>
      </c>
      <c r="B84" s="5" t="n">
        <v>0</v>
      </c>
      <c r="C84" s="8">
        <f>B84/B$102</f>
        <v/>
      </c>
      <c r="E84" s="9" t="n">
        <v>73</v>
      </c>
      <c r="F84" s="9" t="n">
        <v>3.45</v>
      </c>
      <c r="G84" s="8">
        <f>F84/F$102</f>
        <v/>
      </c>
    </row>
    <row r="85">
      <c r="A85" t="n">
        <v>74</v>
      </c>
      <c r="B85" s="5" t="n">
        <v>0</v>
      </c>
      <c r="C85" s="8">
        <f>B85/B$102</f>
        <v/>
      </c>
      <c r="E85" s="9" t="n">
        <v>74</v>
      </c>
      <c r="F85" s="9" t="n">
        <v>2.3</v>
      </c>
      <c r="G85" s="8">
        <f>F85/F$102</f>
        <v/>
      </c>
    </row>
    <row r="86">
      <c r="A86" t="n">
        <v>75</v>
      </c>
      <c r="B86" s="5" t="n">
        <v>0</v>
      </c>
      <c r="C86" s="8">
        <f>B86/B$102</f>
        <v/>
      </c>
      <c r="E86" s="9" t="n">
        <v>75</v>
      </c>
      <c r="F86" s="9" t="n">
        <v>0</v>
      </c>
      <c r="G86" s="8">
        <f>F86/F$102</f>
        <v/>
      </c>
    </row>
    <row r="87">
      <c r="A87" t="n">
        <v>76</v>
      </c>
      <c r="B87" s="5" t="n">
        <v>0</v>
      </c>
      <c r="C87" s="8">
        <f>B87/B$102</f>
        <v/>
      </c>
      <c r="E87" s="9" t="n">
        <v>76</v>
      </c>
      <c r="F87" s="9" t="n">
        <v>0</v>
      </c>
      <c r="G87" s="8">
        <f>F87/F$102</f>
        <v/>
      </c>
    </row>
    <row r="88">
      <c r="A88" t="n">
        <v>77</v>
      </c>
      <c r="B88" s="5" t="n">
        <v>0</v>
      </c>
      <c r="C88" s="8">
        <f>B88/B$102</f>
        <v/>
      </c>
      <c r="E88" s="9" t="n">
        <v>77</v>
      </c>
      <c r="F88" s="9" t="n">
        <v>0</v>
      </c>
      <c r="G88" s="8">
        <f>F88/F$102</f>
        <v/>
      </c>
    </row>
    <row r="89">
      <c r="A89" t="n">
        <v>78</v>
      </c>
      <c r="B89" s="5" t="n">
        <v>0</v>
      </c>
      <c r="C89" s="8">
        <f>B89/B$102</f>
        <v/>
      </c>
      <c r="E89" s="9" t="n">
        <v>78</v>
      </c>
      <c r="F89" s="9" t="n">
        <v>1.15</v>
      </c>
      <c r="G89" s="8">
        <f>F89/F$102</f>
        <v/>
      </c>
    </row>
    <row r="90">
      <c r="A90" t="n">
        <v>79</v>
      </c>
      <c r="B90" s="5" t="n">
        <v>0</v>
      </c>
      <c r="C90" s="8">
        <f>B90/B$102</f>
        <v/>
      </c>
      <c r="E90" s="9" t="n">
        <v>79</v>
      </c>
      <c r="F90" s="9" t="n">
        <v>0</v>
      </c>
      <c r="G90" s="8">
        <f>F90/F$102</f>
        <v/>
      </c>
    </row>
    <row r="91">
      <c r="A91" t="n">
        <v>80</v>
      </c>
      <c r="B91" s="5" t="n">
        <v>0</v>
      </c>
      <c r="C91" s="8">
        <f>B91/B$102</f>
        <v/>
      </c>
      <c r="E91" s="9" t="n">
        <v>80</v>
      </c>
      <c r="F91" s="9" t="n">
        <v>0</v>
      </c>
      <c r="G91" s="8">
        <f>F91/F$102</f>
        <v/>
      </c>
    </row>
    <row r="92">
      <c r="A92" t="n">
        <v>81</v>
      </c>
      <c r="B92" s="5" t="n">
        <v>0</v>
      </c>
      <c r="C92" s="8">
        <f>B92/B$102</f>
        <v/>
      </c>
      <c r="E92" s="9" t="n">
        <v>81</v>
      </c>
      <c r="F92" s="9" t="n">
        <v>0</v>
      </c>
      <c r="G92" s="8">
        <f>F92/F$102</f>
        <v/>
      </c>
    </row>
    <row r="93">
      <c r="A93" t="n">
        <v>82</v>
      </c>
      <c r="B93" s="5" t="n">
        <v>0</v>
      </c>
      <c r="C93" s="8">
        <f>B93/B$102</f>
        <v/>
      </c>
      <c r="E93" s="9" t="n">
        <v>82</v>
      </c>
      <c r="F93" s="9" t="n">
        <v>0</v>
      </c>
      <c r="G93" s="8">
        <f>F93/F$102</f>
        <v/>
      </c>
    </row>
    <row r="94">
      <c r="A94" t="n">
        <v>83</v>
      </c>
      <c r="B94" s="5" t="n">
        <v>0</v>
      </c>
      <c r="C94" s="8">
        <f>B94/B$102</f>
        <v/>
      </c>
      <c r="E94" s="9" t="n">
        <v>83</v>
      </c>
      <c r="F94" s="9" t="n">
        <v>1.15</v>
      </c>
      <c r="G94" s="8">
        <f>F94/F$102</f>
        <v/>
      </c>
    </row>
    <row r="95">
      <c r="A95" t="n">
        <v>84</v>
      </c>
      <c r="B95" s="5" t="n">
        <v>0</v>
      </c>
      <c r="C95" s="8">
        <f>B95/B$102</f>
        <v/>
      </c>
      <c r="E95" s="9" t="n">
        <v>84</v>
      </c>
      <c r="F95" s="9" t="n">
        <v>0</v>
      </c>
      <c r="G95" s="8">
        <f>F95/F$102</f>
        <v/>
      </c>
    </row>
    <row r="96">
      <c r="A96" t="n">
        <v>85</v>
      </c>
      <c r="B96" s="5" t="n">
        <v>0</v>
      </c>
      <c r="C96" s="8">
        <f>B96/B$102</f>
        <v/>
      </c>
      <c r="E96" s="9" t="n">
        <v>85</v>
      </c>
      <c r="F96" s="9" t="n">
        <v>0</v>
      </c>
      <c r="G96" s="8">
        <f>F96/F$102</f>
        <v/>
      </c>
    </row>
    <row r="97">
      <c r="A97" t="n">
        <v>86</v>
      </c>
      <c r="B97" s="5" t="n">
        <v>0</v>
      </c>
      <c r="C97" s="8">
        <f>B97/B$102</f>
        <v/>
      </c>
      <c r="E97" s="9" t="n">
        <v>86</v>
      </c>
      <c r="F97" s="9" t="n">
        <v>0</v>
      </c>
      <c r="G97" s="8">
        <f>F97/F$102</f>
        <v/>
      </c>
    </row>
    <row r="98">
      <c r="A98" t="n">
        <v>87</v>
      </c>
      <c r="B98" s="5" t="n">
        <v>757.659074414</v>
      </c>
      <c r="C98" s="8">
        <f>B98/B$102</f>
        <v/>
      </c>
      <c r="E98" s="9" t="n">
        <v>87</v>
      </c>
      <c r="F98" s="9" t="n">
        <v>0</v>
      </c>
      <c r="G98" s="8">
        <f>F98/F$102</f>
        <v/>
      </c>
    </row>
    <row r="99">
      <c r="A99" t="n">
        <v>88</v>
      </c>
      <c r="B99" s="5" t="n">
        <v>0</v>
      </c>
      <c r="C99" s="8">
        <f>B99/B$102</f>
        <v/>
      </c>
      <c r="E99" s="9" t="n">
        <v>88</v>
      </c>
      <c r="F99" s="9" t="n">
        <v>0</v>
      </c>
      <c r="G99" s="8">
        <f>F99/F$102</f>
        <v/>
      </c>
    </row>
    <row r="100">
      <c r="A100" t="n">
        <v>89</v>
      </c>
      <c r="B100" s="5" t="n">
        <v>0</v>
      </c>
      <c r="C100" s="8">
        <f>B100/B$102</f>
        <v/>
      </c>
      <c r="E100" s="9" t="n">
        <v>89</v>
      </c>
      <c r="F100" s="9" t="n">
        <v>0</v>
      </c>
      <c r="G100" s="8">
        <f>F100/F$102</f>
        <v/>
      </c>
    </row>
    <row r="101" ht="15.75" customHeight="1" thickBot="1">
      <c r="A101" s="1" t="n">
        <v>90</v>
      </c>
      <c r="B101" s="6" t="n">
        <v>0</v>
      </c>
      <c r="C101" s="8">
        <f>B101/B$102</f>
        <v/>
      </c>
      <c r="E101" s="10" t="n">
        <v>90</v>
      </c>
      <c r="F101" s="10" t="n">
        <v>0</v>
      </c>
      <c r="G101" s="8">
        <f>F101/F$102</f>
        <v/>
      </c>
    </row>
    <row r="102">
      <c r="B102" s="5">
        <f>SUM(B11:B101)</f>
        <v/>
      </c>
      <c r="C102" s="8">
        <f>B102/B$102</f>
        <v/>
      </c>
      <c r="F102" s="5">
        <f>SUM(F11:F101)</f>
        <v/>
      </c>
      <c r="G102" s="8">
        <f>F102/F$102</f>
        <v/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L102"/>
  <sheetViews>
    <sheetView workbookViewId="0">
      <selection activeCell="H24" sqref="H24"/>
    </sheetView>
  </sheetViews>
  <sheetFormatPr baseColWidth="8" defaultRowHeight="15"/>
  <cols>
    <col collapsed="1" width="9.5703125" bestFit="1" customWidth="1" min="2" max="2"/>
  </cols>
  <sheetData>
    <row r="1">
      <c r="A1" t="inlineStr">
        <is>
          <t>Trip Duration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duration (in minutes) based on joining AM peak SOV skim values to HH survey</t>
        </is>
      </c>
    </row>
    <row r="4">
      <c r="A4" t="inlineStr">
        <is>
          <t>Frequency of trips by 1-minute increment</t>
        </is>
      </c>
    </row>
    <row r="5">
      <c r="A5" t="inlineStr">
        <is>
          <t>Distance values reflect low end of each range (ie. 0 refers to 0-1 minutes)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thickBot="1">
      <c r="A9" s="3" t="inlineStr">
        <is>
          <t>Table X. Observed Trip Durations: Survey</t>
        </is>
      </c>
      <c r="B9" s="1" t="n"/>
      <c r="E9" s="3" t="inlineStr">
        <is>
          <t>Table X. Estimated Trip Durations</t>
        </is>
      </c>
      <c r="F9" s="1" t="n"/>
      <c r="J9" s="7" t="inlineStr">
        <is>
          <t>Table X. Average Trip Duration</t>
        </is>
      </c>
    </row>
    <row r="10">
      <c r="A10" s="2" t="inlineStr">
        <is>
          <t>Time (min)</t>
        </is>
      </c>
      <c r="B10" s="4" t="inlineStr">
        <is>
          <t>Total</t>
        </is>
      </c>
      <c r="C10" s="4" t="inlineStr">
        <is>
          <t>Survey</t>
        </is>
      </c>
      <c r="E10" s="2" t="inlineStr">
        <is>
          <t>Time (min)</t>
        </is>
      </c>
      <c r="F10" s="4" t="inlineStr">
        <is>
          <t>Total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5" t="n">
        <v>368.29925</v>
      </c>
      <c r="C11" s="8">
        <f>B11/B$102</f>
        <v/>
      </c>
      <c r="E11" s="9" t="n">
        <v>0</v>
      </c>
      <c r="F11" s="9" t="n">
        <v>6044.471484791675</v>
      </c>
      <c r="G11" s="8">
        <f>F11/F$102</f>
        <v/>
      </c>
      <c r="K11" s="5" t="n">
        <v>38.26313382773181</v>
      </c>
      <c r="L11" s="5" t="n">
        <v>23.58768672713426</v>
      </c>
    </row>
    <row r="12">
      <c r="A12" t="n">
        <v>1</v>
      </c>
      <c r="B12" s="5" t="n">
        <v>2411.760922769</v>
      </c>
      <c r="C12" s="8">
        <f>B12/B$102</f>
        <v/>
      </c>
      <c r="E12" s="9" t="n">
        <v>1</v>
      </c>
      <c r="F12" s="9" t="n">
        <v>26323.51283775831</v>
      </c>
      <c r="G12" s="8">
        <f>F12/F$102</f>
        <v/>
      </c>
      <c r="K12" s="5" t="n"/>
      <c r="L12" s="9" t="n"/>
    </row>
    <row r="13">
      <c r="A13" t="n">
        <v>2</v>
      </c>
      <c r="B13" s="5" t="n">
        <v>4038.557173837</v>
      </c>
      <c r="C13" s="8">
        <f>B13/B$102</f>
        <v/>
      </c>
      <c r="E13" s="9" t="n">
        <v>2</v>
      </c>
      <c r="F13" s="9" t="n">
        <v>31352.81190399315</v>
      </c>
      <c r="G13" s="8">
        <f>F13/F$102</f>
        <v/>
      </c>
    </row>
    <row r="14">
      <c r="A14" t="n">
        <v>3</v>
      </c>
      <c r="B14" s="5" t="n">
        <v>6571.010847690401</v>
      </c>
      <c r="C14" s="8">
        <f>B14/B$102</f>
        <v/>
      </c>
      <c r="E14" s="9" t="n">
        <v>3</v>
      </c>
      <c r="F14" s="9" t="n">
        <v>36075.48671691554</v>
      </c>
      <c r="G14" s="8">
        <f>F14/F$102</f>
        <v/>
      </c>
    </row>
    <row r="15">
      <c r="A15" t="n">
        <v>4</v>
      </c>
      <c r="B15" s="5" t="n">
        <v>16601.6039507372</v>
      </c>
      <c r="C15" s="8">
        <f>B15/B$102</f>
        <v/>
      </c>
      <c r="E15" s="9" t="n">
        <v>4</v>
      </c>
      <c r="F15" s="9" t="n">
        <v>39775.544430894</v>
      </c>
      <c r="G15" s="8">
        <f>F15/F$102</f>
        <v/>
      </c>
    </row>
    <row r="16">
      <c r="A16" t="n">
        <v>5</v>
      </c>
      <c r="B16" s="5" t="n">
        <v>16278.7115252013</v>
      </c>
      <c r="C16" s="8">
        <f>B16/B$102</f>
        <v/>
      </c>
      <c r="E16" s="9" t="n">
        <v>5</v>
      </c>
      <c r="F16" s="9" t="n">
        <v>41278.67080734154</v>
      </c>
      <c r="G16" s="8">
        <f>F16/F$102</f>
        <v/>
      </c>
    </row>
    <row r="17">
      <c r="A17" t="n">
        <v>6</v>
      </c>
      <c r="B17" s="5" t="n">
        <v>20724.5894366958</v>
      </c>
      <c r="C17" s="8">
        <f>B17/B$102</f>
        <v/>
      </c>
      <c r="E17" s="9" t="n">
        <v>6</v>
      </c>
      <c r="F17" s="9" t="n">
        <v>42157.87508549511</v>
      </c>
      <c r="G17" s="8">
        <f>F17/F$102</f>
        <v/>
      </c>
    </row>
    <row r="18">
      <c r="A18" t="n">
        <v>7</v>
      </c>
      <c r="B18" s="5" t="n">
        <v>25749.0615776126</v>
      </c>
      <c r="C18" s="8">
        <f>B18/B$102</f>
        <v/>
      </c>
      <c r="E18" s="9" t="n">
        <v>7</v>
      </c>
      <c r="F18" s="9" t="n">
        <v>42413.41841165206</v>
      </c>
      <c r="G18" s="8">
        <f>F18/F$102</f>
        <v/>
      </c>
    </row>
    <row r="19">
      <c r="A19" t="n">
        <v>8</v>
      </c>
      <c r="B19" s="5" t="n">
        <v>17257.3536694294</v>
      </c>
      <c r="C19" s="8">
        <f>B19/B$102</f>
        <v/>
      </c>
      <c r="E19" s="9" t="n">
        <v>8</v>
      </c>
      <c r="F19" s="9" t="n">
        <v>40896.40333527407</v>
      </c>
      <c r="G19" s="8">
        <f>F19/F$102</f>
        <v/>
      </c>
    </row>
    <row r="20">
      <c r="A20" t="n">
        <v>9</v>
      </c>
      <c r="B20" s="5" t="n">
        <v>39041.5516553527</v>
      </c>
      <c r="C20" s="8">
        <f>B20/B$102</f>
        <v/>
      </c>
      <c r="E20" s="9" t="n">
        <v>9</v>
      </c>
      <c r="F20" s="9" t="n">
        <v>39264.13491982923</v>
      </c>
      <c r="G20" s="8">
        <f>F20/F$102</f>
        <v/>
      </c>
    </row>
    <row r="21">
      <c r="A21" t="n">
        <v>10</v>
      </c>
      <c r="B21" s="5" t="n">
        <v>16682.6697958489</v>
      </c>
      <c r="C21" s="8">
        <f>B21/B$102</f>
        <v/>
      </c>
      <c r="E21" s="9" t="n">
        <v>10</v>
      </c>
      <c r="F21" s="9" t="n">
        <v>36791.42216513758</v>
      </c>
      <c r="G21" s="8">
        <f>F21/F$102</f>
        <v/>
      </c>
    </row>
    <row r="22">
      <c r="A22" t="n">
        <v>11</v>
      </c>
      <c r="B22" s="5" t="n">
        <v>14319.2101663653</v>
      </c>
      <c r="C22" s="8">
        <f>B22/B$102</f>
        <v/>
      </c>
      <c r="E22" s="9" t="n">
        <v>11</v>
      </c>
      <c r="F22" s="9" t="n">
        <v>34144.2441529448</v>
      </c>
      <c r="G22" s="8">
        <f>F22/F$102</f>
        <v/>
      </c>
    </row>
    <row r="23">
      <c r="A23" t="n">
        <v>12</v>
      </c>
      <c r="B23" s="5" t="n">
        <v>36046.3612831153</v>
      </c>
      <c r="C23" s="8">
        <f>B23/B$102</f>
        <v/>
      </c>
      <c r="E23" s="9" t="n">
        <v>12</v>
      </c>
      <c r="F23" s="9" t="n">
        <v>31958.11855437117</v>
      </c>
      <c r="G23" s="8">
        <f>F23/F$102</f>
        <v/>
      </c>
    </row>
    <row r="24">
      <c r="A24" t="n">
        <v>13</v>
      </c>
      <c r="B24" s="5" t="n">
        <v>31006.3875118472</v>
      </c>
      <c r="C24" s="8">
        <f>B24/B$102</f>
        <v/>
      </c>
      <c r="E24" s="9" t="n">
        <v>13</v>
      </c>
      <c r="F24" s="9" t="n">
        <v>28908.42262723787</v>
      </c>
      <c r="G24" s="8">
        <f>F24/F$102</f>
        <v/>
      </c>
    </row>
    <row r="25">
      <c r="A25" t="n">
        <v>14</v>
      </c>
      <c r="B25" s="5" t="n">
        <v>18556.9947950918</v>
      </c>
      <c r="C25" s="8">
        <f>B25/B$102</f>
        <v/>
      </c>
      <c r="E25" s="9" t="n">
        <v>14</v>
      </c>
      <c r="F25" s="9" t="n">
        <v>25586.81570059013</v>
      </c>
      <c r="G25" s="8">
        <f>F25/F$102</f>
        <v/>
      </c>
    </row>
    <row r="26">
      <c r="A26" t="n">
        <v>15</v>
      </c>
      <c r="B26" s="5" t="n">
        <v>12120.2283892984</v>
      </c>
      <c r="C26" s="8">
        <f>B26/B$102</f>
        <v/>
      </c>
      <c r="E26" s="9" t="n">
        <v>15</v>
      </c>
      <c r="F26" s="9" t="n">
        <v>25698.78527038589</v>
      </c>
      <c r="G26" s="8">
        <f>F26/F$102</f>
        <v/>
      </c>
    </row>
    <row r="27">
      <c r="A27" t="n">
        <v>16</v>
      </c>
      <c r="B27" s="5" t="n">
        <v>44631.4887250049</v>
      </c>
      <c r="C27" s="8">
        <f>B27/B$102</f>
        <v/>
      </c>
      <c r="E27" s="9" t="n">
        <v>16</v>
      </c>
      <c r="F27" s="9" t="n">
        <v>23531.96375568549</v>
      </c>
      <c r="G27" s="8">
        <f>F27/F$102</f>
        <v/>
      </c>
    </row>
    <row r="28">
      <c r="A28" t="n">
        <v>17</v>
      </c>
      <c r="B28" s="5" t="n">
        <v>25216.9409814584</v>
      </c>
      <c r="C28" s="8">
        <f>B28/B$102</f>
        <v/>
      </c>
      <c r="E28" s="9" t="n">
        <v>17</v>
      </c>
      <c r="F28" s="9" t="n">
        <v>21407.83715146285</v>
      </c>
      <c r="G28" s="8">
        <f>F28/F$102</f>
        <v/>
      </c>
    </row>
    <row r="29">
      <c r="A29" t="n">
        <v>18</v>
      </c>
      <c r="B29" s="5" t="n">
        <v>84915.0012217678</v>
      </c>
      <c r="C29" s="8">
        <f>B29/B$102</f>
        <v/>
      </c>
      <c r="E29" s="9" t="n">
        <v>18</v>
      </c>
      <c r="F29" s="9" t="n">
        <v>184711.6941492819</v>
      </c>
      <c r="G29" s="8">
        <f>F29/F$102</f>
        <v/>
      </c>
    </row>
    <row r="30">
      <c r="A30" t="n">
        <v>19</v>
      </c>
      <c r="B30" s="5" t="n">
        <v>79424.4108762523</v>
      </c>
      <c r="C30" s="8">
        <f>B30/B$102</f>
        <v/>
      </c>
      <c r="E30" s="9" t="n">
        <v>19</v>
      </c>
      <c r="F30" s="9" t="n">
        <v>71702.80453496073</v>
      </c>
      <c r="G30" s="8">
        <f>F30/F$102</f>
        <v/>
      </c>
    </row>
    <row r="31">
      <c r="A31" t="n">
        <v>20</v>
      </c>
      <c r="B31" s="5" t="n">
        <v>82049.9900974831</v>
      </c>
      <c r="C31" s="8">
        <f>B31/B$102</f>
        <v/>
      </c>
      <c r="E31" s="9" t="n">
        <v>20</v>
      </c>
      <c r="F31" s="9" t="n">
        <v>64692.85318942065</v>
      </c>
      <c r="G31" s="8">
        <f>F31/F$102</f>
        <v/>
      </c>
    </row>
    <row r="32">
      <c r="A32" t="n">
        <v>21</v>
      </c>
      <c r="B32" s="5" t="n">
        <v>68277.3501920338</v>
      </c>
      <c r="C32" s="8">
        <f>B32/B$102</f>
        <v/>
      </c>
      <c r="E32" s="9" t="n">
        <v>21</v>
      </c>
      <c r="F32" s="9" t="n">
        <v>84201.73339331606</v>
      </c>
      <c r="G32" s="8">
        <f>F32/F$102</f>
        <v/>
      </c>
    </row>
    <row r="33">
      <c r="A33" t="n">
        <v>22</v>
      </c>
      <c r="B33" s="5" t="n">
        <v>68910.1250589409</v>
      </c>
      <c r="C33" s="8">
        <f>B33/B$102</f>
        <v/>
      </c>
      <c r="E33" s="9" t="n">
        <v>22</v>
      </c>
      <c r="F33" s="9" t="n">
        <v>82901.25693453666</v>
      </c>
      <c r="G33" s="8">
        <f>F33/F$102</f>
        <v/>
      </c>
    </row>
    <row r="34">
      <c r="A34" t="n">
        <v>23</v>
      </c>
      <c r="B34" s="5" t="n">
        <v>50837.4078489238</v>
      </c>
      <c r="C34" s="8">
        <f>B34/B$102</f>
        <v/>
      </c>
      <c r="E34" s="9" t="n">
        <v>23</v>
      </c>
      <c r="F34" s="9" t="n">
        <v>62401.67603315846</v>
      </c>
      <c r="G34" s="8">
        <f>F34/F$102</f>
        <v/>
      </c>
    </row>
    <row r="35">
      <c r="A35" t="n">
        <v>24</v>
      </c>
      <c r="B35" s="5" t="n">
        <v>41929.7968305026</v>
      </c>
      <c r="C35" s="8">
        <f>B35/B$102</f>
        <v/>
      </c>
      <c r="E35" s="9" t="n">
        <v>24</v>
      </c>
      <c r="F35" s="9" t="n">
        <v>53907.61519314902</v>
      </c>
      <c r="G35" s="8">
        <f>F35/F$102</f>
        <v/>
      </c>
    </row>
    <row r="36">
      <c r="A36" t="n">
        <v>25</v>
      </c>
      <c r="B36" s="5" t="n">
        <v>31284.4027934759</v>
      </c>
      <c r="C36" s="8">
        <f>B36/B$102</f>
        <v/>
      </c>
      <c r="E36" s="9" t="n">
        <v>25</v>
      </c>
      <c r="F36" s="9" t="n">
        <v>50223.83749324787</v>
      </c>
      <c r="G36" s="8">
        <f>F36/F$102</f>
        <v/>
      </c>
    </row>
    <row r="37">
      <c r="A37" t="n">
        <v>26</v>
      </c>
      <c r="B37" s="5" t="n">
        <v>84672.2549033893</v>
      </c>
      <c r="C37" s="8">
        <f>B37/B$102</f>
        <v/>
      </c>
      <c r="E37" s="9" t="n">
        <v>26</v>
      </c>
      <c r="F37" s="9" t="n">
        <v>42505.47843566506</v>
      </c>
      <c r="G37" s="8">
        <f>F37/F$102</f>
        <v/>
      </c>
    </row>
    <row r="38">
      <c r="A38" t="n">
        <v>27</v>
      </c>
      <c r="B38" s="5" t="n">
        <v>28838.155832383</v>
      </c>
      <c r="C38" s="8">
        <f>B38/B$102</f>
        <v/>
      </c>
      <c r="E38" s="9" t="n">
        <v>27</v>
      </c>
      <c r="F38" s="9" t="n">
        <v>32514.89975085476</v>
      </c>
      <c r="G38" s="8">
        <f>F38/F$102</f>
        <v/>
      </c>
    </row>
    <row r="39">
      <c r="A39" t="n">
        <v>28</v>
      </c>
      <c r="B39" s="5" t="n">
        <v>22226.6761522549</v>
      </c>
      <c r="C39" s="8">
        <f>B39/B$102</f>
        <v/>
      </c>
      <c r="E39" s="9" t="n">
        <v>28</v>
      </c>
      <c r="F39" s="9" t="n">
        <v>31796.4009833199</v>
      </c>
      <c r="G39" s="8">
        <f>F39/F$102</f>
        <v/>
      </c>
    </row>
    <row r="40">
      <c r="A40" t="n">
        <v>29</v>
      </c>
      <c r="B40" s="5" t="n">
        <v>43361.8089197</v>
      </c>
      <c r="C40" s="8">
        <f>B40/B$102</f>
        <v/>
      </c>
      <c r="E40" s="9" t="n">
        <v>29</v>
      </c>
      <c r="F40" s="9" t="n">
        <v>39865.78775696142</v>
      </c>
      <c r="G40" s="8">
        <f>F40/F$102</f>
        <v/>
      </c>
    </row>
    <row r="41">
      <c r="A41" t="n">
        <v>30</v>
      </c>
      <c r="B41" s="5" t="n">
        <v>25489.2119566235</v>
      </c>
      <c r="C41" s="8">
        <f>B41/B$102</f>
        <v/>
      </c>
      <c r="E41" s="9" t="n">
        <v>30</v>
      </c>
      <c r="F41" s="9" t="n">
        <v>26945.22032511514</v>
      </c>
      <c r="G41" s="8">
        <f>F41/F$102</f>
        <v/>
      </c>
    </row>
    <row r="42">
      <c r="A42" t="n">
        <v>31</v>
      </c>
      <c r="B42" s="5" t="n">
        <v>23761.4995220654</v>
      </c>
      <c r="C42" s="8">
        <f>B42/B$102</f>
        <v/>
      </c>
      <c r="E42" s="9" t="n">
        <v>31</v>
      </c>
      <c r="F42" s="9" t="n">
        <v>25580.08549183449</v>
      </c>
      <c r="G42" s="8">
        <f>F42/F$102</f>
        <v/>
      </c>
    </row>
    <row r="43">
      <c r="A43" t="n">
        <v>32</v>
      </c>
      <c r="B43" s="5" t="n">
        <v>19434.9311217531</v>
      </c>
      <c r="C43" s="8">
        <f>B43/B$102</f>
        <v/>
      </c>
      <c r="E43" s="9" t="n">
        <v>32</v>
      </c>
      <c r="F43" s="9" t="n">
        <v>17261.76030922043</v>
      </c>
      <c r="G43" s="8">
        <f>F43/F$102</f>
        <v/>
      </c>
    </row>
    <row r="44">
      <c r="A44" t="n">
        <v>33</v>
      </c>
      <c r="B44" s="5" t="n">
        <v>13879.9921380944</v>
      </c>
      <c r="C44" s="8">
        <f>B44/B$102</f>
        <v/>
      </c>
      <c r="E44" s="9" t="n">
        <v>33</v>
      </c>
      <c r="F44" s="9" t="n">
        <v>18959.07175128523</v>
      </c>
      <c r="G44" s="8">
        <f>F44/F$102</f>
        <v/>
      </c>
    </row>
    <row r="45">
      <c r="A45" t="n">
        <v>34</v>
      </c>
      <c r="B45" s="5" t="n">
        <v>23300.5184110957</v>
      </c>
      <c r="C45" s="8">
        <f>B45/B$102</f>
        <v/>
      </c>
      <c r="E45" s="9" t="n">
        <v>34</v>
      </c>
      <c r="F45" s="9" t="n">
        <v>21758.35277383226</v>
      </c>
      <c r="G45" s="8">
        <f>F45/F$102</f>
        <v/>
      </c>
    </row>
    <row r="46">
      <c r="A46" t="n">
        <v>35</v>
      </c>
      <c r="B46" s="5" t="n">
        <v>19565.3307746215</v>
      </c>
      <c r="C46" s="8">
        <f>B46/B$102</f>
        <v/>
      </c>
      <c r="E46" s="9" t="n">
        <v>35</v>
      </c>
      <c r="F46" s="9" t="n">
        <v>16090.62325975179</v>
      </c>
      <c r="G46" s="8">
        <f>F46/F$102</f>
        <v/>
      </c>
    </row>
    <row r="47">
      <c r="A47" t="n">
        <v>36</v>
      </c>
      <c r="B47" s="5" t="n">
        <v>19454.9918892523</v>
      </c>
      <c r="C47" s="8">
        <f>B47/B$102</f>
        <v/>
      </c>
      <c r="E47" s="9" t="n">
        <v>36</v>
      </c>
      <c r="F47" s="9" t="n">
        <v>11100.9876036311</v>
      </c>
      <c r="G47" s="8">
        <f>F47/F$102</f>
        <v/>
      </c>
    </row>
    <row r="48">
      <c r="A48" t="n">
        <v>37</v>
      </c>
      <c r="B48" s="5" t="n">
        <v>17439.1436846392</v>
      </c>
      <c r="C48" s="8">
        <f>B48/B$102</f>
        <v/>
      </c>
      <c r="E48" s="9" t="n">
        <v>37</v>
      </c>
      <c r="F48" s="9" t="n">
        <v>10813.68408994662</v>
      </c>
      <c r="G48" s="8">
        <f>F48/F$102</f>
        <v/>
      </c>
    </row>
    <row r="49">
      <c r="A49" t="n">
        <v>38</v>
      </c>
      <c r="B49" s="5" t="n">
        <v>18335.1533396258</v>
      </c>
      <c r="C49" s="8">
        <f>B49/B$102</f>
        <v/>
      </c>
      <c r="E49" s="9" t="n">
        <v>38</v>
      </c>
      <c r="F49" s="9" t="n">
        <v>10614.96283764803</v>
      </c>
      <c r="G49" s="8">
        <f>F49/F$102</f>
        <v/>
      </c>
    </row>
    <row r="50">
      <c r="A50" t="n">
        <v>39</v>
      </c>
      <c r="B50" s="5" t="n">
        <v>4167.0391510542</v>
      </c>
      <c r="C50" s="8">
        <f>B50/B$102</f>
        <v/>
      </c>
      <c r="E50" s="9" t="n">
        <v>39</v>
      </c>
      <c r="F50" s="9" t="n">
        <v>11387.95847147789</v>
      </c>
      <c r="G50" s="8">
        <f>F50/F$102</f>
        <v/>
      </c>
    </row>
    <row r="51">
      <c r="A51" t="n">
        <v>40</v>
      </c>
      <c r="B51" s="5" t="n">
        <v>7278.7932509961</v>
      </c>
      <c r="C51" s="8">
        <f>B51/B$102</f>
        <v/>
      </c>
      <c r="E51" s="9" t="n">
        <v>40</v>
      </c>
      <c r="F51" s="9" t="n">
        <v>8596.02221044185</v>
      </c>
      <c r="G51" s="8">
        <f>F51/F$102</f>
        <v/>
      </c>
    </row>
    <row r="52">
      <c r="A52" t="n">
        <v>41</v>
      </c>
      <c r="B52" s="5" t="n">
        <v>5349.789588329</v>
      </c>
      <c r="C52" s="8">
        <f>B52/B$102</f>
        <v/>
      </c>
      <c r="E52" s="9" t="n">
        <v>41</v>
      </c>
      <c r="F52" s="9" t="n">
        <v>6449.451391588721</v>
      </c>
      <c r="G52" s="8">
        <f>F52/F$102</f>
        <v/>
      </c>
    </row>
    <row r="53">
      <c r="A53" t="n">
        <v>42</v>
      </c>
      <c r="B53" s="5" t="n">
        <v>8051.5280820192</v>
      </c>
      <c r="C53" s="8">
        <f>B53/B$102</f>
        <v/>
      </c>
      <c r="E53" s="9" t="n">
        <v>42</v>
      </c>
      <c r="F53" s="9" t="n">
        <v>6953.964193953841</v>
      </c>
      <c r="G53" s="8">
        <f>F53/F$102</f>
        <v/>
      </c>
    </row>
    <row r="54">
      <c r="A54" t="n">
        <v>43</v>
      </c>
      <c r="B54" s="5" t="n">
        <v>3386.0244571352</v>
      </c>
      <c r="C54" s="8">
        <f>B54/B$102</f>
        <v/>
      </c>
      <c r="E54" s="9" t="n">
        <v>43</v>
      </c>
      <c r="F54" s="9" t="n">
        <v>5702.187167387986</v>
      </c>
      <c r="G54" s="8">
        <f>F54/F$102</f>
        <v/>
      </c>
    </row>
    <row r="55">
      <c r="A55" t="n">
        <v>44</v>
      </c>
      <c r="B55" s="5" t="n">
        <v>2497.7442771053</v>
      </c>
      <c r="C55" s="8">
        <f>B55/B$102</f>
        <v/>
      </c>
      <c r="E55" s="9" t="n">
        <v>44</v>
      </c>
      <c r="F55" s="9" t="n">
        <v>6980.081596296137</v>
      </c>
      <c r="G55" s="8">
        <f>F55/F$102</f>
        <v/>
      </c>
    </row>
    <row r="56">
      <c r="A56" t="n">
        <v>45</v>
      </c>
      <c r="B56" s="5" t="n">
        <v>53948.4080062041</v>
      </c>
      <c r="C56" s="8">
        <f>B56/B$102</f>
        <v/>
      </c>
      <c r="E56" s="9" t="n">
        <v>45</v>
      </c>
      <c r="F56" s="9" t="n">
        <v>4737.533509828237</v>
      </c>
      <c r="G56" s="8">
        <f>F56/F$102</f>
        <v/>
      </c>
    </row>
    <row r="57">
      <c r="A57" t="n">
        <v>46</v>
      </c>
      <c r="B57" s="5" t="n">
        <v>6923.3587785405</v>
      </c>
      <c r="C57" s="8">
        <f>B57/B$102</f>
        <v/>
      </c>
      <c r="E57" s="9" t="n">
        <v>46</v>
      </c>
      <c r="F57" s="9" t="n">
        <v>4326.384216228423</v>
      </c>
      <c r="G57" s="8">
        <f>F57/F$102</f>
        <v/>
      </c>
    </row>
    <row r="58">
      <c r="A58" t="n">
        <v>47</v>
      </c>
      <c r="B58" s="5" t="n">
        <v>3929.6750976079</v>
      </c>
      <c r="C58" s="8">
        <f>B58/B$102</f>
        <v/>
      </c>
      <c r="E58" s="9" t="n">
        <v>47</v>
      </c>
      <c r="F58" s="9" t="n">
        <v>3918.732153326408</v>
      </c>
      <c r="G58" s="8">
        <f>F58/F$102</f>
        <v/>
      </c>
    </row>
    <row r="59">
      <c r="A59" t="n">
        <v>48</v>
      </c>
      <c r="B59" s="5" t="n">
        <v>17507.0420864266</v>
      </c>
      <c r="C59" s="8">
        <f>B59/B$102</f>
        <v/>
      </c>
      <c r="E59" s="9" t="n">
        <v>48</v>
      </c>
      <c r="F59" s="9" t="n">
        <v>4498.349814814796</v>
      </c>
      <c r="G59" s="8">
        <f>F59/F$102</f>
        <v/>
      </c>
    </row>
    <row r="60">
      <c r="A60" t="n">
        <v>49</v>
      </c>
      <c r="B60" s="5" t="n">
        <v>7260.8377199875</v>
      </c>
      <c r="C60" s="8">
        <f>B60/B$102</f>
        <v/>
      </c>
      <c r="E60" s="9" t="n">
        <v>49</v>
      </c>
      <c r="F60" s="9" t="n">
        <v>5486.530805545528</v>
      </c>
      <c r="G60" s="8">
        <f>F60/F$102</f>
        <v/>
      </c>
    </row>
    <row r="61">
      <c r="A61" t="n">
        <v>50</v>
      </c>
      <c r="B61" s="5" t="n">
        <v>745.499793006</v>
      </c>
      <c r="C61" s="8">
        <f>B61/B$102</f>
        <v/>
      </c>
      <c r="E61" s="9" t="n">
        <v>50</v>
      </c>
      <c r="F61" s="9" t="n">
        <v>2884.170672644299</v>
      </c>
      <c r="G61" s="8">
        <f>F61/F$102</f>
        <v/>
      </c>
    </row>
    <row r="62">
      <c r="A62" t="n">
        <v>51</v>
      </c>
      <c r="B62" s="5" t="n">
        <v>10964.0939276254</v>
      </c>
      <c r="C62" s="8">
        <f>B62/B$102</f>
        <v/>
      </c>
      <c r="E62" s="9" t="n">
        <v>51</v>
      </c>
      <c r="F62" s="9" t="n">
        <v>2845.567004791505</v>
      </c>
      <c r="G62" s="8">
        <f>F62/F$102</f>
        <v/>
      </c>
    </row>
    <row r="63">
      <c r="A63" t="n">
        <v>52</v>
      </c>
      <c r="B63" s="5" t="n">
        <v>4978.2120747738</v>
      </c>
      <c r="C63" s="8">
        <f>B63/B$102</f>
        <v/>
      </c>
      <c r="E63" s="9" t="n">
        <v>52</v>
      </c>
      <c r="F63" s="9" t="n">
        <v>2505.596580535708</v>
      </c>
      <c r="G63" s="8">
        <f>F63/F$102</f>
        <v/>
      </c>
    </row>
    <row r="64">
      <c r="A64" t="n">
        <v>53</v>
      </c>
      <c r="B64" s="5" t="n">
        <v>1480.5867408829</v>
      </c>
      <c r="C64" s="8">
        <f>B64/B$102</f>
        <v/>
      </c>
      <c r="E64" s="9" t="n">
        <v>53</v>
      </c>
      <c r="F64" s="9" t="n">
        <v>2588.084773302717</v>
      </c>
      <c r="G64" s="8">
        <f>F64/F$102</f>
        <v/>
      </c>
    </row>
    <row r="65">
      <c r="A65" t="n">
        <v>54</v>
      </c>
      <c r="B65" s="5" t="n">
        <v>22755.6194280058</v>
      </c>
      <c r="C65" s="8">
        <f>B65/B$102</f>
        <v/>
      </c>
      <c r="E65" s="9" t="n">
        <v>54</v>
      </c>
      <c r="F65" s="9" t="n">
        <v>2109.554902282895</v>
      </c>
      <c r="G65" s="8">
        <f>F65/F$102</f>
        <v/>
      </c>
    </row>
    <row r="66">
      <c r="A66" t="n">
        <v>55</v>
      </c>
      <c r="B66" s="5" t="n">
        <v>334.505088392</v>
      </c>
      <c r="C66" s="8">
        <f>B66/B$102</f>
        <v/>
      </c>
      <c r="E66" s="9" t="n">
        <v>55</v>
      </c>
      <c r="F66" s="9" t="n">
        <v>2126.255186321229</v>
      </c>
      <c r="G66" s="8">
        <f>F66/F$102</f>
        <v/>
      </c>
    </row>
    <row r="67">
      <c r="A67" t="n">
        <v>56</v>
      </c>
      <c r="B67" s="5" t="n">
        <v>8196.8429289003</v>
      </c>
      <c r="C67" s="8">
        <f>B67/B$102</f>
        <v/>
      </c>
      <c r="E67" s="9" t="n">
        <v>56</v>
      </c>
      <c r="F67" s="9" t="n">
        <v>2093.325670848021</v>
      </c>
      <c r="G67" s="8">
        <f>F67/F$102</f>
        <v/>
      </c>
    </row>
    <row r="68">
      <c r="A68" t="n">
        <v>57</v>
      </c>
      <c r="B68" s="5" t="n">
        <v>2037.22403736</v>
      </c>
      <c r="C68" s="8">
        <f>B68/B$102</f>
        <v/>
      </c>
      <c r="E68" s="9" t="n">
        <v>57</v>
      </c>
      <c r="F68" s="9" t="n">
        <v>1832.346235983593</v>
      </c>
      <c r="G68" s="8">
        <f>F68/F$102</f>
        <v/>
      </c>
    </row>
    <row r="69">
      <c r="A69" t="n">
        <v>58</v>
      </c>
      <c r="B69" s="5" t="n">
        <v>3553.049043072</v>
      </c>
      <c r="C69" s="8">
        <f>B69/B$102</f>
        <v/>
      </c>
      <c r="E69" s="9" t="n">
        <v>58</v>
      </c>
      <c r="F69" s="9" t="n">
        <v>3162.355219696376</v>
      </c>
      <c r="G69" s="8">
        <f>F69/F$102</f>
        <v/>
      </c>
    </row>
    <row r="70">
      <c r="A70" t="n">
        <v>59</v>
      </c>
      <c r="B70" s="5" t="n">
        <v>19937.5237891116</v>
      </c>
      <c r="C70" s="8">
        <f>B70/B$102</f>
        <v/>
      </c>
      <c r="E70" s="9" t="n">
        <v>59</v>
      </c>
      <c r="F70" s="9" t="n">
        <v>1711.288202936336</v>
      </c>
      <c r="G70" s="8">
        <f>F70/F$102</f>
        <v/>
      </c>
    </row>
    <row r="71">
      <c r="A71" t="n">
        <v>60</v>
      </c>
      <c r="B71" s="5" t="n">
        <v>15085.3532047987</v>
      </c>
      <c r="C71" s="8">
        <f>B71/B$102</f>
        <v/>
      </c>
      <c r="E71" s="9" t="n">
        <v>60</v>
      </c>
      <c r="F71" s="9" t="n">
        <v>1651.481051477309</v>
      </c>
      <c r="G71" s="8">
        <f>F71/F$102</f>
        <v/>
      </c>
    </row>
    <row r="72">
      <c r="A72" t="n">
        <v>61</v>
      </c>
      <c r="B72" s="5" t="n">
        <v>10052.4940107454</v>
      </c>
      <c r="C72" s="8">
        <f>B72/B$102</f>
        <v/>
      </c>
      <c r="E72" s="9" t="n">
        <v>61</v>
      </c>
      <c r="F72" s="9" t="n">
        <v>1407.966043796549</v>
      </c>
      <c r="G72" s="8">
        <f>F72/F$102</f>
        <v/>
      </c>
    </row>
    <row r="73">
      <c r="A73" t="n">
        <v>62</v>
      </c>
      <c r="B73" s="5" t="n">
        <v>2169.815863151</v>
      </c>
      <c r="C73" s="8">
        <f>B73/B$102</f>
        <v/>
      </c>
      <c r="E73" s="9" t="n">
        <v>62</v>
      </c>
      <c r="F73" s="9" t="n">
        <v>1574.726214282516</v>
      </c>
      <c r="G73" s="8">
        <f>F73/F$102</f>
        <v/>
      </c>
    </row>
    <row r="74">
      <c r="A74" t="n">
        <v>63</v>
      </c>
      <c r="B74" s="5" t="n">
        <v>210.149659191</v>
      </c>
      <c r="C74" s="8">
        <f>B74/B$102</f>
        <v/>
      </c>
      <c r="E74" s="9" t="n">
        <v>63</v>
      </c>
      <c r="F74" s="9" t="n">
        <v>1452.455305010107</v>
      </c>
      <c r="G74" s="8">
        <f>F74/F$102</f>
        <v/>
      </c>
    </row>
    <row r="75">
      <c r="A75" t="n">
        <v>64</v>
      </c>
      <c r="B75" s="5" t="n">
        <v>909.115166911</v>
      </c>
      <c r="C75" s="8">
        <f>B75/B$102</f>
        <v/>
      </c>
      <c r="E75" s="9" t="n">
        <v>64</v>
      </c>
      <c r="F75" s="9" t="n">
        <v>1370.36190048694</v>
      </c>
      <c r="G75" s="8">
        <f>F75/F$102</f>
        <v/>
      </c>
    </row>
    <row r="76">
      <c r="A76" t="n">
        <v>65</v>
      </c>
      <c r="B76" s="5" t="n">
        <v>927.898341994</v>
      </c>
      <c r="C76" s="8">
        <f>B76/B$102</f>
        <v/>
      </c>
      <c r="E76" s="9" t="n">
        <v>65</v>
      </c>
      <c r="F76" s="9" t="n">
        <v>1276.172238774725</v>
      </c>
      <c r="G76" s="8">
        <f>F76/F$102</f>
        <v/>
      </c>
    </row>
    <row r="77">
      <c r="A77" t="n">
        <v>66</v>
      </c>
      <c r="B77" s="5" t="n">
        <v>1452.800212016</v>
      </c>
      <c r="C77" s="8">
        <f>B77/B$102</f>
        <v/>
      </c>
      <c r="E77" s="9" t="n">
        <v>66</v>
      </c>
      <c r="F77" s="9" t="n">
        <v>1231.39150421305</v>
      </c>
      <c r="G77" s="8">
        <f>F77/F$102</f>
        <v/>
      </c>
    </row>
    <row r="78">
      <c r="A78" t="n">
        <v>67</v>
      </c>
      <c r="B78" s="5" t="n">
        <v>437.3892552713</v>
      </c>
      <c r="C78" s="8">
        <f>B78/B$102</f>
        <v/>
      </c>
      <c r="E78" s="9" t="n">
        <v>67</v>
      </c>
      <c r="F78" s="9" t="n">
        <v>1142.169218173544</v>
      </c>
      <c r="G78" s="8">
        <f>F78/F$102</f>
        <v/>
      </c>
    </row>
    <row r="79">
      <c r="A79" t="n">
        <v>68</v>
      </c>
      <c r="B79" s="5" t="n">
        <v>216.451709176</v>
      </c>
      <c r="C79" s="8">
        <f>B79/B$102</f>
        <v/>
      </c>
      <c r="E79" s="9" t="n">
        <v>68</v>
      </c>
      <c r="F79" s="9" t="n">
        <v>1125.036265029778</v>
      </c>
      <c r="G79" s="8">
        <f>F79/F$102</f>
        <v/>
      </c>
    </row>
    <row r="80">
      <c r="A80" t="n">
        <v>69</v>
      </c>
      <c r="B80" s="5" t="n">
        <v>6926.1072900615</v>
      </c>
      <c r="C80" s="8">
        <f>B80/B$102</f>
        <v/>
      </c>
      <c r="E80" s="9" t="n">
        <v>69</v>
      </c>
      <c r="F80" s="9" t="n">
        <v>1043.597175011164</v>
      </c>
      <c r="G80" s="8">
        <f>F80/F$102</f>
        <v/>
      </c>
    </row>
    <row r="81">
      <c r="A81" t="n">
        <v>70</v>
      </c>
      <c r="B81" s="5" t="n">
        <v>4848.627983235</v>
      </c>
      <c r="C81" s="8">
        <f>B81/B$102</f>
        <v/>
      </c>
      <c r="E81" s="9" t="n">
        <v>70</v>
      </c>
      <c r="F81" s="9" t="n">
        <v>998.0812182431559</v>
      </c>
      <c r="G81" s="8">
        <f>F81/F$102</f>
        <v/>
      </c>
    </row>
    <row r="82">
      <c r="A82" t="n">
        <v>71</v>
      </c>
      <c r="B82" s="5" t="n">
        <v>0</v>
      </c>
      <c r="C82" s="8">
        <f>B82/B$102</f>
        <v/>
      </c>
      <c r="E82" s="9" t="n">
        <v>71</v>
      </c>
      <c r="F82" s="9" t="n">
        <v>1073.53425006629</v>
      </c>
      <c r="G82" s="8">
        <f>F82/F$102</f>
        <v/>
      </c>
    </row>
    <row r="83">
      <c r="A83" t="n">
        <v>72</v>
      </c>
      <c r="B83" s="5" t="n">
        <v>22938.6525471292</v>
      </c>
      <c r="C83" s="8">
        <f>B83/B$102</f>
        <v/>
      </c>
      <c r="E83" s="9" t="n">
        <v>72</v>
      </c>
      <c r="F83" s="9" t="n">
        <v>1052.150102317179</v>
      </c>
      <c r="G83" s="8">
        <f>F83/F$102</f>
        <v/>
      </c>
    </row>
    <row r="84">
      <c r="A84" t="n">
        <v>73</v>
      </c>
      <c r="B84" s="5" t="n">
        <v>670.276657256</v>
      </c>
      <c r="C84" s="8">
        <f>B84/B$102</f>
        <v/>
      </c>
      <c r="E84" s="9" t="n">
        <v>73</v>
      </c>
      <c r="F84" s="9" t="n">
        <v>1249.572682927483</v>
      </c>
      <c r="G84" s="8">
        <f>F84/F$102</f>
        <v/>
      </c>
    </row>
    <row r="85">
      <c r="A85" t="n">
        <v>74</v>
      </c>
      <c r="B85" s="5" t="n">
        <v>6789.006051028</v>
      </c>
      <c r="C85" s="8">
        <f>B85/B$102</f>
        <v/>
      </c>
      <c r="E85" s="9" t="n">
        <v>74</v>
      </c>
      <c r="F85" s="9" t="n">
        <v>1113.649733351328</v>
      </c>
      <c r="G85" s="8">
        <f>F85/F$102</f>
        <v/>
      </c>
    </row>
    <row r="86">
      <c r="A86" t="n">
        <v>75</v>
      </c>
      <c r="B86" s="5" t="n">
        <v>7010.7300745953</v>
      </c>
      <c r="C86" s="8">
        <f>B86/B$102</f>
        <v/>
      </c>
      <c r="E86" s="9" t="n">
        <v>75</v>
      </c>
      <c r="F86" s="9" t="n">
        <v>836.823328482998</v>
      </c>
      <c r="G86" s="8">
        <f>F86/F$102</f>
        <v/>
      </c>
    </row>
    <row r="87">
      <c r="A87" t="n">
        <v>76</v>
      </c>
      <c r="B87" s="5" t="n">
        <v>9914.513539693</v>
      </c>
      <c r="C87" s="8">
        <f>B87/B$102</f>
        <v/>
      </c>
      <c r="E87" s="9" t="n">
        <v>76</v>
      </c>
      <c r="F87" s="9" t="n">
        <v>1063.573039635226</v>
      </c>
      <c r="G87" s="8">
        <f>F87/F$102</f>
        <v/>
      </c>
    </row>
    <row r="88">
      <c r="A88" t="n">
        <v>77</v>
      </c>
      <c r="B88" s="5" t="n">
        <v>1693.494666494</v>
      </c>
      <c r="C88" s="8">
        <f>B88/B$102</f>
        <v/>
      </c>
      <c r="E88" s="9" t="n">
        <v>77</v>
      </c>
      <c r="F88" s="9" t="n">
        <v>707.3078807777179</v>
      </c>
      <c r="G88" s="8">
        <f>F88/F$102</f>
        <v/>
      </c>
    </row>
    <row r="89">
      <c r="A89" t="n">
        <v>78</v>
      </c>
      <c r="B89" s="5" t="n">
        <v>3658.336044595</v>
      </c>
      <c r="C89" s="8">
        <f>B89/B$102</f>
        <v/>
      </c>
      <c r="E89" s="9" t="n">
        <v>78</v>
      </c>
      <c r="F89" s="9" t="n">
        <v>831.435338425532</v>
      </c>
      <c r="G89" s="8">
        <f>F89/F$102</f>
        <v/>
      </c>
    </row>
    <row r="90">
      <c r="A90" t="n">
        <v>79</v>
      </c>
      <c r="B90" s="5" t="n">
        <v>815.65893134</v>
      </c>
      <c r="C90" s="8">
        <f>B90/B$102</f>
        <v/>
      </c>
      <c r="E90" s="9" t="n">
        <v>79</v>
      </c>
      <c r="F90" s="9" t="n">
        <v>803.3608438366283</v>
      </c>
      <c r="G90" s="8">
        <f>F90/F$102</f>
        <v/>
      </c>
    </row>
    <row r="91">
      <c r="A91" t="n">
        <v>80</v>
      </c>
      <c r="B91" s="5" t="n">
        <v>17566.8535541287</v>
      </c>
      <c r="C91" s="8">
        <f>B91/B$102</f>
        <v/>
      </c>
      <c r="E91" s="9" t="n">
        <v>80</v>
      </c>
      <c r="F91" s="9" t="n">
        <v>870.8591788410048</v>
      </c>
      <c r="G91" s="8">
        <f>F91/F$102</f>
        <v/>
      </c>
    </row>
    <row r="92">
      <c r="A92" t="n">
        <v>81</v>
      </c>
      <c r="B92" s="5" t="n">
        <v>1969.614697159</v>
      </c>
      <c r="C92" s="8">
        <f>B92/B$102</f>
        <v/>
      </c>
      <c r="E92" s="9" t="n">
        <v>81</v>
      </c>
      <c r="F92" s="9" t="n">
        <v>969.7112291844445</v>
      </c>
      <c r="G92" s="8">
        <f>F92/F$102</f>
        <v/>
      </c>
    </row>
    <row r="93">
      <c r="A93" t="n">
        <v>82</v>
      </c>
      <c r="B93" s="5" t="n">
        <v>12908.5163988375</v>
      </c>
      <c r="C93" s="8">
        <f>B93/B$102</f>
        <v/>
      </c>
      <c r="E93" s="9" t="n">
        <v>82</v>
      </c>
      <c r="F93" s="9" t="n">
        <v>694.1736351725995</v>
      </c>
      <c r="G93" s="8">
        <f>F93/F$102</f>
        <v/>
      </c>
    </row>
    <row r="94">
      <c r="A94" t="n">
        <v>83</v>
      </c>
      <c r="B94" s="5" t="n">
        <v>1983.3277993009</v>
      </c>
      <c r="C94" s="8">
        <f>B94/B$102</f>
        <v/>
      </c>
      <c r="E94" s="9" t="n">
        <v>83</v>
      </c>
      <c r="F94" s="9" t="n">
        <v>560.8744907766903</v>
      </c>
      <c r="G94" s="8">
        <f>F94/F$102</f>
        <v/>
      </c>
    </row>
    <row r="95">
      <c r="A95" t="n">
        <v>84</v>
      </c>
      <c r="B95" s="5" t="n">
        <v>5913.244308391099</v>
      </c>
      <c r="C95" s="8">
        <f>B95/B$102</f>
        <v/>
      </c>
      <c r="E95" s="9" t="n">
        <v>84</v>
      </c>
      <c r="F95" s="9" t="n">
        <v>770.7796719831163</v>
      </c>
      <c r="G95" s="8">
        <f>F95/F$102</f>
        <v/>
      </c>
    </row>
    <row r="96">
      <c r="A96" t="n">
        <v>85</v>
      </c>
      <c r="B96" s="5" t="n">
        <v>1408.8821269998</v>
      </c>
      <c r="C96" s="8">
        <f>B96/B$102</f>
        <v/>
      </c>
      <c r="E96" s="9" t="n">
        <v>85</v>
      </c>
      <c r="F96" s="9" t="n">
        <v>678.5751499964659</v>
      </c>
      <c r="G96" s="8">
        <f>F96/F$102</f>
        <v/>
      </c>
    </row>
    <row r="97">
      <c r="A97" t="n">
        <v>86</v>
      </c>
      <c r="B97" s="5" t="n">
        <v>1571.3901850464</v>
      </c>
      <c r="C97" s="8">
        <f>B97/B$102</f>
        <v/>
      </c>
      <c r="E97" s="9" t="n">
        <v>86</v>
      </c>
      <c r="F97" s="9" t="n">
        <v>646.8469358692141</v>
      </c>
      <c r="G97" s="8">
        <f>F97/F$102</f>
        <v/>
      </c>
    </row>
    <row r="98">
      <c r="A98" t="n">
        <v>87</v>
      </c>
      <c r="B98" s="5" t="n">
        <v>4902.178756339</v>
      </c>
      <c r="C98" s="8">
        <f>B98/B$102</f>
        <v/>
      </c>
      <c r="E98" s="9" t="n">
        <v>87</v>
      </c>
      <c r="F98" s="9" t="n">
        <v>582.2592451595053</v>
      </c>
      <c r="G98" s="8">
        <f>F98/F$102</f>
        <v/>
      </c>
    </row>
    <row r="99">
      <c r="A99" t="n">
        <v>88</v>
      </c>
      <c r="B99" s="5" t="n">
        <v>5592.4941541029</v>
      </c>
      <c r="C99" s="8">
        <f>B99/B$102</f>
        <v/>
      </c>
      <c r="E99" s="9" t="n">
        <v>88</v>
      </c>
      <c r="F99" s="9" t="n">
        <v>541.5898112696103</v>
      </c>
      <c r="G99" s="8">
        <f>F99/F$102</f>
        <v/>
      </c>
    </row>
    <row r="100">
      <c r="A100" t="n">
        <v>89</v>
      </c>
      <c r="B100" s="5" t="n">
        <v>5038.3174449458</v>
      </c>
      <c r="C100" s="8">
        <f>B100/B$102</f>
        <v/>
      </c>
      <c r="E100" s="9" t="n">
        <v>89</v>
      </c>
      <c r="F100" s="9" t="n">
        <v>485.5848544222025</v>
      </c>
      <c r="G100" s="8">
        <f>F100/F$102</f>
        <v/>
      </c>
    </row>
    <row r="101" ht="15.75" customHeight="1" thickBot="1">
      <c r="A101" s="1" t="n">
        <v>90</v>
      </c>
      <c r="B101" s="6" t="n">
        <v>140651.5372882614</v>
      </c>
      <c r="C101" s="8">
        <f>B101/B$102</f>
        <v/>
      </c>
      <c r="E101" s="10" t="n">
        <v>90</v>
      </c>
      <c r="F101" s="10" t="n">
        <v>34669.86118071318</v>
      </c>
      <c r="G101" s="8">
        <f>F101/F$102</f>
        <v/>
      </c>
    </row>
    <row r="102">
      <c r="B102" s="5">
        <f>SUM(B11:B101)</f>
        <v/>
      </c>
      <c r="C102" s="8">
        <f>B102/B$102</f>
        <v/>
      </c>
      <c r="F102" s="5">
        <f>SUM(F11:F101)</f>
        <v/>
      </c>
      <c r="G102" s="8">
        <f>F102/F$102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B11:K101"/>
  <sheetViews>
    <sheetView workbookViewId="0">
      <selection activeCell="A1" sqref="A1"/>
    </sheetView>
  </sheetViews>
  <sheetFormatPr baseColWidth="8" defaultRowHeight="15"/>
  <sheetData>
    <row r="11">
      <c r="B11" t="n">
        <v>3714551.345142159</v>
      </c>
      <c r="K11" t="n">
        <v>6.574597595089243</v>
      </c>
    </row>
    <row r="12">
      <c r="B12" t="n">
        <v>2940077.319776614</v>
      </c>
    </row>
    <row r="13">
      <c r="B13" t="n">
        <v>1462137.187817703</v>
      </c>
    </row>
    <row r="14">
      <c r="B14" t="n">
        <v>1266581.634238567</v>
      </c>
    </row>
    <row r="15">
      <c r="B15" t="n">
        <v>979007.5616623254</v>
      </c>
    </row>
    <row r="16">
      <c r="B16" t="n">
        <v>843414.2332319942</v>
      </c>
    </row>
    <row r="17">
      <c r="B17" t="n">
        <v>597488.2593817636</v>
      </c>
    </row>
    <row r="18">
      <c r="B18" t="n">
        <v>418719.1350412441</v>
      </c>
    </row>
    <row r="19">
      <c r="B19" t="n">
        <v>420817.4446462648</v>
      </c>
    </row>
    <row r="20">
      <c r="B20" t="n">
        <v>387522.0852498206</v>
      </c>
    </row>
    <row r="21">
      <c r="B21" t="n">
        <v>244470.9676883156</v>
      </c>
    </row>
    <row r="22">
      <c r="B22" t="n">
        <v>318626.8468056174</v>
      </c>
    </row>
    <row r="23">
      <c r="B23" t="n">
        <v>266350.8410333582</v>
      </c>
    </row>
    <row r="24">
      <c r="B24" t="n">
        <v>200098.0078357488</v>
      </c>
    </row>
    <row r="25">
      <c r="B25" t="n">
        <v>188496.6101758324</v>
      </c>
    </row>
    <row r="26">
      <c r="B26" t="n">
        <v>220788.1377866217</v>
      </c>
    </row>
    <row r="27">
      <c r="B27" t="n">
        <v>117370.3471704097</v>
      </c>
    </row>
    <row r="28">
      <c r="B28" t="n">
        <v>152557.6554058584</v>
      </c>
    </row>
    <row r="29">
      <c r="B29" t="n">
        <v>146611.5814418648</v>
      </c>
    </row>
    <row r="30">
      <c r="B30" t="n">
        <v>111257.5434454571</v>
      </c>
    </row>
    <row r="31">
      <c r="B31" t="n">
        <v>112559.5050135916</v>
      </c>
    </row>
    <row r="32">
      <c r="B32" t="n">
        <v>77787.97624598134</v>
      </c>
    </row>
    <row r="33">
      <c r="B33" t="n">
        <v>70046.08696751321</v>
      </c>
    </row>
    <row r="34">
      <c r="B34" t="n">
        <v>37812.92192500416</v>
      </c>
    </row>
    <row r="35">
      <c r="B35" t="n">
        <v>27462.4585469722</v>
      </c>
    </row>
    <row r="36">
      <c r="B36" t="n">
        <v>33876.09387523895</v>
      </c>
    </row>
    <row r="37">
      <c r="B37" t="n">
        <v>31889.534591846</v>
      </c>
    </row>
    <row r="38">
      <c r="B38" t="n">
        <v>65810.25431129048</v>
      </c>
    </row>
    <row r="39">
      <c r="B39" t="n">
        <v>36647.75798566711</v>
      </c>
    </row>
    <row r="40">
      <c r="B40" t="n">
        <v>14666.80122051094</v>
      </c>
    </row>
    <row r="41">
      <c r="B41" t="n">
        <v>56024.12975949379</v>
      </c>
    </row>
    <row r="42">
      <c r="B42" t="n">
        <v>33949.64297227431</v>
      </c>
    </row>
    <row r="43">
      <c r="B43" t="n">
        <v>31102.24742072356</v>
      </c>
    </row>
    <row r="44">
      <c r="B44" t="n">
        <v>28326.80657534679</v>
      </c>
    </row>
    <row r="45">
      <c r="B45" t="n">
        <v>17448.58709786638</v>
      </c>
    </row>
    <row r="46">
      <c r="B46" t="n">
        <v>22477.90462071973</v>
      </c>
    </row>
    <row r="47">
      <c r="B47" t="n">
        <v>19735.58667689967</v>
      </c>
    </row>
    <row r="48">
      <c r="B48" t="n">
        <v>14136.70525608255</v>
      </c>
    </row>
    <row r="49">
      <c r="B49" t="n">
        <v>9307.037430439043</v>
      </c>
    </row>
    <row r="50">
      <c r="B50" t="n">
        <v>11555.87721384517</v>
      </c>
    </row>
    <row r="51">
      <c r="B51" t="n">
        <v>83374.54312607467</v>
      </c>
    </row>
    <row r="52">
      <c r="B52" t="n">
        <v>25747.91600482057</v>
      </c>
    </row>
    <row r="53">
      <c r="B53" t="n">
        <v>17071.6094841841</v>
      </c>
    </row>
    <row r="54">
      <c r="B54" t="n">
        <v>7742.85968142914</v>
      </c>
    </row>
    <row r="55">
      <c r="B55" t="n">
        <v>4726.317446573846</v>
      </c>
    </row>
    <row r="56">
      <c r="B56" t="n">
        <v>7404.788360075551</v>
      </c>
    </row>
    <row r="57">
      <c r="B57" t="n">
        <v>3100.878909741738</v>
      </c>
    </row>
    <row r="58">
      <c r="B58" t="n">
        <v>892.3986366645813</v>
      </c>
    </row>
    <row r="59">
      <c r="B59" t="n">
        <v>533.349056834126</v>
      </c>
    </row>
    <row r="60">
      <c r="B60" t="n">
        <v>466.2324848359068</v>
      </c>
    </row>
    <row r="61">
      <c r="B61" t="n">
        <v>34356.36467179314</v>
      </c>
    </row>
    <row r="62">
      <c r="B62" t="n">
        <v>13206.00360481358</v>
      </c>
    </row>
    <row r="63">
      <c r="B63" t="n">
        <v>5931.301589343836</v>
      </c>
    </row>
    <row r="64">
      <c r="B64" t="n">
        <v>384.2635746267863</v>
      </c>
    </row>
    <row r="65">
      <c r="B65" t="n">
        <v>830.7626641986635</v>
      </c>
    </row>
    <row r="66">
      <c r="B66" t="n">
        <v>3535.865682940389</v>
      </c>
    </row>
    <row r="67">
      <c r="B67" t="n">
        <v>653.6868158273983</v>
      </c>
    </row>
    <row r="68">
      <c r="B68" t="n">
        <v>1266.437941410625</v>
      </c>
    </row>
    <row r="69">
      <c r="B69" t="n">
        <v>1021.821971713347</v>
      </c>
    </row>
    <row r="70">
      <c r="B70" t="n">
        <v>3082.561176811249</v>
      </c>
    </row>
    <row r="71">
      <c r="B71" t="n">
        <v>25876.61069092041</v>
      </c>
    </row>
    <row r="72">
      <c r="B72" t="n">
        <v>322.122093868198</v>
      </c>
    </row>
    <row r="73">
      <c r="B73" t="n">
        <v>11.4688949541381</v>
      </c>
    </row>
    <row r="74">
      <c r="B74" t="n">
        <v>152.894810502244</v>
      </c>
    </row>
    <row r="75">
      <c r="B75" t="n">
        <v>6231.91036483489</v>
      </c>
    </row>
    <row r="76">
      <c r="B76" t="n">
        <v>1149.442525346213</v>
      </c>
    </row>
    <row r="77">
      <c r="B77" t="n">
        <v>4383.696541262791</v>
      </c>
    </row>
    <row r="78">
      <c r="B78" t="n">
        <v>675.243539301676</v>
      </c>
    </row>
    <row r="79">
      <c r="B79" t="n">
        <v>117.629098423903</v>
      </c>
    </row>
    <row r="80">
      <c r="B80" t="n">
        <v>9.172916362341249</v>
      </c>
    </row>
    <row r="81">
      <c r="B81" t="n">
        <v>9849.030341857242</v>
      </c>
    </row>
    <row r="82">
      <c r="B82" t="n">
        <v>207.0860134540612</v>
      </c>
    </row>
    <row r="83">
      <c r="B83" t="n">
        <v>0</v>
      </c>
    </row>
    <row r="84">
      <c r="B84" t="n">
        <v>425.9741017974931</v>
      </c>
    </row>
    <row r="85">
      <c r="B85" t="n">
        <v>83.7073620927368</v>
      </c>
    </row>
    <row r="86">
      <c r="B86" t="n">
        <v>273.263100166212</v>
      </c>
    </row>
    <row r="87">
      <c r="B87" t="n">
        <v>673.6379613798003</v>
      </c>
    </row>
    <row r="88">
      <c r="B88" t="n">
        <v>845.1532548743967</v>
      </c>
    </row>
    <row r="89">
      <c r="B89" t="n">
        <v>289.0153307798671</v>
      </c>
    </row>
    <row r="90">
      <c r="B90" t="n">
        <v>5263.761500338392</v>
      </c>
    </row>
    <row r="91">
      <c r="B91" t="n">
        <v>6535.917659507062</v>
      </c>
    </row>
    <row r="92">
      <c r="B92" t="n">
        <v>445.295381756922</v>
      </c>
    </row>
    <row r="93">
      <c r="B93" t="n">
        <v>110.712325974378</v>
      </c>
    </row>
    <row r="94">
      <c r="B94" t="n">
        <v>3441.259142602601</v>
      </c>
    </row>
    <row r="95">
      <c r="B95" t="n">
        <v>2490.59708269963</v>
      </c>
    </row>
    <row r="96">
      <c r="B96" t="n">
        <v>260.4450483580242</v>
      </c>
    </row>
    <row r="97">
      <c r="B97" t="n">
        <v>4270.174422688284</v>
      </c>
    </row>
    <row r="98">
      <c r="B98" t="n">
        <v>0</v>
      </c>
    </row>
    <row r="99">
      <c r="B99" t="n">
        <v>202.624793647818</v>
      </c>
    </row>
    <row r="100">
      <c r="B100" t="n">
        <v>41781.27804817466</v>
      </c>
    </row>
    <row r="101">
      <c r="B101" t="n">
        <v>0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B11:K101"/>
  <sheetViews>
    <sheetView workbookViewId="0">
      <selection activeCell="A1" sqref="A1"/>
    </sheetView>
  </sheetViews>
  <sheetFormatPr baseColWidth="8" defaultRowHeight="15"/>
  <sheetData>
    <row r="11">
      <c r="B11" t="n">
        <v>17602.33906786111</v>
      </c>
      <c r="K11" t="n">
        <v>17.85851173455166</v>
      </c>
    </row>
    <row r="12">
      <c r="B12" t="n">
        <v>141500.758955566</v>
      </c>
    </row>
    <row r="13">
      <c r="B13" t="n">
        <v>159407.9572748498</v>
      </c>
    </row>
    <row r="14">
      <c r="B14" t="n">
        <v>497065.533450608</v>
      </c>
    </row>
    <row r="15">
      <c r="B15" t="n">
        <v>729292.5935880607</v>
      </c>
    </row>
    <row r="16">
      <c r="B16" t="n">
        <v>1000100.359332379</v>
      </c>
    </row>
    <row r="17">
      <c r="B17" t="n">
        <v>1342849.212362986</v>
      </c>
    </row>
    <row r="18">
      <c r="B18" t="n">
        <v>1069120.909970536</v>
      </c>
    </row>
    <row r="19">
      <c r="B19" t="n">
        <v>891706.876042268</v>
      </c>
    </row>
    <row r="20">
      <c r="B20" t="n">
        <v>820753.044533458</v>
      </c>
    </row>
    <row r="21">
      <c r="B21" t="n">
        <v>932213.5394157566</v>
      </c>
    </row>
    <row r="22">
      <c r="B22" t="n">
        <v>706518.137649172</v>
      </c>
    </row>
    <row r="23">
      <c r="B23" t="n">
        <v>593147.6813315473</v>
      </c>
    </row>
    <row r="24">
      <c r="B24" t="n">
        <v>571862.6646907286</v>
      </c>
    </row>
    <row r="25">
      <c r="B25" t="n">
        <v>470904.4995923515</v>
      </c>
    </row>
    <row r="26">
      <c r="B26" t="n">
        <v>546693.4072137871</v>
      </c>
    </row>
    <row r="27">
      <c r="B27" t="n">
        <v>430230.4911122091</v>
      </c>
    </row>
    <row r="28">
      <c r="B28" t="n">
        <v>382085.1037337843</v>
      </c>
    </row>
    <row r="29">
      <c r="B29" t="n">
        <v>332563.2717221957</v>
      </c>
    </row>
    <row r="30">
      <c r="B30" t="n">
        <v>312471.4793072908</v>
      </c>
    </row>
    <row r="31">
      <c r="B31" t="n">
        <v>394702.3224666782</v>
      </c>
    </row>
    <row r="32">
      <c r="B32" t="n">
        <v>274750.7340051584</v>
      </c>
    </row>
    <row r="33">
      <c r="B33" t="n">
        <v>241813.6879866393</v>
      </c>
    </row>
    <row r="34">
      <c r="B34" t="n">
        <v>195769.5351571776</v>
      </c>
    </row>
    <row r="35">
      <c r="B35" t="n">
        <v>176145.6394730998</v>
      </c>
    </row>
    <row r="36">
      <c r="B36" t="n">
        <v>218971.876505134</v>
      </c>
    </row>
    <row r="37">
      <c r="B37" t="n">
        <v>195040.0413022352</v>
      </c>
    </row>
    <row r="38">
      <c r="B38" t="n">
        <v>101118.4779862302</v>
      </c>
    </row>
    <row r="39">
      <c r="B39" t="n">
        <v>121349.2590315063</v>
      </c>
    </row>
    <row r="40">
      <c r="B40" t="n">
        <v>181104.9039519914</v>
      </c>
    </row>
    <row r="41">
      <c r="B41" t="n">
        <v>231660.7228313456</v>
      </c>
    </row>
    <row r="42">
      <c r="B42" t="n">
        <v>97724.27823099463</v>
      </c>
    </row>
    <row r="43">
      <c r="B43" t="n">
        <v>101206.1026852065</v>
      </c>
    </row>
    <row r="44">
      <c r="B44" t="n">
        <v>79457.23990103435</v>
      </c>
    </row>
    <row r="45">
      <c r="B45" t="n">
        <v>119783.0725229398</v>
      </c>
    </row>
    <row r="46">
      <c r="B46" t="n">
        <v>70730.15908693326</v>
      </c>
    </row>
    <row r="47">
      <c r="B47" t="n">
        <v>53022.90196457011</v>
      </c>
    </row>
    <row r="48">
      <c r="B48" t="n">
        <v>35439.95330866832</v>
      </c>
    </row>
    <row r="49">
      <c r="B49" t="n">
        <v>47441.30323950871</v>
      </c>
    </row>
    <row r="50">
      <c r="B50" t="n">
        <v>85612.358704257</v>
      </c>
    </row>
    <row r="51">
      <c r="B51" t="n">
        <v>82957.63438296654</v>
      </c>
    </row>
    <row r="52">
      <c r="B52" t="n">
        <v>31682.5843016323</v>
      </c>
    </row>
    <row r="53">
      <c r="B53" t="n">
        <v>46772.74929250593</v>
      </c>
    </row>
    <row r="54">
      <c r="B54" t="n">
        <v>24818.23979126549</v>
      </c>
    </row>
    <row r="55">
      <c r="B55" t="n">
        <v>20056.08726479378</v>
      </c>
    </row>
    <row r="56">
      <c r="B56" t="n">
        <v>73281.39951773468</v>
      </c>
    </row>
    <row r="57">
      <c r="B57" t="n">
        <v>27252.16610919942</v>
      </c>
    </row>
    <row r="58">
      <c r="B58" t="n">
        <v>9848.384836133117</v>
      </c>
    </row>
    <row r="59">
      <c r="B59" t="n">
        <v>22641.15916013725</v>
      </c>
    </row>
    <row r="60">
      <c r="B60" t="n">
        <v>35100.26563871575</v>
      </c>
    </row>
    <row r="61">
      <c r="B61" t="n">
        <v>25946.03079335751</v>
      </c>
    </row>
    <row r="62">
      <c r="B62" t="n">
        <v>25402.21280128865</v>
      </c>
    </row>
    <row r="63">
      <c r="B63" t="n">
        <v>24478.21611440907</v>
      </c>
    </row>
    <row r="64">
      <c r="B64" t="n">
        <v>14065.25099868347</v>
      </c>
    </row>
    <row r="65">
      <c r="B65" t="n">
        <v>12565.88937372418</v>
      </c>
    </row>
    <row r="66">
      <c r="B66" t="n">
        <v>12487.05627905408</v>
      </c>
    </row>
    <row r="67">
      <c r="B67" t="n">
        <v>22598.18801256021</v>
      </c>
    </row>
    <row r="68">
      <c r="B68" t="n">
        <v>7000.530053196835</v>
      </c>
    </row>
    <row r="69">
      <c r="B69" t="n">
        <v>13892.56679216716</v>
      </c>
    </row>
    <row r="70">
      <c r="B70" t="n">
        <v>30345.72692008232</v>
      </c>
    </row>
    <row r="71">
      <c r="B71" t="n">
        <v>72724.74666259195</v>
      </c>
    </row>
    <row r="72">
      <c r="B72" t="n">
        <v>50943.62384479625</v>
      </c>
    </row>
    <row r="73">
      <c r="B73" t="n">
        <v>5513.725350792536</v>
      </c>
    </row>
    <row r="74">
      <c r="B74" t="n">
        <v>3303.336209233236</v>
      </c>
    </row>
    <row r="75">
      <c r="B75" t="n">
        <v>31540.61671837872</v>
      </c>
    </row>
    <row r="76">
      <c r="B76" t="n">
        <v>6940.558625309139</v>
      </c>
    </row>
    <row r="77">
      <c r="B77" t="n">
        <v>1270.3730065467</v>
      </c>
    </row>
    <row r="78">
      <c r="B78" t="n">
        <v>2354.709759470009</v>
      </c>
    </row>
    <row r="79">
      <c r="B79" t="n">
        <v>7630.49147412408</v>
      </c>
    </row>
    <row r="80">
      <c r="B80" t="n">
        <v>15345.50695604569</v>
      </c>
    </row>
    <row r="81">
      <c r="B81" t="n">
        <v>8805.329759826956</v>
      </c>
    </row>
    <row r="82">
      <c r="B82" t="n">
        <v>16778.28515208405</v>
      </c>
    </row>
    <row r="83">
      <c r="B83" t="n">
        <v>5911.970968912159</v>
      </c>
    </row>
    <row r="84">
      <c r="B84" t="n">
        <v>10367.22692560444</v>
      </c>
    </row>
    <row r="85">
      <c r="B85" t="n">
        <v>1906.007142857327</v>
      </c>
    </row>
    <row r="86">
      <c r="B86" t="n">
        <v>3764.235109668188</v>
      </c>
    </row>
    <row r="87">
      <c r="B87" t="n">
        <v>1202.841399731295</v>
      </c>
    </row>
    <row r="88">
      <c r="B88" t="n">
        <v>6534.887196384218</v>
      </c>
    </row>
    <row r="89">
      <c r="B89" t="n">
        <v>6601.844747587048</v>
      </c>
    </row>
    <row r="90">
      <c r="B90" t="n">
        <v>4967.763463048351</v>
      </c>
    </row>
    <row r="91">
      <c r="B91" t="n">
        <v>14846.66790093769</v>
      </c>
    </row>
    <row r="92">
      <c r="B92" t="n">
        <v>4486.967330863897</v>
      </c>
    </row>
    <row r="93">
      <c r="B93" t="n">
        <v>585.9660043283856</v>
      </c>
    </row>
    <row r="94">
      <c r="B94" t="n">
        <v>3799.364374842477</v>
      </c>
    </row>
    <row r="95">
      <c r="B95" t="n">
        <v>1913.09768290793</v>
      </c>
    </row>
    <row r="96">
      <c r="B96" t="n">
        <v>23289.83506803266</v>
      </c>
    </row>
    <row r="97">
      <c r="B97" t="n">
        <v>8378.204699762597</v>
      </c>
    </row>
    <row r="98">
      <c r="B98" t="n">
        <v>6256.313576339589</v>
      </c>
    </row>
    <row r="99">
      <c r="B99" t="n">
        <v>1626.557826027953</v>
      </c>
    </row>
    <row r="100">
      <c r="B100" t="n">
        <v>217559.9238581403</v>
      </c>
    </row>
    <row r="101">
      <c r="B101" t="n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2025-09-02T21:37:57Z</dcterms:modified>
  <cp:lastModifiedBy>Angah, Ohay</cp:lastModifiedBy>
</cp:coreProperties>
</file>