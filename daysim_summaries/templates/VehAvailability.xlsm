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BKRCast\BKRCast\daysim_summaries\output\"/>
    </mc:Choice>
  </mc:AlternateContent>
  <xr:revisionPtr revIDLastSave="0" documentId="13_ncr:1_{513442C0-DCA0-4E9B-A426-011F15800A0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Vehicles_by_County" sheetId="1" r:id="rId1"/>
    <sheet name="Vehicles_by_Income" sheetId="2" r:id="rId2"/>
    <sheet name="Vehicles_by_HHDrivers" sheetId="3" r:id="rId3"/>
    <sheet name="Coeff" sheetId="4" r:id="rId4"/>
    <sheet name="VehAvailCoefficient" sheetId="5" r:id="rId5"/>
    <sheet name="calibration" sheetId="6" r:id="rId6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_1">Vehicles_by_County!$B$6:F12</definedName>
    <definedName name="out_3">Vehicles_by_Income!$B$6:F9</definedName>
    <definedName name="out_5">Vehicles_by_HHDrivers!$B$6:F9</definedName>
    <definedName name="out1">Vehicles_by_County!$B$6:$F$12</definedName>
    <definedName name="out2">Vehicles_by_County!$R$6:$V$12</definedName>
    <definedName name="out3">Vehicles_by_Income!$B$6:$F$9</definedName>
    <definedName name="out4">Vehicles_by_Income!$R$6:$V$9</definedName>
    <definedName name="out5">Vehicles_by_HHDrivers!$B$6:$F$9</definedName>
    <definedName name="out6">Vehicles_by_HHDrivers!$R$6:$V$9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62" i="6" l="1"/>
  <c r="Z61" i="6"/>
  <c r="Z60" i="6"/>
  <c r="Z59" i="6"/>
  <c r="Z58" i="6"/>
  <c r="Z57" i="6"/>
  <c r="Z56" i="6"/>
  <c r="Z55" i="6"/>
  <c r="Z54" i="6"/>
  <c r="Z53" i="6"/>
  <c r="Z52" i="6"/>
  <c r="Z51" i="6"/>
  <c r="Z50" i="6"/>
  <c r="Z49" i="6"/>
  <c r="Z48" i="6"/>
  <c r="Z47" i="6"/>
  <c r="Z46" i="6"/>
  <c r="Z45" i="6"/>
  <c r="Z44" i="6"/>
  <c r="Z43" i="6"/>
  <c r="Z42" i="6"/>
  <c r="Z41" i="6"/>
  <c r="Z40" i="6"/>
  <c r="Z39" i="6"/>
  <c r="Z38" i="6"/>
  <c r="Z37" i="6"/>
  <c r="Z36" i="6"/>
  <c r="Z35" i="6"/>
  <c r="Z34" i="6"/>
  <c r="Z33" i="6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S22" i="6" s="1"/>
  <c r="Z18" i="6"/>
  <c r="S21" i="6" s="1"/>
  <c r="S18" i="6"/>
  <c r="Z17" i="6"/>
  <c r="S20" i="6" s="1"/>
  <c r="Z16" i="6"/>
  <c r="S19" i="6" s="1"/>
  <c r="Z15" i="6"/>
  <c r="Z14" i="6"/>
  <c r="S17" i="6" s="1"/>
  <c r="Z13" i="6"/>
  <c r="S16" i="6" s="1"/>
  <c r="Z12" i="6"/>
  <c r="S15" i="6" s="1"/>
  <c r="Z11" i="6"/>
  <c r="S14" i="6" s="1"/>
  <c r="Z10" i="6"/>
  <c r="S13" i="6" s="1"/>
  <c r="Z9" i="6"/>
  <c r="S12" i="6" s="1"/>
  <c r="Z8" i="6"/>
  <c r="S11" i="6" s="1"/>
  <c r="M8" i="6"/>
  <c r="Z7" i="6"/>
  <c r="S10" i="6" s="1"/>
  <c r="Z6" i="6"/>
  <c r="S9" i="6" s="1"/>
  <c r="Z5" i="6"/>
  <c r="S8" i="6" s="1"/>
  <c r="Z4" i="6"/>
  <c r="S7" i="6" s="1"/>
  <c r="Z3" i="6"/>
  <c r="S6" i="6" s="1"/>
  <c r="V19" i="3"/>
  <c r="N9" i="6" s="1"/>
  <c r="U19" i="3"/>
  <c r="M9" i="6" s="1"/>
  <c r="T19" i="3"/>
  <c r="L9" i="6" s="1"/>
  <c r="S19" i="3"/>
  <c r="K9" i="6" s="1"/>
  <c r="R19" i="3"/>
  <c r="J9" i="6" s="1"/>
  <c r="V18" i="3"/>
  <c r="U18" i="3"/>
  <c r="T18" i="3"/>
  <c r="L8" i="6" s="1"/>
  <c r="S18" i="3"/>
  <c r="K8" i="6" s="1"/>
  <c r="R18" i="3"/>
  <c r="J8" i="6" s="1"/>
  <c r="V17" i="3"/>
  <c r="N7" i="6" s="1"/>
  <c r="U17" i="3"/>
  <c r="M7" i="6" s="1"/>
  <c r="T17" i="3"/>
  <c r="S17" i="3"/>
  <c r="R17" i="3"/>
  <c r="J7" i="6" s="1"/>
  <c r="M17" i="3"/>
  <c r="L17" i="3"/>
  <c r="K17" i="3"/>
  <c r="J17" i="3"/>
  <c r="V16" i="3"/>
  <c r="N6" i="6" s="1"/>
  <c r="U16" i="3"/>
  <c r="M6" i="6" s="1"/>
  <c r="T16" i="3"/>
  <c r="L6" i="6" s="1"/>
  <c r="S16" i="3"/>
  <c r="K6" i="6" s="1"/>
  <c r="R16" i="3"/>
  <c r="V10" i="3"/>
  <c r="U10" i="3"/>
  <c r="T10" i="3"/>
  <c r="S10" i="3"/>
  <c r="R10" i="3"/>
  <c r="F10" i="3"/>
  <c r="E10" i="3"/>
  <c r="D10" i="3"/>
  <c r="C10" i="3"/>
  <c r="B10" i="3"/>
  <c r="W9" i="3"/>
  <c r="G9" i="3"/>
  <c r="W8" i="3"/>
  <c r="K18" i="3" s="1"/>
  <c r="G8" i="3"/>
  <c r="W7" i="3"/>
  <c r="G7" i="3"/>
  <c r="F17" i="3" s="1"/>
  <c r="W6" i="3"/>
  <c r="M16" i="3" s="1"/>
  <c r="G6" i="3"/>
  <c r="F16" i="3" s="1"/>
  <c r="V19" i="2"/>
  <c r="U19" i="2"/>
  <c r="T19" i="2"/>
  <c r="S19" i="2"/>
  <c r="R19" i="2"/>
  <c r="V18" i="2"/>
  <c r="U18" i="2"/>
  <c r="T18" i="2"/>
  <c r="S18" i="2"/>
  <c r="R18" i="2"/>
  <c r="V17" i="2"/>
  <c r="U17" i="2"/>
  <c r="T17" i="2"/>
  <c r="S17" i="2"/>
  <c r="R17" i="2"/>
  <c r="O17" i="2"/>
  <c r="N17" i="2"/>
  <c r="L17" i="2"/>
  <c r="V16" i="2"/>
  <c r="U16" i="2"/>
  <c r="T16" i="2"/>
  <c r="S16" i="2"/>
  <c r="R16" i="2"/>
  <c r="V10" i="2"/>
  <c r="U10" i="2"/>
  <c r="T10" i="2"/>
  <c r="S10" i="2"/>
  <c r="R10" i="2"/>
  <c r="F10" i="2"/>
  <c r="E10" i="2"/>
  <c r="D10" i="2"/>
  <c r="C10" i="2"/>
  <c r="B10" i="2"/>
  <c r="W9" i="2"/>
  <c r="N19" i="2" s="1"/>
  <c r="G9" i="2"/>
  <c r="W8" i="2"/>
  <c r="N18" i="2" s="1"/>
  <c r="AD18" i="2" s="1"/>
  <c r="AL18" i="2" s="1"/>
  <c r="G8" i="2"/>
  <c r="W7" i="2"/>
  <c r="G17" i="2" s="1"/>
  <c r="G7" i="2"/>
  <c r="W6" i="2"/>
  <c r="O16" i="2" s="1"/>
  <c r="G6" i="2"/>
  <c r="Q52" i="1"/>
  <c r="Q51" i="1"/>
  <c r="Q50" i="1"/>
  <c r="Q49" i="1"/>
  <c r="Q48" i="1"/>
  <c r="Q47" i="1"/>
  <c r="Q46" i="1"/>
  <c r="Q45" i="1"/>
  <c r="Q39" i="1"/>
  <c r="I39" i="1"/>
  <c r="A39" i="1"/>
  <c r="I38" i="1"/>
  <c r="Q37" i="1"/>
  <c r="I37" i="1"/>
  <c r="A37" i="1"/>
  <c r="Q36" i="1"/>
  <c r="I36" i="1"/>
  <c r="A36" i="1"/>
  <c r="Q35" i="1"/>
  <c r="I35" i="1"/>
  <c r="A35" i="1"/>
  <c r="Q34" i="1"/>
  <c r="I34" i="1"/>
  <c r="A34" i="1"/>
  <c r="Q33" i="1"/>
  <c r="I33" i="1"/>
  <c r="A33" i="1"/>
  <c r="Q32" i="1"/>
  <c r="I32" i="1"/>
  <c r="A32" i="1"/>
  <c r="AG26" i="1"/>
  <c r="Y26" i="1"/>
  <c r="Q26" i="1"/>
  <c r="I26" i="1"/>
  <c r="A26" i="1"/>
  <c r="V25" i="1"/>
  <c r="U25" i="1"/>
  <c r="T25" i="1"/>
  <c r="S25" i="1"/>
  <c r="R25" i="1"/>
  <c r="Q25" i="1"/>
  <c r="Y25" i="1" s="1"/>
  <c r="AG25" i="1" s="1"/>
  <c r="I25" i="1"/>
  <c r="A25" i="1"/>
  <c r="A38" i="1" s="1"/>
  <c r="Q38" i="1" s="1"/>
  <c r="AG24" i="1"/>
  <c r="Y24" i="1"/>
  <c r="V24" i="1"/>
  <c r="U24" i="1"/>
  <c r="T24" i="1"/>
  <c r="S24" i="1"/>
  <c r="R24" i="1"/>
  <c r="Q24" i="1"/>
  <c r="I24" i="1"/>
  <c r="C24" i="1"/>
  <c r="AA24" i="1" s="1"/>
  <c r="A24" i="1"/>
  <c r="AG23" i="1"/>
  <c r="Y23" i="1"/>
  <c r="V23" i="1"/>
  <c r="U23" i="1"/>
  <c r="T23" i="1"/>
  <c r="S23" i="1"/>
  <c r="R23" i="1"/>
  <c r="Q23" i="1"/>
  <c r="I23" i="1"/>
  <c r="A23" i="1"/>
  <c r="AG22" i="1"/>
  <c r="Y22" i="1"/>
  <c r="V22" i="1"/>
  <c r="U22" i="1"/>
  <c r="T22" i="1"/>
  <c r="S22" i="1"/>
  <c r="R22" i="1"/>
  <c r="Q22" i="1"/>
  <c r="I22" i="1"/>
  <c r="A22" i="1"/>
  <c r="AG21" i="1"/>
  <c r="Y21" i="1"/>
  <c r="V21" i="1"/>
  <c r="U21" i="1"/>
  <c r="T21" i="1"/>
  <c r="S21" i="1"/>
  <c r="R21" i="1"/>
  <c r="Q21" i="1"/>
  <c r="I21" i="1"/>
  <c r="A21" i="1"/>
  <c r="AG20" i="1"/>
  <c r="Y20" i="1"/>
  <c r="V20" i="1"/>
  <c r="U20" i="1"/>
  <c r="T20" i="1"/>
  <c r="S20" i="1"/>
  <c r="R20" i="1"/>
  <c r="Q20" i="1"/>
  <c r="I20" i="1"/>
  <c r="A20" i="1"/>
  <c r="AG19" i="1"/>
  <c r="Y19" i="1"/>
  <c r="V19" i="1"/>
  <c r="U19" i="1"/>
  <c r="T19" i="1"/>
  <c r="S19" i="1"/>
  <c r="R19" i="1"/>
  <c r="Q19" i="1"/>
  <c r="I19" i="1"/>
  <c r="A19" i="1"/>
  <c r="V13" i="1"/>
  <c r="U13" i="1"/>
  <c r="T13" i="1"/>
  <c r="S13" i="1"/>
  <c r="R13" i="1"/>
  <c r="Q13" i="1"/>
  <c r="N13" i="1"/>
  <c r="M13" i="1"/>
  <c r="L13" i="1"/>
  <c r="K13" i="1"/>
  <c r="J13" i="1"/>
  <c r="I13" i="1"/>
  <c r="F13" i="1"/>
  <c r="E13" i="1"/>
  <c r="D13" i="1"/>
  <c r="C13" i="1"/>
  <c r="B13" i="1"/>
  <c r="W12" i="1"/>
  <c r="E25" i="1" s="1"/>
  <c r="Q12" i="1"/>
  <c r="O12" i="1"/>
  <c r="O25" i="1" s="1"/>
  <c r="I12" i="1"/>
  <c r="G12" i="1"/>
  <c r="W11" i="1"/>
  <c r="Q11" i="1"/>
  <c r="O11" i="1"/>
  <c r="I11" i="1"/>
  <c r="G11" i="1"/>
  <c r="W10" i="1"/>
  <c r="Q10" i="1"/>
  <c r="O10" i="1"/>
  <c r="I10" i="1"/>
  <c r="G10" i="1"/>
  <c r="W9" i="1"/>
  <c r="Q9" i="1"/>
  <c r="O9" i="1"/>
  <c r="I9" i="1"/>
  <c r="G9" i="1"/>
  <c r="W8" i="1"/>
  <c r="M21" i="1" s="1"/>
  <c r="Q8" i="1"/>
  <c r="O8" i="1"/>
  <c r="I8" i="1"/>
  <c r="G8" i="1"/>
  <c r="W7" i="1"/>
  <c r="G20" i="1" s="1"/>
  <c r="Q7" i="1"/>
  <c r="O7" i="1"/>
  <c r="I7" i="1"/>
  <c r="G7" i="1"/>
  <c r="W6" i="1"/>
  <c r="Q6" i="1"/>
  <c r="O6" i="1"/>
  <c r="I6" i="1"/>
  <c r="G6" i="1"/>
  <c r="G19" i="1" s="1"/>
  <c r="G17" i="3" l="1"/>
  <c r="W10" i="2"/>
  <c r="W19" i="2"/>
  <c r="W19" i="3"/>
  <c r="D20" i="1"/>
  <c r="AJ20" i="1" s="1"/>
  <c r="C20" i="1"/>
  <c r="AI20" i="1" s="1"/>
  <c r="M20" i="1"/>
  <c r="G10" i="3"/>
  <c r="AB17" i="3"/>
  <c r="AJ17" i="3" s="1"/>
  <c r="AA20" i="1"/>
  <c r="B18" i="2"/>
  <c r="O23" i="1"/>
  <c r="J18" i="3"/>
  <c r="F18" i="3"/>
  <c r="F8" i="6" s="1"/>
  <c r="E18" i="3"/>
  <c r="E8" i="6" s="1"/>
  <c r="O18" i="3"/>
  <c r="J22" i="1"/>
  <c r="O13" i="1"/>
  <c r="J19" i="1"/>
  <c r="E20" i="1"/>
  <c r="M24" i="1"/>
  <c r="AB20" i="1"/>
  <c r="J19" i="2"/>
  <c r="O16" i="3"/>
  <c r="G10" i="2"/>
  <c r="K19" i="1"/>
  <c r="G22" i="1"/>
  <c r="O20" i="1"/>
  <c r="L19" i="1"/>
  <c r="M18" i="2"/>
  <c r="AC18" i="2" s="1"/>
  <c r="AK18" i="2" s="1"/>
  <c r="U20" i="2"/>
  <c r="Z34" i="3"/>
  <c r="G18" i="3"/>
  <c r="V20" i="2"/>
  <c r="E17" i="2"/>
  <c r="F17" i="2"/>
  <c r="L18" i="3"/>
  <c r="AB18" i="3" s="1"/>
  <c r="AJ18" i="3" s="1"/>
  <c r="B20" i="1"/>
  <c r="AH20" i="1" s="1"/>
  <c r="J17" i="2"/>
  <c r="Z17" i="2" s="1"/>
  <c r="AH17" i="2" s="1"/>
  <c r="M18" i="3"/>
  <c r="AC18" i="3" s="1"/>
  <c r="AK18" i="3" s="1"/>
  <c r="K17" i="2"/>
  <c r="AA17" i="2" s="1"/>
  <c r="AI17" i="2" s="1"/>
  <c r="E17" i="3"/>
  <c r="E7" i="6" s="1"/>
  <c r="W16" i="3"/>
  <c r="AE16" i="3" s="1"/>
  <c r="AM16" i="3" s="1"/>
  <c r="N18" i="3"/>
  <c r="AD18" i="3" s="1"/>
  <c r="AL18" i="3" s="1"/>
  <c r="B19" i="2"/>
  <c r="G24" i="1"/>
  <c r="W21" i="1"/>
  <c r="W23" i="1"/>
  <c r="W27" i="2"/>
  <c r="M17" i="2"/>
  <c r="C19" i="2"/>
  <c r="N8" i="6"/>
  <c r="G19" i="2"/>
  <c r="E19" i="2"/>
  <c r="AA18" i="3"/>
  <c r="AI18" i="3" s="1"/>
  <c r="K19" i="2"/>
  <c r="AA19" i="2" s="1"/>
  <c r="AI19" i="2" s="1"/>
  <c r="AC25" i="1"/>
  <c r="L19" i="2"/>
  <c r="AB19" i="2" s="1"/>
  <c r="AJ19" i="2" s="1"/>
  <c r="N17" i="3"/>
  <c r="AD17" i="3" s="1"/>
  <c r="AL17" i="3" s="1"/>
  <c r="F19" i="2"/>
  <c r="B22" i="1"/>
  <c r="AC17" i="2"/>
  <c r="AK17" i="2" s="1"/>
  <c r="M19" i="2"/>
  <c r="AC19" i="2" s="1"/>
  <c r="AK19" i="2" s="1"/>
  <c r="O17" i="3"/>
  <c r="AD17" i="2"/>
  <c r="AL17" i="2" s="1"/>
  <c r="O19" i="2"/>
  <c r="AE19" i="2" s="1"/>
  <c r="AM19" i="2" s="1"/>
  <c r="Z17" i="3"/>
  <c r="AH17" i="3" s="1"/>
  <c r="E19" i="1"/>
  <c r="AK19" i="1" s="1"/>
  <c r="AA17" i="3"/>
  <c r="AI17" i="3" s="1"/>
  <c r="W10" i="3"/>
  <c r="T29" i="3" s="1"/>
  <c r="N19" i="1"/>
  <c r="W20" i="1"/>
  <c r="AE20" i="1" s="1"/>
  <c r="K22" i="1"/>
  <c r="J24" i="1"/>
  <c r="D18" i="2"/>
  <c r="O19" i="1"/>
  <c r="L24" i="1"/>
  <c r="B18" i="3"/>
  <c r="B8" i="6" s="1"/>
  <c r="E18" i="2"/>
  <c r="C18" i="3"/>
  <c r="C8" i="6" s="1"/>
  <c r="G8" i="6" s="1"/>
  <c r="N25" i="1"/>
  <c r="M19" i="1"/>
  <c r="C18" i="2"/>
  <c r="E22" i="1"/>
  <c r="AK22" i="1" s="1"/>
  <c r="J18" i="2"/>
  <c r="Z18" i="2" s="1"/>
  <c r="AH18" i="2" s="1"/>
  <c r="C16" i="3"/>
  <c r="C6" i="6" s="1"/>
  <c r="D18" i="3"/>
  <c r="D8" i="6" s="1"/>
  <c r="F18" i="2"/>
  <c r="W22" i="1"/>
  <c r="AE22" i="1" s="1"/>
  <c r="D16" i="2"/>
  <c r="G18" i="2"/>
  <c r="Z19" i="2"/>
  <c r="AH19" i="2" s="1"/>
  <c r="G13" i="1"/>
  <c r="W16" i="2"/>
  <c r="K18" i="2"/>
  <c r="AA18" i="2" s="1"/>
  <c r="AI18" i="2" s="1"/>
  <c r="N16" i="3"/>
  <c r="F6" i="6"/>
  <c r="N10" i="6"/>
  <c r="AM19" i="1"/>
  <c r="O8" i="6"/>
  <c r="AD19" i="2"/>
  <c r="AL19" i="2" s="1"/>
  <c r="O9" i="6"/>
  <c r="AM24" i="1"/>
  <c r="U28" i="3"/>
  <c r="T28" i="3"/>
  <c r="R28" i="3"/>
  <c r="U26" i="3"/>
  <c r="S26" i="3"/>
  <c r="U29" i="2"/>
  <c r="V29" i="2"/>
  <c r="O20" i="2"/>
  <c r="N26" i="2" s="1"/>
  <c r="V27" i="2"/>
  <c r="N20" i="2"/>
  <c r="AD20" i="2" s="1"/>
  <c r="AL20" i="2" s="1"/>
  <c r="U27" i="2"/>
  <c r="M20" i="2"/>
  <c r="AC20" i="2" s="1"/>
  <c r="AK20" i="2" s="1"/>
  <c r="T27" i="2"/>
  <c r="L20" i="2"/>
  <c r="V25" i="2"/>
  <c r="U25" i="2"/>
  <c r="S27" i="2"/>
  <c r="K20" i="2"/>
  <c r="R27" i="2"/>
  <c r="J20" i="2"/>
  <c r="W28" i="2"/>
  <c r="G20" i="2"/>
  <c r="F26" i="2" s="1"/>
  <c r="V28" i="2"/>
  <c r="F20" i="2"/>
  <c r="F29" i="2" s="1"/>
  <c r="S29" i="2"/>
  <c r="U28" i="2"/>
  <c r="E20" i="2"/>
  <c r="T28" i="2"/>
  <c r="D20" i="2"/>
  <c r="S28" i="2"/>
  <c r="C20" i="2"/>
  <c r="R28" i="2"/>
  <c r="B20" i="2"/>
  <c r="W29" i="2"/>
  <c r="T25" i="2"/>
  <c r="S25" i="2"/>
  <c r="R25" i="2"/>
  <c r="T26" i="2"/>
  <c r="W26" i="2"/>
  <c r="V26" i="2"/>
  <c r="U26" i="2"/>
  <c r="S26" i="2"/>
  <c r="R26" i="2"/>
  <c r="M10" i="6"/>
  <c r="T29" i="2"/>
  <c r="AC22" i="1"/>
  <c r="AE16" i="2"/>
  <c r="AM16" i="2" s="1"/>
  <c r="K21" i="1"/>
  <c r="M23" i="1"/>
  <c r="L21" i="1"/>
  <c r="N23" i="1"/>
  <c r="B24" i="1"/>
  <c r="Z24" i="1" s="1"/>
  <c r="R20" i="2"/>
  <c r="S20" i="2"/>
  <c r="R20" i="3"/>
  <c r="N21" i="1"/>
  <c r="O21" i="1"/>
  <c r="C22" i="1"/>
  <c r="E24" i="1"/>
  <c r="S20" i="3"/>
  <c r="F7" i="6"/>
  <c r="T20" i="2"/>
  <c r="AC20" i="1"/>
  <c r="D22" i="1"/>
  <c r="F24" i="1"/>
  <c r="T20" i="3"/>
  <c r="D24" i="1"/>
  <c r="U20" i="3"/>
  <c r="AI24" i="1"/>
  <c r="F22" i="1"/>
  <c r="W25" i="1"/>
  <c r="R29" i="2"/>
  <c r="V20" i="3"/>
  <c r="K7" i="6"/>
  <c r="L7" i="6"/>
  <c r="F20" i="1"/>
  <c r="K24" i="1"/>
  <c r="L18" i="2"/>
  <c r="AB18" i="2" s="1"/>
  <c r="AJ18" i="2" s="1"/>
  <c r="D19" i="2"/>
  <c r="D28" i="2" s="1"/>
  <c r="B19" i="3"/>
  <c r="J20" i="1"/>
  <c r="AK20" i="1"/>
  <c r="L22" i="1"/>
  <c r="AM22" i="1"/>
  <c r="N24" i="1"/>
  <c r="B25" i="1"/>
  <c r="W17" i="2"/>
  <c r="AE17" i="2" s="1"/>
  <c r="AM17" i="2" s="1"/>
  <c r="O18" i="2"/>
  <c r="W25" i="2"/>
  <c r="AC16" i="3"/>
  <c r="AK16" i="3" s="1"/>
  <c r="E19" i="3"/>
  <c r="J6" i="6"/>
  <c r="W19" i="1"/>
  <c r="M22" i="1"/>
  <c r="O24" i="1"/>
  <c r="C25" i="1"/>
  <c r="R26" i="1"/>
  <c r="B16" i="2"/>
  <c r="B25" i="2" s="1"/>
  <c r="AD16" i="3"/>
  <c r="AL16" i="3" s="1"/>
  <c r="F19" i="3"/>
  <c r="F20" i="3" s="1"/>
  <c r="K20" i="1"/>
  <c r="L20" i="1"/>
  <c r="AM20" i="1"/>
  <c r="N22" i="1"/>
  <c r="B23" i="1"/>
  <c r="D25" i="1"/>
  <c r="S26" i="1"/>
  <c r="C16" i="2"/>
  <c r="W17" i="3"/>
  <c r="AE17" i="3" s="1"/>
  <c r="AM17" i="3" s="1"/>
  <c r="G19" i="3"/>
  <c r="B16" i="3"/>
  <c r="J19" i="3"/>
  <c r="C23" i="1"/>
  <c r="T26" i="1"/>
  <c r="AB17" i="2"/>
  <c r="AJ17" i="2" s="1"/>
  <c r="U26" i="1"/>
  <c r="E16" i="2"/>
  <c r="E25" i="2" s="1"/>
  <c r="K19" i="3"/>
  <c r="O22" i="1"/>
  <c r="W13" i="1"/>
  <c r="W36" i="1" s="1"/>
  <c r="N20" i="1"/>
  <c r="B21" i="1"/>
  <c r="Z21" i="1" s="1"/>
  <c r="D23" i="1"/>
  <c r="AB23" i="1" s="1"/>
  <c r="F25" i="1"/>
  <c r="AD25" i="1" s="1"/>
  <c r="C21" i="1"/>
  <c r="AA21" i="1" s="1"/>
  <c r="E23" i="1"/>
  <c r="AC23" i="1" s="1"/>
  <c r="G25" i="1"/>
  <c r="V26" i="1"/>
  <c r="F16" i="2"/>
  <c r="D16" i="3"/>
  <c r="L19" i="3"/>
  <c r="F23" i="1"/>
  <c r="G16" i="2"/>
  <c r="W18" i="2"/>
  <c r="E16" i="3"/>
  <c r="AC17" i="3"/>
  <c r="AK17" i="3" s="1"/>
  <c r="M19" i="3"/>
  <c r="D19" i="3"/>
  <c r="C19" i="1"/>
  <c r="AA19" i="1" s="1"/>
  <c r="E21" i="1"/>
  <c r="G23" i="1"/>
  <c r="AE23" i="1" s="1"/>
  <c r="J25" i="1"/>
  <c r="AK25" i="1"/>
  <c r="J16" i="2"/>
  <c r="Z16" i="2" s="1"/>
  <c r="AH16" i="2" s="1"/>
  <c r="B17" i="2"/>
  <c r="N19" i="3"/>
  <c r="C19" i="3"/>
  <c r="D21" i="1"/>
  <c r="AB21" i="1" s="1"/>
  <c r="F21" i="1"/>
  <c r="AD21" i="1" s="1"/>
  <c r="W24" i="1"/>
  <c r="AE24" i="1" s="1"/>
  <c r="K25" i="1"/>
  <c r="K16" i="2"/>
  <c r="C17" i="2"/>
  <c r="G16" i="3"/>
  <c r="W18" i="3"/>
  <c r="AE18" i="3" s="1"/>
  <c r="AM18" i="3" s="1"/>
  <c r="O19" i="3"/>
  <c r="B19" i="1"/>
  <c r="D19" i="1"/>
  <c r="G21" i="1"/>
  <c r="J23" i="1"/>
  <c r="L25" i="1"/>
  <c r="L16" i="2"/>
  <c r="AB16" i="2" s="1"/>
  <c r="AJ16" i="2" s="1"/>
  <c r="D17" i="2"/>
  <c r="J16" i="3"/>
  <c r="B17" i="3"/>
  <c r="Z18" i="3"/>
  <c r="AH18" i="3" s="1"/>
  <c r="F19" i="1"/>
  <c r="K23" i="1"/>
  <c r="M25" i="1"/>
  <c r="M16" i="2"/>
  <c r="K16" i="3"/>
  <c r="C17" i="3"/>
  <c r="J21" i="1"/>
  <c r="L23" i="1"/>
  <c r="N16" i="2"/>
  <c r="L16" i="3"/>
  <c r="D17" i="3"/>
  <c r="S29" i="3" l="1"/>
  <c r="R29" i="3"/>
  <c r="S28" i="3"/>
  <c r="R27" i="3"/>
  <c r="T25" i="3"/>
  <c r="K20" i="3"/>
  <c r="S27" i="3"/>
  <c r="L20" i="3"/>
  <c r="AD20" i="3"/>
  <c r="AL20" i="3" s="1"/>
  <c r="N20" i="3"/>
  <c r="V27" i="3"/>
  <c r="M20" i="3"/>
  <c r="M29" i="3" s="1"/>
  <c r="T27" i="3"/>
  <c r="R26" i="3"/>
  <c r="U27" i="3"/>
  <c r="T26" i="3"/>
  <c r="O20" i="3"/>
  <c r="AB20" i="3"/>
  <c r="AJ20" i="3" s="1"/>
  <c r="V29" i="3"/>
  <c r="W27" i="3"/>
  <c r="V26" i="3"/>
  <c r="R25" i="3"/>
  <c r="U25" i="3"/>
  <c r="AB20" i="2"/>
  <c r="AJ20" i="2" s="1"/>
  <c r="V25" i="3"/>
  <c r="W25" i="3"/>
  <c r="W29" i="3"/>
  <c r="W26" i="3"/>
  <c r="AH22" i="1"/>
  <c r="Z22" i="1"/>
  <c r="S25" i="3"/>
  <c r="O27" i="3"/>
  <c r="U29" i="3"/>
  <c r="V28" i="3"/>
  <c r="W28" i="3"/>
  <c r="W35" i="1"/>
  <c r="J20" i="3"/>
  <c r="M27" i="3"/>
  <c r="AE18" i="2"/>
  <c r="AM18" i="2" s="1"/>
  <c r="N29" i="3"/>
  <c r="AC19" i="1"/>
  <c r="Z20" i="1"/>
  <c r="B26" i="2"/>
  <c r="AA20" i="2"/>
  <c r="AI20" i="2" s="1"/>
  <c r="AL19" i="1"/>
  <c r="D26" i="2"/>
  <c r="N26" i="1"/>
  <c r="T38" i="1"/>
  <c r="T33" i="1"/>
  <c r="B26" i="1"/>
  <c r="T37" i="1"/>
  <c r="L26" i="1"/>
  <c r="V34" i="1"/>
  <c r="S33" i="1"/>
  <c r="U34" i="1"/>
  <c r="R33" i="1"/>
  <c r="T34" i="1"/>
  <c r="S37" i="1"/>
  <c r="V35" i="1"/>
  <c r="S34" i="1"/>
  <c r="U35" i="1"/>
  <c r="R34" i="1"/>
  <c r="T35" i="1"/>
  <c r="V36" i="1"/>
  <c r="S35" i="1"/>
  <c r="U36" i="1"/>
  <c r="R35" i="1"/>
  <c r="W38" i="1"/>
  <c r="O26" i="1"/>
  <c r="K38" i="1" s="1"/>
  <c r="T36" i="1"/>
  <c r="W39" i="1"/>
  <c r="V37" i="1"/>
  <c r="S36" i="1"/>
  <c r="V38" i="1"/>
  <c r="U37" i="1"/>
  <c r="R36" i="1"/>
  <c r="U38" i="1"/>
  <c r="R37" i="1"/>
  <c r="M26" i="1"/>
  <c r="S38" i="1"/>
  <c r="K26" i="1"/>
  <c r="K39" i="1" s="1"/>
  <c r="W33" i="1"/>
  <c r="T32" i="1"/>
  <c r="U39" i="1"/>
  <c r="R38" i="1"/>
  <c r="J26" i="1"/>
  <c r="T39" i="1"/>
  <c r="W32" i="1"/>
  <c r="F26" i="1"/>
  <c r="AD26" i="1" s="1"/>
  <c r="E26" i="1"/>
  <c r="V32" i="1"/>
  <c r="G26" i="1"/>
  <c r="G36" i="1" s="1"/>
  <c r="U32" i="1"/>
  <c r="V33" i="1"/>
  <c r="S32" i="1"/>
  <c r="D26" i="1"/>
  <c r="AB26" i="1" s="1"/>
  <c r="U33" i="1"/>
  <c r="R32" i="1"/>
  <c r="C26" i="1"/>
  <c r="D29" i="2"/>
  <c r="L25" i="2"/>
  <c r="AK21" i="1"/>
  <c r="L38" i="1"/>
  <c r="D9" i="6"/>
  <c r="K28" i="3"/>
  <c r="AA19" i="3"/>
  <c r="AI19" i="3" s="1"/>
  <c r="Z16" i="3"/>
  <c r="AH16" i="3" s="1"/>
  <c r="AA20" i="3"/>
  <c r="AI20" i="3" s="1"/>
  <c r="W37" i="1"/>
  <c r="AC21" i="1"/>
  <c r="C28" i="2"/>
  <c r="K26" i="2"/>
  <c r="B27" i="2"/>
  <c r="AD19" i="1"/>
  <c r="G26" i="2"/>
  <c r="W20" i="3"/>
  <c r="AE20" i="3" s="1"/>
  <c r="AM20" i="3" s="1"/>
  <c r="E26" i="2"/>
  <c r="AE19" i="3"/>
  <c r="AM19" i="3" s="1"/>
  <c r="O28" i="3"/>
  <c r="O28" i="2"/>
  <c r="W37" i="2" s="1"/>
  <c r="AL23" i="1"/>
  <c r="F36" i="1"/>
  <c r="C36" i="1"/>
  <c r="AI23" i="1"/>
  <c r="AE19" i="1"/>
  <c r="W26" i="1"/>
  <c r="AE26" i="1" s="1"/>
  <c r="J27" i="2"/>
  <c r="R36" i="2" s="1"/>
  <c r="W34" i="1"/>
  <c r="J29" i="2"/>
  <c r="R38" i="2" s="1"/>
  <c r="V39" i="1"/>
  <c r="G20" i="3"/>
  <c r="G25" i="3" s="1"/>
  <c r="W34" i="3" s="1"/>
  <c r="AD23" i="1"/>
  <c r="G25" i="2"/>
  <c r="D7" i="6"/>
  <c r="O6" i="6"/>
  <c r="J10" i="6"/>
  <c r="AB16" i="3"/>
  <c r="AJ16" i="3" s="1"/>
  <c r="L25" i="3"/>
  <c r="C26" i="2"/>
  <c r="AB19" i="3"/>
  <c r="AJ19" i="3" s="1"/>
  <c r="J28" i="3"/>
  <c r="Z19" i="3"/>
  <c r="AH19" i="3" s="1"/>
  <c r="AD19" i="3"/>
  <c r="AL19" i="3" s="1"/>
  <c r="S35" i="2"/>
  <c r="K29" i="2"/>
  <c r="S38" i="2" s="1"/>
  <c r="M27" i="2"/>
  <c r="U36" i="2" s="1"/>
  <c r="Z20" i="2"/>
  <c r="AH20" i="2" s="1"/>
  <c r="W20" i="2"/>
  <c r="AE20" i="2" s="1"/>
  <c r="AM20" i="2" s="1"/>
  <c r="S36" i="2"/>
  <c r="M26" i="2"/>
  <c r="U35" i="2" s="1"/>
  <c r="Y34" i="3"/>
  <c r="B20" i="3"/>
  <c r="B6" i="6"/>
  <c r="N27" i="2"/>
  <c r="V36" i="2" s="1"/>
  <c r="V35" i="2"/>
  <c r="F25" i="2"/>
  <c r="AH24" i="1"/>
  <c r="AL20" i="1"/>
  <c r="AD20" i="1"/>
  <c r="AD16" i="2"/>
  <c r="AL16" i="2" s="1"/>
  <c r="N25" i="2"/>
  <c r="V34" i="2" s="1"/>
  <c r="J34" i="1"/>
  <c r="C7" i="6"/>
  <c r="O27" i="2"/>
  <c r="W36" i="2" s="1"/>
  <c r="AE25" i="1"/>
  <c r="N36" i="1"/>
  <c r="T35" i="2"/>
  <c r="L29" i="2"/>
  <c r="T38" i="2" s="1"/>
  <c r="F28" i="2"/>
  <c r="L10" i="6"/>
  <c r="AA16" i="2"/>
  <c r="AI16" i="2" s="1"/>
  <c r="K25" i="2"/>
  <c r="D20" i="3"/>
  <c r="D6" i="6"/>
  <c r="E9" i="6"/>
  <c r="AL21" i="1"/>
  <c r="O26" i="2"/>
  <c r="W35" i="2" s="1"/>
  <c r="AC16" i="2"/>
  <c r="AK16" i="2" s="1"/>
  <c r="M25" i="2"/>
  <c r="U34" i="2" s="1"/>
  <c r="AJ21" i="1"/>
  <c r="D34" i="1"/>
  <c r="G38" i="1"/>
  <c r="C25" i="2"/>
  <c r="AH25" i="1"/>
  <c r="L34" i="1"/>
  <c r="S34" i="2"/>
  <c r="M29" i="2"/>
  <c r="U38" i="2" s="1"/>
  <c r="AE21" i="1"/>
  <c r="L26" i="2"/>
  <c r="AA16" i="3"/>
  <c r="AI16" i="3" s="1"/>
  <c r="K25" i="3"/>
  <c r="K27" i="2"/>
  <c r="AL22" i="1"/>
  <c r="F35" i="1"/>
  <c r="AD22" i="1"/>
  <c r="AM21" i="1"/>
  <c r="M36" i="1"/>
  <c r="G27" i="2"/>
  <c r="T34" i="2"/>
  <c r="N27" i="3"/>
  <c r="O25" i="3"/>
  <c r="N28" i="2"/>
  <c r="V37" i="2" s="1"/>
  <c r="C9" i="6"/>
  <c r="AK23" i="1"/>
  <c r="E36" i="1"/>
  <c r="AI21" i="1"/>
  <c r="C34" i="1"/>
  <c r="D38" i="1"/>
  <c r="AJ25" i="1"/>
  <c r="AB25" i="1"/>
  <c r="D25" i="2"/>
  <c r="N29" i="2"/>
  <c r="V38" i="2" s="1"/>
  <c r="L28" i="2"/>
  <c r="T37" i="2" s="1"/>
  <c r="Z25" i="1"/>
  <c r="AL25" i="1"/>
  <c r="B36" i="1"/>
  <c r="AH23" i="1"/>
  <c r="Z23" i="1"/>
  <c r="L35" i="1"/>
  <c r="D37" i="1"/>
  <c r="AJ24" i="1"/>
  <c r="AB24" i="1"/>
  <c r="B29" i="2"/>
  <c r="R39" i="1"/>
  <c r="AK24" i="1"/>
  <c r="AC24" i="1"/>
  <c r="D32" i="1"/>
  <c r="AJ19" i="1"/>
  <c r="J25" i="2"/>
  <c r="R34" i="2" s="1"/>
  <c r="N35" i="1"/>
  <c r="AM23" i="1"/>
  <c r="E20" i="3"/>
  <c r="E6" i="6"/>
  <c r="AA25" i="1"/>
  <c r="AI25" i="1"/>
  <c r="G29" i="2"/>
  <c r="F27" i="2"/>
  <c r="E27" i="2"/>
  <c r="C27" i="2"/>
  <c r="B28" i="2"/>
  <c r="C29" i="2"/>
  <c r="O25" i="2"/>
  <c r="W34" i="2" s="1"/>
  <c r="K10" i="6"/>
  <c r="M28" i="3"/>
  <c r="AC19" i="3"/>
  <c r="AK19" i="3" s="1"/>
  <c r="Z26" i="1"/>
  <c r="AI22" i="1"/>
  <c r="AA22" i="1"/>
  <c r="AH19" i="1"/>
  <c r="B32" i="1"/>
  <c r="N34" i="1"/>
  <c r="O7" i="6"/>
  <c r="AB22" i="1"/>
  <c r="AJ22" i="1"/>
  <c r="D35" i="1"/>
  <c r="E28" i="2"/>
  <c r="AJ23" i="1"/>
  <c r="D36" i="1"/>
  <c r="B7" i="6"/>
  <c r="D27" i="2"/>
  <c r="L27" i="2"/>
  <c r="T36" i="2" s="1"/>
  <c r="AB19" i="1"/>
  <c r="S39" i="1"/>
  <c r="G28" i="2"/>
  <c r="M28" i="2"/>
  <c r="U37" i="2" s="1"/>
  <c r="K28" i="2"/>
  <c r="S37" i="2" s="1"/>
  <c r="J28" i="2"/>
  <c r="R37" i="2" s="1"/>
  <c r="O29" i="2"/>
  <c r="W38" i="2" s="1"/>
  <c r="AH21" i="1"/>
  <c r="AD24" i="1"/>
  <c r="AL24" i="1"/>
  <c r="AM25" i="1"/>
  <c r="AI19" i="1"/>
  <c r="C32" i="1"/>
  <c r="C20" i="3"/>
  <c r="F9" i="6"/>
  <c r="F10" i="6" s="1"/>
  <c r="B9" i="6"/>
  <c r="Z19" i="1"/>
  <c r="E29" i="2"/>
  <c r="J26" i="2"/>
  <c r="R35" i="2" s="1"/>
  <c r="AA23" i="1"/>
  <c r="J29" i="3" l="1"/>
  <c r="K27" i="3"/>
  <c r="L27" i="3"/>
  <c r="J26" i="3"/>
  <c r="N26" i="3"/>
  <c r="Z35" i="3"/>
  <c r="AC20" i="3"/>
  <c r="AK20" i="3" s="1"/>
  <c r="J25" i="3"/>
  <c r="N28" i="3"/>
  <c r="K26" i="3"/>
  <c r="B28" i="3"/>
  <c r="R37" i="3" s="1"/>
  <c r="L26" i="3"/>
  <c r="M26" i="3"/>
  <c r="L29" i="3"/>
  <c r="N25" i="3"/>
  <c r="O26" i="3"/>
  <c r="K29" i="3"/>
  <c r="L28" i="3"/>
  <c r="C28" i="3"/>
  <c r="S37" i="3" s="1"/>
  <c r="F33" i="1"/>
  <c r="J27" i="3"/>
  <c r="B26" i="3"/>
  <c r="R35" i="3" s="1"/>
  <c r="M25" i="3"/>
  <c r="F28" i="3"/>
  <c r="V37" i="3" s="1"/>
  <c r="C29" i="3"/>
  <c r="S38" i="3" s="1"/>
  <c r="E37" i="1"/>
  <c r="C35" i="1"/>
  <c r="O29" i="3"/>
  <c r="M35" i="1"/>
  <c r="O34" i="1"/>
  <c r="S52" i="1"/>
  <c r="K37" i="1"/>
  <c r="S50" i="1" s="1"/>
  <c r="G34" i="1"/>
  <c r="K36" i="1"/>
  <c r="J39" i="1"/>
  <c r="R52" i="1" s="1"/>
  <c r="R47" i="1"/>
  <c r="U48" i="1"/>
  <c r="M38" i="1"/>
  <c r="U51" i="1" s="1"/>
  <c r="B38" i="1"/>
  <c r="W47" i="1"/>
  <c r="C26" i="3"/>
  <c r="S35" i="3" s="1"/>
  <c r="E34" i="1"/>
  <c r="J36" i="1"/>
  <c r="R49" i="1" s="1"/>
  <c r="O35" i="1"/>
  <c r="W48" i="1" s="1"/>
  <c r="L36" i="1"/>
  <c r="T49" i="1" s="1"/>
  <c r="K33" i="1"/>
  <c r="S46" i="1" s="1"/>
  <c r="L39" i="1"/>
  <c r="T52" i="1" s="1"/>
  <c r="C38" i="1"/>
  <c r="E28" i="3"/>
  <c r="U37" i="3" s="1"/>
  <c r="B37" i="1"/>
  <c r="L33" i="1"/>
  <c r="Z20" i="3"/>
  <c r="AH20" i="3" s="1"/>
  <c r="AM26" i="1"/>
  <c r="F38" i="1"/>
  <c r="F37" i="1"/>
  <c r="M39" i="1"/>
  <c r="U52" i="1" s="1"/>
  <c r="N33" i="1"/>
  <c r="E29" i="3"/>
  <c r="U38" i="3" s="1"/>
  <c r="K34" i="1"/>
  <c r="S47" i="1" s="1"/>
  <c r="J38" i="1"/>
  <c r="R51" i="1" s="1"/>
  <c r="D25" i="3"/>
  <c r="T34" i="3" s="1"/>
  <c r="N39" i="1"/>
  <c r="V52" i="1" s="1"/>
  <c r="G9" i="6"/>
  <c r="T48" i="1"/>
  <c r="D10" i="6"/>
  <c r="D29" i="3"/>
  <c r="T38" i="3" s="1"/>
  <c r="D28" i="3"/>
  <c r="T37" i="3" s="1"/>
  <c r="V48" i="1"/>
  <c r="D27" i="3"/>
  <c r="T36" i="3" s="1"/>
  <c r="G29" i="3"/>
  <c r="W38" i="3" s="1"/>
  <c r="C27" i="3"/>
  <c r="S36" i="3" s="1"/>
  <c r="B27" i="3"/>
  <c r="R36" i="3" s="1"/>
  <c r="F27" i="3"/>
  <c r="V36" i="3" s="1"/>
  <c r="G27" i="3"/>
  <c r="W36" i="3" s="1"/>
  <c r="F25" i="3"/>
  <c r="V34" i="3" s="1"/>
  <c r="F26" i="3"/>
  <c r="V35" i="3" s="1"/>
  <c r="G26" i="3"/>
  <c r="W35" i="3" s="1"/>
  <c r="E27" i="3"/>
  <c r="U36" i="3" s="1"/>
  <c r="C25" i="3"/>
  <c r="S34" i="3" s="1"/>
  <c r="E26" i="3"/>
  <c r="U35" i="3" s="1"/>
  <c r="T47" i="1"/>
  <c r="S51" i="1"/>
  <c r="E10" i="6"/>
  <c r="G28" i="3"/>
  <c r="W37" i="3" s="1"/>
  <c r="E25" i="3"/>
  <c r="U34" i="3" s="1"/>
  <c r="V47" i="1"/>
  <c r="C39" i="1"/>
  <c r="AI26" i="1"/>
  <c r="B39" i="1"/>
  <c r="AH26" i="1"/>
  <c r="S49" i="1"/>
  <c r="T46" i="1"/>
  <c r="G6" i="6"/>
  <c r="B10" i="6"/>
  <c r="O10" i="6"/>
  <c r="L19" i="6" s="1"/>
  <c r="D39" i="1"/>
  <c r="AJ26" i="1"/>
  <c r="B29" i="3"/>
  <c r="R38" i="3" s="1"/>
  <c r="T51" i="1"/>
  <c r="C10" i="6"/>
  <c r="B25" i="3"/>
  <c r="R34" i="3" s="1"/>
  <c r="V46" i="1"/>
  <c r="D26" i="3"/>
  <c r="T35" i="3" s="1"/>
  <c r="J35" i="1"/>
  <c r="J37" i="1"/>
  <c r="R50" i="1" s="1"/>
  <c r="O39" i="1"/>
  <c r="W52" i="1" s="1"/>
  <c r="N38" i="1"/>
  <c r="V51" i="1" s="1"/>
  <c r="M32" i="1"/>
  <c r="U45" i="1" s="1"/>
  <c r="L32" i="1"/>
  <c r="T45" i="1" s="1"/>
  <c r="O38" i="1"/>
  <c r="W51" i="1" s="1"/>
  <c r="J32" i="1"/>
  <c r="R45" i="1" s="1"/>
  <c r="K32" i="1"/>
  <c r="S45" i="1" s="1"/>
  <c r="O32" i="1"/>
  <c r="W45" i="1" s="1"/>
  <c r="L37" i="1"/>
  <c r="T50" i="1" s="1"/>
  <c r="O33" i="1"/>
  <c r="W46" i="1" s="1"/>
  <c r="O36" i="1"/>
  <c r="W49" i="1" s="1"/>
  <c r="M33" i="1"/>
  <c r="U46" i="1" s="1"/>
  <c r="N32" i="1"/>
  <c r="V45" i="1" s="1"/>
  <c r="M34" i="1"/>
  <c r="U47" i="1" s="1"/>
  <c r="M37" i="1"/>
  <c r="U50" i="1" s="1"/>
  <c r="K35" i="1"/>
  <c r="S48" i="1" s="1"/>
  <c r="C33" i="1"/>
  <c r="G39" i="1"/>
  <c r="E33" i="1"/>
  <c r="G32" i="1"/>
  <c r="G35" i="1"/>
  <c r="D33" i="1"/>
  <c r="G37" i="1"/>
  <c r="C37" i="1"/>
  <c r="B35" i="1"/>
  <c r="B33" i="1"/>
  <c r="E32" i="1"/>
  <c r="E35" i="1"/>
  <c r="E38" i="1"/>
  <c r="G33" i="1"/>
  <c r="R48" i="1"/>
  <c r="E39" i="1"/>
  <c r="AK26" i="1"/>
  <c r="U49" i="1"/>
  <c r="K19" i="6"/>
  <c r="O37" i="1"/>
  <c r="W50" i="1" s="1"/>
  <c r="F39" i="1"/>
  <c r="AL26" i="1"/>
  <c r="F32" i="1"/>
  <c r="G7" i="6"/>
  <c r="N37" i="1"/>
  <c r="V50" i="1" s="1"/>
  <c r="B34" i="1"/>
  <c r="J33" i="1"/>
  <c r="R46" i="1" s="1"/>
  <c r="AA26" i="1"/>
  <c r="F34" i="1"/>
  <c r="AC26" i="1"/>
  <c r="V49" i="1"/>
  <c r="F29" i="3"/>
  <c r="V38" i="3" s="1"/>
  <c r="O16" i="6" l="1"/>
  <c r="O15" i="6"/>
  <c r="J19" i="6"/>
  <c r="M18" i="6"/>
  <c r="L17" i="6"/>
  <c r="K18" i="6"/>
  <c r="M16" i="6"/>
  <c r="K15" i="6"/>
  <c r="L15" i="6"/>
  <c r="M17" i="6"/>
  <c r="N16" i="6"/>
  <c r="K17" i="6"/>
  <c r="N15" i="6"/>
  <c r="J17" i="6"/>
  <c r="N17" i="6"/>
  <c r="M15" i="6"/>
  <c r="J16" i="6"/>
  <c r="J18" i="6"/>
  <c r="L18" i="6"/>
  <c r="N18" i="6"/>
  <c r="O18" i="6"/>
  <c r="J15" i="6"/>
  <c r="K16" i="6"/>
  <c r="O17" i="6"/>
  <c r="L16" i="6"/>
  <c r="N19" i="6"/>
  <c r="M19" i="6"/>
  <c r="G10" i="6"/>
  <c r="D19" i="6" s="1"/>
  <c r="G18" i="6"/>
  <c r="E19" i="6"/>
  <c r="G19" i="6" l="1"/>
  <c r="B17" i="6"/>
  <c r="T14" i="6" s="1"/>
  <c r="E17" i="6"/>
  <c r="C17" i="6"/>
  <c r="T15" i="6" s="1"/>
  <c r="C15" i="6"/>
  <c r="F17" i="6"/>
  <c r="T17" i="6" s="1"/>
  <c r="D17" i="6"/>
  <c r="T16" i="6" s="1"/>
  <c r="G17" i="6"/>
  <c r="E16" i="6"/>
  <c r="T12" i="6" s="1"/>
  <c r="F16" i="6"/>
  <c r="T13" i="6" s="1"/>
  <c r="F15" i="6"/>
  <c r="T9" i="6" s="1"/>
  <c r="F19" i="6"/>
  <c r="B16" i="6"/>
  <c r="T10" i="6" s="1"/>
  <c r="B18" i="6"/>
  <c r="T18" i="6" s="1"/>
  <c r="F18" i="6"/>
  <c r="C18" i="6"/>
  <c r="T19" i="6" s="1"/>
  <c r="E15" i="6"/>
  <c r="T8" i="6" s="1"/>
  <c r="B15" i="6"/>
  <c r="T6" i="6" s="1"/>
  <c r="D15" i="6"/>
  <c r="T7" i="6" s="1"/>
  <c r="E18" i="6"/>
  <c r="T21" i="6" s="1"/>
  <c r="C16" i="6"/>
  <c r="T11" i="6" s="1"/>
  <c r="D18" i="6"/>
  <c r="T20" i="6" s="1"/>
  <c r="D16" i="6"/>
  <c r="B19" i="6"/>
  <c r="O19" i="6"/>
  <c r="G16" i="6"/>
  <c r="G15" i="6"/>
  <c r="C19" i="6"/>
  <c r="T22" i="6" l="1"/>
  <c r="U22" i="6" s="1"/>
  <c r="V22" i="6" s="1"/>
  <c r="AA19" i="6" s="1"/>
  <c r="U10" i="6"/>
  <c r="V10" i="6" s="1"/>
  <c r="AA7" i="6" s="1"/>
  <c r="U13" i="6"/>
  <c r="V13" i="6" s="1"/>
  <c r="AA10" i="6" s="1"/>
  <c r="U16" i="6"/>
  <c r="V16" i="6" s="1"/>
  <c r="AA13" i="6" s="1"/>
  <c r="U15" i="6"/>
  <c r="V15" i="6" s="1"/>
  <c r="AA12" i="6" s="1"/>
  <c r="U6" i="6" l="1"/>
  <c r="V6" i="6" s="1"/>
  <c r="AA3" i="6" s="1"/>
  <c r="U20" i="6"/>
  <c r="V20" i="6" s="1"/>
  <c r="AA17" i="6" s="1"/>
  <c r="U14" i="6"/>
  <c r="V14" i="6" s="1"/>
  <c r="AA11" i="6" s="1"/>
  <c r="U17" i="6"/>
  <c r="V17" i="6" s="1"/>
  <c r="AA14" i="6" s="1"/>
  <c r="U18" i="6"/>
  <c r="V18" i="6" s="1"/>
  <c r="AA15" i="6" s="1"/>
  <c r="U12" i="6"/>
  <c r="V12" i="6" s="1"/>
  <c r="AA9" i="6" s="1"/>
  <c r="U9" i="6"/>
  <c r="V9" i="6" s="1"/>
  <c r="AA6" i="6" s="1"/>
  <c r="U8" i="6"/>
  <c r="V8" i="6" s="1"/>
  <c r="AA5" i="6" s="1"/>
  <c r="U21" i="6"/>
  <c r="V21" i="6" s="1"/>
  <c r="AA18" i="6" s="1"/>
  <c r="U19" i="6"/>
  <c r="V19" i="6" s="1"/>
  <c r="AA16" i="6" s="1"/>
  <c r="U7" i="6"/>
  <c r="V7" i="6" s="1"/>
  <c r="AA4" i="6" s="1"/>
  <c r="U11" i="6"/>
  <c r="V11" i="6" s="1"/>
  <c r="AA8" i="6" s="1"/>
</calcChain>
</file>

<file path=xl/sharedStrings.xml><?xml version="1.0" encoding="utf-8"?>
<sst xmlns="http://schemas.openxmlformats.org/spreadsheetml/2006/main" count="802" uniqueCount="174">
  <si>
    <t>Survey</t>
  </si>
  <si>
    <t>ACS</t>
  </si>
  <si>
    <t>DaySim</t>
  </si>
  <si>
    <t>ACS 2006-08</t>
  </si>
  <si>
    <t>Table X: Observed Households by Number of Vehicles and County (Survey)</t>
  </si>
  <si>
    <t>Table X: Obsesrved Households by Number of Vehicles and County (ACS)</t>
  </si>
  <si>
    <t>Table X: Estimated Households by Number of Vehicles and County</t>
  </si>
  <si>
    <t>Number of Vehicles</t>
  </si>
  <si>
    <t>County</t>
  </si>
  <si>
    <t>4+</t>
  </si>
  <si>
    <t>Total</t>
  </si>
  <si>
    <t>Bellevue</t>
  </si>
  <si>
    <t>Bellevue Downtown</t>
  </si>
  <si>
    <t>Kirkland</t>
  </si>
  <si>
    <t>Redmond</t>
  </si>
  <si>
    <t>Seattle</t>
  </si>
  <si>
    <t>Seattle Downtown</t>
  </si>
  <si>
    <t>Rest</t>
  </si>
  <si>
    <t>Table X: Adjusted Observed Households by Number of Vehicles and County (Survey)</t>
  </si>
  <si>
    <t>Table X: Adjusted Observed Households by Number of Vehicles and County (ACS)</t>
  </si>
  <si>
    <t>Table X: Difference in Households by Number of Vehicles and County</t>
  </si>
  <si>
    <t>Table X: % Diff Households by Number of Vehicles and County</t>
  </si>
  <si>
    <t>Table X: Difference in Shares of Households by Number of Vehicles and County</t>
  </si>
  <si>
    <t>Table X: Estimated Households by Number of Vehicles and Income</t>
  </si>
  <si>
    <t>HH Income</t>
  </si>
  <si>
    <t>$0K-$15K</t>
  </si>
  <si>
    <t>$15K-$50K</t>
  </si>
  <si>
    <t>$50K-$75K</t>
  </si>
  <si>
    <t>&gt;$75K</t>
  </si>
  <si>
    <t>Table X: Difference in Households by Number of Vehicles and Income</t>
  </si>
  <si>
    <t>Table X: % Difference in Households by Number of Vehicles and Income</t>
  </si>
  <si>
    <t>Table X: Estimated Households by Number of Vehicles and Number of Potential Drivers</t>
  </si>
  <si>
    <t>HH # of Potential Drivers</t>
  </si>
  <si>
    <t>Table X: Difference in Households by Number of Vehicles and Number of Potential Drivers</t>
  </si>
  <si>
    <t>Table X: % Difference in Households by Number of Vehicles and Number of Potential Drivers</t>
  </si>
  <si>
    <t>The DaySim total here is less because of some households (1930) with 0 HH potential drivers</t>
  </si>
  <si>
    <t>Drivers &lt; Vehicles</t>
  </si>
  <si>
    <t>Daysim</t>
  </si>
  <si>
    <t>Index</t>
  </si>
  <si>
    <t>Coeff</t>
  </si>
  <si>
    <t>Descr</t>
  </si>
  <si>
    <t>class</t>
  </si>
  <si>
    <t>Beta00001</t>
  </si>
  <si>
    <t>F</t>
  </si>
  <si>
    <t>Has1Driver</t>
  </si>
  <si>
    <t>0-Auto</t>
  </si>
  <si>
    <t>Beta00002</t>
  </si>
  <si>
    <t>2-Auto</t>
  </si>
  <si>
    <t>Beta00003</t>
  </si>
  <si>
    <t>3-Auto</t>
  </si>
  <si>
    <t>Beta00004</t>
  </si>
  <si>
    <t>4-Auto</t>
  </si>
  <si>
    <t>Beta00005</t>
  </si>
  <si>
    <t>Has2Drivers</t>
  </si>
  <si>
    <t>Beta00006</t>
  </si>
  <si>
    <t>1-Auto</t>
  </si>
  <si>
    <t>Beta00007</t>
  </si>
  <si>
    <t>Beta00008</t>
  </si>
  <si>
    <t>Beta00009</t>
  </si>
  <si>
    <t>Has3Drivers</t>
  </si>
  <si>
    <t>Beta00010</t>
  </si>
  <si>
    <t>Beta00011</t>
  </si>
  <si>
    <t>Beta00012</t>
  </si>
  <si>
    <t>Beta00013</t>
  </si>
  <si>
    <t>Has4OrMoreDrivers</t>
  </si>
  <si>
    <t>Beta00014</t>
  </si>
  <si>
    <t>Beta00015</t>
  </si>
  <si>
    <t>Beta00016</t>
  </si>
  <si>
    <t>Beta00018</t>
  </si>
  <si>
    <t>HasNoFullOrPartTimeWorker</t>
  </si>
  <si>
    <t>Has1OrLessFullOrPartTimeWorkers</t>
  </si>
  <si>
    <t>Has2OrLessFullOrPartTimeWorkers</t>
  </si>
  <si>
    <t>Has3OrLessFullOrPartTimeWorkers</t>
  </si>
  <si>
    <t>Has4OrLessFullOrPartTimeWorkers</t>
  </si>
  <si>
    <t>Beta00019</t>
  </si>
  <si>
    <t>PartTimeWorkersPerDrivingAgeMembers</t>
  </si>
  <si>
    <t>Beta00020</t>
  </si>
  <si>
    <t>Beta00022</t>
  </si>
  <si>
    <t>Beta00024</t>
  </si>
  <si>
    <t>RetiredAdultsPerDrivingAgeMembers</t>
  </si>
  <si>
    <t>Beta00025</t>
  </si>
  <si>
    <t>Beta00026</t>
  </si>
  <si>
    <t>Beta00028</t>
  </si>
  <si>
    <t>UniversityStudentsPerDrivingAgeMembers</t>
  </si>
  <si>
    <t>Beta00029</t>
  </si>
  <si>
    <t>Beta00031</t>
  </si>
  <si>
    <t>DrivingAgeStudentsPerDrivingAgeMembers</t>
  </si>
  <si>
    <t>Beta00032</t>
  </si>
  <si>
    <t>Beta00034</t>
  </si>
  <si>
    <t>Beta00035</t>
  </si>
  <si>
    <t>HomeBasedPersonsPerDrivingAgeMembers</t>
  </si>
  <si>
    <t>Beta00036</t>
  </si>
  <si>
    <t>Beta00037</t>
  </si>
  <si>
    <t>Beta00038</t>
  </si>
  <si>
    <t>Beta00041</t>
  </si>
  <si>
    <t>ChildrenUnder5PerDrivingAgeMembers</t>
  </si>
  <si>
    <t>Beta00042</t>
  </si>
  <si>
    <t>Beta00043</t>
  </si>
  <si>
    <t>Has0To15KIncome</t>
  </si>
  <si>
    <t>Beta00044</t>
  </si>
  <si>
    <t>Beta00045</t>
  </si>
  <si>
    <t>Beta00046</t>
  </si>
  <si>
    <t>Beta00047</t>
  </si>
  <si>
    <t>Has50To75KIncome</t>
  </si>
  <si>
    <t>Beta00048</t>
  </si>
  <si>
    <t>Beta00049</t>
  </si>
  <si>
    <t>Beta00050</t>
  </si>
  <si>
    <t>Beta00051</t>
  </si>
  <si>
    <t>Has75KPlusIncome</t>
  </si>
  <si>
    <t>Beta00052</t>
  </si>
  <si>
    <t>Beta00053</t>
  </si>
  <si>
    <t>Beta00054</t>
  </si>
  <si>
    <t>Beta00055</t>
  </si>
  <si>
    <t>HasMissingIncome</t>
  </si>
  <si>
    <t>Beta00056</t>
  </si>
  <si>
    <t>Beta00057</t>
  </si>
  <si>
    <t>Beta00058</t>
  </si>
  <si>
    <t>Beta00059</t>
  </si>
  <si>
    <t>workTourLogsumDifference</t>
  </si>
  <si>
    <t>Beta00060</t>
  </si>
  <si>
    <t>workTourLogsumDifference * household.HasMoreDriversThan1</t>
  </si>
  <si>
    <t>workTourLogsumDifference * household.HasMoreDriversThan2</t>
  </si>
  <si>
    <t>workTourLogsumDifference * household.HasMoreDriversThan3</t>
  </si>
  <si>
    <t>workTourLogsumDifference * household.HasMoreDriversThan4</t>
  </si>
  <si>
    <t>Beta00063</t>
  </si>
  <si>
    <t>schoolTourLogsumDifference</t>
  </si>
  <si>
    <t>Beta00069</t>
  </si>
  <si>
    <t>Log(distanceToStop)</t>
  </si>
  <si>
    <t>Beta00072</t>
  </si>
  <si>
    <t>Log(1 + household.ResidenceParcel.StopsTransitBuffer1) * household.HasMoreDriversThan1</t>
  </si>
  <si>
    <t>Log(1 + household.ResidenceParcel.StopsTransitBuffer1) * household.HasMoreDriversThan2</t>
  </si>
  <si>
    <t>Log(1 + household.ResidenceParcel.StopsTransitBuffer1) * household.HasMoreDriversThan3</t>
  </si>
  <si>
    <t>Log(1 + household.ResidenceParcel.StopsTransitBuffer1) * household.HasMoreDriversThan4</t>
  </si>
  <si>
    <t>Beta00073</t>
  </si>
  <si>
    <t>ResidenceParcel.ParkingOffStreetPaidDailyPriceBuffer1</t>
  </si>
  <si>
    <t>Beta00075</t>
  </si>
  <si>
    <t>foodRetailServiceMedicalLogBuffer1</t>
  </si>
  <si>
    <t>Beta00076</t>
  </si>
  <si>
    <t>foodRetailServiceMedicalLogBuffer1 * household.HasMoreDriversThan1</t>
  </si>
  <si>
    <t>foodRetailServiceMedicalLogBuffer1 * household.HasMoreDriversThan2</t>
  </si>
  <si>
    <t>foodRetailServiceMedicalLogBuffer1 * household.HasMoreDriversThan3</t>
  </si>
  <si>
    <t>foodRetailServiceMedicalLogBuffer1 * household.HasMoreDriversThan4</t>
  </si>
  <si>
    <t>Beta00077</t>
  </si>
  <si>
    <t>workTourLogsumDifference * ruralFlag</t>
  </si>
  <si>
    <t>Beta00083</t>
  </si>
  <si>
    <t>ruralFlag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</si>
  <si>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</si>
  <si>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</si>
  <si>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</si>
  <si>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</si>
  <si>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</si>
  <si>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</si>
  <si>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</si>
  <si>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</si>
  <si>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</si>
  <si>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</si>
  <si>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</si>
  <si>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</si>
  <si>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</si>
  <si>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</si>
  <si>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</si>
  <si>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</si>
  <si>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AutoOwnershipCoefficients_SACOG-v1.5.F12</t>
  </si>
  <si>
    <t>Old</t>
  </si>
  <si>
    <t>New</t>
  </si>
  <si>
    <t>Count</t>
  </si>
  <si>
    <t>CoeffIndex</t>
  </si>
  <si>
    <t>Old Coeff.</t>
  </si>
  <si>
    <t>Ratio (FT)</t>
  </si>
  <si>
    <t>Adj.</t>
  </si>
  <si>
    <t>New Coeff.</t>
  </si>
  <si>
    <t>Share</t>
  </si>
  <si>
    <t>HH # of Drivers</t>
  </si>
  <si>
    <t>household has at least as many cars as workers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</si>
</sst>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00"/>
    <numFmt numFmtId="165" formatCode="0.0%"/>
    <numFmt numFmtId="166" formatCode="mm/dd/yyyy\ hh:mm:ss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numFmtId="0" fontId="0" fillId="0" borderId="0"/>
    <xf numFmtId="0" fontId="6" fillId="2" borderId="0">
      <alignment wrapText="1"/>
    </xf>
    <xf numFmtId="0" fontId="6" fillId="0" borderId="0">
      <alignment wrapText="1"/>
    </xf>
    <xf numFmtId="166" fontId="6" fillId="0" borderId="0">
      <alignment wrapText="1"/>
    </xf>
    <xf numFmtId="0" fontId="7" fillId="0" borderId="0"/>
    <xf numFmtId="0" fontId="6" fillId="0" borderId="0">
      <alignment wrapText="1"/>
    </xf>
    <xf numFmtId="0" fontId="6" fillId="0" borderId="0">
      <alignment wrapText="1"/>
    </xf>
    <xf numFmtId="0" fontId="6" fillId="0" borderId="0">
      <alignment wrapText="1"/>
    </xf>
    <xf numFmtId="166" fontId="6" fillId="0" borderId="0">
      <alignment wrapText="1"/>
    </xf>
    <xf numFmtId="9" fontId="6" fillId="0" borderId="0"/>
  </cellStyleXfs>
  <cellXfs count="42">
    <xf numFmtId="0" fontId="0" fillId="0" borderId="0" xfId="0"/>
    <xf numFmtId="0" fontId="1" fillId="0" borderId="0" xfId="0" applyFont="1"/>
    <xf numFmtId="0" fontId="2" fillId="0" borderId="2" xfId="0" applyFont="1" applyBorder="1" applyAlignment="1">
      <alignment horizontal="right"/>
    </xf>
    <xf numFmtId="0" fontId="2" fillId="0" borderId="0" xfId="0" applyFont="1" applyAlignment="1">
      <alignment horizontal="left"/>
    </xf>
    <xf numFmtId="3" fontId="0" fillId="0" borderId="0" xfId="0" applyNumberFormat="1"/>
    <xf numFmtId="0" fontId="2" fillId="0" borderId="3" xfId="0" applyFont="1" applyBorder="1" applyAlignment="1">
      <alignment horizontal="left"/>
    </xf>
    <xf numFmtId="3" fontId="0" fillId="0" borderId="3" xfId="0" applyNumberFormat="1" applyBorder="1"/>
    <xf numFmtId="0" fontId="2" fillId="0" borderId="4" xfId="0" applyFont="1" applyBorder="1" applyAlignment="1">
      <alignment horizontal="left"/>
    </xf>
    <xf numFmtId="3" fontId="0" fillId="0" borderId="4" xfId="0" applyNumberForma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3" xfId="0" applyFont="1" applyBorder="1"/>
    <xf numFmtId="0" fontId="0" fillId="0" borderId="1" xfId="0" applyBorder="1"/>
    <xf numFmtId="0" fontId="3" fillId="0" borderId="0" xfId="0" applyFont="1"/>
    <xf numFmtId="0" fontId="4" fillId="0" borderId="0" xfId="0" applyFont="1"/>
    <xf numFmtId="9" fontId="0" fillId="0" borderId="0" xfId="0" applyNumberFormat="1"/>
    <xf numFmtId="9" fontId="0" fillId="0" borderId="3" xfId="0" applyNumberFormat="1" applyBorder="1"/>
    <xf numFmtId="9" fontId="0" fillId="0" borderId="4" xfId="0" applyNumberFormat="1" applyBorder="1"/>
    <xf numFmtId="0" fontId="6" fillId="0" borderId="0" xfId="2" applyAlignment="1"/>
    <xf numFmtId="0" fontId="0" fillId="0" borderId="3" xfId="0" applyBorder="1"/>
    <xf numFmtId="0" fontId="8" fillId="0" borderId="0" xfId="0" applyFont="1"/>
    <xf numFmtId="0" fontId="9" fillId="0" borderId="0" xfId="0" applyFont="1"/>
    <xf numFmtId="11" fontId="0" fillId="0" borderId="0" xfId="0" applyNumberFormat="1"/>
    <xf numFmtId="0" fontId="10" fillId="0" borderId="0" xfId="0" applyFont="1"/>
    <xf numFmtId="0" fontId="11" fillId="0" borderId="0" xfId="0" applyFont="1"/>
    <xf numFmtId="11" fontId="10" fillId="0" borderId="0" xfId="0" applyNumberFormat="1" applyFont="1"/>
    <xf numFmtId="0" fontId="2" fillId="0" borderId="5" xfId="0" applyFont="1" applyBorder="1" applyAlignment="1">
      <alignment horizontal="right"/>
    </xf>
    <xf numFmtId="3" fontId="6" fillId="0" borderId="0" xfId="2" applyNumberFormat="1" applyAlignment="1"/>
    <xf numFmtId="0" fontId="12" fillId="0" borderId="0" xfId="0" applyFont="1"/>
    <xf numFmtId="0" fontId="0" fillId="0" borderId="2" xfId="0" applyBorder="1" applyAlignment="1">
      <alignment horizontal="center" vertical="top"/>
    </xf>
    <xf numFmtId="2" fontId="0" fillId="0" borderId="0" xfId="0" applyNumberFormat="1"/>
    <xf numFmtId="21" fontId="0" fillId="0" borderId="0" xfId="0" applyNumberFormat="1"/>
    <xf numFmtId="0" fontId="0" fillId="3" borderId="0" xfId="0" applyFill="1"/>
    <xf numFmtId="164" fontId="0" fillId="0" borderId="0" xfId="0" applyNumberFormat="1"/>
    <xf numFmtId="164" fontId="0" fillId="4" borderId="0" xfId="0" applyNumberFormat="1" applyFill="1"/>
    <xf numFmtId="164" fontId="0" fillId="3" borderId="0" xfId="0" applyNumberFormat="1" applyFill="1"/>
    <xf numFmtId="0" fontId="11" fillId="0" borderId="1" xfId="0" applyFont="1" applyBorder="1"/>
    <xf numFmtId="164" fontId="0" fillId="0" borderId="1" xfId="0" applyNumberFormat="1" applyBorder="1"/>
    <xf numFmtId="2" fontId="0" fillId="0" borderId="1" xfId="0" applyNumberFormat="1" applyBorder="1"/>
    <xf numFmtId="0" fontId="2" fillId="0" borderId="0" xfId="0" applyFont="1" applyAlignment="1">
      <alignment horizontal="right"/>
    </xf>
    <xf numFmtId="0" fontId="5" fillId="0" borderId="0" xfId="0" applyFont="1"/>
    <xf numFmtId="165" fontId="0" fillId="0" borderId="0" xfId="9" applyNumberFormat="1" applyFont="1"/>
  </cellXfs>
  <cellStyles count="10">
    <cellStyle name="Normal" xfId="0" builtinId="0"/>
    <cellStyle name="Normal 2" xfId="4" xr:uid="{00000000-0005-0000-0000-000004000000}"/>
    <cellStyle name="Percent" xfId="9" builtinId="5"/>
    <cellStyle name="XLConnect.Boolean" xfId="7" xr:uid="{00000000-0005-0000-0000-000007000000}"/>
    <cellStyle name="XLConnect.Date" xfId="3" xr:uid="{00000000-0005-0000-0000-000003000000}"/>
    <cellStyle name="XLConnect.DateTime" xfId="8" xr:uid="{00000000-0005-0000-0000-000008000000}"/>
    <cellStyle name="XLConnect.General" xfId="2" xr:uid="{00000000-0005-0000-0000-000002000000}"/>
    <cellStyle name="XLConnect.Header" xfId="1" xr:uid="{00000000-0005-0000-0000-000001000000}"/>
    <cellStyle name="XLConnect.Numeric" xfId="6" xr:uid="{00000000-0005-0000-0000-000006000000}"/>
    <cellStyle name="XLConnect.String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52"/>
  <sheetViews>
    <sheetView tabSelected="1" workbookViewId="0">
      <selection activeCell="B36" sqref="B36"/>
    </sheetView>
  </sheetViews>
  <sheetFormatPr defaultRowHeight="15" x14ac:dyDescent="0.25"/>
  <cols>
    <col min="1" max="23" width="9.28515625" customWidth="1" collapsed="1"/>
  </cols>
  <sheetData>
    <row r="1" spans="1:33" ht="21" customHeight="1" x14ac:dyDescent="0.35">
      <c r="A1" s="13" t="s">
        <v>0</v>
      </c>
      <c r="I1" s="13" t="s">
        <v>1</v>
      </c>
      <c r="Q1" s="13" t="s">
        <v>2</v>
      </c>
    </row>
    <row r="2" spans="1:33" x14ac:dyDescent="0.25">
      <c r="A2" s="1"/>
      <c r="I2" s="1" t="s">
        <v>3</v>
      </c>
      <c r="Q2" s="1"/>
    </row>
    <row r="3" spans="1:33" x14ac:dyDescent="0.25">
      <c r="A3" s="1" t="s">
        <v>4</v>
      </c>
      <c r="I3" s="1" t="s">
        <v>5</v>
      </c>
      <c r="Q3" s="14" t="s">
        <v>6</v>
      </c>
    </row>
    <row r="4" spans="1:33" ht="15.75" customHeight="1" thickBot="1" x14ac:dyDescent="0.3">
      <c r="A4" s="12"/>
      <c r="B4" s="10" t="s">
        <v>7</v>
      </c>
      <c r="C4" s="9"/>
      <c r="D4" s="9"/>
      <c r="E4" s="9"/>
      <c r="F4" s="9"/>
      <c r="G4" s="9"/>
      <c r="I4" s="12"/>
      <c r="J4" s="10" t="s">
        <v>7</v>
      </c>
      <c r="K4" s="9"/>
      <c r="L4" s="9"/>
      <c r="M4" s="9"/>
      <c r="N4" s="9"/>
      <c r="O4" s="9"/>
      <c r="Q4" s="12"/>
      <c r="R4" s="10" t="s">
        <v>7</v>
      </c>
      <c r="S4" s="9"/>
      <c r="T4" s="9"/>
      <c r="U4" s="9"/>
      <c r="V4" s="9"/>
      <c r="W4" s="9"/>
    </row>
    <row r="5" spans="1:33" x14ac:dyDescent="0.25">
      <c r="A5" s="11" t="s">
        <v>8</v>
      </c>
      <c r="B5" s="2">
        <v>0</v>
      </c>
      <c r="C5" s="2">
        <v>1</v>
      </c>
      <c r="D5" s="2">
        <v>2</v>
      </c>
      <c r="E5" s="2">
        <v>3</v>
      </c>
      <c r="F5" s="2" t="s">
        <v>9</v>
      </c>
      <c r="G5" s="2" t="s">
        <v>10</v>
      </c>
      <c r="I5" s="11" t="s">
        <v>8</v>
      </c>
      <c r="J5" s="26">
        <v>0</v>
      </c>
      <c r="K5" s="26">
        <v>1</v>
      </c>
      <c r="L5" s="26">
        <v>2</v>
      </c>
      <c r="M5" s="26">
        <v>3</v>
      </c>
      <c r="N5" s="26" t="s">
        <v>9</v>
      </c>
      <c r="O5" s="2" t="s">
        <v>10</v>
      </c>
      <c r="Q5" s="11" t="s">
        <v>8</v>
      </c>
      <c r="R5" s="2">
        <v>0</v>
      </c>
      <c r="S5" s="2">
        <v>1</v>
      </c>
      <c r="T5" s="2">
        <v>2</v>
      </c>
      <c r="U5" s="2">
        <v>3</v>
      </c>
      <c r="V5" s="2" t="s">
        <v>9</v>
      </c>
      <c r="W5" s="2" t="s">
        <v>10</v>
      </c>
    </row>
    <row r="6" spans="1:33" x14ac:dyDescent="0.25">
      <c r="A6" s="20" t="s">
        <v>11</v>
      </c>
      <c r="B6" s="4">
        <v>7866.432039174596</v>
      </c>
      <c r="C6" s="4">
        <v>20620.673315796201</v>
      </c>
      <c r="D6" s="4">
        <v>20389.41928265768</v>
      </c>
      <c r="E6" s="4">
        <v>5380.013984307493</v>
      </c>
      <c r="F6" s="4">
        <v>3330.7768801376578</v>
      </c>
      <c r="G6" s="4">
        <f t="shared" ref="G6:G12" si="0">SUM(B6:F6)</f>
        <v>57587.31550207363</v>
      </c>
      <c r="I6" s="3" t="str">
        <f>$A$6</f>
        <v>Bellevue</v>
      </c>
      <c r="J6" s="4"/>
      <c r="K6" s="4"/>
      <c r="L6" s="4"/>
      <c r="M6" s="4"/>
      <c r="N6" s="4"/>
      <c r="O6" s="4">
        <f t="shared" ref="O6:O12" si="1">SUM(J6:N6)</f>
        <v>0</v>
      </c>
      <c r="Q6" s="3" t="str">
        <f>$A$6</f>
        <v>Bellevue</v>
      </c>
      <c r="R6" s="18">
        <v>1764.512554983007</v>
      </c>
      <c r="S6" s="18">
        <v>14680.900397907661</v>
      </c>
      <c r="T6" s="18">
        <v>24948.632815651919</v>
      </c>
      <c r="U6" s="18">
        <v>11236.7847128758</v>
      </c>
      <c r="V6" s="18">
        <v>4933.5049356644358</v>
      </c>
      <c r="W6" s="4">
        <f t="shared" ref="W6:W12" si="2">SUM(R6:V6)</f>
        <v>57564.335417082824</v>
      </c>
    </row>
    <row r="7" spans="1:33" x14ac:dyDescent="0.25">
      <c r="A7" s="21" t="s">
        <v>12</v>
      </c>
      <c r="B7" s="4">
        <v>1187.6271857613131</v>
      </c>
      <c r="C7" s="4">
        <v>4308.6336776555881</v>
      </c>
      <c r="D7" s="4">
        <v>422.1128822939055</v>
      </c>
      <c r="E7" s="4">
        <v>179.74297727159399</v>
      </c>
      <c r="F7" s="4">
        <v>81.560413077447294</v>
      </c>
      <c r="G7" s="4">
        <f t="shared" si="0"/>
        <v>6179.6771360598477</v>
      </c>
      <c r="I7" s="3" t="str">
        <f>$A$7</f>
        <v>Bellevue Downtown</v>
      </c>
      <c r="J7" s="27"/>
      <c r="K7" s="27"/>
      <c r="L7" s="27"/>
      <c r="M7" s="27"/>
      <c r="N7" s="27"/>
      <c r="O7" s="4">
        <f t="shared" si="1"/>
        <v>0</v>
      </c>
      <c r="Q7" s="3" t="str">
        <f>$A$7</f>
        <v>Bellevue Downtown</v>
      </c>
      <c r="R7" s="18">
        <v>1193.8504417374629</v>
      </c>
      <c r="S7" s="18">
        <v>2788.2693176767589</v>
      </c>
      <c r="T7" s="18">
        <v>1305.7218932039921</v>
      </c>
      <c r="U7" s="18">
        <v>378.95830172505498</v>
      </c>
      <c r="V7" s="18">
        <v>152.450542058861</v>
      </c>
      <c r="W7" s="4">
        <f t="shared" si="2"/>
        <v>5819.25049640213</v>
      </c>
    </row>
    <row r="8" spans="1:33" x14ac:dyDescent="0.25">
      <c r="A8" s="21" t="s">
        <v>13</v>
      </c>
      <c r="B8" s="4">
        <v>1553.6350618771589</v>
      </c>
      <c r="C8" s="4">
        <v>13345.002980161131</v>
      </c>
      <c r="D8" s="4">
        <v>11059.161686955749</v>
      </c>
      <c r="E8" s="4">
        <v>5545.146643080845</v>
      </c>
      <c r="F8" s="4">
        <v>0</v>
      </c>
      <c r="G8" s="4">
        <f t="shared" si="0"/>
        <v>31502.946372074883</v>
      </c>
      <c r="I8" s="3" t="str">
        <f>$A$8</f>
        <v>Kirkland</v>
      </c>
      <c r="J8" s="27"/>
      <c r="K8" s="27"/>
      <c r="L8" s="27"/>
      <c r="M8" s="27"/>
      <c r="N8" s="27"/>
      <c r="O8" s="4">
        <f t="shared" si="1"/>
        <v>0</v>
      </c>
      <c r="Q8" s="3" t="str">
        <f>$A$8</f>
        <v>Kirkland</v>
      </c>
      <c r="R8" s="18">
        <v>1872.8523142032841</v>
      </c>
      <c r="S8" s="18">
        <v>15567.83345706243</v>
      </c>
      <c r="T8" s="18">
        <v>22824.110718885058</v>
      </c>
      <c r="U8" s="18">
        <v>9849.7752593924433</v>
      </c>
      <c r="V8" s="18">
        <v>3957.3951093799769</v>
      </c>
      <c r="W8" s="4">
        <f t="shared" si="2"/>
        <v>54071.966858923195</v>
      </c>
    </row>
    <row r="9" spans="1:33" x14ac:dyDescent="0.25">
      <c r="A9" s="21" t="s">
        <v>14</v>
      </c>
      <c r="B9" s="4">
        <v>676.79300176270806</v>
      </c>
      <c r="C9" s="4">
        <v>13692.953006532471</v>
      </c>
      <c r="D9" s="4">
        <v>19845.949060376839</v>
      </c>
      <c r="E9" s="4">
        <v>4838.9107303398059</v>
      </c>
      <c r="F9" s="4">
        <v>999.52780397840195</v>
      </c>
      <c r="G9" s="4">
        <f t="shared" si="0"/>
        <v>40054.133602990223</v>
      </c>
      <c r="I9" s="3" t="str">
        <f>$A$9</f>
        <v>Redmond</v>
      </c>
      <c r="J9" s="27"/>
      <c r="K9" s="27"/>
      <c r="L9" s="27"/>
      <c r="M9" s="27"/>
      <c r="N9" s="27"/>
      <c r="O9" s="4">
        <f t="shared" si="1"/>
        <v>0</v>
      </c>
      <c r="Q9" s="3" t="str">
        <f>$A$9</f>
        <v>Redmond</v>
      </c>
      <c r="R9" s="18">
        <v>953.96419393443523</v>
      </c>
      <c r="S9" s="18">
        <v>10397.286572083451</v>
      </c>
      <c r="T9" s="18">
        <v>18174.02853761227</v>
      </c>
      <c r="U9" s="18">
        <v>9024.7997808269447</v>
      </c>
      <c r="V9" s="18">
        <v>3681.189794766482</v>
      </c>
      <c r="W9" s="4">
        <f t="shared" si="2"/>
        <v>42231.268879223586</v>
      </c>
    </row>
    <row r="10" spans="1:33" x14ac:dyDescent="0.25">
      <c r="A10" s="21" t="s">
        <v>15</v>
      </c>
      <c r="B10" s="4">
        <v>39567.808268420427</v>
      </c>
      <c r="C10" s="4">
        <v>164752.77516778329</v>
      </c>
      <c r="D10" s="4">
        <v>98982.858267262665</v>
      </c>
      <c r="E10" s="4">
        <v>33561.19906379006</v>
      </c>
      <c r="F10" s="4">
        <v>6622.9840417920959</v>
      </c>
      <c r="G10" s="4">
        <f t="shared" si="0"/>
        <v>343487.62480904849</v>
      </c>
      <c r="I10" s="3" t="str">
        <f>$A$10</f>
        <v>Seattle</v>
      </c>
      <c r="J10" s="27"/>
      <c r="K10" s="27"/>
      <c r="L10" s="27"/>
      <c r="M10" s="27"/>
      <c r="N10" s="27"/>
      <c r="O10" s="4">
        <f t="shared" si="1"/>
        <v>0</v>
      </c>
      <c r="Q10" s="3" t="str">
        <f>$A$10</f>
        <v>Seattle</v>
      </c>
      <c r="R10" s="18">
        <v>23867.769341578369</v>
      </c>
      <c r="S10" s="18">
        <v>100718.9138482374</v>
      </c>
      <c r="T10" s="18">
        <v>97730.366194467642</v>
      </c>
      <c r="U10" s="18">
        <v>35628.583136941117</v>
      </c>
      <c r="V10" s="18">
        <v>14810.437109781829</v>
      </c>
      <c r="W10" s="4">
        <f t="shared" si="2"/>
        <v>272756.06963100639</v>
      </c>
    </row>
    <row r="11" spans="1:33" x14ac:dyDescent="0.25">
      <c r="A11" s="21" t="s">
        <v>16</v>
      </c>
      <c r="B11" s="4">
        <v>25874.946677818589</v>
      </c>
      <c r="C11" s="4">
        <v>29179.125438740459</v>
      </c>
      <c r="D11" s="4">
        <v>6282.0018405785013</v>
      </c>
      <c r="E11" s="4">
        <v>0</v>
      </c>
      <c r="F11" s="4">
        <v>0</v>
      </c>
      <c r="G11" s="4">
        <f t="shared" si="0"/>
        <v>61336.073957137552</v>
      </c>
      <c r="I11" s="3" t="str">
        <f>$A$11</f>
        <v>Seattle Downtown</v>
      </c>
      <c r="J11" s="27"/>
      <c r="K11" s="27"/>
      <c r="L11" s="27"/>
      <c r="M11" s="27"/>
      <c r="N11" s="27"/>
      <c r="O11" s="4">
        <f t="shared" si="1"/>
        <v>0</v>
      </c>
      <c r="Q11" s="3" t="str">
        <f>$A$11</f>
        <v>Seattle Downtown</v>
      </c>
      <c r="R11" s="18">
        <v>12840.44323745065</v>
      </c>
      <c r="S11" s="18">
        <v>18060.468344955141</v>
      </c>
      <c r="T11" s="18">
        <v>5996.2773411818471</v>
      </c>
      <c r="U11" s="18">
        <v>1669.5657403759881</v>
      </c>
      <c r="V11" s="18">
        <v>625.85539729195557</v>
      </c>
      <c r="W11" s="4">
        <f t="shared" si="2"/>
        <v>39192.610061255582</v>
      </c>
    </row>
    <row r="12" spans="1:33" x14ac:dyDescent="0.25">
      <c r="A12" s="21" t="s">
        <v>17</v>
      </c>
      <c r="B12" s="4">
        <v>67690.491713842959</v>
      </c>
      <c r="C12" s="4">
        <v>328672.29183806869</v>
      </c>
      <c r="D12" s="4">
        <v>494183.48993380979</v>
      </c>
      <c r="E12" s="4">
        <v>176026.8426554419</v>
      </c>
      <c r="F12" s="4">
        <v>125863.6817128893</v>
      </c>
      <c r="G12" s="4">
        <f t="shared" si="0"/>
        <v>1192436.7978540526</v>
      </c>
      <c r="I12" s="3" t="str">
        <f>$A$12</f>
        <v>Rest</v>
      </c>
      <c r="J12" s="27"/>
      <c r="K12" s="27"/>
      <c r="L12" s="27"/>
      <c r="M12" s="27"/>
      <c r="N12" s="27"/>
      <c r="O12" s="4">
        <f t="shared" si="1"/>
        <v>0</v>
      </c>
      <c r="Q12" s="3" t="str">
        <f>$A$12</f>
        <v>Rest</v>
      </c>
      <c r="R12" s="4">
        <v>34154.611290915876</v>
      </c>
      <c r="S12" s="4">
        <v>248051.03846442781</v>
      </c>
      <c r="T12" s="4">
        <v>399257.61316042411</v>
      </c>
      <c r="U12" s="4">
        <v>184724.3773388456</v>
      </c>
      <c r="V12" s="4">
        <v>84999.482078694258</v>
      </c>
      <c r="W12" s="4">
        <f t="shared" si="2"/>
        <v>951187.12233330763</v>
      </c>
    </row>
    <row r="13" spans="1:33" ht="15.75" customHeight="1" thickBot="1" x14ac:dyDescent="0.3">
      <c r="A13" s="7" t="s">
        <v>10</v>
      </c>
      <c r="B13" s="8">
        <f t="shared" ref="B13:G13" si="3">SUM(B6:B12)</f>
        <v>144417.73394865775</v>
      </c>
      <c r="C13" s="8">
        <f t="shared" si="3"/>
        <v>574571.45542473788</v>
      </c>
      <c r="D13" s="8">
        <f t="shared" si="3"/>
        <v>651164.99295393517</v>
      </c>
      <c r="E13" s="8">
        <f t="shared" si="3"/>
        <v>225531.8560542317</v>
      </c>
      <c r="F13" s="8">
        <f t="shared" si="3"/>
        <v>136898.53085187491</v>
      </c>
      <c r="G13" s="8">
        <f t="shared" si="3"/>
        <v>1732584.5692334371</v>
      </c>
      <c r="I13" s="7" t="str">
        <f>$A$13</f>
        <v>Total</v>
      </c>
      <c r="J13" s="8">
        <f t="shared" ref="J13:O13" si="4">SUM(J6:J12)</f>
        <v>0</v>
      </c>
      <c r="K13" s="8">
        <f t="shared" si="4"/>
        <v>0</v>
      </c>
      <c r="L13" s="8">
        <f t="shared" si="4"/>
        <v>0</v>
      </c>
      <c r="M13" s="8">
        <f t="shared" si="4"/>
        <v>0</v>
      </c>
      <c r="N13" s="8">
        <f t="shared" si="4"/>
        <v>0</v>
      </c>
      <c r="O13" s="8">
        <f t="shared" si="4"/>
        <v>0</v>
      </c>
      <c r="Q13" s="7" t="str">
        <f>$A$13</f>
        <v>Total</v>
      </c>
      <c r="R13" s="8">
        <f t="shared" ref="R13:W13" si="5">SUM(R6:R12)</f>
        <v>76648.003374803084</v>
      </c>
      <c r="S13" s="8">
        <f t="shared" si="5"/>
        <v>410264.71040235064</v>
      </c>
      <c r="T13" s="8">
        <f t="shared" si="5"/>
        <v>570236.75066142681</v>
      </c>
      <c r="U13" s="8">
        <f t="shared" si="5"/>
        <v>252512.84427098295</v>
      </c>
      <c r="V13" s="8">
        <f t="shared" si="5"/>
        <v>113160.31496763779</v>
      </c>
      <c r="W13" s="8">
        <f t="shared" si="5"/>
        <v>1422822.6236772013</v>
      </c>
    </row>
    <row r="16" spans="1:33" x14ac:dyDescent="0.25">
      <c r="A16" s="1" t="s">
        <v>18</v>
      </c>
      <c r="I16" s="1" t="s">
        <v>19</v>
      </c>
      <c r="Q16" s="14" t="s">
        <v>6</v>
      </c>
      <c r="Y16" s="1" t="s">
        <v>20</v>
      </c>
      <c r="AG16" s="1" t="s">
        <v>21</v>
      </c>
    </row>
    <row r="17" spans="1:39" ht="15.75" customHeight="1" thickBot="1" x14ac:dyDescent="0.3">
      <c r="A17" s="12"/>
      <c r="B17" s="10" t="s">
        <v>7</v>
      </c>
      <c r="C17" s="9"/>
      <c r="D17" s="9"/>
      <c r="E17" s="9"/>
      <c r="F17" s="9"/>
      <c r="G17" s="9"/>
      <c r="I17" s="12"/>
      <c r="J17" s="10" t="s">
        <v>7</v>
      </c>
      <c r="K17" s="9"/>
      <c r="L17" s="9"/>
      <c r="M17" s="9"/>
      <c r="N17" s="9"/>
      <c r="O17" s="9"/>
      <c r="Q17" s="12"/>
      <c r="R17" s="10" t="s">
        <v>7</v>
      </c>
      <c r="S17" s="9"/>
      <c r="T17" s="9"/>
      <c r="U17" s="9"/>
      <c r="V17" s="9"/>
      <c r="W17" s="9"/>
      <c r="Y17" s="12"/>
      <c r="Z17" s="10" t="s">
        <v>7</v>
      </c>
      <c r="AA17" s="9"/>
      <c r="AB17" s="9"/>
      <c r="AC17" s="9"/>
      <c r="AD17" s="9"/>
      <c r="AE17" s="9"/>
      <c r="AG17" s="12"/>
      <c r="AH17" s="10" t="s">
        <v>7</v>
      </c>
      <c r="AI17" s="9"/>
      <c r="AJ17" s="9"/>
      <c r="AK17" s="9"/>
      <c r="AL17" s="9"/>
      <c r="AM17" s="9"/>
    </row>
    <row r="18" spans="1:39" x14ac:dyDescent="0.25">
      <c r="A18" s="11" t="s">
        <v>8</v>
      </c>
      <c r="B18" s="2">
        <v>0</v>
      </c>
      <c r="C18" s="2">
        <v>1</v>
      </c>
      <c r="D18" s="2">
        <v>2</v>
      </c>
      <c r="E18" s="2">
        <v>3</v>
      </c>
      <c r="F18" s="2" t="s">
        <v>9</v>
      </c>
      <c r="G18" s="2" t="s">
        <v>10</v>
      </c>
      <c r="I18" s="11" t="s">
        <v>8</v>
      </c>
      <c r="J18" s="2">
        <v>0</v>
      </c>
      <c r="K18" s="2">
        <v>1</v>
      </c>
      <c r="L18" s="2">
        <v>2</v>
      </c>
      <c r="M18" s="2">
        <v>3</v>
      </c>
      <c r="N18" s="2" t="s">
        <v>9</v>
      </c>
      <c r="O18" s="2" t="s">
        <v>10</v>
      </c>
      <c r="Q18" s="11" t="s">
        <v>8</v>
      </c>
      <c r="R18" s="2">
        <v>0</v>
      </c>
      <c r="S18" s="2">
        <v>1</v>
      </c>
      <c r="T18" s="2">
        <v>2</v>
      </c>
      <c r="U18" s="2">
        <v>3</v>
      </c>
      <c r="V18" s="2" t="s">
        <v>9</v>
      </c>
      <c r="W18" s="2" t="s">
        <v>10</v>
      </c>
      <c r="Y18" s="11" t="s">
        <v>8</v>
      </c>
      <c r="Z18" s="2">
        <v>0</v>
      </c>
      <c r="AA18" s="2">
        <v>1</v>
      </c>
      <c r="AB18" s="2">
        <v>2</v>
      </c>
      <c r="AC18" s="2">
        <v>3</v>
      </c>
      <c r="AD18" s="2" t="s">
        <v>9</v>
      </c>
      <c r="AE18" s="2" t="s">
        <v>10</v>
      </c>
      <c r="AG18" s="11" t="s">
        <v>8</v>
      </c>
      <c r="AH18" s="2">
        <v>0</v>
      </c>
      <c r="AI18" s="2">
        <v>1</v>
      </c>
      <c r="AJ18" s="2">
        <v>2</v>
      </c>
      <c r="AK18" s="2">
        <v>3</v>
      </c>
      <c r="AL18" s="2" t="s">
        <v>9</v>
      </c>
      <c r="AM18" s="2" t="s">
        <v>10</v>
      </c>
    </row>
    <row r="19" spans="1:39" x14ac:dyDescent="0.25">
      <c r="A19" s="3" t="str">
        <f>$A$6</f>
        <v>Bellevue</v>
      </c>
      <c r="B19" s="4">
        <f t="shared" ref="B19:G26" si="6">($W6/$G6)*B6</f>
        <v>7863.2929576727311</v>
      </c>
      <c r="C19" s="4">
        <f t="shared" si="6"/>
        <v>20612.444683826932</v>
      </c>
      <c r="D19" s="4">
        <f t="shared" si="6"/>
        <v>20381.282932075203</v>
      </c>
      <c r="E19" s="4">
        <f t="shared" si="6"/>
        <v>5377.8671021767113</v>
      </c>
      <c r="F19" s="4">
        <f t="shared" si="6"/>
        <v>3329.4477413312447</v>
      </c>
      <c r="G19" s="4">
        <f t="shared" si="6"/>
        <v>57564.335417082824</v>
      </c>
      <c r="I19" s="3" t="str">
        <f>$A$6</f>
        <v>Bellevue</v>
      </c>
      <c r="J19" s="4" t="e">
        <f t="shared" ref="J19:O26" si="7">($W6/$O6)*J6</f>
        <v>#DIV/0!</v>
      </c>
      <c r="K19" s="4" t="e">
        <f t="shared" si="7"/>
        <v>#DIV/0!</v>
      </c>
      <c r="L19" s="4" t="e">
        <f t="shared" si="7"/>
        <v>#DIV/0!</v>
      </c>
      <c r="M19" s="4" t="e">
        <f t="shared" si="7"/>
        <v>#DIV/0!</v>
      </c>
      <c r="N19" s="4" t="e">
        <f t="shared" si="7"/>
        <v>#DIV/0!</v>
      </c>
      <c r="O19" s="4" t="e">
        <f t="shared" si="7"/>
        <v>#DIV/0!</v>
      </c>
      <c r="Q19" s="3" t="str">
        <f>$A$6</f>
        <v>Bellevue</v>
      </c>
      <c r="R19" s="4">
        <f t="shared" ref="R19:V25" si="8">R6</f>
        <v>1764.512554983007</v>
      </c>
      <c r="S19" s="4">
        <f t="shared" si="8"/>
        <v>14680.900397907661</v>
      </c>
      <c r="T19" s="4">
        <f t="shared" si="8"/>
        <v>24948.632815651919</v>
      </c>
      <c r="U19" s="4">
        <f t="shared" si="8"/>
        <v>11236.7847128758</v>
      </c>
      <c r="V19" s="4">
        <f t="shared" si="8"/>
        <v>4933.5049356644358</v>
      </c>
      <c r="W19" s="4">
        <f t="shared" ref="W19:W25" si="9">SUM(R19:V19)</f>
        <v>57564.335417082824</v>
      </c>
      <c r="Y19" s="3" t="str">
        <f>$A$6</f>
        <v>Bellevue</v>
      </c>
      <c r="Z19" s="4">
        <f t="shared" ref="Z19:AE26" si="10">R19-B19</f>
        <v>-6098.7804026897238</v>
      </c>
      <c r="AA19" s="4">
        <f t="shared" si="10"/>
        <v>-5931.5442859192717</v>
      </c>
      <c r="AB19" s="4">
        <f t="shared" si="10"/>
        <v>4567.3498835767168</v>
      </c>
      <c r="AC19" s="4">
        <f t="shared" si="10"/>
        <v>5858.917610699089</v>
      </c>
      <c r="AD19" s="4">
        <f t="shared" si="10"/>
        <v>1604.0571943331911</v>
      </c>
      <c r="AE19" s="4">
        <f t="shared" si="10"/>
        <v>0</v>
      </c>
      <c r="AG19" s="3" t="str">
        <f>$A$6</f>
        <v>Bellevue</v>
      </c>
      <c r="AH19" s="15">
        <f t="shared" ref="AH19:AM26" si="11">(R6-B19)/B19</f>
        <v>-0.77560132065774601</v>
      </c>
      <c r="AI19" s="15">
        <f t="shared" si="11"/>
        <v>-0.28776520092123364</v>
      </c>
      <c r="AJ19" s="15">
        <f t="shared" si="11"/>
        <v>0.22409530836691416</v>
      </c>
      <c r="AK19" s="15">
        <f t="shared" si="11"/>
        <v>1.0894500550836725</v>
      </c>
      <c r="AL19" s="15">
        <f t="shared" si="11"/>
        <v>0.4817787570054563</v>
      </c>
      <c r="AM19" s="15">
        <f t="shared" si="11"/>
        <v>0</v>
      </c>
    </row>
    <row r="20" spans="1:39" x14ac:dyDescent="0.25">
      <c r="A20" s="3" t="str">
        <f>$A$7</f>
        <v>Bellevue Downtown</v>
      </c>
      <c r="B20" s="4">
        <f t="shared" si="6"/>
        <v>1118.3594123314817</v>
      </c>
      <c r="C20" s="4">
        <f t="shared" si="6"/>
        <v>4057.3347305161533</v>
      </c>
      <c r="D20" s="4">
        <f t="shared" si="6"/>
        <v>397.49335535557248</v>
      </c>
      <c r="E20" s="4">
        <f t="shared" si="6"/>
        <v>169.25955623296989</v>
      </c>
      <c r="F20" s="4">
        <f t="shared" si="6"/>
        <v>76.8034419659528</v>
      </c>
      <c r="G20" s="4">
        <f t="shared" si="6"/>
        <v>5819.25049640213</v>
      </c>
      <c r="I20" s="3" t="str">
        <f>$A$7</f>
        <v>Bellevue Downtown</v>
      </c>
      <c r="J20" s="4" t="e">
        <f t="shared" si="7"/>
        <v>#DIV/0!</v>
      </c>
      <c r="K20" s="4" t="e">
        <f t="shared" si="7"/>
        <v>#DIV/0!</v>
      </c>
      <c r="L20" s="4" t="e">
        <f t="shared" si="7"/>
        <v>#DIV/0!</v>
      </c>
      <c r="M20" s="4" t="e">
        <f t="shared" si="7"/>
        <v>#DIV/0!</v>
      </c>
      <c r="N20" s="4" t="e">
        <f t="shared" si="7"/>
        <v>#DIV/0!</v>
      </c>
      <c r="O20" s="4" t="e">
        <f t="shared" si="7"/>
        <v>#DIV/0!</v>
      </c>
      <c r="Q20" s="3" t="str">
        <f>$A$7</f>
        <v>Bellevue Downtown</v>
      </c>
      <c r="R20" s="4">
        <f t="shared" si="8"/>
        <v>1193.8504417374629</v>
      </c>
      <c r="S20" s="4">
        <f t="shared" si="8"/>
        <v>2788.2693176767589</v>
      </c>
      <c r="T20" s="4">
        <f t="shared" si="8"/>
        <v>1305.7218932039921</v>
      </c>
      <c r="U20" s="4">
        <f t="shared" si="8"/>
        <v>378.95830172505498</v>
      </c>
      <c r="V20" s="4">
        <f t="shared" si="8"/>
        <v>152.450542058861</v>
      </c>
      <c r="W20" s="4">
        <f t="shared" si="9"/>
        <v>5819.25049640213</v>
      </c>
      <c r="Y20" s="3" t="str">
        <f>$A$7</f>
        <v>Bellevue Downtown</v>
      </c>
      <c r="Z20" s="4">
        <f t="shared" si="10"/>
        <v>75.49102940598118</v>
      </c>
      <c r="AA20" s="4">
        <f t="shared" si="10"/>
        <v>-1269.0654128393944</v>
      </c>
      <c r="AB20" s="4">
        <f t="shared" si="10"/>
        <v>908.22853784841959</v>
      </c>
      <c r="AC20" s="4">
        <f t="shared" si="10"/>
        <v>209.6987454920851</v>
      </c>
      <c r="AD20" s="4">
        <f t="shared" si="10"/>
        <v>75.647100092908204</v>
      </c>
      <c r="AE20" s="4">
        <f t="shared" si="10"/>
        <v>0</v>
      </c>
      <c r="AG20" s="3" t="str">
        <f>$A$7</f>
        <v>Bellevue Downtown</v>
      </c>
      <c r="AH20" s="15">
        <f t="shared" si="11"/>
        <v>6.7501581847111636E-2</v>
      </c>
      <c r="AI20" s="15">
        <f t="shared" si="11"/>
        <v>-0.31278302065995683</v>
      </c>
      <c r="AJ20" s="15">
        <f t="shared" si="11"/>
        <v>2.2848898619600209</v>
      </c>
      <c r="AK20" s="15">
        <f t="shared" si="11"/>
        <v>1.2389182044377718</v>
      </c>
      <c r="AL20" s="15">
        <f t="shared" si="11"/>
        <v>0.98494413995720131</v>
      </c>
      <c r="AM20" s="15">
        <f t="shared" si="11"/>
        <v>0</v>
      </c>
    </row>
    <row r="21" spans="1:39" x14ac:dyDescent="0.25">
      <c r="A21" s="3" t="str">
        <f>$A$8</f>
        <v>Kirkland</v>
      </c>
      <c r="B21" s="4">
        <f t="shared" si="6"/>
        <v>2666.6744940133608</v>
      </c>
      <c r="C21" s="4">
        <f t="shared" si="6"/>
        <v>22905.494310054204</v>
      </c>
      <c r="D21" s="4">
        <f t="shared" si="6"/>
        <v>18982.053842259673</v>
      </c>
      <c r="E21" s="4">
        <f t="shared" si="6"/>
        <v>9517.7442125959624</v>
      </c>
      <c r="F21" s="4">
        <f t="shared" si="6"/>
        <v>0</v>
      </c>
      <c r="G21" s="4">
        <f t="shared" si="6"/>
        <v>54071.966858923195</v>
      </c>
      <c r="I21" s="3" t="str">
        <f>$A$8</f>
        <v>Kirkland</v>
      </c>
      <c r="J21" s="4" t="e">
        <f t="shared" si="7"/>
        <v>#DIV/0!</v>
      </c>
      <c r="K21" s="4" t="e">
        <f t="shared" si="7"/>
        <v>#DIV/0!</v>
      </c>
      <c r="L21" s="4" t="e">
        <f t="shared" si="7"/>
        <v>#DIV/0!</v>
      </c>
      <c r="M21" s="4" t="e">
        <f t="shared" si="7"/>
        <v>#DIV/0!</v>
      </c>
      <c r="N21" s="4" t="e">
        <f t="shared" si="7"/>
        <v>#DIV/0!</v>
      </c>
      <c r="O21" s="4" t="e">
        <f t="shared" si="7"/>
        <v>#DIV/0!</v>
      </c>
      <c r="Q21" s="3" t="str">
        <f>$A$8</f>
        <v>Kirkland</v>
      </c>
      <c r="R21" s="4">
        <f t="shared" si="8"/>
        <v>1872.8523142032841</v>
      </c>
      <c r="S21" s="4">
        <f t="shared" si="8"/>
        <v>15567.83345706243</v>
      </c>
      <c r="T21" s="4">
        <f t="shared" si="8"/>
        <v>22824.110718885058</v>
      </c>
      <c r="U21" s="4">
        <f t="shared" si="8"/>
        <v>9849.7752593924433</v>
      </c>
      <c r="V21" s="4">
        <f t="shared" si="8"/>
        <v>3957.3951093799769</v>
      </c>
      <c r="W21" s="4">
        <f t="shared" si="9"/>
        <v>54071.966858923195</v>
      </c>
      <c r="Y21" s="3" t="str">
        <f>$A$8</f>
        <v>Kirkland</v>
      </c>
      <c r="Z21" s="4">
        <f t="shared" si="10"/>
        <v>-793.8221798100767</v>
      </c>
      <c r="AA21" s="4">
        <f t="shared" si="10"/>
        <v>-7337.6608529917739</v>
      </c>
      <c r="AB21" s="4">
        <f t="shared" si="10"/>
        <v>3842.0568766253855</v>
      </c>
      <c r="AC21" s="4">
        <f t="shared" si="10"/>
        <v>332.03104679648095</v>
      </c>
      <c r="AD21" s="4">
        <f t="shared" si="10"/>
        <v>3957.3951093799769</v>
      </c>
      <c r="AE21" s="4">
        <f t="shared" si="10"/>
        <v>0</v>
      </c>
      <c r="AG21" s="3" t="str">
        <f>$A$8</f>
        <v>Kirkland</v>
      </c>
      <c r="AH21" s="15">
        <f t="shared" si="11"/>
        <v>-0.29768244365489455</v>
      </c>
      <c r="AI21" s="15">
        <f t="shared" si="11"/>
        <v>-0.32034501214719296</v>
      </c>
      <c r="AJ21" s="15">
        <f t="shared" si="11"/>
        <v>0.20240469806654057</v>
      </c>
      <c r="AK21" s="15">
        <f t="shared" si="11"/>
        <v>3.4885476997486946E-2</v>
      </c>
      <c r="AL21" s="15" t="e">
        <f t="shared" si="11"/>
        <v>#DIV/0!</v>
      </c>
      <c r="AM21" s="15">
        <f t="shared" si="11"/>
        <v>0</v>
      </c>
    </row>
    <row r="22" spans="1:39" x14ac:dyDescent="0.25">
      <c r="A22" s="3" t="str">
        <f>$A$9</f>
        <v>Redmond</v>
      </c>
      <c r="B22" s="4">
        <f t="shared" si="6"/>
        <v>713.57996446299364</v>
      </c>
      <c r="C22" s="4">
        <f t="shared" si="6"/>
        <v>14437.231020927018</v>
      </c>
      <c r="D22" s="4">
        <f t="shared" si="6"/>
        <v>20924.672076032108</v>
      </c>
      <c r="E22" s="4">
        <f t="shared" si="6"/>
        <v>5101.9288586056091</v>
      </c>
      <c r="F22" s="4">
        <f t="shared" si="6"/>
        <v>1053.8569591958546</v>
      </c>
      <c r="G22" s="4">
        <f t="shared" si="6"/>
        <v>42231.268879223579</v>
      </c>
      <c r="I22" s="3" t="str">
        <f>$A$9</f>
        <v>Redmond</v>
      </c>
      <c r="J22" s="4" t="e">
        <f t="shared" si="7"/>
        <v>#DIV/0!</v>
      </c>
      <c r="K22" s="4" t="e">
        <f t="shared" si="7"/>
        <v>#DIV/0!</v>
      </c>
      <c r="L22" s="4" t="e">
        <f t="shared" si="7"/>
        <v>#DIV/0!</v>
      </c>
      <c r="M22" s="4" t="e">
        <f t="shared" si="7"/>
        <v>#DIV/0!</v>
      </c>
      <c r="N22" s="4" t="e">
        <f t="shared" si="7"/>
        <v>#DIV/0!</v>
      </c>
      <c r="O22" s="4" t="e">
        <f t="shared" si="7"/>
        <v>#DIV/0!</v>
      </c>
      <c r="Q22" s="3" t="str">
        <f>$A$9</f>
        <v>Redmond</v>
      </c>
      <c r="R22" s="4">
        <f t="shared" si="8"/>
        <v>953.96419393443523</v>
      </c>
      <c r="S22" s="4">
        <f t="shared" si="8"/>
        <v>10397.286572083451</v>
      </c>
      <c r="T22" s="4">
        <f t="shared" si="8"/>
        <v>18174.02853761227</v>
      </c>
      <c r="U22" s="4">
        <f t="shared" si="8"/>
        <v>9024.7997808269447</v>
      </c>
      <c r="V22" s="4">
        <f t="shared" si="8"/>
        <v>3681.189794766482</v>
      </c>
      <c r="W22" s="4">
        <f t="shared" si="9"/>
        <v>42231.268879223586</v>
      </c>
      <c r="Y22" s="3" t="str">
        <f>$A$9</f>
        <v>Redmond</v>
      </c>
      <c r="Z22" s="4">
        <f t="shared" si="10"/>
        <v>240.38422947144159</v>
      </c>
      <c r="AA22" s="4">
        <f t="shared" si="10"/>
        <v>-4039.9444488435674</v>
      </c>
      <c r="AB22" s="4">
        <f t="shared" si="10"/>
        <v>-2750.6435384198376</v>
      </c>
      <c r="AC22" s="4">
        <f t="shared" si="10"/>
        <v>3922.8709222213356</v>
      </c>
      <c r="AD22" s="4">
        <f t="shared" si="10"/>
        <v>2627.3328355706271</v>
      </c>
      <c r="AE22" s="4">
        <f t="shared" si="10"/>
        <v>0</v>
      </c>
      <c r="AG22" s="3" t="str">
        <f>$A$9</f>
        <v>Redmond</v>
      </c>
      <c r="AH22" s="15">
        <f t="shared" si="11"/>
        <v>0.33687076633708923</v>
      </c>
      <c r="AI22" s="15">
        <f t="shared" si="11"/>
        <v>-0.27982820549090043</v>
      </c>
      <c r="AJ22" s="15">
        <f t="shared" si="11"/>
        <v>-0.13145455892570601</v>
      </c>
      <c r="AK22" s="15">
        <f t="shared" si="11"/>
        <v>0.76889957326717451</v>
      </c>
      <c r="AL22" s="15">
        <f t="shared" si="11"/>
        <v>2.4930639899891283</v>
      </c>
      <c r="AM22" s="15">
        <f t="shared" si="11"/>
        <v>1.7228839689832201E-16</v>
      </c>
    </row>
    <row r="23" spans="1:39" x14ac:dyDescent="0.25">
      <c r="A23" s="3" t="str">
        <f>$A$10</f>
        <v>Seattle</v>
      </c>
      <c r="B23" s="4">
        <f t="shared" si="6"/>
        <v>31419.937976534897</v>
      </c>
      <c r="C23" s="4">
        <f t="shared" si="6"/>
        <v>130826.6038421238</v>
      </c>
      <c r="D23" s="4">
        <f t="shared" si="6"/>
        <v>78600.139952146303</v>
      </c>
      <c r="E23" s="4">
        <f t="shared" si="6"/>
        <v>26650.219942660493</v>
      </c>
      <c r="F23" s="4">
        <f t="shared" si="6"/>
        <v>5259.1679175409454</v>
      </c>
      <c r="G23" s="4">
        <f t="shared" si="6"/>
        <v>272756.06963100639</v>
      </c>
      <c r="I23" s="3" t="str">
        <f>$A$10</f>
        <v>Seattle</v>
      </c>
      <c r="J23" s="4" t="e">
        <f t="shared" si="7"/>
        <v>#DIV/0!</v>
      </c>
      <c r="K23" s="4" t="e">
        <f t="shared" si="7"/>
        <v>#DIV/0!</v>
      </c>
      <c r="L23" s="4" t="e">
        <f t="shared" si="7"/>
        <v>#DIV/0!</v>
      </c>
      <c r="M23" s="4" t="e">
        <f t="shared" si="7"/>
        <v>#DIV/0!</v>
      </c>
      <c r="N23" s="4" t="e">
        <f t="shared" si="7"/>
        <v>#DIV/0!</v>
      </c>
      <c r="O23" s="4" t="e">
        <f t="shared" si="7"/>
        <v>#DIV/0!</v>
      </c>
      <c r="Q23" s="3" t="str">
        <f>$A$10</f>
        <v>Seattle</v>
      </c>
      <c r="R23" s="4">
        <f t="shared" si="8"/>
        <v>23867.769341578369</v>
      </c>
      <c r="S23" s="4">
        <f t="shared" si="8"/>
        <v>100718.9138482374</v>
      </c>
      <c r="T23" s="4">
        <f t="shared" si="8"/>
        <v>97730.366194467642</v>
      </c>
      <c r="U23" s="4">
        <f t="shared" si="8"/>
        <v>35628.583136941117</v>
      </c>
      <c r="V23" s="4">
        <f t="shared" si="8"/>
        <v>14810.437109781829</v>
      </c>
      <c r="W23" s="4">
        <f t="shared" si="9"/>
        <v>272756.06963100639</v>
      </c>
      <c r="Y23" s="3" t="str">
        <f>$A$10</f>
        <v>Seattle</v>
      </c>
      <c r="Z23" s="4">
        <f t="shared" si="10"/>
        <v>-7552.168634956528</v>
      </c>
      <c r="AA23" s="4">
        <f t="shared" si="10"/>
        <v>-30107.689993886408</v>
      </c>
      <c r="AB23" s="4">
        <f t="shared" si="10"/>
        <v>19130.22624232134</v>
      </c>
      <c r="AC23" s="4">
        <f t="shared" si="10"/>
        <v>8978.3631942806242</v>
      </c>
      <c r="AD23" s="4">
        <f t="shared" si="10"/>
        <v>9551.2691922408849</v>
      </c>
      <c r="AE23" s="4">
        <f t="shared" si="10"/>
        <v>0</v>
      </c>
      <c r="AG23" s="3" t="str">
        <f>$A$10</f>
        <v>Seattle</v>
      </c>
      <c r="AH23" s="15">
        <f t="shared" si="11"/>
        <v>-0.24036230245255907</v>
      </c>
      <c r="AI23" s="15">
        <f t="shared" si="11"/>
        <v>-0.23013430838745258</v>
      </c>
      <c r="AJ23" s="15">
        <f t="shared" si="11"/>
        <v>0.24338666895463917</v>
      </c>
      <c r="AK23" s="15">
        <f t="shared" si="11"/>
        <v>0.33689640136547083</v>
      </c>
      <c r="AL23" s="15">
        <f t="shared" si="11"/>
        <v>1.8161179376654735</v>
      </c>
      <c r="AM23" s="15">
        <f t="shared" si="11"/>
        <v>0</v>
      </c>
    </row>
    <row r="24" spans="1:39" x14ac:dyDescent="0.25">
      <c r="A24" s="3" t="str">
        <f>$A$11</f>
        <v>Seattle Downtown</v>
      </c>
      <c r="B24" s="4">
        <f t="shared" si="6"/>
        <v>16533.609506995759</v>
      </c>
      <c r="C24" s="4">
        <f t="shared" si="6"/>
        <v>18644.918258840382</v>
      </c>
      <c r="D24" s="4">
        <f t="shared" si="6"/>
        <v>4014.0822954194368</v>
      </c>
      <c r="E24" s="4">
        <f t="shared" si="6"/>
        <v>0</v>
      </c>
      <c r="F24" s="4">
        <f t="shared" si="6"/>
        <v>0</v>
      </c>
      <c r="G24" s="4">
        <f t="shared" si="6"/>
        <v>39192.610061255582</v>
      </c>
      <c r="I24" s="3" t="str">
        <f>$A$11</f>
        <v>Seattle Downtown</v>
      </c>
      <c r="J24" s="4" t="e">
        <f t="shared" si="7"/>
        <v>#DIV/0!</v>
      </c>
      <c r="K24" s="4" t="e">
        <f t="shared" si="7"/>
        <v>#DIV/0!</v>
      </c>
      <c r="L24" s="4" t="e">
        <f t="shared" si="7"/>
        <v>#DIV/0!</v>
      </c>
      <c r="M24" s="4" t="e">
        <f t="shared" si="7"/>
        <v>#DIV/0!</v>
      </c>
      <c r="N24" s="4" t="e">
        <f t="shared" si="7"/>
        <v>#DIV/0!</v>
      </c>
      <c r="O24" s="4" t="e">
        <f t="shared" si="7"/>
        <v>#DIV/0!</v>
      </c>
      <c r="Q24" s="3" t="str">
        <f>$A$11</f>
        <v>Seattle Downtown</v>
      </c>
      <c r="R24" s="4">
        <f t="shared" si="8"/>
        <v>12840.44323745065</v>
      </c>
      <c r="S24" s="4">
        <f t="shared" si="8"/>
        <v>18060.468344955141</v>
      </c>
      <c r="T24" s="4">
        <f t="shared" si="8"/>
        <v>5996.2773411818471</v>
      </c>
      <c r="U24" s="4">
        <f t="shared" si="8"/>
        <v>1669.5657403759881</v>
      </c>
      <c r="V24" s="4">
        <f t="shared" si="8"/>
        <v>625.85539729195557</v>
      </c>
      <c r="W24" s="4">
        <f t="shared" si="9"/>
        <v>39192.610061255582</v>
      </c>
      <c r="Y24" s="3" t="str">
        <f>$A$11</f>
        <v>Seattle Downtown</v>
      </c>
      <c r="Z24" s="4">
        <f t="shared" si="10"/>
        <v>-3693.1662695451087</v>
      </c>
      <c r="AA24" s="4">
        <f t="shared" si="10"/>
        <v>-584.44991388524068</v>
      </c>
      <c r="AB24" s="4">
        <f t="shared" si="10"/>
        <v>1982.1950457624102</v>
      </c>
      <c r="AC24" s="4">
        <f t="shared" si="10"/>
        <v>1669.5657403759881</v>
      </c>
      <c r="AD24" s="4">
        <f t="shared" si="10"/>
        <v>625.85539729195557</v>
      </c>
      <c r="AE24" s="4">
        <f t="shared" si="10"/>
        <v>0</v>
      </c>
      <c r="AG24" s="3" t="str">
        <f>$A$11</f>
        <v>Seattle Downtown</v>
      </c>
      <c r="AH24" s="15">
        <f t="shared" si="11"/>
        <v>-0.2233732608709818</v>
      </c>
      <c r="AI24" s="15">
        <f t="shared" si="11"/>
        <v>-3.1346338223184597E-2</v>
      </c>
      <c r="AJ24" s="15">
        <f t="shared" si="11"/>
        <v>0.49381026592911148</v>
      </c>
      <c r="AK24" s="15" t="e">
        <f t="shared" si="11"/>
        <v>#DIV/0!</v>
      </c>
      <c r="AL24" s="15" t="e">
        <f t="shared" si="11"/>
        <v>#DIV/0!</v>
      </c>
      <c r="AM24" s="15">
        <f t="shared" si="11"/>
        <v>0</v>
      </c>
    </row>
    <row r="25" spans="1:39" x14ac:dyDescent="0.25">
      <c r="A25" s="3" t="str">
        <f>$A$12</f>
        <v>Rest</v>
      </c>
      <c r="B25" s="4">
        <f t="shared" si="6"/>
        <v>53995.586297310329</v>
      </c>
      <c r="C25" s="4">
        <f t="shared" si="6"/>
        <v>262176.4541540168</v>
      </c>
      <c r="D25" s="4">
        <f t="shared" si="6"/>
        <v>394202.00092844199</v>
      </c>
      <c r="E25" s="4">
        <f t="shared" si="6"/>
        <v>140413.70261314319</v>
      </c>
      <c r="F25" s="4">
        <f t="shared" si="6"/>
        <v>100399.37834039533</v>
      </c>
      <c r="G25" s="4">
        <f t="shared" si="6"/>
        <v>951187.12233330763</v>
      </c>
      <c r="I25" s="3" t="str">
        <f>$A$12</f>
        <v>Rest</v>
      </c>
      <c r="J25" s="4" t="e">
        <f t="shared" si="7"/>
        <v>#DIV/0!</v>
      </c>
      <c r="K25" s="4" t="e">
        <f t="shared" si="7"/>
        <v>#DIV/0!</v>
      </c>
      <c r="L25" s="4" t="e">
        <f t="shared" si="7"/>
        <v>#DIV/0!</v>
      </c>
      <c r="M25" s="4" t="e">
        <f t="shared" si="7"/>
        <v>#DIV/0!</v>
      </c>
      <c r="N25" s="4" t="e">
        <f t="shared" si="7"/>
        <v>#DIV/0!</v>
      </c>
      <c r="O25" s="4" t="e">
        <f t="shared" si="7"/>
        <v>#DIV/0!</v>
      </c>
      <c r="Q25" s="3" t="str">
        <f>$A$12</f>
        <v>Rest</v>
      </c>
      <c r="R25" s="4">
        <f t="shared" si="8"/>
        <v>34154.611290915876</v>
      </c>
      <c r="S25" s="4">
        <f t="shared" si="8"/>
        <v>248051.03846442781</v>
      </c>
      <c r="T25" s="4">
        <f t="shared" si="8"/>
        <v>399257.61316042411</v>
      </c>
      <c r="U25" s="4">
        <f t="shared" si="8"/>
        <v>184724.3773388456</v>
      </c>
      <c r="V25" s="4">
        <f t="shared" si="8"/>
        <v>84999.482078694258</v>
      </c>
      <c r="W25" s="4">
        <f t="shared" si="9"/>
        <v>951187.12233330763</v>
      </c>
      <c r="Y25" s="3" t="str">
        <f>Q25</f>
        <v>Rest</v>
      </c>
      <c r="Z25" s="4">
        <f t="shared" si="10"/>
        <v>-19840.975006394452</v>
      </c>
      <c r="AA25" s="4">
        <f t="shared" si="10"/>
        <v>-14125.41568958899</v>
      </c>
      <c r="AB25" s="4">
        <f t="shared" si="10"/>
        <v>5055.6122319821152</v>
      </c>
      <c r="AC25" s="4">
        <f t="shared" si="10"/>
        <v>44310.674725702411</v>
      </c>
      <c r="AD25" s="4">
        <f t="shared" si="10"/>
        <v>-15399.896261701069</v>
      </c>
      <c r="AE25" s="4">
        <f t="shared" si="10"/>
        <v>0</v>
      </c>
      <c r="AG25" s="3" t="str">
        <f>Y25</f>
        <v>Rest</v>
      </c>
      <c r="AH25" s="15">
        <f t="shared" si="11"/>
        <v>-0.36745549714278752</v>
      </c>
      <c r="AI25" s="15">
        <f t="shared" si="11"/>
        <v>-5.3877514421226201E-2</v>
      </c>
      <c r="AJ25" s="15">
        <f t="shared" si="11"/>
        <v>1.2824927879805059E-2</v>
      </c>
      <c r="AK25" s="15">
        <f t="shared" si="11"/>
        <v>0.31557229744011311</v>
      </c>
      <c r="AL25" s="15">
        <f t="shared" si="11"/>
        <v>-0.15338637067541461</v>
      </c>
      <c r="AM25" s="15">
        <f t="shared" si="11"/>
        <v>0</v>
      </c>
    </row>
    <row r="26" spans="1:39" ht="15.75" customHeight="1" thickBot="1" x14ac:dyDescent="0.3">
      <c r="A26" s="7" t="str">
        <f>$A$13</f>
        <v>Total</v>
      </c>
      <c r="B26" s="8">
        <f t="shared" si="6"/>
        <v>118597.85823514404</v>
      </c>
      <c r="C26" s="8">
        <f t="shared" si="6"/>
        <v>471846.09641257132</v>
      </c>
      <c r="D26" s="8">
        <f t="shared" si="6"/>
        <v>534745.77817080566</v>
      </c>
      <c r="E26" s="8">
        <f t="shared" si="6"/>
        <v>185209.90712496414</v>
      </c>
      <c r="F26" s="8">
        <f t="shared" si="6"/>
        <v>112422.98373371654</v>
      </c>
      <c r="G26" s="8">
        <f t="shared" si="6"/>
        <v>1422822.6236772013</v>
      </c>
      <c r="I26" s="7" t="str">
        <f>$A$13</f>
        <v>Total</v>
      </c>
      <c r="J26" s="8" t="e">
        <f t="shared" si="7"/>
        <v>#DIV/0!</v>
      </c>
      <c r="K26" s="8" t="e">
        <f t="shared" si="7"/>
        <v>#DIV/0!</v>
      </c>
      <c r="L26" s="8" t="e">
        <f t="shared" si="7"/>
        <v>#DIV/0!</v>
      </c>
      <c r="M26" s="8" t="e">
        <f t="shared" si="7"/>
        <v>#DIV/0!</v>
      </c>
      <c r="N26" s="8" t="e">
        <f t="shared" si="7"/>
        <v>#DIV/0!</v>
      </c>
      <c r="O26" s="8" t="e">
        <f t="shared" si="7"/>
        <v>#DIV/0!</v>
      </c>
      <c r="Q26" s="7" t="str">
        <f>$A$13</f>
        <v>Total</v>
      </c>
      <c r="R26" s="8">
        <f t="shared" ref="R26:W26" si="12">SUM(R19:R25)</f>
        <v>76648.003374803084</v>
      </c>
      <c r="S26" s="8">
        <f t="shared" si="12"/>
        <v>410264.71040235064</v>
      </c>
      <c r="T26" s="8">
        <f t="shared" si="12"/>
        <v>570236.75066142681</v>
      </c>
      <c r="U26" s="8">
        <f t="shared" si="12"/>
        <v>252512.84427098295</v>
      </c>
      <c r="V26" s="8">
        <f t="shared" si="12"/>
        <v>113160.31496763779</v>
      </c>
      <c r="W26" s="8">
        <f t="shared" si="12"/>
        <v>1422822.6236772013</v>
      </c>
      <c r="Y26" s="7" t="str">
        <f>$A$13</f>
        <v>Total</v>
      </c>
      <c r="Z26" s="4">
        <f t="shared" si="10"/>
        <v>-41949.854860340958</v>
      </c>
      <c r="AA26" s="4">
        <f t="shared" si="10"/>
        <v>-61581.386010220682</v>
      </c>
      <c r="AB26" s="4">
        <f t="shared" si="10"/>
        <v>35490.972490621149</v>
      </c>
      <c r="AC26" s="4">
        <f t="shared" si="10"/>
        <v>67302.937146018812</v>
      </c>
      <c r="AD26" s="4">
        <f t="shared" si="10"/>
        <v>737.33123392125708</v>
      </c>
      <c r="AE26" s="4">
        <f t="shared" si="10"/>
        <v>0</v>
      </c>
      <c r="AG26" s="7" t="str">
        <f>$A$13</f>
        <v>Total</v>
      </c>
      <c r="AH26" s="15">
        <f t="shared" si="11"/>
        <v>-0.35371511327942329</v>
      </c>
      <c r="AI26" s="15">
        <f t="shared" si="11"/>
        <v>-0.13051159367094847</v>
      </c>
      <c r="AJ26" s="15">
        <f t="shared" si="11"/>
        <v>6.6369804006727123E-2</v>
      </c>
      <c r="AK26" s="15">
        <f t="shared" si="11"/>
        <v>0.36338734893165531</v>
      </c>
      <c r="AL26" s="15">
        <f t="shared" si="11"/>
        <v>6.5585453208366114E-3</v>
      </c>
      <c r="AM26" s="15">
        <f t="shared" si="11"/>
        <v>0</v>
      </c>
    </row>
    <row r="27" spans="1:39" x14ac:dyDescent="0.25">
      <c r="Q27" s="3"/>
      <c r="R27" s="4"/>
      <c r="S27" s="4"/>
      <c r="T27" s="4"/>
      <c r="U27" s="4"/>
      <c r="V27" s="4"/>
      <c r="W27" s="4"/>
    </row>
    <row r="29" spans="1:39" x14ac:dyDescent="0.25">
      <c r="A29" s="1" t="s">
        <v>18</v>
      </c>
      <c r="I29" s="1" t="s">
        <v>19</v>
      </c>
      <c r="Q29" s="14" t="s">
        <v>6</v>
      </c>
    </row>
    <row r="30" spans="1:39" ht="15.75" customHeight="1" thickBot="1" x14ac:dyDescent="0.3">
      <c r="A30" s="12"/>
      <c r="B30" s="10" t="s">
        <v>7</v>
      </c>
      <c r="C30" s="9"/>
      <c r="D30" s="9"/>
      <c r="E30" s="9"/>
      <c r="F30" s="9"/>
      <c r="G30" s="9"/>
      <c r="I30" s="12"/>
      <c r="J30" s="10" t="s">
        <v>7</v>
      </c>
      <c r="K30" s="9"/>
      <c r="L30" s="9"/>
      <c r="M30" s="9"/>
      <c r="N30" s="9"/>
      <c r="O30" s="9"/>
      <c r="Q30" s="12"/>
      <c r="R30" s="10" t="s">
        <v>7</v>
      </c>
      <c r="S30" s="9"/>
      <c r="T30" s="9"/>
      <c r="U30" s="9"/>
      <c r="V30" s="9"/>
      <c r="W30" s="9"/>
    </row>
    <row r="31" spans="1:39" x14ac:dyDescent="0.25">
      <c r="A31" s="11" t="s">
        <v>8</v>
      </c>
      <c r="B31" s="2">
        <v>0</v>
      </c>
      <c r="C31" s="2">
        <v>1</v>
      </c>
      <c r="D31" s="2">
        <v>2</v>
      </c>
      <c r="E31" s="2">
        <v>3</v>
      </c>
      <c r="F31" s="2" t="s">
        <v>9</v>
      </c>
      <c r="G31" s="2" t="s">
        <v>10</v>
      </c>
      <c r="I31" s="11" t="s">
        <v>8</v>
      </c>
      <c r="J31" s="2">
        <v>0</v>
      </c>
      <c r="K31" s="2">
        <v>1</v>
      </c>
      <c r="L31" s="2">
        <v>2</v>
      </c>
      <c r="M31" s="2">
        <v>3</v>
      </c>
      <c r="N31" s="2" t="s">
        <v>9</v>
      </c>
      <c r="O31" s="2" t="s">
        <v>10</v>
      </c>
      <c r="Q31" s="11" t="s">
        <v>8</v>
      </c>
      <c r="R31" s="2">
        <v>0</v>
      </c>
      <c r="S31" s="2">
        <v>1</v>
      </c>
      <c r="T31" s="2">
        <v>2</v>
      </c>
      <c r="U31" s="2">
        <v>3</v>
      </c>
      <c r="V31" s="2" t="s">
        <v>9</v>
      </c>
      <c r="W31" s="2" t="s">
        <v>10</v>
      </c>
    </row>
    <row r="32" spans="1:39" x14ac:dyDescent="0.25">
      <c r="A32" s="3" t="str">
        <f>$A$6</f>
        <v>Bellevue</v>
      </c>
      <c r="B32" s="15">
        <f t="shared" ref="B32:G39" si="13">B19/$G$26</f>
        <v>5.5265447897858925E-3</v>
      </c>
      <c r="C32" s="15">
        <f t="shared" si="13"/>
        <v>1.448700937194496E-2</v>
      </c>
      <c r="D32" s="15">
        <f t="shared" si="13"/>
        <v>1.4324542351878673E-2</v>
      </c>
      <c r="E32" s="15">
        <f t="shared" si="13"/>
        <v>3.7797171711242052E-3</v>
      </c>
      <c r="F32" s="15">
        <f t="shared" si="13"/>
        <v>2.3400300824051299E-3</v>
      </c>
      <c r="G32" s="15">
        <f t="shared" si="13"/>
        <v>4.045784376713886E-2</v>
      </c>
      <c r="I32" s="3" t="str">
        <f>$A$6</f>
        <v>Bellevue</v>
      </c>
      <c r="J32" s="15" t="e">
        <f t="shared" ref="J32:O39" si="14">J19/$O$26</f>
        <v>#DIV/0!</v>
      </c>
      <c r="K32" s="15" t="e">
        <f t="shared" si="14"/>
        <v>#DIV/0!</v>
      </c>
      <c r="L32" s="15" t="e">
        <f t="shared" si="14"/>
        <v>#DIV/0!</v>
      </c>
      <c r="M32" s="15" t="e">
        <f t="shared" si="14"/>
        <v>#DIV/0!</v>
      </c>
      <c r="N32" s="15" t="e">
        <f t="shared" si="14"/>
        <v>#DIV/0!</v>
      </c>
      <c r="O32" s="15" t="e">
        <f t="shared" si="14"/>
        <v>#DIV/0!</v>
      </c>
      <c r="Q32" s="3" t="str">
        <f>$A$6</f>
        <v>Bellevue</v>
      </c>
      <c r="R32" s="15">
        <f t="shared" ref="R32:W39" si="15">R6/$W$13</f>
        <v>1.2401493521537689E-3</v>
      </c>
      <c r="S32" s="15">
        <f t="shared" si="15"/>
        <v>1.0318152209279424E-2</v>
      </c>
      <c r="T32" s="15">
        <f t="shared" si="15"/>
        <v>1.7534605087437847E-2</v>
      </c>
      <c r="U32" s="15">
        <f t="shared" si="15"/>
        <v>7.8975302514061735E-3</v>
      </c>
      <c r="V32" s="15">
        <f t="shared" si="15"/>
        <v>3.467406866861649E-3</v>
      </c>
      <c r="W32" s="15">
        <f t="shared" si="15"/>
        <v>4.045784376713886E-2</v>
      </c>
    </row>
    <row r="33" spans="1:23" x14ac:dyDescent="0.25">
      <c r="A33" s="3" t="str">
        <f>$A$7</f>
        <v>Bellevue Downtown</v>
      </c>
      <c r="B33" s="15">
        <f t="shared" si="13"/>
        <v>7.860146399985879E-4</v>
      </c>
      <c r="C33" s="15">
        <f t="shared" si="13"/>
        <v>2.8516096546386156E-3</v>
      </c>
      <c r="D33" s="15">
        <f t="shared" si="13"/>
        <v>2.7936957758534529E-4</v>
      </c>
      <c r="E33" s="15">
        <f t="shared" si="13"/>
        <v>1.1896040547593242E-4</v>
      </c>
      <c r="F33" s="15">
        <f t="shared" si="13"/>
        <v>5.3979632237965702E-5</v>
      </c>
      <c r="G33" s="15">
        <f t="shared" si="13"/>
        <v>4.089933909936447E-3</v>
      </c>
      <c r="I33" s="3" t="str">
        <f>$A$7</f>
        <v>Bellevue Downtown</v>
      </c>
      <c r="J33" s="15" t="e">
        <f t="shared" si="14"/>
        <v>#DIV/0!</v>
      </c>
      <c r="K33" s="15" t="e">
        <f t="shared" si="14"/>
        <v>#DIV/0!</v>
      </c>
      <c r="L33" s="15" t="e">
        <f t="shared" si="14"/>
        <v>#DIV/0!</v>
      </c>
      <c r="M33" s="15" t="e">
        <f t="shared" si="14"/>
        <v>#DIV/0!</v>
      </c>
      <c r="N33" s="15" t="e">
        <f t="shared" si="14"/>
        <v>#DIV/0!</v>
      </c>
      <c r="O33" s="15" t="e">
        <f t="shared" si="14"/>
        <v>#DIV/0!</v>
      </c>
      <c r="Q33" s="3" t="str">
        <f>$A$7</f>
        <v>Bellevue Downtown</v>
      </c>
      <c r="R33" s="15">
        <f t="shared" si="15"/>
        <v>8.3907187155348058E-4</v>
      </c>
      <c r="S33" s="15">
        <f t="shared" si="15"/>
        <v>1.9596745731176534E-3</v>
      </c>
      <c r="T33" s="15">
        <f t="shared" si="15"/>
        <v>9.1769829315015432E-4</v>
      </c>
      <c r="U33" s="15">
        <f t="shared" si="15"/>
        <v>2.6634261742736388E-4</v>
      </c>
      <c r="V33" s="15">
        <f t="shared" si="15"/>
        <v>1.0714655468779485E-4</v>
      </c>
      <c r="W33" s="15">
        <f t="shared" si="15"/>
        <v>4.089933909936447E-3</v>
      </c>
    </row>
    <row r="34" spans="1:23" x14ac:dyDescent="0.25">
      <c r="A34" s="3" t="str">
        <f>$A$8</f>
        <v>Kirkland</v>
      </c>
      <c r="B34" s="15">
        <f t="shared" si="13"/>
        <v>1.8742142904092272E-3</v>
      </c>
      <c r="C34" s="15">
        <f t="shared" si="13"/>
        <v>1.6098629533213567E-2</v>
      </c>
      <c r="D34" s="15">
        <f t="shared" si="13"/>
        <v>1.3341124555077478E-2</v>
      </c>
      <c r="E34" s="15">
        <f t="shared" si="13"/>
        <v>6.6893399459715596E-3</v>
      </c>
      <c r="F34" s="15">
        <f t="shared" si="13"/>
        <v>0</v>
      </c>
      <c r="G34" s="15">
        <f t="shared" si="13"/>
        <v>3.8003308324671824E-2</v>
      </c>
      <c r="I34" s="3" t="str">
        <f>$A$8</f>
        <v>Kirkland</v>
      </c>
      <c r="J34" s="15" t="e">
        <f t="shared" si="14"/>
        <v>#DIV/0!</v>
      </c>
      <c r="K34" s="15" t="e">
        <f t="shared" si="14"/>
        <v>#DIV/0!</v>
      </c>
      <c r="L34" s="15" t="e">
        <f t="shared" si="14"/>
        <v>#DIV/0!</v>
      </c>
      <c r="M34" s="15" t="e">
        <f t="shared" si="14"/>
        <v>#DIV/0!</v>
      </c>
      <c r="N34" s="15" t="e">
        <f t="shared" si="14"/>
        <v>#DIV/0!</v>
      </c>
      <c r="O34" s="15" t="e">
        <f t="shared" si="14"/>
        <v>#DIV/0!</v>
      </c>
      <c r="Q34" s="3" t="str">
        <f>$A$8</f>
        <v>Kirkland</v>
      </c>
      <c r="R34" s="15">
        <f t="shared" si="15"/>
        <v>1.3162936005072842E-3</v>
      </c>
      <c r="S34" s="15">
        <f t="shared" si="15"/>
        <v>1.0941513859843106E-2</v>
      </c>
      <c r="T34" s="15">
        <f t="shared" si="15"/>
        <v>1.6041430842516045E-2</v>
      </c>
      <c r="U34" s="15">
        <f t="shared" si="15"/>
        <v>6.922700760785121E-3</v>
      </c>
      <c r="V34" s="15">
        <f t="shared" si="15"/>
        <v>2.7813692610202684E-3</v>
      </c>
      <c r="W34" s="15">
        <f t="shared" si="15"/>
        <v>3.8003308324671824E-2</v>
      </c>
    </row>
    <row r="35" spans="1:23" x14ac:dyDescent="0.25">
      <c r="A35" s="3" t="str">
        <f>$A$9</f>
        <v>Redmond</v>
      </c>
      <c r="B35" s="15">
        <f t="shared" si="13"/>
        <v>5.0152419042845148E-4</v>
      </c>
      <c r="C35" s="15">
        <f t="shared" si="13"/>
        <v>1.0146894476287454E-2</v>
      </c>
      <c r="D35" s="15">
        <f t="shared" si="13"/>
        <v>1.4706451617949062E-2</v>
      </c>
      <c r="E35" s="15">
        <f t="shared" si="13"/>
        <v>3.5857799656150912E-3</v>
      </c>
      <c r="F35" s="15">
        <f t="shared" si="13"/>
        <v>7.4068049077841017E-4</v>
      </c>
      <c r="G35" s="15">
        <f t="shared" si="13"/>
        <v>2.9681330741058467E-2</v>
      </c>
      <c r="I35" s="3" t="str">
        <f>$A$9</f>
        <v>Redmond</v>
      </c>
      <c r="J35" s="15" t="e">
        <f t="shared" si="14"/>
        <v>#DIV/0!</v>
      </c>
      <c r="K35" s="15" t="e">
        <f t="shared" si="14"/>
        <v>#DIV/0!</v>
      </c>
      <c r="L35" s="15" t="e">
        <f t="shared" si="14"/>
        <v>#DIV/0!</v>
      </c>
      <c r="M35" s="15" t="e">
        <f t="shared" si="14"/>
        <v>#DIV/0!</v>
      </c>
      <c r="N35" s="15" t="e">
        <f t="shared" si="14"/>
        <v>#DIV/0!</v>
      </c>
      <c r="O35" s="15" t="e">
        <f t="shared" si="14"/>
        <v>#DIV/0!</v>
      </c>
      <c r="Q35" s="3" t="str">
        <f>$A$9</f>
        <v>Redmond</v>
      </c>
      <c r="R35" s="15">
        <f t="shared" si="15"/>
        <v>6.7047302879467215E-4</v>
      </c>
      <c r="S35" s="15">
        <f t="shared" si="15"/>
        <v>7.3075072036824064E-3</v>
      </c>
      <c r="T35" s="15">
        <f t="shared" si="15"/>
        <v>1.2773221507149332E-2</v>
      </c>
      <c r="U35" s="15">
        <f t="shared" si="15"/>
        <v>6.3428846510065187E-3</v>
      </c>
      <c r="V35" s="15">
        <f t="shared" si="15"/>
        <v>2.5872443504255391E-3</v>
      </c>
      <c r="W35" s="15">
        <f t="shared" si="15"/>
        <v>2.968133074105847E-2</v>
      </c>
    </row>
    <row r="36" spans="1:23" x14ac:dyDescent="0.25">
      <c r="A36" s="3" t="str">
        <f>$A$10</f>
        <v>Seattle</v>
      </c>
      <c r="B36" s="15">
        <f t="shared" si="13"/>
        <v>2.208282146606013E-2</v>
      </c>
      <c r="C36" s="15">
        <f t="shared" si="13"/>
        <v>9.194863903977725E-2</v>
      </c>
      <c r="D36" s="15">
        <f t="shared" si="13"/>
        <v>5.5242402421890699E-2</v>
      </c>
      <c r="E36" s="15">
        <f t="shared" si="13"/>
        <v>1.8730528668278106E-2</v>
      </c>
      <c r="F36" s="15">
        <f t="shared" si="13"/>
        <v>3.6962920254591789E-3</v>
      </c>
      <c r="G36" s="15">
        <f t="shared" si="13"/>
        <v>0.19170068362146533</v>
      </c>
      <c r="I36" s="3" t="str">
        <f>$A$10</f>
        <v>Seattle</v>
      </c>
      <c r="J36" s="15" t="e">
        <f t="shared" si="14"/>
        <v>#DIV/0!</v>
      </c>
      <c r="K36" s="15" t="e">
        <f t="shared" si="14"/>
        <v>#DIV/0!</v>
      </c>
      <c r="L36" s="15" t="e">
        <f t="shared" si="14"/>
        <v>#DIV/0!</v>
      </c>
      <c r="M36" s="15" t="e">
        <f t="shared" si="14"/>
        <v>#DIV/0!</v>
      </c>
      <c r="N36" s="15" t="e">
        <f t="shared" si="14"/>
        <v>#DIV/0!</v>
      </c>
      <c r="O36" s="15" t="e">
        <f t="shared" si="14"/>
        <v>#DIV/0!</v>
      </c>
      <c r="Q36" s="3" t="str">
        <f>$A$10</f>
        <v>Seattle</v>
      </c>
      <c r="R36" s="15">
        <f t="shared" si="15"/>
        <v>1.677494365382912E-2</v>
      </c>
      <c r="S36" s="15">
        <f t="shared" si="15"/>
        <v>7.0788102587190593E-2</v>
      </c>
      <c r="T36" s="15">
        <f t="shared" si="15"/>
        <v>6.8687666732406366E-2</v>
      </c>
      <c r="U36" s="15">
        <f t="shared" si="15"/>
        <v>2.5040776372293787E-2</v>
      </c>
      <c r="V36" s="15">
        <f t="shared" si="15"/>
        <v>1.0409194275745437E-2</v>
      </c>
      <c r="W36" s="15">
        <f t="shared" si="15"/>
        <v>0.19170068362146533</v>
      </c>
    </row>
    <row r="37" spans="1:23" x14ac:dyDescent="0.25">
      <c r="A37" s="3" t="str">
        <f>$A$11</f>
        <v>Seattle Downtown</v>
      </c>
      <c r="B37" s="15">
        <f t="shared" si="13"/>
        <v>1.1620288595261171E-2</v>
      </c>
      <c r="C37" s="15">
        <f t="shared" si="13"/>
        <v>1.310417612748783E-2</v>
      </c>
      <c r="D37" s="15">
        <f t="shared" si="13"/>
        <v>2.8212106193850625E-3</v>
      </c>
      <c r="E37" s="15">
        <f t="shared" si="13"/>
        <v>0</v>
      </c>
      <c r="F37" s="15">
        <f t="shared" si="13"/>
        <v>0</v>
      </c>
      <c r="G37" s="15">
        <f t="shared" si="13"/>
        <v>2.7545675342134066E-2</v>
      </c>
      <c r="I37" s="3" t="str">
        <f>$A$11</f>
        <v>Seattle Downtown</v>
      </c>
      <c r="J37" s="15" t="e">
        <f t="shared" si="14"/>
        <v>#DIV/0!</v>
      </c>
      <c r="K37" s="15" t="e">
        <f t="shared" si="14"/>
        <v>#DIV/0!</v>
      </c>
      <c r="L37" s="15" t="e">
        <f t="shared" si="14"/>
        <v>#DIV/0!</v>
      </c>
      <c r="M37" s="15" t="e">
        <f t="shared" si="14"/>
        <v>#DIV/0!</v>
      </c>
      <c r="N37" s="15" t="e">
        <f t="shared" si="14"/>
        <v>#DIV/0!</v>
      </c>
      <c r="O37" s="15" t="e">
        <f t="shared" si="14"/>
        <v>#DIV/0!</v>
      </c>
      <c r="Q37" s="3" t="str">
        <f>$A$11</f>
        <v>Seattle Downtown</v>
      </c>
      <c r="R37" s="15">
        <f t="shared" si="15"/>
        <v>9.0246268394758022E-3</v>
      </c>
      <c r="S37" s="15">
        <f t="shared" si="15"/>
        <v>1.2693408190459415E-2</v>
      </c>
      <c r="T37" s="15">
        <f t="shared" si="15"/>
        <v>4.2143533855856334E-3</v>
      </c>
      <c r="U37" s="15">
        <f t="shared" si="15"/>
        <v>1.1734180442401834E-3</v>
      </c>
      <c r="V37" s="15">
        <f t="shared" si="15"/>
        <v>4.3986888237303195E-4</v>
      </c>
      <c r="W37" s="15">
        <f t="shared" si="15"/>
        <v>2.7545675342134066E-2</v>
      </c>
    </row>
    <row r="38" spans="1:23" x14ac:dyDescent="0.25">
      <c r="A38" s="3" t="str">
        <f>A25</f>
        <v>Rest</v>
      </c>
      <c r="B38" s="15">
        <f t="shared" si="13"/>
        <v>3.7949625904711799E-2</v>
      </c>
      <c r="C38" s="15">
        <f t="shared" si="13"/>
        <v>0.18426503050425019</v>
      </c>
      <c r="D38" s="15">
        <f t="shared" si="13"/>
        <v>0.27705632056204599</v>
      </c>
      <c r="E38" s="15">
        <f t="shared" si="13"/>
        <v>9.8686723331860043E-2</v>
      </c>
      <c r="F38" s="15">
        <f t="shared" si="13"/>
        <v>7.0563523990727003E-2</v>
      </c>
      <c r="G38" s="15">
        <f t="shared" si="13"/>
        <v>0.66852122429359495</v>
      </c>
      <c r="I38" s="3" t="str">
        <f>$A$12</f>
        <v>Rest</v>
      </c>
      <c r="J38" s="15" t="e">
        <f t="shared" si="14"/>
        <v>#DIV/0!</v>
      </c>
      <c r="K38" s="15" t="e">
        <f t="shared" si="14"/>
        <v>#DIV/0!</v>
      </c>
      <c r="L38" s="15" t="e">
        <f t="shared" si="14"/>
        <v>#DIV/0!</v>
      </c>
      <c r="M38" s="15" t="e">
        <f t="shared" si="14"/>
        <v>#DIV/0!</v>
      </c>
      <c r="N38" s="15" t="e">
        <f t="shared" si="14"/>
        <v>#DIV/0!</v>
      </c>
      <c r="O38" s="15" t="e">
        <f t="shared" si="14"/>
        <v>#DIV/0!</v>
      </c>
      <c r="Q38" s="3" t="str">
        <f>A38</f>
        <v>Rest</v>
      </c>
      <c r="R38" s="15">
        <f t="shared" si="15"/>
        <v>2.4004827251513119E-2</v>
      </c>
      <c r="S38" s="15">
        <f t="shared" si="15"/>
        <v>0.17433728866592976</v>
      </c>
      <c r="T38" s="15">
        <f t="shared" si="15"/>
        <v>0.28060954789189835</v>
      </c>
      <c r="U38" s="15">
        <f t="shared" si="15"/>
        <v>0.12982951934053194</v>
      </c>
      <c r="V38" s="15">
        <f t="shared" si="15"/>
        <v>5.9740041143721834E-2</v>
      </c>
      <c r="W38" s="15">
        <f t="shared" si="15"/>
        <v>0.66852122429359495</v>
      </c>
    </row>
    <row r="39" spans="1:23" ht="15.75" customHeight="1" thickBot="1" x14ac:dyDescent="0.3">
      <c r="A39" s="7" t="str">
        <f>$A$13</f>
        <v>Total</v>
      </c>
      <c r="B39" s="17">
        <f t="shared" si="13"/>
        <v>8.3353930603545554E-2</v>
      </c>
      <c r="C39" s="17">
        <f t="shared" si="13"/>
        <v>0.3316267878796535</v>
      </c>
      <c r="D39" s="17">
        <f t="shared" si="13"/>
        <v>0.37583446402390386</v>
      </c>
      <c r="E39" s="17">
        <f t="shared" si="13"/>
        <v>0.13017076341272957</v>
      </c>
      <c r="F39" s="17">
        <f t="shared" si="13"/>
        <v>7.9014054080167734E-2</v>
      </c>
      <c r="G39" s="17">
        <f t="shared" si="13"/>
        <v>1</v>
      </c>
      <c r="I39" s="7" t="str">
        <f>$A$13</f>
        <v>Total</v>
      </c>
      <c r="J39" s="17" t="e">
        <f t="shared" si="14"/>
        <v>#DIV/0!</v>
      </c>
      <c r="K39" s="17" t="e">
        <f t="shared" si="14"/>
        <v>#DIV/0!</v>
      </c>
      <c r="L39" s="17" t="e">
        <f t="shared" si="14"/>
        <v>#DIV/0!</v>
      </c>
      <c r="M39" s="17" t="e">
        <f t="shared" si="14"/>
        <v>#DIV/0!</v>
      </c>
      <c r="N39" s="17" t="e">
        <f t="shared" si="14"/>
        <v>#DIV/0!</v>
      </c>
      <c r="O39" s="17" t="e">
        <f t="shared" si="14"/>
        <v>#DIV/0!</v>
      </c>
      <c r="Q39" s="7" t="str">
        <f>$A$13</f>
        <v>Total</v>
      </c>
      <c r="R39" s="17">
        <f t="shared" si="15"/>
        <v>5.3870385597827246E-2</v>
      </c>
      <c r="S39" s="17">
        <f t="shared" si="15"/>
        <v>0.28834564728950235</v>
      </c>
      <c r="T39" s="17">
        <f t="shared" si="15"/>
        <v>0.40077852374014372</v>
      </c>
      <c r="U39" s="17">
        <f t="shared" si="15"/>
        <v>0.17747317203769108</v>
      </c>
      <c r="V39" s="17">
        <f t="shared" si="15"/>
        <v>7.953227133483555E-2</v>
      </c>
      <c r="W39" s="17">
        <f t="shared" si="15"/>
        <v>1</v>
      </c>
    </row>
    <row r="40" spans="1:23" x14ac:dyDescent="0.25">
      <c r="A40" s="3"/>
      <c r="B40" s="15"/>
      <c r="C40" s="15"/>
      <c r="D40" s="15"/>
      <c r="E40" s="15"/>
      <c r="F40" s="15"/>
      <c r="G40" s="15"/>
      <c r="I40" s="3"/>
      <c r="J40" s="15"/>
      <c r="K40" s="15"/>
      <c r="L40" s="15"/>
      <c r="M40" s="15"/>
      <c r="N40" s="15"/>
      <c r="O40" s="15"/>
      <c r="Q40" s="3"/>
      <c r="R40" s="15"/>
      <c r="S40" s="15"/>
      <c r="T40" s="15"/>
      <c r="U40" s="15"/>
      <c r="V40" s="15"/>
      <c r="W40" s="15"/>
    </row>
    <row r="42" spans="1:23" x14ac:dyDescent="0.25">
      <c r="Q42" s="1" t="s">
        <v>22</v>
      </c>
    </row>
    <row r="43" spans="1:23" ht="15.75" customHeight="1" thickBot="1" x14ac:dyDescent="0.3">
      <c r="Q43" s="12"/>
      <c r="R43" s="10" t="s">
        <v>7</v>
      </c>
      <c r="S43" s="9"/>
      <c r="T43" s="9"/>
      <c r="U43" s="9"/>
      <c r="V43" s="9"/>
      <c r="W43" s="9"/>
    </row>
    <row r="44" spans="1:23" x14ac:dyDescent="0.25">
      <c r="Q44" s="11" t="s">
        <v>8</v>
      </c>
      <c r="R44" s="2">
        <v>0</v>
      </c>
      <c r="S44" s="2">
        <v>1</v>
      </c>
      <c r="T44" s="2">
        <v>2</v>
      </c>
      <c r="U44" s="2">
        <v>3</v>
      </c>
      <c r="V44" s="2" t="s">
        <v>9</v>
      </c>
      <c r="W44" s="2" t="s">
        <v>10</v>
      </c>
    </row>
    <row r="45" spans="1:23" x14ac:dyDescent="0.25">
      <c r="Q45" s="3" t="str">
        <f>$A$6</f>
        <v>Bellevue</v>
      </c>
      <c r="R45" s="15" t="e">
        <f t="shared" ref="R45:W52" si="16">R32-J32</f>
        <v>#DIV/0!</v>
      </c>
      <c r="S45" s="15" t="e">
        <f t="shared" si="16"/>
        <v>#DIV/0!</v>
      </c>
      <c r="T45" s="15" t="e">
        <f t="shared" si="16"/>
        <v>#DIV/0!</v>
      </c>
      <c r="U45" s="15" t="e">
        <f t="shared" si="16"/>
        <v>#DIV/0!</v>
      </c>
      <c r="V45" s="15" t="e">
        <f t="shared" si="16"/>
        <v>#DIV/0!</v>
      </c>
      <c r="W45" s="15" t="e">
        <f t="shared" si="16"/>
        <v>#DIV/0!</v>
      </c>
    </row>
    <row r="46" spans="1:23" x14ac:dyDescent="0.25">
      <c r="Q46" s="3" t="str">
        <f>$A$7</f>
        <v>Bellevue Downtown</v>
      </c>
      <c r="R46" s="15" t="e">
        <f t="shared" si="16"/>
        <v>#DIV/0!</v>
      </c>
      <c r="S46" s="15" t="e">
        <f t="shared" si="16"/>
        <v>#DIV/0!</v>
      </c>
      <c r="T46" s="15" t="e">
        <f t="shared" si="16"/>
        <v>#DIV/0!</v>
      </c>
      <c r="U46" s="15" t="e">
        <f t="shared" si="16"/>
        <v>#DIV/0!</v>
      </c>
      <c r="V46" s="15" t="e">
        <f t="shared" si="16"/>
        <v>#DIV/0!</v>
      </c>
      <c r="W46" s="15" t="e">
        <f t="shared" si="16"/>
        <v>#DIV/0!</v>
      </c>
    </row>
    <row r="47" spans="1:23" x14ac:dyDescent="0.25">
      <c r="Q47" s="3" t="str">
        <f>$A$8</f>
        <v>Kirkland</v>
      </c>
      <c r="R47" s="15" t="e">
        <f t="shared" si="16"/>
        <v>#DIV/0!</v>
      </c>
      <c r="S47" s="15" t="e">
        <f t="shared" si="16"/>
        <v>#DIV/0!</v>
      </c>
      <c r="T47" s="15" t="e">
        <f t="shared" si="16"/>
        <v>#DIV/0!</v>
      </c>
      <c r="U47" s="15" t="e">
        <f t="shared" si="16"/>
        <v>#DIV/0!</v>
      </c>
      <c r="V47" s="15" t="e">
        <f t="shared" si="16"/>
        <v>#DIV/0!</v>
      </c>
      <c r="W47" s="15" t="e">
        <f t="shared" si="16"/>
        <v>#DIV/0!</v>
      </c>
    </row>
    <row r="48" spans="1:23" x14ac:dyDescent="0.25">
      <c r="Q48" s="3" t="str">
        <f>$A$9</f>
        <v>Redmond</v>
      </c>
      <c r="R48" s="15" t="e">
        <f t="shared" si="16"/>
        <v>#DIV/0!</v>
      </c>
      <c r="S48" s="15" t="e">
        <f t="shared" si="16"/>
        <v>#DIV/0!</v>
      </c>
      <c r="T48" s="15" t="e">
        <f t="shared" si="16"/>
        <v>#DIV/0!</v>
      </c>
      <c r="U48" s="15" t="e">
        <f t="shared" si="16"/>
        <v>#DIV/0!</v>
      </c>
      <c r="V48" s="15" t="e">
        <f t="shared" si="16"/>
        <v>#DIV/0!</v>
      </c>
      <c r="W48" s="15" t="e">
        <f t="shared" si="16"/>
        <v>#DIV/0!</v>
      </c>
    </row>
    <row r="49" spans="17:23" x14ac:dyDescent="0.25">
      <c r="Q49" s="3" t="str">
        <f>$A$10</f>
        <v>Seattle</v>
      </c>
      <c r="R49" s="15" t="e">
        <f t="shared" si="16"/>
        <v>#DIV/0!</v>
      </c>
      <c r="S49" s="15" t="e">
        <f t="shared" si="16"/>
        <v>#DIV/0!</v>
      </c>
      <c r="T49" s="15" t="e">
        <f t="shared" si="16"/>
        <v>#DIV/0!</v>
      </c>
      <c r="U49" s="15" t="e">
        <f t="shared" si="16"/>
        <v>#DIV/0!</v>
      </c>
      <c r="V49" s="15" t="e">
        <f t="shared" si="16"/>
        <v>#DIV/0!</v>
      </c>
      <c r="W49" s="15" t="e">
        <f t="shared" si="16"/>
        <v>#DIV/0!</v>
      </c>
    </row>
    <row r="50" spans="17:23" x14ac:dyDescent="0.25">
      <c r="Q50" s="3" t="str">
        <f>$A$11</f>
        <v>Seattle Downtown</v>
      </c>
      <c r="R50" s="15" t="e">
        <f t="shared" si="16"/>
        <v>#DIV/0!</v>
      </c>
      <c r="S50" s="15" t="e">
        <f t="shared" si="16"/>
        <v>#DIV/0!</v>
      </c>
      <c r="T50" s="15" t="e">
        <f t="shared" si="16"/>
        <v>#DIV/0!</v>
      </c>
      <c r="U50" s="15" t="e">
        <f t="shared" si="16"/>
        <v>#DIV/0!</v>
      </c>
      <c r="V50" s="15" t="e">
        <f t="shared" si="16"/>
        <v>#DIV/0!</v>
      </c>
      <c r="W50" s="15" t="e">
        <f t="shared" si="16"/>
        <v>#DIV/0!</v>
      </c>
    </row>
    <row r="51" spans="17:23" x14ac:dyDescent="0.25">
      <c r="Q51" s="3" t="str">
        <f>$A$12</f>
        <v>Rest</v>
      </c>
      <c r="R51" s="15" t="e">
        <f t="shared" si="16"/>
        <v>#DIV/0!</v>
      </c>
      <c r="S51" s="15" t="e">
        <f t="shared" si="16"/>
        <v>#DIV/0!</v>
      </c>
      <c r="T51" s="15" t="e">
        <f t="shared" si="16"/>
        <v>#DIV/0!</v>
      </c>
      <c r="U51" s="15" t="e">
        <f t="shared" si="16"/>
        <v>#DIV/0!</v>
      </c>
      <c r="V51" s="15" t="e">
        <f t="shared" si="16"/>
        <v>#DIV/0!</v>
      </c>
      <c r="W51" s="15" t="e">
        <f t="shared" si="16"/>
        <v>#DIV/0!</v>
      </c>
    </row>
    <row r="52" spans="17:23" ht="15.75" customHeight="1" thickBot="1" x14ac:dyDescent="0.3">
      <c r="Q52" s="7" t="str">
        <f>$A$13</f>
        <v>Total</v>
      </c>
      <c r="R52" s="17" t="e">
        <f t="shared" si="16"/>
        <v>#DIV/0!</v>
      </c>
      <c r="S52" s="17" t="e">
        <f t="shared" si="16"/>
        <v>#DIV/0!</v>
      </c>
      <c r="T52" s="17" t="e">
        <f t="shared" si="16"/>
        <v>#DIV/0!</v>
      </c>
      <c r="U52" s="17" t="e">
        <f t="shared" si="16"/>
        <v>#DIV/0!</v>
      </c>
      <c r="V52" s="17" t="e">
        <f t="shared" si="16"/>
        <v>#DIV/0!</v>
      </c>
      <c r="W52" s="17" t="e">
        <f t="shared" si="16"/>
        <v>#DIV/0!</v>
      </c>
    </row>
  </sheetData>
  <pageMargins left="0.7" right="0.7" top="0.75" bottom="0.75" header="0.3" footer="0.3"/>
  <pageSetup orientation="portrait" horizontalDpi="4294967293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38"/>
  <sheetViews>
    <sheetView workbookViewId="0">
      <selection activeCell="G25" sqref="G25"/>
    </sheetView>
  </sheetViews>
  <sheetFormatPr defaultRowHeight="15" x14ac:dyDescent="0.25"/>
  <cols>
    <col min="1" max="23" width="9.28515625" customWidth="1" collapsed="1"/>
  </cols>
  <sheetData>
    <row r="1" spans="1:39" ht="21" customHeight="1" x14ac:dyDescent="0.35">
      <c r="A1" s="13" t="s">
        <v>0</v>
      </c>
      <c r="I1" s="13" t="s">
        <v>1</v>
      </c>
      <c r="Q1" s="13" t="s">
        <v>2</v>
      </c>
    </row>
    <row r="2" spans="1:39" x14ac:dyDescent="0.25">
      <c r="A2" s="1"/>
      <c r="I2" s="1" t="s">
        <v>3</v>
      </c>
      <c r="Q2" s="1"/>
    </row>
    <row r="3" spans="1:39" x14ac:dyDescent="0.25">
      <c r="A3" s="14" t="s">
        <v>23</v>
      </c>
      <c r="I3" s="14" t="s">
        <v>23</v>
      </c>
      <c r="Q3" s="14" t="s">
        <v>23</v>
      </c>
    </row>
    <row r="4" spans="1:39" ht="15.75" customHeight="1" thickBot="1" x14ac:dyDescent="0.3">
      <c r="A4" s="12"/>
      <c r="B4" s="10" t="s">
        <v>7</v>
      </c>
      <c r="C4" s="9"/>
      <c r="D4" s="9"/>
      <c r="E4" s="9"/>
      <c r="F4" s="9"/>
      <c r="G4" s="9"/>
      <c r="I4" s="12"/>
      <c r="J4" s="10" t="s">
        <v>7</v>
      </c>
      <c r="K4" s="9"/>
      <c r="L4" s="9"/>
      <c r="M4" s="9"/>
      <c r="N4" s="9"/>
      <c r="O4" s="9"/>
      <c r="Q4" s="12"/>
      <c r="R4" s="10" t="s">
        <v>7</v>
      </c>
      <c r="S4" s="9"/>
      <c r="T4" s="9"/>
      <c r="U4" s="9"/>
      <c r="V4" s="9"/>
      <c r="W4" s="9"/>
    </row>
    <row r="5" spans="1:39" x14ac:dyDescent="0.25">
      <c r="A5" s="11" t="s">
        <v>24</v>
      </c>
      <c r="B5" s="2">
        <v>0</v>
      </c>
      <c r="C5" s="2">
        <v>1</v>
      </c>
      <c r="D5" s="2">
        <v>2</v>
      </c>
      <c r="E5" s="2">
        <v>3</v>
      </c>
      <c r="F5" s="2" t="s">
        <v>9</v>
      </c>
      <c r="G5" s="2" t="s">
        <v>10</v>
      </c>
      <c r="I5" s="11" t="s">
        <v>24</v>
      </c>
      <c r="J5" s="2">
        <v>0</v>
      </c>
      <c r="K5" s="2">
        <v>1</v>
      </c>
      <c r="L5" s="2">
        <v>2</v>
      </c>
      <c r="M5" s="2">
        <v>3</v>
      </c>
      <c r="N5" s="2" t="s">
        <v>9</v>
      </c>
      <c r="O5" s="2" t="s">
        <v>10</v>
      </c>
      <c r="Q5" s="11" t="s">
        <v>24</v>
      </c>
      <c r="R5" s="2">
        <v>0</v>
      </c>
      <c r="S5" s="2">
        <v>1</v>
      </c>
      <c r="T5" s="2">
        <v>2</v>
      </c>
      <c r="U5" s="2">
        <v>3</v>
      </c>
      <c r="V5" s="2" t="s">
        <v>9</v>
      </c>
      <c r="W5" s="2" t="s">
        <v>10</v>
      </c>
    </row>
    <row r="6" spans="1:39" x14ac:dyDescent="0.25">
      <c r="A6" s="3" t="s">
        <v>25</v>
      </c>
      <c r="B6" s="4">
        <v>34499.450534628653</v>
      </c>
      <c r="C6" s="4">
        <v>85861.700306049999</v>
      </c>
      <c r="D6" s="4">
        <v>107357.6329476715</v>
      </c>
      <c r="E6" s="4">
        <v>23654.910594068398</v>
      </c>
      <c r="F6" s="4">
        <v>19671.80602683701</v>
      </c>
      <c r="G6" s="4">
        <f>SUM(B6:F6)</f>
        <v>271045.50040925562</v>
      </c>
      <c r="I6" s="3" t="s">
        <v>25</v>
      </c>
      <c r="O6" s="4"/>
      <c r="Q6" s="3" t="s">
        <v>25</v>
      </c>
      <c r="R6" s="18">
        <v>22658.54202909402</v>
      </c>
      <c r="S6" s="18">
        <v>38367.517473955319</v>
      </c>
      <c r="T6" s="18">
        <v>9487.6912286348397</v>
      </c>
      <c r="U6" s="18">
        <v>2287.135744341278</v>
      </c>
      <c r="V6" s="18">
        <v>817.71161637711339</v>
      </c>
      <c r="W6" s="4">
        <f>SUM(R6:V6)</f>
        <v>73618.598092402564</v>
      </c>
    </row>
    <row r="7" spans="1:39" x14ac:dyDescent="0.25">
      <c r="A7" s="3" t="s">
        <v>26</v>
      </c>
      <c r="B7" s="4">
        <v>77365.866374990248</v>
      </c>
      <c r="C7" s="4">
        <v>156790.5426510688</v>
      </c>
      <c r="D7" s="4">
        <v>51698.535309575993</v>
      </c>
      <c r="E7" s="4">
        <v>21348.644887186289</v>
      </c>
      <c r="F7" s="4">
        <v>10483.42526638968</v>
      </c>
      <c r="G7" s="4">
        <f>SUM(B7:F7)</f>
        <v>317687.01448921103</v>
      </c>
      <c r="I7" s="3" t="s">
        <v>26</v>
      </c>
      <c r="O7" s="4"/>
      <c r="Q7" s="3" t="s">
        <v>26</v>
      </c>
      <c r="R7" s="18">
        <v>33312.778734912252</v>
      </c>
      <c r="S7" s="18">
        <v>158312.31686049141</v>
      </c>
      <c r="T7" s="18">
        <v>110487.1811987806</v>
      </c>
      <c r="U7" s="18">
        <v>29234.07293817963</v>
      </c>
      <c r="V7" s="18">
        <v>11410.521746252991</v>
      </c>
      <c r="W7" s="4">
        <f>SUM(R7:V7)</f>
        <v>342756.8714786169</v>
      </c>
    </row>
    <row r="8" spans="1:39" x14ac:dyDescent="0.25">
      <c r="A8" s="3" t="s">
        <v>27</v>
      </c>
      <c r="B8" s="4">
        <v>11871.585373934629</v>
      </c>
      <c r="C8" s="4">
        <v>71853.525234580782</v>
      </c>
      <c r="D8" s="4">
        <v>90569.223209558593</v>
      </c>
      <c r="E8" s="4">
        <v>21388.82120655437</v>
      </c>
      <c r="F8" s="4">
        <v>14184.69872799489</v>
      </c>
      <c r="G8" s="4">
        <f>SUM(B8:F8)</f>
        <v>209867.85375262328</v>
      </c>
      <c r="I8" s="3" t="s">
        <v>27</v>
      </c>
      <c r="O8" s="4"/>
      <c r="Q8" s="3" t="s">
        <v>27</v>
      </c>
      <c r="R8" s="18">
        <v>8854.5558557097502</v>
      </c>
      <c r="S8" s="18">
        <v>87016.89518802111</v>
      </c>
      <c r="T8" s="18">
        <v>109604.4558896292</v>
      </c>
      <c r="U8" s="18">
        <v>42137.343383236162</v>
      </c>
      <c r="V8" s="18">
        <v>15207.199018545731</v>
      </c>
      <c r="W8" s="4">
        <f>SUM(R8:V8)</f>
        <v>262820.44933514198</v>
      </c>
    </row>
    <row r="9" spans="1:39" x14ac:dyDescent="0.25">
      <c r="A9" s="5" t="s">
        <v>28</v>
      </c>
      <c r="B9" s="4">
        <v>20680.83166510423</v>
      </c>
      <c r="C9" s="4">
        <v>260065.68723303819</v>
      </c>
      <c r="D9" s="4">
        <v>401551.47039978439</v>
      </c>
      <c r="E9" s="4">
        <v>159139.4793664226</v>
      </c>
      <c r="F9" s="4">
        <v>92558.600830653377</v>
      </c>
      <c r="G9" s="6">
        <f>SUM(B9:F9)</f>
        <v>933996.06949500286</v>
      </c>
      <c r="I9" s="5" t="s">
        <v>28</v>
      </c>
      <c r="J9" s="19"/>
      <c r="K9" s="19"/>
      <c r="L9" s="19"/>
      <c r="M9" s="19"/>
      <c r="N9" s="19"/>
      <c r="O9" s="6"/>
      <c r="Q9" s="5" t="s">
        <v>28</v>
      </c>
      <c r="R9" s="18">
        <v>11822.12675508706</v>
      </c>
      <c r="S9" s="18">
        <v>126567.98087988231</v>
      </c>
      <c r="T9" s="18">
        <v>340657.4223443818</v>
      </c>
      <c r="U9" s="18">
        <v>178854.29220522591</v>
      </c>
      <c r="V9" s="18">
        <v>85724.882586461987</v>
      </c>
      <c r="W9" s="6">
        <f>SUM(R9:V9)</f>
        <v>743626.70477103908</v>
      </c>
    </row>
    <row r="10" spans="1:39" ht="15.75" customHeight="1" thickBot="1" x14ac:dyDescent="0.3">
      <c r="A10" s="7" t="s">
        <v>10</v>
      </c>
      <c r="B10" s="8">
        <f>SUM(B6:B9)</f>
        <v>144417.73394865778</v>
      </c>
      <c r="C10" s="8">
        <f>SUM(C6:C9)</f>
        <v>574571.45542473777</v>
      </c>
      <c r="D10" s="8">
        <f>SUM(D6:D9)</f>
        <v>651176.86186659045</v>
      </c>
      <c r="E10" s="8">
        <f>SUM(E6:E9)</f>
        <v>225531.85605423167</v>
      </c>
      <c r="F10" s="8">
        <f>SUM(F6:F9)</f>
        <v>136898.53085187497</v>
      </c>
      <c r="G10" s="8">
        <f>SUM(B10:F10)</f>
        <v>1732596.4381460927</v>
      </c>
      <c r="I10" s="7" t="s">
        <v>10</v>
      </c>
      <c r="J10" s="8"/>
      <c r="K10" s="8"/>
      <c r="L10" s="8"/>
      <c r="M10" s="8"/>
      <c r="N10" s="8"/>
      <c r="O10" s="8"/>
      <c r="Q10" s="7" t="s">
        <v>10</v>
      </c>
      <c r="R10" s="8">
        <f>SUM(R6:R9)</f>
        <v>76648.003374803084</v>
      </c>
      <c r="S10" s="8">
        <f>SUM(S6:S9)</f>
        <v>410264.71040235012</v>
      </c>
      <c r="T10" s="8">
        <f>SUM(T6:T9)</f>
        <v>570236.75066142646</v>
      </c>
      <c r="U10" s="8">
        <f>SUM(U6:U9)</f>
        <v>252512.84427098298</v>
      </c>
      <c r="V10" s="8">
        <f>SUM(V6:V9)</f>
        <v>113160.31496763782</v>
      </c>
      <c r="W10" s="8">
        <f>SUM(R10:V10)</f>
        <v>1422822.6236772004</v>
      </c>
    </row>
    <row r="13" spans="1:39" x14ac:dyDescent="0.25">
      <c r="A13" s="14" t="s">
        <v>23</v>
      </c>
      <c r="I13" s="14" t="s">
        <v>23</v>
      </c>
      <c r="Q13" s="14" t="s">
        <v>23</v>
      </c>
      <c r="Y13" s="1" t="s">
        <v>29</v>
      </c>
      <c r="AG13" s="1" t="s">
        <v>30</v>
      </c>
    </row>
    <row r="14" spans="1:39" ht="15.75" customHeight="1" thickBot="1" x14ac:dyDescent="0.3">
      <c r="A14" s="12"/>
      <c r="B14" s="10" t="s">
        <v>7</v>
      </c>
      <c r="C14" s="9"/>
      <c r="D14" s="9"/>
      <c r="E14" s="9"/>
      <c r="F14" s="9"/>
      <c r="G14" s="9"/>
      <c r="I14" s="12"/>
      <c r="J14" s="10" t="s">
        <v>7</v>
      </c>
      <c r="K14" s="9"/>
      <c r="L14" s="9"/>
      <c r="M14" s="9"/>
      <c r="N14" s="9"/>
      <c r="O14" s="9"/>
      <c r="Q14" s="12"/>
      <c r="R14" s="10" t="s">
        <v>7</v>
      </c>
      <c r="S14" s="9"/>
      <c r="T14" s="9"/>
      <c r="U14" s="9"/>
      <c r="V14" s="9"/>
      <c r="W14" s="9"/>
      <c r="Y14" s="12"/>
      <c r="Z14" s="10" t="s">
        <v>7</v>
      </c>
      <c r="AA14" s="9"/>
      <c r="AB14" s="9"/>
      <c r="AC14" s="9"/>
      <c r="AD14" s="9"/>
      <c r="AE14" s="9"/>
      <c r="AG14" s="12"/>
      <c r="AH14" s="10" t="s">
        <v>7</v>
      </c>
      <c r="AI14" s="9"/>
      <c r="AJ14" s="9"/>
      <c r="AK14" s="9"/>
      <c r="AL14" s="9"/>
      <c r="AM14" s="9"/>
    </row>
    <row r="15" spans="1:39" x14ac:dyDescent="0.25">
      <c r="A15" s="11" t="s">
        <v>24</v>
      </c>
      <c r="B15" s="2">
        <v>0</v>
      </c>
      <c r="C15" s="2">
        <v>1</v>
      </c>
      <c r="D15" s="2">
        <v>2</v>
      </c>
      <c r="E15" s="2">
        <v>3</v>
      </c>
      <c r="F15" s="2" t="s">
        <v>9</v>
      </c>
      <c r="G15" s="2" t="s">
        <v>10</v>
      </c>
      <c r="I15" s="11" t="s">
        <v>24</v>
      </c>
      <c r="J15" s="2">
        <v>0</v>
      </c>
      <c r="K15" s="2">
        <v>1</v>
      </c>
      <c r="L15" s="2">
        <v>2</v>
      </c>
      <c r="M15" s="2">
        <v>3</v>
      </c>
      <c r="N15" s="2" t="s">
        <v>9</v>
      </c>
      <c r="O15" s="2" t="s">
        <v>10</v>
      </c>
      <c r="Q15" s="11" t="s">
        <v>24</v>
      </c>
      <c r="R15" s="2">
        <v>0</v>
      </c>
      <c r="S15" s="2">
        <v>1</v>
      </c>
      <c r="T15" s="2">
        <v>2</v>
      </c>
      <c r="U15" s="2">
        <v>3</v>
      </c>
      <c r="V15" s="2" t="s">
        <v>9</v>
      </c>
      <c r="W15" s="2" t="s">
        <v>10</v>
      </c>
      <c r="Y15" s="11" t="s">
        <v>24</v>
      </c>
      <c r="Z15" s="2">
        <v>0</v>
      </c>
      <c r="AA15" s="2">
        <v>1</v>
      </c>
      <c r="AB15" s="2">
        <v>2</v>
      </c>
      <c r="AC15" s="2">
        <v>3</v>
      </c>
      <c r="AD15" s="2" t="s">
        <v>9</v>
      </c>
      <c r="AE15" s="2" t="s">
        <v>10</v>
      </c>
      <c r="AG15" s="11" t="s">
        <v>24</v>
      </c>
      <c r="AH15" s="2">
        <v>0</v>
      </c>
      <c r="AI15" s="2">
        <v>1</v>
      </c>
      <c r="AJ15" s="2">
        <v>2</v>
      </c>
      <c r="AK15" s="2">
        <v>3</v>
      </c>
      <c r="AL15" s="2" t="s">
        <v>9</v>
      </c>
      <c r="AM15" s="2" t="s">
        <v>10</v>
      </c>
    </row>
    <row r="16" spans="1:39" x14ac:dyDescent="0.25">
      <c r="A16" s="3" t="s">
        <v>25</v>
      </c>
      <c r="B16" s="4">
        <f t="shared" ref="B16:G20" si="0">($W6/$G6)*B6</f>
        <v>9370.3868150648723</v>
      </c>
      <c r="C16" s="4">
        <f t="shared" si="0"/>
        <v>23320.874158830211</v>
      </c>
      <c r="D16" s="4">
        <f t="shared" si="0"/>
        <v>29159.378850387347</v>
      </c>
      <c r="E16" s="4">
        <f t="shared" si="0"/>
        <v>6424.904133464709</v>
      </c>
      <c r="F16" s="4">
        <f t="shared" si="0"/>
        <v>5343.0541346554037</v>
      </c>
      <c r="G16" s="4">
        <f t="shared" si="0"/>
        <v>73618.598092402564</v>
      </c>
      <c r="I16" s="3" t="s">
        <v>25</v>
      </c>
      <c r="J16" s="4" t="e">
        <f t="shared" ref="J16:O20" si="1">($W6/$O6)*J6</f>
        <v>#DIV/0!</v>
      </c>
      <c r="K16" s="4" t="e">
        <f t="shared" si="1"/>
        <v>#DIV/0!</v>
      </c>
      <c r="L16" s="4" t="e">
        <f t="shared" si="1"/>
        <v>#DIV/0!</v>
      </c>
      <c r="M16" s="4" t="e">
        <f t="shared" si="1"/>
        <v>#DIV/0!</v>
      </c>
      <c r="N16" s="4" t="e">
        <f t="shared" si="1"/>
        <v>#DIV/0!</v>
      </c>
      <c r="O16" s="4" t="e">
        <f t="shared" si="1"/>
        <v>#DIV/0!</v>
      </c>
      <c r="Q16" s="3" t="s">
        <v>25</v>
      </c>
      <c r="R16" s="4">
        <f t="shared" ref="R16:V19" si="2">R6</f>
        <v>22658.54202909402</v>
      </c>
      <c r="S16" s="4">
        <f t="shared" si="2"/>
        <v>38367.517473955319</v>
      </c>
      <c r="T16" s="4">
        <f t="shared" si="2"/>
        <v>9487.6912286348397</v>
      </c>
      <c r="U16" s="4">
        <f t="shared" si="2"/>
        <v>2287.135744341278</v>
      </c>
      <c r="V16" s="4">
        <f t="shared" si="2"/>
        <v>817.71161637711339</v>
      </c>
      <c r="W16" s="4">
        <f>SUM(R16:V16)</f>
        <v>73618.598092402564</v>
      </c>
      <c r="Y16" s="3" t="s">
        <v>25</v>
      </c>
      <c r="Z16" s="4" t="e">
        <f t="shared" ref="Z16:AE20" si="3">R16-J16</f>
        <v>#DIV/0!</v>
      </c>
      <c r="AA16" s="4" t="e">
        <f t="shared" si="3"/>
        <v>#DIV/0!</v>
      </c>
      <c r="AB16" s="4" t="e">
        <f t="shared" si="3"/>
        <v>#DIV/0!</v>
      </c>
      <c r="AC16" s="4" t="e">
        <f t="shared" si="3"/>
        <v>#DIV/0!</v>
      </c>
      <c r="AD16" s="4" t="e">
        <f t="shared" si="3"/>
        <v>#DIV/0!</v>
      </c>
      <c r="AE16" s="4" t="e">
        <f t="shared" si="3"/>
        <v>#DIV/0!</v>
      </c>
      <c r="AG16" s="3" t="s">
        <v>25</v>
      </c>
      <c r="AH16" s="15" t="e">
        <f t="shared" ref="AH16:AM20" si="4">Z16/J16</f>
        <v>#DIV/0!</v>
      </c>
      <c r="AI16" s="15" t="e">
        <f t="shared" si="4"/>
        <v>#DIV/0!</v>
      </c>
      <c r="AJ16" s="15" t="e">
        <f t="shared" si="4"/>
        <v>#DIV/0!</v>
      </c>
      <c r="AK16" s="15" t="e">
        <f t="shared" si="4"/>
        <v>#DIV/0!</v>
      </c>
      <c r="AL16" s="15" t="e">
        <f t="shared" si="4"/>
        <v>#DIV/0!</v>
      </c>
      <c r="AM16" s="15" t="e">
        <f t="shared" si="4"/>
        <v>#DIV/0!</v>
      </c>
    </row>
    <row r="17" spans="1:39" x14ac:dyDescent="0.25">
      <c r="A17" s="3" t="s">
        <v>26</v>
      </c>
      <c r="B17" s="4">
        <f t="shared" si="0"/>
        <v>83471.092957829882</v>
      </c>
      <c r="C17" s="4">
        <f t="shared" si="0"/>
        <v>169163.46411867611</v>
      </c>
      <c r="D17" s="4">
        <f t="shared" si="0"/>
        <v>55778.257890798581</v>
      </c>
      <c r="E17" s="4">
        <f t="shared" si="0"/>
        <v>23033.345393752155</v>
      </c>
      <c r="F17" s="4">
        <f t="shared" si="0"/>
        <v>11310.711117560155</v>
      </c>
      <c r="G17" s="4">
        <f t="shared" si="0"/>
        <v>342756.8714786169</v>
      </c>
      <c r="I17" s="3" t="s">
        <v>26</v>
      </c>
      <c r="J17" s="4" t="e">
        <f t="shared" si="1"/>
        <v>#DIV/0!</v>
      </c>
      <c r="K17" s="4" t="e">
        <f t="shared" si="1"/>
        <v>#DIV/0!</v>
      </c>
      <c r="L17" s="4" t="e">
        <f t="shared" si="1"/>
        <v>#DIV/0!</v>
      </c>
      <c r="M17" s="4" t="e">
        <f t="shared" si="1"/>
        <v>#DIV/0!</v>
      </c>
      <c r="N17" s="4" t="e">
        <f t="shared" si="1"/>
        <v>#DIV/0!</v>
      </c>
      <c r="O17" s="4" t="e">
        <f t="shared" si="1"/>
        <v>#DIV/0!</v>
      </c>
      <c r="Q17" s="3" t="s">
        <v>26</v>
      </c>
      <c r="R17" s="4">
        <f t="shared" si="2"/>
        <v>33312.778734912252</v>
      </c>
      <c r="S17" s="4">
        <f t="shared" si="2"/>
        <v>158312.31686049141</v>
      </c>
      <c r="T17" s="4">
        <f t="shared" si="2"/>
        <v>110487.1811987806</v>
      </c>
      <c r="U17" s="4">
        <f t="shared" si="2"/>
        <v>29234.07293817963</v>
      </c>
      <c r="V17" s="4">
        <f t="shared" si="2"/>
        <v>11410.521746252991</v>
      </c>
      <c r="W17" s="4">
        <f>SUM(R17:V17)</f>
        <v>342756.8714786169</v>
      </c>
      <c r="Y17" s="3" t="s">
        <v>26</v>
      </c>
      <c r="Z17" s="4" t="e">
        <f t="shared" si="3"/>
        <v>#DIV/0!</v>
      </c>
      <c r="AA17" s="4" t="e">
        <f t="shared" si="3"/>
        <v>#DIV/0!</v>
      </c>
      <c r="AB17" s="4" t="e">
        <f t="shared" si="3"/>
        <v>#DIV/0!</v>
      </c>
      <c r="AC17" s="4" t="e">
        <f t="shared" si="3"/>
        <v>#DIV/0!</v>
      </c>
      <c r="AD17" s="4" t="e">
        <f t="shared" si="3"/>
        <v>#DIV/0!</v>
      </c>
      <c r="AE17" s="4" t="e">
        <f t="shared" si="3"/>
        <v>#DIV/0!</v>
      </c>
      <c r="AG17" s="3" t="s">
        <v>26</v>
      </c>
      <c r="AH17" s="15" t="e">
        <f t="shared" si="4"/>
        <v>#DIV/0!</v>
      </c>
      <c r="AI17" s="15" t="e">
        <f t="shared" si="4"/>
        <v>#DIV/0!</v>
      </c>
      <c r="AJ17" s="15" t="e">
        <f t="shared" si="4"/>
        <v>#DIV/0!</v>
      </c>
      <c r="AK17" s="15" t="e">
        <f t="shared" si="4"/>
        <v>#DIV/0!</v>
      </c>
      <c r="AL17" s="15" t="e">
        <f t="shared" si="4"/>
        <v>#DIV/0!</v>
      </c>
      <c r="AM17" s="15" t="e">
        <f t="shared" si="4"/>
        <v>#DIV/0!</v>
      </c>
    </row>
    <row r="18" spans="1:39" x14ac:dyDescent="0.25">
      <c r="A18" s="3" t="s">
        <v>27</v>
      </c>
      <c r="B18" s="4">
        <f t="shared" si="0"/>
        <v>14866.952448924058</v>
      </c>
      <c r="C18" s="4">
        <f t="shared" si="0"/>
        <v>89983.174892169176</v>
      </c>
      <c r="D18" s="4">
        <f t="shared" si="0"/>
        <v>113421.10530147556</v>
      </c>
      <c r="E18" s="4">
        <f t="shared" si="0"/>
        <v>26785.520029578933</v>
      </c>
      <c r="F18" s="4">
        <f t="shared" si="0"/>
        <v>17763.696662994222</v>
      </c>
      <c r="G18" s="4">
        <f t="shared" si="0"/>
        <v>262820.44933514198</v>
      </c>
      <c r="I18" s="3" t="s">
        <v>27</v>
      </c>
      <c r="J18" s="4" t="e">
        <f t="shared" si="1"/>
        <v>#DIV/0!</v>
      </c>
      <c r="K18" s="4" t="e">
        <f t="shared" si="1"/>
        <v>#DIV/0!</v>
      </c>
      <c r="L18" s="4" t="e">
        <f t="shared" si="1"/>
        <v>#DIV/0!</v>
      </c>
      <c r="M18" s="4" t="e">
        <f t="shared" si="1"/>
        <v>#DIV/0!</v>
      </c>
      <c r="N18" s="4" t="e">
        <f t="shared" si="1"/>
        <v>#DIV/0!</v>
      </c>
      <c r="O18" s="4" t="e">
        <f t="shared" si="1"/>
        <v>#DIV/0!</v>
      </c>
      <c r="Q18" s="3" t="s">
        <v>27</v>
      </c>
      <c r="R18" s="4">
        <f t="shared" si="2"/>
        <v>8854.5558557097502</v>
      </c>
      <c r="S18" s="4">
        <f t="shared" si="2"/>
        <v>87016.89518802111</v>
      </c>
      <c r="T18" s="4">
        <f t="shared" si="2"/>
        <v>109604.4558896292</v>
      </c>
      <c r="U18" s="4">
        <f t="shared" si="2"/>
        <v>42137.343383236162</v>
      </c>
      <c r="V18" s="4">
        <f t="shared" si="2"/>
        <v>15207.199018545731</v>
      </c>
      <c r="W18" s="4">
        <f>SUM(R18:V18)</f>
        <v>262820.44933514198</v>
      </c>
      <c r="Y18" s="3" t="s">
        <v>27</v>
      </c>
      <c r="Z18" s="4" t="e">
        <f t="shared" si="3"/>
        <v>#DIV/0!</v>
      </c>
      <c r="AA18" s="4" t="e">
        <f t="shared" si="3"/>
        <v>#DIV/0!</v>
      </c>
      <c r="AB18" s="4" t="e">
        <f t="shared" si="3"/>
        <v>#DIV/0!</v>
      </c>
      <c r="AC18" s="4" t="e">
        <f t="shared" si="3"/>
        <v>#DIV/0!</v>
      </c>
      <c r="AD18" s="4" t="e">
        <f t="shared" si="3"/>
        <v>#DIV/0!</v>
      </c>
      <c r="AE18" s="4" t="e">
        <f t="shared" si="3"/>
        <v>#DIV/0!</v>
      </c>
      <c r="AG18" s="3" t="s">
        <v>27</v>
      </c>
      <c r="AH18" s="15" t="e">
        <f t="shared" si="4"/>
        <v>#DIV/0!</v>
      </c>
      <c r="AI18" s="15" t="e">
        <f t="shared" si="4"/>
        <v>#DIV/0!</v>
      </c>
      <c r="AJ18" s="15" t="e">
        <f t="shared" si="4"/>
        <v>#DIV/0!</v>
      </c>
      <c r="AK18" s="15" t="e">
        <f t="shared" si="4"/>
        <v>#DIV/0!</v>
      </c>
      <c r="AL18" s="15" t="e">
        <f t="shared" si="4"/>
        <v>#DIV/0!</v>
      </c>
      <c r="AM18" s="15" t="e">
        <f t="shared" si="4"/>
        <v>#DIV/0!</v>
      </c>
    </row>
    <row r="19" spans="1:39" x14ac:dyDescent="0.25">
      <c r="A19" s="5" t="s">
        <v>28</v>
      </c>
      <c r="B19" s="4">
        <f t="shared" si="0"/>
        <v>16465.613941353211</v>
      </c>
      <c r="C19" s="4">
        <f t="shared" si="0"/>
        <v>207058.46238269913</v>
      </c>
      <c r="D19" s="4">
        <f t="shared" si="0"/>
        <v>319706.2669555</v>
      </c>
      <c r="E19" s="4">
        <f t="shared" si="0"/>
        <v>126703.28120782821</v>
      </c>
      <c r="F19" s="4">
        <f t="shared" si="0"/>
        <v>73693.080283658506</v>
      </c>
      <c r="G19" s="6">
        <f t="shared" si="0"/>
        <v>743626.70477103908</v>
      </c>
      <c r="I19" s="5" t="s">
        <v>28</v>
      </c>
      <c r="J19" s="6" t="e">
        <f t="shared" si="1"/>
        <v>#DIV/0!</v>
      </c>
      <c r="K19" s="6" t="e">
        <f t="shared" si="1"/>
        <v>#DIV/0!</v>
      </c>
      <c r="L19" s="6" t="e">
        <f t="shared" si="1"/>
        <v>#DIV/0!</v>
      </c>
      <c r="M19" s="6" t="e">
        <f t="shared" si="1"/>
        <v>#DIV/0!</v>
      </c>
      <c r="N19" s="6" t="e">
        <f t="shared" si="1"/>
        <v>#DIV/0!</v>
      </c>
      <c r="O19" s="6" t="e">
        <f t="shared" si="1"/>
        <v>#DIV/0!</v>
      </c>
      <c r="Q19" s="5" t="s">
        <v>28</v>
      </c>
      <c r="R19" s="4">
        <f t="shared" si="2"/>
        <v>11822.12675508706</v>
      </c>
      <c r="S19" s="4">
        <f t="shared" si="2"/>
        <v>126567.98087988231</v>
      </c>
      <c r="T19" s="4">
        <f t="shared" si="2"/>
        <v>340657.4223443818</v>
      </c>
      <c r="U19" s="4">
        <f t="shared" si="2"/>
        <v>178854.29220522591</v>
      </c>
      <c r="V19" s="4">
        <f t="shared" si="2"/>
        <v>85724.882586461987</v>
      </c>
      <c r="W19" s="6">
        <f>SUM(R19:V19)</f>
        <v>743626.70477103908</v>
      </c>
      <c r="Y19" s="5" t="s">
        <v>28</v>
      </c>
      <c r="Z19" s="4" t="e">
        <f t="shared" si="3"/>
        <v>#DIV/0!</v>
      </c>
      <c r="AA19" s="4" t="e">
        <f t="shared" si="3"/>
        <v>#DIV/0!</v>
      </c>
      <c r="AB19" s="4" t="e">
        <f t="shared" si="3"/>
        <v>#DIV/0!</v>
      </c>
      <c r="AC19" s="4" t="e">
        <f t="shared" si="3"/>
        <v>#DIV/0!</v>
      </c>
      <c r="AD19" s="4" t="e">
        <f t="shared" si="3"/>
        <v>#DIV/0!</v>
      </c>
      <c r="AE19" s="6" t="e">
        <f t="shared" si="3"/>
        <v>#DIV/0!</v>
      </c>
      <c r="AG19" s="5" t="s">
        <v>28</v>
      </c>
      <c r="AH19" s="15" t="e">
        <f t="shared" si="4"/>
        <v>#DIV/0!</v>
      </c>
      <c r="AI19" s="15" t="e">
        <f t="shared" si="4"/>
        <v>#DIV/0!</v>
      </c>
      <c r="AJ19" s="15" t="e">
        <f t="shared" si="4"/>
        <v>#DIV/0!</v>
      </c>
      <c r="AK19" s="15" t="e">
        <f t="shared" si="4"/>
        <v>#DIV/0!</v>
      </c>
      <c r="AL19" s="15" t="e">
        <f t="shared" si="4"/>
        <v>#DIV/0!</v>
      </c>
      <c r="AM19" s="16" t="e">
        <f t="shared" si="4"/>
        <v>#DIV/0!</v>
      </c>
    </row>
    <row r="20" spans="1:39" ht="15.75" customHeight="1" thickBot="1" x14ac:dyDescent="0.3">
      <c r="A20" s="7" t="s">
        <v>10</v>
      </c>
      <c r="B20" s="8">
        <f t="shared" si="0"/>
        <v>118597.04579689261</v>
      </c>
      <c r="C20" s="8">
        <f t="shared" si="0"/>
        <v>471842.86409604189</v>
      </c>
      <c r="D20" s="8">
        <f t="shared" si="0"/>
        <v>534751.86181860592</v>
      </c>
      <c r="E20" s="8">
        <f t="shared" si="0"/>
        <v>185208.63837006976</v>
      </c>
      <c r="F20" s="8">
        <f t="shared" si="0"/>
        <v>112422.21359559025</v>
      </c>
      <c r="G20" s="8">
        <f t="shared" si="0"/>
        <v>1422822.6236772004</v>
      </c>
      <c r="I20" s="7" t="s">
        <v>10</v>
      </c>
      <c r="J20" s="8" t="e">
        <f t="shared" si="1"/>
        <v>#DIV/0!</v>
      </c>
      <c r="K20" s="8" t="e">
        <f t="shared" si="1"/>
        <v>#DIV/0!</v>
      </c>
      <c r="L20" s="8" t="e">
        <f t="shared" si="1"/>
        <v>#DIV/0!</v>
      </c>
      <c r="M20" s="8" t="e">
        <f t="shared" si="1"/>
        <v>#DIV/0!</v>
      </c>
      <c r="N20" s="8" t="e">
        <f t="shared" si="1"/>
        <v>#DIV/0!</v>
      </c>
      <c r="O20" s="8" t="e">
        <f t="shared" si="1"/>
        <v>#DIV/0!</v>
      </c>
      <c r="Q20" s="7" t="s">
        <v>10</v>
      </c>
      <c r="R20" s="8">
        <f>SUM(R16:R19)</f>
        <v>76648.003374803084</v>
      </c>
      <c r="S20" s="8">
        <f>SUM(S16:S19)</f>
        <v>410264.71040235012</v>
      </c>
      <c r="T20" s="8">
        <f>SUM(T16:T19)</f>
        <v>570236.75066142646</v>
      </c>
      <c r="U20" s="8">
        <f>SUM(U16:U19)</f>
        <v>252512.84427098298</v>
      </c>
      <c r="V20" s="8">
        <f>SUM(V16:V19)</f>
        <v>113160.31496763782</v>
      </c>
      <c r="W20" s="8">
        <f>SUM(R20:V20)</f>
        <v>1422822.6236772004</v>
      </c>
      <c r="Y20" s="7" t="s">
        <v>10</v>
      </c>
      <c r="Z20" s="8" t="e">
        <f t="shared" si="3"/>
        <v>#DIV/0!</v>
      </c>
      <c r="AA20" s="8" t="e">
        <f t="shared" si="3"/>
        <v>#DIV/0!</v>
      </c>
      <c r="AB20" s="8" t="e">
        <f t="shared" si="3"/>
        <v>#DIV/0!</v>
      </c>
      <c r="AC20" s="8" t="e">
        <f t="shared" si="3"/>
        <v>#DIV/0!</v>
      </c>
      <c r="AD20" s="8" t="e">
        <f t="shared" si="3"/>
        <v>#DIV/0!</v>
      </c>
      <c r="AE20" s="8" t="e">
        <f t="shared" si="3"/>
        <v>#DIV/0!</v>
      </c>
      <c r="AG20" s="7" t="s">
        <v>10</v>
      </c>
      <c r="AH20" s="17" t="e">
        <f t="shared" si="4"/>
        <v>#DIV/0!</v>
      </c>
      <c r="AI20" s="17" t="e">
        <f t="shared" si="4"/>
        <v>#DIV/0!</v>
      </c>
      <c r="AJ20" s="17" t="e">
        <f t="shared" si="4"/>
        <v>#DIV/0!</v>
      </c>
      <c r="AK20" s="17" t="e">
        <f t="shared" si="4"/>
        <v>#DIV/0!</v>
      </c>
      <c r="AL20" s="17" t="e">
        <f t="shared" si="4"/>
        <v>#DIV/0!</v>
      </c>
      <c r="AM20" s="17" t="e">
        <f t="shared" si="4"/>
        <v>#DIV/0!</v>
      </c>
    </row>
    <row r="23" spans="1:39" ht="15.75" customHeight="1" thickBot="1" x14ac:dyDescent="0.3">
      <c r="A23" s="12"/>
      <c r="B23" s="10" t="s">
        <v>7</v>
      </c>
      <c r="C23" s="9"/>
      <c r="D23" s="9"/>
      <c r="E23" s="9"/>
      <c r="F23" s="9"/>
      <c r="G23" s="9"/>
      <c r="I23" s="12"/>
      <c r="J23" s="10" t="s">
        <v>7</v>
      </c>
      <c r="K23" s="9"/>
      <c r="L23" s="9"/>
      <c r="M23" s="9"/>
      <c r="N23" s="9"/>
      <c r="O23" s="9"/>
      <c r="Q23" s="12"/>
      <c r="R23" s="10" t="s">
        <v>7</v>
      </c>
      <c r="S23" s="9"/>
      <c r="T23" s="9"/>
      <c r="U23" s="9"/>
      <c r="V23" s="9"/>
      <c r="W23" s="9"/>
    </row>
    <row r="24" spans="1:39" x14ac:dyDescent="0.25">
      <c r="A24" s="11" t="s">
        <v>24</v>
      </c>
      <c r="B24" s="2">
        <v>0</v>
      </c>
      <c r="C24" s="2">
        <v>1</v>
      </c>
      <c r="D24" s="2">
        <v>2</v>
      </c>
      <c r="E24" s="2">
        <v>3</v>
      </c>
      <c r="F24" s="2" t="s">
        <v>9</v>
      </c>
      <c r="G24" s="2" t="s">
        <v>10</v>
      </c>
      <c r="I24" s="11" t="s">
        <v>24</v>
      </c>
      <c r="J24" s="2">
        <v>0</v>
      </c>
      <c r="K24" s="2">
        <v>1</v>
      </c>
      <c r="L24" s="2">
        <v>2</v>
      </c>
      <c r="M24" s="2">
        <v>3</v>
      </c>
      <c r="N24" s="2" t="s">
        <v>9</v>
      </c>
      <c r="O24" s="2" t="s">
        <v>10</v>
      </c>
      <c r="Q24" s="11" t="s">
        <v>24</v>
      </c>
      <c r="R24" s="2">
        <v>0</v>
      </c>
      <c r="S24" s="2">
        <v>1</v>
      </c>
      <c r="T24" s="2">
        <v>2</v>
      </c>
      <c r="U24" s="2">
        <v>3</v>
      </c>
      <c r="V24" s="2" t="s">
        <v>9</v>
      </c>
      <c r="W24" s="2" t="s">
        <v>10</v>
      </c>
    </row>
    <row r="25" spans="1:39" x14ac:dyDescent="0.25">
      <c r="A25" s="3" t="s">
        <v>25</v>
      </c>
      <c r="B25" s="15">
        <f t="shared" ref="B25:G29" si="5">B16/$G$20</f>
        <v>6.5857729973731122E-3</v>
      </c>
      <c r="C25" s="15">
        <f t="shared" si="5"/>
        <v>1.6390570244489647E-2</v>
      </c>
      <c r="D25" s="15">
        <f t="shared" si="5"/>
        <v>2.049403654759626E-2</v>
      </c>
      <c r="E25" s="15">
        <f t="shared" si="5"/>
        <v>4.5156044235928209E-3</v>
      </c>
      <c r="F25" s="15">
        <f t="shared" si="5"/>
        <v>3.7552496324851779E-3</v>
      </c>
      <c r="G25" s="15">
        <f t="shared" si="5"/>
        <v>5.1741233845537034E-2</v>
      </c>
      <c r="I25" s="3" t="s">
        <v>25</v>
      </c>
      <c r="J25" s="15" t="e">
        <f t="shared" ref="J25:O29" si="6">J16/$O$20</f>
        <v>#DIV/0!</v>
      </c>
      <c r="K25" s="15" t="e">
        <f t="shared" si="6"/>
        <v>#DIV/0!</v>
      </c>
      <c r="L25" s="15" t="e">
        <f t="shared" si="6"/>
        <v>#DIV/0!</v>
      </c>
      <c r="M25" s="15" t="e">
        <f t="shared" si="6"/>
        <v>#DIV/0!</v>
      </c>
      <c r="N25" s="15" t="e">
        <f t="shared" si="6"/>
        <v>#DIV/0!</v>
      </c>
      <c r="O25" s="15" t="e">
        <f t="shared" si="6"/>
        <v>#DIV/0!</v>
      </c>
      <c r="Q25" s="3" t="s">
        <v>25</v>
      </c>
      <c r="R25" s="15">
        <f t="shared" ref="R25:W29" si="7">R6/$W$10</f>
        <v>1.5925064482411988E-2</v>
      </c>
      <c r="S25" s="15">
        <f t="shared" si="7"/>
        <v>2.6965776925022989E-2</v>
      </c>
      <c r="T25" s="15">
        <f t="shared" si="7"/>
        <v>6.6682178584667609E-3</v>
      </c>
      <c r="U25" s="15">
        <f t="shared" si="7"/>
        <v>1.6074637177403827E-3</v>
      </c>
      <c r="V25" s="15">
        <f t="shared" si="7"/>
        <v>5.7471086189491869E-4</v>
      </c>
      <c r="W25" s="15">
        <f t="shared" si="7"/>
        <v>5.1741233845537034E-2</v>
      </c>
    </row>
    <row r="26" spans="1:39" x14ac:dyDescent="0.25">
      <c r="A26" s="3" t="s">
        <v>26</v>
      </c>
      <c r="B26" s="15">
        <f t="shared" si="5"/>
        <v>5.8665846022397231E-2</v>
      </c>
      <c r="C26" s="15">
        <f t="shared" si="5"/>
        <v>0.11889286921899175</v>
      </c>
      <c r="D26" s="15">
        <f t="shared" si="5"/>
        <v>3.9202537942953843E-2</v>
      </c>
      <c r="E26" s="15">
        <f t="shared" si="5"/>
        <v>1.618848689250094E-2</v>
      </c>
      <c r="F26" s="15">
        <f t="shared" si="5"/>
        <v>7.9494878204342118E-3</v>
      </c>
      <c r="G26" s="15">
        <f t="shared" si="5"/>
        <v>0.240899227897278</v>
      </c>
      <c r="I26" s="3" t="s">
        <v>26</v>
      </c>
      <c r="J26" s="15" t="e">
        <f t="shared" si="6"/>
        <v>#DIV/0!</v>
      </c>
      <c r="K26" s="15" t="e">
        <f t="shared" si="6"/>
        <v>#DIV/0!</v>
      </c>
      <c r="L26" s="15" t="e">
        <f t="shared" si="6"/>
        <v>#DIV/0!</v>
      </c>
      <c r="M26" s="15" t="e">
        <f t="shared" si="6"/>
        <v>#DIV/0!</v>
      </c>
      <c r="N26" s="15" t="e">
        <f t="shared" si="6"/>
        <v>#DIV/0!</v>
      </c>
      <c r="O26" s="15" t="e">
        <f t="shared" si="6"/>
        <v>#DIV/0!</v>
      </c>
      <c r="Q26" s="3" t="s">
        <v>26</v>
      </c>
      <c r="R26" s="15">
        <f t="shared" si="7"/>
        <v>2.341316351072445E-2</v>
      </c>
      <c r="S26" s="15">
        <f t="shared" si="7"/>
        <v>0.11126637588271028</v>
      </c>
      <c r="T26" s="15">
        <f t="shared" si="7"/>
        <v>7.765351728329499E-2</v>
      </c>
      <c r="U26" s="15">
        <f t="shared" si="7"/>
        <v>2.0546533666034848E-2</v>
      </c>
      <c r="V26" s="15">
        <f t="shared" si="7"/>
        <v>8.0196375545134192E-3</v>
      </c>
      <c r="W26" s="15">
        <f t="shared" si="7"/>
        <v>0.240899227897278</v>
      </c>
    </row>
    <row r="27" spans="1:39" x14ac:dyDescent="0.25">
      <c r="A27" s="3" t="s">
        <v>27</v>
      </c>
      <c r="B27" s="15">
        <f t="shared" si="5"/>
        <v>1.0448914855248298E-2</v>
      </c>
      <c r="C27" s="15">
        <f t="shared" si="5"/>
        <v>6.3242721471221064E-2</v>
      </c>
      <c r="D27" s="15">
        <f t="shared" si="5"/>
        <v>7.9715562160760034E-2</v>
      </c>
      <c r="E27" s="15">
        <f t="shared" si="5"/>
        <v>1.8825621397805265E-2</v>
      </c>
      <c r="F27" s="15">
        <f t="shared" si="5"/>
        <v>1.2484828654948573E-2</v>
      </c>
      <c r="G27" s="15">
        <f t="shared" si="5"/>
        <v>0.18471764853998326</v>
      </c>
      <c r="I27" s="3" t="s">
        <v>27</v>
      </c>
      <c r="J27" s="15" t="e">
        <f t="shared" si="6"/>
        <v>#DIV/0!</v>
      </c>
      <c r="K27" s="15" t="e">
        <f t="shared" si="6"/>
        <v>#DIV/0!</v>
      </c>
      <c r="L27" s="15" t="e">
        <f t="shared" si="6"/>
        <v>#DIV/0!</v>
      </c>
      <c r="M27" s="15" t="e">
        <f t="shared" si="6"/>
        <v>#DIV/0!</v>
      </c>
      <c r="N27" s="15" t="e">
        <f t="shared" si="6"/>
        <v>#DIV/0!</v>
      </c>
      <c r="O27" s="15" t="e">
        <f t="shared" si="6"/>
        <v>#DIV/0!</v>
      </c>
      <c r="Q27" s="3" t="s">
        <v>27</v>
      </c>
      <c r="R27" s="15">
        <f t="shared" si="7"/>
        <v>6.2232324032251308E-3</v>
      </c>
      <c r="S27" s="15">
        <f t="shared" si="7"/>
        <v>6.1157936161523159E-2</v>
      </c>
      <c r="T27" s="15">
        <f t="shared" si="7"/>
        <v>7.7033112958495839E-2</v>
      </c>
      <c r="U27" s="15">
        <f t="shared" si="7"/>
        <v>2.9615317244769911E-2</v>
      </c>
      <c r="V27" s="15">
        <f t="shared" si="7"/>
        <v>1.0688049771969207E-2</v>
      </c>
      <c r="W27" s="15">
        <f t="shared" si="7"/>
        <v>0.18471764853998326</v>
      </c>
    </row>
    <row r="28" spans="1:39" x14ac:dyDescent="0.25">
      <c r="A28" s="5" t="s">
        <v>28</v>
      </c>
      <c r="B28" s="16">
        <f t="shared" si="5"/>
        <v>1.1572499387730292E-2</v>
      </c>
      <c r="C28" s="16">
        <f t="shared" si="5"/>
        <v>0.14552654627290706</v>
      </c>
      <c r="D28" s="16">
        <f t="shared" si="5"/>
        <v>0.22469861080029652</v>
      </c>
      <c r="E28" s="16">
        <f t="shared" si="5"/>
        <v>8.905065121917384E-2</v>
      </c>
      <c r="F28" s="16">
        <f t="shared" si="5"/>
        <v>5.1793582037094076E-2</v>
      </c>
      <c r="G28" s="16">
        <f t="shared" si="5"/>
        <v>0.52264188971720182</v>
      </c>
      <c r="I28" s="5" t="s">
        <v>28</v>
      </c>
      <c r="J28" s="16" t="e">
        <f t="shared" si="6"/>
        <v>#DIV/0!</v>
      </c>
      <c r="K28" s="16" t="e">
        <f t="shared" si="6"/>
        <v>#DIV/0!</v>
      </c>
      <c r="L28" s="16" t="e">
        <f t="shared" si="6"/>
        <v>#DIV/0!</v>
      </c>
      <c r="M28" s="16" t="e">
        <f t="shared" si="6"/>
        <v>#DIV/0!</v>
      </c>
      <c r="N28" s="16" t="e">
        <f t="shared" si="6"/>
        <v>#DIV/0!</v>
      </c>
      <c r="O28" s="16" t="e">
        <f t="shared" si="6"/>
        <v>#DIV/0!</v>
      </c>
      <c r="Q28" s="5" t="s">
        <v>28</v>
      </c>
      <c r="R28" s="16">
        <f t="shared" si="7"/>
        <v>8.3089252014657156E-3</v>
      </c>
      <c r="S28" s="16">
        <f t="shared" si="7"/>
        <v>8.8955558320245778E-2</v>
      </c>
      <c r="T28" s="16">
        <f t="shared" si="7"/>
        <v>0.23942367563988615</v>
      </c>
      <c r="U28" s="16">
        <f t="shared" si="7"/>
        <v>0.12570385740914608</v>
      </c>
      <c r="V28" s="16">
        <f t="shared" si="7"/>
        <v>6.0249873146458077E-2</v>
      </c>
      <c r="W28" s="16">
        <f t="shared" si="7"/>
        <v>0.52264188971720182</v>
      </c>
    </row>
    <row r="29" spans="1:39" ht="15.75" customHeight="1" thickBot="1" x14ac:dyDescent="0.3">
      <c r="A29" s="7" t="s">
        <v>10</v>
      </c>
      <c r="B29" s="17">
        <f t="shared" si="5"/>
        <v>8.3353359598953805E-2</v>
      </c>
      <c r="C29" s="17">
        <f t="shared" si="5"/>
        <v>0.33162451611613547</v>
      </c>
      <c r="D29" s="17">
        <f t="shared" si="5"/>
        <v>0.37583873978372057</v>
      </c>
      <c r="E29" s="17">
        <f t="shared" si="5"/>
        <v>0.13016987169588931</v>
      </c>
      <c r="F29" s="17">
        <f t="shared" si="5"/>
        <v>7.9013512805300862E-2</v>
      </c>
      <c r="G29" s="17">
        <f t="shared" si="5"/>
        <v>1</v>
      </c>
      <c r="I29" s="7" t="s">
        <v>10</v>
      </c>
      <c r="J29" s="17" t="e">
        <f t="shared" si="6"/>
        <v>#DIV/0!</v>
      </c>
      <c r="K29" s="17" t="e">
        <f t="shared" si="6"/>
        <v>#DIV/0!</v>
      </c>
      <c r="L29" s="17" t="e">
        <f t="shared" si="6"/>
        <v>#DIV/0!</v>
      </c>
      <c r="M29" s="17" t="e">
        <f t="shared" si="6"/>
        <v>#DIV/0!</v>
      </c>
      <c r="N29" s="17" t="e">
        <f t="shared" si="6"/>
        <v>#DIV/0!</v>
      </c>
      <c r="O29" s="17" t="e">
        <f t="shared" si="6"/>
        <v>#DIV/0!</v>
      </c>
      <c r="Q29" s="7" t="s">
        <v>10</v>
      </c>
      <c r="R29" s="17">
        <f t="shared" si="7"/>
        <v>5.3870385597827281E-2</v>
      </c>
      <c r="S29" s="17">
        <f t="shared" si="7"/>
        <v>0.28834564728950218</v>
      </c>
      <c r="T29" s="17">
        <f t="shared" si="7"/>
        <v>0.40077852374014372</v>
      </c>
      <c r="U29" s="17">
        <f t="shared" si="7"/>
        <v>0.17747317203769122</v>
      </c>
      <c r="V29" s="17">
        <f t="shared" si="7"/>
        <v>7.9532271334835633E-2</v>
      </c>
      <c r="W29" s="17">
        <f t="shared" si="7"/>
        <v>1</v>
      </c>
    </row>
    <row r="32" spans="1:39" ht="15.75" customHeight="1" thickBot="1" x14ac:dyDescent="0.3">
      <c r="Q32" s="12"/>
      <c r="R32" s="10" t="s">
        <v>7</v>
      </c>
      <c r="S32" s="9"/>
      <c r="T32" s="9"/>
      <c r="U32" s="9"/>
      <c r="V32" s="9"/>
      <c r="W32" s="9"/>
    </row>
    <row r="33" spans="17:23" x14ac:dyDescent="0.25">
      <c r="Q33" s="11" t="s">
        <v>24</v>
      </c>
      <c r="R33" s="2">
        <v>0</v>
      </c>
      <c r="S33" s="2">
        <v>1</v>
      </c>
      <c r="T33" s="2">
        <v>2</v>
      </c>
      <c r="U33" s="2">
        <v>3</v>
      </c>
      <c r="V33" s="2" t="s">
        <v>9</v>
      </c>
      <c r="W33" s="2" t="s">
        <v>10</v>
      </c>
    </row>
    <row r="34" spans="17:23" x14ac:dyDescent="0.25">
      <c r="Q34" s="3" t="s">
        <v>25</v>
      </c>
      <c r="R34" s="15" t="e">
        <f t="shared" ref="R34:W38" si="8">R25-J25</f>
        <v>#DIV/0!</v>
      </c>
      <c r="S34" s="15" t="e">
        <f t="shared" si="8"/>
        <v>#DIV/0!</v>
      </c>
      <c r="T34" s="15" t="e">
        <f t="shared" si="8"/>
        <v>#DIV/0!</v>
      </c>
      <c r="U34" s="15" t="e">
        <f t="shared" si="8"/>
        <v>#DIV/0!</v>
      </c>
      <c r="V34" s="15" t="e">
        <f t="shared" si="8"/>
        <v>#DIV/0!</v>
      </c>
      <c r="W34" s="15" t="e">
        <f t="shared" si="8"/>
        <v>#DIV/0!</v>
      </c>
    </row>
    <row r="35" spans="17:23" x14ac:dyDescent="0.25">
      <c r="Q35" s="3" t="s">
        <v>26</v>
      </c>
      <c r="R35" s="15" t="e">
        <f t="shared" si="8"/>
        <v>#DIV/0!</v>
      </c>
      <c r="S35" s="15" t="e">
        <f t="shared" si="8"/>
        <v>#DIV/0!</v>
      </c>
      <c r="T35" s="15" t="e">
        <f t="shared" si="8"/>
        <v>#DIV/0!</v>
      </c>
      <c r="U35" s="15" t="e">
        <f t="shared" si="8"/>
        <v>#DIV/0!</v>
      </c>
      <c r="V35" s="15" t="e">
        <f t="shared" si="8"/>
        <v>#DIV/0!</v>
      </c>
      <c r="W35" s="15" t="e">
        <f t="shared" si="8"/>
        <v>#DIV/0!</v>
      </c>
    </row>
    <row r="36" spans="17:23" x14ac:dyDescent="0.25">
      <c r="Q36" s="3" t="s">
        <v>27</v>
      </c>
      <c r="R36" s="15" t="e">
        <f t="shared" si="8"/>
        <v>#DIV/0!</v>
      </c>
      <c r="S36" s="15" t="e">
        <f t="shared" si="8"/>
        <v>#DIV/0!</v>
      </c>
      <c r="T36" s="15" t="e">
        <f t="shared" si="8"/>
        <v>#DIV/0!</v>
      </c>
      <c r="U36" s="15" t="e">
        <f t="shared" si="8"/>
        <v>#DIV/0!</v>
      </c>
      <c r="V36" s="15" t="e">
        <f t="shared" si="8"/>
        <v>#DIV/0!</v>
      </c>
      <c r="W36" s="15" t="e">
        <f t="shared" si="8"/>
        <v>#DIV/0!</v>
      </c>
    </row>
    <row r="37" spans="17:23" x14ac:dyDescent="0.25">
      <c r="Q37" s="5" t="s">
        <v>28</v>
      </c>
      <c r="R37" s="16" t="e">
        <f t="shared" si="8"/>
        <v>#DIV/0!</v>
      </c>
      <c r="S37" s="16" t="e">
        <f t="shared" si="8"/>
        <v>#DIV/0!</v>
      </c>
      <c r="T37" s="16" t="e">
        <f t="shared" si="8"/>
        <v>#DIV/0!</v>
      </c>
      <c r="U37" s="16" t="e">
        <f t="shared" si="8"/>
        <v>#DIV/0!</v>
      </c>
      <c r="V37" s="16" t="e">
        <f t="shared" si="8"/>
        <v>#DIV/0!</v>
      </c>
      <c r="W37" s="16" t="e">
        <f t="shared" si="8"/>
        <v>#DIV/0!</v>
      </c>
    </row>
    <row r="38" spans="17:23" ht="15.75" customHeight="1" thickBot="1" x14ac:dyDescent="0.3">
      <c r="Q38" s="7" t="s">
        <v>10</v>
      </c>
      <c r="R38" s="17" t="e">
        <f t="shared" si="8"/>
        <v>#DIV/0!</v>
      </c>
      <c r="S38" s="17" t="e">
        <f t="shared" si="8"/>
        <v>#DIV/0!</v>
      </c>
      <c r="T38" s="17" t="e">
        <f t="shared" si="8"/>
        <v>#DIV/0!</v>
      </c>
      <c r="U38" s="17" t="e">
        <f t="shared" si="8"/>
        <v>#DIV/0!</v>
      </c>
      <c r="V38" s="17" t="e">
        <f t="shared" si="8"/>
        <v>#DIV/0!</v>
      </c>
      <c r="W38" s="17" t="e">
        <f t="shared" si="8"/>
        <v>#DIV/0!</v>
      </c>
    </row>
  </sheetData>
  <pageMargins left="0.7" right="0.7" top="0.75" bottom="0.75" header="0.3" footer="0.3"/>
  <pageSetup orientation="portrait" horizontalDpi="4294967293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M38"/>
  <sheetViews>
    <sheetView workbookViewId="0">
      <selection activeCell="M18" sqref="M18"/>
    </sheetView>
  </sheetViews>
  <sheetFormatPr defaultRowHeight="15" x14ac:dyDescent="0.25"/>
  <cols>
    <col min="1" max="23" width="9.28515625" customWidth="1" collapsed="1"/>
  </cols>
  <sheetData>
    <row r="1" spans="1:39" ht="21" customHeight="1" x14ac:dyDescent="0.35">
      <c r="A1" s="13" t="s">
        <v>0</v>
      </c>
      <c r="I1" s="13" t="s">
        <v>1</v>
      </c>
      <c r="Q1" s="13" t="s">
        <v>2</v>
      </c>
    </row>
    <row r="2" spans="1:39" x14ac:dyDescent="0.25">
      <c r="A2" s="1"/>
      <c r="I2" s="1" t="s">
        <v>3</v>
      </c>
      <c r="Q2" s="1"/>
    </row>
    <row r="3" spans="1:39" x14ac:dyDescent="0.25">
      <c r="A3" s="1" t="s">
        <v>31</v>
      </c>
      <c r="I3" s="1" t="s">
        <v>31</v>
      </c>
      <c r="Q3" s="1" t="s">
        <v>31</v>
      </c>
    </row>
    <row r="4" spans="1:39" ht="15.75" customHeight="1" thickBot="1" x14ac:dyDescent="0.3">
      <c r="A4" s="12"/>
      <c r="B4" s="10" t="s">
        <v>7</v>
      </c>
      <c r="C4" s="9"/>
      <c r="D4" s="9"/>
      <c r="E4" s="9"/>
      <c r="F4" s="9"/>
      <c r="G4" s="9"/>
      <c r="I4" s="12"/>
      <c r="J4" s="10" t="s">
        <v>7</v>
      </c>
      <c r="K4" s="9"/>
      <c r="L4" s="9"/>
      <c r="M4" s="9"/>
      <c r="N4" s="9"/>
      <c r="O4" s="9"/>
      <c r="Q4" s="12"/>
      <c r="R4" s="10" t="s">
        <v>7</v>
      </c>
      <c r="S4" s="9"/>
      <c r="T4" s="9"/>
      <c r="U4" s="9"/>
      <c r="V4" s="9"/>
      <c r="W4" s="9"/>
    </row>
    <row r="5" spans="1:39" x14ac:dyDescent="0.25">
      <c r="A5" s="11" t="s">
        <v>32</v>
      </c>
      <c r="B5" s="2">
        <v>0</v>
      </c>
      <c r="C5" s="2">
        <v>1</v>
      </c>
      <c r="D5" s="2">
        <v>2</v>
      </c>
      <c r="E5" s="2">
        <v>3</v>
      </c>
      <c r="F5" s="2" t="s">
        <v>9</v>
      </c>
      <c r="G5" s="2" t="s">
        <v>10</v>
      </c>
      <c r="I5" s="11" t="s">
        <v>32</v>
      </c>
      <c r="J5" s="2">
        <v>0</v>
      </c>
      <c r="K5" s="2">
        <v>1</v>
      </c>
      <c r="L5" s="2">
        <v>2</v>
      </c>
      <c r="M5" s="2">
        <v>3</v>
      </c>
      <c r="N5" s="2" t="s">
        <v>9</v>
      </c>
      <c r="O5" s="2" t="s">
        <v>10</v>
      </c>
      <c r="Q5" s="11" t="s">
        <v>32</v>
      </c>
      <c r="R5" s="2">
        <v>0</v>
      </c>
      <c r="S5" s="2">
        <v>1</v>
      </c>
      <c r="T5" s="2">
        <v>2</v>
      </c>
      <c r="U5" s="2">
        <v>3</v>
      </c>
      <c r="V5" s="2" t="s">
        <v>9</v>
      </c>
      <c r="W5" s="2" t="s">
        <v>10</v>
      </c>
    </row>
    <row r="6" spans="1:39" x14ac:dyDescent="0.25">
      <c r="A6" s="3">
        <v>1</v>
      </c>
      <c r="B6" s="4">
        <v>125847.9117905818</v>
      </c>
      <c r="C6" s="4">
        <v>366551.03684456489</v>
      </c>
      <c r="D6" s="4">
        <v>66642.374808955763</v>
      </c>
      <c r="E6" s="4">
        <v>25659.54354371153</v>
      </c>
      <c r="F6" s="4">
        <v>7388.1265489662237</v>
      </c>
      <c r="G6" s="4">
        <f>SUM(B6:F6)</f>
        <v>592088.99353678024</v>
      </c>
      <c r="I6" s="3">
        <v>1</v>
      </c>
      <c r="O6" s="4"/>
      <c r="Q6" s="3">
        <v>1</v>
      </c>
      <c r="R6" s="18">
        <v>55290.787038572307</v>
      </c>
      <c r="S6" s="18">
        <v>269163.70541003748</v>
      </c>
      <c r="T6" s="18">
        <v>36258.394088157947</v>
      </c>
      <c r="U6" s="18">
        <v>8128.2049888419997</v>
      </c>
      <c r="V6" s="18">
        <v>3607.716435081205</v>
      </c>
      <c r="W6" s="4">
        <f>SUM(R6:V6)</f>
        <v>372448.80796069093</v>
      </c>
    </row>
    <row r="7" spans="1:39" x14ac:dyDescent="0.25">
      <c r="A7" s="3">
        <v>2</v>
      </c>
      <c r="B7" s="4">
        <v>16746.165873865099</v>
      </c>
      <c r="C7" s="4">
        <v>183105.2736671319</v>
      </c>
      <c r="D7" s="4">
        <v>496681.43351795408</v>
      </c>
      <c r="E7" s="4">
        <v>112169.15418535761</v>
      </c>
      <c r="F7" s="4">
        <v>62666.500591188204</v>
      </c>
      <c r="G7" s="4">
        <f>SUM(B7:F7)</f>
        <v>871368.52783549693</v>
      </c>
      <c r="I7" s="3">
        <v>2</v>
      </c>
      <c r="O7" s="4"/>
      <c r="Q7" s="3">
        <v>2</v>
      </c>
      <c r="R7" s="18">
        <v>17238.794911873971</v>
      </c>
      <c r="S7" s="18">
        <v>121100.383919557</v>
      </c>
      <c r="T7" s="18">
        <v>423327.33776450978</v>
      </c>
      <c r="U7" s="18">
        <v>120365.16239520079</v>
      </c>
      <c r="V7" s="18">
        <v>39467.889752267372</v>
      </c>
      <c r="W7" s="4">
        <f>SUM(R7:V7)</f>
        <v>721499.56874340901</v>
      </c>
    </row>
    <row r="8" spans="1:39" x14ac:dyDescent="0.25">
      <c r="A8" s="3">
        <v>3</v>
      </c>
      <c r="B8" s="4">
        <v>1521.7621694728859</v>
      </c>
      <c r="C8" s="4">
        <v>12619.945745370291</v>
      </c>
      <c r="D8" s="4">
        <v>74139.456753865583</v>
      </c>
      <c r="E8" s="4">
        <v>60279.617221340377</v>
      </c>
      <c r="F8" s="4">
        <v>29425.791054644211</v>
      </c>
      <c r="G8" s="4">
        <f>SUM(B8:F8)</f>
        <v>177986.57294469335</v>
      </c>
      <c r="I8" s="3">
        <v>3</v>
      </c>
      <c r="O8" s="4"/>
      <c r="Q8" s="3">
        <v>3</v>
      </c>
      <c r="R8" s="18">
        <v>3567.1431222101301</v>
      </c>
      <c r="S8" s="18">
        <v>17134.400392019059</v>
      </c>
      <c r="T8" s="18">
        <v>81089.605195510027</v>
      </c>
      <c r="U8" s="18">
        <v>81341.068144698715</v>
      </c>
      <c r="V8" s="18">
        <v>28787.985238169491</v>
      </c>
      <c r="W8" s="4">
        <f>SUM(R8:V8)</f>
        <v>211920.20209260742</v>
      </c>
    </row>
    <row r="9" spans="1:39" x14ac:dyDescent="0.25">
      <c r="A9" s="5" t="s">
        <v>9</v>
      </c>
      <c r="B9" s="4">
        <v>0</v>
      </c>
      <c r="C9" s="4">
        <v>7853.5128789956898</v>
      </c>
      <c r="D9" s="4">
        <v>13156.271229912831</v>
      </c>
      <c r="E9" s="4">
        <v>27423.541103822139</v>
      </c>
      <c r="F9" s="4">
        <v>37418.112657076308</v>
      </c>
      <c r="G9" s="6">
        <f>SUM(B9:F9)</f>
        <v>85851.437869806978</v>
      </c>
      <c r="I9" s="5" t="s">
        <v>9</v>
      </c>
      <c r="J9" s="19"/>
      <c r="K9" s="19"/>
      <c r="L9" s="19"/>
      <c r="M9" s="19"/>
      <c r="N9" s="19"/>
      <c r="O9" s="6"/>
      <c r="Q9" s="5" t="s">
        <v>9</v>
      </c>
      <c r="R9" s="18">
        <v>548.88093582753436</v>
      </c>
      <c r="S9" s="18">
        <v>2865.055580404678</v>
      </c>
      <c r="T9" s="18">
        <v>29538.977701883359</v>
      </c>
      <c r="U9" s="18">
        <v>42673.7265451567</v>
      </c>
      <c r="V9" s="18">
        <v>41294.731356964578</v>
      </c>
      <c r="W9" s="6">
        <f>SUM(R9:V9)</f>
        <v>116921.37212023685</v>
      </c>
    </row>
    <row r="10" spans="1:39" ht="15.75" customHeight="1" thickBot="1" x14ac:dyDescent="0.3">
      <c r="A10" s="7" t="s">
        <v>10</v>
      </c>
      <c r="B10" s="8">
        <f>SUM(B6:B9)</f>
        <v>144115.83983391977</v>
      </c>
      <c r="C10" s="8">
        <f>SUM(C6:C9)</f>
        <v>570129.76913606282</v>
      </c>
      <c r="D10" s="8">
        <f>SUM(D6:D9)</f>
        <v>650619.53631068824</v>
      </c>
      <c r="E10" s="8">
        <f>SUM(E6:E9)</f>
        <v>225531.85605423167</v>
      </c>
      <c r="F10" s="8">
        <f>SUM(F6:F9)</f>
        <v>136898.53085187494</v>
      </c>
      <c r="G10" s="8">
        <f>SUM(B10:F10)</f>
        <v>1727295.5321867776</v>
      </c>
      <c r="I10" s="7" t="s">
        <v>10</v>
      </c>
      <c r="J10" s="8"/>
      <c r="K10" s="8"/>
      <c r="L10" s="8"/>
      <c r="M10" s="8"/>
      <c r="N10" s="8"/>
      <c r="O10" s="8"/>
      <c r="Q10" s="7" t="s">
        <v>10</v>
      </c>
      <c r="R10" s="8">
        <f>SUM(R6:R9)</f>
        <v>76645.606008483926</v>
      </c>
      <c r="S10" s="8">
        <f>SUM(S6:S9)</f>
        <v>410263.54530201829</v>
      </c>
      <c r="T10" s="8">
        <f>SUM(T6:T9)</f>
        <v>570214.31475006125</v>
      </c>
      <c r="U10" s="8">
        <f>SUM(U6:U9)</f>
        <v>252508.16207389822</v>
      </c>
      <c r="V10" s="8">
        <f>SUM(V6:V9)</f>
        <v>113158.32278248265</v>
      </c>
      <c r="W10" s="8">
        <f>SUM(R10:V10)</f>
        <v>1422789.9509169443</v>
      </c>
    </row>
    <row r="11" spans="1:39" x14ac:dyDescent="0.25">
      <c r="A11" s="3"/>
      <c r="B11" s="4"/>
      <c r="C11" s="4"/>
      <c r="D11" s="4"/>
      <c r="E11" s="4"/>
      <c r="F11" s="4"/>
      <c r="G11" s="4"/>
      <c r="I11" s="3"/>
      <c r="J11" s="4"/>
      <c r="K11" s="4"/>
      <c r="L11" s="4"/>
      <c r="M11" s="4"/>
      <c r="N11" s="4"/>
      <c r="O11" s="4"/>
      <c r="Q11" s="3"/>
      <c r="R11" s="4"/>
      <c r="S11" s="4"/>
      <c r="T11" s="4"/>
      <c r="U11" s="4"/>
      <c r="V11" s="4"/>
      <c r="W11" s="4"/>
    </row>
    <row r="12" spans="1:39" x14ac:dyDescent="0.25">
      <c r="A12" s="3"/>
      <c r="B12" s="4"/>
      <c r="C12" s="4"/>
      <c r="D12" s="4"/>
      <c r="E12" s="4"/>
      <c r="F12" s="4"/>
      <c r="G12" s="4"/>
      <c r="I12" s="3"/>
      <c r="J12" s="4"/>
      <c r="K12" s="4"/>
      <c r="L12" s="4"/>
      <c r="M12" s="4"/>
      <c r="N12" s="4"/>
      <c r="O12" s="4"/>
      <c r="Q12" s="3"/>
      <c r="R12" s="4"/>
      <c r="S12" s="4"/>
      <c r="T12" s="4"/>
      <c r="U12" s="4"/>
      <c r="V12" s="4"/>
      <c r="W12" s="4"/>
    </row>
    <row r="13" spans="1:39" x14ac:dyDescent="0.25">
      <c r="A13" s="1" t="s">
        <v>31</v>
      </c>
      <c r="I13" s="1" t="s">
        <v>31</v>
      </c>
      <c r="Q13" s="1" t="s">
        <v>31</v>
      </c>
      <c r="Y13" s="1" t="s">
        <v>33</v>
      </c>
      <c r="AG13" s="1" t="s">
        <v>34</v>
      </c>
    </row>
    <row r="14" spans="1:39" ht="15.75" customHeight="1" thickBot="1" x14ac:dyDescent="0.3">
      <c r="A14" s="12"/>
      <c r="B14" s="10" t="s">
        <v>7</v>
      </c>
      <c r="C14" s="9"/>
      <c r="D14" s="9"/>
      <c r="E14" s="9"/>
      <c r="F14" s="9"/>
      <c r="G14" s="9"/>
      <c r="I14" s="12"/>
      <c r="J14" s="10" t="s">
        <v>7</v>
      </c>
      <c r="K14" s="9"/>
      <c r="L14" s="9"/>
      <c r="M14" s="9"/>
      <c r="N14" s="9"/>
      <c r="O14" s="9"/>
      <c r="Q14" s="12"/>
      <c r="R14" s="10" t="s">
        <v>7</v>
      </c>
      <c r="S14" s="9"/>
      <c r="T14" s="9"/>
      <c r="U14" s="9"/>
      <c r="V14" s="9"/>
      <c r="W14" s="9"/>
      <c r="Y14" s="12"/>
      <c r="Z14" s="10" t="s">
        <v>7</v>
      </c>
      <c r="AA14" s="9"/>
      <c r="AB14" s="9"/>
      <c r="AC14" s="9"/>
      <c r="AD14" s="9"/>
      <c r="AE14" s="9"/>
      <c r="AG14" s="12"/>
      <c r="AH14" s="10" t="s">
        <v>7</v>
      </c>
      <c r="AI14" s="9"/>
      <c r="AJ14" s="9"/>
      <c r="AK14" s="9"/>
      <c r="AL14" s="9"/>
      <c r="AM14" s="9"/>
    </row>
    <row r="15" spans="1:39" x14ac:dyDescent="0.25">
      <c r="A15" s="11" t="s">
        <v>32</v>
      </c>
      <c r="B15" s="2">
        <v>0</v>
      </c>
      <c r="C15" s="2">
        <v>1</v>
      </c>
      <c r="D15" s="2">
        <v>2</v>
      </c>
      <c r="E15" s="2">
        <v>3</v>
      </c>
      <c r="F15" s="2" t="s">
        <v>9</v>
      </c>
      <c r="G15" s="2" t="s">
        <v>10</v>
      </c>
      <c r="I15" s="11" t="s">
        <v>32</v>
      </c>
      <c r="J15" s="2">
        <v>0</v>
      </c>
      <c r="K15" s="2">
        <v>1</v>
      </c>
      <c r="L15" s="2">
        <v>2</v>
      </c>
      <c r="M15" s="2">
        <v>3</v>
      </c>
      <c r="N15" s="2" t="s">
        <v>9</v>
      </c>
      <c r="O15" s="2" t="s">
        <v>10</v>
      </c>
      <c r="Q15" s="11" t="s">
        <v>32</v>
      </c>
      <c r="R15" s="2">
        <v>0</v>
      </c>
      <c r="S15" s="2">
        <v>1</v>
      </c>
      <c r="T15" s="2">
        <v>2</v>
      </c>
      <c r="U15" s="2">
        <v>3</v>
      </c>
      <c r="V15" s="2" t="s">
        <v>9</v>
      </c>
      <c r="W15" s="2" t="s">
        <v>10</v>
      </c>
      <c r="Y15" s="11" t="s">
        <v>32</v>
      </c>
      <c r="Z15" s="2">
        <v>0</v>
      </c>
      <c r="AA15" s="2">
        <v>1</v>
      </c>
      <c r="AB15" s="2">
        <v>2</v>
      </c>
      <c r="AC15" s="2">
        <v>3</v>
      </c>
      <c r="AD15" s="2" t="s">
        <v>9</v>
      </c>
      <c r="AE15" s="2" t="s">
        <v>10</v>
      </c>
      <c r="AG15" s="11" t="s">
        <v>32</v>
      </c>
      <c r="AH15" s="2">
        <v>0</v>
      </c>
      <c r="AI15" s="2">
        <v>1</v>
      </c>
      <c r="AJ15" s="2">
        <v>2</v>
      </c>
      <c r="AK15" s="2">
        <v>3</v>
      </c>
      <c r="AL15" s="2" t="s">
        <v>9</v>
      </c>
      <c r="AM15" s="2" t="s">
        <v>10</v>
      </c>
    </row>
    <row r="16" spans="1:39" x14ac:dyDescent="0.25">
      <c r="A16" s="3">
        <v>1</v>
      </c>
      <c r="B16" s="4">
        <f t="shared" ref="B16:G19" si="0">($W6/$G6)*B6</f>
        <v>79163.614325542614</v>
      </c>
      <c r="C16" s="4">
        <f t="shared" si="0"/>
        <v>230575.97459128051</v>
      </c>
      <c r="D16" s="4">
        <f t="shared" si="0"/>
        <v>41920.848602505379</v>
      </c>
      <c r="E16" s="4">
        <f t="shared" si="0"/>
        <v>16140.928998838304</v>
      </c>
      <c r="F16" s="4">
        <f t="shared" si="0"/>
        <v>4647.4414425240775</v>
      </c>
      <c r="G16" s="4">
        <f t="shared" si="0"/>
        <v>372448.80796069087</v>
      </c>
      <c r="I16" s="3">
        <v>1</v>
      </c>
      <c r="J16" s="4" t="e">
        <f t="shared" ref="J16:O20" si="1">($W6/$O6)*J6</f>
        <v>#DIV/0!</v>
      </c>
      <c r="K16" s="4" t="e">
        <f t="shared" si="1"/>
        <v>#DIV/0!</v>
      </c>
      <c r="L16" s="4" t="e">
        <f t="shared" si="1"/>
        <v>#DIV/0!</v>
      </c>
      <c r="M16" s="4" t="e">
        <f t="shared" si="1"/>
        <v>#DIV/0!</v>
      </c>
      <c r="N16" s="4" t="e">
        <f t="shared" si="1"/>
        <v>#DIV/0!</v>
      </c>
      <c r="O16" s="4" t="e">
        <f t="shared" si="1"/>
        <v>#DIV/0!</v>
      </c>
      <c r="Q16" s="3">
        <v>1</v>
      </c>
      <c r="R16" s="4">
        <f t="shared" ref="R16:V19" si="2">R6</f>
        <v>55290.787038572307</v>
      </c>
      <c r="S16" s="4">
        <f t="shared" si="2"/>
        <v>269163.70541003748</v>
      </c>
      <c r="T16" s="4">
        <f t="shared" si="2"/>
        <v>36258.394088157947</v>
      </c>
      <c r="U16" s="4">
        <f t="shared" si="2"/>
        <v>8128.2049888419997</v>
      </c>
      <c r="V16" s="4">
        <f t="shared" si="2"/>
        <v>3607.716435081205</v>
      </c>
      <c r="W16" s="4">
        <f>SUM(R16:V16)</f>
        <v>372448.80796069093</v>
      </c>
      <c r="Y16" s="3">
        <v>1</v>
      </c>
      <c r="Z16" s="4" t="e">
        <f t="shared" ref="Z16:AE20" si="3">R16-J16</f>
        <v>#DIV/0!</v>
      </c>
      <c r="AA16" s="4" t="e">
        <f t="shared" si="3"/>
        <v>#DIV/0!</v>
      </c>
      <c r="AB16" s="4" t="e">
        <f t="shared" si="3"/>
        <v>#DIV/0!</v>
      </c>
      <c r="AC16" s="4" t="e">
        <f t="shared" si="3"/>
        <v>#DIV/0!</v>
      </c>
      <c r="AD16" s="4" t="e">
        <f t="shared" si="3"/>
        <v>#DIV/0!</v>
      </c>
      <c r="AE16" s="4" t="e">
        <f t="shared" si="3"/>
        <v>#DIV/0!</v>
      </c>
      <c r="AG16" s="3">
        <v>1</v>
      </c>
      <c r="AH16" s="15" t="e">
        <f t="shared" ref="AH16:AM20" si="4">Z16/J16</f>
        <v>#DIV/0!</v>
      </c>
      <c r="AI16" s="15" t="e">
        <f t="shared" si="4"/>
        <v>#DIV/0!</v>
      </c>
      <c r="AJ16" s="15" t="e">
        <f t="shared" si="4"/>
        <v>#DIV/0!</v>
      </c>
      <c r="AK16" s="15" t="e">
        <f t="shared" si="4"/>
        <v>#DIV/0!</v>
      </c>
      <c r="AL16" s="15" t="e">
        <f t="shared" si="4"/>
        <v>#DIV/0!</v>
      </c>
      <c r="AM16" s="15" t="e">
        <f t="shared" si="4"/>
        <v>#DIV/0!</v>
      </c>
    </row>
    <row r="17" spans="1:39" x14ac:dyDescent="0.25">
      <c r="A17" s="3">
        <v>2</v>
      </c>
      <c r="B17" s="4">
        <f t="shared" si="0"/>
        <v>13865.948872530606</v>
      </c>
      <c r="C17" s="4">
        <f t="shared" si="0"/>
        <v>151612.51728203372</v>
      </c>
      <c r="D17" s="4">
        <f t="shared" si="0"/>
        <v>411255.89074949344</v>
      </c>
      <c r="E17" s="4">
        <f t="shared" si="0"/>
        <v>92876.887087121184</v>
      </c>
      <c r="F17" s="4">
        <f t="shared" si="0"/>
        <v>51888.324752230052</v>
      </c>
      <c r="G17" s="4">
        <f t="shared" si="0"/>
        <v>721499.56874340901</v>
      </c>
      <c r="I17" s="3">
        <v>2</v>
      </c>
      <c r="J17" s="4" t="e">
        <f t="shared" si="1"/>
        <v>#DIV/0!</v>
      </c>
      <c r="K17" s="4" t="e">
        <f t="shared" si="1"/>
        <v>#DIV/0!</v>
      </c>
      <c r="L17" s="4" t="e">
        <f t="shared" si="1"/>
        <v>#DIV/0!</v>
      </c>
      <c r="M17" s="4" t="e">
        <f t="shared" si="1"/>
        <v>#DIV/0!</v>
      </c>
      <c r="N17" s="4" t="e">
        <f t="shared" si="1"/>
        <v>#DIV/0!</v>
      </c>
      <c r="O17" s="4" t="e">
        <f t="shared" si="1"/>
        <v>#DIV/0!</v>
      </c>
      <c r="Q17" s="3">
        <v>2</v>
      </c>
      <c r="R17" s="4">
        <f t="shared" si="2"/>
        <v>17238.794911873971</v>
      </c>
      <c r="S17" s="4">
        <f t="shared" si="2"/>
        <v>121100.383919557</v>
      </c>
      <c r="T17" s="4">
        <f t="shared" si="2"/>
        <v>423327.33776450978</v>
      </c>
      <c r="U17" s="4">
        <f t="shared" si="2"/>
        <v>120365.16239520079</v>
      </c>
      <c r="V17" s="4">
        <f t="shared" si="2"/>
        <v>39467.889752267372</v>
      </c>
      <c r="W17" s="4">
        <f>SUM(R17:V17)</f>
        <v>721499.56874340901</v>
      </c>
      <c r="Y17" s="3">
        <v>2</v>
      </c>
      <c r="Z17" s="4" t="e">
        <f t="shared" si="3"/>
        <v>#DIV/0!</v>
      </c>
      <c r="AA17" s="4" t="e">
        <f t="shared" si="3"/>
        <v>#DIV/0!</v>
      </c>
      <c r="AB17" s="4" t="e">
        <f t="shared" si="3"/>
        <v>#DIV/0!</v>
      </c>
      <c r="AC17" s="4" t="e">
        <f t="shared" si="3"/>
        <v>#DIV/0!</v>
      </c>
      <c r="AD17" s="4" t="e">
        <f t="shared" si="3"/>
        <v>#DIV/0!</v>
      </c>
      <c r="AE17" s="4" t="e">
        <f t="shared" si="3"/>
        <v>#DIV/0!</v>
      </c>
      <c r="AG17" s="3">
        <v>2</v>
      </c>
      <c r="AH17" s="15" t="e">
        <f t="shared" si="4"/>
        <v>#DIV/0!</v>
      </c>
      <c r="AI17" s="15" t="e">
        <f t="shared" si="4"/>
        <v>#DIV/0!</v>
      </c>
      <c r="AJ17" s="15" t="e">
        <f t="shared" si="4"/>
        <v>#DIV/0!</v>
      </c>
      <c r="AK17" s="15" t="e">
        <f t="shared" si="4"/>
        <v>#DIV/0!</v>
      </c>
      <c r="AL17" s="15" t="e">
        <f t="shared" si="4"/>
        <v>#DIV/0!</v>
      </c>
      <c r="AM17" s="15" t="e">
        <f t="shared" si="4"/>
        <v>#DIV/0!</v>
      </c>
    </row>
    <row r="18" spans="1:39" x14ac:dyDescent="0.25">
      <c r="A18" s="3">
        <v>3</v>
      </c>
      <c r="B18" s="4">
        <f t="shared" si="0"/>
        <v>1811.8903081064898</v>
      </c>
      <c r="C18" s="4">
        <f t="shared" si="0"/>
        <v>15025.973074877109</v>
      </c>
      <c r="D18" s="4">
        <f t="shared" si="0"/>
        <v>88274.347881272362</v>
      </c>
      <c r="E18" s="4">
        <f t="shared" si="0"/>
        <v>71772.091862125715</v>
      </c>
      <c r="F18" s="4">
        <f t="shared" si="0"/>
        <v>35035.898966225715</v>
      </c>
      <c r="G18" s="4">
        <f t="shared" si="0"/>
        <v>211920.20209260739</v>
      </c>
      <c r="I18" s="3">
        <v>3</v>
      </c>
      <c r="J18" s="4" t="e">
        <f t="shared" si="1"/>
        <v>#DIV/0!</v>
      </c>
      <c r="K18" s="4" t="e">
        <f t="shared" si="1"/>
        <v>#DIV/0!</v>
      </c>
      <c r="L18" s="4" t="e">
        <f t="shared" si="1"/>
        <v>#DIV/0!</v>
      </c>
      <c r="M18" s="4" t="e">
        <f t="shared" si="1"/>
        <v>#DIV/0!</v>
      </c>
      <c r="N18" s="4" t="e">
        <f t="shared" si="1"/>
        <v>#DIV/0!</v>
      </c>
      <c r="O18" s="4" t="e">
        <f t="shared" si="1"/>
        <v>#DIV/0!</v>
      </c>
      <c r="Q18" s="3">
        <v>3</v>
      </c>
      <c r="R18" s="4">
        <f t="shared" si="2"/>
        <v>3567.1431222101301</v>
      </c>
      <c r="S18" s="4">
        <f t="shared" si="2"/>
        <v>17134.400392019059</v>
      </c>
      <c r="T18" s="4">
        <f t="shared" si="2"/>
        <v>81089.605195510027</v>
      </c>
      <c r="U18" s="4">
        <f t="shared" si="2"/>
        <v>81341.068144698715</v>
      </c>
      <c r="V18" s="4">
        <f t="shared" si="2"/>
        <v>28787.985238169491</v>
      </c>
      <c r="W18" s="4">
        <f>SUM(R18:V18)</f>
        <v>211920.20209260742</v>
      </c>
      <c r="Y18" s="3">
        <v>3</v>
      </c>
      <c r="Z18" s="4" t="e">
        <f t="shared" si="3"/>
        <v>#DIV/0!</v>
      </c>
      <c r="AA18" s="4" t="e">
        <f t="shared" si="3"/>
        <v>#DIV/0!</v>
      </c>
      <c r="AB18" s="4" t="e">
        <f t="shared" si="3"/>
        <v>#DIV/0!</v>
      </c>
      <c r="AC18" s="4" t="e">
        <f t="shared" si="3"/>
        <v>#DIV/0!</v>
      </c>
      <c r="AD18" s="4" t="e">
        <f t="shared" si="3"/>
        <v>#DIV/0!</v>
      </c>
      <c r="AE18" s="4" t="e">
        <f t="shared" si="3"/>
        <v>#DIV/0!</v>
      </c>
      <c r="AG18" s="3">
        <v>3</v>
      </c>
      <c r="AH18" s="15" t="e">
        <f t="shared" si="4"/>
        <v>#DIV/0!</v>
      </c>
      <c r="AI18" s="15" t="e">
        <f t="shared" si="4"/>
        <v>#DIV/0!</v>
      </c>
      <c r="AJ18" s="15" t="e">
        <f t="shared" si="4"/>
        <v>#DIV/0!</v>
      </c>
      <c r="AK18" s="15" t="e">
        <f t="shared" si="4"/>
        <v>#DIV/0!</v>
      </c>
      <c r="AL18" s="15" t="e">
        <f t="shared" si="4"/>
        <v>#DIV/0!</v>
      </c>
      <c r="AM18" s="15" t="e">
        <f t="shared" si="4"/>
        <v>#DIV/0!</v>
      </c>
    </row>
    <row r="19" spans="1:39" x14ac:dyDescent="0.25">
      <c r="A19" s="5" t="s">
        <v>9</v>
      </c>
      <c r="B19" s="4">
        <f t="shared" si="0"/>
        <v>0</v>
      </c>
      <c r="C19" s="4">
        <f t="shared" si="0"/>
        <v>10695.72653132073</v>
      </c>
      <c r="D19" s="4">
        <f t="shared" si="0"/>
        <v>17917.571590590564</v>
      </c>
      <c r="E19" s="4">
        <f t="shared" si="0"/>
        <v>37348.216102298444</v>
      </c>
      <c r="F19" s="4">
        <f t="shared" si="0"/>
        <v>50959.857896027104</v>
      </c>
      <c r="G19" s="6">
        <f t="shared" si="0"/>
        <v>116921.37212023686</v>
      </c>
      <c r="I19" s="5" t="s">
        <v>9</v>
      </c>
      <c r="J19" s="6" t="e">
        <f t="shared" si="1"/>
        <v>#DIV/0!</v>
      </c>
      <c r="K19" s="6" t="e">
        <f t="shared" si="1"/>
        <v>#DIV/0!</v>
      </c>
      <c r="L19" s="6" t="e">
        <f t="shared" si="1"/>
        <v>#DIV/0!</v>
      </c>
      <c r="M19" s="6" t="e">
        <f t="shared" si="1"/>
        <v>#DIV/0!</v>
      </c>
      <c r="N19" s="6" t="e">
        <f t="shared" si="1"/>
        <v>#DIV/0!</v>
      </c>
      <c r="O19" s="6" t="e">
        <f t="shared" si="1"/>
        <v>#DIV/0!</v>
      </c>
      <c r="Q19" s="5" t="s">
        <v>9</v>
      </c>
      <c r="R19" s="4">
        <f t="shared" si="2"/>
        <v>548.88093582753436</v>
      </c>
      <c r="S19" s="4">
        <f t="shared" si="2"/>
        <v>2865.055580404678</v>
      </c>
      <c r="T19" s="4">
        <f t="shared" si="2"/>
        <v>29538.977701883359</v>
      </c>
      <c r="U19" s="4">
        <f t="shared" si="2"/>
        <v>42673.7265451567</v>
      </c>
      <c r="V19" s="4">
        <f t="shared" si="2"/>
        <v>41294.731356964578</v>
      </c>
      <c r="W19" s="6">
        <f>SUM(R19:V19)</f>
        <v>116921.37212023685</v>
      </c>
      <c r="Y19" s="5" t="s">
        <v>9</v>
      </c>
      <c r="Z19" s="4" t="e">
        <f t="shared" si="3"/>
        <v>#DIV/0!</v>
      </c>
      <c r="AA19" s="4" t="e">
        <f t="shared" si="3"/>
        <v>#DIV/0!</v>
      </c>
      <c r="AB19" s="4" t="e">
        <f t="shared" si="3"/>
        <v>#DIV/0!</v>
      </c>
      <c r="AC19" s="4" t="e">
        <f t="shared" si="3"/>
        <v>#DIV/0!</v>
      </c>
      <c r="AD19" s="4" t="e">
        <f t="shared" si="3"/>
        <v>#DIV/0!</v>
      </c>
      <c r="AE19" s="6" t="e">
        <f t="shared" si="3"/>
        <v>#DIV/0!</v>
      </c>
      <c r="AG19" s="5" t="s">
        <v>9</v>
      </c>
      <c r="AH19" s="15" t="e">
        <f t="shared" si="4"/>
        <v>#DIV/0!</v>
      </c>
      <c r="AI19" s="15" t="e">
        <f t="shared" si="4"/>
        <v>#DIV/0!</v>
      </c>
      <c r="AJ19" s="15" t="e">
        <f t="shared" si="4"/>
        <v>#DIV/0!</v>
      </c>
      <c r="AK19" s="15" t="e">
        <f t="shared" si="4"/>
        <v>#DIV/0!</v>
      </c>
      <c r="AL19" s="15" t="e">
        <f t="shared" si="4"/>
        <v>#DIV/0!</v>
      </c>
      <c r="AM19" s="16" t="e">
        <f t="shared" si="4"/>
        <v>#DIV/0!</v>
      </c>
    </row>
    <row r="20" spans="1:39" ht="15.75" customHeight="1" thickBot="1" x14ac:dyDescent="0.3">
      <c r="A20" s="7" t="s">
        <v>10</v>
      </c>
      <c r="B20" s="8">
        <f t="shared" ref="B20:G20" si="5">SUM(B16:B19)</f>
        <v>94841.453506179707</v>
      </c>
      <c r="C20" s="8">
        <f t="shared" si="5"/>
        <v>407910.19147951208</v>
      </c>
      <c r="D20" s="8">
        <f t="shared" si="5"/>
        <v>559368.65882386174</v>
      </c>
      <c r="E20" s="8">
        <f t="shared" si="5"/>
        <v>218138.12405038366</v>
      </c>
      <c r="F20" s="8">
        <f t="shared" si="5"/>
        <v>142531.52305700694</v>
      </c>
      <c r="G20" s="8">
        <f t="shared" si="5"/>
        <v>1422789.9509169441</v>
      </c>
      <c r="I20" s="7" t="s">
        <v>10</v>
      </c>
      <c r="J20" s="8" t="e">
        <f t="shared" si="1"/>
        <v>#DIV/0!</v>
      </c>
      <c r="K20" s="8" t="e">
        <f t="shared" si="1"/>
        <v>#DIV/0!</v>
      </c>
      <c r="L20" s="8" t="e">
        <f t="shared" si="1"/>
        <v>#DIV/0!</v>
      </c>
      <c r="M20" s="8" t="e">
        <f t="shared" si="1"/>
        <v>#DIV/0!</v>
      </c>
      <c r="N20" s="8" t="e">
        <f t="shared" si="1"/>
        <v>#DIV/0!</v>
      </c>
      <c r="O20" s="8" t="e">
        <f t="shared" si="1"/>
        <v>#DIV/0!</v>
      </c>
      <c r="Q20" s="7" t="s">
        <v>10</v>
      </c>
      <c r="R20" s="8">
        <f>SUM(R16:R19)</f>
        <v>76645.606008483926</v>
      </c>
      <c r="S20" s="8">
        <f>SUM(S16:S19)</f>
        <v>410263.54530201829</v>
      </c>
      <c r="T20" s="8">
        <f>SUM(T16:T19)</f>
        <v>570214.31475006125</v>
      </c>
      <c r="U20" s="8">
        <f>SUM(U16:U19)</f>
        <v>252508.16207389822</v>
      </c>
      <c r="V20" s="8">
        <f>SUM(V16:V19)</f>
        <v>113158.32278248265</v>
      </c>
      <c r="W20" s="8">
        <f>SUM(R20:V20)</f>
        <v>1422789.9509169443</v>
      </c>
      <c r="Y20" s="7" t="s">
        <v>10</v>
      </c>
      <c r="Z20" s="8" t="e">
        <f t="shared" si="3"/>
        <v>#DIV/0!</v>
      </c>
      <c r="AA20" s="8" t="e">
        <f t="shared" si="3"/>
        <v>#DIV/0!</v>
      </c>
      <c r="AB20" s="8" t="e">
        <f t="shared" si="3"/>
        <v>#DIV/0!</v>
      </c>
      <c r="AC20" s="8" t="e">
        <f t="shared" si="3"/>
        <v>#DIV/0!</v>
      </c>
      <c r="AD20" s="8" t="e">
        <f t="shared" si="3"/>
        <v>#DIV/0!</v>
      </c>
      <c r="AE20" s="8" t="e">
        <f t="shared" si="3"/>
        <v>#DIV/0!</v>
      </c>
      <c r="AG20" s="7" t="s">
        <v>10</v>
      </c>
      <c r="AH20" s="17" t="e">
        <f t="shared" si="4"/>
        <v>#DIV/0!</v>
      </c>
      <c r="AI20" s="17" t="e">
        <f t="shared" si="4"/>
        <v>#DIV/0!</v>
      </c>
      <c r="AJ20" s="17" t="e">
        <f t="shared" si="4"/>
        <v>#DIV/0!</v>
      </c>
      <c r="AK20" s="17" t="e">
        <f t="shared" si="4"/>
        <v>#DIV/0!</v>
      </c>
      <c r="AL20" s="17" t="e">
        <f t="shared" si="4"/>
        <v>#DIV/0!</v>
      </c>
      <c r="AM20" s="17" t="e">
        <f t="shared" si="4"/>
        <v>#DIV/0!</v>
      </c>
    </row>
    <row r="21" spans="1:39" x14ac:dyDescent="0.25">
      <c r="A21" s="3"/>
      <c r="B21" s="4"/>
      <c r="C21" s="4"/>
      <c r="D21" s="4"/>
      <c r="E21" s="4"/>
      <c r="F21" s="4"/>
      <c r="G21" s="4"/>
      <c r="I21" s="3"/>
      <c r="J21" s="4"/>
      <c r="K21" s="4"/>
      <c r="L21" s="4"/>
      <c r="M21" s="4"/>
      <c r="N21" s="4"/>
      <c r="O21" s="4"/>
      <c r="Q21" s="3"/>
      <c r="R21" s="4"/>
      <c r="S21" s="4"/>
      <c r="T21" s="4"/>
      <c r="U21" s="4"/>
      <c r="V21" s="4"/>
      <c r="W21" s="4"/>
    </row>
    <row r="22" spans="1:39" x14ac:dyDescent="0.25">
      <c r="Q22" t="s">
        <v>35</v>
      </c>
    </row>
    <row r="23" spans="1:39" ht="15.75" customHeight="1" thickBot="1" x14ac:dyDescent="0.3">
      <c r="A23" s="12"/>
      <c r="B23" s="10" t="s">
        <v>7</v>
      </c>
      <c r="C23" s="9"/>
      <c r="D23" s="9"/>
      <c r="E23" s="9"/>
      <c r="F23" s="9"/>
      <c r="G23" s="9"/>
      <c r="I23" s="12"/>
      <c r="J23" s="10" t="s">
        <v>7</v>
      </c>
      <c r="K23" s="9"/>
      <c r="L23" s="9"/>
      <c r="M23" s="9"/>
      <c r="N23" s="9"/>
      <c r="O23" s="9"/>
      <c r="Q23" s="12"/>
      <c r="R23" s="10" t="s">
        <v>7</v>
      </c>
      <c r="S23" s="9"/>
      <c r="T23" s="9"/>
      <c r="U23" s="9"/>
      <c r="V23" s="9"/>
      <c r="W23" s="9"/>
    </row>
    <row r="24" spans="1:39" x14ac:dyDescent="0.25">
      <c r="A24" s="11" t="s">
        <v>32</v>
      </c>
      <c r="B24" s="2">
        <v>0</v>
      </c>
      <c r="C24" s="2">
        <v>1</v>
      </c>
      <c r="D24" s="2">
        <v>2</v>
      </c>
      <c r="E24" s="2">
        <v>3</v>
      </c>
      <c r="F24" s="2" t="s">
        <v>9</v>
      </c>
      <c r="G24" s="2" t="s">
        <v>10</v>
      </c>
      <c r="I24" s="11" t="s">
        <v>32</v>
      </c>
      <c r="J24" s="2">
        <v>0</v>
      </c>
      <c r="K24" s="2">
        <v>1</v>
      </c>
      <c r="L24" s="2">
        <v>2</v>
      </c>
      <c r="M24" s="2">
        <v>3</v>
      </c>
      <c r="N24" s="2" t="s">
        <v>9</v>
      </c>
      <c r="O24" s="2" t="s">
        <v>10</v>
      </c>
      <c r="Q24" s="11" t="s">
        <v>32</v>
      </c>
      <c r="R24" s="2">
        <v>0</v>
      </c>
      <c r="S24" s="2">
        <v>1</v>
      </c>
      <c r="T24" s="2">
        <v>2</v>
      </c>
      <c r="U24" s="2">
        <v>3</v>
      </c>
      <c r="V24" s="2" t="s">
        <v>9</v>
      </c>
      <c r="W24" s="2" t="s">
        <v>10</v>
      </c>
    </row>
    <row r="25" spans="1:39" x14ac:dyDescent="0.25">
      <c r="A25" s="3">
        <v>1</v>
      </c>
      <c r="B25" s="15">
        <f t="shared" ref="B25:G29" si="6">B16/$G$20</f>
        <v>5.5639705829046739E-2</v>
      </c>
      <c r="C25" s="15">
        <f t="shared" si="6"/>
        <v>0.1620590407197362</v>
      </c>
      <c r="D25" s="15">
        <f t="shared" si="6"/>
        <v>2.9463835175029658E-2</v>
      </c>
      <c r="E25" s="15">
        <f t="shared" si="6"/>
        <v>1.1344562131912709E-2</v>
      </c>
      <c r="F25" s="15">
        <f t="shared" si="6"/>
        <v>3.2664283575582929E-3</v>
      </c>
      <c r="G25" s="15">
        <f t="shared" si="6"/>
        <v>0.26177357221328357</v>
      </c>
      <c r="I25" s="3">
        <v>1</v>
      </c>
      <c r="J25" s="15" t="e">
        <f t="shared" ref="J25:O29" si="7">J16/$O$20</f>
        <v>#DIV/0!</v>
      </c>
      <c r="K25" s="15" t="e">
        <f t="shared" si="7"/>
        <v>#DIV/0!</v>
      </c>
      <c r="L25" s="15" t="e">
        <f t="shared" si="7"/>
        <v>#DIV/0!</v>
      </c>
      <c r="M25" s="15" t="e">
        <f t="shared" si="7"/>
        <v>#DIV/0!</v>
      </c>
      <c r="N25" s="15" t="e">
        <f t="shared" si="7"/>
        <v>#DIV/0!</v>
      </c>
      <c r="O25" s="15" t="e">
        <f t="shared" si="7"/>
        <v>#DIV/0!</v>
      </c>
      <c r="Q25" s="3">
        <v>1</v>
      </c>
      <c r="R25" s="15">
        <f t="shared" ref="R25:W29" si="8">R6/$W$10</f>
        <v>3.8860822008855982E-2</v>
      </c>
      <c r="S25" s="15">
        <f t="shared" si="8"/>
        <v>0.18918021260732812</v>
      </c>
      <c r="T25" s="15">
        <f t="shared" si="8"/>
        <v>2.5484010527900152E-2</v>
      </c>
      <c r="U25" s="15">
        <f t="shared" si="8"/>
        <v>5.7128636476548224E-3</v>
      </c>
      <c r="V25" s="15">
        <f t="shared" si="8"/>
        <v>2.5356634215445103E-3</v>
      </c>
      <c r="W25" s="15">
        <f t="shared" si="8"/>
        <v>0.26177357221328357</v>
      </c>
    </row>
    <row r="26" spans="1:39" x14ac:dyDescent="0.25">
      <c r="A26" s="3">
        <v>2</v>
      </c>
      <c r="B26" s="15">
        <f t="shared" si="6"/>
        <v>9.74560500908404E-3</v>
      </c>
      <c r="C26" s="15">
        <f t="shared" si="6"/>
        <v>0.10656001413583512</v>
      </c>
      <c r="D26" s="15">
        <f t="shared" si="6"/>
        <v>0.28904891441245545</v>
      </c>
      <c r="E26" s="15">
        <f t="shared" si="6"/>
        <v>6.5278003283102265E-2</v>
      </c>
      <c r="F26" s="15">
        <f t="shared" si="6"/>
        <v>3.6469420323632193E-2</v>
      </c>
      <c r="G26" s="15">
        <f t="shared" si="6"/>
        <v>0.50710195716410911</v>
      </c>
      <c r="I26" s="3">
        <v>2</v>
      </c>
      <c r="J26" s="15" t="e">
        <f t="shared" si="7"/>
        <v>#DIV/0!</v>
      </c>
      <c r="K26" s="15" t="e">
        <f t="shared" si="7"/>
        <v>#DIV/0!</v>
      </c>
      <c r="L26" s="15" t="e">
        <f t="shared" si="7"/>
        <v>#DIV/0!</v>
      </c>
      <c r="M26" s="15" t="e">
        <f t="shared" si="7"/>
        <v>#DIV/0!</v>
      </c>
      <c r="N26" s="15" t="e">
        <f t="shared" si="7"/>
        <v>#DIV/0!</v>
      </c>
      <c r="O26" s="15" t="e">
        <f t="shared" si="7"/>
        <v>#DIV/0!</v>
      </c>
      <c r="Q26" s="3">
        <v>2</v>
      </c>
      <c r="R26" s="15">
        <f t="shared" si="8"/>
        <v>1.211619107990192E-2</v>
      </c>
      <c r="S26" s="15">
        <f t="shared" si="8"/>
        <v>8.5114730984367393E-2</v>
      </c>
      <c r="T26" s="15">
        <f t="shared" si="8"/>
        <v>0.29753326377634898</v>
      </c>
      <c r="U26" s="15">
        <f t="shared" si="8"/>
        <v>8.4597984627055561E-2</v>
      </c>
      <c r="V26" s="15">
        <f t="shared" si="8"/>
        <v>2.7739786696435079E-2</v>
      </c>
      <c r="W26" s="15">
        <f t="shared" si="8"/>
        <v>0.507101957164109</v>
      </c>
    </row>
    <row r="27" spans="1:39" x14ac:dyDescent="0.25">
      <c r="A27" s="3">
        <v>3</v>
      </c>
      <c r="B27" s="15">
        <f t="shared" si="6"/>
        <v>1.2734770209325576E-3</v>
      </c>
      <c r="C27" s="15">
        <f t="shared" si="6"/>
        <v>1.0560921564840498E-2</v>
      </c>
      <c r="D27" s="15">
        <f t="shared" si="6"/>
        <v>6.2043134212736238E-2</v>
      </c>
      <c r="E27" s="15">
        <f t="shared" si="6"/>
        <v>5.0444615395175391E-2</v>
      </c>
      <c r="F27" s="15">
        <f t="shared" si="6"/>
        <v>2.4624786633927351E-2</v>
      </c>
      <c r="G27" s="15">
        <f t="shared" si="6"/>
        <v>0.14894693482761204</v>
      </c>
      <c r="I27" s="3">
        <v>3</v>
      </c>
      <c r="J27" s="15" t="e">
        <f t="shared" si="7"/>
        <v>#DIV/0!</v>
      </c>
      <c r="K27" s="15" t="e">
        <f t="shared" si="7"/>
        <v>#DIV/0!</v>
      </c>
      <c r="L27" s="15" t="e">
        <f t="shared" si="7"/>
        <v>#DIV/0!</v>
      </c>
      <c r="M27" s="15" t="e">
        <f t="shared" si="7"/>
        <v>#DIV/0!</v>
      </c>
      <c r="N27" s="15" t="e">
        <f t="shared" si="7"/>
        <v>#DIV/0!</v>
      </c>
      <c r="O27" s="15" t="e">
        <f t="shared" si="7"/>
        <v>#DIV/0!</v>
      </c>
      <c r="Q27" s="3">
        <v>3</v>
      </c>
      <c r="R27" s="15">
        <f t="shared" si="8"/>
        <v>2.5071466943600608E-3</v>
      </c>
      <c r="S27" s="15">
        <f t="shared" si="8"/>
        <v>1.2042817972516931E-2</v>
      </c>
      <c r="T27" s="15">
        <f t="shared" si="8"/>
        <v>5.6993377794979698E-2</v>
      </c>
      <c r="U27" s="15">
        <f t="shared" si="8"/>
        <v>5.7170117129571305E-2</v>
      </c>
      <c r="V27" s="15">
        <f t="shared" si="8"/>
        <v>2.0233475236184035E-2</v>
      </c>
      <c r="W27" s="15">
        <f t="shared" si="8"/>
        <v>0.14894693482761204</v>
      </c>
    </row>
    <row r="28" spans="1:39" x14ac:dyDescent="0.25">
      <c r="A28" s="5" t="s">
        <v>9</v>
      </c>
      <c r="B28" s="16">
        <f t="shared" si="6"/>
        <v>0</v>
      </c>
      <c r="C28" s="16">
        <f t="shared" si="6"/>
        <v>7.5174318770157645E-3</v>
      </c>
      <c r="D28" s="16">
        <f t="shared" si="6"/>
        <v>1.2593265491538819E-2</v>
      </c>
      <c r="E28" s="16">
        <f t="shared" si="6"/>
        <v>2.6249985866310537E-2</v>
      </c>
      <c r="F28" s="16">
        <f t="shared" si="6"/>
        <v>3.5816852560130223E-2</v>
      </c>
      <c r="G28" s="16">
        <f t="shared" si="6"/>
        <v>8.2177535794995357E-2</v>
      </c>
      <c r="I28" s="5" t="s">
        <v>9</v>
      </c>
      <c r="J28" s="16" t="e">
        <f t="shared" si="7"/>
        <v>#DIV/0!</v>
      </c>
      <c r="K28" s="16" t="e">
        <f t="shared" si="7"/>
        <v>#DIV/0!</v>
      </c>
      <c r="L28" s="16" t="e">
        <f t="shared" si="7"/>
        <v>#DIV/0!</v>
      </c>
      <c r="M28" s="16" t="e">
        <f t="shared" si="7"/>
        <v>#DIV/0!</v>
      </c>
      <c r="N28" s="16" t="e">
        <f t="shared" si="7"/>
        <v>#DIV/0!</v>
      </c>
      <c r="O28" s="16" t="e">
        <f t="shared" si="7"/>
        <v>#DIV/0!</v>
      </c>
      <c r="Q28" s="5" t="s">
        <v>9</v>
      </c>
      <c r="R28" s="16">
        <f t="shared" si="8"/>
        <v>3.857779115418952E-4</v>
      </c>
      <c r="S28" s="16">
        <f t="shared" si="8"/>
        <v>2.0136883723126087E-3</v>
      </c>
      <c r="T28" s="16">
        <f t="shared" si="8"/>
        <v>2.0761306110467254E-2</v>
      </c>
      <c r="U28" s="16">
        <f t="shared" si="8"/>
        <v>2.9992991247692464E-2</v>
      </c>
      <c r="V28" s="16">
        <f t="shared" si="8"/>
        <v>2.9023772152981117E-2</v>
      </c>
      <c r="W28" s="16">
        <f t="shared" si="8"/>
        <v>8.2177535794995329E-2</v>
      </c>
    </row>
    <row r="29" spans="1:39" ht="15.75" customHeight="1" thickBot="1" x14ac:dyDescent="0.3">
      <c r="A29" s="7" t="s">
        <v>10</v>
      </c>
      <c r="B29" s="17">
        <f t="shared" si="6"/>
        <v>6.6658787859063331E-2</v>
      </c>
      <c r="C29" s="17">
        <f t="shared" si="6"/>
        <v>0.28669740829742757</v>
      </c>
      <c r="D29" s="17">
        <f t="shared" si="6"/>
        <v>0.39314914929176015</v>
      </c>
      <c r="E29" s="17">
        <f t="shared" si="6"/>
        <v>0.15331716667650092</v>
      </c>
      <c r="F29" s="17">
        <f t="shared" si="6"/>
        <v>0.10017748787524805</v>
      </c>
      <c r="G29" s="17">
        <f t="shared" si="6"/>
        <v>1</v>
      </c>
      <c r="I29" s="7" t="s">
        <v>10</v>
      </c>
      <c r="J29" s="17" t="e">
        <f t="shared" si="7"/>
        <v>#DIV/0!</v>
      </c>
      <c r="K29" s="17" t="e">
        <f t="shared" si="7"/>
        <v>#DIV/0!</v>
      </c>
      <c r="L29" s="17" t="e">
        <f t="shared" si="7"/>
        <v>#DIV/0!</v>
      </c>
      <c r="M29" s="17" t="e">
        <f t="shared" si="7"/>
        <v>#DIV/0!</v>
      </c>
      <c r="N29" s="17" t="e">
        <f t="shared" si="7"/>
        <v>#DIV/0!</v>
      </c>
      <c r="O29" s="17" t="e">
        <f t="shared" si="7"/>
        <v>#DIV/0!</v>
      </c>
      <c r="Q29" s="7" t="s">
        <v>10</v>
      </c>
      <c r="R29" s="17">
        <f t="shared" si="8"/>
        <v>5.3869937694659843E-2</v>
      </c>
      <c r="S29" s="17">
        <f t="shared" si="8"/>
        <v>0.28835144993652512</v>
      </c>
      <c r="T29" s="17">
        <f t="shared" si="8"/>
        <v>0.40077195820969613</v>
      </c>
      <c r="U29" s="17">
        <f t="shared" si="8"/>
        <v>0.17747395665197416</v>
      </c>
      <c r="V29" s="17">
        <f t="shared" si="8"/>
        <v>7.9532697507144742E-2</v>
      </c>
      <c r="W29" s="17">
        <f t="shared" si="8"/>
        <v>1</v>
      </c>
    </row>
    <row r="32" spans="1:39" ht="15.75" customHeight="1" thickBot="1" x14ac:dyDescent="0.3">
      <c r="Q32" s="12"/>
      <c r="R32" s="10" t="s">
        <v>7</v>
      </c>
      <c r="S32" s="9"/>
      <c r="T32" s="9"/>
      <c r="U32" s="9"/>
      <c r="V32" s="9"/>
      <c r="W32" s="9"/>
      <c r="Y32" s="40" t="s">
        <v>36</v>
      </c>
    </row>
    <row r="33" spans="17:26" x14ac:dyDescent="0.25">
      <c r="Q33" s="11" t="s">
        <v>32</v>
      </c>
      <c r="R33" s="2">
        <v>0</v>
      </c>
      <c r="S33" s="2">
        <v>1</v>
      </c>
      <c r="T33" s="2">
        <v>2</v>
      </c>
      <c r="U33" s="2">
        <v>3</v>
      </c>
      <c r="V33" s="2" t="s">
        <v>9</v>
      </c>
      <c r="W33" s="2" t="s">
        <v>10</v>
      </c>
      <c r="Y33" s="40" t="s">
        <v>0</v>
      </c>
      <c r="Z33" s="39" t="s">
        <v>37</v>
      </c>
    </row>
    <row r="34" spans="17:26" x14ac:dyDescent="0.25">
      <c r="Q34" s="3">
        <v>1</v>
      </c>
      <c r="R34" s="15">
        <f t="shared" ref="R34:W38" si="9">R25-B25</f>
        <v>-1.6778883820190757E-2</v>
      </c>
      <c r="S34" s="15">
        <f t="shared" si="9"/>
        <v>2.7121171887591916E-2</v>
      </c>
      <c r="T34" s="15">
        <f t="shared" si="9"/>
        <v>-3.9798246471295061E-3</v>
      </c>
      <c r="U34" s="15">
        <f t="shared" si="9"/>
        <v>-5.6316984842578865E-3</v>
      </c>
      <c r="V34" s="15">
        <f t="shared" si="9"/>
        <v>-7.3076493601378261E-4</v>
      </c>
      <c r="W34" s="15">
        <f t="shared" si="9"/>
        <v>0</v>
      </c>
      <c r="Y34" s="4">
        <f>B16+B17+C17+B18+C18+D18+B19+C19+D19+E19</f>
        <v>415715.80596857268</v>
      </c>
      <c r="Z34" s="4">
        <f>R16+R17+S17+R18+S18+T18+R19+S19+T19+U19</f>
        <v>371047.75534301478</v>
      </c>
    </row>
    <row r="35" spans="17:26" x14ac:dyDescent="0.25">
      <c r="Q35" s="3">
        <v>2</v>
      </c>
      <c r="R35" s="15">
        <f t="shared" si="9"/>
        <v>2.3705860708178803E-3</v>
      </c>
      <c r="S35" s="15">
        <f t="shared" si="9"/>
        <v>-2.1445283151467723E-2</v>
      </c>
      <c r="T35" s="15">
        <f t="shared" si="9"/>
        <v>8.4843493638935286E-3</v>
      </c>
      <c r="U35" s="15">
        <f t="shared" si="9"/>
        <v>1.9319981343953296E-2</v>
      </c>
      <c r="V35" s="15">
        <f t="shared" si="9"/>
        <v>-8.7296336271971142E-3</v>
      </c>
      <c r="W35" s="15">
        <f t="shared" si="9"/>
        <v>0</v>
      </c>
      <c r="Z35" s="41">
        <f>(Z34-Y34)/G20</f>
        <v>-3.1394690830344088E-2</v>
      </c>
    </row>
    <row r="36" spans="17:26" x14ac:dyDescent="0.25">
      <c r="Q36" s="3">
        <v>3</v>
      </c>
      <c r="R36" s="15">
        <f t="shared" si="9"/>
        <v>1.2336696734275032E-3</v>
      </c>
      <c r="S36" s="15">
        <f t="shared" si="9"/>
        <v>1.4818964076764325E-3</v>
      </c>
      <c r="T36" s="15">
        <f t="shared" si="9"/>
        <v>-5.0497564177565402E-3</v>
      </c>
      <c r="U36" s="15">
        <f t="shared" si="9"/>
        <v>6.7255017343959139E-3</v>
      </c>
      <c r="V36" s="15">
        <f t="shared" si="9"/>
        <v>-4.3913113977433159E-3</v>
      </c>
      <c r="W36" s="15">
        <f t="shared" si="9"/>
        <v>0</v>
      </c>
    </row>
    <row r="37" spans="17:26" x14ac:dyDescent="0.25">
      <c r="Q37" s="5" t="s">
        <v>9</v>
      </c>
      <c r="R37" s="16">
        <f t="shared" si="9"/>
        <v>3.857779115418952E-4</v>
      </c>
      <c r="S37" s="16">
        <f t="shared" si="9"/>
        <v>-5.5037435047031562E-3</v>
      </c>
      <c r="T37" s="16">
        <f t="shared" si="9"/>
        <v>8.1680406189284342E-3</v>
      </c>
      <c r="U37" s="16">
        <f t="shared" si="9"/>
        <v>3.7430053813819267E-3</v>
      </c>
      <c r="V37" s="16">
        <f t="shared" si="9"/>
        <v>-6.793080407149106E-3</v>
      </c>
      <c r="W37" s="16">
        <f t="shared" si="9"/>
        <v>0</v>
      </c>
    </row>
    <row r="38" spans="17:26" ht="15.75" customHeight="1" thickBot="1" x14ac:dyDescent="0.3">
      <c r="Q38" s="7" t="s">
        <v>10</v>
      </c>
      <c r="R38" s="17">
        <f t="shared" si="9"/>
        <v>-1.2788850164403488E-2</v>
      </c>
      <c r="S38" s="17">
        <f t="shared" si="9"/>
        <v>1.6540416390975476E-3</v>
      </c>
      <c r="T38" s="17">
        <f t="shared" si="9"/>
        <v>7.6228089179359859E-3</v>
      </c>
      <c r="U38" s="17">
        <f t="shared" si="9"/>
        <v>2.4156789975473242E-2</v>
      </c>
      <c r="V38" s="17">
        <f t="shared" si="9"/>
        <v>-2.0644790368103308E-2</v>
      </c>
      <c r="W38" s="17">
        <f t="shared" si="9"/>
        <v>0</v>
      </c>
    </row>
  </sheetData>
  <pageMargins left="0.7" right="0.7" top="0.75" bottom="0.75" header="0.3" footer="0.3"/>
  <pageSetup orientation="portrait" horizontalDpi="4294967293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61"/>
  <sheetViews>
    <sheetView workbookViewId="0">
      <selection activeCell="O18" sqref="O18"/>
    </sheetView>
  </sheetViews>
  <sheetFormatPr defaultRowHeight="15" x14ac:dyDescent="0.25"/>
  <cols>
    <col min="6" max="6" width="84.7109375" bestFit="1" customWidth="1" collapsed="1"/>
  </cols>
  <sheetData>
    <row r="1" spans="1:7" x14ac:dyDescent="0.25">
      <c r="A1" t="s">
        <v>38</v>
      </c>
      <c r="B1" t="s">
        <v>39</v>
      </c>
      <c r="F1" t="s">
        <v>40</v>
      </c>
      <c r="G1" t="s">
        <v>41</v>
      </c>
    </row>
    <row r="2" spans="1:7" x14ac:dyDescent="0.25">
      <c r="A2">
        <v>1</v>
      </c>
      <c r="B2" t="s">
        <v>42</v>
      </c>
      <c r="C2" t="s">
        <v>43</v>
      </c>
      <c r="D2">
        <v>-2.88892731349</v>
      </c>
      <c r="E2">
        <v>0.48543234191599999</v>
      </c>
      <c r="F2" t="s">
        <v>44</v>
      </c>
      <c r="G2" t="s">
        <v>45</v>
      </c>
    </row>
    <row r="3" spans="1:7" x14ac:dyDescent="0.25">
      <c r="A3">
        <v>2</v>
      </c>
      <c r="B3" t="s">
        <v>46</v>
      </c>
      <c r="C3" t="s">
        <v>43</v>
      </c>
      <c r="D3">
        <v>-1.84920255786</v>
      </c>
      <c r="E3">
        <v>0.120667788954</v>
      </c>
      <c r="F3" t="s">
        <v>44</v>
      </c>
      <c r="G3" t="s">
        <v>47</v>
      </c>
    </row>
    <row r="4" spans="1:7" x14ac:dyDescent="0.25">
      <c r="A4">
        <v>3</v>
      </c>
      <c r="B4" t="s">
        <v>48</v>
      </c>
      <c r="C4" t="s">
        <v>43</v>
      </c>
      <c r="D4">
        <v>-3.06909125469</v>
      </c>
      <c r="E4">
        <v>0.18162390207699999</v>
      </c>
      <c r="F4" t="s">
        <v>44</v>
      </c>
      <c r="G4" t="s">
        <v>49</v>
      </c>
    </row>
    <row r="5" spans="1:7" x14ac:dyDescent="0.25">
      <c r="A5">
        <v>4</v>
      </c>
      <c r="B5" t="s">
        <v>50</v>
      </c>
      <c r="C5" t="s">
        <v>43</v>
      </c>
      <c r="D5">
        <v>-4.8440472338499996</v>
      </c>
      <c r="E5">
        <v>0.34758296123299998</v>
      </c>
      <c r="F5" t="s">
        <v>44</v>
      </c>
      <c r="G5" t="s">
        <v>51</v>
      </c>
    </row>
    <row r="6" spans="1:7" x14ac:dyDescent="0.25">
      <c r="A6">
        <v>5</v>
      </c>
      <c r="B6" t="s">
        <v>52</v>
      </c>
      <c r="C6" t="s">
        <v>43</v>
      </c>
      <c r="D6">
        <v>-3.7501392251399999</v>
      </c>
      <c r="E6">
        <v>0.48593392329200003</v>
      </c>
      <c r="F6" t="s">
        <v>53</v>
      </c>
      <c r="G6" t="s">
        <v>45</v>
      </c>
    </row>
    <row r="7" spans="1:7" x14ac:dyDescent="0.25">
      <c r="A7">
        <v>6</v>
      </c>
      <c r="B7" t="s">
        <v>54</v>
      </c>
      <c r="C7" t="s">
        <v>43</v>
      </c>
      <c r="D7">
        <v>-1.54083688408</v>
      </c>
      <c r="E7">
        <v>0.17120485389099999</v>
      </c>
      <c r="F7" t="s">
        <v>53</v>
      </c>
      <c r="G7" t="s">
        <v>55</v>
      </c>
    </row>
    <row r="8" spans="1:7" x14ac:dyDescent="0.25">
      <c r="A8">
        <v>7</v>
      </c>
      <c r="B8" t="s">
        <v>56</v>
      </c>
      <c r="C8" t="s">
        <v>43</v>
      </c>
      <c r="D8">
        <v>-1.50533715645</v>
      </c>
      <c r="E8">
        <v>0.108778102305</v>
      </c>
      <c r="F8" t="s">
        <v>53</v>
      </c>
      <c r="G8" t="s">
        <v>49</v>
      </c>
    </row>
    <row r="9" spans="1:7" x14ac:dyDescent="0.25">
      <c r="A9">
        <v>8</v>
      </c>
      <c r="B9" t="s">
        <v>57</v>
      </c>
      <c r="C9" t="s">
        <v>43</v>
      </c>
      <c r="D9">
        <v>-2.6342137133099999</v>
      </c>
      <c r="E9">
        <v>0.162199862</v>
      </c>
      <c r="F9" t="s">
        <v>53</v>
      </c>
      <c r="G9" t="s">
        <v>51</v>
      </c>
    </row>
    <row r="10" spans="1:7" x14ac:dyDescent="0.25">
      <c r="A10">
        <v>9</v>
      </c>
      <c r="B10" t="s">
        <v>58</v>
      </c>
      <c r="C10" t="s">
        <v>43</v>
      </c>
      <c r="D10">
        <v>-3.1293105723300001</v>
      </c>
      <c r="E10">
        <v>0.68731231591800002</v>
      </c>
      <c r="F10" t="s">
        <v>59</v>
      </c>
      <c r="G10" t="s">
        <v>45</v>
      </c>
    </row>
    <row r="11" spans="1:7" x14ac:dyDescent="0.25">
      <c r="A11">
        <v>10</v>
      </c>
      <c r="B11" t="s">
        <v>60</v>
      </c>
      <c r="C11" t="s">
        <v>43</v>
      </c>
      <c r="D11">
        <v>-1.2916609235900001</v>
      </c>
      <c r="E11">
        <v>0.26131690816499997</v>
      </c>
      <c r="F11" t="s">
        <v>59</v>
      </c>
      <c r="G11" t="s">
        <v>55</v>
      </c>
    </row>
    <row r="12" spans="1:7" x14ac:dyDescent="0.25">
      <c r="A12">
        <v>11</v>
      </c>
      <c r="B12" t="s">
        <v>61</v>
      </c>
      <c r="C12" t="s">
        <v>43</v>
      </c>
      <c r="D12">
        <v>-0.36600413520000002</v>
      </c>
      <c r="E12">
        <v>0.204749856644</v>
      </c>
      <c r="F12" t="s">
        <v>59</v>
      </c>
      <c r="G12" t="s">
        <v>47</v>
      </c>
    </row>
    <row r="13" spans="1:7" x14ac:dyDescent="0.25">
      <c r="A13">
        <v>12</v>
      </c>
      <c r="B13" t="s">
        <v>62</v>
      </c>
      <c r="C13" t="s">
        <v>43</v>
      </c>
      <c r="D13">
        <v>-0.96396736597999999</v>
      </c>
      <c r="E13">
        <v>0.203518529877</v>
      </c>
      <c r="F13" t="s">
        <v>59</v>
      </c>
      <c r="G13" t="s">
        <v>51</v>
      </c>
    </row>
    <row r="14" spans="1:7" x14ac:dyDescent="0.25">
      <c r="A14">
        <v>13</v>
      </c>
      <c r="B14" t="s">
        <v>63</v>
      </c>
      <c r="C14" t="s">
        <v>43</v>
      </c>
      <c r="D14">
        <v>-4.3599306108100002</v>
      </c>
      <c r="E14">
        <v>1.2200761253100001</v>
      </c>
      <c r="F14" t="s">
        <v>64</v>
      </c>
      <c r="G14" t="s">
        <v>45</v>
      </c>
    </row>
    <row r="15" spans="1:7" x14ac:dyDescent="0.25">
      <c r="A15">
        <v>14</v>
      </c>
      <c r="B15" t="s">
        <v>65</v>
      </c>
      <c r="C15" t="s">
        <v>43</v>
      </c>
      <c r="D15">
        <v>-1.1985630522499999</v>
      </c>
      <c r="E15">
        <v>0.39337121020799998</v>
      </c>
      <c r="F15" t="s">
        <v>64</v>
      </c>
      <c r="G15" t="s">
        <v>55</v>
      </c>
    </row>
    <row r="16" spans="1:7" x14ac:dyDescent="0.25">
      <c r="A16">
        <v>15</v>
      </c>
      <c r="B16" t="s">
        <v>66</v>
      </c>
      <c r="C16" t="s">
        <v>43</v>
      </c>
      <c r="D16">
        <v>-1.15121947805</v>
      </c>
      <c r="E16">
        <v>0.30214458233000002</v>
      </c>
      <c r="F16" t="s">
        <v>64</v>
      </c>
      <c r="G16" t="s">
        <v>47</v>
      </c>
    </row>
    <row r="17" spans="1:15" x14ac:dyDescent="0.25">
      <c r="A17">
        <v>16</v>
      </c>
      <c r="B17" t="s">
        <v>67</v>
      </c>
      <c r="C17" t="s">
        <v>43</v>
      </c>
      <c r="D17">
        <v>-1.4377901695099999</v>
      </c>
      <c r="E17">
        <v>0.30270627538400002</v>
      </c>
      <c r="F17" t="s">
        <v>64</v>
      </c>
      <c r="G17" t="s">
        <v>49</v>
      </c>
    </row>
    <row r="18" spans="1:15" s="23" customFormat="1" x14ac:dyDescent="0.25">
      <c r="A18" s="23">
        <v>18</v>
      </c>
      <c r="B18" s="23" t="s">
        <v>68</v>
      </c>
      <c r="C18" s="23" t="s">
        <v>43</v>
      </c>
      <c r="D18" s="23">
        <v>0.39953921787000002</v>
      </c>
      <c r="E18" s="23">
        <v>0.124608088395</v>
      </c>
      <c r="F18" s="23" t="s">
        <v>69</v>
      </c>
      <c r="G18" s="23" t="s">
        <v>45</v>
      </c>
      <c r="H18" s="23" t="s">
        <v>55</v>
      </c>
      <c r="I18" s="23" t="s">
        <v>70</v>
      </c>
      <c r="J18" s="23" t="s">
        <v>47</v>
      </c>
      <c r="K18" s="23" t="s">
        <v>71</v>
      </c>
      <c r="L18" s="23" t="s">
        <v>49</v>
      </c>
      <c r="M18" s="23" t="s">
        <v>72</v>
      </c>
      <c r="N18" s="23" t="s">
        <v>51</v>
      </c>
      <c r="O18" s="23" t="s">
        <v>73</v>
      </c>
    </row>
    <row r="19" spans="1:15" x14ac:dyDescent="0.25">
      <c r="A19" s="24">
        <v>19</v>
      </c>
      <c r="B19" s="24" t="s">
        <v>74</v>
      </c>
      <c r="C19" s="24" t="s">
        <v>43</v>
      </c>
      <c r="D19" s="24">
        <v>0.69903044631199995</v>
      </c>
      <c r="E19" s="24">
        <v>0.40297798012199998</v>
      </c>
      <c r="F19" s="24" t="s">
        <v>75</v>
      </c>
      <c r="G19" s="24" t="s">
        <v>45</v>
      </c>
      <c r="H19" s="24"/>
      <c r="I19" s="24"/>
      <c r="J19" s="24"/>
      <c r="K19" s="24"/>
      <c r="L19" s="24"/>
      <c r="M19" s="24"/>
    </row>
    <row r="20" spans="1:15" x14ac:dyDescent="0.25">
      <c r="A20">
        <v>20</v>
      </c>
      <c r="B20" t="s">
        <v>76</v>
      </c>
      <c r="C20" t="s">
        <v>43</v>
      </c>
      <c r="D20">
        <v>0.32485446959800002</v>
      </c>
      <c r="E20">
        <v>0.204037451392</v>
      </c>
      <c r="F20" t="s">
        <v>75</v>
      </c>
      <c r="G20" t="s">
        <v>55</v>
      </c>
    </row>
    <row r="21" spans="1:15" x14ac:dyDescent="0.25">
      <c r="A21">
        <v>22</v>
      </c>
      <c r="B21" t="s">
        <v>77</v>
      </c>
      <c r="C21" t="s">
        <v>43</v>
      </c>
      <c r="D21">
        <v>-0.43856128772000003</v>
      </c>
      <c r="E21">
        <v>0.318213047774</v>
      </c>
      <c r="F21" t="s">
        <v>75</v>
      </c>
      <c r="G21" t="s">
        <v>51</v>
      </c>
    </row>
    <row r="22" spans="1:15" x14ac:dyDescent="0.25">
      <c r="A22">
        <v>24</v>
      </c>
      <c r="B22" t="s">
        <v>78</v>
      </c>
      <c r="C22" t="s">
        <v>43</v>
      </c>
      <c r="D22">
        <v>0.239019734309</v>
      </c>
      <c r="E22">
        <v>0.118684885778</v>
      </c>
      <c r="F22" t="s">
        <v>79</v>
      </c>
      <c r="G22" t="s">
        <v>55</v>
      </c>
    </row>
    <row r="23" spans="1:15" x14ac:dyDescent="0.25">
      <c r="A23">
        <v>25</v>
      </c>
      <c r="B23" t="s">
        <v>80</v>
      </c>
      <c r="C23" t="s">
        <v>43</v>
      </c>
      <c r="D23">
        <v>-0.30115653367700002</v>
      </c>
      <c r="E23">
        <v>0.15726577946500001</v>
      </c>
      <c r="F23" t="s">
        <v>79</v>
      </c>
      <c r="G23" t="s">
        <v>49</v>
      </c>
    </row>
    <row r="24" spans="1:15" x14ac:dyDescent="0.25">
      <c r="A24">
        <v>26</v>
      </c>
      <c r="B24" t="s">
        <v>81</v>
      </c>
      <c r="C24" t="s">
        <v>43</v>
      </c>
      <c r="D24">
        <v>-0.56373515910799998</v>
      </c>
      <c r="E24">
        <v>0.25328633007399998</v>
      </c>
      <c r="F24" t="s">
        <v>79</v>
      </c>
      <c r="G24" t="s">
        <v>51</v>
      </c>
    </row>
    <row r="25" spans="1:15" x14ac:dyDescent="0.25">
      <c r="A25">
        <v>28</v>
      </c>
      <c r="B25" t="s">
        <v>82</v>
      </c>
      <c r="C25" t="s">
        <v>43</v>
      </c>
      <c r="D25">
        <v>0.31959884056900001</v>
      </c>
      <c r="E25">
        <v>0.22861927141800001</v>
      </c>
      <c r="F25" t="s">
        <v>83</v>
      </c>
      <c r="G25" t="s">
        <v>55</v>
      </c>
    </row>
    <row r="26" spans="1:15" x14ac:dyDescent="0.25">
      <c r="A26">
        <v>29</v>
      </c>
      <c r="B26" t="s">
        <v>84</v>
      </c>
      <c r="C26" t="s">
        <v>43</v>
      </c>
      <c r="D26">
        <v>0.57068696704599997</v>
      </c>
      <c r="E26">
        <v>0.28285417099100002</v>
      </c>
      <c r="F26" t="s">
        <v>83</v>
      </c>
      <c r="G26" t="s">
        <v>49</v>
      </c>
    </row>
    <row r="27" spans="1:15" x14ac:dyDescent="0.25">
      <c r="A27">
        <v>31</v>
      </c>
      <c r="B27" t="s">
        <v>85</v>
      </c>
      <c r="C27" t="s">
        <v>43</v>
      </c>
      <c r="D27">
        <v>2.9250059989500001</v>
      </c>
      <c r="E27">
        <v>1.2854634766599999</v>
      </c>
      <c r="F27" t="s">
        <v>86</v>
      </c>
      <c r="G27" t="s">
        <v>45</v>
      </c>
    </row>
    <row r="28" spans="1:15" x14ac:dyDescent="0.25">
      <c r="A28">
        <v>32</v>
      </c>
      <c r="B28" t="s">
        <v>87</v>
      </c>
      <c r="C28" t="s">
        <v>43</v>
      </c>
      <c r="D28">
        <v>1.2969669216299999</v>
      </c>
      <c r="E28">
        <v>0.553290083268</v>
      </c>
      <c r="F28" t="s">
        <v>86</v>
      </c>
      <c r="G28" t="s">
        <v>55</v>
      </c>
    </row>
    <row r="29" spans="1:15" x14ac:dyDescent="0.25">
      <c r="A29">
        <v>34</v>
      </c>
      <c r="B29" t="s">
        <v>88</v>
      </c>
      <c r="C29" t="s">
        <v>43</v>
      </c>
      <c r="D29">
        <v>-2.59112200624</v>
      </c>
      <c r="E29">
        <v>0.67748006502500002</v>
      </c>
      <c r="F29" t="s">
        <v>86</v>
      </c>
      <c r="G29" t="s">
        <v>51</v>
      </c>
    </row>
    <row r="30" spans="1:15" x14ac:dyDescent="0.25">
      <c r="A30">
        <v>35</v>
      </c>
      <c r="B30" t="s">
        <v>89</v>
      </c>
      <c r="C30" t="s">
        <v>43</v>
      </c>
      <c r="D30">
        <v>-1.0636437007299999</v>
      </c>
      <c r="E30">
        <v>0.67287579243399998</v>
      </c>
      <c r="F30" t="s">
        <v>90</v>
      </c>
      <c r="G30" t="s">
        <v>45</v>
      </c>
    </row>
    <row r="31" spans="1:15" x14ac:dyDescent="0.25">
      <c r="A31">
        <v>36</v>
      </c>
      <c r="B31" t="s">
        <v>91</v>
      </c>
      <c r="C31" t="s">
        <v>43</v>
      </c>
      <c r="D31">
        <v>-0.53660640919000002</v>
      </c>
      <c r="E31">
        <v>0.28655587340499999</v>
      </c>
      <c r="F31" t="s">
        <v>90</v>
      </c>
      <c r="G31" t="s">
        <v>55</v>
      </c>
    </row>
    <row r="32" spans="1:15" x14ac:dyDescent="0.25">
      <c r="A32">
        <v>37</v>
      </c>
      <c r="B32" t="s">
        <v>92</v>
      </c>
      <c r="C32" t="s">
        <v>43</v>
      </c>
      <c r="D32">
        <v>0.28589368992800002</v>
      </c>
      <c r="E32">
        <v>0.26930228656600003</v>
      </c>
      <c r="F32" t="s">
        <v>90</v>
      </c>
      <c r="G32" t="s">
        <v>49</v>
      </c>
    </row>
    <row r="33" spans="1:7" x14ac:dyDescent="0.25">
      <c r="A33">
        <v>38</v>
      </c>
      <c r="B33" t="s">
        <v>93</v>
      </c>
      <c r="C33" t="s">
        <v>43</v>
      </c>
      <c r="D33">
        <v>0.64783551265499995</v>
      </c>
      <c r="E33">
        <v>0.37530750296900001</v>
      </c>
      <c r="F33" t="s">
        <v>90</v>
      </c>
      <c r="G33" t="s">
        <v>51</v>
      </c>
    </row>
    <row r="34" spans="1:7" x14ac:dyDescent="0.25">
      <c r="A34">
        <v>41</v>
      </c>
      <c r="B34" t="s">
        <v>94</v>
      </c>
      <c r="C34" t="s">
        <v>43</v>
      </c>
      <c r="D34">
        <v>-0.47288768158</v>
      </c>
      <c r="E34">
        <v>0.28996962859499997</v>
      </c>
      <c r="F34" t="s">
        <v>95</v>
      </c>
      <c r="G34" t="s">
        <v>49</v>
      </c>
    </row>
    <row r="35" spans="1:7" x14ac:dyDescent="0.25">
      <c r="A35">
        <v>42</v>
      </c>
      <c r="B35" t="s">
        <v>96</v>
      </c>
      <c r="C35" t="s">
        <v>43</v>
      </c>
      <c r="D35">
        <v>-1.73045435445</v>
      </c>
      <c r="E35">
        <v>0.60204136834499999</v>
      </c>
      <c r="F35" t="s">
        <v>95</v>
      </c>
      <c r="G35" t="s">
        <v>51</v>
      </c>
    </row>
    <row r="36" spans="1:7" x14ac:dyDescent="0.25">
      <c r="A36">
        <v>43</v>
      </c>
      <c r="B36" t="s">
        <v>97</v>
      </c>
      <c r="C36" t="s">
        <v>43</v>
      </c>
      <c r="D36">
        <v>2.0718120356499998</v>
      </c>
      <c r="E36">
        <v>0.25112785750200001</v>
      </c>
      <c r="F36" t="s">
        <v>98</v>
      </c>
      <c r="G36" t="s">
        <v>45</v>
      </c>
    </row>
    <row r="37" spans="1:7" x14ac:dyDescent="0.25">
      <c r="A37">
        <v>44</v>
      </c>
      <c r="B37" t="s">
        <v>99</v>
      </c>
      <c r="C37" t="s">
        <v>43</v>
      </c>
      <c r="D37">
        <v>0.60728378971399999</v>
      </c>
      <c r="E37">
        <v>0.181439147627</v>
      </c>
      <c r="F37" t="s">
        <v>98</v>
      </c>
      <c r="G37" t="s">
        <v>55</v>
      </c>
    </row>
    <row r="38" spans="1:7" x14ac:dyDescent="0.25">
      <c r="A38">
        <v>45</v>
      </c>
      <c r="B38" t="s">
        <v>100</v>
      </c>
      <c r="C38" t="s">
        <v>43</v>
      </c>
      <c r="D38">
        <v>-0.71462161389500001</v>
      </c>
      <c r="E38">
        <v>0.32036605145399999</v>
      </c>
      <c r="F38" t="s">
        <v>98</v>
      </c>
      <c r="G38" t="s">
        <v>49</v>
      </c>
    </row>
    <row r="39" spans="1:7" x14ac:dyDescent="0.25">
      <c r="A39">
        <v>46</v>
      </c>
      <c r="B39" t="s">
        <v>101</v>
      </c>
      <c r="C39" t="s">
        <v>43</v>
      </c>
      <c r="D39">
        <v>-1.4356778668800001</v>
      </c>
      <c r="E39">
        <v>0.571538197034</v>
      </c>
      <c r="F39" t="s">
        <v>98</v>
      </c>
      <c r="G39" t="s">
        <v>51</v>
      </c>
    </row>
    <row r="40" spans="1:7" x14ac:dyDescent="0.25">
      <c r="A40">
        <v>47</v>
      </c>
      <c r="B40" t="s">
        <v>102</v>
      </c>
      <c r="C40" t="s">
        <v>43</v>
      </c>
      <c r="D40">
        <v>-1.45349726543</v>
      </c>
      <c r="E40">
        <v>0.40356684826</v>
      </c>
      <c r="F40" t="s">
        <v>103</v>
      </c>
      <c r="G40" t="s">
        <v>45</v>
      </c>
    </row>
    <row r="41" spans="1:7" x14ac:dyDescent="0.25">
      <c r="A41">
        <v>48</v>
      </c>
      <c r="B41" t="s">
        <v>104</v>
      </c>
      <c r="C41" t="s">
        <v>43</v>
      </c>
      <c r="D41">
        <v>-1.0930755785699999</v>
      </c>
      <c r="E41">
        <v>0.126439275741</v>
      </c>
      <c r="F41" t="s">
        <v>103</v>
      </c>
      <c r="G41" t="s">
        <v>55</v>
      </c>
    </row>
    <row r="42" spans="1:7" x14ac:dyDescent="0.25">
      <c r="A42">
        <v>49</v>
      </c>
      <c r="B42" t="s">
        <v>105</v>
      </c>
      <c r="C42" t="s">
        <v>43</v>
      </c>
      <c r="D42">
        <v>0.14078168516299999</v>
      </c>
      <c r="E42">
        <v>0.12041492006899999</v>
      </c>
      <c r="F42" t="s">
        <v>103</v>
      </c>
      <c r="G42" t="s">
        <v>49</v>
      </c>
    </row>
    <row r="43" spans="1:7" x14ac:dyDescent="0.25">
      <c r="A43">
        <v>50</v>
      </c>
      <c r="B43" t="s">
        <v>106</v>
      </c>
      <c r="C43" t="s">
        <v>43</v>
      </c>
      <c r="D43">
        <v>0.188609995585</v>
      </c>
      <c r="E43">
        <v>0.169738586315</v>
      </c>
      <c r="F43" t="s">
        <v>103</v>
      </c>
      <c r="G43" t="s">
        <v>51</v>
      </c>
    </row>
    <row r="44" spans="1:7" x14ac:dyDescent="0.25">
      <c r="A44">
        <v>51</v>
      </c>
      <c r="B44" t="s">
        <v>107</v>
      </c>
      <c r="C44" t="s">
        <v>43</v>
      </c>
      <c r="D44">
        <v>-0.58492078305700002</v>
      </c>
      <c r="E44">
        <v>0.39231975258899998</v>
      </c>
      <c r="F44" t="s">
        <v>108</v>
      </c>
      <c r="G44" t="s">
        <v>45</v>
      </c>
    </row>
    <row r="45" spans="1:7" x14ac:dyDescent="0.25">
      <c r="A45">
        <v>52</v>
      </c>
      <c r="B45" t="s">
        <v>109</v>
      </c>
      <c r="C45" t="s">
        <v>43</v>
      </c>
      <c r="D45">
        <v>-1.0058660612699999</v>
      </c>
      <c r="E45">
        <v>0.1591759079</v>
      </c>
      <c r="F45" t="s">
        <v>108</v>
      </c>
      <c r="G45" t="s">
        <v>55</v>
      </c>
    </row>
    <row r="46" spans="1:7" x14ac:dyDescent="0.25">
      <c r="A46">
        <v>53</v>
      </c>
      <c r="B46" t="s">
        <v>110</v>
      </c>
      <c r="C46" t="s">
        <v>43</v>
      </c>
      <c r="D46">
        <v>0.22559840834</v>
      </c>
      <c r="E46">
        <v>0.13586187288400001</v>
      </c>
      <c r="F46" t="s">
        <v>108</v>
      </c>
      <c r="G46" t="s">
        <v>49</v>
      </c>
    </row>
    <row r="47" spans="1:7" x14ac:dyDescent="0.25">
      <c r="A47">
        <v>54</v>
      </c>
      <c r="B47" t="s">
        <v>111</v>
      </c>
      <c r="C47" t="s">
        <v>43</v>
      </c>
      <c r="D47">
        <v>0.34302043279099997</v>
      </c>
      <c r="E47">
        <v>0.18564049817600001</v>
      </c>
      <c r="F47" t="s">
        <v>108</v>
      </c>
      <c r="G47" t="s">
        <v>51</v>
      </c>
    </row>
    <row r="48" spans="1:7" x14ac:dyDescent="0.25">
      <c r="A48">
        <v>55</v>
      </c>
      <c r="B48" t="s">
        <v>112</v>
      </c>
      <c r="C48" t="s">
        <v>43</v>
      </c>
      <c r="D48">
        <v>-0.53538167154600003</v>
      </c>
      <c r="E48">
        <v>0.46253383393000003</v>
      </c>
      <c r="F48" t="s">
        <v>113</v>
      </c>
      <c r="G48" t="s">
        <v>45</v>
      </c>
    </row>
    <row r="49" spans="1:13" x14ac:dyDescent="0.25">
      <c r="A49">
        <v>56</v>
      </c>
      <c r="B49" t="s">
        <v>114</v>
      </c>
      <c r="C49" t="s">
        <v>43</v>
      </c>
      <c r="D49">
        <v>-0.52697142353899995</v>
      </c>
      <c r="E49">
        <v>0.21878082256199999</v>
      </c>
      <c r="F49" t="s">
        <v>113</v>
      </c>
      <c r="G49" t="s">
        <v>55</v>
      </c>
    </row>
    <row r="50" spans="1:13" x14ac:dyDescent="0.25">
      <c r="A50">
        <v>57</v>
      </c>
      <c r="B50" t="s">
        <v>115</v>
      </c>
      <c r="C50" t="s">
        <v>43</v>
      </c>
      <c r="D50">
        <v>0.21517789340999999</v>
      </c>
      <c r="E50">
        <v>0.24686726698100001</v>
      </c>
      <c r="F50" t="s">
        <v>113</v>
      </c>
      <c r="G50" t="s">
        <v>49</v>
      </c>
    </row>
    <row r="51" spans="1:13" x14ac:dyDescent="0.25">
      <c r="A51">
        <v>58</v>
      </c>
      <c r="B51" t="s">
        <v>116</v>
      </c>
      <c r="C51" t="s">
        <v>43</v>
      </c>
      <c r="D51">
        <v>-0.978212790971</v>
      </c>
      <c r="E51">
        <v>0.55972952825599998</v>
      </c>
      <c r="F51" t="s">
        <v>113</v>
      </c>
      <c r="G51" t="s">
        <v>51</v>
      </c>
    </row>
    <row r="52" spans="1:13" x14ac:dyDescent="0.25">
      <c r="A52">
        <v>59</v>
      </c>
      <c r="B52" t="s">
        <v>117</v>
      </c>
      <c r="C52" t="s">
        <v>43</v>
      </c>
      <c r="D52">
        <v>-0.42495698544999999</v>
      </c>
      <c r="E52" s="22">
        <v>9.3174665093100004E-2</v>
      </c>
      <c r="F52" t="s">
        <v>118</v>
      </c>
      <c r="G52" t="s">
        <v>45</v>
      </c>
    </row>
    <row r="53" spans="1:13" s="23" customFormat="1" x14ac:dyDescent="0.25">
      <c r="A53" s="23">
        <v>60</v>
      </c>
      <c r="B53" s="23" t="s">
        <v>119</v>
      </c>
      <c r="C53" s="23" t="s">
        <v>43</v>
      </c>
      <c r="D53" s="23">
        <v>-0.11124462416</v>
      </c>
      <c r="E53" s="25">
        <v>1.9324554676499999E-2</v>
      </c>
      <c r="F53" s="23" t="s">
        <v>120</v>
      </c>
      <c r="G53" s="23" t="s">
        <v>55</v>
      </c>
      <c r="H53" s="23" t="s">
        <v>47</v>
      </c>
      <c r="I53" s="23" t="s">
        <v>121</v>
      </c>
      <c r="J53" s="23" t="s">
        <v>49</v>
      </c>
      <c r="K53" s="23" t="s">
        <v>122</v>
      </c>
      <c r="L53" s="23" t="s">
        <v>51</v>
      </c>
      <c r="M53" s="23" t="s">
        <v>123</v>
      </c>
    </row>
    <row r="54" spans="1:13" x14ac:dyDescent="0.25">
      <c r="A54">
        <v>63</v>
      </c>
      <c r="B54" t="s">
        <v>124</v>
      </c>
      <c r="C54" t="s">
        <v>43</v>
      </c>
      <c r="D54">
        <v>-1.2627495896200001</v>
      </c>
      <c r="E54">
        <v>1.15568726918</v>
      </c>
      <c r="F54" t="s">
        <v>125</v>
      </c>
      <c r="G54" t="s">
        <v>45</v>
      </c>
    </row>
    <row r="55" spans="1:13" x14ac:dyDescent="0.25">
      <c r="A55">
        <v>69</v>
      </c>
      <c r="B55" t="s">
        <v>126</v>
      </c>
      <c r="C55" t="s">
        <v>43</v>
      </c>
      <c r="D55">
        <v>-0.182881856812</v>
      </c>
      <c r="E55" s="22">
        <v>9.1832192679999994E-2</v>
      </c>
      <c r="F55" t="s">
        <v>127</v>
      </c>
      <c r="G55" t="s">
        <v>45</v>
      </c>
    </row>
    <row r="56" spans="1:13" s="23" customFormat="1" x14ac:dyDescent="0.25">
      <c r="A56" s="23">
        <v>72</v>
      </c>
      <c r="B56" s="23" t="s">
        <v>128</v>
      </c>
      <c r="C56" s="23" t="s">
        <v>43</v>
      </c>
      <c r="D56" s="23">
        <v>0.14811075420100001</v>
      </c>
      <c r="E56" s="25">
        <v>5.9982749063499999E-2</v>
      </c>
      <c r="F56" s="23" t="s">
        <v>129</v>
      </c>
      <c r="G56" s="23" t="s">
        <v>55</v>
      </c>
      <c r="H56" s="23" t="s">
        <v>47</v>
      </c>
      <c r="I56" s="23" t="s">
        <v>130</v>
      </c>
      <c r="J56" s="23" t="s">
        <v>49</v>
      </c>
      <c r="K56" s="23" t="s">
        <v>131</v>
      </c>
      <c r="L56" s="23" t="s">
        <v>51</v>
      </c>
      <c r="M56" s="23" t="s">
        <v>132</v>
      </c>
    </row>
    <row r="57" spans="1:13" x14ac:dyDescent="0.25">
      <c r="A57">
        <v>73</v>
      </c>
      <c r="B57" t="s">
        <v>133</v>
      </c>
      <c r="C57" t="s">
        <v>43</v>
      </c>
      <c r="D57" s="22">
        <v>7.1458236224400005E-4</v>
      </c>
      <c r="E57" s="22">
        <v>1.9087285637099999E-4</v>
      </c>
      <c r="F57" t="s">
        <v>134</v>
      </c>
      <c r="G57" t="s">
        <v>45</v>
      </c>
    </row>
    <row r="58" spans="1:13" x14ac:dyDescent="0.25">
      <c r="A58">
        <v>75</v>
      </c>
      <c r="B58" t="s">
        <v>135</v>
      </c>
      <c r="C58" t="s">
        <v>43</v>
      </c>
      <c r="D58">
        <v>0.29597958689600001</v>
      </c>
      <c r="E58" s="22">
        <v>7.8942367252999995E-2</v>
      </c>
      <c r="F58" t="s">
        <v>136</v>
      </c>
      <c r="G58" t="s">
        <v>45</v>
      </c>
    </row>
    <row r="59" spans="1:13" s="23" customFormat="1" x14ac:dyDescent="0.25">
      <c r="A59" s="23">
        <v>76</v>
      </c>
      <c r="B59" s="23" t="s">
        <v>137</v>
      </c>
      <c r="C59" s="23" t="s">
        <v>43</v>
      </c>
      <c r="D59" s="23">
        <v>0.19796492273399999</v>
      </c>
      <c r="E59" s="25">
        <v>3.4156307751499998E-2</v>
      </c>
      <c r="F59" s="23" t="s">
        <v>138</v>
      </c>
      <c r="G59" s="23" t="s">
        <v>55</v>
      </c>
      <c r="H59" s="23" t="s">
        <v>47</v>
      </c>
      <c r="I59" s="23" t="s">
        <v>139</v>
      </c>
      <c r="J59" s="23" t="s">
        <v>49</v>
      </c>
      <c r="K59" s="23" t="s">
        <v>140</v>
      </c>
      <c r="L59" s="23" t="s">
        <v>51</v>
      </c>
      <c r="M59" s="23" t="s">
        <v>141</v>
      </c>
    </row>
    <row r="60" spans="1:13" x14ac:dyDescent="0.25">
      <c r="A60">
        <v>77</v>
      </c>
      <c r="B60" t="s">
        <v>142</v>
      </c>
      <c r="C60" t="s">
        <v>43</v>
      </c>
      <c r="D60">
        <v>0.27817460170199998</v>
      </c>
      <c r="E60">
        <v>0.17839332841300001</v>
      </c>
      <c r="F60" t="s">
        <v>143</v>
      </c>
      <c r="G60" t="s">
        <v>45</v>
      </c>
    </row>
    <row r="61" spans="1:13" x14ac:dyDescent="0.25">
      <c r="A61">
        <v>83</v>
      </c>
      <c r="B61" t="s">
        <v>144</v>
      </c>
      <c r="C61" t="s">
        <v>43</v>
      </c>
      <c r="D61">
        <v>-0.77256225305799997</v>
      </c>
      <c r="E61">
        <v>0.454505526996</v>
      </c>
      <c r="F61" t="s">
        <v>145</v>
      </c>
      <c r="G61" t="s">
        <v>45</v>
      </c>
    </row>
  </sheetData>
  <pageMargins left="0.7" right="0.7" top="0.75" bottom="0.75" header="0.3" footer="0.3"/>
  <pageSetup orientation="portrait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28" t="s">
        <v>146</v>
      </c>
    </row>
    <row r="2" spans="1:10" x14ac:dyDescent="0.25">
      <c r="A2">
        <v>1</v>
      </c>
      <c r="B2" t="s">
        <v>147</v>
      </c>
    </row>
    <row r="3" spans="1:10" x14ac:dyDescent="0.25">
      <c r="A3">
        <v>2</v>
      </c>
      <c r="B3" t="s">
        <v>148</v>
      </c>
    </row>
    <row r="4" spans="1:10" x14ac:dyDescent="0.25">
      <c r="A4">
        <v>3</v>
      </c>
      <c r="B4" t="s">
        <v>149</v>
      </c>
    </row>
    <row r="5" spans="1:10" x14ac:dyDescent="0.25">
      <c r="A5">
        <v>4</v>
      </c>
      <c r="B5" t="s">
        <v>150</v>
      </c>
    </row>
    <row r="8" spans="1:10" x14ac:dyDescent="0.25">
      <c r="A8" t="s">
        <v>151</v>
      </c>
      <c r="B8" t="s">
        <v>152</v>
      </c>
      <c r="C8" t="s">
        <v>153</v>
      </c>
    </row>
    <row r="9" spans="1:10" x14ac:dyDescent="0.25">
      <c r="A9" t="s">
        <v>154</v>
      </c>
      <c r="B9" t="s">
        <v>155</v>
      </c>
      <c r="C9" t="s">
        <v>156</v>
      </c>
      <c r="D9" t="s">
        <v>157</v>
      </c>
      <c r="E9">
        <v>4</v>
      </c>
      <c r="F9" s="31">
        <v>0.46995370370370371</v>
      </c>
      <c r="G9" t="s">
        <v>158</v>
      </c>
      <c r="H9">
        <v>3</v>
      </c>
      <c r="I9" t="s">
        <v>159</v>
      </c>
      <c r="J9">
        <v>12</v>
      </c>
    </row>
    <row r="10" spans="1:10" x14ac:dyDescent="0.25">
      <c r="A10" t="s">
        <v>160</v>
      </c>
    </row>
    <row r="11" spans="1:10" x14ac:dyDescent="0.25">
      <c r="B11">
        <v>1</v>
      </c>
      <c r="C11" t="s">
        <v>42</v>
      </c>
      <c r="D11" t="s">
        <v>43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46</v>
      </c>
      <c r="D12" t="s">
        <v>43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48</v>
      </c>
      <c r="D13" t="s">
        <v>43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50</v>
      </c>
      <c r="D14" t="s">
        <v>43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52</v>
      </c>
      <c r="D15" t="s">
        <v>43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54</v>
      </c>
      <c r="D16" t="s">
        <v>43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56</v>
      </c>
      <c r="D17" t="s">
        <v>43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57</v>
      </c>
      <c r="D18" t="s">
        <v>43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58</v>
      </c>
      <c r="D19" t="s">
        <v>43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60</v>
      </c>
      <c r="D20" t="s">
        <v>43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61</v>
      </c>
      <c r="D21" t="s">
        <v>43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62</v>
      </c>
      <c r="D22" t="s">
        <v>43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63</v>
      </c>
      <c r="D23" t="s">
        <v>43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65</v>
      </c>
      <c r="D24" t="s">
        <v>43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66</v>
      </c>
      <c r="D25" t="s">
        <v>43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67</v>
      </c>
      <c r="D26" t="s">
        <v>43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68</v>
      </c>
      <c r="D27" t="s">
        <v>43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74</v>
      </c>
      <c r="D28" t="s">
        <v>43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76</v>
      </c>
      <c r="D29" t="s">
        <v>43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77</v>
      </c>
      <c r="D30" t="s">
        <v>43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78</v>
      </c>
      <c r="D31" t="s">
        <v>43</v>
      </c>
      <c r="E31">
        <v>0.239019734309</v>
      </c>
      <c r="F31">
        <v>0.118684885778</v>
      </c>
    </row>
    <row r="32" spans="2:6" x14ac:dyDescent="0.25">
      <c r="B32">
        <v>25</v>
      </c>
      <c r="C32" t="s">
        <v>80</v>
      </c>
      <c r="D32" t="s">
        <v>43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81</v>
      </c>
      <c r="D33" t="s">
        <v>43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82</v>
      </c>
      <c r="D34" t="s">
        <v>43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84</v>
      </c>
      <c r="D35" t="s">
        <v>43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85</v>
      </c>
      <c r="D36" t="s">
        <v>43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87</v>
      </c>
      <c r="D37" t="s">
        <v>43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88</v>
      </c>
      <c r="D38" t="s">
        <v>43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89</v>
      </c>
      <c r="D39" t="s">
        <v>43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91</v>
      </c>
      <c r="D40" t="s">
        <v>43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92</v>
      </c>
      <c r="D41" t="s">
        <v>43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93</v>
      </c>
      <c r="D42" t="s">
        <v>43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94</v>
      </c>
      <c r="D43" t="s">
        <v>43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96</v>
      </c>
      <c r="D44" t="s">
        <v>43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97</v>
      </c>
      <c r="D45" t="s">
        <v>43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99</v>
      </c>
      <c r="D46" t="s">
        <v>43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100</v>
      </c>
      <c r="D47" t="s">
        <v>43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101</v>
      </c>
      <c r="D48" t="s">
        <v>43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102</v>
      </c>
      <c r="D49" t="s">
        <v>43</v>
      </c>
      <c r="E49">
        <v>-1.45349726543</v>
      </c>
      <c r="F49">
        <v>0.40356684826</v>
      </c>
    </row>
    <row r="50" spans="2:6" x14ac:dyDescent="0.25">
      <c r="B50">
        <v>48</v>
      </c>
      <c r="C50" t="s">
        <v>104</v>
      </c>
      <c r="D50" t="s">
        <v>43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105</v>
      </c>
      <c r="D51" t="s">
        <v>43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106</v>
      </c>
      <c r="D52" t="s">
        <v>43</v>
      </c>
      <c r="E52">
        <v>0.188609995585</v>
      </c>
      <c r="F52">
        <v>0.169738586315</v>
      </c>
    </row>
    <row r="53" spans="2:6" x14ac:dyDescent="0.25">
      <c r="B53">
        <v>51</v>
      </c>
      <c r="C53" t="s">
        <v>107</v>
      </c>
      <c r="D53" t="s">
        <v>43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109</v>
      </c>
      <c r="D54" t="s">
        <v>43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110</v>
      </c>
      <c r="D55" t="s">
        <v>43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111</v>
      </c>
      <c r="D56" t="s">
        <v>43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112</v>
      </c>
      <c r="D57" t="s">
        <v>43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114</v>
      </c>
      <c r="D58" t="s">
        <v>43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115</v>
      </c>
      <c r="D59" t="s">
        <v>43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116</v>
      </c>
      <c r="D60" t="s">
        <v>43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117</v>
      </c>
      <c r="D61" t="s">
        <v>43</v>
      </c>
      <c r="E61">
        <v>-0.42495698544999999</v>
      </c>
      <c r="F61" s="22">
        <v>9.3174665093100004E-2</v>
      </c>
    </row>
    <row r="62" spans="2:6" x14ac:dyDescent="0.25">
      <c r="B62">
        <v>60</v>
      </c>
      <c r="C62" t="s">
        <v>119</v>
      </c>
      <c r="D62" t="s">
        <v>43</v>
      </c>
      <c r="E62">
        <v>-0.11124462416</v>
      </c>
      <c r="F62" s="22">
        <v>1.9324554676499999E-2</v>
      </c>
    </row>
    <row r="63" spans="2:6" x14ac:dyDescent="0.25">
      <c r="B63">
        <v>63</v>
      </c>
      <c r="C63" t="s">
        <v>124</v>
      </c>
      <c r="D63" t="s">
        <v>43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126</v>
      </c>
      <c r="D64" t="s">
        <v>43</v>
      </c>
      <c r="E64">
        <v>-0.182881856812</v>
      </c>
      <c r="F64" s="22">
        <v>9.1832192679999994E-2</v>
      </c>
    </row>
    <row r="65" spans="2:11" x14ac:dyDescent="0.25">
      <c r="B65">
        <v>72</v>
      </c>
      <c r="C65" t="s">
        <v>128</v>
      </c>
      <c r="D65" t="s">
        <v>43</v>
      </c>
      <c r="E65">
        <v>0.14811075420100001</v>
      </c>
      <c r="F65" s="22">
        <v>5.9982749063499999E-2</v>
      </c>
    </row>
    <row r="66" spans="2:11" x14ac:dyDescent="0.25">
      <c r="B66">
        <v>73</v>
      </c>
      <c r="C66" t="s">
        <v>133</v>
      </c>
      <c r="D66" t="s">
        <v>43</v>
      </c>
      <c r="E66" s="22">
        <v>7.1458236224400005E-4</v>
      </c>
      <c r="F66" s="22">
        <v>1.9087285637099999E-4</v>
      </c>
    </row>
    <row r="67" spans="2:11" x14ac:dyDescent="0.25">
      <c r="B67">
        <v>75</v>
      </c>
      <c r="C67" t="s">
        <v>135</v>
      </c>
      <c r="D67" t="s">
        <v>43</v>
      </c>
      <c r="E67">
        <v>0.29597958689600001</v>
      </c>
      <c r="F67" s="22">
        <v>7.8942367252999995E-2</v>
      </c>
    </row>
    <row r="68" spans="2:11" x14ac:dyDescent="0.25">
      <c r="B68">
        <v>76</v>
      </c>
      <c r="C68" t="s">
        <v>137</v>
      </c>
      <c r="D68" t="s">
        <v>43</v>
      </c>
      <c r="E68">
        <v>0.19796492273399999</v>
      </c>
      <c r="F68" s="22">
        <v>3.4156307751499998E-2</v>
      </c>
    </row>
    <row r="69" spans="2:11" x14ac:dyDescent="0.25">
      <c r="B69">
        <v>77</v>
      </c>
      <c r="C69" t="s">
        <v>142</v>
      </c>
      <c r="D69" t="s">
        <v>43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144</v>
      </c>
      <c r="D70" t="s">
        <v>43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22">
        <v>-5314.5725053400001</v>
      </c>
      <c r="D72" s="22">
        <v>-6344.40425082</v>
      </c>
      <c r="E72" s="22">
        <v>-3915.8071334400001</v>
      </c>
    </row>
    <row r="73" spans="2:11" x14ac:dyDescent="0.25">
      <c r="B73">
        <v>8</v>
      </c>
      <c r="C73" t="s">
        <v>161</v>
      </c>
      <c r="D73" t="s">
        <v>158</v>
      </c>
      <c r="E73">
        <v>3</v>
      </c>
      <c r="F73" t="s">
        <v>159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0B050"/>
  </sheetPr>
  <dimension ref="A1:AA62"/>
  <sheetViews>
    <sheetView workbookViewId="0">
      <selection activeCell="I26" sqref="I26"/>
    </sheetView>
  </sheetViews>
  <sheetFormatPr defaultRowHeight="15" x14ac:dyDescent="0.25"/>
  <cols>
    <col min="9" max="9" width="14.85546875" customWidth="1" collapsed="1"/>
    <col min="19" max="19" width="15.42578125" bestFit="1" customWidth="1" collapsed="1"/>
    <col min="20" max="20" width="9.42578125" bestFit="1" customWidth="1" collapsed="1"/>
    <col min="21" max="22" width="14.42578125" bestFit="1" customWidth="1" collapsed="1"/>
    <col min="26" max="27" width="14.42578125" bestFit="1" customWidth="1" collapsed="1"/>
  </cols>
  <sheetData>
    <row r="1" spans="1:27" x14ac:dyDescent="0.25">
      <c r="X1" s="28" t="s">
        <v>162</v>
      </c>
    </row>
    <row r="2" spans="1:27" x14ac:dyDescent="0.25">
      <c r="C2" t="s">
        <v>0</v>
      </c>
      <c r="K2" t="s">
        <v>37</v>
      </c>
      <c r="Z2" t="s">
        <v>163</v>
      </c>
      <c r="AA2" t="s">
        <v>164</v>
      </c>
    </row>
    <row r="3" spans="1:27" x14ac:dyDescent="0.25">
      <c r="A3" s="28" t="s">
        <v>165</v>
      </c>
      <c r="X3" s="32">
        <v>1</v>
      </c>
      <c r="Y3" s="32" t="s">
        <v>42</v>
      </c>
      <c r="Z3" s="35">
        <f>VehAvailCoefficient!E11</f>
        <v>-3.7471395627100001</v>
      </c>
      <c r="AA3" s="34">
        <f t="shared" ref="AA3:AA19" si="0">V6</f>
        <v>-3.3241908380758844</v>
      </c>
    </row>
    <row r="4" spans="1:27" ht="15.75" customHeight="1" thickBot="1" x14ac:dyDescent="0.3">
      <c r="A4" s="12"/>
      <c r="B4" s="10" t="s">
        <v>7</v>
      </c>
      <c r="C4" s="9"/>
      <c r="D4" s="9"/>
      <c r="E4" s="9"/>
      <c r="F4" s="9"/>
      <c r="G4" s="9"/>
      <c r="I4" s="12"/>
      <c r="J4" s="10" t="s">
        <v>7</v>
      </c>
      <c r="K4" s="9"/>
      <c r="L4" s="9"/>
      <c r="M4" s="9"/>
      <c r="N4" s="9"/>
      <c r="O4" s="9"/>
      <c r="X4" s="32">
        <v>2</v>
      </c>
      <c r="Y4" s="32" t="s">
        <v>46</v>
      </c>
      <c r="Z4" s="35">
        <f>VehAvailCoefficient!E12</f>
        <v>-2.1297115852199999</v>
      </c>
      <c r="AA4" s="34">
        <f t="shared" si="0"/>
        <v>-1.9205609761353464</v>
      </c>
    </row>
    <row r="5" spans="1:27" x14ac:dyDescent="0.25">
      <c r="A5" s="11" t="s">
        <v>32</v>
      </c>
      <c r="B5" s="2">
        <v>0</v>
      </c>
      <c r="C5" s="2">
        <v>1</v>
      </c>
      <c r="D5" s="2">
        <v>2</v>
      </c>
      <c r="E5" s="2">
        <v>3</v>
      </c>
      <c r="F5" s="2" t="s">
        <v>9</v>
      </c>
      <c r="G5" s="2" t="s">
        <v>10</v>
      </c>
      <c r="I5" s="11" t="s">
        <v>32</v>
      </c>
      <c r="J5" s="2">
        <v>0</v>
      </c>
      <c r="K5" s="2">
        <v>1</v>
      </c>
      <c r="L5" s="2">
        <v>2</v>
      </c>
      <c r="M5" s="2">
        <v>3</v>
      </c>
      <c r="N5" s="2" t="s">
        <v>9</v>
      </c>
      <c r="O5" s="2" t="s">
        <v>10</v>
      </c>
      <c r="Q5" s="29" t="s">
        <v>166</v>
      </c>
      <c r="R5" s="29" t="s">
        <v>40</v>
      </c>
      <c r="S5" s="29" t="s">
        <v>167</v>
      </c>
      <c r="T5" s="29" t="s">
        <v>168</v>
      </c>
      <c r="U5" s="29" t="s">
        <v>169</v>
      </c>
      <c r="V5" s="29" t="s">
        <v>170</v>
      </c>
      <c r="X5" s="32">
        <v>3</v>
      </c>
      <c r="Y5" s="32" t="s">
        <v>48</v>
      </c>
      <c r="Z5" s="35">
        <f>VehAvailCoefficient!E13</f>
        <v>-3.96633437255</v>
      </c>
      <c r="AA5" s="34">
        <f t="shared" si="0"/>
        <v>-3.216278021735075</v>
      </c>
    </row>
    <row r="6" spans="1:27" x14ac:dyDescent="0.25">
      <c r="A6" s="3">
        <v>1</v>
      </c>
      <c r="B6" s="4">
        <f>Vehicles_by_HHDrivers!B16</f>
        <v>79163.614325542614</v>
      </c>
      <c r="C6" s="4">
        <f>Vehicles_by_HHDrivers!C16</f>
        <v>230575.97459128051</v>
      </c>
      <c r="D6" s="4">
        <f>Vehicles_by_HHDrivers!D16</f>
        <v>41920.848602505379</v>
      </c>
      <c r="E6" s="4">
        <f>Vehicles_by_HHDrivers!E16</f>
        <v>16140.928998838304</v>
      </c>
      <c r="F6" s="4">
        <f>Vehicles_by_HHDrivers!F16</f>
        <v>4647.4414425240775</v>
      </c>
      <c r="G6" s="4">
        <f>SUM(B6:F6)</f>
        <v>372448.80796069093</v>
      </c>
      <c r="I6" s="3">
        <v>1</v>
      </c>
      <c r="J6" s="4">
        <f>Vehicles_by_HHDrivers!R16</f>
        <v>55290.787038572307</v>
      </c>
      <c r="K6" s="4">
        <f>Vehicles_by_HHDrivers!S16</f>
        <v>269163.70541003748</v>
      </c>
      <c r="L6" s="4">
        <f>Vehicles_by_HHDrivers!T16</f>
        <v>36258.394088157947</v>
      </c>
      <c r="M6" s="4">
        <f>Vehicles_by_HHDrivers!U16</f>
        <v>8128.2049888419997</v>
      </c>
      <c r="N6" s="4">
        <f>Vehicles_by_HHDrivers!V16</f>
        <v>3607.716435081205</v>
      </c>
      <c r="O6" s="4">
        <f>SUM(J6:N6)</f>
        <v>372448.80796069093</v>
      </c>
      <c r="Q6">
        <v>1</v>
      </c>
      <c r="R6" t="s">
        <v>44</v>
      </c>
      <c r="S6" s="33">
        <f t="shared" ref="S6:S22" si="1">Z3</f>
        <v>-3.7471395627100001</v>
      </c>
      <c r="T6" s="30">
        <f>B15/J15</f>
        <v>1.4317686284754096</v>
      </c>
      <c r="U6" s="33">
        <f t="shared" ref="U6:U22" si="2">LN(T6)-LN($T$22)</f>
        <v>0.42294872463411554</v>
      </c>
      <c r="V6" s="33">
        <f t="shared" ref="V6:V22" si="3">S6+U6</f>
        <v>-3.3241908380758844</v>
      </c>
      <c r="X6" s="32">
        <v>4</v>
      </c>
      <c r="Y6" s="32" t="s">
        <v>50</v>
      </c>
      <c r="Z6" s="35">
        <f>VehAvailCoefficient!E14</f>
        <v>-11.219392631330001</v>
      </c>
      <c r="AA6" s="34">
        <f t="shared" si="0"/>
        <v>-11.714377659734</v>
      </c>
    </row>
    <row r="7" spans="1:27" x14ac:dyDescent="0.25">
      <c r="A7" s="3">
        <v>2</v>
      </c>
      <c r="B7" s="4">
        <f>Vehicles_by_HHDrivers!B17</f>
        <v>13865.948872530606</v>
      </c>
      <c r="C7" s="4">
        <f>Vehicles_by_HHDrivers!C17</f>
        <v>151612.51728203372</v>
      </c>
      <c r="D7" s="4">
        <f>Vehicles_by_HHDrivers!D17</f>
        <v>411255.89074949344</v>
      </c>
      <c r="E7" s="4">
        <f>Vehicles_by_HHDrivers!E17</f>
        <v>92876.887087121184</v>
      </c>
      <c r="F7" s="4">
        <f>Vehicles_by_HHDrivers!F17</f>
        <v>51888.324752230052</v>
      </c>
      <c r="G7" s="4">
        <f>SUM(B7:F7)</f>
        <v>721499.56874340901</v>
      </c>
      <c r="I7" s="3">
        <v>2</v>
      </c>
      <c r="J7" s="4">
        <f>Vehicles_by_HHDrivers!R17</f>
        <v>17238.794911873971</v>
      </c>
      <c r="K7" s="4">
        <f>Vehicles_by_HHDrivers!S17</f>
        <v>121100.383919557</v>
      </c>
      <c r="L7" s="4">
        <f>Vehicles_by_HHDrivers!T17</f>
        <v>423327.33776450978</v>
      </c>
      <c r="M7" s="4">
        <f>Vehicles_by_HHDrivers!U17</f>
        <v>120365.16239520079</v>
      </c>
      <c r="N7" s="4">
        <f>Vehicles_by_HHDrivers!V17</f>
        <v>39467.889752267372</v>
      </c>
      <c r="O7" s="4">
        <f>SUM(J7:N7)</f>
        <v>721499.56874340901</v>
      </c>
      <c r="Q7">
        <v>2</v>
      </c>
      <c r="R7" t="s">
        <v>44</v>
      </c>
      <c r="S7" s="33">
        <f t="shared" si="1"/>
        <v>-2.1297115852199999</v>
      </c>
      <c r="T7" s="30">
        <f>D15/L15</f>
        <v>1.1561694790061539</v>
      </c>
      <c r="U7" s="33">
        <f t="shared" si="2"/>
        <v>0.20915060908465366</v>
      </c>
      <c r="V7" s="33">
        <f t="shared" si="3"/>
        <v>-1.9205609761353464</v>
      </c>
      <c r="X7" s="32">
        <v>5</v>
      </c>
      <c r="Y7" s="32" t="s">
        <v>52</v>
      </c>
      <c r="Z7" s="35">
        <f>VehAvailCoefficient!E15</f>
        <v>-5.0125223934900003</v>
      </c>
      <c r="AA7" s="34">
        <f t="shared" si="0"/>
        <v>-5.1662104008763245</v>
      </c>
    </row>
    <row r="8" spans="1:27" x14ac:dyDescent="0.25">
      <c r="A8" s="3">
        <v>3</v>
      </c>
      <c r="B8" s="4">
        <f>Vehicles_by_HHDrivers!B18</f>
        <v>1811.8903081064898</v>
      </c>
      <c r="C8" s="4">
        <f>Vehicles_by_HHDrivers!C18</f>
        <v>15025.973074877109</v>
      </c>
      <c r="D8" s="4">
        <f>Vehicles_by_HHDrivers!D18</f>
        <v>88274.347881272362</v>
      </c>
      <c r="E8" s="4">
        <f>Vehicles_by_HHDrivers!E18</f>
        <v>71772.091862125715</v>
      </c>
      <c r="F8" s="4">
        <f>Vehicles_by_HHDrivers!F18</f>
        <v>35035.898966225715</v>
      </c>
      <c r="G8" s="4">
        <f>SUM(B8:F8)</f>
        <v>211920.20209260739</v>
      </c>
      <c r="I8" s="3">
        <v>3</v>
      </c>
      <c r="J8" s="4">
        <f>Vehicles_by_HHDrivers!R18</f>
        <v>3567.1431222101301</v>
      </c>
      <c r="K8" s="4">
        <f>Vehicles_by_HHDrivers!S18</f>
        <v>17134.400392019059</v>
      </c>
      <c r="L8" s="4">
        <f>Vehicles_by_HHDrivers!T18</f>
        <v>81089.605195510027</v>
      </c>
      <c r="M8" s="4">
        <f>Vehicles_by_HHDrivers!U18</f>
        <v>81341.068144698715</v>
      </c>
      <c r="N8" s="4">
        <f>Vehicles_by_HHDrivers!V18</f>
        <v>28787.985238169491</v>
      </c>
      <c r="O8" s="4">
        <f>SUM(J8:N8)</f>
        <v>211920.20209260742</v>
      </c>
      <c r="Q8">
        <v>3</v>
      </c>
      <c r="R8" t="s">
        <v>44</v>
      </c>
      <c r="S8" s="33">
        <f t="shared" si="1"/>
        <v>-3.96633437255</v>
      </c>
      <c r="T8" s="30">
        <f>E15/M15</f>
        <v>1.9857925607186064</v>
      </c>
      <c r="U8" s="33">
        <f t="shared" si="2"/>
        <v>0.75005635081492517</v>
      </c>
      <c r="V8" s="33">
        <f t="shared" si="3"/>
        <v>-3.216278021735075</v>
      </c>
      <c r="X8" s="32">
        <v>6</v>
      </c>
      <c r="Y8" s="32" t="s">
        <v>54</v>
      </c>
      <c r="Z8" s="35">
        <f>VehAvailCoefficient!E16</f>
        <v>-1.8563745465099999</v>
      </c>
      <c r="AA8" s="34">
        <f t="shared" si="0"/>
        <v>-1.5676280882661082</v>
      </c>
    </row>
    <row r="9" spans="1:27" x14ac:dyDescent="0.25">
      <c r="A9" s="5" t="s">
        <v>9</v>
      </c>
      <c r="B9" s="4">
        <f>Vehicles_by_HHDrivers!B19</f>
        <v>0</v>
      </c>
      <c r="C9" s="4">
        <f>Vehicles_by_HHDrivers!C19</f>
        <v>10695.72653132073</v>
      </c>
      <c r="D9" s="4">
        <f>Vehicles_by_HHDrivers!D19</f>
        <v>17917.571590590564</v>
      </c>
      <c r="E9" s="4">
        <f>Vehicles_by_HHDrivers!E19</f>
        <v>37348.216102298444</v>
      </c>
      <c r="F9" s="4">
        <f>Vehicles_by_HHDrivers!F19</f>
        <v>50959.857896027104</v>
      </c>
      <c r="G9" s="6">
        <f>SUM(B9:F9)</f>
        <v>116921.37212023683</v>
      </c>
      <c r="I9" s="5" t="s">
        <v>9</v>
      </c>
      <c r="J9" s="4">
        <f>Vehicles_by_HHDrivers!R19</f>
        <v>548.88093582753436</v>
      </c>
      <c r="K9" s="4">
        <f>Vehicles_by_HHDrivers!S19</f>
        <v>2865.055580404678</v>
      </c>
      <c r="L9" s="4">
        <f>Vehicles_by_HHDrivers!T19</f>
        <v>29538.977701883359</v>
      </c>
      <c r="M9" s="4">
        <f>Vehicles_by_HHDrivers!U19</f>
        <v>42673.7265451567</v>
      </c>
      <c r="N9" s="4">
        <f>Vehicles_by_HHDrivers!V19</f>
        <v>41294.731356964578</v>
      </c>
      <c r="O9" s="6">
        <f>SUM(J9:N9)</f>
        <v>116921.37212023685</v>
      </c>
      <c r="Q9">
        <v>4</v>
      </c>
      <c r="R9" t="s">
        <v>44</v>
      </c>
      <c r="S9" s="33">
        <f t="shared" si="1"/>
        <v>-11.219392631330001</v>
      </c>
      <c r="T9" s="30">
        <f>F15/M15</f>
        <v>0.57176725352077828</v>
      </c>
      <c r="U9" s="33">
        <f t="shared" si="2"/>
        <v>-0.49498502840399877</v>
      </c>
      <c r="V9" s="33">
        <f t="shared" si="3"/>
        <v>-11.714377659734</v>
      </c>
      <c r="X9" s="32">
        <v>7</v>
      </c>
      <c r="Y9" s="32" t="s">
        <v>56</v>
      </c>
      <c r="Z9" s="35">
        <f>VehAvailCoefficient!E17</f>
        <v>-1.3964239432800001</v>
      </c>
      <c r="AA9" s="34">
        <f t="shared" si="0"/>
        <v>-1.591641022563832</v>
      </c>
    </row>
    <row r="10" spans="1:27" ht="15.75" customHeight="1" thickBot="1" x14ac:dyDescent="0.3">
      <c r="A10" s="7" t="s">
        <v>10</v>
      </c>
      <c r="B10" s="8">
        <f>SUM(B6:B9)</f>
        <v>94841.453506179707</v>
      </c>
      <c r="C10" s="8">
        <f>SUM(C6:C9)</f>
        <v>407910.19147951208</v>
      </c>
      <c r="D10" s="8">
        <f>SUM(D6:D9)</f>
        <v>559368.65882386174</v>
      </c>
      <c r="E10" s="8">
        <f>SUM(E6:E9)</f>
        <v>218138.12405038366</v>
      </c>
      <c r="F10" s="8">
        <f>SUM(F6:F9)</f>
        <v>142531.52305700694</v>
      </c>
      <c r="G10" s="8">
        <f>SUM(B10:F10)</f>
        <v>1422789.9509169441</v>
      </c>
      <c r="I10" s="7" t="s">
        <v>10</v>
      </c>
      <c r="J10" s="8">
        <f>SUM(J6:J9)</f>
        <v>76645.606008483926</v>
      </c>
      <c r="K10" s="8">
        <f>SUM(K6:K9)</f>
        <v>410263.54530201829</v>
      </c>
      <c r="L10" s="8">
        <f>SUM(L6:L9)</f>
        <v>570214.31475006125</v>
      </c>
      <c r="M10" s="8">
        <f>SUM(M6:M9)</f>
        <v>252508.16207389822</v>
      </c>
      <c r="N10" s="8">
        <f>SUM(N6:N9)</f>
        <v>113158.32278248265</v>
      </c>
      <c r="O10" s="8">
        <f>SUM(J10:N10)</f>
        <v>1422789.9509169443</v>
      </c>
      <c r="Q10">
        <v>5</v>
      </c>
      <c r="R10" t="s">
        <v>53</v>
      </c>
      <c r="S10" s="33">
        <f t="shared" si="1"/>
        <v>-5.0125223934900003</v>
      </c>
      <c r="T10" s="30">
        <f>B16/J16</f>
        <v>0.80434560208033057</v>
      </c>
      <c r="U10" s="33">
        <f t="shared" si="2"/>
        <v>-0.15368800738632454</v>
      </c>
      <c r="V10" s="33">
        <f t="shared" si="3"/>
        <v>-5.1662104008763245</v>
      </c>
      <c r="X10" s="32">
        <v>8</v>
      </c>
      <c r="Y10" s="32" t="s">
        <v>57</v>
      </c>
      <c r="Z10" s="35">
        <f>VehAvailCoefficient!E18</f>
        <v>-2.3942936803500001</v>
      </c>
      <c r="AA10" s="34">
        <f t="shared" si="0"/>
        <v>-2.0566490542917579</v>
      </c>
    </row>
    <row r="11" spans="1:27" x14ac:dyDescent="0.25">
      <c r="G11" s="4"/>
      <c r="O11" s="4"/>
      <c r="Q11">
        <v>6</v>
      </c>
      <c r="R11" t="s">
        <v>53</v>
      </c>
      <c r="S11" s="33">
        <f t="shared" si="1"/>
        <v>-1.8563745465099999</v>
      </c>
      <c r="T11" s="30">
        <f>C16/K16</f>
        <v>1.2519573627672802</v>
      </c>
      <c r="U11" s="33">
        <f t="shared" si="2"/>
        <v>0.28874645824389167</v>
      </c>
      <c r="V11" s="33">
        <f t="shared" si="3"/>
        <v>-1.5676280882661082</v>
      </c>
      <c r="X11" s="32">
        <v>9</v>
      </c>
      <c r="Y11" s="32" t="s">
        <v>58</v>
      </c>
      <c r="Z11" s="35">
        <f>VehAvailCoefficient!E19</f>
        <v>-4.9201833156500001</v>
      </c>
      <c r="AA11" s="34">
        <f t="shared" si="0"/>
        <v>-5.5335394343274764</v>
      </c>
    </row>
    <row r="12" spans="1:27" x14ac:dyDescent="0.25">
      <c r="A12" s="28" t="s">
        <v>171</v>
      </c>
      <c r="Q12">
        <v>7</v>
      </c>
      <c r="R12" t="s">
        <v>53</v>
      </c>
      <c r="S12" s="33">
        <f t="shared" si="1"/>
        <v>-1.3964239432800001</v>
      </c>
      <c r="T12" s="30">
        <f>E16/M16</f>
        <v>0.77162598578294606</v>
      </c>
      <c r="U12" s="33">
        <f t="shared" si="2"/>
        <v>-0.19521707928383192</v>
      </c>
      <c r="V12" s="33">
        <f t="shared" si="3"/>
        <v>-1.591641022563832</v>
      </c>
      <c r="X12" s="32">
        <v>10</v>
      </c>
      <c r="Y12" s="32" t="s">
        <v>60</v>
      </c>
      <c r="Z12" s="35">
        <f>VehAvailCoefficient!E20</f>
        <v>-2.29401614977</v>
      </c>
      <c r="AA12" s="34">
        <f t="shared" si="0"/>
        <v>-2.3612858278268249</v>
      </c>
    </row>
    <row r="13" spans="1:27" ht="15.75" customHeight="1" thickBot="1" x14ac:dyDescent="0.3">
      <c r="A13" s="12"/>
      <c r="B13" s="10" t="s">
        <v>7</v>
      </c>
      <c r="C13" s="9"/>
      <c r="D13" s="9"/>
      <c r="E13" s="9"/>
      <c r="F13" s="9"/>
      <c r="G13" s="9"/>
      <c r="I13" s="12"/>
      <c r="J13" s="10" t="s">
        <v>7</v>
      </c>
      <c r="K13" s="9"/>
      <c r="L13" s="9"/>
      <c r="M13" s="9"/>
      <c r="N13" s="9"/>
      <c r="O13" s="9"/>
      <c r="Q13">
        <v>8</v>
      </c>
      <c r="R13" t="s">
        <v>53</v>
      </c>
      <c r="S13" s="33">
        <f t="shared" si="1"/>
        <v>-2.3942936803500001</v>
      </c>
      <c r="T13" s="30">
        <f>F16/N16</f>
        <v>1.3146972153293084</v>
      </c>
      <c r="U13" s="33">
        <f t="shared" si="2"/>
        <v>0.33764462605824225</v>
      </c>
      <c r="V13" s="33">
        <f t="shared" si="3"/>
        <v>-2.0566490542917579</v>
      </c>
      <c r="X13" s="32">
        <v>11</v>
      </c>
      <c r="Y13" s="32" t="s">
        <v>61</v>
      </c>
      <c r="Z13" s="35">
        <f>VehAvailCoefficient!E21</f>
        <v>-1.4446352364099999</v>
      </c>
      <c r="AA13" s="34">
        <f t="shared" si="0"/>
        <v>-1.295702220758657</v>
      </c>
    </row>
    <row r="14" spans="1:27" x14ac:dyDescent="0.25">
      <c r="A14" s="11" t="s">
        <v>172</v>
      </c>
      <c r="B14" s="2">
        <v>0</v>
      </c>
      <c r="C14" s="2">
        <v>1</v>
      </c>
      <c r="D14" s="2">
        <v>2</v>
      </c>
      <c r="E14" s="2">
        <v>3</v>
      </c>
      <c r="F14" s="2" t="s">
        <v>9</v>
      </c>
      <c r="G14" s="2" t="s">
        <v>10</v>
      </c>
      <c r="I14" s="11" t="s">
        <v>172</v>
      </c>
      <c r="J14" s="2">
        <v>0</v>
      </c>
      <c r="K14" s="2">
        <v>1</v>
      </c>
      <c r="L14" s="2">
        <v>2</v>
      </c>
      <c r="M14" s="2">
        <v>3</v>
      </c>
      <c r="N14" s="2" t="s">
        <v>9</v>
      </c>
      <c r="O14" s="2" t="s">
        <v>10</v>
      </c>
      <c r="Q14">
        <v>9</v>
      </c>
      <c r="R14" t="s">
        <v>59</v>
      </c>
      <c r="S14" s="33">
        <f t="shared" si="1"/>
        <v>-4.9201833156500001</v>
      </c>
      <c r="T14" s="30">
        <f>B17/J17</f>
        <v>0.50793877510131391</v>
      </c>
      <c r="U14" s="33">
        <f t="shared" si="2"/>
        <v>-0.61335611867747641</v>
      </c>
      <c r="V14" s="33">
        <f t="shared" si="3"/>
        <v>-5.5335394343274764</v>
      </c>
      <c r="X14" s="32">
        <v>12</v>
      </c>
      <c r="Y14" s="32" t="s">
        <v>62</v>
      </c>
      <c r="Z14" s="35">
        <f>VehAvailCoefficient!E22</f>
        <v>-0.81535992723999995</v>
      </c>
      <c r="AA14" s="34">
        <f t="shared" si="0"/>
        <v>-0.55490658608110599</v>
      </c>
    </row>
    <row r="15" spans="1:27" x14ac:dyDescent="0.25">
      <c r="A15" s="3">
        <v>1</v>
      </c>
      <c r="B15" s="15">
        <f t="shared" ref="B15:G19" si="4">B6/$G$10</f>
        <v>5.5639705829046739E-2</v>
      </c>
      <c r="C15" s="15">
        <f t="shared" si="4"/>
        <v>0.1620590407197362</v>
      </c>
      <c r="D15" s="15">
        <f t="shared" si="4"/>
        <v>2.9463835175029658E-2</v>
      </c>
      <c r="E15" s="15">
        <f t="shared" si="4"/>
        <v>1.1344562131912709E-2</v>
      </c>
      <c r="F15" s="15">
        <f t="shared" si="4"/>
        <v>3.2664283575582929E-3</v>
      </c>
      <c r="G15" s="15">
        <f t="shared" si="4"/>
        <v>0.26177357221328362</v>
      </c>
      <c r="I15" s="3">
        <v>1</v>
      </c>
      <c r="J15" s="15">
        <f t="shared" ref="J15:O18" si="5">J6/$O$10</f>
        <v>3.8860822008855982E-2</v>
      </c>
      <c r="K15" s="15">
        <f t="shared" si="5"/>
        <v>0.18918021260732812</v>
      </c>
      <c r="L15" s="15">
        <f t="shared" si="5"/>
        <v>2.5484010527900152E-2</v>
      </c>
      <c r="M15" s="15">
        <f t="shared" si="5"/>
        <v>5.7128636476548224E-3</v>
      </c>
      <c r="N15" s="15">
        <f t="shared" si="5"/>
        <v>2.5356634215445103E-3</v>
      </c>
      <c r="O15" s="15">
        <f t="shared" si="5"/>
        <v>0.26177357221328357</v>
      </c>
      <c r="Q15">
        <v>10</v>
      </c>
      <c r="R15" t="s">
        <v>59</v>
      </c>
      <c r="S15" s="33">
        <f t="shared" si="1"/>
        <v>-2.29401614977</v>
      </c>
      <c r="T15" s="30">
        <f>C17/K17</f>
        <v>0.87694770351438611</v>
      </c>
      <c r="U15" s="33">
        <f t="shared" si="2"/>
        <v>-6.7269678056824808E-2</v>
      </c>
      <c r="V15" s="33">
        <f t="shared" si="3"/>
        <v>-2.3612858278268249</v>
      </c>
      <c r="X15" s="32">
        <v>13</v>
      </c>
      <c r="Y15" s="32" t="s">
        <v>63</v>
      </c>
      <c r="Z15" s="35">
        <f>VehAvailCoefficient!E23</f>
        <v>-5.3216543706600001</v>
      </c>
      <c r="AA15" s="34" t="e">
        <f t="shared" si="0"/>
        <v>#NUM!</v>
      </c>
    </row>
    <row r="16" spans="1:27" x14ac:dyDescent="0.25">
      <c r="A16" s="3">
        <v>2</v>
      </c>
      <c r="B16" s="15">
        <f t="shared" si="4"/>
        <v>9.74560500908404E-3</v>
      </c>
      <c r="C16" s="15">
        <f t="shared" si="4"/>
        <v>0.10656001413583512</v>
      </c>
      <c r="D16" s="15">
        <f t="shared" si="4"/>
        <v>0.28904891441245545</v>
      </c>
      <c r="E16" s="15">
        <f t="shared" si="4"/>
        <v>6.5278003283102265E-2</v>
      </c>
      <c r="F16" s="15">
        <f t="shared" si="4"/>
        <v>3.6469420323632193E-2</v>
      </c>
      <c r="G16" s="15">
        <f t="shared" si="4"/>
        <v>0.50710195716410911</v>
      </c>
      <c r="I16" s="3">
        <v>2</v>
      </c>
      <c r="J16" s="15">
        <f t="shared" si="5"/>
        <v>1.211619107990192E-2</v>
      </c>
      <c r="K16" s="15">
        <f t="shared" si="5"/>
        <v>8.5114730984367393E-2</v>
      </c>
      <c r="L16" s="15">
        <f t="shared" si="5"/>
        <v>0.29753326377634898</v>
      </c>
      <c r="M16" s="15">
        <f t="shared" si="5"/>
        <v>8.4597984627055561E-2</v>
      </c>
      <c r="N16" s="15">
        <f t="shared" si="5"/>
        <v>2.7739786696435079E-2</v>
      </c>
      <c r="O16" s="15">
        <f t="shared" si="5"/>
        <v>0.507101957164109</v>
      </c>
      <c r="Q16">
        <v>11</v>
      </c>
      <c r="R16" t="s">
        <v>59</v>
      </c>
      <c r="S16" s="33">
        <f t="shared" si="1"/>
        <v>-1.4446352364099999</v>
      </c>
      <c r="T16" s="30">
        <f>D17/L17</f>
        <v>1.0886025116097147</v>
      </c>
      <c r="U16" s="33">
        <f t="shared" si="2"/>
        <v>0.14893301565134276</v>
      </c>
      <c r="V16" s="33">
        <f t="shared" si="3"/>
        <v>-1.295702220758657</v>
      </c>
      <c r="X16" s="32">
        <v>14</v>
      </c>
      <c r="Y16" s="32" t="s">
        <v>65</v>
      </c>
      <c r="Z16" s="35">
        <f>VehAvailCoefficient!E24</f>
        <v>-1.1261276811700001</v>
      </c>
      <c r="AA16" s="34">
        <f t="shared" si="0"/>
        <v>0.25516708259724119</v>
      </c>
    </row>
    <row r="17" spans="1:27" x14ac:dyDescent="0.25">
      <c r="A17" s="3">
        <v>3</v>
      </c>
      <c r="B17" s="15">
        <f t="shared" si="4"/>
        <v>1.2734770209325576E-3</v>
      </c>
      <c r="C17" s="15">
        <f t="shared" si="4"/>
        <v>1.0560921564840498E-2</v>
      </c>
      <c r="D17" s="15">
        <f t="shared" si="4"/>
        <v>6.2043134212736238E-2</v>
      </c>
      <c r="E17" s="15">
        <f t="shared" si="4"/>
        <v>5.0444615395175391E-2</v>
      </c>
      <c r="F17" s="15">
        <f t="shared" si="4"/>
        <v>2.4624786633927351E-2</v>
      </c>
      <c r="G17" s="15">
        <f t="shared" si="4"/>
        <v>0.14894693482761204</v>
      </c>
      <c r="I17" s="3">
        <v>3</v>
      </c>
      <c r="J17" s="15">
        <f t="shared" si="5"/>
        <v>2.5071466943600608E-3</v>
      </c>
      <c r="K17" s="15">
        <f t="shared" si="5"/>
        <v>1.2042817972516931E-2</v>
      </c>
      <c r="L17" s="15">
        <f t="shared" si="5"/>
        <v>5.6993377794979698E-2</v>
      </c>
      <c r="M17" s="15">
        <f t="shared" si="5"/>
        <v>5.7170117129571305E-2</v>
      </c>
      <c r="N17" s="15">
        <f t="shared" si="5"/>
        <v>2.0233475236184035E-2</v>
      </c>
      <c r="O17" s="15">
        <f t="shared" si="5"/>
        <v>0.14894693482761204</v>
      </c>
      <c r="Q17">
        <v>12</v>
      </c>
      <c r="R17" t="s">
        <v>59</v>
      </c>
      <c r="S17" s="33">
        <f t="shared" si="1"/>
        <v>-0.81535992723999995</v>
      </c>
      <c r="T17" s="30">
        <f>F17/N17</f>
        <v>1.217031990129418</v>
      </c>
      <c r="U17" s="33">
        <f t="shared" si="2"/>
        <v>0.2604533411588939</v>
      </c>
      <c r="V17" s="33">
        <f t="shared" si="3"/>
        <v>-0.55490658608110599</v>
      </c>
      <c r="X17" s="32">
        <v>15</v>
      </c>
      <c r="Y17" s="32" t="s">
        <v>66</v>
      </c>
      <c r="Z17" s="35">
        <f>VehAvailCoefficient!E25</f>
        <v>-1.6372198765899999</v>
      </c>
      <c r="AA17" s="34">
        <f t="shared" si="0"/>
        <v>-2.0731104199564401</v>
      </c>
    </row>
    <row r="18" spans="1:27" x14ac:dyDescent="0.25">
      <c r="A18" s="5" t="s">
        <v>9</v>
      </c>
      <c r="B18" s="16">
        <f t="shared" si="4"/>
        <v>0</v>
      </c>
      <c r="C18" s="16">
        <f t="shared" si="4"/>
        <v>7.5174318770157645E-3</v>
      </c>
      <c r="D18" s="16">
        <f t="shared" si="4"/>
        <v>1.2593265491538819E-2</v>
      </c>
      <c r="E18" s="16">
        <f t="shared" si="4"/>
        <v>2.6249985866310537E-2</v>
      </c>
      <c r="F18" s="16">
        <f t="shared" si="4"/>
        <v>3.5816852560130223E-2</v>
      </c>
      <c r="G18" s="15">
        <f t="shared" si="4"/>
        <v>8.2177535794995343E-2</v>
      </c>
      <c r="I18" s="5" t="s">
        <v>9</v>
      </c>
      <c r="J18" s="15">
        <f t="shared" si="5"/>
        <v>3.857779115418952E-4</v>
      </c>
      <c r="K18" s="15">
        <f t="shared" si="5"/>
        <v>2.0136883723126087E-3</v>
      </c>
      <c r="L18" s="15">
        <f t="shared" si="5"/>
        <v>2.0761306110467254E-2</v>
      </c>
      <c r="M18" s="15">
        <f t="shared" si="5"/>
        <v>2.9992991247692464E-2</v>
      </c>
      <c r="N18" s="15">
        <f t="shared" si="5"/>
        <v>2.9023772152981117E-2</v>
      </c>
      <c r="O18" s="15">
        <f t="shared" si="5"/>
        <v>8.2177535794995329E-2</v>
      </c>
      <c r="Q18">
        <v>13</v>
      </c>
      <c r="R18" t="s">
        <v>64</v>
      </c>
      <c r="S18" s="33">
        <f t="shared" si="1"/>
        <v>-5.3216543706600001</v>
      </c>
      <c r="T18" s="30">
        <f>B18/J18</f>
        <v>0</v>
      </c>
      <c r="U18" s="33" t="e">
        <f t="shared" si="2"/>
        <v>#NUM!</v>
      </c>
      <c r="V18" s="33" t="e">
        <f t="shared" si="3"/>
        <v>#NUM!</v>
      </c>
      <c r="X18" s="32">
        <v>16</v>
      </c>
      <c r="Y18" s="32" t="s">
        <v>67</v>
      </c>
      <c r="Z18" s="35">
        <f>VehAvailCoefficient!E26</f>
        <v>-0.59991414110999997</v>
      </c>
      <c r="AA18" s="34">
        <f t="shared" si="0"/>
        <v>-0.66917417834584614</v>
      </c>
    </row>
    <row r="19" spans="1:27" ht="15.75" customHeight="1" thickBot="1" x14ac:dyDescent="0.3">
      <c r="A19" s="7" t="s">
        <v>10</v>
      </c>
      <c r="B19" s="17">
        <f t="shared" si="4"/>
        <v>6.6658787859063331E-2</v>
      </c>
      <c r="C19" s="17">
        <f t="shared" si="4"/>
        <v>0.28669740829742757</v>
      </c>
      <c r="D19" s="17">
        <f t="shared" si="4"/>
        <v>0.39314914929176015</v>
      </c>
      <c r="E19" s="17">
        <f t="shared" si="4"/>
        <v>0.15331716667650092</v>
      </c>
      <c r="F19" s="17">
        <f t="shared" si="4"/>
        <v>0.10017748787524805</v>
      </c>
      <c r="G19" s="17">
        <f t="shared" si="4"/>
        <v>1</v>
      </c>
      <c r="I19" s="7" t="s">
        <v>10</v>
      </c>
      <c r="J19" s="17">
        <f>J10/$O$10</f>
        <v>5.3869937694659843E-2</v>
      </c>
      <c r="K19" s="17">
        <f>K10/$O$10</f>
        <v>0.28835144993652512</v>
      </c>
      <c r="L19" s="17">
        <f>L10/$O$10</f>
        <v>0.40077195820969613</v>
      </c>
      <c r="M19" s="17">
        <f>M10/$O$10</f>
        <v>0.17747395665197416</v>
      </c>
      <c r="N19" s="17">
        <f>N10/$O$10</f>
        <v>7.9532697507144742E-2</v>
      </c>
      <c r="O19" s="17">
        <f>SUM(J19:N19)</f>
        <v>1</v>
      </c>
      <c r="Q19">
        <v>14</v>
      </c>
      <c r="R19" t="s">
        <v>64</v>
      </c>
      <c r="S19" s="33">
        <f t="shared" si="1"/>
        <v>-1.1261276811700001</v>
      </c>
      <c r="T19" s="30">
        <f>C18/K18</f>
        <v>3.7331654591531525</v>
      </c>
      <c r="U19" s="33">
        <f t="shared" si="2"/>
        <v>1.3812947637672413</v>
      </c>
      <c r="V19" s="33">
        <f t="shared" si="3"/>
        <v>0.25516708259724119</v>
      </c>
      <c r="X19" s="32">
        <v>18</v>
      </c>
      <c r="Y19" s="32" t="s">
        <v>68</v>
      </c>
      <c r="Z19" s="35">
        <f>VehAvailCoefficient!E27</f>
        <v>0.39953921787000002</v>
      </c>
      <c r="AA19" s="34">
        <f t="shared" si="0"/>
        <v>0.39953921787000002</v>
      </c>
    </row>
    <row r="20" spans="1:27" x14ac:dyDescent="0.25">
      <c r="Q20">
        <v>15</v>
      </c>
      <c r="R20" t="s">
        <v>64</v>
      </c>
      <c r="S20" s="33">
        <f t="shared" si="1"/>
        <v>-1.6372198765899999</v>
      </c>
      <c r="T20" s="30">
        <f>D18/L18</f>
        <v>0.60657385544687181</v>
      </c>
      <c r="U20" s="33">
        <f t="shared" si="2"/>
        <v>-0.43589054336644029</v>
      </c>
      <c r="V20" s="33">
        <f t="shared" si="3"/>
        <v>-2.0731104199564401</v>
      </c>
      <c r="X20">
        <v>19</v>
      </c>
      <c r="Y20" t="s">
        <v>74</v>
      </c>
      <c r="Z20" s="33">
        <f>VehAvailCoefficient!E28</f>
        <v>0.69903044631199995</v>
      </c>
      <c r="AA20" s="34">
        <v>0.69903044631199995</v>
      </c>
    </row>
    <row r="21" spans="1:27" x14ac:dyDescent="0.25">
      <c r="Q21">
        <v>16</v>
      </c>
      <c r="R21" t="s">
        <v>64</v>
      </c>
      <c r="S21" s="33">
        <f t="shared" si="1"/>
        <v>-0.59991414110999997</v>
      </c>
      <c r="T21" s="30">
        <f>E18/M18</f>
        <v>0.87520399847848129</v>
      </c>
      <c r="U21" s="33">
        <f t="shared" si="2"/>
        <v>-6.9260037235846186E-2</v>
      </c>
      <c r="V21" s="33">
        <f t="shared" si="3"/>
        <v>-0.66917417834584614</v>
      </c>
      <c r="X21">
        <v>20</v>
      </c>
      <c r="Y21" t="s">
        <v>76</v>
      </c>
      <c r="Z21" s="33">
        <f>VehAvailCoefficient!E29</f>
        <v>0.32485446959800002</v>
      </c>
      <c r="AA21" s="34">
        <v>0.32485446959800002</v>
      </c>
    </row>
    <row r="22" spans="1:27" ht="15.75" customHeight="1" thickBot="1" x14ac:dyDescent="0.3">
      <c r="Q22" s="36">
        <v>18</v>
      </c>
      <c r="R22" s="12" t="s">
        <v>173</v>
      </c>
      <c r="S22" s="37">
        <f t="shared" si="1"/>
        <v>0.39953921787000002</v>
      </c>
      <c r="T22" s="38">
        <f>(C15+D16+E17+F18)/(K15+L16+M17+N18)</f>
        <v>0.93796912955132716</v>
      </c>
      <c r="U22" s="37">
        <f t="shared" si="2"/>
        <v>0</v>
      </c>
      <c r="V22" s="37">
        <f t="shared" si="3"/>
        <v>0.39953921787000002</v>
      </c>
      <c r="X22">
        <v>22</v>
      </c>
      <c r="Y22" t="s">
        <v>77</v>
      </c>
      <c r="Z22" s="33">
        <f>VehAvailCoefficient!E30</f>
        <v>-0.43856128772000003</v>
      </c>
      <c r="AA22" s="34">
        <v>-0.43856128772000003</v>
      </c>
    </row>
    <row r="23" spans="1:27" x14ac:dyDescent="0.25">
      <c r="X23">
        <v>24</v>
      </c>
      <c r="Y23" t="s">
        <v>78</v>
      </c>
      <c r="Z23" s="33">
        <f>VehAvailCoefficient!E31</f>
        <v>0.239019734309</v>
      </c>
      <c r="AA23" s="34">
        <v>0.239019734309</v>
      </c>
    </row>
    <row r="24" spans="1:27" x14ac:dyDescent="0.25">
      <c r="X24">
        <v>25</v>
      </c>
      <c r="Y24" t="s">
        <v>80</v>
      </c>
      <c r="Z24" s="33">
        <f>VehAvailCoefficient!E32</f>
        <v>-0.30115653367700002</v>
      </c>
      <c r="AA24" s="34">
        <v>-0.30115653367700002</v>
      </c>
    </row>
    <row r="25" spans="1:27" x14ac:dyDescent="0.25">
      <c r="X25">
        <v>26</v>
      </c>
      <c r="Y25" t="s">
        <v>81</v>
      </c>
      <c r="Z25" s="33">
        <f>VehAvailCoefficient!E33</f>
        <v>-0.56373515910799998</v>
      </c>
      <c r="AA25" s="34">
        <v>-0.56373515910799998</v>
      </c>
    </row>
    <row r="26" spans="1:27" x14ac:dyDescent="0.25">
      <c r="X26">
        <v>28</v>
      </c>
      <c r="Y26" t="s">
        <v>82</v>
      </c>
      <c r="Z26" s="33">
        <f>VehAvailCoefficient!E34</f>
        <v>0.31959884056900001</v>
      </c>
      <c r="AA26" s="34">
        <v>0.31959884056900001</v>
      </c>
    </row>
    <row r="27" spans="1:27" x14ac:dyDescent="0.25">
      <c r="X27">
        <v>29</v>
      </c>
      <c r="Y27" t="s">
        <v>84</v>
      </c>
      <c r="Z27" s="33">
        <f>VehAvailCoefficient!E35</f>
        <v>0.57068696704599997</v>
      </c>
      <c r="AA27" s="34">
        <v>0.57068696704599997</v>
      </c>
    </row>
    <row r="28" spans="1:27" x14ac:dyDescent="0.25">
      <c r="X28">
        <v>31</v>
      </c>
      <c r="Y28" t="s">
        <v>85</v>
      </c>
      <c r="Z28" s="33">
        <f>VehAvailCoefficient!E36</f>
        <v>2.9250059989500001</v>
      </c>
      <c r="AA28" s="34">
        <v>2.9250059989500001</v>
      </c>
    </row>
    <row r="29" spans="1:27" x14ac:dyDescent="0.25">
      <c r="X29">
        <v>32</v>
      </c>
      <c r="Y29" t="s">
        <v>87</v>
      </c>
      <c r="Z29" s="33">
        <f>VehAvailCoefficient!E37</f>
        <v>1.2969669216299999</v>
      </c>
      <c r="AA29" s="34">
        <v>1.2969669216299999</v>
      </c>
    </row>
    <row r="30" spans="1:27" x14ac:dyDescent="0.25">
      <c r="X30">
        <v>34</v>
      </c>
      <c r="Y30" t="s">
        <v>88</v>
      </c>
      <c r="Z30" s="33">
        <f>VehAvailCoefficient!E38</f>
        <v>-2.59112200624</v>
      </c>
      <c r="AA30" s="34">
        <v>-2.59112200624</v>
      </c>
    </row>
    <row r="31" spans="1:27" x14ac:dyDescent="0.25">
      <c r="X31">
        <v>35</v>
      </c>
      <c r="Y31" t="s">
        <v>89</v>
      </c>
      <c r="Z31" s="33">
        <f>VehAvailCoefficient!E39</f>
        <v>-1.0636437007299999</v>
      </c>
      <c r="AA31" s="34">
        <v>-1.0636437007299999</v>
      </c>
    </row>
    <row r="32" spans="1:27" x14ac:dyDescent="0.25">
      <c r="X32">
        <v>36</v>
      </c>
      <c r="Y32" t="s">
        <v>91</v>
      </c>
      <c r="Z32" s="33">
        <f>VehAvailCoefficient!E40</f>
        <v>-0.53660640919000002</v>
      </c>
      <c r="AA32" s="34">
        <v>-0.53660640919000002</v>
      </c>
    </row>
    <row r="33" spans="24:27" x14ac:dyDescent="0.25">
      <c r="X33">
        <v>37</v>
      </c>
      <c r="Y33" t="s">
        <v>92</v>
      </c>
      <c r="Z33" s="33">
        <f>VehAvailCoefficient!E41</f>
        <v>0.28589368992800002</v>
      </c>
      <c r="AA33" s="34">
        <v>0.28589368992800002</v>
      </c>
    </row>
    <row r="34" spans="24:27" x14ac:dyDescent="0.25">
      <c r="X34">
        <v>38</v>
      </c>
      <c r="Y34" t="s">
        <v>93</v>
      </c>
      <c r="Z34" s="33">
        <f>VehAvailCoefficient!E42</f>
        <v>0.64783551265499995</v>
      </c>
      <c r="AA34" s="34">
        <v>0.64783551265499995</v>
      </c>
    </row>
    <row r="35" spans="24:27" x14ac:dyDescent="0.25">
      <c r="X35">
        <v>41</v>
      </c>
      <c r="Y35" t="s">
        <v>94</v>
      </c>
      <c r="Z35" s="33">
        <f>VehAvailCoefficient!E43</f>
        <v>-0.47288768158</v>
      </c>
      <c r="AA35" s="34">
        <v>-0.47288768158</v>
      </c>
    </row>
    <row r="36" spans="24:27" x14ac:dyDescent="0.25">
      <c r="X36">
        <v>42</v>
      </c>
      <c r="Y36" t="s">
        <v>96</v>
      </c>
      <c r="Z36" s="33">
        <f>VehAvailCoefficient!E44</f>
        <v>-1.73045435445</v>
      </c>
      <c r="AA36" s="34">
        <v>-1.73045435445</v>
      </c>
    </row>
    <row r="37" spans="24:27" x14ac:dyDescent="0.25">
      <c r="X37">
        <v>43</v>
      </c>
      <c r="Y37" t="s">
        <v>97</v>
      </c>
      <c r="Z37" s="33">
        <f>VehAvailCoefficient!E45</f>
        <v>2.0718120356499998</v>
      </c>
      <c r="AA37" s="34">
        <v>2.0718120356499998</v>
      </c>
    </row>
    <row r="38" spans="24:27" x14ac:dyDescent="0.25">
      <c r="X38">
        <v>44</v>
      </c>
      <c r="Y38" t="s">
        <v>99</v>
      </c>
      <c r="Z38" s="33">
        <f>VehAvailCoefficient!E46</f>
        <v>0.60728378971399999</v>
      </c>
      <c r="AA38" s="34">
        <v>0.60728378971399999</v>
      </c>
    </row>
    <row r="39" spans="24:27" x14ac:dyDescent="0.25">
      <c r="X39">
        <v>45</v>
      </c>
      <c r="Y39" t="s">
        <v>100</v>
      </c>
      <c r="Z39" s="33">
        <f>VehAvailCoefficient!E47</f>
        <v>-0.71462161389500001</v>
      </c>
      <c r="AA39" s="34">
        <v>-0.71462161389500001</v>
      </c>
    </row>
    <row r="40" spans="24:27" x14ac:dyDescent="0.25">
      <c r="X40">
        <v>46</v>
      </c>
      <c r="Y40" t="s">
        <v>101</v>
      </c>
      <c r="Z40" s="33">
        <f>VehAvailCoefficient!E48</f>
        <v>-1.4356778668800001</v>
      </c>
      <c r="AA40" s="34">
        <v>-1.4356778668800001</v>
      </c>
    </row>
    <row r="41" spans="24:27" x14ac:dyDescent="0.25">
      <c r="X41">
        <v>47</v>
      </c>
      <c r="Y41" t="s">
        <v>102</v>
      </c>
      <c r="Z41" s="33">
        <f>VehAvailCoefficient!E49</f>
        <v>-1.45349726543</v>
      </c>
      <c r="AA41" s="34">
        <v>-1.45349726543</v>
      </c>
    </row>
    <row r="42" spans="24:27" x14ac:dyDescent="0.25">
      <c r="X42">
        <v>48</v>
      </c>
      <c r="Y42" t="s">
        <v>104</v>
      </c>
      <c r="Z42" s="33">
        <f>VehAvailCoefficient!E50</f>
        <v>-1.0930755785699999</v>
      </c>
      <c r="AA42" s="34">
        <v>-1.0930755785699999</v>
      </c>
    </row>
    <row r="43" spans="24:27" x14ac:dyDescent="0.25">
      <c r="X43">
        <v>49</v>
      </c>
      <c r="Y43" t="s">
        <v>105</v>
      </c>
      <c r="Z43" s="33">
        <f>VehAvailCoefficient!E51</f>
        <v>0.14078168516299999</v>
      </c>
      <c r="AA43" s="34">
        <v>0.14078168516299999</v>
      </c>
    </row>
    <row r="44" spans="24:27" x14ac:dyDescent="0.25">
      <c r="X44">
        <v>50</v>
      </c>
      <c r="Y44" t="s">
        <v>106</v>
      </c>
      <c r="Z44" s="33">
        <f>VehAvailCoefficient!E52</f>
        <v>0.188609995585</v>
      </c>
      <c r="AA44" s="34">
        <v>0.188609995585</v>
      </c>
    </row>
    <row r="45" spans="24:27" x14ac:dyDescent="0.25">
      <c r="X45">
        <v>51</v>
      </c>
      <c r="Y45" t="s">
        <v>107</v>
      </c>
      <c r="Z45" s="33">
        <f>VehAvailCoefficient!E53</f>
        <v>-0.58492078305700002</v>
      </c>
      <c r="AA45" s="34">
        <v>-0.58492078305700002</v>
      </c>
    </row>
    <row r="46" spans="24:27" x14ac:dyDescent="0.25">
      <c r="X46">
        <v>52</v>
      </c>
      <c r="Y46" t="s">
        <v>109</v>
      </c>
      <c r="Z46" s="33">
        <f>VehAvailCoefficient!E54</f>
        <v>-1.0058660612699999</v>
      </c>
      <c r="AA46" s="34">
        <v>-1.0058660612699999</v>
      </c>
    </row>
    <row r="47" spans="24:27" x14ac:dyDescent="0.25">
      <c r="X47">
        <v>53</v>
      </c>
      <c r="Y47" t="s">
        <v>110</v>
      </c>
      <c r="Z47" s="33">
        <f>VehAvailCoefficient!E55</f>
        <v>0.22559840834</v>
      </c>
      <c r="AA47" s="34">
        <v>0.22559840834</v>
      </c>
    </row>
    <row r="48" spans="24:27" x14ac:dyDescent="0.25">
      <c r="X48">
        <v>54</v>
      </c>
      <c r="Y48" t="s">
        <v>111</v>
      </c>
      <c r="Z48" s="33">
        <f>VehAvailCoefficient!E56</f>
        <v>0.34302043279099997</v>
      </c>
      <c r="AA48" s="34">
        <v>0.34302043279099997</v>
      </c>
    </row>
    <row r="49" spans="24:27" x14ac:dyDescent="0.25">
      <c r="X49">
        <v>55</v>
      </c>
      <c r="Y49" t="s">
        <v>112</v>
      </c>
      <c r="Z49" s="33">
        <f>VehAvailCoefficient!E57</f>
        <v>-0.53538167154600003</v>
      </c>
      <c r="AA49" s="34">
        <v>-0.53538167154600003</v>
      </c>
    </row>
    <row r="50" spans="24:27" x14ac:dyDescent="0.25">
      <c r="X50">
        <v>56</v>
      </c>
      <c r="Y50" t="s">
        <v>114</v>
      </c>
      <c r="Z50" s="33">
        <f>VehAvailCoefficient!E58</f>
        <v>-0.52697142353899995</v>
      </c>
      <c r="AA50" s="34">
        <v>-0.52697142353899995</v>
      </c>
    </row>
    <row r="51" spans="24:27" x14ac:dyDescent="0.25">
      <c r="X51">
        <v>57</v>
      </c>
      <c r="Y51" t="s">
        <v>115</v>
      </c>
      <c r="Z51" s="33">
        <f>VehAvailCoefficient!E59</f>
        <v>0.21517789340999999</v>
      </c>
      <c r="AA51" s="34">
        <v>0.21517789340999999</v>
      </c>
    </row>
    <row r="52" spans="24:27" x14ac:dyDescent="0.25">
      <c r="X52">
        <v>58</v>
      </c>
      <c r="Y52" t="s">
        <v>116</v>
      </c>
      <c r="Z52" s="33">
        <f>VehAvailCoefficient!E60</f>
        <v>-0.978212790971</v>
      </c>
      <c r="AA52" s="34">
        <v>-0.978212790971</v>
      </c>
    </row>
    <row r="53" spans="24:27" x14ac:dyDescent="0.25">
      <c r="X53">
        <v>59</v>
      </c>
      <c r="Y53" t="s">
        <v>117</v>
      </c>
      <c r="Z53" s="33">
        <f>VehAvailCoefficient!E61</f>
        <v>-0.42495698544999999</v>
      </c>
      <c r="AA53" s="34">
        <v>-0.42495698544999999</v>
      </c>
    </row>
    <row r="54" spans="24:27" x14ac:dyDescent="0.25">
      <c r="X54">
        <v>60</v>
      </c>
      <c r="Y54" t="s">
        <v>119</v>
      </c>
      <c r="Z54" s="33">
        <f>VehAvailCoefficient!E62</f>
        <v>-0.11124462416</v>
      </c>
      <c r="AA54" s="34">
        <v>-0.11124462416</v>
      </c>
    </row>
    <row r="55" spans="24:27" x14ac:dyDescent="0.25">
      <c r="X55">
        <v>63</v>
      </c>
      <c r="Y55" t="s">
        <v>124</v>
      </c>
      <c r="Z55" s="33">
        <f>VehAvailCoefficient!E63</f>
        <v>-1.2627495896200001</v>
      </c>
      <c r="AA55" s="34">
        <v>-1.2627495896200001</v>
      </c>
    </row>
    <row r="56" spans="24:27" x14ac:dyDescent="0.25">
      <c r="X56">
        <v>69</v>
      </c>
      <c r="Y56" t="s">
        <v>126</v>
      </c>
      <c r="Z56" s="33">
        <f>VehAvailCoefficient!E64</f>
        <v>-0.182881856812</v>
      </c>
      <c r="AA56" s="34">
        <v>-0.182881856812</v>
      </c>
    </row>
    <row r="57" spans="24:27" x14ac:dyDescent="0.25">
      <c r="X57">
        <v>72</v>
      </c>
      <c r="Y57" t="s">
        <v>128</v>
      </c>
      <c r="Z57" s="33">
        <f>VehAvailCoefficient!E65</f>
        <v>0.14811075420100001</v>
      </c>
      <c r="AA57" s="34">
        <v>0.14811075420100001</v>
      </c>
    </row>
    <row r="58" spans="24:27" x14ac:dyDescent="0.25">
      <c r="X58">
        <v>73</v>
      </c>
      <c r="Y58" t="s">
        <v>133</v>
      </c>
      <c r="Z58" s="33">
        <f>VehAvailCoefficient!E66</f>
        <v>7.1458236224400005E-4</v>
      </c>
      <c r="AA58" s="34">
        <v>7.1458236224400005E-4</v>
      </c>
    </row>
    <row r="59" spans="24:27" x14ac:dyDescent="0.25">
      <c r="X59">
        <v>75</v>
      </c>
      <c r="Y59" t="s">
        <v>135</v>
      </c>
      <c r="Z59" s="33">
        <f>VehAvailCoefficient!E67</f>
        <v>0.29597958689600001</v>
      </c>
      <c r="AA59" s="34">
        <v>0.29597958689600001</v>
      </c>
    </row>
    <row r="60" spans="24:27" x14ac:dyDescent="0.25">
      <c r="X60">
        <v>76</v>
      </c>
      <c r="Y60" t="s">
        <v>137</v>
      </c>
      <c r="Z60" s="33">
        <f>VehAvailCoefficient!E68</f>
        <v>0.19796492273399999</v>
      </c>
      <c r="AA60" s="34">
        <v>0.19796492273399999</v>
      </c>
    </row>
    <row r="61" spans="24:27" x14ac:dyDescent="0.25">
      <c r="X61">
        <v>77</v>
      </c>
      <c r="Y61" t="s">
        <v>142</v>
      </c>
      <c r="Z61" s="33">
        <f>VehAvailCoefficient!E69</f>
        <v>0.27817460170199998</v>
      </c>
      <c r="AA61" s="34">
        <v>0.27817460170199998</v>
      </c>
    </row>
    <row r="62" spans="24:27" x14ac:dyDescent="0.25">
      <c r="X62">
        <v>83</v>
      </c>
      <c r="Y62" t="s">
        <v>144</v>
      </c>
      <c r="Z62" s="33">
        <f>VehAvailCoefficient!E70</f>
        <v>-0.77256225305799997</v>
      </c>
      <c r="AA62" s="34">
        <v>-0.77256225305799997</v>
      </c>
    </row>
  </sheetData>
  <pageMargins left="0.7" right="0.7" top="0.75" bottom="0.75" header="0.3" footer="0.3"/>
  <pageSetup orientation="portrait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out_1</vt:lpstr>
      <vt:lpstr>out_3</vt:lpstr>
      <vt:lpstr>out_5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Angah, Ohay</cp:lastModifiedBy>
  <dcterms:created xsi:type="dcterms:W3CDTF">2011-02-15T20:20:51Z</dcterms:created>
  <dcterms:modified xsi:type="dcterms:W3CDTF">2025-08-28T22:29:09Z</dcterms:modified>
</cp:coreProperties>
</file>