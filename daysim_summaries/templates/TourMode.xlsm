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BKRCast\BKRCast\daysim_summaries\output\"/>
    </mc:Choice>
  </mc:AlternateContent>
  <xr:revisionPtr revIDLastSave="0" documentId="13_ncr:1_{CF37B00D-4AAB-4581-B8AB-C13547B6291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llPurposes" sheetId="1" r:id="rId1"/>
    <sheet name="Work" sheetId="2" r:id="rId2"/>
    <sheet name="School" sheetId="3" r:id="rId3"/>
    <sheet name="Escort" sheetId="4" r:id="rId4"/>
    <sheet name="Personal_Business" sheetId="5" r:id="rId5"/>
    <sheet name="Shop" sheetId="6" r:id="rId6"/>
    <sheet name="Meal" sheetId="7" r:id="rId7"/>
    <sheet name="SocRec" sheetId="8" r:id="rId8"/>
    <sheet name="Workbased" sheetId="9" r:id="rId9"/>
    <sheet name="Documentation" sheetId="10" r:id="rId10"/>
    <sheet name="CoeffDef" sheetId="11" r:id="rId11"/>
    <sheet name="WorkCoefficients" sheetId="12" r:id="rId12"/>
    <sheet name="SchoolCoeffcients" sheetId="13" r:id="rId13"/>
    <sheet name="EscortCoefficients" sheetId="14" r:id="rId14"/>
    <sheet name="OtherCoefficients" sheetId="15" r:id="rId15"/>
    <sheet name="WorkBasedCoefficients" sheetId="16" r:id="rId16"/>
    <sheet name="Calibration" sheetId="17" r:id="rId17"/>
    <sheet name="input_districts" sheetId="18" r:id="rId18"/>
  </sheets>
  <definedNames>
    <definedName name="out_1">Work!$B$4:C12</definedName>
    <definedName name="out_10">Shop!$G$4:$H$12</definedName>
    <definedName name="out_11">Meal!$B$4:C12</definedName>
    <definedName name="out_12">Meal!$G$4:$H$12</definedName>
    <definedName name="out_13">SocRec!$B$4:C12</definedName>
    <definedName name="out_14">SocRec!$G$4:$H$12</definedName>
    <definedName name="out_15">Workbased!$B$5:H12</definedName>
    <definedName name="out_16">Workbased!$L$5:$R$12</definedName>
    <definedName name="out_2">Work!$G$4:$H$12</definedName>
    <definedName name="out_3">School!$B$4:C12</definedName>
    <definedName name="out_4">School!$G$4:$H$12</definedName>
    <definedName name="out_5">Escort!$B$4:C12</definedName>
    <definedName name="out_6">Escort!$G$4:$H$12</definedName>
    <definedName name="out_7">Personal_Business!$B$4:C12</definedName>
    <definedName name="out_8">Personal_Business!$G$4:$H$12</definedName>
    <definedName name="out_9">Shop!$B$4:C12</definedName>
    <definedName name="out1">Work!$B$4:$C$12</definedName>
    <definedName name="out10">Shop!$G$4:$H$12</definedName>
    <definedName name="out11">Meal!$B$4:$C$12</definedName>
    <definedName name="out12">Meal!$G$4:$H$12</definedName>
    <definedName name="out13">SocRec!$B$4:$C$12</definedName>
    <definedName name="out14">SocRec!$G$4:$H$12</definedName>
    <definedName name="out15">Workbased!$B$5:$H$12</definedName>
    <definedName name="out16">Workbased!$L$5:$R$12</definedName>
    <definedName name="out2">Work!$G$4:$H$12</definedName>
    <definedName name="out3">School!$B$4:$C$12</definedName>
    <definedName name="out4">School!$G$4:$H$12</definedName>
    <definedName name="out5">Escort!$B$4:$C$12</definedName>
    <definedName name="out6">Escort!$G$4:$H$12</definedName>
    <definedName name="out7">Personal_Business!$B$4:$C$12</definedName>
    <definedName name="out8">Personal_Business!$G$4:$H$12</definedName>
    <definedName name="out9">Shop!$B$4:$C$12</definedName>
    <definedName name="purp1">Work!$G$4:$H$13</definedName>
    <definedName name="purp2">School!$G$4:$H$13</definedName>
    <definedName name="purp3">Escort!$G$4:$H$13</definedName>
    <definedName name="purp4">Personal_Business!$G$4:$H$13</definedName>
    <definedName name="purp5">Shop!$G$4:$H$13</definedName>
    <definedName name="purp6">Meal!$G$4:$H$13</definedName>
    <definedName name="purp7">SocRec!$G$4:$H$13</definedName>
    <definedName name="wb">Workbased!$L$5:$R$13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30" i="17" l="1"/>
  <c r="Z129" i="17"/>
  <c r="Z128" i="17"/>
  <c r="Z127" i="17"/>
  <c r="Z126" i="17"/>
  <c r="Z125" i="17"/>
  <c r="Z124" i="17"/>
  <c r="Z123" i="17"/>
  <c r="Z122" i="17"/>
  <c r="Z121" i="17"/>
  <c r="Z120" i="17"/>
  <c r="AB119" i="17"/>
  <c r="T119" i="17"/>
  <c r="Z116" i="17"/>
  <c r="Z115" i="17"/>
  <c r="Z114" i="17"/>
  <c r="Z113" i="17"/>
  <c r="Z112" i="17"/>
  <c r="Z111" i="17"/>
  <c r="Z110" i="17"/>
  <c r="Z109" i="17"/>
  <c r="Z108" i="17"/>
  <c r="Z107" i="17"/>
  <c r="Z106" i="17"/>
  <c r="Z101" i="17"/>
  <c r="A101" i="17"/>
  <c r="Z100" i="17"/>
  <c r="A100" i="17"/>
  <c r="Z99" i="17"/>
  <c r="A99" i="17"/>
  <c r="Z98" i="17"/>
  <c r="A98" i="17"/>
  <c r="Z97" i="17"/>
  <c r="A97" i="17"/>
  <c r="Z96" i="17"/>
  <c r="A96" i="17"/>
  <c r="Z95" i="17"/>
  <c r="A95" i="17"/>
  <c r="Z94" i="17"/>
  <c r="A94" i="17"/>
  <c r="Z93" i="17"/>
  <c r="A93" i="17"/>
  <c r="Z92" i="17"/>
  <c r="A92" i="17"/>
  <c r="Z91" i="17"/>
  <c r="A91" i="17"/>
  <c r="K90" i="17"/>
  <c r="O86" i="17"/>
  <c r="N86" i="17"/>
  <c r="M86" i="17"/>
  <c r="L86" i="17"/>
  <c r="F86" i="17"/>
  <c r="E86" i="17"/>
  <c r="D86" i="17"/>
  <c r="C86" i="17"/>
  <c r="O85" i="17"/>
  <c r="N85" i="17"/>
  <c r="M85" i="17"/>
  <c r="L85" i="17"/>
  <c r="F85" i="17"/>
  <c r="E85" i="17"/>
  <c r="D85" i="17"/>
  <c r="C85" i="17"/>
  <c r="O84" i="17"/>
  <c r="N84" i="17"/>
  <c r="M84" i="17"/>
  <c r="L84" i="17"/>
  <c r="F84" i="17"/>
  <c r="E84" i="17"/>
  <c r="D84" i="17"/>
  <c r="C84" i="17"/>
  <c r="O83" i="17"/>
  <c r="N83" i="17"/>
  <c r="M83" i="17"/>
  <c r="L83" i="17"/>
  <c r="F83" i="17"/>
  <c r="E83" i="17"/>
  <c r="D83" i="17"/>
  <c r="C83" i="17"/>
  <c r="O82" i="17"/>
  <c r="N82" i="17"/>
  <c r="M82" i="17"/>
  <c r="L82" i="17"/>
  <c r="F82" i="17"/>
  <c r="E82" i="17"/>
  <c r="D82" i="17"/>
  <c r="C82" i="17"/>
  <c r="O81" i="17"/>
  <c r="N81" i="17"/>
  <c r="M81" i="17"/>
  <c r="L81" i="17"/>
  <c r="F81" i="17"/>
  <c r="E81" i="17"/>
  <c r="D81" i="17"/>
  <c r="C81" i="17"/>
  <c r="O80" i="17"/>
  <c r="N80" i="17"/>
  <c r="M80" i="17"/>
  <c r="L80" i="17"/>
  <c r="F80" i="17"/>
  <c r="E80" i="17"/>
  <c r="D80" i="17"/>
  <c r="C80" i="17"/>
  <c r="O79" i="17"/>
  <c r="N79" i="17"/>
  <c r="M79" i="17"/>
  <c r="L79" i="17"/>
  <c r="F79" i="17"/>
  <c r="E79" i="17"/>
  <c r="D79" i="17"/>
  <c r="C79" i="17"/>
  <c r="O78" i="17"/>
  <c r="N78" i="17"/>
  <c r="M78" i="17"/>
  <c r="L78" i="17"/>
  <c r="F78" i="17"/>
  <c r="E78" i="17"/>
  <c r="D78" i="17"/>
  <c r="C78" i="17"/>
  <c r="O77" i="17"/>
  <c r="N77" i="17"/>
  <c r="M77" i="17"/>
  <c r="L77" i="17"/>
  <c r="F77" i="17"/>
  <c r="E77" i="17"/>
  <c r="D77" i="17"/>
  <c r="C77" i="17"/>
  <c r="O76" i="17"/>
  <c r="N76" i="17"/>
  <c r="M76" i="17"/>
  <c r="L76" i="17"/>
  <c r="F76" i="17"/>
  <c r="E76" i="17"/>
  <c r="D76" i="17"/>
  <c r="C76" i="17"/>
  <c r="A70" i="17"/>
  <c r="AX69" i="17"/>
  <c r="AW69" i="17"/>
  <c r="AV69" i="17"/>
  <c r="A69" i="17"/>
  <c r="AX68" i="17"/>
  <c r="AW68" i="17"/>
  <c r="AV68" i="17"/>
  <c r="A68" i="17"/>
  <c r="AX67" i="17"/>
  <c r="AW67" i="17"/>
  <c r="AV67" i="17"/>
  <c r="A67" i="17"/>
  <c r="AX66" i="17"/>
  <c r="AW66" i="17"/>
  <c r="AV66" i="17"/>
  <c r="AN66" i="17"/>
  <c r="AM66" i="17"/>
  <c r="AL66" i="17"/>
  <c r="A66" i="17"/>
  <c r="AX65" i="17"/>
  <c r="AW65" i="17"/>
  <c r="AV65" i="17"/>
  <c r="AN65" i="17"/>
  <c r="AM65" i="17"/>
  <c r="AL65" i="17"/>
  <c r="A65" i="17"/>
  <c r="AX64" i="17"/>
  <c r="AW64" i="17"/>
  <c r="AV64" i="17"/>
  <c r="AN64" i="17"/>
  <c r="AM64" i="17"/>
  <c r="AL64" i="17"/>
  <c r="A64" i="17"/>
  <c r="AX63" i="17"/>
  <c r="AW63" i="17"/>
  <c r="AV63" i="17"/>
  <c r="AN63" i="17"/>
  <c r="AM63" i="17"/>
  <c r="AL63" i="17"/>
  <c r="A63" i="17"/>
  <c r="AX62" i="17"/>
  <c r="AW62" i="17"/>
  <c r="AV62" i="17"/>
  <c r="AN62" i="17"/>
  <c r="AM62" i="17"/>
  <c r="AL62" i="17"/>
  <c r="AD62" i="17"/>
  <c r="AC62" i="17"/>
  <c r="AB62" i="17"/>
  <c r="Z62" i="17"/>
  <c r="T62" i="17"/>
  <c r="A62" i="17"/>
  <c r="AX61" i="17"/>
  <c r="AW61" i="17"/>
  <c r="AV61" i="17"/>
  <c r="AN61" i="17"/>
  <c r="AM61" i="17"/>
  <c r="AL61" i="17"/>
  <c r="AD61" i="17"/>
  <c r="AC61" i="17"/>
  <c r="AB61" i="17"/>
  <c r="AA61" i="17"/>
  <c r="Z61" i="17"/>
  <c r="A61" i="17"/>
  <c r="AX60" i="17"/>
  <c r="AW60" i="17"/>
  <c r="AV60" i="17"/>
  <c r="AN60" i="17"/>
  <c r="AM60" i="17"/>
  <c r="AL60" i="17"/>
  <c r="AI60" i="17"/>
  <c r="AH60" i="17"/>
  <c r="AG60" i="17"/>
  <c r="W60" i="17"/>
  <c r="V60" i="17"/>
  <c r="U60" i="17"/>
  <c r="T60" i="17"/>
  <c r="S60" i="17"/>
  <c r="A60" i="17"/>
  <c r="AX59" i="17"/>
  <c r="AW59" i="17"/>
  <c r="AV59" i="17"/>
  <c r="AN59" i="17"/>
  <c r="AM59" i="17"/>
  <c r="AL59" i="17"/>
  <c r="AI59" i="17"/>
  <c r="AH59" i="17"/>
  <c r="AG59" i="17"/>
  <c r="AB59" i="17"/>
  <c r="W59" i="17"/>
  <c r="V59" i="17"/>
  <c r="T59" i="17"/>
  <c r="S59" i="17"/>
  <c r="AX58" i="17"/>
  <c r="AW58" i="17"/>
  <c r="AV58" i="17"/>
  <c r="AN58" i="17"/>
  <c r="AM58" i="17"/>
  <c r="AL58" i="17"/>
  <c r="AI58" i="17"/>
  <c r="AH58" i="17"/>
  <c r="AG58" i="17"/>
  <c r="AD58" i="17"/>
  <c r="AC58" i="17"/>
  <c r="AB58" i="17"/>
  <c r="AA58" i="17"/>
  <c r="S58" i="17"/>
  <c r="AX57" i="17"/>
  <c r="AW57" i="17"/>
  <c r="AV57" i="17"/>
  <c r="AN57" i="17"/>
  <c r="AM57" i="17"/>
  <c r="AL57" i="17"/>
  <c r="AI57" i="17"/>
  <c r="AH57" i="17"/>
  <c r="AG57" i="17"/>
  <c r="W57" i="17"/>
  <c r="V57" i="17"/>
  <c r="U57" i="17"/>
  <c r="T57" i="17"/>
  <c r="S57" i="17"/>
  <c r="AX56" i="17"/>
  <c r="AW56" i="17"/>
  <c r="AV56" i="17"/>
  <c r="AN56" i="17"/>
  <c r="AM56" i="17"/>
  <c r="AL56" i="17"/>
  <c r="AI56" i="17"/>
  <c r="AH56" i="17"/>
  <c r="AG56" i="17"/>
  <c r="W56" i="17"/>
  <c r="V56" i="17"/>
  <c r="U56" i="17"/>
  <c r="T56" i="17"/>
  <c r="S56" i="17"/>
  <c r="AX55" i="17"/>
  <c r="AW55" i="17"/>
  <c r="AV55" i="17"/>
  <c r="AN55" i="17"/>
  <c r="AM55" i="17"/>
  <c r="AL55" i="17"/>
  <c r="AI55" i="17"/>
  <c r="AH55" i="17"/>
  <c r="AG55" i="17"/>
  <c r="W55" i="17"/>
  <c r="V55" i="17"/>
  <c r="U55" i="17"/>
  <c r="T55" i="17"/>
  <c r="S55" i="17"/>
  <c r="O55" i="17"/>
  <c r="N55" i="17"/>
  <c r="M55" i="17"/>
  <c r="L55" i="17"/>
  <c r="F55" i="17"/>
  <c r="E55" i="17"/>
  <c r="D55" i="17"/>
  <c r="C55" i="17"/>
  <c r="AX54" i="17"/>
  <c r="AW54" i="17"/>
  <c r="AV54" i="17"/>
  <c r="AN54" i="17"/>
  <c r="AM54" i="17"/>
  <c r="AL54" i="17"/>
  <c r="AI54" i="17"/>
  <c r="AH54" i="17"/>
  <c r="AG54" i="17"/>
  <c r="O54" i="17"/>
  <c r="N54" i="17"/>
  <c r="M54" i="17"/>
  <c r="L54" i="17"/>
  <c r="F54" i="17"/>
  <c r="E54" i="17"/>
  <c r="D54" i="17"/>
  <c r="C54" i="17"/>
  <c r="AX53" i="17"/>
  <c r="AW53" i="17"/>
  <c r="AV53" i="17"/>
  <c r="AN53" i="17"/>
  <c r="AM53" i="17"/>
  <c r="AL53" i="17"/>
  <c r="AI53" i="17"/>
  <c r="AH53" i="17"/>
  <c r="AG53" i="17"/>
  <c r="O53" i="17"/>
  <c r="N53" i="17"/>
  <c r="M53" i="17"/>
  <c r="L53" i="17"/>
  <c r="F53" i="17"/>
  <c r="E53" i="17"/>
  <c r="D53" i="17"/>
  <c r="C53" i="17"/>
  <c r="AX52" i="17"/>
  <c r="AW52" i="17"/>
  <c r="AV52" i="17"/>
  <c r="AN52" i="17"/>
  <c r="AM52" i="17"/>
  <c r="AL52" i="17"/>
  <c r="AI52" i="17"/>
  <c r="AH52" i="17"/>
  <c r="AG52" i="17"/>
  <c r="O52" i="17"/>
  <c r="N52" i="17"/>
  <c r="M52" i="17"/>
  <c r="L52" i="17"/>
  <c r="F52" i="17"/>
  <c r="E52" i="17"/>
  <c r="D52" i="17"/>
  <c r="C52" i="17"/>
  <c r="AX51" i="17"/>
  <c r="AW51" i="17"/>
  <c r="AV51" i="17"/>
  <c r="AN51" i="17"/>
  <c r="AM51" i="17"/>
  <c r="AL51" i="17"/>
  <c r="AI51" i="17"/>
  <c r="AH51" i="17"/>
  <c r="AG51" i="17"/>
  <c r="O51" i="17"/>
  <c r="N51" i="17"/>
  <c r="M51" i="17"/>
  <c r="L51" i="17"/>
  <c r="F51" i="17"/>
  <c r="E51" i="17"/>
  <c r="D51" i="17"/>
  <c r="C51" i="17"/>
  <c r="AX50" i="17"/>
  <c r="AW50" i="17"/>
  <c r="AV50" i="17"/>
  <c r="AN50" i="17"/>
  <c r="AM50" i="17"/>
  <c r="AL50" i="17"/>
  <c r="AI50" i="17"/>
  <c r="AH50" i="17"/>
  <c r="AG50" i="17"/>
  <c r="O50" i="17"/>
  <c r="N50" i="17"/>
  <c r="M50" i="17"/>
  <c r="L50" i="17"/>
  <c r="F50" i="17"/>
  <c r="E50" i="17"/>
  <c r="D50" i="17"/>
  <c r="C50" i="17"/>
  <c r="G50" i="17" s="1"/>
  <c r="AX49" i="17"/>
  <c r="AW49" i="17"/>
  <c r="AV49" i="17"/>
  <c r="AN49" i="17"/>
  <c r="AM49" i="17"/>
  <c r="AL49" i="17"/>
  <c r="AI49" i="17"/>
  <c r="AH49" i="17"/>
  <c r="AG49" i="17"/>
  <c r="O49" i="17"/>
  <c r="N49" i="17"/>
  <c r="M49" i="17"/>
  <c r="L49" i="17"/>
  <c r="F49" i="17"/>
  <c r="E49" i="17"/>
  <c r="D49" i="17"/>
  <c r="C49" i="17"/>
  <c r="AX48" i="17"/>
  <c r="AW48" i="17"/>
  <c r="AV48" i="17"/>
  <c r="AN48" i="17"/>
  <c r="AM48" i="17"/>
  <c r="AL48" i="17"/>
  <c r="AI48" i="17"/>
  <c r="AH48" i="17"/>
  <c r="AG48" i="17"/>
  <c r="O48" i="17"/>
  <c r="N48" i="17"/>
  <c r="M48" i="17"/>
  <c r="L48" i="17"/>
  <c r="F48" i="17"/>
  <c r="E48" i="17"/>
  <c r="D48" i="17"/>
  <c r="C48" i="17"/>
  <c r="AX47" i="17"/>
  <c r="AW47" i="17"/>
  <c r="AV47" i="17"/>
  <c r="AN47" i="17"/>
  <c r="AM47" i="17"/>
  <c r="AL47" i="17"/>
  <c r="AI47" i="17"/>
  <c r="AH47" i="17"/>
  <c r="AG47" i="17"/>
  <c r="O47" i="17"/>
  <c r="N47" i="17"/>
  <c r="M47" i="17"/>
  <c r="L47" i="17"/>
  <c r="P47" i="17" s="1"/>
  <c r="F47" i="17"/>
  <c r="E47" i="17"/>
  <c r="D47" i="17"/>
  <c r="C47" i="17"/>
  <c r="AX46" i="17"/>
  <c r="AW46" i="17"/>
  <c r="AV46" i="17"/>
  <c r="AN46" i="17"/>
  <c r="AM46" i="17"/>
  <c r="AL46" i="17"/>
  <c r="AI46" i="17"/>
  <c r="AH46" i="17"/>
  <c r="AG46" i="17"/>
  <c r="O46" i="17"/>
  <c r="N46" i="17"/>
  <c r="M46" i="17"/>
  <c r="L46" i="17"/>
  <c r="F46" i="17"/>
  <c r="E46" i="17"/>
  <c r="D46" i="17"/>
  <c r="C46" i="17"/>
  <c r="AX45" i="17"/>
  <c r="AW45" i="17"/>
  <c r="AV45" i="17"/>
  <c r="AN45" i="17"/>
  <c r="AM45" i="17"/>
  <c r="AL45" i="17"/>
  <c r="AI45" i="17"/>
  <c r="AH45" i="17"/>
  <c r="AG45" i="17"/>
  <c r="O45" i="17"/>
  <c r="N45" i="17"/>
  <c r="M45" i="17"/>
  <c r="L45" i="17"/>
  <c r="F45" i="17"/>
  <c r="E45" i="17"/>
  <c r="D45" i="17"/>
  <c r="C45" i="17"/>
  <c r="AX44" i="17"/>
  <c r="AW44" i="17"/>
  <c r="AV44" i="17"/>
  <c r="AN44" i="17"/>
  <c r="AM44" i="17"/>
  <c r="AL44" i="17"/>
  <c r="AI44" i="17"/>
  <c r="AH44" i="17"/>
  <c r="AG44" i="17"/>
  <c r="AX43" i="17"/>
  <c r="AW43" i="17"/>
  <c r="AV43" i="17"/>
  <c r="AN43" i="17"/>
  <c r="AM43" i="17"/>
  <c r="AL43" i="17"/>
  <c r="AI43" i="17"/>
  <c r="AH43" i="17"/>
  <c r="AG43" i="17"/>
  <c r="AX42" i="17"/>
  <c r="AW42" i="17"/>
  <c r="AV42" i="17"/>
  <c r="AN42" i="17"/>
  <c r="AM42" i="17"/>
  <c r="AL42" i="17"/>
  <c r="AI42" i="17"/>
  <c r="AH42" i="17"/>
  <c r="AG42" i="17"/>
  <c r="AX41" i="17"/>
  <c r="AW41" i="17"/>
  <c r="AV41" i="17"/>
  <c r="AN41" i="17"/>
  <c r="AM41" i="17"/>
  <c r="AL41" i="17"/>
  <c r="AI41" i="17"/>
  <c r="AH41" i="17"/>
  <c r="AG41" i="17"/>
  <c r="AX40" i="17"/>
  <c r="AW40" i="17"/>
  <c r="AV40" i="17"/>
  <c r="AN40" i="17"/>
  <c r="AM40" i="17"/>
  <c r="AL40" i="17"/>
  <c r="AI40" i="17"/>
  <c r="AH40" i="17"/>
  <c r="AG40" i="17"/>
  <c r="AX39" i="17"/>
  <c r="AW39" i="17"/>
  <c r="AV39" i="17"/>
  <c r="AN39" i="17"/>
  <c r="AM39" i="17"/>
  <c r="AL39" i="17"/>
  <c r="AI39" i="17"/>
  <c r="AH39" i="17"/>
  <c r="AG39" i="17"/>
  <c r="AX38" i="17"/>
  <c r="AW38" i="17"/>
  <c r="AV38" i="17"/>
  <c r="AN38" i="17"/>
  <c r="AM38" i="17"/>
  <c r="AL38" i="17"/>
  <c r="AI38" i="17"/>
  <c r="AH38" i="17"/>
  <c r="AG38" i="17"/>
  <c r="E38" i="17"/>
  <c r="AX37" i="17"/>
  <c r="AW37" i="17"/>
  <c r="AV37" i="17"/>
  <c r="AN37" i="17"/>
  <c r="AM37" i="17"/>
  <c r="AL37" i="17"/>
  <c r="AI37" i="17"/>
  <c r="AH37" i="17"/>
  <c r="AG37" i="17"/>
  <c r="AX36" i="17"/>
  <c r="AW36" i="17"/>
  <c r="AV36" i="17"/>
  <c r="AN36" i="17"/>
  <c r="AM36" i="17"/>
  <c r="AL36" i="17"/>
  <c r="AI36" i="17"/>
  <c r="AH36" i="17"/>
  <c r="AG36" i="17"/>
  <c r="F36" i="17"/>
  <c r="E36" i="17"/>
  <c r="AX35" i="17"/>
  <c r="AW35" i="17"/>
  <c r="AV35" i="17"/>
  <c r="AN35" i="17"/>
  <c r="AM35" i="17"/>
  <c r="AL35" i="17"/>
  <c r="AI35" i="17"/>
  <c r="AH35" i="17"/>
  <c r="AG35" i="17"/>
  <c r="AX34" i="17"/>
  <c r="AW34" i="17"/>
  <c r="AV34" i="17"/>
  <c r="AN34" i="17"/>
  <c r="AM34" i="17"/>
  <c r="AL34" i="17"/>
  <c r="AI34" i="17"/>
  <c r="AH34" i="17"/>
  <c r="AG34" i="17"/>
  <c r="AX33" i="17"/>
  <c r="AW33" i="17"/>
  <c r="AV33" i="17"/>
  <c r="AN33" i="17"/>
  <c r="AM33" i="17"/>
  <c r="AL33" i="17"/>
  <c r="AI33" i="17"/>
  <c r="AH33" i="17"/>
  <c r="AG33" i="17"/>
  <c r="AX32" i="17"/>
  <c r="AW32" i="17"/>
  <c r="AV32" i="17"/>
  <c r="AN32" i="17"/>
  <c r="AM32" i="17"/>
  <c r="AL32" i="17"/>
  <c r="AI32" i="17"/>
  <c r="AH32" i="17"/>
  <c r="AG32" i="17"/>
  <c r="F32" i="17"/>
  <c r="AX31" i="17"/>
  <c r="AW31" i="17"/>
  <c r="AV31" i="17"/>
  <c r="AN31" i="17"/>
  <c r="AM31" i="17"/>
  <c r="AL31" i="17"/>
  <c r="AI31" i="17"/>
  <c r="AH31" i="17"/>
  <c r="AG31" i="17"/>
  <c r="AX30" i="17"/>
  <c r="AW30" i="17"/>
  <c r="AV30" i="17"/>
  <c r="AN30" i="17"/>
  <c r="AM30" i="17"/>
  <c r="AL30" i="17"/>
  <c r="AI30" i="17"/>
  <c r="AH30" i="17"/>
  <c r="AG30" i="17"/>
  <c r="AX29" i="17"/>
  <c r="AW29" i="17"/>
  <c r="AV29" i="17"/>
  <c r="AN29" i="17"/>
  <c r="AM29" i="17"/>
  <c r="AL29" i="17"/>
  <c r="AI29" i="17"/>
  <c r="AH29" i="17"/>
  <c r="AG29" i="17"/>
  <c r="AX28" i="17"/>
  <c r="AW28" i="17"/>
  <c r="AV28" i="17"/>
  <c r="AN28" i="17"/>
  <c r="AM28" i="17"/>
  <c r="AL28" i="17"/>
  <c r="AI28" i="17"/>
  <c r="AH28" i="17"/>
  <c r="AG28" i="17"/>
  <c r="AX27" i="17"/>
  <c r="AW27" i="17"/>
  <c r="AV27" i="17"/>
  <c r="AN27" i="17"/>
  <c r="AM27" i="17"/>
  <c r="AL27" i="17"/>
  <c r="AI27" i="17"/>
  <c r="AH27" i="17"/>
  <c r="AG27" i="17"/>
  <c r="AX26" i="17"/>
  <c r="AW26" i="17"/>
  <c r="AV26" i="17"/>
  <c r="AN26" i="17"/>
  <c r="AM26" i="17"/>
  <c r="AL26" i="17"/>
  <c r="AI26" i="17"/>
  <c r="AH26" i="17"/>
  <c r="AG26" i="17"/>
  <c r="H26" i="17"/>
  <c r="G26" i="17"/>
  <c r="G38" i="17" s="1"/>
  <c r="F26" i="17"/>
  <c r="F37" i="17" s="1"/>
  <c r="E26" i="17"/>
  <c r="E37" i="17" s="1"/>
  <c r="D26" i="17"/>
  <c r="D35" i="17" s="1"/>
  <c r="C26" i="17"/>
  <c r="C35" i="17" s="1"/>
  <c r="AX25" i="17"/>
  <c r="AW25" i="17"/>
  <c r="AV25" i="17"/>
  <c r="AN25" i="17"/>
  <c r="AM25" i="17"/>
  <c r="AL25" i="17"/>
  <c r="AI25" i="17"/>
  <c r="AH25" i="17"/>
  <c r="AG25" i="17"/>
  <c r="AX24" i="17"/>
  <c r="AW24" i="17"/>
  <c r="AV24" i="17"/>
  <c r="AN24" i="17"/>
  <c r="AM24" i="17"/>
  <c r="AL24" i="17"/>
  <c r="AI24" i="17"/>
  <c r="AH24" i="17"/>
  <c r="AG24" i="17"/>
  <c r="AX23" i="17"/>
  <c r="AW23" i="17"/>
  <c r="AV23" i="17"/>
  <c r="AN23" i="17"/>
  <c r="AM23" i="17"/>
  <c r="AL23" i="17"/>
  <c r="AI23" i="17"/>
  <c r="AH23" i="17"/>
  <c r="AG23" i="17"/>
  <c r="AX22" i="17"/>
  <c r="AW22" i="17"/>
  <c r="AV22" i="17"/>
  <c r="AN22" i="17"/>
  <c r="AM22" i="17"/>
  <c r="AL22" i="17"/>
  <c r="AI22" i="17"/>
  <c r="AH22" i="17"/>
  <c r="AG22" i="17"/>
  <c r="AX21" i="17"/>
  <c r="AW21" i="17"/>
  <c r="AV21" i="17"/>
  <c r="AN21" i="17"/>
  <c r="AM21" i="17"/>
  <c r="AL21" i="17"/>
  <c r="AI21" i="17"/>
  <c r="AH21" i="17"/>
  <c r="AG21" i="17"/>
  <c r="AX20" i="17"/>
  <c r="AW20" i="17"/>
  <c r="AV20" i="17"/>
  <c r="AN20" i="17"/>
  <c r="AM20" i="17"/>
  <c r="AL20" i="17"/>
  <c r="AI20" i="17"/>
  <c r="AH20" i="17"/>
  <c r="AG20" i="17"/>
  <c r="BC19" i="17"/>
  <c r="BB19" i="17"/>
  <c r="BA19" i="17"/>
  <c r="AX19" i="17"/>
  <c r="AW19" i="17"/>
  <c r="AV19" i="17"/>
  <c r="AN19" i="17"/>
  <c r="AM19" i="17"/>
  <c r="AL19" i="17"/>
  <c r="AI19" i="17"/>
  <c r="AH19" i="17"/>
  <c r="AG19" i="17"/>
  <c r="BC18" i="17"/>
  <c r="BB18" i="17"/>
  <c r="BA18" i="17"/>
  <c r="AX18" i="17"/>
  <c r="AW18" i="17"/>
  <c r="AV18" i="17"/>
  <c r="AS18" i="17"/>
  <c r="AR18" i="17"/>
  <c r="AQ18" i="17"/>
  <c r="AN18" i="17"/>
  <c r="AM18" i="17"/>
  <c r="AL18" i="17"/>
  <c r="AI18" i="17"/>
  <c r="AH18" i="17"/>
  <c r="AG18" i="17"/>
  <c r="BC17" i="17"/>
  <c r="BB17" i="17"/>
  <c r="BA17" i="17"/>
  <c r="AX17" i="17"/>
  <c r="AW17" i="17"/>
  <c r="AV17" i="17"/>
  <c r="AS17" i="17"/>
  <c r="AR17" i="17"/>
  <c r="AQ17" i="17"/>
  <c r="AN17" i="17"/>
  <c r="AM17" i="17"/>
  <c r="AL17" i="17"/>
  <c r="AI17" i="17"/>
  <c r="AH17" i="17"/>
  <c r="AG17" i="17"/>
  <c r="BC16" i="17"/>
  <c r="BB16" i="17"/>
  <c r="BA16" i="17"/>
  <c r="AX16" i="17"/>
  <c r="AW16" i="17"/>
  <c r="AV16" i="17"/>
  <c r="AS16" i="17"/>
  <c r="AR16" i="17"/>
  <c r="AQ16" i="17"/>
  <c r="AN16" i="17"/>
  <c r="AM16" i="17"/>
  <c r="AL16" i="17"/>
  <c r="AI16" i="17"/>
  <c r="AH16" i="17"/>
  <c r="AG16" i="17"/>
  <c r="BC15" i="17"/>
  <c r="BB15" i="17"/>
  <c r="BA15" i="17"/>
  <c r="AX15" i="17"/>
  <c r="AW15" i="17"/>
  <c r="AV15" i="17"/>
  <c r="AS15" i="17"/>
  <c r="AR15" i="17"/>
  <c r="AQ15" i="17"/>
  <c r="AN15" i="17"/>
  <c r="AM15" i="17"/>
  <c r="AL15" i="17"/>
  <c r="AI15" i="17"/>
  <c r="AH15" i="17"/>
  <c r="AG15" i="17"/>
  <c r="BC14" i="17"/>
  <c r="BB14" i="17"/>
  <c r="BA14" i="17"/>
  <c r="AX14" i="17"/>
  <c r="AW14" i="17"/>
  <c r="AV14" i="17"/>
  <c r="AS14" i="17"/>
  <c r="AR14" i="17"/>
  <c r="AQ14" i="17"/>
  <c r="AN14" i="17"/>
  <c r="AM14" i="17"/>
  <c r="AL14" i="17"/>
  <c r="AI14" i="17"/>
  <c r="AH14" i="17"/>
  <c r="AG14" i="17"/>
  <c r="BC13" i="17"/>
  <c r="BB13" i="17"/>
  <c r="BA13" i="17"/>
  <c r="AX13" i="17"/>
  <c r="AW13" i="17"/>
  <c r="AV13" i="17"/>
  <c r="AS13" i="17"/>
  <c r="AR13" i="17"/>
  <c r="AQ13" i="17"/>
  <c r="AN13" i="17"/>
  <c r="AM13" i="17"/>
  <c r="AL13" i="17"/>
  <c r="AI13" i="17"/>
  <c r="AH13" i="17"/>
  <c r="AG13" i="17"/>
  <c r="BC12" i="17"/>
  <c r="BB12" i="17"/>
  <c r="BA12" i="17"/>
  <c r="AX12" i="17"/>
  <c r="AW12" i="17"/>
  <c r="AV12" i="17"/>
  <c r="AS12" i="17"/>
  <c r="AR12" i="17"/>
  <c r="AQ12" i="17"/>
  <c r="AN12" i="17"/>
  <c r="AM12" i="17"/>
  <c r="AL12" i="17"/>
  <c r="AI12" i="17"/>
  <c r="AH12" i="17"/>
  <c r="AG12" i="17"/>
  <c r="BC11" i="17"/>
  <c r="BB11" i="17"/>
  <c r="BA11" i="17"/>
  <c r="AX11" i="17"/>
  <c r="AW11" i="17"/>
  <c r="AV11" i="17"/>
  <c r="AS11" i="17"/>
  <c r="AR11" i="17"/>
  <c r="AQ11" i="17"/>
  <c r="AN11" i="17"/>
  <c r="AM11" i="17"/>
  <c r="AL11" i="17"/>
  <c r="AI11" i="17"/>
  <c r="AH11" i="17"/>
  <c r="AG11" i="17"/>
  <c r="BC10" i="17"/>
  <c r="BB10" i="17"/>
  <c r="BA10" i="17"/>
  <c r="AX10" i="17"/>
  <c r="AW10" i="17"/>
  <c r="AV10" i="17"/>
  <c r="AS10" i="17"/>
  <c r="AR10" i="17"/>
  <c r="AQ10" i="17"/>
  <c r="AN10" i="17"/>
  <c r="AM10" i="17"/>
  <c r="AL10" i="17"/>
  <c r="AI10" i="17"/>
  <c r="AH10" i="17"/>
  <c r="AG10" i="17"/>
  <c r="BC9" i="17"/>
  <c r="BB9" i="17"/>
  <c r="BA9" i="17"/>
  <c r="AX9" i="17"/>
  <c r="AW9" i="17"/>
  <c r="AV9" i="17"/>
  <c r="AS9" i="17"/>
  <c r="AR9" i="17"/>
  <c r="AQ9" i="17"/>
  <c r="AN9" i="17"/>
  <c r="AM9" i="17"/>
  <c r="AL9" i="17"/>
  <c r="AI9" i="17"/>
  <c r="AH9" i="17"/>
  <c r="AG9" i="17"/>
  <c r="BC8" i="17"/>
  <c r="BB8" i="17"/>
  <c r="BA8" i="17"/>
  <c r="AX8" i="17"/>
  <c r="AW8" i="17"/>
  <c r="AV8" i="17"/>
  <c r="AS8" i="17"/>
  <c r="AR8" i="17"/>
  <c r="AQ8" i="17"/>
  <c r="AN8" i="17"/>
  <c r="AM8" i="17"/>
  <c r="AL8" i="17"/>
  <c r="AI8" i="17"/>
  <c r="AH8" i="17"/>
  <c r="AG8" i="17"/>
  <c r="BC7" i="17"/>
  <c r="BB7" i="17"/>
  <c r="BA7" i="17"/>
  <c r="AX7" i="17"/>
  <c r="AW7" i="17"/>
  <c r="AV7" i="17"/>
  <c r="AS7" i="17"/>
  <c r="AR7" i="17"/>
  <c r="AQ7" i="17"/>
  <c r="AN7" i="17"/>
  <c r="AM7" i="17"/>
  <c r="AL7" i="17"/>
  <c r="AI7" i="17"/>
  <c r="AH7" i="17"/>
  <c r="AG7" i="17"/>
  <c r="BC6" i="17"/>
  <c r="BB6" i="17"/>
  <c r="BA6" i="17"/>
  <c r="AX6" i="17"/>
  <c r="AW6" i="17"/>
  <c r="AV6" i="17"/>
  <c r="AS6" i="17"/>
  <c r="AR6" i="17"/>
  <c r="AQ6" i="17"/>
  <c r="AN6" i="17"/>
  <c r="AM6" i="17"/>
  <c r="AL6" i="17"/>
  <c r="AI6" i="17"/>
  <c r="AH6" i="17"/>
  <c r="AG6" i="17"/>
  <c r="BC5" i="17"/>
  <c r="BB5" i="17"/>
  <c r="BA5" i="17"/>
  <c r="AX5" i="17"/>
  <c r="AW5" i="17"/>
  <c r="AV5" i="17"/>
  <c r="AS5" i="17"/>
  <c r="AR5" i="17"/>
  <c r="AQ5" i="17"/>
  <c r="AN5" i="17"/>
  <c r="AM5" i="17"/>
  <c r="AL5" i="17"/>
  <c r="AI5" i="17"/>
  <c r="AH5" i="17"/>
  <c r="AG5" i="17"/>
  <c r="BC4" i="17"/>
  <c r="BB4" i="17"/>
  <c r="BA4" i="17"/>
  <c r="AX4" i="17"/>
  <c r="AW4" i="17"/>
  <c r="AV4" i="17"/>
  <c r="AS4" i="17"/>
  <c r="AR4" i="17"/>
  <c r="AQ4" i="17"/>
  <c r="AN4" i="17"/>
  <c r="AM4" i="17"/>
  <c r="AL4" i="17"/>
  <c r="AI4" i="17"/>
  <c r="AH4" i="17"/>
  <c r="AG4" i="17"/>
  <c r="BC3" i="17"/>
  <c r="BB3" i="17"/>
  <c r="BA3" i="17"/>
  <c r="AX3" i="17"/>
  <c r="AW3" i="17"/>
  <c r="AV3" i="17"/>
  <c r="AS3" i="17"/>
  <c r="AR3" i="17"/>
  <c r="AQ3" i="17"/>
  <c r="AN3" i="17"/>
  <c r="AM3" i="17"/>
  <c r="AL3" i="17"/>
  <c r="AI3" i="17"/>
  <c r="AH3" i="17"/>
  <c r="AG3" i="17"/>
  <c r="R13" i="9"/>
  <c r="Q13" i="9"/>
  <c r="P13" i="9"/>
  <c r="O13" i="9"/>
  <c r="N13" i="9"/>
  <c r="M13" i="9"/>
  <c r="L13" i="9"/>
  <c r="H13" i="9"/>
  <c r="G13" i="9"/>
  <c r="F13" i="9"/>
  <c r="E13" i="9"/>
  <c r="D13" i="9"/>
  <c r="C13" i="9"/>
  <c r="B13" i="9"/>
  <c r="S12" i="9"/>
  <c r="O24" i="17" s="1"/>
  <c r="I12" i="9"/>
  <c r="S11" i="9"/>
  <c r="I11" i="9"/>
  <c r="S10" i="9"/>
  <c r="O23" i="17" s="1"/>
  <c r="I10" i="9"/>
  <c r="S9" i="9"/>
  <c r="O22" i="17" s="1"/>
  <c r="I9" i="9"/>
  <c r="S8" i="9"/>
  <c r="O21" i="17" s="1"/>
  <c r="I8" i="9"/>
  <c r="S7" i="9"/>
  <c r="O20" i="17" s="1"/>
  <c r="I7" i="9"/>
  <c r="S6" i="9"/>
  <c r="O19" i="17" s="1"/>
  <c r="I6" i="9"/>
  <c r="S5" i="9"/>
  <c r="I5" i="9"/>
  <c r="H13" i="8"/>
  <c r="G13" i="8"/>
  <c r="C13" i="8"/>
  <c r="B13" i="8"/>
  <c r="I12" i="8"/>
  <c r="D12" i="8"/>
  <c r="I11" i="8"/>
  <c r="D11" i="8"/>
  <c r="I10" i="8"/>
  <c r="D10" i="8"/>
  <c r="I9" i="8"/>
  <c r="D9" i="8"/>
  <c r="I8" i="8"/>
  <c r="D8" i="8"/>
  <c r="I7" i="8"/>
  <c r="D7" i="8"/>
  <c r="I6" i="8"/>
  <c r="D6" i="8"/>
  <c r="I5" i="8"/>
  <c r="D5" i="8"/>
  <c r="I4" i="8"/>
  <c r="D4" i="8"/>
  <c r="H13" i="7"/>
  <c r="G13" i="7"/>
  <c r="C13" i="7"/>
  <c r="B13" i="7"/>
  <c r="I12" i="7"/>
  <c r="D12" i="7"/>
  <c r="I11" i="7"/>
  <c r="D11" i="7"/>
  <c r="I10" i="7"/>
  <c r="D10" i="7"/>
  <c r="I9" i="7"/>
  <c r="D9" i="7"/>
  <c r="I8" i="7"/>
  <c r="D8" i="7"/>
  <c r="I7" i="7"/>
  <c r="D7" i="7"/>
  <c r="I6" i="7"/>
  <c r="D6" i="7"/>
  <c r="I5" i="7"/>
  <c r="D5" i="7"/>
  <c r="I4" i="7"/>
  <c r="D4" i="7"/>
  <c r="H13" i="6"/>
  <c r="G13" i="6"/>
  <c r="C13" i="6"/>
  <c r="B13" i="6"/>
  <c r="I12" i="6"/>
  <c r="D12" i="6"/>
  <c r="I11" i="6"/>
  <c r="D11" i="6"/>
  <c r="I10" i="6"/>
  <c r="D10" i="6"/>
  <c r="I9" i="6"/>
  <c r="D9" i="6"/>
  <c r="I8" i="6"/>
  <c r="D8" i="6"/>
  <c r="I7" i="6"/>
  <c r="D7" i="6"/>
  <c r="I6" i="6"/>
  <c r="D6" i="6"/>
  <c r="I5" i="6"/>
  <c r="D5" i="6"/>
  <c r="I4" i="6"/>
  <c r="D4" i="6"/>
  <c r="H13" i="5"/>
  <c r="G13" i="5"/>
  <c r="C13" i="5"/>
  <c r="B13" i="5"/>
  <c r="I12" i="5"/>
  <c r="D12" i="5"/>
  <c r="I11" i="5"/>
  <c r="D11" i="5"/>
  <c r="I10" i="5"/>
  <c r="D10" i="5"/>
  <c r="I9" i="5"/>
  <c r="D9" i="5"/>
  <c r="I8" i="5"/>
  <c r="D8" i="5"/>
  <c r="I7" i="5"/>
  <c r="D7" i="5"/>
  <c r="I6" i="5"/>
  <c r="D6" i="5"/>
  <c r="I5" i="5"/>
  <c r="D5" i="5"/>
  <c r="I4" i="5"/>
  <c r="D4" i="5"/>
  <c r="H13" i="4"/>
  <c r="G13" i="4"/>
  <c r="C13" i="4"/>
  <c r="D13" i="4" s="1"/>
  <c r="B21" i="4" s="1"/>
  <c r="B13" i="4"/>
  <c r="I12" i="4"/>
  <c r="D12" i="4"/>
  <c r="I11" i="4"/>
  <c r="D11" i="4"/>
  <c r="I10" i="4"/>
  <c r="M24" i="17" s="1"/>
  <c r="D10" i="4"/>
  <c r="I9" i="4"/>
  <c r="D9" i="4"/>
  <c r="I8" i="4"/>
  <c r="M22" i="17" s="1"/>
  <c r="D8" i="4"/>
  <c r="I7" i="4"/>
  <c r="D7" i="4"/>
  <c r="I6" i="4"/>
  <c r="M20" i="17" s="1"/>
  <c r="D6" i="4"/>
  <c r="I5" i="4"/>
  <c r="M19" i="17" s="1"/>
  <c r="D5" i="4"/>
  <c r="I4" i="4"/>
  <c r="M18" i="17" s="1"/>
  <c r="D4" i="4"/>
  <c r="H13" i="3"/>
  <c r="G13" i="3"/>
  <c r="C13" i="3"/>
  <c r="B13" i="3"/>
  <c r="I12" i="3"/>
  <c r="L25" i="17" s="1"/>
  <c r="D12" i="3"/>
  <c r="I11" i="3"/>
  <c r="D11" i="3"/>
  <c r="I10" i="3"/>
  <c r="L24" i="17" s="1"/>
  <c r="D10" i="3"/>
  <c r="I9" i="3"/>
  <c r="D9" i="3"/>
  <c r="I8" i="3"/>
  <c r="L22" i="17" s="1"/>
  <c r="D8" i="3"/>
  <c r="I7" i="3"/>
  <c r="D7" i="3"/>
  <c r="I6" i="3"/>
  <c r="L20" i="17" s="1"/>
  <c r="D6" i="3"/>
  <c r="I5" i="3"/>
  <c r="D5" i="3"/>
  <c r="I4" i="3"/>
  <c r="L18" i="17" s="1"/>
  <c r="D4" i="3"/>
  <c r="H13" i="2"/>
  <c r="G13" i="2"/>
  <c r="C13" i="2"/>
  <c r="B13" i="2"/>
  <c r="I12" i="2"/>
  <c r="D12" i="2"/>
  <c r="I11" i="2"/>
  <c r="D11" i="2"/>
  <c r="I10" i="2"/>
  <c r="K24" i="17" s="1"/>
  <c r="D10" i="2"/>
  <c r="I9" i="2"/>
  <c r="K23" i="17" s="1"/>
  <c r="D9" i="2"/>
  <c r="I8" i="2"/>
  <c r="K22" i="17" s="1"/>
  <c r="D8" i="2"/>
  <c r="I7" i="2"/>
  <c r="D7" i="2"/>
  <c r="I6" i="2"/>
  <c r="K20" i="17" s="1"/>
  <c r="D6" i="2"/>
  <c r="I5" i="2"/>
  <c r="D5" i="2"/>
  <c r="I4" i="2"/>
  <c r="D4" i="2"/>
  <c r="B7" i="1" l="1"/>
  <c r="D31" i="17"/>
  <c r="E11" i="1"/>
  <c r="D32" i="17"/>
  <c r="C32" i="17"/>
  <c r="AY44" i="17"/>
  <c r="AO29" i="17"/>
  <c r="AO42" i="17"/>
  <c r="B8" i="1"/>
  <c r="AT7" i="17"/>
  <c r="AY20" i="17"/>
  <c r="B9" i="1"/>
  <c r="B11" i="1"/>
  <c r="C31" i="17"/>
  <c r="G47" i="17"/>
  <c r="G84" i="17"/>
  <c r="G54" i="17"/>
  <c r="AO33" i="17"/>
  <c r="AJ14" i="17"/>
  <c r="B12" i="1"/>
  <c r="E12" i="1"/>
  <c r="E6" i="1"/>
  <c r="AY31" i="17"/>
  <c r="E7" i="1"/>
  <c r="AO26" i="17"/>
  <c r="B10" i="1"/>
  <c r="U44" i="17"/>
  <c r="G79" i="17"/>
  <c r="G82" i="17"/>
  <c r="G85" i="17"/>
  <c r="N21" i="17"/>
  <c r="AT3" i="17"/>
  <c r="E10" i="1"/>
  <c r="AJ10" i="17"/>
  <c r="E5" i="1"/>
  <c r="N23" i="17"/>
  <c r="AY69" i="17"/>
  <c r="P81" i="17"/>
  <c r="P84" i="17"/>
  <c r="AY8" i="17"/>
  <c r="AY41" i="17"/>
  <c r="AY16" i="17"/>
  <c r="AY29" i="17"/>
  <c r="AO3" i="17"/>
  <c r="B4" i="1"/>
  <c r="AT18" i="17"/>
  <c r="E32" i="17"/>
  <c r="AO39" i="17"/>
  <c r="AY24" i="17"/>
  <c r="AO15" i="17"/>
  <c r="AO12" i="17"/>
  <c r="AO66" i="17"/>
  <c r="C56" i="17"/>
  <c r="C66" i="17" s="1"/>
  <c r="P49" i="17"/>
  <c r="G80" i="17"/>
  <c r="G86" i="17"/>
  <c r="AY23" i="17"/>
  <c r="AO40" i="17"/>
  <c r="P45" i="17"/>
  <c r="C63" i="17"/>
  <c r="AO21" i="17"/>
  <c r="P77" i="17"/>
  <c r="P80" i="17"/>
  <c r="AO11" i="17"/>
  <c r="AY35" i="17"/>
  <c r="G48" i="17"/>
  <c r="AY17" i="17"/>
  <c r="G51" i="17"/>
  <c r="P55" i="17"/>
  <c r="AT9" i="17"/>
  <c r="AY15" i="17"/>
  <c r="AY22" i="17"/>
  <c r="AO37" i="17"/>
  <c r="BD17" i="17"/>
  <c r="AY6" i="17"/>
  <c r="AY9" i="17"/>
  <c r="AY12" i="17"/>
  <c r="AY37" i="17"/>
  <c r="N19" i="17"/>
  <c r="AT17" i="17"/>
  <c r="AO25" i="17"/>
  <c r="M56" i="17"/>
  <c r="M61" i="17" s="1"/>
  <c r="N18" i="17"/>
  <c r="D18" i="4"/>
  <c r="L32" i="4" s="1"/>
  <c r="E8" i="1"/>
  <c r="D13" i="8"/>
  <c r="C26" i="8" s="1"/>
  <c r="AT14" i="17"/>
  <c r="AY25" i="17"/>
  <c r="I13" i="8"/>
  <c r="I23" i="8" s="1"/>
  <c r="BD12" i="17"/>
  <c r="AY27" i="17"/>
  <c r="AY33" i="17"/>
  <c r="W48" i="17"/>
  <c r="AT5" i="17"/>
  <c r="AJ7" i="17"/>
  <c r="AJ13" i="17"/>
  <c r="G32" i="17"/>
  <c r="C34" i="17"/>
  <c r="G36" i="17"/>
  <c r="AY40" i="17"/>
  <c r="D34" i="17"/>
  <c r="AO38" i="17"/>
  <c r="D13" i="2"/>
  <c r="D27" i="2" s="1"/>
  <c r="L41" i="2" s="1"/>
  <c r="E9" i="1"/>
  <c r="AO16" i="17"/>
  <c r="AO19" i="17"/>
  <c r="AO43" i="17"/>
  <c r="G52" i="17"/>
  <c r="AO7" i="17"/>
  <c r="AO13" i="17"/>
  <c r="O56" i="17"/>
  <c r="O71" i="17" s="1"/>
  <c r="P79" i="17"/>
  <c r="AO41" i="17"/>
  <c r="AO10" i="17"/>
  <c r="AY11" i="17"/>
  <c r="BD14" i="17"/>
  <c r="AO36" i="17"/>
  <c r="AY38" i="17"/>
  <c r="N24" i="17"/>
  <c r="P24" i="17" s="1"/>
  <c r="BD11" i="17"/>
  <c r="U45" i="17"/>
  <c r="P82" i="17"/>
  <c r="T106" i="17"/>
  <c r="AB106" i="17" s="1"/>
  <c r="AO44" i="17" s="1"/>
  <c r="AJ24" i="17"/>
  <c r="W45" i="17"/>
  <c r="AY46" i="17"/>
  <c r="AT16" i="17"/>
  <c r="AJ18" i="17"/>
  <c r="AY19" i="17"/>
  <c r="AY30" i="17"/>
  <c r="AO32" i="17"/>
  <c r="AY36" i="17"/>
  <c r="AJ11" i="17"/>
  <c r="D24" i="4"/>
  <c r="L38" i="4" s="1"/>
  <c r="S115" i="17"/>
  <c r="AA115" i="17" s="1"/>
  <c r="AT13" i="17"/>
  <c r="AO28" i="17"/>
  <c r="AY32" i="17"/>
  <c r="AY34" i="17"/>
  <c r="N25" i="17"/>
  <c r="AT10" i="17"/>
  <c r="AY13" i="17"/>
  <c r="AO24" i="17"/>
  <c r="AY28" i="17"/>
  <c r="W44" i="17"/>
  <c r="S43" i="17"/>
  <c r="AY10" i="17"/>
  <c r="AJ31" i="17"/>
  <c r="G37" i="17"/>
  <c r="AJ20" i="17"/>
  <c r="E33" i="17"/>
  <c r="D13" i="6"/>
  <c r="C22" i="6" s="1"/>
  <c r="D13" i="7"/>
  <c r="B23" i="7" s="1"/>
  <c r="AY4" i="17"/>
  <c r="BD16" i="17"/>
  <c r="F33" i="17"/>
  <c r="D26" i="4"/>
  <c r="L40" i="4" s="1"/>
  <c r="AO9" i="17"/>
  <c r="AO31" i="17"/>
  <c r="G33" i="17"/>
  <c r="AJ35" i="17"/>
  <c r="AY45" i="17"/>
  <c r="AO6" i="17"/>
  <c r="AT15" i="17"/>
  <c r="AY26" i="17"/>
  <c r="AY39" i="17"/>
  <c r="AT6" i="17"/>
  <c r="AO35" i="17"/>
  <c r="G46" i="17"/>
  <c r="P54" i="17"/>
  <c r="G81" i="17"/>
  <c r="B22" i="2"/>
  <c r="D23" i="2"/>
  <c r="L37" i="2" s="1"/>
  <c r="D20" i="4"/>
  <c r="L34" i="4" s="1"/>
  <c r="M60" i="17"/>
  <c r="E4" i="1"/>
  <c r="I13" i="2"/>
  <c r="H27" i="2" s="1"/>
  <c r="K18" i="17"/>
  <c r="D13" i="5"/>
  <c r="D18" i="5" s="1"/>
  <c r="L32" i="5" s="1"/>
  <c r="C25" i="8"/>
  <c r="I13" i="5"/>
  <c r="H27" i="5" s="1"/>
  <c r="M25" i="17"/>
  <c r="B27" i="4"/>
  <c r="O70" i="17"/>
  <c r="O60" i="17"/>
  <c r="O65" i="17"/>
  <c r="D23" i="4"/>
  <c r="L37" i="4" s="1"/>
  <c r="D19" i="4"/>
  <c r="L33" i="4" s="1"/>
  <c r="B24" i="4"/>
  <c r="B20" i="4"/>
  <c r="C24" i="4"/>
  <c r="C20" i="4"/>
  <c r="D27" i="4"/>
  <c r="L41" i="4" s="1"/>
  <c r="C27" i="4"/>
  <c r="C23" i="4"/>
  <c r="C19" i="4"/>
  <c r="C22" i="4"/>
  <c r="C26" i="4"/>
  <c r="C18" i="4"/>
  <c r="B26" i="4"/>
  <c r="B22" i="4"/>
  <c r="B18" i="4"/>
  <c r="D25" i="4"/>
  <c r="L39" i="4" s="1"/>
  <c r="C25" i="4"/>
  <c r="C21" i="4"/>
  <c r="K21" i="17"/>
  <c r="D22" i="2"/>
  <c r="L36" i="2" s="1"/>
  <c r="I13" i="4"/>
  <c r="I23" i="4" s="1"/>
  <c r="B20" i="6"/>
  <c r="B18" i="6"/>
  <c r="D26" i="6"/>
  <c r="L40" i="6" s="1"/>
  <c r="B22" i="6"/>
  <c r="C26" i="6"/>
  <c r="D13" i="3"/>
  <c r="D24" i="3" s="1"/>
  <c r="L38" i="3" s="1"/>
  <c r="G27" i="3"/>
  <c r="I13" i="3"/>
  <c r="H27" i="3" s="1"/>
  <c r="B19" i="4"/>
  <c r="D21" i="4"/>
  <c r="L35" i="4" s="1"/>
  <c r="K19" i="17"/>
  <c r="D19" i="6"/>
  <c r="L33" i="6" s="1"/>
  <c r="L19" i="17"/>
  <c r="I19" i="3"/>
  <c r="B23" i="4"/>
  <c r="K25" i="17"/>
  <c r="B25" i="4"/>
  <c r="D20" i="2"/>
  <c r="L34" i="2" s="1"/>
  <c r="B6" i="1"/>
  <c r="D26" i="2"/>
  <c r="L40" i="2" s="1"/>
  <c r="I21" i="3"/>
  <c r="L21" i="17"/>
  <c r="D22" i="4"/>
  <c r="L36" i="4" s="1"/>
  <c r="S45" i="17"/>
  <c r="I13" i="6"/>
  <c r="G27" i="6" s="1"/>
  <c r="G21" i="8"/>
  <c r="U127" i="17"/>
  <c r="AC127" i="17" s="1"/>
  <c r="AY65" i="17" s="1"/>
  <c r="U114" i="17"/>
  <c r="AC114" i="17" s="1"/>
  <c r="AY3" i="17"/>
  <c r="U120" i="17"/>
  <c r="AC120" i="17" s="1"/>
  <c r="AY58" i="17" s="1"/>
  <c r="U107" i="17"/>
  <c r="AC107" i="17" s="1"/>
  <c r="AY48" i="17" s="1"/>
  <c r="U130" i="17"/>
  <c r="AC130" i="17" s="1"/>
  <c r="AY68" i="17" s="1"/>
  <c r="U123" i="17"/>
  <c r="AC123" i="17" s="1"/>
  <c r="AY61" i="17" s="1"/>
  <c r="U110" i="17"/>
  <c r="AC110" i="17" s="1"/>
  <c r="AY51" i="17" s="1"/>
  <c r="U126" i="17"/>
  <c r="AC126" i="17" s="1"/>
  <c r="AY64" i="17" s="1"/>
  <c r="U113" i="17"/>
  <c r="AC113" i="17" s="1"/>
  <c r="AY54" i="17" s="1"/>
  <c r="U106" i="17"/>
  <c r="AC106" i="17" s="1"/>
  <c r="AY47" i="17" s="1"/>
  <c r="U129" i="17"/>
  <c r="AC129" i="17" s="1"/>
  <c r="AY67" i="17" s="1"/>
  <c r="U116" i="17"/>
  <c r="AC116" i="17" s="1"/>
  <c r="AY57" i="17" s="1"/>
  <c r="U122" i="17"/>
  <c r="AC122" i="17" s="1"/>
  <c r="AY60" i="17" s="1"/>
  <c r="U109" i="17"/>
  <c r="AC109" i="17" s="1"/>
  <c r="AY50" i="17" s="1"/>
  <c r="V48" i="17"/>
  <c r="V43" i="17"/>
  <c r="U125" i="17"/>
  <c r="AC125" i="17" s="1"/>
  <c r="AY63" i="17" s="1"/>
  <c r="U112" i="17"/>
  <c r="AC112" i="17" s="1"/>
  <c r="AY53" i="17" s="1"/>
  <c r="U128" i="17"/>
  <c r="AC128" i="17" s="1"/>
  <c r="AY66" i="17" s="1"/>
  <c r="U115" i="17"/>
  <c r="AC115" i="17" s="1"/>
  <c r="AY56" i="17" s="1"/>
  <c r="V45" i="17"/>
  <c r="U121" i="17"/>
  <c r="AC121" i="17" s="1"/>
  <c r="AY59" i="17" s="1"/>
  <c r="U108" i="17"/>
  <c r="AC108" i="17" s="1"/>
  <c r="AY49" i="17" s="1"/>
  <c r="U124" i="17"/>
  <c r="AC124" i="17" s="1"/>
  <c r="AY62" i="17" s="1"/>
  <c r="U111" i="17"/>
  <c r="T44" i="17"/>
  <c r="T45" i="17"/>
  <c r="P50" i="17"/>
  <c r="G77" i="17"/>
  <c r="M65" i="17"/>
  <c r="P85" i="17"/>
  <c r="V44" i="17"/>
  <c r="M69" i="17"/>
  <c r="AJ29" i="17"/>
  <c r="AJ37" i="17"/>
  <c r="O69" i="17"/>
  <c r="M21" i="17"/>
  <c r="G49" i="17"/>
  <c r="G83" i="17"/>
  <c r="I25" i="2"/>
  <c r="B25" i="7"/>
  <c r="H22" i="8"/>
  <c r="BD3" i="17"/>
  <c r="AO18" i="17"/>
  <c r="AJ27" i="17"/>
  <c r="B5" i="1"/>
  <c r="C25" i="7"/>
  <c r="C33" i="17"/>
  <c r="C37" i="17"/>
  <c r="M64" i="17"/>
  <c r="N20" i="17"/>
  <c r="P20" i="17" s="1"/>
  <c r="AJ17" i="17"/>
  <c r="D33" i="17"/>
  <c r="D37" i="17"/>
  <c r="D38" i="17"/>
  <c r="S121" i="17"/>
  <c r="AA121" i="17" s="1"/>
  <c r="AJ50" i="17" s="1"/>
  <c r="B21" i="7"/>
  <c r="D25" i="7"/>
  <c r="L39" i="7" s="1"/>
  <c r="C21" i="7"/>
  <c r="AJ21" i="17"/>
  <c r="AY42" i="17"/>
  <c r="O64" i="17"/>
  <c r="P86" i="17"/>
  <c r="T121" i="17"/>
  <c r="AB121" i="17" s="1"/>
  <c r="AO56" i="17" s="1"/>
  <c r="AJ4" i="17"/>
  <c r="AJ12" i="17"/>
  <c r="BD15" i="17"/>
  <c r="L23" i="17"/>
  <c r="P48" i="17"/>
  <c r="AO4" i="17"/>
  <c r="T48" i="17"/>
  <c r="T43" i="17"/>
  <c r="T47" i="17"/>
  <c r="M23" i="17"/>
  <c r="AJ34" i="17"/>
  <c r="AJ36" i="17"/>
  <c r="M63" i="17"/>
  <c r="P78" i="17"/>
  <c r="N22" i="17"/>
  <c r="B24" i="7"/>
  <c r="B20" i="7"/>
  <c r="C26" i="7"/>
  <c r="I21" i="8"/>
  <c r="BD10" i="17"/>
  <c r="AY55" i="17"/>
  <c r="M93" i="17"/>
  <c r="I13" i="7"/>
  <c r="G27" i="7" s="1"/>
  <c r="I13" i="9"/>
  <c r="C27" i="9" s="1"/>
  <c r="S124" i="17"/>
  <c r="S111" i="17"/>
  <c r="S44" i="17"/>
  <c r="S127" i="17"/>
  <c r="AA127" i="17" s="1"/>
  <c r="AJ56" i="17" s="1"/>
  <c r="S114" i="17"/>
  <c r="AA114" i="17" s="1"/>
  <c r="AJ46" i="17" s="1"/>
  <c r="S120" i="17"/>
  <c r="AA120" i="17" s="1"/>
  <c r="AJ49" i="17" s="1"/>
  <c r="S107" i="17"/>
  <c r="AA107" i="17" s="1"/>
  <c r="AJ39" i="17" s="1"/>
  <c r="S130" i="17"/>
  <c r="AA130" i="17" s="1"/>
  <c r="AJ59" i="17" s="1"/>
  <c r="S123" i="17"/>
  <c r="S110" i="17"/>
  <c r="AA110" i="17" s="1"/>
  <c r="AJ42" i="17" s="1"/>
  <c r="S126" i="17"/>
  <c r="AA126" i="17" s="1"/>
  <c r="AJ55" i="17" s="1"/>
  <c r="S106" i="17"/>
  <c r="AA106" i="17" s="1"/>
  <c r="AJ38" i="17" s="1"/>
  <c r="S129" i="17"/>
  <c r="AA129" i="17" s="1"/>
  <c r="AJ58" i="17" s="1"/>
  <c r="S116" i="17"/>
  <c r="AA116" i="17" s="1"/>
  <c r="AJ48" i="17" s="1"/>
  <c r="AJ3" i="17"/>
  <c r="S122" i="17"/>
  <c r="S109" i="17"/>
  <c r="AA109" i="17" s="1"/>
  <c r="AJ41" i="17" s="1"/>
  <c r="S125" i="17"/>
  <c r="S112" i="17"/>
  <c r="AA112" i="17" s="1"/>
  <c r="AJ44" i="17" s="1"/>
  <c r="S46" i="17"/>
  <c r="BD19" i="17"/>
  <c r="O63" i="17"/>
  <c r="S108" i="17"/>
  <c r="AA108" i="17" s="1"/>
  <c r="AJ40" i="17" s="1"/>
  <c r="O18" i="17"/>
  <c r="AJ16" i="17"/>
  <c r="S48" i="17"/>
  <c r="T108" i="17"/>
  <c r="AB108" i="17" s="1"/>
  <c r="AO46" i="17" s="1"/>
  <c r="AJ23" i="17"/>
  <c r="AJ30" i="17"/>
  <c r="C38" i="17"/>
  <c r="D56" i="17"/>
  <c r="D70" i="17" s="1"/>
  <c r="O62" i="17"/>
  <c r="G55" i="17"/>
  <c r="C87" i="17"/>
  <c r="C96" i="17" s="1"/>
  <c r="I24" i="6"/>
  <c r="T127" i="17"/>
  <c r="AB127" i="17" s="1"/>
  <c r="AO62" i="17" s="1"/>
  <c r="AJ33" i="17"/>
  <c r="E56" i="17"/>
  <c r="E65" i="17" s="1"/>
  <c r="O67" i="17"/>
  <c r="N56" i="17"/>
  <c r="N65" i="17" s="1"/>
  <c r="D87" i="17"/>
  <c r="D96" i="17" s="1"/>
  <c r="H24" i="8"/>
  <c r="I21" i="9"/>
  <c r="BD18" i="17"/>
  <c r="AJ28" i="17"/>
  <c r="AO34" i="17"/>
  <c r="F56" i="17"/>
  <c r="F69" i="17" s="1"/>
  <c r="L56" i="17"/>
  <c r="L63" i="17" s="1"/>
  <c r="S47" i="17"/>
  <c r="P52" i="17"/>
  <c r="E70" i="17"/>
  <c r="AJ60" i="17"/>
  <c r="C62" i="17"/>
  <c r="E87" i="17"/>
  <c r="E91" i="17" s="1"/>
  <c r="AJ32" i="17"/>
  <c r="V47" i="17"/>
  <c r="F87" i="17"/>
  <c r="F91" i="17" s="1"/>
  <c r="H20" i="8"/>
  <c r="S13" i="9"/>
  <c r="Q27" i="9" s="1"/>
  <c r="AJ26" i="17"/>
  <c r="C36" i="17"/>
  <c r="N61" i="17"/>
  <c r="AJ47" i="17"/>
  <c r="L87" i="17"/>
  <c r="L98" i="17" s="1"/>
  <c r="E97" i="17"/>
  <c r="S128" i="17"/>
  <c r="AA128" i="17" s="1"/>
  <c r="AJ57" i="17" s="1"/>
  <c r="I25" i="8"/>
  <c r="U48" i="17"/>
  <c r="U43" i="17"/>
  <c r="AJ6" i="17"/>
  <c r="BD9" i="17"/>
  <c r="AO20" i="17"/>
  <c r="AJ25" i="17"/>
  <c r="D36" i="17"/>
  <c r="O61" i="17"/>
  <c r="M66" i="17"/>
  <c r="M87" i="17"/>
  <c r="M101" i="17" s="1"/>
  <c r="B19" i="7"/>
  <c r="AO23" i="17"/>
  <c r="AO30" i="17"/>
  <c r="AY43" i="17"/>
  <c r="P46" i="17"/>
  <c r="N87" i="17"/>
  <c r="N102" i="17" s="1"/>
  <c r="G25" i="8"/>
  <c r="BD4" i="17"/>
  <c r="O66" i="17"/>
  <c r="O87" i="17"/>
  <c r="O102" i="17" s="1"/>
  <c r="O94" i="17"/>
  <c r="S113" i="17"/>
  <c r="AA113" i="17" s="1"/>
  <c r="AJ45" i="17" s="1"/>
  <c r="T111" i="17"/>
  <c r="T124" i="17"/>
  <c r="AB124" i="17" s="1"/>
  <c r="AO59" i="17" s="1"/>
  <c r="P53" i="17"/>
  <c r="G78" i="17"/>
  <c r="T115" i="17"/>
  <c r="AB115" i="17" s="1"/>
  <c r="AO53" i="17" s="1"/>
  <c r="T128" i="17"/>
  <c r="AB128" i="17" s="1"/>
  <c r="AO63" i="17" s="1"/>
  <c r="P51" i="17"/>
  <c r="G76" i="17"/>
  <c r="W47" i="17"/>
  <c r="T50" i="17"/>
  <c r="T112" i="17"/>
  <c r="AB112" i="17" s="1"/>
  <c r="AO50" i="17" s="1"/>
  <c r="T125" i="17"/>
  <c r="AB125" i="17" s="1"/>
  <c r="AO60" i="17" s="1"/>
  <c r="E31" i="17"/>
  <c r="E34" i="17"/>
  <c r="E35" i="17"/>
  <c r="C67" i="17"/>
  <c r="P83" i="17"/>
  <c r="F31" i="17"/>
  <c r="F34" i="17"/>
  <c r="F35" i="17"/>
  <c r="G31" i="17"/>
  <c r="G34" i="17"/>
  <c r="G35" i="17"/>
  <c r="W43" i="17"/>
  <c r="P76" i="17"/>
  <c r="T109" i="17"/>
  <c r="AB109" i="17" s="1"/>
  <c r="AO47" i="17" s="1"/>
  <c r="T122" i="17"/>
  <c r="AB122" i="17" s="1"/>
  <c r="AO57" i="17" s="1"/>
  <c r="T116" i="17"/>
  <c r="AB116" i="17" s="1"/>
  <c r="AO54" i="17" s="1"/>
  <c r="T129" i="17"/>
  <c r="AB129" i="17" s="1"/>
  <c r="AO64" i="17" s="1"/>
  <c r="C69" i="17"/>
  <c r="T113" i="17"/>
  <c r="AB113" i="17" s="1"/>
  <c r="AO51" i="17" s="1"/>
  <c r="T126" i="17"/>
  <c r="AB126" i="17" s="1"/>
  <c r="AO61" i="17" s="1"/>
  <c r="T110" i="17"/>
  <c r="AB110" i="17" s="1"/>
  <c r="AO48" i="17" s="1"/>
  <c r="T123" i="17"/>
  <c r="AB123" i="17" s="1"/>
  <c r="AO58" i="17" s="1"/>
  <c r="C60" i="17"/>
  <c r="T130" i="17"/>
  <c r="AB130" i="17" s="1"/>
  <c r="AO65" i="17" s="1"/>
  <c r="G45" i="17"/>
  <c r="G53" i="17"/>
  <c r="T107" i="17"/>
  <c r="AB107" i="17" s="1"/>
  <c r="AO45" i="17" s="1"/>
  <c r="T120" i="17"/>
  <c r="AB120" i="17" s="1"/>
  <c r="AO55" i="17" s="1"/>
  <c r="F38" i="17"/>
  <c r="T114" i="17"/>
  <c r="AB114" i="17" s="1"/>
  <c r="AO52" i="17" s="1"/>
  <c r="H27" i="4" l="1"/>
  <c r="I20" i="8"/>
  <c r="C27" i="8"/>
  <c r="B27" i="8"/>
  <c r="C68" i="17"/>
  <c r="N63" i="17"/>
  <c r="N66" i="17"/>
  <c r="I24" i="8"/>
  <c r="M38" i="8" s="1"/>
  <c r="O96" i="17"/>
  <c r="I25" i="4"/>
  <c r="I22" i="4"/>
  <c r="D21" i="8"/>
  <c r="L35" i="8" s="1"/>
  <c r="I25" i="6"/>
  <c r="G26" i="8"/>
  <c r="I21" i="5"/>
  <c r="D19" i="8"/>
  <c r="L33" i="8" s="1"/>
  <c r="I19" i="4"/>
  <c r="D20" i="5"/>
  <c r="L34" i="5" s="1"/>
  <c r="C24" i="8"/>
  <c r="H38" i="8" s="1"/>
  <c r="C70" i="17"/>
  <c r="C20" i="8"/>
  <c r="H34" i="8" s="1"/>
  <c r="D20" i="8"/>
  <c r="L34" i="8" s="1"/>
  <c r="B25" i="8"/>
  <c r="C61" i="17"/>
  <c r="D22" i="8"/>
  <c r="L36" i="8" s="1"/>
  <c r="S94" i="17"/>
  <c r="AA94" i="17" s="1"/>
  <c r="C71" i="17"/>
  <c r="G18" i="8"/>
  <c r="C65" i="17"/>
  <c r="O68" i="17"/>
  <c r="C64" i="17"/>
  <c r="I18" i="6"/>
  <c r="D25" i="8"/>
  <c r="L39" i="8" s="1"/>
  <c r="C23" i="8"/>
  <c r="P56" i="17"/>
  <c r="P71" i="17" s="1"/>
  <c r="I26" i="3"/>
  <c r="C19" i="8"/>
  <c r="B27" i="6"/>
  <c r="B21" i="8"/>
  <c r="B23" i="6"/>
  <c r="C21" i="8"/>
  <c r="B25" i="6"/>
  <c r="B24" i="8"/>
  <c r="B26" i="6"/>
  <c r="D18" i="3"/>
  <c r="L32" i="3" s="1"/>
  <c r="D23" i="8"/>
  <c r="L37" i="8" s="1"/>
  <c r="I20" i="2"/>
  <c r="U100" i="17"/>
  <c r="AC100" i="17" s="1"/>
  <c r="I19" i="2"/>
  <c r="I21" i="2"/>
  <c r="I26" i="4"/>
  <c r="D18" i="8"/>
  <c r="L32" i="8" s="1"/>
  <c r="I34" i="8"/>
  <c r="G27" i="2"/>
  <c r="G35" i="8"/>
  <c r="B22" i="8"/>
  <c r="I21" i="6"/>
  <c r="D26" i="8"/>
  <c r="L40" i="8" s="1"/>
  <c r="M62" i="17"/>
  <c r="G19" i="8"/>
  <c r="G23" i="8"/>
  <c r="M34" i="8"/>
  <c r="N34" i="8" s="1"/>
  <c r="B21" i="6"/>
  <c r="B23" i="8"/>
  <c r="G20" i="8"/>
  <c r="G24" i="8"/>
  <c r="I23" i="6"/>
  <c r="H18" i="8"/>
  <c r="H27" i="6"/>
  <c r="C21" i="6"/>
  <c r="D27" i="8"/>
  <c r="L41" i="8" s="1"/>
  <c r="M98" i="17"/>
  <c r="H26" i="8"/>
  <c r="H40" i="8" s="1"/>
  <c r="I21" i="4"/>
  <c r="I35" i="4" s="1"/>
  <c r="C25" i="6"/>
  <c r="B19" i="8"/>
  <c r="B25" i="2"/>
  <c r="I22" i="8"/>
  <c r="M36" i="8" s="1"/>
  <c r="N36" i="8" s="1"/>
  <c r="I18" i="8"/>
  <c r="G39" i="8"/>
  <c r="N67" i="17"/>
  <c r="B24" i="6"/>
  <c r="C23" i="7"/>
  <c r="H23" i="8"/>
  <c r="H37" i="8" s="1"/>
  <c r="D24" i="8"/>
  <c r="L38" i="8" s="1"/>
  <c r="N38" i="8" s="1"/>
  <c r="L61" i="17"/>
  <c r="S92" i="17" s="1"/>
  <c r="AA92" i="17" s="1"/>
  <c r="L66" i="17"/>
  <c r="S97" i="17" s="1"/>
  <c r="AA97" i="17" s="1"/>
  <c r="D23" i="6"/>
  <c r="L37" i="6" s="1"/>
  <c r="I19" i="8"/>
  <c r="D22" i="6"/>
  <c r="L36" i="6" s="1"/>
  <c r="D18" i="7"/>
  <c r="L32" i="7" s="1"/>
  <c r="C27" i="7"/>
  <c r="H27" i="8"/>
  <c r="I20" i="6"/>
  <c r="I34" i="6" s="1"/>
  <c r="M67" i="17"/>
  <c r="G27" i="8"/>
  <c r="G41" i="8" s="1"/>
  <c r="C27" i="6"/>
  <c r="B20" i="8"/>
  <c r="D27" i="6"/>
  <c r="L41" i="6" s="1"/>
  <c r="D23" i="7"/>
  <c r="L37" i="7" s="1"/>
  <c r="G41" i="6"/>
  <c r="C23" i="6"/>
  <c r="D21" i="7"/>
  <c r="L35" i="7" s="1"/>
  <c r="D27" i="7"/>
  <c r="L41" i="7" s="1"/>
  <c r="B27" i="7"/>
  <c r="B19" i="6"/>
  <c r="B26" i="8"/>
  <c r="G40" i="8" s="1"/>
  <c r="M70" i="17"/>
  <c r="H25" i="8"/>
  <c r="H39" i="8" s="1"/>
  <c r="C19" i="6"/>
  <c r="I26" i="8"/>
  <c r="M40" i="8" s="1"/>
  <c r="N64" i="17"/>
  <c r="C24" i="6"/>
  <c r="D21" i="6"/>
  <c r="L35" i="6" s="1"/>
  <c r="D18" i="6"/>
  <c r="L32" i="6" s="1"/>
  <c r="D24" i="6"/>
  <c r="L38" i="6" s="1"/>
  <c r="C22" i="8"/>
  <c r="H36" i="8" s="1"/>
  <c r="M68" i="17"/>
  <c r="M91" i="17"/>
  <c r="G22" i="8"/>
  <c r="C20" i="6"/>
  <c r="B18" i="8"/>
  <c r="G32" i="8" s="1"/>
  <c r="M71" i="17"/>
  <c r="D25" i="6"/>
  <c r="L39" i="6" s="1"/>
  <c r="H27" i="9"/>
  <c r="M92" i="17"/>
  <c r="D20" i="6"/>
  <c r="L34" i="6" s="1"/>
  <c r="C18" i="8"/>
  <c r="I23" i="3"/>
  <c r="M37" i="3" s="1"/>
  <c r="D64" i="17"/>
  <c r="T95" i="17" s="1"/>
  <c r="AB95" i="17" s="1"/>
  <c r="B19" i="2"/>
  <c r="B27" i="2"/>
  <c r="N101" i="17"/>
  <c r="B23" i="2"/>
  <c r="H41" i="8"/>
  <c r="N98" i="17"/>
  <c r="E95" i="17"/>
  <c r="C22" i="2"/>
  <c r="C23" i="2"/>
  <c r="E61" i="17"/>
  <c r="I19" i="5"/>
  <c r="C19" i="2"/>
  <c r="M94" i="17"/>
  <c r="E96" i="17"/>
  <c r="N92" i="17"/>
  <c r="C21" i="2"/>
  <c r="L62" i="17"/>
  <c r="D39" i="17"/>
  <c r="C25" i="2"/>
  <c r="M97" i="17"/>
  <c r="D67" i="17"/>
  <c r="T98" i="17" s="1"/>
  <c r="AB98" i="17" s="1"/>
  <c r="I22" i="5"/>
  <c r="M36" i="5" s="1"/>
  <c r="D18" i="2"/>
  <c r="L32" i="2" s="1"/>
  <c r="B18" i="2"/>
  <c r="G36" i="8"/>
  <c r="D20" i="3"/>
  <c r="L34" i="3" s="1"/>
  <c r="B26" i="2"/>
  <c r="C26" i="2"/>
  <c r="L69" i="17"/>
  <c r="S100" i="17" s="1"/>
  <c r="AA100" i="17" s="1"/>
  <c r="D69" i="17"/>
  <c r="T100" i="17" s="1"/>
  <c r="AB100" i="17" s="1"/>
  <c r="M99" i="17"/>
  <c r="N96" i="17"/>
  <c r="H41" i="4"/>
  <c r="I25" i="5"/>
  <c r="C20" i="2"/>
  <c r="D60" i="17"/>
  <c r="T91" i="17" s="1"/>
  <c r="AB91" i="17" s="1"/>
  <c r="D91" i="17"/>
  <c r="W91" i="17" s="1"/>
  <c r="AE91" i="17" s="1"/>
  <c r="D68" i="17"/>
  <c r="D24" i="2"/>
  <c r="L38" i="2" s="1"/>
  <c r="C24" i="2"/>
  <c r="N26" i="17"/>
  <c r="N36" i="17" s="1"/>
  <c r="V36" i="17" s="1"/>
  <c r="AC36" i="17" s="1"/>
  <c r="AC60" i="17" s="1"/>
  <c r="AY21" i="17" s="1"/>
  <c r="B20" i="2"/>
  <c r="N62" i="17"/>
  <c r="B24" i="2"/>
  <c r="B26" i="7"/>
  <c r="C19" i="7"/>
  <c r="C18" i="7"/>
  <c r="B18" i="7"/>
  <c r="C22" i="7"/>
  <c r="D24" i="7"/>
  <c r="L38" i="7" s="1"/>
  <c r="C24" i="7"/>
  <c r="B22" i="7"/>
  <c r="C20" i="7"/>
  <c r="D19" i="7"/>
  <c r="L33" i="7" s="1"/>
  <c r="D25" i="2"/>
  <c r="L39" i="2" s="1"/>
  <c r="D21" i="2"/>
  <c r="L35" i="2" s="1"/>
  <c r="C18" i="2"/>
  <c r="I27" i="8"/>
  <c r="H21" i="8"/>
  <c r="H35" i="8" s="1"/>
  <c r="H19" i="8"/>
  <c r="H33" i="8" s="1"/>
  <c r="N99" i="17"/>
  <c r="N69" i="17"/>
  <c r="D24" i="5"/>
  <c r="L38" i="5" s="1"/>
  <c r="D22" i="5"/>
  <c r="L36" i="5" s="1"/>
  <c r="C18" i="6"/>
  <c r="D19" i="2"/>
  <c r="L33" i="2" s="1"/>
  <c r="D22" i="7"/>
  <c r="L36" i="7" s="1"/>
  <c r="C27" i="2"/>
  <c r="H41" i="2" s="1"/>
  <c r="D20" i="7"/>
  <c r="L34" i="7" s="1"/>
  <c r="G41" i="7"/>
  <c r="B21" i="2"/>
  <c r="M96" i="17"/>
  <c r="W96" i="17" s="1"/>
  <c r="AE96" i="17" s="1"/>
  <c r="G41" i="2"/>
  <c r="D26" i="7"/>
  <c r="L40" i="7" s="1"/>
  <c r="N31" i="17"/>
  <c r="V31" i="17" s="1"/>
  <c r="AC31" i="17" s="1"/>
  <c r="AC55" i="17" s="1"/>
  <c r="AY18" i="17" s="1"/>
  <c r="S25" i="9"/>
  <c r="G21" i="6"/>
  <c r="G35" i="6" s="1"/>
  <c r="H25" i="6"/>
  <c r="H39" i="6" s="1"/>
  <c r="G25" i="6"/>
  <c r="G39" i="6" s="1"/>
  <c r="H20" i="6"/>
  <c r="G20" i="6"/>
  <c r="G34" i="6" s="1"/>
  <c r="H24" i="6"/>
  <c r="G24" i="6"/>
  <c r="G38" i="6" s="1"/>
  <c r="I19" i="6"/>
  <c r="H19" i="6"/>
  <c r="G19" i="6"/>
  <c r="G33" i="6" s="1"/>
  <c r="H23" i="6"/>
  <c r="I27" i="6"/>
  <c r="G23" i="6"/>
  <c r="G37" i="6" s="1"/>
  <c r="H18" i="6"/>
  <c r="I22" i="6"/>
  <c r="G18" i="6"/>
  <c r="G32" i="6" s="1"/>
  <c r="H22" i="6"/>
  <c r="H36" i="6" s="1"/>
  <c r="I26" i="6"/>
  <c r="G22" i="6"/>
  <c r="G36" i="6" s="1"/>
  <c r="H26" i="6"/>
  <c r="H40" i="6" s="1"/>
  <c r="H21" i="6"/>
  <c r="H35" i="6" s="1"/>
  <c r="G26" i="6"/>
  <c r="G40" i="6" s="1"/>
  <c r="M35" i="4"/>
  <c r="N35" i="4" s="1"/>
  <c r="G24" i="5"/>
  <c r="G20" i="5"/>
  <c r="I27" i="5"/>
  <c r="H19" i="5"/>
  <c r="G23" i="5"/>
  <c r="G19" i="5"/>
  <c r="H23" i="5"/>
  <c r="I18" i="5"/>
  <c r="H26" i="5"/>
  <c r="H22" i="5"/>
  <c r="H18" i="5"/>
  <c r="G26" i="5"/>
  <c r="G22" i="5"/>
  <c r="G18" i="5"/>
  <c r="H25" i="5"/>
  <c r="H21" i="5"/>
  <c r="I24" i="5"/>
  <c r="I20" i="5"/>
  <c r="H24" i="5"/>
  <c r="H20" i="5"/>
  <c r="G25" i="5"/>
  <c r="G21" i="5"/>
  <c r="G56" i="17"/>
  <c r="G60" i="17" s="1"/>
  <c r="P61" i="17"/>
  <c r="E71" i="17"/>
  <c r="E66" i="17"/>
  <c r="E63" i="17"/>
  <c r="O93" i="17"/>
  <c r="L96" i="17"/>
  <c r="V96" i="17" s="1"/>
  <c r="AD96" i="17" s="1"/>
  <c r="AA125" i="17" s="1"/>
  <c r="AJ54" i="17" s="1"/>
  <c r="E67" i="17"/>
  <c r="P63" i="17"/>
  <c r="S23" i="9"/>
  <c r="L100" i="17"/>
  <c r="M33" i="3"/>
  <c r="I34" i="2"/>
  <c r="M34" i="2"/>
  <c r="N34" i="2" s="1"/>
  <c r="G27" i="5"/>
  <c r="L24" i="9"/>
  <c r="L21" i="9"/>
  <c r="R25" i="9"/>
  <c r="R22" i="9"/>
  <c r="R19" i="9"/>
  <c r="P26" i="9"/>
  <c r="P23" i="9"/>
  <c r="P20" i="9"/>
  <c r="O26" i="9"/>
  <c r="O23" i="9"/>
  <c r="O20" i="9"/>
  <c r="N26" i="9"/>
  <c r="N23" i="9"/>
  <c r="N20" i="9"/>
  <c r="S24" i="9"/>
  <c r="R24" i="9"/>
  <c r="Q22" i="9"/>
  <c r="R26" i="9"/>
  <c r="Q24" i="9"/>
  <c r="P22" i="9"/>
  <c r="R20" i="9"/>
  <c r="Q26" i="9"/>
  <c r="P24" i="9"/>
  <c r="O22" i="9"/>
  <c r="Q20" i="9"/>
  <c r="M26" i="9"/>
  <c r="O24" i="9"/>
  <c r="N22" i="9"/>
  <c r="M20" i="9"/>
  <c r="L26" i="9"/>
  <c r="N24" i="9"/>
  <c r="M22" i="9"/>
  <c r="L20" i="9"/>
  <c r="M24" i="9"/>
  <c r="L22" i="9"/>
  <c r="S27" i="9"/>
  <c r="S21" i="9"/>
  <c r="S35" i="9" s="1"/>
  <c r="Q25" i="9"/>
  <c r="R21" i="9"/>
  <c r="Q19" i="9"/>
  <c r="P25" i="9"/>
  <c r="R23" i="9"/>
  <c r="Q21" i="9"/>
  <c r="P19" i="9"/>
  <c r="O25" i="9"/>
  <c r="Q23" i="9"/>
  <c r="P21" i="9"/>
  <c r="O19" i="9"/>
  <c r="N25" i="9"/>
  <c r="M23" i="9"/>
  <c r="O21" i="9"/>
  <c r="N19" i="9"/>
  <c r="M25" i="9"/>
  <c r="L23" i="9"/>
  <c r="N21" i="9"/>
  <c r="M19" i="9"/>
  <c r="M27" i="9"/>
  <c r="M41" i="9" s="1"/>
  <c r="L25" i="9"/>
  <c r="M21" i="9"/>
  <c r="L19" i="9"/>
  <c r="P62" i="17"/>
  <c r="I27" i="7"/>
  <c r="G23" i="7"/>
  <c r="G37" i="7" s="1"/>
  <c r="H18" i="7"/>
  <c r="H32" i="7" s="1"/>
  <c r="G18" i="7"/>
  <c r="H22" i="7"/>
  <c r="I26" i="7"/>
  <c r="G22" i="7"/>
  <c r="H26" i="7"/>
  <c r="H40" i="7" s="1"/>
  <c r="G26" i="7"/>
  <c r="G40" i="7" s="1"/>
  <c r="H21" i="7"/>
  <c r="H35" i="7" s="1"/>
  <c r="G21" i="7"/>
  <c r="G35" i="7" s="1"/>
  <c r="H25" i="7"/>
  <c r="H39" i="7" s="1"/>
  <c r="G25" i="7"/>
  <c r="G39" i="7" s="1"/>
  <c r="I20" i="7"/>
  <c r="H20" i="7"/>
  <c r="G20" i="7"/>
  <c r="G34" i="7" s="1"/>
  <c r="H24" i="7"/>
  <c r="H38" i="7" s="1"/>
  <c r="G24" i="7"/>
  <c r="G38" i="7" s="1"/>
  <c r="I19" i="7"/>
  <c r="G19" i="7"/>
  <c r="G33" i="7" s="1"/>
  <c r="H23" i="7"/>
  <c r="H37" i="7" s="1"/>
  <c r="H19" i="7"/>
  <c r="F39" i="17"/>
  <c r="P68" i="17"/>
  <c r="P67" i="17"/>
  <c r="N97" i="17"/>
  <c r="P27" i="9"/>
  <c r="P21" i="17"/>
  <c r="B27" i="9"/>
  <c r="L99" i="17"/>
  <c r="E62" i="17"/>
  <c r="E68" i="17"/>
  <c r="N100" i="17"/>
  <c r="M35" i="2"/>
  <c r="L97" i="17"/>
  <c r="O99" i="17"/>
  <c r="L71" i="17"/>
  <c r="L67" i="17"/>
  <c r="S98" i="17" s="1"/>
  <c r="AA98" i="17" s="1"/>
  <c r="L68" i="17"/>
  <c r="S99" i="17" s="1"/>
  <c r="AA99" i="17" s="1"/>
  <c r="I25" i="7"/>
  <c r="E64" i="17"/>
  <c r="P60" i="17"/>
  <c r="I39" i="4"/>
  <c r="M39" i="4"/>
  <c r="N39" i="4" s="1"/>
  <c r="E92" i="17"/>
  <c r="M33" i="2"/>
  <c r="D19" i="5"/>
  <c r="L33" i="5" s="1"/>
  <c r="B24" i="5"/>
  <c r="B20" i="5"/>
  <c r="C24" i="5"/>
  <c r="C20" i="5"/>
  <c r="D23" i="5"/>
  <c r="L37" i="5" s="1"/>
  <c r="D27" i="5"/>
  <c r="L41" i="5" s="1"/>
  <c r="C27" i="5"/>
  <c r="H41" i="5" s="1"/>
  <c r="C23" i="5"/>
  <c r="C19" i="5"/>
  <c r="B23" i="5"/>
  <c r="B19" i="5"/>
  <c r="C26" i="5"/>
  <c r="C22" i="5"/>
  <c r="C18" i="5"/>
  <c r="B26" i="5"/>
  <c r="B22" i="5"/>
  <c r="B18" i="5"/>
  <c r="D25" i="5"/>
  <c r="L39" i="5" s="1"/>
  <c r="D21" i="5"/>
  <c r="L35" i="5" s="1"/>
  <c r="C25" i="5"/>
  <c r="C21" i="5"/>
  <c r="B25" i="5"/>
  <c r="B21" i="5"/>
  <c r="L94" i="17"/>
  <c r="L92" i="17"/>
  <c r="M34" i="6"/>
  <c r="N34" i="6" s="1"/>
  <c r="F101" i="17"/>
  <c r="F100" i="17"/>
  <c r="F97" i="17"/>
  <c r="F95" i="17"/>
  <c r="F94" i="17"/>
  <c r="X94" i="17" s="1"/>
  <c r="AF94" i="17" s="1"/>
  <c r="F102" i="17"/>
  <c r="F71" i="17"/>
  <c r="F66" i="17"/>
  <c r="U97" i="17" s="1"/>
  <c r="AC97" i="17" s="1"/>
  <c r="F63" i="17"/>
  <c r="U94" i="17" s="1"/>
  <c r="AC94" i="17" s="1"/>
  <c r="F62" i="17"/>
  <c r="U93" i="17" s="1"/>
  <c r="AC93" i="17" s="1"/>
  <c r="F61" i="17"/>
  <c r="U92" i="17" s="1"/>
  <c r="AC92" i="17" s="1"/>
  <c r="F68" i="17"/>
  <c r="U99" i="17" s="1"/>
  <c r="AC99" i="17" s="1"/>
  <c r="M32" i="6"/>
  <c r="N32" i="6" s="1"/>
  <c r="I32" i="6"/>
  <c r="E69" i="17"/>
  <c r="P19" i="17"/>
  <c r="B27" i="5"/>
  <c r="M38" i="6"/>
  <c r="N38" i="6" s="1"/>
  <c r="I38" i="6"/>
  <c r="F67" i="17"/>
  <c r="U98" i="17" s="1"/>
  <c r="AC98" i="17" s="1"/>
  <c r="P69" i="17"/>
  <c r="M33" i="5"/>
  <c r="K26" i="17"/>
  <c r="K34" i="17" s="1"/>
  <c r="S34" i="17" s="1"/>
  <c r="Z34" i="17" s="1"/>
  <c r="Z58" i="17" s="1"/>
  <c r="AJ5" i="17" s="1"/>
  <c r="P18" i="17"/>
  <c r="L91" i="17"/>
  <c r="M39" i="6"/>
  <c r="N39" i="6" s="1"/>
  <c r="I39" i="6"/>
  <c r="I33" i="4"/>
  <c r="M33" i="4"/>
  <c r="N33" i="4" s="1"/>
  <c r="L64" i="17"/>
  <c r="S95" i="17" s="1"/>
  <c r="AA95" i="17" s="1"/>
  <c r="F70" i="17"/>
  <c r="U101" i="17" s="1"/>
  <c r="AC101" i="17" s="1"/>
  <c r="M35" i="6"/>
  <c r="N35" i="6" s="1"/>
  <c r="I35" i="6"/>
  <c r="P25" i="17"/>
  <c r="I36" i="8"/>
  <c r="G24" i="2"/>
  <c r="G38" i="2" s="1"/>
  <c r="G20" i="2"/>
  <c r="G34" i="2" s="1"/>
  <c r="I27" i="2"/>
  <c r="I23" i="2"/>
  <c r="G19" i="2"/>
  <c r="G33" i="2" s="1"/>
  <c r="H23" i="2"/>
  <c r="H37" i="2" s="1"/>
  <c r="H19" i="2"/>
  <c r="G23" i="2"/>
  <c r="G37" i="2" s="1"/>
  <c r="H24" i="2"/>
  <c r="H38" i="2" s="1"/>
  <c r="H21" i="2"/>
  <c r="H35" i="2" s="1"/>
  <c r="H22" i="2"/>
  <c r="H36" i="2" s="1"/>
  <c r="G22" i="2"/>
  <c r="G36" i="2" s="1"/>
  <c r="I22" i="2"/>
  <c r="I26" i="2"/>
  <c r="G21" i="2"/>
  <c r="H20" i="2"/>
  <c r="H26" i="2"/>
  <c r="H40" i="2" s="1"/>
  <c r="I18" i="2"/>
  <c r="G26" i="2"/>
  <c r="G40" i="2" s="1"/>
  <c r="H18" i="2"/>
  <c r="H25" i="2"/>
  <c r="G18" i="2"/>
  <c r="G25" i="2"/>
  <c r="G39" i="2" s="1"/>
  <c r="I24" i="2"/>
  <c r="N40" i="8"/>
  <c r="S19" i="9"/>
  <c r="O95" i="17"/>
  <c r="I24" i="7"/>
  <c r="M39" i="5"/>
  <c r="L95" i="17"/>
  <c r="L102" i="17"/>
  <c r="M95" i="17"/>
  <c r="M102" i="17"/>
  <c r="O26" i="17"/>
  <c r="O31" i="17" s="1"/>
  <c r="W31" i="17" s="1"/>
  <c r="AD31" i="17" s="1"/>
  <c r="AD55" i="17" s="1"/>
  <c r="BD8" i="17" s="1"/>
  <c r="O92" i="17"/>
  <c r="F98" i="17"/>
  <c r="M100" i="17"/>
  <c r="G24" i="3"/>
  <c r="G20" i="3"/>
  <c r="G19" i="3"/>
  <c r="I27" i="3"/>
  <c r="H23" i="3"/>
  <c r="H19" i="3"/>
  <c r="G23" i="3"/>
  <c r="H26" i="3"/>
  <c r="H22" i="3"/>
  <c r="H18" i="3"/>
  <c r="H24" i="3"/>
  <c r="H20" i="3"/>
  <c r="G21" i="3"/>
  <c r="I20" i="3"/>
  <c r="I18" i="3"/>
  <c r="G18" i="3"/>
  <c r="G26" i="3"/>
  <c r="H25" i="3"/>
  <c r="G25" i="3"/>
  <c r="I24" i="3"/>
  <c r="I22" i="3"/>
  <c r="G22" i="3"/>
  <c r="H21" i="3"/>
  <c r="I37" i="4"/>
  <c r="M37" i="4"/>
  <c r="N37" i="4" s="1"/>
  <c r="C99" i="17"/>
  <c r="C93" i="17"/>
  <c r="C98" i="17"/>
  <c r="V98" i="17" s="1"/>
  <c r="AD98" i="17" s="1"/>
  <c r="C92" i="17"/>
  <c r="C97" i="17"/>
  <c r="C91" i="17"/>
  <c r="V91" i="17" s="1"/>
  <c r="AD91" i="17" s="1"/>
  <c r="C102" i="17"/>
  <c r="C101" i="17"/>
  <c r="C95" i="17"/>
  <c r="C100" i="17"/>
  <c r="V100" i="17" s="1"/>
  <c r="AD100" i="17" s="1"/>
  <c r="C94" i="17"/>
  <c r="L27" i="9"/>
  <c r="L41" i="9" s="1"/>
  <c r="O100" i="17"/>
  <c r="O97" i="17"/>
  <c r="D26" i="5"/>
  <c r="L40" i="5" s="1"/>
  <c r="O91" i="17"/>
  <c r="X91" i="17" s="1"/>
  <c r="AF91" i="17" s="1"/>
  <c r="E39" i="17"/>
  <c r="F65" i="17"/>
  <c r="U96" i="17" s="1"/>
  <c r="AC96" i="17" s="1"/>
  <c r="AC111" i="17" s="1"/>
  <c r="AY52" i="17" s="1"/>
  <c r="F99" i="17"/>
  <c r="O98" i="17"/>
  <c r="F92" i="17"/>
  <c r="I24" i="9"/>
  <c r="M40" i="3"/>
  <c r="M35" i="8"/>
  <c r="N35" i="8" s="1"/>
  <c r="I35" i="8"/>
  <c r="P64" i="17"/>
  <c r="B24" i="3"/>
  <c r="B20" i="3"/>
  <c r="C24" i="3"/>
  <c r="C20" i="3"/>
  <c r="C26" i="3"/>
  <c r="C22" i="3"/>
  <c r="C18" i="3"/>
  <c r="B26" i="3"/>
  <c r="B22" i="3"/>
  <c r="B18" i="3"/>
  <c r="C25" i="3"/>
  <c r="C21" i="3"/>
  <c r="D19" i="3"/>
  <c r="L33" i="3" s="1"/>
  <c r="B25" i="3"/>
  <c r="B21" i="3"/>
  <c r="C19" i="3"/>
  <c r="D27" i="3"/>
  <c r="L41" i="3" s="1"/>
  <c r="B19" i="3"/>
  <c r="C27" i="3"/>
  <c r="H41" i="3" s="1"/>
  <c r="D25" i="3"/>
  <c r="L39" i="3" s="1"/>
  <c r="D23" i="3"/>
  <c r="L37" i="3" s="1"/>
  <c r="C23" i="3"/>
  <c r="B23" i="3"/>
  <c r="P70" i="17"/>
  <c r="L60" i="17"/>
  <c r="S91" i="17" s="1"/>
  <c r="AA91" i="17" s="1"/>
  <c r="N93" i="17"/>
  <c r="I21" i="7"/>
  <c r="M35" i="5"/>
  <c r="H27" i="7"/>
  <c r="H41" i="7" s="1"/>
  <c r="D22" i="3"/>
  <c r="L36" i="3" s="1"/>
  <c r="M37" i="6"/>
  <c r="N37" i="6" s="1"/>
  <c r="I37" i="6"/>
  <c r="N91" i="17"/>
  <c r="D65" i="17"/>
  <c r="T96" i="17" s="1"/>
  <c r="AB96" i="17" s="1"/>
  <c r="AB111" i="17" s="1"/>
  <c r="AO49" i="17" s="1"/>
  <c r="D71" i="17"/>
  <c r="D66" i="17"/>
  <c r="T97" i="17" s="1"/>
  <c r="AB97" i="17" s="1"/>
  <c r="D63" i="17"/>
  <c r="T94" i="17" s="1"/>
  <c r="AB94" i="17" s="1"/>
  <c r="D62" i="17"/>
  <c r="T93" i="17" s="1"/>
  <c r="AB93" i="17" s="1"/>
  <c r="D61" i="17"/>
  <c r="T92" i="17" s="1"/>
  <c r="AB92" i="17" s="1"/>
  <c r="O101" i="17"/>
  <c r="N33" i="17"/>
  <c r="V33" i="17" s="1"/>
  <c r="AC33" i="17" s="1"/>
  <c r="AC57" i="17" s="1"/>
  <c r="AY7" i="17" s="1"/>
  <c r="P65" i="17"/>
  <c r="O27" i="9"/>
  <c r="I40" i="4"/>
  <c r="M40" i="4"/>
  <c r="N40" i="4" s="1"/>
  <c r="P87" i="17"/>
  <c r="P93" i="17" s="1"/>
  <c r="G87" i="17"/>
  <c r="G91" i="17" s="1"/>
  <c r="N35" i="17"/>
  <c r="V35" i="17" s="1"/>
  <c r="AC35" i="17" s="1"/>
  <c r="AC59" i="17" s="1"/>
  <c r="AY5" i="17" s="1"/>
  <c r="L101" i="17"/>
  <c r="L65" i="17"/>
  <c r="S96" i="17" s="1"/>
  <c r="AA96" i="17" s="1"/>
  <c r="AA111" i="17" s="1"/>
  <c r="AJ43" i="17" s="1"/>
  <c r="M26" i="17"/>
  <c r="M38" i="17" s="1"/>
  <c r="L26" i="17"/>
  <c r="L34" i="17" s="1"/>
  <c r="F60" i="17"/>
  <c r="U91" i="17" s="1"/>
  <c r="AC91" i="17" s="1"/>
  <c r="L70" i="17"/>
  <c r="S101" i="17" s="1"/>
  <c r="AA101" i="17" s="1"/>
  <c r="D101" i="17"/>
  <c r="W101" i="17" s="1"/>
  <c r="AE101" i="17" s="1"/>
  <c r="D100" i="17"/>
  <c r="D99" i="17"/>
  <c r="W99" i="17" s="1"/>
  <c r="AE99" i="17" s="1"/>
  <c r="D98" i="17"/>
  <c r="W98" i="17" s="1"/>
  <c r="AE98" i="17" s="1"/>
  <c r="D97" i="17"/>
  <c r="W97" i="17" s="1"/>
  <c r="AE97" i="17" s="1"/>
  <c r="D95" i="17"/>
  <c r="D94" i="17"/>
  <c r="W94" i="17" s="1"/>
  <c r="AE94" i="17" s="1"/>
  <c r="D93" i="17"/>
  <c r="W93" i="17" s="1"/>
  <c r="AE93" i="17" s="1"/>
  <c r="D92" i="17"/>
  <c r="W92" i="17" s="1"/>
  <c r="AE92" i="17" s="1"/>
  <c r="D102" i="17"/>
  <c r="I36" i="4"/>
  <c r="M36" i="4"/>
  <c r="N36" i="4" s="1"/>
  <c r="F93" i="17"/>
  <c r="P22" i="17"/>
  <c r="I25" i="3"/>
  <c r="B27" i="3"/>
  <c r="G41" i="3" s="1"/>
  <c r="P66" i="17"/>
  <c r="N94" i="17"/>
  <c r="E94" i="17"/>
  <c r="F96" i="17"/>
  <c r="X96" i="17" s="1"/>
  <c r="AF96" i="17" s="1"/>
  <c r="P23" i="17"/>
  <c r="F64" i="17"/>
  <c r="U95" i="17" s="1"/>
  <c r="AC95" i="17" s="1"/>
  <c r="I22" i="7"/>
  <c r="N71" i="17"/>
  <c r="N70" i="17"/>
  <c r="N68" i="17"/>
  <c r="N60" i="17"/>
  <c r="M39" i="2"/>
  <c r="N39" i="2" s="1"/>
  <c r="I39" i="2"/>
  <c r="M35" i="3"/>
  <c r="D26" i="3"/>
  <c r="L40" i="3" s="1"/>
  <c r="D21" i="3"/>
  <c r="L35" i="3" s="1"/>
  <c r="E100" i="17"/>
  <c r="E99" i="17"/>
  <c r="E93" i="17"/>
  <c r="E102" i="17"/>
  <c r="T101" i="17"/>
  <c r="AB101" i="17" s="1"/>
  <c r="M33" i="8"/>
  <c r="N33" i="8" s="1"/>
  <c r="I33" i="8"/>
  <c r="B26" i="9"/>
  <c r="B23" i="9"/>
  <c r="B20" i="9"/>
  <c r="I27" i="9"/>
  <c r="H24" i="9"/>
  <c r="H21" i="9"/>
  <c r="F25" i="9"/>
  <c r="F22" i="9"/>
  <c r="F19" i="9"/>
  <c r="E25" i="9"/>
  <c r="E22" i="9"/>
  <c r="E19" i="9"/>
  <c r="D25" i="9"/>
  <c r="D22" i="9"/>
  <c r="D27" i="9"/>
  <c r="C25" i="9"/>
  <c r="E23" i="9"/>
  <c r="D21" i="9"/>
  <c r="D19" i="9"/>
  <c r="B25" i="9"/>
  <c r="D23" i="9"/>
  <c r="C21" i="9"/>
  <c r="C19" i="9"/>
  <c r="C23" i="9"/>
  <c r="B21" i="9"/>
  <c r="B19" i="9"/>
  <c r="I26" i="9"/>
  <c r="I20" i="9"/>
  <c r="H26" i="9"/>
  <c r="G24" i="9"/>
  <c r="I22" i="9"/>
  <c r="H20" i="9"/>
  <c r="G26" i="9"/>
  <c r="F24" i="9"/>
  <c r="H22" i="9"/>
  <c r="G20" i="9"/>
  <c r="F26" i="9"/>
  <c r="E24" i="9"/>
  <c r="G22" i="9"/>
  <c r="F20" i="9"/>
  <c r="E26" i="9"/>
  <c r="D24" i="9"/>
  <c r="C22" i="9"/>
  <c r="E20" i="9"/>
  <c r="D26" i="9"/>
  <c r="C24" i="9"/>
  <c r="B22" i="9"/>
  <c r="D20" i="9"/>
  <c r="C26" i="9"/>
  <c r="B24" i="9"/>
  <c r="C20" i="9"/>
  <c r="I23" i="9"/>
  <c r="G27" i="9"/>
  <c r="Q41" i="9" s="1"/>
  <c r="I25" i="9"/>
  <c r="H23" i="9"/>
  <c r="G21" i="9"/>
  <c r="I19" i="9"/>
  <c r="F27" i="9"/>
  <c r="H25" i="9"/>
  <c r="G23" i="9"/>
  <c r="F21" i="9"/>
  <c r="H19" i="9"/>
  <c r="E27" i="9"/>
  <c r="G25" i="9"/>
  <c r="F23" i="9"/>
  <c r="E21" i="9"/>
  <c r="G19" i="9"/>
  <c r="L93" i="17"/>
  <c r="E101" i="17"/>
  <c r="N27" i="9"/>
  <c r="I26" i="5"/>
  <c r="E60" i="17"/>
  <c r="G39" i="17"/>
  <c r="S22" i="9"/>
  <c r="S26" i="9"/>
  <c r="M37" i="8"/>
  <c r="N37" i="8" s="1"/>
  <c r="I37" i="8"/>
  <c r="C39" i="17"/>
  <c r="R27" i="9"/>
  <c r="R41" i="9" s="1"/>
  <c r="G24" i="4"/>
  <c r="G38" i="4" s="1"/>
  <c r="G20" i="4"/>
  <c r="G34" i="4" s="1"/>
  <c r="I27" i="4"/>
  <c r="H19" i="4"/>
  <c r="H33" i="4" s="1"/>
  <c r="H23" i="4"/>
  <c r="H37" i="4" s="1"/>
  <c r="G23" i="4"/>
  <c r="G37" i="4" s="1"/>
  <c r="G19" i="4"/>
  <c r="G33" i="4" s="1"/>
  <c r="I18" i="4"/>
  <c r="H26" i="4"/>
  <c r="H40" i="4" s="1"/>
  <c r="H22" i="4"/>
  <c r="H36" i="4" s="1"/>
  <c r="H18" i="4"/>
  <c r="H32" i="4" s="1"/>
  <c r="G26" i="4"/>
  <c r="G40" i="4" s="1"/>
  <c r="G22" i="4"/>
  <c r="G36" i="4" s="1"/>
  <c r="G18" i="4"/>
  <c r="G32" i="4" s="1"/>
  <c r="H24" i="4"/>
  <c r="H38" i="4" s="1"/>
  <c r="H20" i="4"/>
  <c r="H34" i="4" s="1"/>
  <c r="G25" i="4"/>
  <c r="G39" i="4" s="1"/>
  <c r="I24" i="4"/>
  <c r="H21" i="4"/>
  <c r="H35" i="4" s="1"/>
  <c r="G21" i="4"/>
  <c r="G35" i="4" s="1"/>
  <c r="I20" i="4"/>
  <c r="H25" i="4"/>
  <c r="H39" i="4" s="1"/>
  <c r="M39" i="8"/>
  <c r="N39" i="8" s="1"/>
  <c r="I39" i="8"/>
  <c r="S20" i="9"/>
  <c r="S93" i="17"/>
  <c r="AA93" i="17" s="1"/>
  <c r="N95" i="17"/>
  <c r="E98" i="17"/>
  <c r="I23" i="7"/>
  <c r="I23" i="5"/>
  <c r="I18" i="7"/>
  <c r="G27" i="4"/>
  <c r="G41" i="4" s="1"/>
  <c r="G35" i="2" l="1"/>
  <c r="H38" i="6"/>
  <c r="H34" i="6"/>
  <c r="N36" i="5"/>
  <c r="G38" i="8"/>
  <c r="G33" i="8"/>
  <c r="G98" i="17"/>
  <c r="G70" i="17"/>
  <c r="G33" i="5"/>
  <c r="G40" i="3"/>
  <c r="I33" i="2"/>
  <c r="H33" i="2"/>
  <c r="I39" i="5"/>
  <c r="T99" i="17"/>
  <c r="AB99" i="17" s="1"/>
  <c r="G68" i="17"/>
  <c r="G32" i="2"/>
  <c r="H32" i="2"/>
  <c r="I35" i="2"/>
  <c r="G34" i="8"/>
  <c r="G34" i="3"/>
  <c r="N35" i="2"/>
  <c r="H37" i="6"/>
  <c r="H34" i="2"/>
  <c r="I40" i="8"/>
  <c r="H33" i="6"/>
  <c r="X101" i="17"/>
  <c r="AF101" i="17" s="1"/>
  <c r="V94" i="17"/>
  <c r="AD94" i="17" s="1"/>
  <c r="AA123" i="17" s="1"/>
  <c r="AJ52" i="17" s="1"/>
  <c r="N32" i="17"/>
  <c r="V32" i="17" s="1"/>
  <c r="AC32" i="17" s="1"/>
  <c r="AC56" i="17" s="1"/>
  <c r="AY14" i="17" s="1"/>
  <c r="M32" i="8"/>
  <c r="N32" i="8" s="1"/>
  <c r="I32" i="8"/>
  <c r="N38" i="17"/>
  <c r="G37" i="8"/>
  <c r="N35" i="5"/>
  <c r="H39" i="2"/>
  <c r="G33" i="3"/>
  <c r="V99" i="17"/>
  <c r="AD99" i="17" s="1"/>
  <c r="X93" i="17"/>
  <c r="AF93" i="17" s="1"/>
  <c r="I36" i="5"/>
  <c r="H41" i="6"/>
  <c r="I38" i="8"/>
  <c r="H32" i="8"/>
  <c r="G36" i="7"/>
  <c r="H36" i="7"/>
  <c r="S40" i="9"/>
  <c r="G32" i="7"/>
  <c r="N33" i="2"/>
  <c r="G37" i="5"/>
  <c r="H36" i="3"/>
  <c r="H33" i="5"/>
  <c r="L33" i="9"/>
  <c r="S41" i="9"/>
  <c r="N41" i="9"/>
  <c r="H33" i="7"/>
  <c r="K38" i="17"/>
  <c r="N37" i="17"/>
  <c r="N34" i="17"/>
  <c r="H34" i="7"/>
  <c r="N37" i="3"/>
  <c r="X99" i="17"/>
  <c r="AF99" i="17" s="1"/>
  <c r="M41" i="8"/>
  <c r="N41" i="8" s="1"/>
  <c r="I41" i="8"/>
  <c r="S34" i="9"/>
  <c r="H32" i="6"/>
  <c r="W100" i="17"/>
  <c r="AE100" i="17" s="1"/>
  <c r="X92" i="17"/>
  <c r="AF92" i="17" s="1"/>
  <c r="V92" i="17"/>
  <c r="AD92" i="17" s="1"/>
  <c r="H37" i="3"/>
  <c r="X95" i="17"/>
  <c r="AF95" i="17" s="1"/>
  <c r="R35" i="9"/>
  <c r="S38" i="9"/>
  <c r="M41" i="3"/>
  <c r="N41" i="3" s="1"/>
  <c r="I41" i="3"/>
  <c r="M37" i="2"/>
  <c r="N37" i="2" s="1"/>
  <c r="I37" i="2"/>
  <c r="X97" i="17"/>
  <c r="AF97" i="17" s="1"/>
  <c r="M41" i="7"/>
  <c r="N41" i="7" s="1"/>
  <c r="I41" i="7"/>
  <c r="Q39" i="9"/>
  <c r="N34" i="9"/>
  <c r="I40" i="5"/>
  <c r="M40" i="5"/>
  <c r="N40" i="5" s="1"/>
  <c r="V93" i="17"/>
  <c r="AD93" i="17" s="1"/>
  <c r="AA122" i="17" s="1"/>
  <c r="AJ51" i="17" s="1"/>
  <c r="S33" i="9"/>
  <c r="M41" i="2"/>
  <c r="N41" i="2" s="1"/>
  <c r="I41" i="2"/>
  <c r="B13" i="1"/>
  <c r="X100" i="17"/>
  <c r="AF100" i="17" s="1"/>
  <c r="N37" i="9"/>
  <c r="N40" i="9"/>
  <c r="M41" i="5"/>
  <c r="N41" i="5" s="1"/>
  <c r="I41" i="5"/>
  <c r="G38" i="3"/>
  <c r="M35" i="9"/>
  <c r="L36" i="9"/>
  <c r="O34" i="9"/>
  <c r="G34" i="5"/>
  <c r="M38" i="2"/>
  <c r="N38" i="2" s="1"/>
  <c r="I38" i="2"/>
  <c r="I37" i="3"/>
  <c r="L39" i="9"/>
  <c r="M38" i="9"/>
  <c r="O37" i="9"/>
  <c r="G38" i="5"/>
  <c r="L37" i="17"/>
  <c r="L35" i="17"/>
  <c r="T35" i="17" s="1"/>
  <c r="AA35" i="17" s="1"/>
  <c r="AA59" i="17" s="1"/>
  <c r="AO8" i="17" s="1"/>
  <c r="L31" i="17"/>
  <c r="L33" i="17"/>
  <c r="T33" i="17" s="1"/>
  <c r="AA33" i="17" s="1"/>
  <c r="AA57" i="17" s="1"/>
  <c r="AO14" i="17" s="1"/>
  <c r="L38" i="17"/>
  <c r="T38" i="17" s="1"/>
  <c r="AA38" i="17" s="1"/>
  <c r="AA62" i="17" s="1"/>
  <c r="AO5" i="17" s="1"/>
  <c r="H35" i="3"/>
  <c r="L34" i="9"/>
  <c r="O40" i="9"/>
  <c r="G71" i="17"/>
  <c r="G61" i="17"/>
  <c r="G69" i="17"/>
  <c r="G63" i="17"/>
  <c r="G67" i="17"/>
  <c r="G66" i="17"/>
  <c r="G62" i="17"/>
  <c r="G65" i="17"/>
  <c r="M32" i="7"/>
  <c r="N32" i="7" s="1"/>
  <c r="I32" i="7"/>
  <c r="I32" i="4"/>
  <c r="M32" i="4"/>
  <c r="N32" i="4" s="1"/>
  <c r="M37" i="17"/>
  <c r="M32" i="17"/>
  <c r="U32" i="17" s="1"/>
  <c r="AB32" i="17" s="1"/>
  <c r="AB56" i="17" s="1"/>
  <c r="AT8" i="17" s="1"/>
  <c r="M35" i="17"/>
  <c r="M33" i="17"/>
  <c r="U33" i="17" s="1"/>
  <c r="AB33" i="17" s="1"/>
  <c r="AB57" i="17" s="1"/>
  <c r="AT4" i="17" s="1"/>
  <c r="M31" i="17"/>
  <c r="G36" i="3"/>
  <c r="M33" i="7"/>
  <c r="N33" i="7" s="1"/>
  <c r="I33" i="7"/>
  <c r="M33" i="9"/>
  <c r="M36" i="9"/>
  <c r="P34" i="9"/>
  <c r="S39" i="9"/>
  <c r="M37" i="5"/>
  <c r="N37" i="5" s="1"/>
  <c r="I37" i="5"/>
  <c r="I36" i="3"/>
  <c r="M36" i="3"/>
  <c r="N36" i="3" s="1"/>
  <c r="X98" i="17"/>
  <c r="AF98" i="17" s="1"/>
  <c r="K32" i="17"/>
  <c r="S32" i="17" s="1"/>
  <c r="Z32" i="17" s="1"/>
  <c r="Z56" i="17" s="1"/>
  <c r="AJ15" i="17" s="1"/>
  <c r="N35" i="9"/>
  <c r="N38" i="9"/>
  <c r="P37" i="9"/>
  <c r="G35" i="5"/>
  <c r="M37" i="7"/>
  <c r="N37" i="7" s="1"/>
  <c r="I37" i="7"/>
  <c r="M38" i="3"/>
  <c r="N38" i="3" s="1"/>
  <c r="I38" i="3"/>
  <c r="L37" i="9"/>
  <c r="L40" i="9"/>
  <c r="P40" i="9"/>
  <c r="G39" i="5"/>
  <c r="G39" i="3"/>
  <c r="M39" i="9"/>
  <c r="M34" i="9"/>
  <c r="R33" i="9"/>
  <c r="H34" i="5"/>
  <c r="I35" i="3"/>
  <c r="I39" i="3"/>
  <c r="M39" i="3"/>
  <c r="N39" i="3" s="1"/>
  <c r="I35" i="5"/>
  <c r="H39" i="3"/>
  <c r="O38" i="17"/>
  <c r="W38" i="17" s="1"/>
  <c r="AD38" i="17" s="1"/>
  <c r="O34" i="17"/>
  <c r="O37" i="17"/>
  <c r="O33" i="17"/>
  <c r="W33" i="17" s="1"/>
  <c r="AD33" i="17" s="1"/>
  <c r="AD57" i="17" s="1"/>
  <c r="BD6" i="17" s="1"/>
  <c r="O35" i="17"/>
  <c r="W35" i="17" s="1"/>
  <c r="AD35" i="17" s="1"/>
  <c r="AD59" i="17" s="1"/>
  <c r="BD5" i="17" s="1"/>
  <c r="O36" i="17"/>
  <c r="W36" i="17" s="1"/>
  <c r="AD36" i="17" s="1"/>
  <c r="AD60" i="17" s="1"/>
  <c r="BD13" i="17" s="1"/>
  <c r="O32" i="17"/>
  <c r="W32" i="17" s="1"/>
  <c r="AD32" i="17" s="1"/>
  <c r="AD56" i="17" s="1"/>
  <c r="BD7" i="17" s="1"/>
  <c r="I32" i="2"/>
  <c r="M32" i="2"/>
  <c r="N32" i="2" s="1"/>
  <c r="N33" i="9"/>
  <c r="N36" i="9"/>
  <c r="R36" i="9"/>
  <c r="H38" i="5"/>
  <c r="M41" i="4"/>
  <c r="N41" i="4" s="1"/>
  <c r="I41" i="4"/>
  <c r="N35" i="3"/>
  <c r="G102" i="17"/>
  <c r="G99" i="17"/>
  <c r="G101" i="17"/>
  <c r="G97" i="17"/>
  <c r="G94" i="17"/>
  <c r="G96" i="17"/>
  <c r="G100" i="17"/>
  <c r="G95" i="17"/>
  <c r="M34" i="17"/>
  <c r="M34" i="7"/>
  <c r="N34" i="7" s="1"/>
  <c r="I34" i="7"/>
  <c r="O35" i="9"/>
  <c r="O38" i="9"/>
  <c r="R39" i="9"/>
  <c r="M34" i="5"/>
  <c r="N34" i="5" s="1"/>
  <c r="I34" i="5"/>
  <c r="M40" i="6"/>
  <c r="N40" i="6" s="1"/>
  <c r="I40" i="6"/>
  <c r="G32" i="3"/>
  <c r="M37" i="9"/>
  <c r="M40" i="9"/>
  <c r="L35" i="9"/>
  <c r="M38" i="5"/>
  <c r="N38" i="5" s="1"/>
  <c r="I38" i="5"/>
  <c r="P91" i="17"/>
  <c r="I32" i="3"/>
  <c r="M32" i="3"/>
  <c r="N32" i="3" s="1"/>
  <c r="N39" i="9"/>
  <c r="Q34" i="9"/>
  <c r="L38" i="9"/>
  <c r="H35" i="5"/>
  <c r="P101" i="17"/>
  <c r="M34" i="3"/>
  <c r="N34" i="3" s="1"/>
  <c r="I34" i="3"/>
  <c r="I40" i="2"/>
  <c r="M40" i="2"/>
  <c r="N40" i="2" s="1"/>
  <c r="P98" i="17"/>
  <c r="M36" i="17"/>
  <c r="U36" i="17" s="1"/>
  <c r="AB36" i="17" s="1"/>
  <c r="AB60" i="17" s="1"/>
  <c r="AT12" i="17" s="1"/>
  <c r="O33" i="9"/>
  <c r="O36" i="9"/>
  <c r="G41" i="5"/>
  <c r="H39" i="5"/>
  <c r="M36" i="6"/>
  <c r="N36" i="6" s="1"/>
  <c r="I36" i="6"/>
  <c r="M35" i="7"/>
  <c r="N35" i="7" s="1"/>
  <c r="I35" i="7"/>
  <c r="G35" i="3"/>
  <c r="I36" i="2"/>
  <c r="M36" i="2"/>
  <c r="N36" i="2" s="1"/>
  <c r="P35" i="9"/>
  <c r="P38" i="9"/>
  <c r="G32" i="5"/>
  <c r="O41" i="9"/>
  <c r="H34" i="3"/>
  <c r="Q37" i="9"/>
  <c r="Q40" i="9"/>
  <c r="G36" i="5"/>
  <c r="M34" i="4"/>
  <c r="N34" i="4" s="1"/>
  <c r="I34" i="4"/>
  <c r="H38" i="3"/>
  <c r="N39" i="5"/>
  <c r="O39" i="9"/>
  <c r="R34" i="9"/>
  <c r="I33" i="3"/>
  <c r="G40" i="5"/>
  <c r="M41" i="6"/>
  <c r="N41" i="6" s="1"/>
  <c r="I41" i="6"/>
  <c r="V95" i="17"/>
  <c r="AD95" i="17" s="1"/>
  <c r="AA124" i="17" s="1"/>
  <c r="AJ53" i="17" s="1"/>
  <c r="H32" i="3"/>
  <c r="E13" i="1"/>
  <c r="G64" i="17"/>
  <c r="P41" i="9"/>
  <c r="P33" i="9"/>
  <c r="P36" i="9"/>
  <c r="N33" i="3"/>
  <c r="H32" i="5"/>
  <c r="P26" i="17"/>
  <c r="K35" i="17"/>
  <c r="S35" i="17" s="1"/>
  <c r="Z35" i="17" s="1"/>
  <c r="Z59" i="17" s="1"/>
  <c r="AJ8" i="17" s="1"/>
  <c r="K36" i="17"/>
  <c r="S36" i="17" s="1"/>
  <c r="Z36" i="17" s="1"/>
  <c r="Z60" i="17" s="1"/>
  <c r="AJ22" i="17" s="1"/>
  <c r="K37" i="17"/>
  <c r="K33" i="17"/>
  <c r="S33" i="17" s="1"/>
  <c r="Z33" i="17" s="1"/>
  <c r="Z57" i="17" s="1"/>
  <c r="AJ9" i="17" s="1"/>
  <c r="M39" i="7"/>
  <c r="N39" i="7" s="1"/>
  <c r="I39" i="7"/>
  <c r="L32" i="17"/>
  <c r="T32" i="17" s="1"/>
  <c r="AA32" i="17" s="1"/>
  <c r="AA56" i="17" s="1"/>
  <c r="AO17" i="17" s="1"/>
  <c r="M40" i="7"/>
  <c r="N40" i="7" s="1"/>
  <c r="I40" i="7"/>
  <c r="Q35" i="9"/>
  <c r="Q38" i="9"/>
  <c r="H36" i="5"/>
  <c r="M38" i="4"/>
  <c r="N38" i="4" s="1"/>
  <c r="I38" i="4"/>
  <c r="S36" i="9"/>
  <c r="I40" i="3"/>
  <c r="H40" i="3"/>
  <c r="K31" i="17"/>
  <c r="L36" i="17"/>
  <c r="T36" i="17" s="1"/>
  <c r="AA36" i="17" s="1"/>
  <c r="AA60" i="17" s="1"/>
  <c r="AO27" i="17" s="1"/>
  <c r="R37" i="9"/>
  <c r="R40" i="9"/>
  <c r="S37" i="9"/>
  <c r="H40" i="5"/>
  <c r="V101" i="17"/>
  <c r="AD101" i="17" s="1"/>
  <c r="G93" i="17"/>
  <c r="I36" i="7"/>
  <c r="M36" i="7"/>
  <c r="N36" i="7" s="1"/>
  <c r="G37" i="3"/>
  <c r="I33" i="5"/>
  <c r="P39" i="9"/>
  <c r="Q36" i="9"/>
  <c r="I32" i="5"/>
  <c r="M32" i="5"/>
  <c r="N32" i="5" s="1"/>
  <c r="M33" i="6"/>
  <c r="N33" i="6" s="1"/>
  <c r="I33" i="6"/>
  <c r="P102" i="17"/>
  <c r="P95" i="17"/>
  <c r="P97" i="17"/>
  <c r="P96" i="17"/>
  <c r="P99" i="17"/>
  <c r="P94" i="17"/>
  <c r="P92" i="17"/>
  <c r="W95" i="17"/>
  <c r="AE95" i="17" s="1"/>
  <c r="N40" i="3"/>
  <c r="G92" i="17"/>
  <c r="V97" i="17"/>
  <c r="AD97" i="17" s="1"/>
  <c r="H33" i="3"/>
  <c r="M38" i="7"/>
  <c r="N38" i="7" s="1"/>
  <c r="I38" i="7"/>
  <c r="N33" i="5"/>
  <c r="P100" i="17"/>
  <c r="Q33" i="9"/>
  <c r="R38" i="9"/>
  <c r="H37" i="5"/>
  <c r="N39" i="17" l="1"/>
  <c r="B27" i="1"/>
  <c r="B18" i="1"/>
  <c r="B24" i="1"/>
  <c r="B21" i="1"/>
  <c r="B23" i="1"/>
  <c r="B22" i="1"/>
  <c r="B26" i="1"/>
  <c r="B20" i="1"/>
  <c r="B19" i="1"/>
  <c r="K39" i="17"/>
  <c r="S31" i="17"/>
  <c r="Z31" i="17" s="1"/>
  <c r="Z55" i="17" s="1"/>
  <c r="AJ19" i="17" s="1"/>
  <c r="E27" i="1"/>
  <c r="E23" i="1"/>
  <c r="E37" i="1" s="1"/>
  <c r="E24" i="1"/>
  <c r="E38" i="1" s="1"/>
  <c r="E21" i="1"/>
  <c r="E35" i="1" s="1"/>
  <c r="E22" i="1"/>
  <c r="E19" i="1"/>
  <c r="E20" i="1"/>
  <c r="E26" i="1"/>
  <c r="E18" i="1"/>
  <c r="O39" i="17"/>
  <c r="L39" i="17"/>
  <c r="T31" i="17"/>
  <c r="AA31" i="17" s="1"/>
  <c r="AA55" i="17" s="1"/>
  <c r="AO22" i="17" s="1"/>
  <c r="B25" i="1"/>
  <c r="M39" i="17"/>
  <c r="U31" i="17"/>
  <c r="AB31" i="17" s="1"/>
  <c r="AB55" i="17" s="1"/>
  <c r="AT11" i="17" s="1"/>
  <c r="E25" i="1"/>
  <c r="E34" i="1" l="1"/>
  <c r="E40" i="1"/>
  <c r="E36" i="1"/>
  <c r="E32" i="1"/>
  <c r="E33" i="1"/>
  <c r="E41" i="1"/>
  <c r="E39" i="1"/>
</calcChain>
</file>

<file path=xl/sharedStrings.xml><?xml version="1.0" encoding="utf-8"?>
<sst xmlns="http://schemas.openxmlformats.org/spreadsheetml/2006/main" count="2166" uniqueCount="321">
  <si>
    <t>Table X. Tour Modes All Purposes: Survey</t>
  </si>
  <si>
    <t>Table X. Estimated Tour Modes All Purposes:DaySim</t>
  </si>
  <si>
    <t>Mode</t>
  </si>
  <si>
    <t>Total</t>
  </si>
  <si>
    <t>Drive Alone</t>
  </si>
  <si>
    <t>Shared Ride 2</t>
  </si>
  <si>
    <t>Shared Ride 3+</t>
  </si>
  <si>
    <t>Drive-Transit</t>
  </si>
  <si>
    <t>Walk-Transit</t>
  </si>
  <si>
    <t>Bike</t>
  </si>
  <si>
    <t>Walk</t>
  </si>
  <si>
    <t>School Bus</t>
  </si>
  <si>
    <t>PRS</t>
  </si>
  <si>
    <t>Table X. Observed Tour Mode Shares All Purposes: Survey</t>
  </si>
  <si>
    <t>Table X. Estimated Tour Mode Shares All Purposes:DaySim</t>
  </si>
  <si>
    <t>Table X. Estimated-Observed Different Tour Mode Shares</t>
  </si>
  <si>
    <t>Table X. Observed Work Tour Modes: Survey</t>
  </si>
  <si>
    <t>Table X. Estimated Work Tour Modes:DaySim</t>
  </si>
  <si>
    <t>0-veh HHs</t>
  </si>
  <si>
    <t>&gt;0-veh HHs</t>
  </si>
  <si>
    <t>Table X. Estimated-Observed Different Work Tour Modes</t>
  </si>
  <si>
    <t>WORK TOUR MODE</t>
  </si>
  <si>
    <t>Survey</t>
  </si>
  <si>
    <t>DaySim</t>
  </si>
  <si>
    <t>Diff</t>
  </si>
  <si>
    <t>Table X. Observed School Tour Modes: Survey</t>
  </si>
  <si>
    <t>Table X. Estimated School Tour Modes:DaySim</t>
  </si>
  <si>
    <t>Table X. Estimated-Observed Different School Tour Modes</t>
  </si>
  <si>
    <t>SCHOOL TOUR MODE</t>
  </si>
  <si>
    <t>Table X. Observed Escort Tour Modes: Survey</t>
  </si>
  <si>
    <t>Table X. Estimated Escort Tour Modes:DaySim</t>
  </si>
  <si>
    <t>Table X. Estimated-Observed Different Escort Tour Modes</t>
  </si>
  <si>
    <t>ESCORT TOUR MODE</t>
  </si>
  <si>
    <t>Table X. Observed Personal Business Tour Modes: Survey</t>
  </si>
  <si>
    <t>Table X. Estimated Personal Business Tour Modes:DaySim</t>
  </si>
  <si>
    <t>Table X. Observed Personal Busines Tour Modes: Survey</t>
  </si>
  <si>
    <t>Table X. Estimated Personal Busines Tour Modes:DaySim</t>
  </si>
  <si>
    <t>Table X. Estimated-Observed Different Personal Busines Tour Modes</t>
  </si>
  <si>
    <t>PERSONAL BUSINESS TOUR MODE</t>
  </si>
  <si>
    <t>Table X. Observed Shop Tour Modes: Survey</t>
  </si>
  <si>
    <t>Table X. Estimated Shop Tour Modes:DaySim</t>
  </si>
  <si>
    <t>Table X. Estimated-Observed Different Shop Tour Modes</t>
  </si>
  <si>
    <t>SHOP TOUR MODE</t>
  </si>
  <si>
    <t>Table X. Observed Meal Tour Modes: Survey</t>
  </si>
  <si>
    <t>Table X. Estimated Meal Tour Modes:DaySim</t>
  </si>
  <si>
    <t>Table X. Estimated-Observed Different Meal Tour Modes</t>
  </si>
  <si>
    <t>MEAL TOUR MODE</t>
  </si>
  <si>
    <t>Table X. Observed Social/Recreational Tour Modes: Survey</t>
  </si>
  <si>
    <t>Table X. Estimated Social/Recreational Tour Modes:DaySim</t>
  </si>
  <si>
    <t>Table X. Observed SocRecTour Modes: Survey</t>
  </si>
  <si>
    <t>Table X. Estimated SocRec Tour Modes:DaySim</t>
  </si>
  <si>
    <t>Table X. Estimated-Observed Different SocRec Tour Modes</t>
  </si>
  <si>
    <t>SOCIAL/RECREATIONAL TOUR MODE</t>
  </si>
  <si>
    <t>Table X. Observed Workbased Tour Modes: Survey</t>
  </si>
  <si>
    <t>Table X. Estimated Workbased Tour Modes: Survey</t>
  </si>
  <si>
    <t>Work Tour Mode</t>
  </si>
  <si>
    <t>Table X. Observed Workbased Tour Mode Shares: Survey</t>
  </si>
  <si>
    <t>Table X. Estimated Workbased Tour Mode Shares: Survey</t>
  </si>
  <si>
    <t>Table X. Estimated-Observed Workbased Tour Mode Share Difference</t>
  </si>
  <si>
    <t>This set of summaries is just a crosstabulations from the tour file based on HH vehicle availability</t>
  </si>
  <si>
    <t>For work-based tours, it is based on Work tour mode</t>
  </si>
  <si>
    <t>SchoolTourModeCoefficients_SACOG-v1.5.F12</t>
  </si>
  <si>
    <t>EscortTourModeCoefficients_SACOG-v1.5.F12</t>
  </si>
  <si>
    <t>WorkTourModeCoefficients_SACOG-v1.5.F12</t>
  </si>
  <si>
    <t>OtherHomeBasedTourModeCoefficients_SACOG-v1.5.F12</t>
  </si>
  <si>
    <t>WorkBasedSubtourModeCoefficients_SACOG-v1.5.F12</t>
  </si>
  <si>
    <t>Index</t>
  </si>
  <si>
    <t>Name</t>
  </si>
  <si>
    <t>Descr</t>
  </si>
  <si>
    <t>costutil</t>
  </si>
  <si>
    <t>F</t>
  </si>
  <si>
    <t>destinationParkingCost * tour.CostCoefficient / ChoiceModelUtility.CPFACT3)</t>
  </si>
  <si>
    <t>destinationParkingCost * tour.CostCoefficient / ChoiceModelUtility.CPFACT2</t>
  </si>
  <si>
    <t>destinationParkingCost * tour.CostCoefficient</t>
  </si>
  <si>
    <t>timeutil</t>
  </si>
  <si>
    <t>generalizedTimeLogsum * tour.TimeCoefficient</t>
  </si>
  <si>
    <t>destinationParkingCost * tour.CostCoefficient / Global.Configuration.Coefficients_HOV3CostDivisor_Work</t>
  </si>
  <si>
    <t>destinationParkingCost * tour.CostCoefficient / Global.Configuration.Coefficients_HOV2CostDivisor_Work</t>
  </si>
  <si>
    <t>(destinationParkingCost) * tour.CostCoefficient</t>
  </si>
  <si>
    <t>destinationParkingCost * tour.CostCoefficient / ChoiceModelUtility.CPFACT3</t>
  </si>
  <si>
    <t>destinationParkingCost * subtour.CostCoefficient / ChoiceModelUtility.CPFACT3</t>
  </si>
  <si>
    <t>destinationParkingCost * subtour.CostCoefficient / ChoiceModelUtility.CPFACT2</t>
  </si>
  <si>
    <t>destinationParkingCost * subtour.CostCoefficient</t>
  </si>
  <si>
    <t>generalizedTimeLogsumExtra * tour.TimeCoefficient</t>
  </si>
  <si>
    <t>s3-const</t>
  </si>
  <si>
    <t>generalizedTime * tour.TimeCoefficient</t>
  </si>
  <si>
    <t>generalizedTimeLogsum * subtour.TimeCoefficient</t>
  </si>
  <si>
    <t>sb-const</t>
  </si>
  <si>
    <t>s3-hhcu5</t>
  </si>
  <si>
    <t>childrenUnder5</t>
  </si>
  <si>
    <t>dt-const</t>
  </si>
  <si>
    <t>wt-const</t>
  </si>
  <si>
    <t>sb-chun5</t>
  </si>
  <si>
    <t>childUnder5Flag</t>
  </si>
  <si>
    <t>s3-hh515</t>
  </si>
  <si>
    <t>childrenAge5Through15</t>
  </si>
  <si>
    <t>dt-nocars</t>
  </si>
  <si>
    <t>T</t>
  </si>
  <si>
    <t>noCarsInHouseholdFlag</t>
  </si>
  <si>
    <t>Park and Ride</t>
  </si>
  <si>
    <t>wt-nocars</t>
  </si>
  <si>
    <t>sb-univtr</t>
  </si>
  <si>
    <t>adultFlag</t>
  </si>
  <si>
    <t>s3-hhdas</t>
  </si>
  <si>
    <t>drivingAgeStudents</t>
  </si>
  <si>
    <t>dt-carsltw</t>
  </si>
  <si>
    <t>carsLessThanWorkersFlag</t>
  </si>
  <si>
    <t>s2-const</t>
  </si>
  <si>
    <t>Walk to transit</t>
  </si>
  <si>
    <t>sr-hhcu5</t>
  </si>
  <si>
    <t>da-const</t>
  </si>
  <si>
    <t>sr-nocars</t>
  </si>
  <si>
    <t>sr-hh515</t>
  </si>
  <si>
    <t>da-incu25</t>
  </si>
  <si>
    <t>income0To25KFlag</t>
  </si>
  <si>
    <t>wt-carsltd</t>
  </si>
  <si>
    <t>carsLessThanDriversFlag</t>
  </si>
  <si>
    <t>sr-carsltd</t>
  </si>
  <si>
    <t>sr-hhnwa</t>
  </si>
  <si>
    <t>nonworkingAdults + retiredAdults</t>
  </si>
  <si>
    <t>da-inc2550</t>
  </si>
  <si>
    <t>income25To50KFlag</t>
  </si>
  <si>
    <t>wt-chun5</t>
  </si>
  <si>
    <t>hov-const</t>
  </si>
  <si>
    <t>sr-lndist</t>
  </si>
  <si>
    <t>pathTypeModel.PathDistance.AlmostEquals(0) ? 0 : Math.Log(pathTypeModel.PathDistance)</t>
  </si>
  <si>
    <t>da-dtowork</t>
  </si>
  <si>
    <t>sovTourFlag</t>
  </si>
  <si>
    <t>wt-univtr</t>
  </si>
  <si>
    <t>bi-const</t>
  </si>
  <si>
    <t>s3-onephh</t>
  </si>
  <si>
    <t>onePersonHouseholdFlag</t>
  </si>
  <si>
    <t>da-stowork</t>
  </si>
  <si>
    <t>hov2TourFlag</t>
  </si>
  <si>
    <t>wt-ch1617</t>
  </si>
  <si>
    <t>drivingAgeStudentFlag</t>
  </si>
  <si>
    <t>wk-ageo50</t>
  </si>
  <si>
    <t>ageBetween51And98Flag</t>
  </si>
  <si>
    <t>s3-twophh</t>
  </si>
  <si>
    <t>twoPersonHouseholdFlag</t>
  </si>
  <si>
    <t>wk-dintd</t>
  </si>
  <si>
    <t>destinationParcel.NetIntersectionDensity1()</t>
  </si>
  <si>
    <t>bi-male</t>
  </si>
  <si>
    <t>maleFlag</t>
  </si>
  <si>
    <t>wk-hhcu5</t>
  </si>
  <si>
    <t>bi-btowork</t>
  </si>
  <si>
    <t>bikeTourFlag</t>
  </si>
  <si>
    <t>s2-onephh</t>
  </si>
  <si>
    <t>wk-hh515</t>
  </si>
  <si>
    <t>sr-carsltw</t>
  </si>
  <si>
    <t>wk-wtowork</t>
  </si>
  <si>
    <t>walkTourFlag</t>
  </si>
  <si>
    <t>wk-hhdas</t>
  </si>
  <si>
    <t>sr-dtowork</t>
  </si>
  <si>
    <t>sr-stowork</t>
  </si>
  <si>
    <t>sr-incu25</t>
  </si>
  <si>
    <t>da-carsltd</t>
  </si>
  <si>
    <t>modenest</t>
  </si>
  <si>
    <t>sr-inc2550</t>
  </si>
  <si>
    <t>da-carsltw</t>
  </si>
  <si>
    <t>inc0to25k</t>
  </si>
  <si>
    <t>sr-chun5</t>
  </si>
  <si>
    <t>bi-ageo50</t>
  </si>
  <si>
    <t>da-inco75</t>
  </si>
  <si>
    <t>income75KPlusFlag</t>
  </si>
  <si>
    <t>wk-male</t>
  </si>
  <si>
    <t>tr-shop</t>
  </si>
  <si>
    <t>shoppingTourFlag</t>
  </si>
  <si>
    <t>da-ch1617</t>
  </si>
  <si>
    <t>tr-omixed</t>
  </si>
  <si>
    <t>originParcel.MixedUse2Index1()</t>
  </si>
  <si>
    <t>tr-dintdn</t>
  </si>
  <si>
    <t>tr-dempdn</t>
  </si>
  <si>
    <t>destinationParcel.TotalEmploymentDensity1()</t>
  </si>
  <si>
    <t>da-escsptr</t>
  </si>
  <si>
    <t>escortPercentage</t>
  </si>
  <si>
    <t>bi-univtr</t>
  </si>
  <si>
    <t>da-othsptr</t>
  </si>
  <si>
    <t>nonEscortPercentage</t>
  </si>
  <si>
    <t>wk-univtr</t>
  </si>
  <si>
    <t>sr-escsptr</t>
  </si>
  <si>
    <t>tr-ologts</t>
  </si>
  <si>
    <t>Log(originParcel.StopsTransitBuffer1 + 1)</t>
  </si>
  <si>
    <t>sr-othsptr</t>
  </si>
  <si>
    <t>tr-dmixed</t>
  </si>
  <si>
    <t>destinationParcel.MixedUse2Index1()</t>
  </si>
  <si>
    <t>sr-shop</t>
  </si>
  <si>
    <t>bi-class2</t>
  </si>
  <si>
    <t>(class1Dist &gt; 0).ToFlag()</t>
  </si>
  <si>
    <t>(class2Dist &gt; 0).ToFlag()</t>
  </si>
  <si>
    <t>sr-meal</t>
  </si>
  <si>
    <t>mealTourFlag</t>
  </si>
  <si>
    <t>bi-omixed</t>
  </si>
  <si>
    <t>originParcel.MixedUse4Index1()</t>
  </si>
  <si>
    <t>sr-socrec</t>
  </si>
  <si>
    <t>socialOrRecreationTourFlag</t>
  </si>
  <si>
    <t>bi-dempdn</t>
  </si>
  <si>
    <t>bi-socrec</t>
  </si>
  <si>
    <t>bi-dmixed</t>
  </si>
  <si>
    <t>destinationParcel.MixedUse4Index1()</t>
  </si>
  <si>
    <t>bi-class1</t>
  </si>
  <si>
    <t>wk-dmixed</t>
  </si>
  <si>
    <t>bi-gauntl</t>
  </si>
  <si>
    <t>(worstDist &gt; 0).ToFlag()</t>
  </si>
  <si>
    <t>bi-ohhddn</t>
  </si>
  <si>
    <t>originParcel.HouseholdDensity1()</t>
  </si>
  <si>
    <t>wk-meal</t>
  </si>
  <si>
    <t>wk-socrec</t>
  </si>
  <si>
    <t>wk-ohhddn</t>
  </si>
  <si>
    <t>wk-dempdn</t>
  </si>
  <si>
    <t>destinationParcel.HouseholdDensity1()</t>
  </si>
  <si>
    <t>Instructions:</t>
  </si>
  <si>
    <t>By: nagendra.dhakar@rsginc.com</t>
  </si>
  <si>
    <t>Open "WorkTourModeModel.F12" ini Notepad+</t>
  </si>
  <si>
    <t>Select all(ctrl+A)</t>
  </si>
  <si>
    <t>Paste in cell A8</t>
  </si>
  <si>
    <t>Go to "Data" --&gt;Text to Columns - Select "Delimited" ---&gt; "Space" ---&gt; Finish</t>
  </si>
  <si>
    <t>Work</t>
  </si>
  <si>
    <t>tour</t>
  </si>
  <si>
    <t>mode</t>
  </si>
  <si>
    <t>choice</t>
  </si>
  <si>
    <t>Created</t>
  </si>
  <si>
    <t>by</t>
  </si>
  <si>
    <t>ALOGIT</t>
  </si>
  <si>
    <t>version</t>
  </si>
  <si>
    <t>on</t>
  </si>
  <si>
    <t>Apr</t>
  </si>
  <si>
    <t>END</t>
  </si>
  <si>
    <t>odistcont1-tr</t>
  </si>
  <si>
    <t>odistcont2-tr</t>
  </si>
  <si>
    <t>odistcont3-tr</t>
  </si>
  <si>
    <t>odistcont4-tr</t>
  </si>
  <si>
    <t>odistcont5-tr</t>
  </si>
  <si>
    <t>odistcont6-tr</t>
  </si>
  <si>
    <t>odistcont7-tr</t>
  </si>
  <si>
    <t>odistcont8-tr</t>
  </si>
  <si>
    <t>odistcont9-tr</t>
  </si>
  <si>
    <t>odistcon10-tr</t>
  </si>
  <si>
    <t>odistcon11-tr</t>
  </si>
  <si>
    <t>ddistcont1-tr</t>
  </si>
  <si>
    <t>ddistcont2-tr</t>
  </si>
  <si>
    <t>ddistcont3-tr</t>
  </si>
  <si>
    <t>ddistcont4-tr</t>
  </si>
  <si>
    <t>ddistcont5-tr</t>
  </si>
  <si>
    <t>ddistcont6-tr</t>
  </si>
  <si>
    <t>ddistcont7-tr</t>
  </si>
  <si>
    <t>ddistcont8-tr</t>
  </si>
  <si>
    <t>ddistcont9-tr</t>
  </si>
  <si>
    <t>ddistcon10-tr</t>
  </si>
  <si>
    <t>ddistcon11-tr</t>
  </si>
  <si>
    <t>011:14:23</t>
  </si>
  <si>
    <t>Open "SchoolTourModeModel.F12" ini Notepad+</t>
  </si>
  <si>
    <t>School</t>
  </si>
  <si>
    <t>011:29:54</t>
  </si>
  <si>
    <t>Open "EscortTourModeModel.F12" ini Notepad+</t>
  </si>
  <si>
    <t>Escort</t>
  </si>
  <si>
    <t>Nov</t>
  </si>
  <si>
    <t>Theta0999</t>
  </si>
  <si>
    <t>013:20:32</t>
  </si>
  <si>
    <t>Open "OtherHomeBasedTourModeModel.F12" ini Notepad+</t>
  </si>
  <si>
    <t>Other</t>
  </si>
  <si>
    <t>HB</t>
  </si>
  <si>
    <t>010:51:21</t>
  </si>
  <si>
    <t>Open "WorkbasedSubTourModeModel.F12" in Notepad+</t>
  </si>
  <si>
    <t>work-based</t>
  </si>
  <si>
    <t>subtour</t>
  </si>
  <si>
    <t>Sep</t>
  </si>
  <si>
    <t>013:19:05</t>
  </si>
  <si>
    <t>WarkTourModeModel.F12</t>
  </si>
  <si>
    <t>WorkTourModeModel.F12</t>
  </si>
  <si>
    <t>SchoolTourModeModel.F12</t>
  </si>
  <si>
    <t>EscortTourModeModel.F12</t>
  </si>
  <si>
    <t>OtherHomeBasedTourModeModel.F12</t>
  </si>
  <si>
    <t>WorkBasedSubtourModeModel.F12</t>
  </si>
  <si>
    <t>Constants for each purpose</t>
  </si>
  <si>
    <t>UltraEdit Instructions:</t>
  </si>
  <si>
    <t>Old</t>
  </si>
  <si>
    <t>New</t>
  </si>
  <si>
    <t>Copy (Ctrl-c) cells AI3:AI49</t>
  </si>
  <si>
    <t>work</t>
  </si>
  <si>
    <t>school</t>
  </si>
  <si>
    <t>Workbased</t>
  </si>
  <si>
    <t>Open "WorkTourModeModel.F12" in UltraEdit</t>
  </si>
  <si>
    <t>x</t>
  </si>
  <si>
    <t>Choose column mode and select 4th columns from line 4 to line 50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</si>
  <si>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</si>
  <si>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</si>
  <si>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</si>
  <si>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</si>
  <si>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</si>
  <si>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</si>
  <si>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"WorkTourModeModel.F12"</t>
  </si>
  <si>
    <t>SurveyAdjusted (Reduce transit share)</t>
  </si>
  <si>
    <t>Hold Alt and using mouse select the 4th column from line line 4 to line 50</t>
  </si>
  <si>
    <t>Coeff Index</t>
  </si>
  <si>
    <t>Paste (Ctrl-v)</t>
  </si>
  <si>
    <t>Coeff Adjustment</t>
  </si>
  <si>
    <t>Damp</t>
  </si>
  <si>
    <t>Share</t>
  </si>
  <si>
    <t>Ratio</t>
  </si>
  <si>
    <t>Old Coeff</t>
  </si>
  <si>
    <t>Transit Tours by Origin District</t>
  </si>
  <si>
    <t>&gt;3</t>
  </si>
  <si>
    <t>Origin District</t>
  </si>
  <si>
    <t>New Coeff</t>
  </si>
  <si>
    <t>share</t>
  </si>
  <si>
    <t>Transit Tours by Destination District</t>
  </si>
  <si>
    <t>Destination District</t>
  </si>
  <si>
    <t>damp</t>
  </si>
  <si>
    <t>origin district</t>
  </si>
  <si>
    <t>destination district</t>
  </si>
  <si>
    <t>District</t>
  </si>
  <si>
    <t>other</t>
  </si>
  <si>
    <t>Origin</t>
  </si>
  <si>
    <t>flag</t>
  </si>
  <si>
    <t>BKR</t>
  </si>
  <si>
    <t>Destination</t>
  </si>
  <si>
    <t>o_district</t>
  </si>
  <si>
    <t>pdpurp</t>
  </si>
  <si>
    <t>toexpfac</t>
  </si>
  <si>
    <t>d_district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</si>
</sst>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3" formatCode="_(* #,##0.00_);_(* \(#,##0.00\);_(* &quot;-&quot;??_);_(@_)"/>
    <numFmt numFmtId="164" formatCode="0.0%"/>
    <numFmt numFmtId="165" formatCode="0.000000"/>
    <numFmt numFmtId="166" formatCode="_(* #,##0_);_(* \(#,##0\);_(* &quot;-&quot;??_);_(@_)"/>
    <numFmt numFmtId="167" formatCode="0.0000000"/>
    <numFmt numFmtId="168" formatCode="mm/dd/yyyy\ hh:mm:ss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Verdana"/>
      <family val="2"/>
    </font>
    <font>
      <b/>
      <u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0">
    <xf numFmtId="0" fontId="0" fillId="0" borderId="0"/>
    <xf numFmtId="0" fontId="2" fillId="0" borderId="0">
      <alignment wrapText="1"/>
    </xf>
    <xf numFmtId="0" fontId="4" fillId="5" borderId="0">
      <alignment wrapText="1"/>
    </xf>
    <xf numFmtId="168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168" fontId="4" fillId="0" borderId="0">
      <alignment wrapText="1"/>
    </xf>
    <xf numFmtId="43" fontId="4" fillId="0" borderId="0"/>
    <xf numFmtId="9" fontId="4" fillId="0" borderId="0"/>
  </cellStyleXfs>
  <cellXfs count="75">
    <xf numFmtId="0" fontId="0" fillId="0" borderId="0" xfId="0"/>
    <xf numFmtId="0" fontId="1" fillId="0" borderId="1" xfId="0" applyFont="1" applyBorder="1"/>
    <xf numFmtId="0" fontId="0" fillId="0" borderId="2" xfId="0" applyBorder="1"/>
    <xf numFmtId="0" fontId="0" fillId="0" borderId="1" xfId="0" applyBorder="1"/>
    <xf numFmtId="0" fontId="0" fillId="0" borderId="2" xfId="0" applyBorder="1" applyAlignment="1">
      <alignment horizontal="center"/>
    </xf>
    <xf numFmtId="0" fontId="1" fillId="0" borderId="0" xfId="0" applyFont="1"/>
    <xf numFmtId="0" fontId="0" fillId="0" borderId="3" xfId="0" applyBorder="1"/>
    <xf numFmtId="0" fontId="0" fillId="0" borderId="3" xfId="0" applyBorder="1" applyAlignment="1">
      <alignment horizontal="center"/>
    </xf>
    <xf numFmtId="0" fontId="2" fillId="0" borderId="0" xfId="1" applyAlignment="1"/>
    <xf numFmtId="3" fontId="0" fillId="0" borderId="0" xfId="0" applyNumberFormat="1"/>
    <xf numFmtId="3" fontId="0" fillId="0" borderId="1" xfId="0" applyNumberFormat="1" applyBorder="1"/>
    <xf numFmtId="0" fontId="0" fillId="0" borderId="0" xfId="0" applyAlignment="1">
      <alignment horizontal="center"/>
    </xf>
    <xf numFmtId="3" fontId="0" fillId="0" borderId="3" xfId="0" applyNumberFormat="1" applyBorder="1"/>
    <xf numFmtId="0" fontId="0" fillId="0" borderId="4" xfId="0" applyBorder="1"/>
    <xf numFmtId="164" fontId="0" fillId="0" borderId="0" xfId="0" applyNumberFormat="1"/>
    <xf numFmtId="164" fontId="0" fillId="0" borderId="3" xfId="0" applyNumberFormat="1" applyBorder="1"/>
    <xf numFmtId="164" fontId="0" fillId="0" borderId="4" xfId="0" applyNumberFormat="1" applyBorder="1"/>
    <xf numFmtId="3" fontId="0" fillId="0" borderId="4" xfId="0" applyNumberFormat="1" applyBorder="1"/>
    <xf numFmtId="0" fontId="1" fillId="2" borderId="1" xfId="0" applyFont="1" applyFill="1" applyBorder="1"/>
    <xf numFmtId="0" fontId="0" fillId="2" borderId="1" xfId="0" applyFill="1" applyBorder="1"/>
    <xf numFmtId="3" fontId="0" fillId="2" borderId="0" xfId="0" applyNumberFormat="1" applyFill="1"/>
    <xf numFmtId="164" fontId="0" fillId="2" borderId="0" xfId="0" applyNumberFormat="1" applyFill="1"/>
    <xf numFmtId="164" fontId="0" fillId="2" borderId="4" xfId="0" applyNumberFormat="1" applyFill="1" applyBorder="1"/>
    <xf numFmtId="0" fontId="3" fillId="3" borderId="2" xfId="0" applyFont="1" applyFill="1" applyBorder="1"/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3" fontId="0" fillId="4" borderId="0" xfId="0" applyNumberFormat="1" applyFill="1"/>
    <xf numFmtId="164" fontId="0" fillId="4" borderId="0" xfId="0" applyNumberFormat="1" applyFill="1"/>
    <xf numFmtId="0" fontId="0" fillId="0" borderId="0" xfId="0" applyAlignment="1">
      <alignment horizontal="left"/>
    </xf>
    <xf numFmtId="11" fontId="0" fillId="0" borderId="0" xfId="0" applyNumberFormat="1"/>
    <xf numFmtId="0" fontId="6" fillId="0" borderId="0" xfId="0" applyFont="1"/>
    <xf numFmtId="0" fontId="5" fillId="0" borderId="0" xfId="0" applyFont="1"/>
    <xf numFmtId="0" fontId="0" fillId="0" borderId="5" xfId="0" applyBorder="1"/>
    <xf numFmtId="3" fontId="0" fillId="0" borderId="0" xfId="0" quotePrefix="1" applyNumberFormat="1" applyAlignment="1">
      <alignment horizontal="right"/>
    </xf>
    <xf numFmtId="9" fontId="0" fillId="0" borderId="0" xfId="0" applyNumberFormat="1"/>
    <xf numFmtId="9" fontId="0" fillId="0" borderId="4" xfId="0" applyNumberFormat="1" applyBorder="1"/>
    <xf numFmtId="2" fontId="0" fillId="0" borderId="0" xfId="0" applyNumberFormat="1"/>
    <xf numFmtId="2" fontId="0" fillId="0" borderId="3" xfId="0" applyNumberFormat="1" applyBorder="1"/>
    <xf numFmtId="3" fontId="0" fillId="0" borderId="5" xfId="0" applyNumberFormat="1" applyBorder="1"/>
    <xf numFmtId="9" fontId="0" fillId="0" borderId="5" xfId="0" applyNumberFormat="1" applyBorder="1"/>
    <xf numFmtId="21" fontId="0" fillId="0" borderId="0" xfId="0" applyNumberFormat="1"/>
    <xf numFmtId="0" fontId="1" fillId="0" borderId="0" xfId="0" applyFont="1" applyAlignment="1">
      <alignment horizontal="right"/>
    </xf>
    <xf numFmtId="0" fontId="0" fillId="6" borderId="0" xfId="0" applyFill="1"/>
    <xf numFmtId="165" fontId="0" fillId="0" borderId="0" xfId="0" applyNumberFormat="1"/>
    <xf numFmtId="165" fontId="0" fillId="6" borderId="0" xfId="0" applyNumberFormat="1" applyFill="1"/>
    <xf numFmtId="3" fontId="6" fillId="0" borderId="0" xfId="0" applyNumberFormat="1" applyFont="1"/>
    <xf numFmtId="0" fontId="6" fillId="6" borderId="0" xfId="0" applyFont="1" applyFill="1"/>
    <xf numFmtId="0" fontId="0" fillId="7" borderId="0" xfId="0" applyFill="1"/>
    <xf numFmtId="0" fontId="7" fillId="0" borderId="0" xfId="0" applyFont="1"/>
    <xf numFmtId="0" fontId="8" fillId="0" borderId="0" xfId="0" applyFont="1"/>
    <xf numFmtId="0" fontId="9" fillId="0" borderId="0" xfId="0" applyFont="1"/>
    <xf numFmtId="166" fontId="0" fillId="0" borderId="0" xfId="8" applyNumberFormat="1" applyFont="1"/>
    <xf numFmtId="166" fontId="0" fillId="0" borderId="0" xfId="0" applyNumberFormat="1"/>
    <xf numFmtId="166" fontId="1" fillId="0" borderId="1" xfId="0" applyNumberFormat="1" applyFont="1" applyBorder="1"/>
    <xf numFmtId="166" fontId="0" fillId="0" borderId="3" xfId="8" applyNumberFormat="1" applyFont="1" applyBorder="1"/>
    <xf numFmtId="166" fontId="0" fillId="0" borderId="3" xfId="0" applyNumberFormat="1" applyBorder="1"/>
    <xf numFmtId="9" fontId="0" fillId="0" borderId="0" xfId="9" applyFont="1"/>
    <xf numFmtId="9" fontId="0" fillId="0" borderId="3" xfId="9" applyFont="1" applyBorder="1"/>
    <xf numFmtId="0" fontId="1" fillId="0" borderId="4" xfId="0" applyFont="1" applyBorder="1"/>
    <xf numFmtId="9" fontId="0" fillId="0" borderId="4" xfId="9" applyFont="1" applyBorder="1"/>
    <xf numFmtId="167" fontId="0" fillId="0" borderId="0" xfId="0" applyNumberFormat="1"/>
    <xf numFmtId="167" fontId="0" fillId="0" borderId="3" xfId="0" applyNumberFormat="1" applyBorder="1"/>
    <xf numFmtId="0" fontId="0" fillId="0" borderId="3" xfId="0" applyBorder="1" applyAlignment="1">
      <alignment horizontal="right"/>
    </xf>
    <xf numFmtId="0" fontId="0" fillId="8" borderId="0" xfId="0" applyFill="1"/>
    <xf numFmtId="2" fontId="0" fillId="0" borderId="5" xfId="0" applyNumberFormat="1" applyBorder="1" applyAlignment="1">
      <alignment horizontal="right"/>
    </xf>
    <xf numFmtId="2" fontId="0" fillId="0" borderId="0" xfId="0" applyNumberFormat="1" applyAlignment="1">
      <alignment horizontal="right"/>
    </xf>
    <xf numFmtId="2" fontId="0" fillId="0" borderId="3" xfId="0" applyNumberFormat="1" applyBorder="1" applyAlignment="1">
      <alignment horizontal="right"/>
    </xf>
    <xf numFmtId="0" fontId="0" fillId="0" borderId="6" xfId="0" applyBorder="1"/>
    <xf numFmtId="165" fontId="0" fillId="0" borderId="3" xfId="0" applyNumberFormat="1" applyBorder="1"/>
    <xf numFmtId="165" fontId="0" fillId="0" borderId="5" xfId="0" applyNumberFormat="1" applyBorder="1"/>
    <xf numFmtId="167" fontId="0" fillId="7" borderId="0" xfId="0" applyNumberFormat="1" applyFill="1"/>
    <xf numFmtId="167" fontId="0" fillId="6" borderId="0" xfId="0" applyNumberFormat="1" applyFill="1"/>
    <xf numFmtId="3" fontId="0" fillId="2" borderId="4" xfId="0" applyNumberFormat="1" applyFill="1" applyBorder="1"/>
    <xf numFmtId="0" fontId="0" fillId="0" borderId="0" xfId="0" applyAlignment="1">
      <alignment horizontal="center"/>
    </xf>
    <xf numFmtId="0" fontId="0" fillId="0" borderId="0" xfId="0"/>
  </cellXfs>
  <cellStyles count="10">
    <cellStyle name="Comma" xfId="8" builtinId="3"/>
    <cellStyle name="Normal" xfId="0" builtinId="0"/>
    <cellStyle name="Percent" xfId="9" builtinId="5"/>
    <cellStyle name="XLConnect.Boolean" xfId="6" xr:uid="{00000000-0005-0000-0000-000006000000}"/>
    <cellStyle name="XLConnect.Date" xfId="3" xr:uid="{00000000-0005-0000-0000-000003000000}"/>
    <cellStyle name="XLConnect.DateTime" xfId="7" xr:uid="{00000000-0005-0000-0000-000007000000}"/>
    <cellStyle name="XLConnect.General" xfId="1" xr:uid="{00000000-0005-0000-0000-000001000000}"/>
    <cellStyle name="XLConnect.Header" xfId="2" xr:uid="{00000000-0005-0000-0000-000002000000}"/>
    <cellStyle name="XLConnect.Numeric" xfId="5" xr:uid="{00000000-0005-0000-0000-000005000000}"/>
    <cellStyle name="XLConnect.String" xfId="4" xr:uid="{00000000-0005-0000-0000-000004000000}"/>
  </cellStyles>
  <dxfs count="2"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E41"/>
  <sheetViews>
    <sheetView tabSelected="1" workbookViewId="0">
      <selection activeCell="B12" sqref="B12"/>
    </sheetView>
  </sheetViews>
  <sheetFormatPr defaultRowHeight="15" x14ac:dyDescent="0.25"/>
  <cols>
    <col min="1" max="2" width="16.7109375" customWidth="1" collapsed="1"/>
    <col min="3" max="3" width="27" customWidth="1"/>
    <col min="4" max="5" width="16.7109375" customWidth="1" collapsed="1"/>
  </cols>
  <sheetData>
    <row r="2" spans="1:5" ht="15.75" customHeight="1" thickBot="1" x14ac:dyDescent="0.3">
      <c r="A2" s="1" t="s">
        <v>0</v>
      </c>
      <c r="B2" s="3"/>
      <c r="D2" s="1" t="s">
        <v>1</v>
      </c>
      <c r="E2" s="3"/>
    </row>
    <row r="3" spans="1:5" x14ac:dyDescent="0.25">
      <c r="A3" s="2" t="s">
        <v>2</v>
      </c>
      <c r="B3" s="7" t="s">
        <v>3</v>
      </c>
      <c r="D3" s="2" t="s">
        <v>2</v>
      </c>
      <c r="E3" s="7" t="s">
        <v>3</v>
      </c>
    </row>
    <row r="4" spans="1:5" x14ac:dyDescent="0.25">
      <c r="A4" s="9" t="s">
        <v>4</v>
      </c>
      <c r="B4" s="9">
        <f>SUM(Work!D4,Workbased!I5,School!D4,Escort!D4,Personal_Business!D4,Shop!D4,Meal!D4,SocRec!D4)</f>
        <v>1882702.9978172404</v>
      </c>
      <c r="C4" s="9"/>
      <c r="D4" s="9" t="s">
        <v>4</v>
      </c>
      <c r="E4" s="9">
        <f>SUM(Work!I4,Workbased!S5,School!I4,Escort!I4,Personal_Business!I4,Shop!I4,Meal!I4,SocRec!I4)</f>
        <v>2105986</v>
      </c>
    </row>
    <row r="5" spans="1:5" x14ac:dyDescent="0.25">
      <c r="A5" s="9" t="s">
        <v>5</v>
      </c>
      <c r="B5" s="9">
        <f>SUM(Work!D5,Workbased!I6,School!D5,Escort!D5,Personal_Business!D5,Shop!D5,Meal!D5,SocRec!D5)</f>
        <v>1149027.0092178241</v>
      </c>
      <c r="C5" s="9"/>
      <c r="D5" s="9" t="s">
        <v>5</v>
      </c>
      <c r="E5" s="9">
        <f>SUM(Work!I5,Workbased!S6,School!I5,Escort!I5,Personal_Business!I5,Shop!I5,Meal!I5,SocRec!I5)</f>
        <v>1569042</v>
      </c>
    </row>
    <row r="6" spans="1:5" x14ac:dyDescent="0.25">
      <c r="A6" s="9" t="s">
        <v>6</v>
      </c>
      <c r="B6" s="9">
        <f>SUM(Work!D6,Workbased!I7,School!D6,Escort!D6,Personal_Business!D6,Shop!D6,Meal!D6,SocRec!D6)</f>
        <v>986447.79394977586</v>
      </c>
      <c r="C6" s="9"/>
      <c r="D6" s="9" t="s">
        <v>6</v>
      </c>
      <c r="E6" s="9">
        <f>SUM(Work!I6,Workbased!S7,School!I6,Escort!I6,Personal_Business!I6,Shop!I6,Meal!I6,SocRec!I6)</f>
        <v>1388919</v>
      </c>
    </row>
    <row r="7" spans="1:5" x14ac:dyDescent="0.25">
      <c r="A7" s="9" t="s">
        <v>7</v>
      </c>
      <c r="B7" s="9">
        <f>SUM(Work!D7,Workbased!I8,School!D7,Escort!D7,Personal_Business!D7,Shop!D7,Meal!D7,SocRec!D7)</f>
        <v>18504.46468227532</v>
      </c>
      <c r="C7" s="9"/>
      <c r="D7" s="9" t="s">
        <v>7</v>
      </c>
      <c r="E7" s="9">
        <f>SUM(Work!I7,Workbased!S8,School!I7,Escort!I7,Personal_Business!I7,Shop!I7,Meal!I7,SocRec!I7)</f>
        <v>81534</v>
      </c>
    </row>
    <row r="8" spans="1:5" x14ac:dyDescent="0.25">
      <c r="A8" s="9" t="s">
        <v>8</v>
      </c>
      <c r="B8" s="9">
        <f>SUM(Work!D8,Workbased!I9,School!D8,Escort!D8,Personal_Business!D8,Shop!D8,Meal!D8,SocRec!D8)</f>
        <v>216462.73055733944</v>
      </c>
      <c r="C8" s="9"/>
      <c r="D8" s="9" t="s">
        <v>8</v>
      </c>
      <c r="E8" s="9">
        <f>SUM(Work!I8,Workbased!S9,School!I8,Escort!I8,Personal_Business!I8,Shop!I8,Meal!I8,SocRec!I8)</f>
        <v>204709</v>
      </c>
    </row>
    <row r="9" spans="1:5" x14ac:dyDescent="0.25">
      <c r="A9" s="9" t="s">
        <v>9</v>
      </c>
      <c r="B9" s="9">
        <f>SUM(Work!D9,Workbased!I10,School!D9,Escort!D9,Personal_Business!D9,Shop!D9,Meal!D9,SocRec!D9)</f>
        <v>63214.680126985317</v>
      </c>
      <c r="C9" s="9"/>
      <c r="D9" s="9" t="s">
        <v>9</v>
      </c>
      <c r="E9" s="9">
        <f>SUM(Work!I9,Workbased!S10,School!I9,Escort!I9,Personal_Business!I9,Shop!I9,Meal!I9,SocRec!I9)</f>
        <v>97432</v>
      </c>
    </row>
    <row r="10" spans="1:5" x14ac:dyDescent="0.25">
      <c r="A10" s="9" t="s">
        <v>10</v>
      </c>
      <c r="B10" s="9">
        <f>SUM(Work!D10,Workbased!I11,School!D10,Escort!D10,Personal_Business!D10,Shop!D10,Meal!D10,SocRec!D10)</f>
        <v>551899.95579084172</v>
      </c>
      <c r="C10" s="9"/>
      <c r="D10" s="9" t="s">
        <v>10</v>
      </c>
      <c r="E10" s="9">
        <f>SUM(Work!I10,Workbased!S11,School!I10,Escort!I10,Personal_Business!I10,Shop!I10,Meal!I10,SocRec!I10)</f>
        <v>714634</v>
      </c>
    </row>
    <row r="11" spans="1:5" x14ac:dyDescent="0.25">
      <c r="A11" s="9" t="s">
        <v>11</v>
      </c>
      <c r="B11" s="9">
        <f>SUM(Work!D11,School!D11,Escort!D11,Personal_Business!D11,Shop!D11,Meal!D11,SocRec!D11)</f>
        <v>126346.1109628811</v>
      </c>
      <c r="C11" s="9"/>
      <c r="D11" s="9" t="s">
        <v>11</v>
      </c>
      <c r="E11" s="9">
        <f>SUM(Work!I11,School!I11,Escort!I11,Personal_Business!I11,Shop!I11,Meal!I11,SocRec!I11)</f>
        <v>209609</v>
      </c>
    </row>
    <row r="12" spans="1:5" x14ac:dyDescent="0.25">
      <c r="A12" s="12" t="s">
        <v>12</v>
      </c>
      <c r="B12" s="12">
        <f>SUM(Work!D12,Workbased!I12,School!D12,Escort!D12,Personal_Business!D12,Shop!D12,Meal!D12,SocRec!D12)</f>
        <v>0</v>
      </c>
      <c r="D12" s="12" t="s">
        <v>12</v>
      </c>
      <c r="E12" s="12">
        <f>SUM(Work!I12,Workbased!S12,School!I12,Escort!I12,Personal_Business!I12,Shop!I12,Meal!I12,SocRec!I12)</f>
        <v>79959</v>
      </c>
    </row>
    <row r="13" spans="1:5" ht="15.75" customHeight="1" thickBot="1" x14ac:dyDescent="0.3">
      <c r="A13" s="10" t="s">
        <v>3</v>
      </c>
      <c r="B13" s="10">
        <f>SUM(B4:B12)</f>
        <v>4994605.7431051638</v>
      </c>
      <c r="D13" s="10" t="s">
        <v>3</v>
      </c>
      <c r="E13" s="10">
        <f>SUM(E4:E12)</f>
        <v>6451824</v>
      </c>
    </row>
    <row r="15" spans="1:5" x14ac:dyDescent="0.25">
      <c r="E15" s="8"/>
    </row>
    <row r="16" spans="1:5" ht="15.75" customHeight="1" thickBot="1" x14ac:dyDescent="0.3">
      <c r="A16" s="1" t="s">
        <v>13</v>
      </c>
      <c r="B16" s="3"/>
      <c r="D16" s="1" t="s">
        <v>14</v>
      </c>
      <c r="E16" s="3"/>
    </row>
    <row r="17" spans="1:5" x14ac:dyDescent="0.25">
      <c r="A17" s="2" t="s">
        <v>2</v>
      </c>
      <c r="B17" s="7" t="s">
        <v>3</v>
      </c>
      <c r="D17" s="2" t="s">
        <v>2</v>
      </c>
      <c r="E17" s="7" t="s">
        <v>3</v>
      </c>
    </row>
    <row r="18" spans="1:5" x14ac:dyDescent="0.25">
      <c r="A18" s="9" t="s">
        <v>4</v>
      </c>
      <c r="B18" s="14">
        <f t="shared" ref="B18:B27" si="0">B4/$B$13</f>
        <v>0.37694726964510267</v>
      </c>
      <c r="D18" s="9" t="s">
        <v>4</v>
      </c>
      <c r="E18" s="14">
        <f t="shared" ref="E18:E27" si="1">E4/$E$13</f>
        <v>0.3264171496308641</v>
      </c>
    </row>
    <row r="19" spans="1:5" x14ac:dyDescent="0.25">
      <c r="A19" s="9" t="s">
        <v>5</v>
      </c>
      <c r="B19" s="14">
        <f t="shared" si="0"/>
        <v>0.23005359548228727</v>
      </c>
      <c r="D19" s="9" t="s">
        <v>5</v>
      </c>
      <c r="E19" s="14">
        <f t="shared" si="1"/>
        <v>0.24319355270695542</v>
      </c>
    </row>
    <row r="20" spans="1:5" x14ac:dyDescent="0.25">
      <c r="A20" s="9" t="s">
        <v>6</v>
      </c>
      <c r="B20" s="14">
        <f t="shared" si="0"/>
        <v>0.19750263477983707</v>
      </c>
      <c r="D20" s="9" t="s">
        <v>6</v>
      </c>
      <c r="E20" s="14">
        <f t="shared" si="1"/>
        <v>0.21527540118887309</v>
      </c>
    </row>
    <row r="21" spans="1:5" x14ac:dyDescent="0.25">
      <c r="A21" s="9" t="s">
        <v>7</v>
      </c>
      <c r="B21" s="14">
        <f t="shared" si="0"/>
        <v>3.7048899620995969E-3</v>
      </c>
      <c r="D21" s="9" t="s">
        <v>7</v>
      </c>
      <c r="E21" s="14">
        <f t="shared" si="1"/>
        <v>1.2637356505695134E-2</v>
      </c>
    </row>
    <row r="22" spans="1:5" x14ac:dyDescent="0.25">
      <c r="A22" s="9" t="s">
        <v>8</v>
      </c>
      <c r="B22" s="14">
        <f t="shared" si="0"/>
        <v>4.3339302778033446E-2</v>
      </c>
      <c r="D22" s="9" t="s">
        <v>8</v>
      </c>
      <c r="E22" s="14">
        <f t="shared" si="1"/>
        <v>3.1728856831804465E-2</v>
      </c>
    </row>
    <row r="23" spans="1:5" x14ac:dyDescent="0.25">
      <c r="A23" s="9" t="s">
        <v>9</v>
      </c>
      <c r="B23" s="14">
        <f t="shared" si="0"/>
        <v>1.2656590605624966E-2</v>
      </c>
      <c r="D23" s="9" t="s">
        <v>9</v>
      </c>
      <c r="E23" s="14">
        <f t="shared" si="1"/>
        <v>1.5101465880036405E-2</v>
      </c>
    </row>
    <row r="24" spans="1:5" x14ac:dyDescent="0.25">
      <c r="A24" s="9" t="s">
        <v>10</v>
      </c>
      <c r="B24" s="14">
        <f t="shared" si="0"/>
        <v>0.11049920337610544</v>
      </c>
      <c r="D24" s="9" t="s">
        <v>10</v>
      </c>
      <c r="E24" s="14">
        <f t="shared" si="1"/>
        <v>0.11076464578079005</v>
      </c>
    </row>
    <row r="25" spans="1:5" x14ac:dyDescent="0.25">
      <c r="A25" s="9" t="s">
        <v>11</v>
      </c>
      <c r="B25" s="14">
        <f t="shared" si="0"/>
        <v>2.5296513370909487E-2</v>
      </c>
      <c r="D25" s="9" t="s">
        <v>11</v>
      </c>
      <c r="E25" s="14">
        <f t="shared" si="1"/>
        <v>3.2488331981777557E-2</v>
      </c>
    </row>
    <row r="26" spans="1:5" x14ac:dyDescent="0.25">
      <c r="A26" s="12" t="s">
        <v>12</v>
      </c>
      <c r="B26" s="15">
        <f t="shared" si="0"/>
        <v>0</v>
      </c>
      <c r="D26" s="12" t="s">
        <v>12</v>
      </c>
      <c r="E26" s="15">
        <f t="shared" si="1"/>
        <v>1.2393239493203782E-2</v>
      </c>
    </row>
    <row r="27" spans="1:5" ht="15.75" customHeight="1" thickBot="1" x14ac:dyDescent="0.3">
      <c r="A27" s="10" t="s">
        <v>3</v>
      </c>
      <c r="B27" s="16">
        <f t="shared" si="0"/>
        <v>1</v>
      </c>
      <c r="D27" s="10" t="s">
        <v>3</v>
      </c>
      <c r="E27" s="16">
        <f t="shared" si="1"/>
        <v>1</v>
      </c>
    </row>
    <row r="30" spans="1:5" ht="15.75" customHeight="1" thickBot="1" x14ac:dyDescent="0.3">
      <c r="D30" s="1" t="s">
        <v>15</v>
      </c>
      <c r="E30" s="3"/>
    </row>
    <row r="31" spans="1:5" x14ac:dyDescent="0.25">
      <c r="D31" s="2" t="s">
        <v>2</v>
      </c>
      <c r="E31" s="7" t="s">
        <v>3</v>
      </c>
    </row>
    <row r="32" spans="1:5" x14ac:dyDescent="0.25">
      <c r="D32" s="9" t="s">
        <v>4</v>
      </c>
      <c r="E32" s="14">
        <f t="shared" ref="E32:E41" si="2">E18-B18</f>
        <v>-5.0530120014238566E-2</v>
      </c>
    </row>
    <row r="33" spans="4:5" x14ac:dyDescent="0.25">
      <c r="D33" s="9" t="s">
        <v>5</v>
      </c>
      <c r="E33" s="14">
        <f t="shared" si="2"/>
        <v>1.3139957224668153E-2</v>
      </c>
    </row>
    <row r="34" spans="4:5" x14ac:dyDescent="0.25">
      <c r="D34" s="9" t="s">
        <v>6</v>
      </c>
      <c r="E34" s="14">
        <f t="shared" si="2"/>
        <v>1.7772766409036023E-2</v>
      </c>
    </row>
    <row r="35" spans="4:5" x14ac:dyDescent="0.25">
      <c r="D35" s="9" t="s">
        <v>7</v>
      </c>
      <c r="E35" s="14">
        <f t="shared" si="2"/>
        <v>8.9324665435955367E-3</v>
      </c>
    </row>
    <row r="36" spans="4:5" x14ac:dyDescent="0.25">
      <c r="D36" s="9" t="s">
        <v>8</v>
      </c>
      <c r="E36" s="14">
        <f t="shared" si="2"/>
        <v>-1.1610445946228981E-2</v>
      </c>
    </row>
    <row r="37" spans="4:5" x14ac:dyDescent="0.25">
      <c r="D37" s="9" t="s">
        <v>9</v>
      </c>
      <c r="E37" s="14">
        <f t="shared" si="2"/>
        <v>2.4448752744114389E-3</v>
      </c>
    </row>
    <row r="38" spans="4:5" x14ac:dyDescent="0.25">
      <c r="D38" s="9" t="s">
        <v>10</v>
      </c>
      <c r="E38" s="14">
        <f t="shared" si="2"/>
        <v>2.6544240468460989E-4</v>
      </c>
    </row>
    <row r="39" spans="4:5" x14ac:dyDescent="0.25">
      <c r="D39" s="9" t="s">
        <v>11</v>
      </c>
      <c r="E39" s="14">
        <f t="shared" si="2"/>
        <v>7.1918186108680705E-3</v>
      </c>
    </row>
    <row r="40" spans="4:5" x14ac:dyDescent="0.25">
      <c r="D40" s="12" t="s">
        <v>12</v>
      </c>
      <c r="E40" s="15">
        <f t="shared" si="2"/>
        <v>1.2393239493203782E-2</v>
      </c>
    </row>
    <row r="41" spans="4:5" ht="15.75" customHeight="1" thickBot="1" x14ac:dyDescent="0.3">
      <c r="D41" s="10" t="s">
        <v>3</v>
      </c>
      <c r="E41" s="16">
        <f t="shared" si="2"/>
        <v>0</v>
      </c>
    </row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N41"/>
  <sheetViews>
    <sheetView workbookViewId="0">
      <selection activeCell="D4" sqref="D4"/>
    </sheetView>
  </sheetViews>
  <sheetFormatPr defaultRowHeight="15" x14ac:dyDescent="0.25"/>
  <cols>
    <col min="1" max="4" width="16.7109375" customWidth="1" collapsed="1"/>
    <col min="6" max="9" width="16.7109375" customWidth="1" collapsed="1"/>
    <col min="11" max="11" width="16.7109375" customWidth="1" collapsed="1"/>
    <col min="12" max="14" width="11.85546875" customWidth="1" collapsed="1"/>
  </cols>
  <sheetData>
    <row r="2" spans="1:9" ht="15.75" customHeight="1" thickBot="1" x14ac:dyDescent="0.3">
      <c r="A2" s="1" t="s">
        <v>16</v>
      </c>
      <c r="B2" s="1"/>
      <c r="C2" s="3"/>
      <c r="D2" s="3"/>
      <c r="F2" s="1" t="s">
        <v>17</v>
      </c>
      <c r="G2" s="1"/>
      <c r="H2" s="3"/>
      <c r="I2" s="3"/>
    </row>
    <row r="3" spans="1:9" x14ac:dyDescent="0.25">
      <c r="A3" s="2" t="s">
        <v>2</v>
      </c>
      <c r="B3" s="4" t="s">
        <v>18</v>
      </c>
      <c r="C3" s="4" t="s">
        <v>19</v>
      </c>
      <c r="D3" s="7" t="s">
        <v>3</v>
      </c>
      <c r="F3" s="2" t="s">
        <v>2</v>
      </c>
      <c r="G3" s="4" t="s">
        <v>18</v>
      </c>
      <c r="H3" s="4" t="s">
        <v>19</v>
      </c>
      <c r="I3" s="7" t="s">
        <v>3</v>
      </c>
    </row>
    <row r="4" spans="1:9" x14ac:dyDescent="0.25">
      <c r="A4" s="9" t="s">
        <v>4</v>
      </c>
      <c r="B4" s="9">
        <v>394.56695688113967</v>
      </c>
      <c r="C4" s="9">
        <v>843868.90030754695</v>
      </c>
      <c r="D4" s="9">
        <f t="shared" ref="D4:D12" si="0">SUM(B4:C4)</f>
        <v>844263.46726442804</v>
      </c>
      <c r="F4" s="9" t="s">
        <v>4</v>
      </c>
      <c r="G4" s="9">
        <v>0</v>
      </c>
      <c r="H4" s="9">
        <v>1216991</v>
      </c>
      <c r="I4" s="9">
        <f t="shared" ref="I4:I12" si="1">SUM(G4:H4)</f>
        <v>1216991</v>
      </c>
    </row>
    <row r="5" spans="1:9" x14ac:dyDescent="0.25">
      <c r="A5" s="9" t="s">
        <v>5</v>
      </c>
      <c r="B5" s="9">
        <v>198.62855832203411</v>
      </c>
      <c r="C5" s="9">
        <v>195049.14615763279</v>
      </c>
      <c r="D5" s="9">
        <f t="shared" si="0"/>
        <v>195247.77471595482</v>
      </c>
      <c r="F5" s="9" t="s">
        <v>5</v>
      </c>
      <c r="G5" s="9">
        <v>5857</v>
      </c>
      <c r="H5" s="9">
        <v>313511</v>
      </c>
      <c r="I5" s="9">
        <f t="shared" si="1"/>
        <v>319368</v>
      </c>
    </row>
    <row r="6" spans="1:9" x14ac:dyDescent="0.25">
      <c r="A6" s="9" t="s">
        <v>6</v>
      </c>
      <c r="B6" s="9">
        <v>0</v>
      </c>
      <c r="C6" s="9">
        <v>159343.6965465688</v>
      </c>
      <c r="D6" s="9">
        <f t="shared" si="0"/>
        <v>159343.6965465688</v>
      </c>
      <c r="F6" s="9" t="s">
        <v>6</v>
      </c>
      <c r="G6" s="9">
        <v>3129</v>
      </c>
      <c r="H6" s="9">
        <v>172533</v>
      </c>
      <c r="I6" s="9">
        <f t="shared" si="1"/>
        <v>175662</v>
      </c>
    </row>
    <row r="7" spans="1:9" x14ac:dyDescent="0.25">
      <c r="A7" s="9" t="s">
        <v>7</v>
      </c>
      <c r="B7" s="9">
        <v>3791.9395950787562</v>
      </c>
      <c r="C7" s="9">
        <v>5734.2402221140283</v>
      </c>
      <c r="D7" s="9">
        <f t="shared" si="0"/>
        <v>9526.179817192784</v>
      </c>
      <c r="F7" s="9" t="s">
        <v>7</v>
      </c>
      <c r="G7" s="9">
        <v>2727</v>
      </c>
      <c r="H7" s="9">
        <v>78807</v>
      </c>
      <c r="I7" s="9">
        <f t="shared" si="1"/>
        <v>81534</v>
      </c>
    </row>
    <row r="8" spans="1:9" x14ac:dyDescent="0.25">
      <c r="A8" s="9" t="s">
        <v>8</v>
      </c>
      <c r="B8" s="9">
        <v>12659.4184536387</v>
      </c>
      <c r="C8" s="9">
        <v>37620.90539801796</v>
      </c>
      <c r="D8" s="9">
        <f t="shared" si="0"/>
        <v>50280.323851656663</v>
      </c>
      <c r="F8" s="9" t="s">
        <v>8</v>
      </c>
      <c r="G8" s="9">
        <v>23601</v>
      </c>
      <c r="H8" s="9">
        <v>118150</v>
      </c>
      <c r="I8" s="9">
        <f t="shared" si="1"/>
        <v>141751</v>
      </c>
    </row>
    <row r="9" spans="1:9" x14ac:dyDescent="0.25">
      <c r="A9" s="9" t="s">
        <v>9</v>
      </c>
      <c r="B9" s="9">
        <v>3666.8265620012521</v>
      </c>
      <c r="C9" s="9">
        <v>13485.306984394419</v>
      </c>
      <c r="D9" s="9">
        <f t="shared" si="0"/>
        <v>17152.133546395671</v>
      </c>
      <c r="F9" s="9" t="s">
        <v>9</v>
      </c>
      <c r="G9" s="9">
        <v>7755</v>
      </c>
      <c r="H9" s="9">
        <v>30297</v>
      </c>
      <c r="I9" s="9">
        <f t="shared" si="1"/>
        <v>38052</v>
      </c>
    </row>
    <row r="10" spans="1:9" x14ac:dyDescent="0.25">
      <c r="A10" s="9" t="s">
        <v>10</v>
      </c>
      <c r="B10" s="9">
        <v>13511.14390931426</v>
      </c>
      <c r="C10" s="9">
        <v>40413.833785164352</v>
      </c>
      <c r="D10" s="9">
        <f t="shared" si="0"/>
        <v>53924.977694478614</v>
      </c>
      <c r="F10" s="9" t="s">
        <v>10</v>
      </c>
      <c r="G10" s="9">
        <v>3636</v>
      </c>
      <c r="H10" s="9">
        <v>14964</v>
      </c>
      <c r="I10" s="9">
        <f t="shared" si="1"/>
        <v>18600</v>
      </c>
    </row>
    <row r="11" spans="1:9" x14ac:dyDescent="0.25">
      <c r="A11" s="9" t="s">
        <v>11</v>
      </c>
      <c r="B11" s="9">
        <v>0</v>
      </c>
      <c r="C11" s="9">
        <v>0</v>
      </c>
      <c r="D11" s="9">
        <f t="shared" si="0"/>
        <v>0</v>
      </c>
      <c r="E11" s="9"/>
      <c r="F11" s="9" t="s">
        <v>11</v>
      </c>
      <c r="G11" s="9">
        <v>0</v>
      </c>
      <c r="H11" s="9">
        <v>0</v>
      </c>
      <c r="I11" s="9">
        <f t="shared" si="1"/>
        <v>0</v>
      </c>
    </row>
    <row r="12" spans="1:9" x14ac:dyDescent="0.25">
      <c r="A12" s="12" t="s">
        <v>12</v>
      </c>
      <c r="B12" s="12">
        <v>0</v>
      </c>
      <c r="C12" s="12">
        <v>0</v>
      </c>
      <c r="D12" s="12">
        <f t="shared" si="0"/>
        <v>0</v>
      </c>
      <c r="E12" s="9"/>
      <c r="F12" s="12" t="s">
        <v>12</v>
      </c>
      <c r="G12" s="12">
        <v>10718</v>
      </c>
      <c r="H12" s="12">
        <v>25350</v>
      </c>
      <c r="I12" s="12">
        <f t="shared" si="1"/>
        <v>36068</v>
      </c>
    </row>
    <row r="13" spans="1:9" ht="15.75" customHeight="1" thickBot="1" x14ac:dyDescent="0.3">
      <c r="A13" s="10" t="s">
        <v>3</v>
      </c>
      <c r="B13" s="10">
        <f>SUM(B4:B12)</f>
        <v>34222.524035236143</v>
      </c>
      <c r="C13" s="10">
        <f>SUM(C4:C12)</f>
        <v>1295516.0294014395</v>
      </c>
      <c r="D13" s="10">
        <f>SUM(D4:D12)</f>
        <v>1329738.5534366753</v>
      </c>
      <c r="F13" s="10" t="s">
        <v>3</v>
      </c>
      <c r="G13" s="10">
        <f>SUM(G4:G12)</f>
        <v>57423</v>
      </c>
      <c r="H13" s="10">
        <f>SUM(H4:H12)</f>
        <v>1970603</v>
      </c>
      <c r="I13" s="10">
        <f>SUM(I4:I12)</f>
        <v>2028026</v>
      </c>
    </row>
    <row r="15" spans="1:9" x14ac:dyDescent="0.25">
      <c r="G15" s="8"/>
      <c r="H15" s="8"/>
      <c r="I15" s="8"/>
    </row>
    <row r="16" spans="1:9" ht="15.75" customHeight="1" thickBot="1" x14ac:dyDescent="0.3">
      <c r="A16" s="1" t="s">
        <v>16</v>
      </c>
      <c r="B16" s="1"/>
      <c r="C16" s="3"/>
      <c r="D16" s="3"/>
      <c r="F16" s="1" t="s">
        <v>17</v>
      </c>
      <c r="G16" s="1"/>
      <c r="H16" s="3"/>
      <c r="I16" s="3"/>
    </row>
    <row r="17" spans="1:14" x14ac:dyDescent="0.25">
      <c r="A17" s="2" t="s">
        <v>2</v>
      </c>
      <c r="B17" s="4" t="s">
        <v>18</v>
      </c>
      <c r="C17" s="4" t="s">
        <v>19</v>
      </c>
      <c r="D17" s="7" t="s">
        <v>3</v>
      </c>
      <c r="F17" s="2" t="s">
        <v>2</v>
      </c>
      <c r="G17" s="4" t="s">
        <v>18</v>
      </c>
      <c r="H17" s="4" t="s">
        <v>19</v>
      </c>
      <c r="I17" s="7" t="s">
        <v>3</v>
      </c>
    </row>
    <row r="18" spans="1:14" x14ac:dyDescent="0.25">
      <c r="A18" s="9" t="s">
        <v>4</v>
      </c>
      <c r="B18" s="14">
        <f t="shared" ref="B18:D27" si="2">B4/$D$13</f>
        <v>2.9672521403654236E-4</v>
      </c>
      <c r="C18" s="14">
        <f t="shared" si="2"/>
        <v>0.63461264481396684</v>
      </c>
      <c r="D18" s="14">
        <f t="shared" si="2"/>
        <v>0.63490937002800341</v>
      </c>
      <c r="F18" s="9" t="s">
        <v>4</v>
      </c>
      <c r="G18" s="14">
        <f t="shared" ref="G18:I27" si="3">G4/$I$13</f>
        <v>0</v>
      </c>
      <c r="H18" s="14">
        <f t="shared" si="3"/>
        <v>0.60008648804305276</v>
      </c>
      <c r="I18" s="14">
        <f t="shared" si="3"/>
        <v>0.60008648804305276</v>
      </c>
    </row>
    <row r="19" spans="1:14" x14ac:dyDescent="0.25">
      <c r="A19" s="9" t="s">
        <v>5</v>
      </c>
      <c r="B19" s="14">
        <f t="shared" si="2"/>
        <v>1.4937414411929598E-4</v>
      </c>
      <c r="C19" s="14">
        <f t="shared" si="2"/>
        <v>0.14668232763014447</v>
      </c>
      <c r="D19" s="14">
        <f t="shared" si="2"/>
        <v>0.14683170177426377</v>
      </c>
      <c r="F19" s="9" t="s">
        <v>5</v>
      </c>
      <c r="G19" s="14">
        <f t="shared" si="3"/>
        <v>2.8880300351178932E-3</v>
      </c>
      <c r="H19" s="14">
        <f t="shared" si="3"/>
        <v>0.15458924096633869</v>
      </c>
      <c r="I19" s="14">
        <f t="shared" si="3"/>
        <v>0.15747727100145659</v>
      </c>
    </row>
    <row r="20" spans="1:14" x14ac:dyDescent="0.25">
      <c r="A20" s="9" t="s">
        <v>6</v>
      </c>
      <c r="B20" s="14">
        <f t="shared" si="2"/>
        <v>0</v>
      </c>
      <c r="C20" s="14">
        <f t="shared" si="2"/>
        <v>0.11983084654855579</v>
      </c>
      <c r="D20" s="14">
        <f t="shared" si="2"/>
        <v>0.11983084654855579</v>
      </c>
      <c r="F20" s="9" t="s">
        <v>6</v>
      </c>
      <c r="G20" s="14">
        <f t="shared" si="3"/>
        <v>1.5428796277759753E-3</v>
      </c>
      <c r="H20" s="14">
        <f t="shared" si="3"/>
        <v>8.5074353090147756E-2</v>
      </c>
      <c r="I20" s="14">
        <f t="shared" si="3"/>
        <v>8.6617232717923737E-2</v>
      </c>
    </row>
    <row r="21" spans="1:14" x14ac:dyDescent="0.25">
      <c r="A21" s="9" t="s">
        <v>7</v>
      </c>
      <c r="B21" s="14">
        <f t="shared" si="2"/>
        <v>2.8516429679192085E-3</v>
      </c>
      <c r="C21" s="14">
        <f t="shared" si="2"/>
        <v>4.3123065111514069E-3</v>
      </c>
      <c r="D21" s="14">
        <f t="shared" si="2"/>
        <v>7.163949479070615E-3</v>
      </c>
      <c r="F21" s="9" t="s">
        <v>7</v>
      </c>
      <c r="G21" s="14">
        <f t="shared" si="3"/>
        <v>1.3446573170166458E-3</v>
      </c>
      <c r="H21" s="14">
        <f t="shared" si="3"/>
        <v>3.8858969263707667E-2</v>
      </c>
      <c r="I21" s="14">
        <f t="shared" si="3"/>
        <v>4.0203626580724308E-2</v>
      </c>
    </row>
    <row r="22" spans="1:14" x14ac:dyDescent="0.25">
      <c r="A22" s="9" t="s">
        <v>8</v>
      </c>
      <c r="B22" s="14">
        <f t="shared" si="2"/>
        <v>9.5202311920044407E-3</v>
      </c>
      <c r="C22" s="14">
        <f t="shared" si="2"/>
        <v>2.8291956566039007E-2</v>
      </c>
      <c r="D22" s="14">
        <f t="shared" si="2"/>
        <v>3.7812187758043452E-2</v>
      </c>
      <c r="F22" s="9" t="s">
        <v>8</v>
      </c>
      <c r="G22" s="14">
        <f t="shared" si="3"/>
        <v>1.1637424766743622E-2</v>
      </c>
      <c r="H22" s="14">
        <f t="shared" si="3"/>
        <v>5.8258621930882541E-2</v>
      </c>
      <c r="I22" s="14">
        <f t="shared" si="3"/>
        <v>6.9896046697626169E-2</v>
      </c>
    </row>
    <row r="23" spans="1:14" x14ac:dyDescent="0.25">
      <c r="A23" s="9" t="s">
        <v>9</v>
      </c>
      <c r="B23" s="14">
        <f t="shared" si="2"/>
        <v>2.7575545226724701E-3</v>
      </c>
      <c r="C23" s="14">
        <f t="shared" si="2"/>
        <v>1.0141322103914328E-2</v>
      </c>
      <c r="D23" s="14">
        <f t="shared" si="2"/>
        <v>1.2898876626586798E-2</v>
      </c>
      <c r="F23" s="9" t="s">
        <v>9</v>
      </c>
      <c r="G23" s="14">
        <f t="shared" si="3"/>
        <v>3.8239154724840807E-3</v>
      </c>
      <c r="H23" s="14">
        <f t="shared" si="3"/>
        <v>1.4939157584764693E-2</v>
      </c>
      <c r="I23" s="14">
        <f t="shared" si="3"/>
        <v>1.8763073057248773E-2</v>
      </c>
    </row>
    <row r="24" spans="1:14" x14ac:dyDescent="0.25">
      <c r="A24" s="9" t="s">
        <v>10</v>
      </c>
      <c r="B24" s="14">
        <f t="shared" si="2"/>
        <v>1.0160752182746792E-2</v>
      </c>
      <c r="C24" s="14">
        <f t="shared" si="2"/>
        <v>3.0392315602729446E-2</v>
      </c>
      <c r="D24" s="14">
        <f t="shared" si="2"/>
        <v>4.0553067785476238E-2</v>
      </c>
      <c r="F24" s="9" t="s">
        <v>10</v>
      </c>
      <c r="G24" s="14">
        <f t="shared" si="3"/>
        <v>1.792876422688861E-3</v>
      </c>
      <c r="H24" s="14">
        <f t="shared" si="3"/>
        <v>7.3786036273696684E-3</v>
      </c>
      <c r="I24" s="14">
        <f t="shared" si="3"/>
        <v>9.1714800500585295E-3</v>
      </c>
    </row>
    <row r="25" spans="1:14" x14ac:dyDescent="0.25">
      <c r="A25" s="9" t="s">
        <v>11</v>
      </c>
      <c r="B25" s="14">
        <f t="shared" si="2"/>
        <v>0</v>
      </c>
      <c r="C25" s="14">
        <f t="shared" si="2"/>
        <v>0</v>
      </c>
      <c r="D25" s="14">
        <f t="shared" si="2"/>
        <v>0</v>
      </c>
      <c r="F25" s="9" t="s">
        <v>11</v>
      </c>
      <c r="G25" s="14">
        <f t="shared" si="3"/>
        <v>0</v>
      </c>
      <c r="H25" s="14">
        <f t="shared" si="3"/>
        <v>0</v>
      </c>
      <c r="I25" s="14">
        <f t="shared" si="3"/>
        <v>0</v>
      </c>
    </row>
    <row r="26" spans="1:14" x14ac:dyDescent="0.25">
      <c r="A26" s="12" t="s">
        <v>12</v>
      </c>
      <c r="B26" s="15">
        <f t="shared" si="2"/>
        <v>0</v>
      </c>
      <c r="C26" s="15">
        <f t="shared" si="2"/>
        <v>0</v>
      </c>
      <c r="D26" s="15">
        <f t="shared" si="2"/>
        <v>0</v>
      </c>
      <c r="F26" s="12" t="s">
        <v>12</v>
      </c>
      <c r="G26" s="15">
        <f t="shared" si="3"/>
        <v>5.28494210626491E-3</v>
      </c>
      <c r="H26" s="15">
        <f t="shared" si="3"/>
        <v>1.2499839745644286E-2</v>
      </c>
      <c r="I26" s="15">
        <f t="shared" si="3"/>
        <v>1.7784781851909195E-2</v>
      </c>
    </row>
    <row r="27" spans="1:14" ht="15.75" customHeight="1" thickBot="1" x14ac:dyDescent="0.3">
      <c r="A27" s="10" t="s">
        <v>3</v>
      </c>
      <c r="B27" s="16">
        <f t="shared" si="2"/>
        <v>2.5736280223498751E-2</v>
      </c>
      <c r="C27" s="16">
        <f t="shared" si="2"/>
        <v>0.9742637197765015</v>
      </c>
      <c r="D27" s="16">
        <f t="shared" si="2"/>
        <v>1</v>
      </c>
      <c r="F27" s="10" t="s">
        <v>3</v>
      </c>
      <c r="G27" s="16">
        <f t="shared" si="3"/>
        <v>2.8314725748091987E-2</v>
      </c>
      <c r="H27" s="16">
        <f t="shared" si="3"/>
        <v>0.97168527425190798</v>
      </c>
      <c r="I27" s="16">
        <f t="shared" si="3"/>
        <v>1</v>
      </c>
    </row>
    <row r="30" spans="1:14" ht="15.75" customHeight="1" thickBot="1" x14ac:dyDescent="0.3">
      <c r="F30" s="1" t="s">
        <v>20</v>
      </c>
      <c r="G30" s="1"/>
      <c r="H30" s="3"/>
      <c r="I30" s="3"/>
      <c r="K30" s="18" t="s">
        <v>21</v>
      </c>
      <c r="L30" s="18"/>
      <c r="M30" s="19"/>
      <c r="N30" s="19"/>
    </row>
    <row r="31" spans="1:14" x14ac:dyDescent="0.25">
      <c r="F31" s="2" t="s">
        <v>2</v>
      </c>
      <c r="G31" s="4" t="s">
        <v>18</v>
      </c>
      <c r="H31" s="4" t="s">
        <v>19</v>
      </c>
      <c r="I31" s="7" t="s">
        <v>3</v>
      </c>
      <c r="K31" s="23" t="s">
        <v>2</v>
      </c>
      <c r="L31" s="24" t="s">
        <v>22</v>
      </c>
      <c r="M31" s="24" t="s">
        <v>23</v>
      </c>
      <c r="N31" s="25" t="s">
        <v>24</v>
      </c>
    </row>
    <row r="32" spans="1:14" x14ac:dyDescent="0.25">
      <c r="F32" s="9" t="s">
        <v>4</v>
      </c>
      <c r="G32" s="14">
        <f t="shared" ref="G32:G41" si="4">G18-B18</f>
        <v>-2.9672521403654236E-4</v>
      </c>
      <c r="H32" s="14">
        <f t="shared" ref="H32:H41" si="5">H18-C18</f>
        <v>-3.4526156770914085E-2</v>
      </c>
      <c r="I32" s="14">
        <f t="shared" ref="I32:I41" si="6">I18-D18</f>
        <v>-3.4822881984950649E-2</v>
      </c>
      <c r="K32" s="20" t="s">
        <v>4</v>
      </c>
      <c r="L32" s="21">
        <f t="shared" ref="L32:L41" si="7">D18</f>
        <v>0.63490937002800341</v>
      </c>
      <c r="M32" s="21">
        <f t="shared" ref="M32:M41" si="8">I18</f>
        <v>0.60008648804305276</v>
      </c>
      <c r="N32" s="21">
        <f t="shared" ref="N32:N41" si="9">M32-L32</f>
        <v>-3.4822881984950649E-2</v>
      </c>
    </row>
    <row r="33" spans="6:14" x14ac:dyDescent="0.25">
      <c r="F33" s="9" t="s">
        <v>5</v>
      </c>
      <c r="G33" s="14">
        <f t="shared" si="4"/>
        <v>2.7386558909985974E-3</v>
      </c>
      <c r="H33" s="14">
        <f t="shared" si="5"/>
        <v>7.9069133361942268E-3</v>
      </c>
      <c r="I33" s="14">
        <f t="shared" si="6"/>
        <v>1.0645569227192814E-2</v>
      </c>
      <c r="K33" s="26" t="s">
        <v>5</v>
      </c>
      <c r="L33" s="27">
        <f t="shared" si="7"/>
        <v>0.14683170177426377</v>
      </c>
      <c r="M33" s="27">
        <f t="shared" si="8"/>
        <v>0.15747727100145659</v>
      </c>
      <c r="N33" s="27">
        <f t="shared" si="9"/>
        <v>1.0645569227192814E-2</v>
      </c>
    </row>
    <row r="34" spans="6:14" x14ac:dyDescent="0.25">
      <c r="F34" s="9" t="s">
        <v>6</v>
      </c>
      <c r="G34" s="14">
        <f t="shared" si="4"/>
        <v>1.5428796277759753E-3</v>
      </c>
      <c r="H34" s="14">
        <f t="shared" si="5"/>
        <v>-3.4756493458408033E-2</v>
      </c>
      <c r="I34" s="14">
        <f t="shared" si="6"/>
        <v>-3.3213613830632052E-2</v>
      </c>
      <c r="K34" s="20" t="s">
        <v>6</v>
      </c>
      <c r="L34" s="21">
        <f t="shared" si="7"/>
        <v>0.11983084654855579</v>
      </c>
      <c r="M34" s="21">
        <f t="shared" si="8"/>
        <v>8.6617232717923737E-2</v>
      </c>
      <c r="N34" s="21">
        <f t="shared" si="9"/>
        <v>-3.3213613830632052E-2</v>
      </c>
    </row>
    <row r="35" spans="6:14" x14ac:dyDescent="0.25">
      <c r="F35" s="9" t="s">
        <v>7</v>
      </c>
      <c r="G35" s="14">
        <f t="shared" si="4"/>
        <v>-1.5069856509025627E-3</v>
      </c>
      <c r="H35" s="14">
        <f t="shared" si="5"/>
        <v>3.4546662752556259E-2</v>
      </c>
      <c r="I35" s="14">
        <f t="shared" si="6"/>
        <v>3.3039677101653696E-2</v>
      </c>
      <c r="K35" s="26" t="s">
        <v>7</v>
      </c>
      <c r="L35" s="27">
        <f t="shared" si="7"/>
        <v>7.163949479070615E-3</v>
      </c>
      <c r="M35" s="27">
        <f t="shared" si="8"/>
        <v>4.0203626580724308E-2</v>
      </c>
      <c r="N35" s="27">
        <f t="shared" si="9"/>
        <v>3.3039677101653696E-2</v>
      </c>
    </row>
    <row r="36" spans="6:14" x14ac:dyDescent="0.25">
      <c r="F36" s="9" t="s">
        <v>8</v>
      </c>
      <c r="G36" s="14">
        <f t="shared" si="4"/>
        <v>2.1171935747391814E-3</v>
      </c>
      <c r="H36" s="14">
        <f t="shared" si="5"/>
        <v>2.9966665364843534E-2</v>
      </c>
      <c r="I36" s="14">
        <f t="shared" si="6"/>
        <v>3.2083858939582717E-2</v>
      </c>
      <c r="K36" s="20" t="s">
        <v>8</v>
      </c>
      <c r="L36" s="21">
        <f t="shared" si="7"/>
        <v>3.7812187758043452E-2</v>
      </c>
      <c r="M36" s="21">
        <f t="shared" si="8"/>
        <v>6.9896046697626169E-2</v>
      </c>
      <c r="N36" s="21">
        <f t="shared" si="9"/>
        <v>3.2083858939582717E-2</v>
      </c>
    </row>
    <row r="37" spans="6:14" x14ac:dyDescent="0.25">
      <c r="F37" s="9" t="s">
        <v>9</v>
      </c>
      <c r="G37" s="14">
        <f t="shared" si="4"/>
        <v>1.0663609498116106E-3</v>
      </c>
      <c r="H37" s="14">
        <f t="shared" si="5"/>
        <v>4.797835480850365E-3</v>
      </c>
      <c r="I37" s="14">
        <f t="shared" si="6"/>
        <v>5.8641964306619752E-3</v>
      </c>
      <c r="K37" s="26" t="s">
        <v>9</v>
      </c>
      <c r="L37" s="27">
        <f t="shared" si="7"/>
        <v>1.2898876626586798E-2</v>
      </c>
      <c r="M37" s="27">
        <f t="shared" si="8"/>
        <v>1.8763073057248773E-2</v>
      </c>
      <c r="N37" s="27">
        <f t="shared" si="9"/>
        <v>5.8641964306619752E-3</v>
      </c>
    </row>
    <row r="38" spans="6:14" x14ac:dyDescent="0.25">
      <c r="F38" s="9" t="s">
        <v>10</v>
      </c>
      <c r="G38" s="14">
        <f t="shared" si="4"/>
        <v>-8.3678757600579301E-3</v>
      </c>
      <c r="H38" s="14">
        <f t="shared" si="5"/>
        <v>-2.3013711975359778E-2</v>
      </c>
      <c r="I38" s="14">
        <f t="shared" si="6"/>
        <v>-3.1381587735417708E-2</v>
      </c>
      <c r="K38" s="20" t="s">
        <v>10</v>
      </c>
      <c r="L38" s="21">
        <f t="shared" si="7"/>
        <v>4.0553067785476238E-2</v>
      </c>
      <c r="M38" s="21">
        <f t="shared" si="8"/>
        <v>9.1714800500585295E-3</v>
      </c>
      <c r="N38" s="21">
        <f t="shared" si="9"/>
        <v>-3.1381587735417708E-2</v>
      </c>
    </row>
    <row r="39" spans="6:14" x14ac:dyDescent="0.25">
      <c r="F39" s="9" t="s">
        <v>11</v>
      </c>
      <c r="G39" s="14">
        <f t="shared" si="4"/>
        <v>0</v>
      </c>
      <c r="H39" s="14">
        <f t="shared" si="5"/>
        <v>0</v>
      </c>
      <c r="I39" s="14">
        <f t="shared" si="6"/>
        <v>0</v>
      </c>
      <c r="K39" s="26" t="s">
        <v>11</v>
      </c>
      <c r="L39" s="27">
        <f t="shared" si="7"/>
        <v>0</v>
      </c>
      <c r="M39" s="27">
        <f t="shared" si="8"/>
        <v>0</v>
      </c>
      <c r="N39" s="27">
        <f t="shared" si="9"/>
        <v>0</v>
      </c>
    </row>
    <row r="40" spans="6:14" x14ac:dyDescent="0.25">
      <c r="F40" s="12" t="s">
        <v>12</v>
      </c>
      <c r="G40" s="15">
        <f t="shared" si="4"/>
        <v>5.28494210626491E-3</v>
      </c>
      <c r="H40" s="15">
        <f t="shared" si="5"/>
        <v>1.2499839745644286E-2</v>
      </c>
      <c r="I40" s="15">
        <f t="shared" si="6"/>
        <v>1.7784781851909195E-2</v>
      </c>
      <c r="K40" s="20" t="s">
        <v>12</v>
      </c>
      <c r="L40" s="21">
        <f t="shared" si="7"/>
        <v>0</v>
      </c>
      <c r="M40" s="21">
        <f t="shared" si="8"/>
        <v>1.7784781851909195E-2</v>
      </c>
      <c r="N40" s="21">
        <f t="shared" si="9"/>
        <v>1.7784781851909195E-2</v>
      </c>
    </row>
    <row r="41" spans="6:14" ht="15.75" customHeight="1" thickBot="1" x14ac:dyDescent="0.3">
      <c r="F41" s="10" t="s">
        <v>3</v>
      </c>
      <c r="G41" s="16">
        <f t="shared" si="4"/>
        <v>2.5784455245932356E-3</v>
      </c>
      <c r="H41" s="16">
        <f t="shared" si="5"/>
        <v>-2.5784455245935201E-3</v>
      </c>
      <c r="I41" s="16">
        <f t="shared" si="6"/>
        <v>0</v>
      </c>
      <c r="K41" s="72" t="s">
        <v>3</v>
      </c>
      <c r="L41" s="22">
        <f t="shared" si="7"/>
        <v>1</v>
      </c>
      <c r="M41" s="22">
        <f t="shared" si="8"/>
        <v>1</v>
      </c>
      <c r="N41" s="22">
        <f t="shared" si="9"/>
        <v>0</v>
      </c>
    </row>
  </sheetData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N41"/>
  <sheetViews>
    <sheetView workbookViewId="0">
      <selection activeCell="D9" sqref="D9"/>
    </sheetView>
  </sheetViews>
  <sheetFormatPr defaultRowHeight="15" x14ac:dyDescent="0.25"/>
  <cols>
    <col min="1" max="4" width="16.7109375" customWidth="1" collapsed="1"/>
    <col min="6" max="9" width="16.7109375" customWidth="1" collapsed="1"/>
    <col min="11" max="11" width="16.7109375" customWidth="1" collapsed="1"/>
    <col min="12" max="14" width="11.85546875" customWidth="1" collapsed="1"/>
  </cols>
  <sheetData>
    <row r="2" spans="1:9" ht="15.75" customHeight="1" thickBot="1" x14ac:dyDescent="0.3">
      <c r="A2" s="1" t="s">
        <v>25</v>
      </c>
      <c r="B2" s="1"/>
      <c r="C2" s="3"/>
      <c r="D2" s="3"/>
      <c r="F2" s="1" t="s">
        <v>26</v>
      </c>
      <c r="G2" s="1"/>
      <c r="H2" s="3"/>
      <c r="I2" s="3"/>
    </row>
    <row r="3" spans="1:9" x14ac:dyDescent="0.25">
      <c r="A3" s="2" t="s">
        <v>2</v>
      </c>
      <c r="B3" s="4" t="s">
        <v>18</v>
      </c>
      <c r="C3" s="4" t="s">
        <v>19</v>
      </c>
      <c r="D3" s="7" t="s">
        <v>3</v>
      </c>
      <c r="F3" s="2" t="s">
        <v>2</v>
      </c>
      <c r="G3" s="4" t="s">
        <v>18</v>
      </c>
      <c r="H3" s="4" t="s">
        <v>19</v>
      </c>
      <c r="I3" s="7" t="s">
        <v>3</v>
      </c>
    </row>
    <row r="4" spans="1:9" x14ac:dyDescent="0.25">
      <c r="A4" s="9" t="s">
        <v>4</v>
      </c>
      <c r="B4" s="9">
        <v>0</v>
      </c>
      <c r="C4" s="9">
        <v>57772.20733408918</v>
      </c>
      <c r="D4" s="9">
        <f t="shared" ref="D4:D13" si="0">SUM(B4:C4)</f>
        <v>57772.20733408918</v>
      </c>
      <c r="E4" s="9"/>
      <c r="F4" s="9" t="s">
        <v>4</v>
      </c>
      <c r="G4" s="9">
        <v>0</v>
      </c>
      <c r="H4" s="9">
        <v>73356</v>
      </c>
      <c r="I4" s="9">
        <f t="shared" ref="I4:I13" si="1">SUM(G4:H4)</f>
        <v>73356</v>
      </c>
    </row>
    <row r="5" spans="1:9" x14ac:dyDescent="0.25">
      <c r="A5" s="9" t="s">
        <v>5</v>
      </c>
      <c r="B5" s="9">
        <v>4022.8432811496141</v>
      </c>
      <c r="C5" s="9">
        <v>68869.870988819326</v>
      </c>
      <c r="D5" s="9">
        <f t="shared" si="0"/>
        <v>72892.714269968943</v>
      </c>
      <c r="E5" s="9"/>
      <c r="F5" s="9" t="s">
        <v>5</v>
      </c>
      <c r="G5" s="9">
        <v>2675</v>
      </c>
      <c r="H5" s="9">
        <v>117167</v>
      </c>
      <c r="I5" s="9">
        <f t="shared" si="1"/>
        <v>119842</v>
      </c>
    </row>
    <row r="6" spans="1:9" x14ac:dyDescent="0.25">
      <c r="A6" s="9" t="s">
        <v>6</v>
      </c>
      <c r="B6" s="9">
        <v>0</v>
      </c>
      <c r="C6" s="9">
        <v>167856.23102346441</v>
      </c>
      <c r="D6" s="9">
        <f t="shared" si="0"/>
        <v>167856.23102346441</v>
      </c>
      <c r="E6" s="9"/>
      <c r="F6" s="9" t="s">
        <v>6</v>
      </c>
      <c r="G6" s="9">
        <v>3656</v>
      </c>
      <c r="H6" s="9">
        <v>198146</v>
      </c>
      <c r="I6" s="9">
        <f t="shared" si="1"/>
        <v>201802</v>
      </c>
    </row>
    <row r="7" spans="1:9" x14ac:dyDescent="0.25">
      <c r="A7" s="9" t="s">
        <v>7</v>
      </c>
      <c r="B7" s="9">
        <v>0</v>
      </c>
      <c r="C7" s="9">
        <v>0</v>
      </c>
      <c r="D7" s="9">
        <f t="shared" si="0"/>
        <v>0</v>
      </c>
      <c r="E7" s="9"/>
      <c r="F7" s="9" t="s">
        <v>7</v>
      </c>
      <c r="G7" s="9">
        <v>0</v>
      </c>
      <c r="H7" s="9">
        <v>0</v>
      </c>
      <c r="I7" s="9">
        <f t="shared" si="1"/>
        <v>0</v>
      </c>
    </row>
    <row r="8" spans="1:9" x14ac:dyDescent="0.25">
      <c r="A8" s="9" t="s">
        <v>8</v>
      </c>
      <c r="B8" s="9">
        <v>2297.6984614232888</v>
      </c>
      <c r="C8" s="9">
        <v>28915.411499099049</v>
      </c>
      <c r="D8" s="9">
        <f t="shared" si="0"/>
        <v>31213.109960522339</v>
      </c>
      <c r="E8" s="9"/>
      <c r="F8" s="9" t="s">
        <v>8</v>
      </c>
      <c r="G8" s="9">
        <v>4719</v>
      </c>
      <c r="H8" s="9">
        <v>25006</v>
      </c>
      <c r="I8" s="9">
        <f t="shared" si="1"/>
        <v>29725</v>
      </c>
    </row>
    <row r="9" spans="1:9" x14ac:dyDescent="0.25">
      <c r="A9" s="9" t="s">
        <v>9</v>
      </c>
      <c r="B9" s="9">
        <v>1272.74126026218</v>
      </c>
      <c r="C9" s="9">
        <v>8180.8269785044831</v>
      </c>
      <c r="D9" s="9">
        <f t="shared" si="0"/>
        <v>9453.5682387666639</v>
      </c>
      <c r="E9" s="9"/>
      <c r="F9" s="9" t="s">
        <v>9</v>
      </c>
      <c r="G9" s="9">
        <v>1236</v>
      </c>
      <c r="H9" s="9">
        <v>7481</v>
      </c>
      <c r="I9" s="9">
        <f t="shared" si="1"/>
        <v>8717</v>
      </c>
    </row>
    <row r="10" spans="1:9" x14ac:dyDescent="0.25">
      <c r="A10" s="9" t="s">
        <v>10</v>
      </c>
      <c r="B10" s="9">
        <v>2351.5472529937838</v>
      </c>
      <c r="C10" s="9">
        <v>21643.826870850709</v>
      </c>
      <c r="D10" s="9">
        <f t="shared" si="0"/>
        <v>23995.374123844493</v>
      </c>
      <c r="E10" s="9"/>
      <c r="F10" s="9" t="s">
        <v>10</v>
      </c>
      <c r="G10" s="9">
        <v>4220</v>
      </c>
      <c r="H10" s="9">
        <v>38887</v>
      </c>
      <c r="I10" s="9">
        <f t="shared" si="1"/>
        <v>43107</v>
      </c>
    </row>
    <row r="11" spans="1:9" x14ac:dyDescent="0.25">
      <c r="A11" s="9" t="s">
        <v>11</v>
      </c>
      <c r="B11" s="9">
        <v>57.9985100351646</v>
      </c>
      <c r="C11" s="9">
        <v>119485.12568595041</v>
      </c>
      <c r="D11" s="9">
        <f t="shared" si="0"/>
        <v>119543.12419598557</v>
      </c>
      <c r="E11" s="9"/>
      <c r="F11" s="9" t="s">
        <v>11</v>
      </c>
      <c r="G11" s="9">
        <v>8557</v>
      </c>
      <c r="H11" s="9">
        <v>201052</v>
      </c>
      <c r="I11" s="9">
        <f t="shared" si="1"/>
        <v>209609</v>
      </c>
    </row>
    <row r="12" spans="1:9" x14ac:dyDescent="0.25">
      <c r="A12" s="12" t="s">
        <v>12</v>
      </c>
      <c r="B12" s="12">
        <v>0</v>
      </c>
      <c r="C12" s="12">
        <v>0</v>
      </c>
      <c r="D12" s="12">
        <f t="shared" si="0"/>
        <v>0</v>
      </c>
      <c r="E12" s="9"/>
      <c r="F12" s="12" t="s">
        <v>12</v>
      </c>
      <c r="G12" s="12">
        <v>295</v>
      </c>
      <c r="H12" s="12">
        <v>2202</v>
      </c>
      <c r="I12" s="12">
        <f t="shared" si="1"/>
        <v>2497</v>
      </c>
    </row>
    <row r="13" spans="1:9" ht="15.75" customHeight="1" thickBot="1" x14ac:dyDescent="0.3">
      <c r="A13" s="10" t="s">
        <v>3</v>
      </c>
      <c r="B13" s="10">
        <f>SUM(B4:B12)</f>
        <v>10002.828765864031</v>
      </c>
      <c r="C13" s="10">
        <f>SUM(C4:C12)</f>
        <v>472723.50038077752</v>
      </c>
      <c r="D13" s="10">
        <f t="shared" si="0"/>
        <v>482726.32914664154</v>
      </c>
      <c r="E13" s="9"/>
      <c r="F13" s="10" t="s">
        <v>3</v>
      </c>
      <c r="G13" s="10">
        <f>SUM(G4:G12)</f>
        <v>25358</v>
      </c>
      <c r="H13" s="10">
        <f>SUM(H4:H12)</f>
        <v>663297</v>
      </c>
      <c r="I13" s="10">
        <f t="shared" si="1"/>
        <v>688655</v>
      </c>
    </row>
    <row r="16" spans="1:9" ht="15.75" customHeight="1" thickBot="1" x14ac:dyDescent="0.3">
      <c r="A16" s="1" t="s">
        <v>25</v>
      </c>
      <c r="B16" s="1"/>
      <c r="C16" s="3"/>
      <c r="D16" s="3"/>
      <c r="F16" s="1" t="s">
        <v>26</v>
      </c>
      <c r="G16" s="1"/>
      <c r="H16" s="3"/>
      <c r="I16" s="3"/>
    </row>
    <row r="17" spans="1:14" x14ac:dyDescent="0.25">
      <c r="A17" s="2" t="s">
        <v>2</v>
      </c>
      <c r="B17" s="4" t="s">
        <v>18</v>
      </c>
      <c r="C17" s="4" t="s">
        <v>19</v>
      </c>
      <c r="D17" s="7" t="s">
        <v>3</v>
      </c>
      <c r="F17" s="2" t="s">
        <v>2</v>
      </c>
      <c r="G17" s="4" t="s">
        <v>18</v>
      </c>
      <c r="H17" s="4" t="s">
        <v>19</v>
      </c>
      <c r="I17" s="7" t="s">
        <v>3</v>
      </c>
    </row>
    <row r="18" spans="1:14" x14ac:dyDescent="0.25">
      <c r="A18" s="9" t="s">
        <v>4</v>
      </c>
      <c r="B18" s="14">
        <f t="shared" ref="B18:D27" si="2">B4/$D$13</f>
        <v>0</v>
      </c>
      <c r="C18" s="14">
        <f t="shared" si="2"/>
        <v>0.11967900619014975</v>
      </c>
      <c r="D18" s="14">
        <f t="shared" si="2"/>
        <v>0.11967900619014975</v>
      </c>
      <c r="F18" s="9" t="s">
        <v>4</v>
      </c>
      <c r="G18" s="14">
        <f t="shared" ref="G18:I27" si="3">G4/$I$13</f>
        <v>0</v>
      </c>
      <c r="H18" s="14">
        <f t="shared" si="3"/>
        <v>0.10652068161851726</v>
      </c>
      <c r="I18" s="14">
        <f t="shared" si="3"/>
        <v>0.10652068161851726</v>
      </c>
    </row>
    <row r="19" spans="1:14" x14ac:dyDescent="0.25">
      <c r="A19" s="9" t="s">
        <v>5</v>
      </c>
      <c r="B19" s="14">
        <f t="shared" si="2"/>
        <v>8.3335899416573222E-3</v>
      </c>
      <c r="C19" s="14">
        <f t="shared" si="2"/>
        <v>0.14266856152339308</v>
      </c>
      <c r="D19" s="14">
        <f t="shared" si="2"/>
        <v>0.15100215146505042</v>
      </c>
      <c r="F19" s="9" t="s">
        <v>5</v>
      </c>
      <c r="G19" s="14">
        <f t="shared" si="3"/>
        <v>3.8843833269198657E-3</v>
      </c>
      <c r="H19" s="14">
        <f t="shared" si="3"/>
        <v>0.17013889393092332</v>
      </c>
      <c r="I19" s="14">
        <f t="shared" si="3"/>
        <v>0.1740232772578432</v>
      </c>
    </row>
    <row r="20" spans="1:14" x14ac:dyDescent="0.25">
      <c r="A20" s="9" t="s">
        <v>6</v>
      </c>
      <c r="B20" s="14">
        <f t="shared" si="2"/>
        <v>0</v>
      </c>
      <c r="C20" s="14">
        <f t="shared" si="2"/>
        <v>0.34772545205934563</v>
      </c>
      <c r="D20" s="14">
        <f t="shared" si="2"/>
        <v>0.34772545205934563</v>
      </c>
      <c r="F20" s="9" t="s">
        <v>6</v>
      </c>
      <c r="G20" s="14">
        <f t="shared" si="3"/>
        <v>5.3088992311099174E-3</v>
      </c>
      <c r="H20" s="14">
        <f t="shared" si="3"/>
        <v>0.28772897895172472</v>
      </c>
      <c r="I20" s="14">
        <f t="shared" si="3"/>
        <v>0.29303787818283467</v>
      </c>
    </row>
    <row r="21" spans="1:14" x14ac:dyDescent="0.25">
      <c r="A21" s="9" t="s">
        <v>7</v>
      </c>
      <c r="B21" s="14">
        <f t="shared" si="2"/>
        <v>0</v>
      </c>
      <c r="C21" s="14">
        <f t="shared" si="2"/>
        <v>0</v>
      </c>
      <c r="D21" s="14">
        <f t="shared" si="2"/>
        <v>0</v>
      </c>
      <c r="F21" s="9" t="s">
        <v>7</v>
      </c>
      <c r="G21" s="14">
        <f t="shared" si="3"/>
        <v>0</v>
      </c>
      <c r="H21" s="14">
        <f t="shared" si="3"/>
        <v>0</v>
      </c>
      <c r="I21" s="14">
        <f t="shared" si="3"/>
        <v>0</v>
      </c>
    </row>
    <row r="22" spans="1:14" x14ac:dyDescent="0.25">
      <c r="A22" s="9" t="s">
        <v>8</v>
      </c>
      <c r="B22" s="14">
        <f t="shared" si="2"/>
        <v>4.7598366252057057E-3</v>
      </c>
      <c r="C22" s="14">
        <f t="shared" si="2"/>
        <v>5.9900216236838388E-2</v>
      </c>
      <c r="D22" s="14">
        <f t="shared" si="2"/>
        <v>6.4660052862044098E-2</v>
      </c>
      <c r="F22" s="9" t="s">
        <v>8</v>
      </c>
      <c r="G22" s="14">
        <f t="shared" si="3"/>
        <v>6.8524878204616248E-3</v>
      </c>
      <c r="H22" s="14">
        <f t="shared" si="3"/>
        <v>3.6311360550638563E-2</v>
      </c>
      <c r="I22" s="14">
        <f t="shared" si="3"/>
        <v>4.316384837110019E-2</v>
      </c>
    </row>
    <row r="23" spans="1:14" x14ac:dyDescent="0.25">
      <c r="A23" s="9" t="s">
        <v>9</v>
      </c>
      <c r="B23" s="14">
        <f t="shared" si="2"/>
        <v>2.6365689696522636E-3</v>
      </c>
      <c r="C23" s="14">
        <f t="shared" si="2"/>
        <v>1.6947132328510986E-2</v>
      </c>
      <c r="D23" s="14">
        <f t="shared" si="2"/>
        <v>1.958370129816325E-2</v>
      </c>
      <c r="F23" s="9" t="s">
        <v>9</v>
      </c>
      <c r="G23" s="14">
        <f t="shared" si="3"/>
        <v>1.7948029129244687E-3</v>
      </c>
      <c r="H23" s="14">
        <f t="shared" si="3"/>
        <v>1.0863204362126174E-2</v>
      </c>
      <c r="I23" s="14">
        <f t="shared" si="3"/>
        <v>1.2658007275050643E-2</v>
      </c>
    </row>
    <row r="24" spans="1:14" x14ac:dyDescent="0.25">
      <c r="A24" s="9" t="s">
        <v>10</v>
      </c>
      <c r="B24" s="14">
        <f t="shared" si="2"/>
        <v>4.8713880122321562E-3</v>
      </c>
      <c r="C24" s="14">
        <f t="shared" si="2"/>
        <v>4.4836640481393332E-2</v>
      </c>
      <c r="D24" s="14">
        <f t="shared" si="2"/>
        <v>4.9708028493625489E-2</v>
      </c>
      <c r="F24" s="9" t="s">
        <v>10</v>
      </c>
      <c r="G24" s="14">
        <f t="shared" si="3"/>
        <v>6.1278869680754513E-3</v>
      </c>
      <c r="H24" s="14">
        <f t="shared" si="3"/>
        <v>5.6468042779040301E-2</v>
      </c>
      <c r="I24" s="14">
        <f t="shared" si="3"/>
        <v>6.2595929747115753E-2</v>
      </c>
    </row>
    <row r="25" spans="1:14" x14ac:dyDescent="0.25">
      <c r="A25" s="9" t="s">
        <v>11</v>
      </c>
      <c r="B25" s="14">
        <f t="shared" si="2"/>
        <v>1.201478074288878E-4</v>
      </c>
      <c r="C25" s="14">
        <f t="shared" si="2"/>
        <v>0.2475214598241926</v>
      </c>
      <c r="D25" s="14">
        <f t="shared" si="2"/>
        <v>0.24764160763162149</v>
      </c>
      <c r="F25" s="9" t="s">
        <v>11</v>
      </c>
      <c r="G25" s="14">
        <f t="shared" si="3"/>
        <v>1.2425670328393753E-2</v>
      </c>
      <c r="H25" s="14">
        <f t="shared" si="3"/>
        <v>0.29194879874538049</v>
      </c>
      <c r="I25" s="14">
        <f t="shared" si="3"/>
        <v>0.30437446907377425</v>
      </c>
    </row>
    <row r="26" spans="1:14" x14ac:dyDescent="0.25">
      <c r="A26" s="12" t="s">
        <v>12</v>
      </c>
      <c r="B26" s="15">
        <f t="shared" si="2"/>
        <v>0</v>
      </c>
      <c r="C26" s="15">
        <f t="shared" si="2"/>
        <v>0</v>
      </c>
      <c r="D26" s="15">
        <f t="shared" si="2"/>
        <v>0</v>
      </c>
      <c r="F26" s="12" t="s">
        <v>12</v>
      </c>
      <c r="G26" s="15">
        <f t="shared" si="3"/>
        <v>4.2837124539863938E-4</v>
      </c>
      <c r="H26" s="15">
        <f t="shared" si="3"/>
        <v>3.1975372283654371E-3</v>
      </c>
      <c r="I26" s="15">
        <f t="shared" si="3"/>
        <v>3.6259084737640763E-3</v>
      </c>
    </row>
    <row r="27" spans="1:14" ht="15.75" customHeight="1" thickBot="1" x14ac:dyDescent="0.3">
      <c r="A27" s="10" t="s">
        <v>3</v>
      </c>
      <c r="B27" s="16">
        <f t="shared" si="2"/>
        <v>2.0721531356176336E-2</v>
      </c>
      <c r="C27" s="16">
        <f t="shared" si="2"/>
        <v>0.97927846864382373</v>
      </c>
      <c r="D27" s="16">
        <f t="shared" si="2"/>
        <v>1</v>
      </c>
      <c r="F27" s="10" t="s">
        <v>3</v>
      </c>
      <c r="G27" s="16">
        <f t="shared" si="3"/>
        <v>3.682250183328372E-2</v>
      </c>
      <c r="H27" s="16">
        <f t="shared" si="3"/>
        <v>0.96317749816671627</v>
      </c>
      <c r="I27" s="16">
        <f t="shared" si="3"/>
        <v>1</v>
      </c>
    </row>
    <row r="30" spans="1:14" ht="15.75" customHeight="1" thickBot="1" x14ac:dyDescent="0.3">
      <c r="F30" s="1" t="s">
        <v>27</v>
      </c>
      <c r="G30" s="1"/>
      <c r="H30" s="3"/>
      <c r="I30" s="3"/>
      <c r="K30" s="18" t="s">
        <v>28</v>
      </c>
      <c r="L30" s="18"/>
      <c r="M30" s="19"/>
      <c r="N30" s="19"/>
    </row>
    <row r="31" spans="1:14" x14ac:dyDescent="0.25">
      <c r="F31" s="2" t="s">
        <v>2</v>
      </c>
      <c r="G31" s="4" t="s">
        <v>18</v>
      </c>
      <c r="H31" s="4" t="s">
        <v>19</v>
      </c>
      <c r="I31" s="7" t="s">
        <v>3</v>
      </c>
      <c r="K31" s="23" t="s">
        <v>2</v>
      </c>
      <c r="L31" s="24" t="s">
        <v>22</v>
      </c>
      <c r="M31" s="24" t="s">
        <v>23</v>
      </c>
      <c r="N31" s="25" t="s">
        <v>24</v>
      </c>
    </row>
    <row r="32" spans="1:14" x14ac:dyDescent="0.25">
      <c r="F32" s="9" t="s">
        <v>4</v>
      </c>
      <c r="G32" s="14">
        <f t="shared" ref="G32:G41" si="4">G18-B18</f>
        <v>0</v>
      </c>
      <c r="H32" s="14">
        <f t="shared" ref="H32:H41" si="5">H18-C18</f>
        <v>-1.315832457163249E-2</v>
      </c>
      <c r="I32" s="14">
        <f t="shared" ref="I32:I41" si="6">I18-D18</f>
        <v>-1.315832457163249E-2</v>
      </c>
      <c r="K32" s="20" t="s">
        <v>4</v>
      </c>
      <c r="L32" s="21">
        <f t="shared" ref="L32:L41" si="7">D18</f>
        <v>0.11967900619014975</v>
      </c>
      <c r="M32" s="21">
        <f t="shared" ref="M32:M41" si="8">I18</f>
        <v>0.10652068161851726</v>
      </c>
      <c r="N32" s="21">
        <f t="shared" ref="N32:N41" si="9">M32-L32</f>
        <v>-1.315832457163249E-2</v>
      </c>
    </row>
    <row r="33" spans="6:14" x14ac:dyDescent="0.25">
      <c r="F33" s="9" t="s">
        <v>5</v>
      </c>
      <c r="G33" s="14">
        <f t="shared" si="4"/>
        <v>-4.4492066147374561E-3</v>
      </c>
      <c r="H33" s="14">
        <f t="shared" si="5"/>
        <v>2.7470332407530246E-2</v>
      </c>
      <c r="I33" s="14">
        <f t="shared" si="6"/>
        <v>2.3021125792792779E-2</v>
      </c>
      <c r="K33" s="26" t="s">
        <v>5</v>
      </c>
      <c r="L33" s="27">
        <f t="shared" si="7"/>
        <v>0.15100215146505042</v>
      </c>
      <c r="M33" s="27">
        <f t="shared" si="8"/>
        <v>0.1740232772578432</v>
      </c>
      <c r="N33" s="27">
        <f t="shared" si="9"/>
        <v>2.3021125792792779E-2</v>
      </c>
    </row>
    <row r="34" spans="6:14" x14ac:dyDescent="0.25">
      <c r="F34" s="9" t="s">
        <v>6</v>
      </c>
      <c r="G34" s="14">
        <f t="shared" si="4"/>
        <v>5.3088992311099174E-3</v>
      </c>
      <c r="H34" s="14">
        <f t="shared" si="5"/>
        <v>-5.9996473107620907E-2</v>
      </c>
      <c r="I34" s="14">
        <f t="shared" si="6"/>
        <v>-5.4687573876510964E-2</v>
      </c>
      <c r="K34" s="20" t="s">
        <v>6</v>
      </c>
      <c r="L34" s="21">
        <f t="shared" si="7"/>
        <v>0.34772545205934563</v>
      </c>
      <c r="M34" s="21">
        <f t="shared" si="8"/>
        <v>0.29303787818283467</v>
      </c>
      <c r="N34" s="21">
        <f t="shared" si="9"/>
        <v>-5.4687573876510964E-2</v>
      </c>
    </row>
    <row r="35" spans="6:14" x14ac:dyDescent="0.25">
      <c r="F35" s="9" t="s">
        <v>7</v>
      </c>
      <c r="G35" s="14">
        <f t="shared" si="4"/>
        <v>0</v>
      </c>
      <c r="H35" s="14">
        <f t="shared" si="5"/>
        <v>0</v>
      </c>
      <c r="I35" s="14">
        <f t="shared" si="6"/>
        <v>0</v>
      </c>
      <c r="K35" s="26" t="s">
        <v>7</v>
      </c>
      <c r="L35" s="27">
        <f t="shared" si="7"/>
        <v>0</v>
      </c>
      <c r="M35" s="27">
        <f t="shared" si="8"/>
        <v>0</v>
      </c>
      <c r="N35" s="27">
        <f t="shared" si="9"/>
        <v>0</v>
      </c>
    </row>
    <row r="36" spans="6:14" x14ac:dyDescent="0.25">
      <c r="F36" s="9" t="s">
        <v>8</v>
      </c>
      <c r="G36" s="14">
        <f t="shared" si="4"/>
        <v>2.0926511952559191E-3</v>
      </c>
      <c r="H36" s="14">
        <f t="shared" si="5"/>
        <v>-2.3588855686199825E-2</v>
      </c>
      <c r="I36" s="14">
        <f t="shared" si="6"/>
        <v>-2.1496204490943908E-2</v>
      </c>
      <c r="K36" s="20" t="s">
        <v>8</v>
      </c>
      <c r="L36" s="21">
        <f t="shared" si="7"/>
        <v>6.4660052862044098E-2</v>
      </c>
      <c r="M36" s="21">
        <f t="shared" si="8"/>
        <v>4.316384837110019E-2</v>
      </c>
      <c r="N36" s="21">
        <f t="shared" si="9"/>
        <v>-2.1496204490943908E-2</v>
      </c>
    </row>
    <row r="37" spans="6:14" x14ac:dyDescent="0.25">
      <c r="F37" s="9" t="s">
        <v>9</v>
      </c>
      <c r="G37" s="14">
        <f t="shared" si="4"/>
        <v>-8.4176605672779486E-4</v>
      </c>
      <c r="H37" s="14">
        <f t="shared" si="5"/>
        <v>-6.0839279663848118E-3</v>
      </c>
      <c r="I37" s="14">
        <f t="shared" si="6"/>
        <v>-6.9256940231126069E-3</v>
      </c>
      <c r="K37" s="26" t="s">
        <v>9</v>
      </c>
      <c r="L37" s="27">
        <f t="shared" si="7"/>
        <v>1.958370129816325E-2</v>
      </c>
      <c r="M37" s="27">
        <f t="shared" si="8"/>
        <v>1.2658007275050643E-2</v>
      </c>
      <c r="N37" s="27">
        <f t="shared" si="9"/>
        <v>-6.9256940231126069E-3</v>
      </c>
    </row>
    <row r="38" spans="6:14" x14ac:dyDescent="0.25">
      <c r="F38" s="9" t="s">
        <v>10</v>
      </c>
      <c r="G38" s="14">
        <f t="shared" si="4"/>
        <v>1.2564989558432951E-3</v>
      </c>
      <c r="H38" s="14">
        <f t="shared" si="5"/>
        <v>1.1631402297646969E-2</v>
      </c>
      <c r="I38" s="14">
        <f t="shared" si="6"/>
        <v>1.2887901253490264E-2</v>
      </c>
      <c r="K38" s="20" t="s">
        <v>10</v>
      </c>
      <c r="L38" s="21">
        <f t="shared" si="7"/>
        <v>4.9708028493625489E-2</v>
      </c>
      <c r="M38" s="21">
        <f t="shared" si="8"/>
        <v>6.2595929747115753E-2</v>
      </c>
      <c r="N38" s="21">
        <f t="shared" si="9"/>
        <v>1.2887901253490264E-2</v>
      </c>
    </row>
    <row r="39" spans="6:14" x14ac:dyDescent="0.25">
      <c r="F39" s="9" t="s">
        <v>11</v>
      </c>
      <c r="G39" s="14">
        <f t="shared" si="4"/>
        <v>1.2305522520964864E-2</v>
      </c>
      <c r="H39" s="14">
        <f t="shared" si="5"/>
        <v>4.4427338921187887E-2</v>
      </c>
      <c r="I39" s="14">
        <f t="shared" si="6"/>
        <v>5.6732861442152754E-2</v>
      </c>
      <c r="K39" s="26" t="s">
        <v>11</v>
      </c>
      <c r="L39" s="27">
        <f t="shared" si="7"/>
        <v>0.24764160763162149</v>
      </c>
      <c r="M39" s="27">
        <f t="shared" si="8"/>
        <v>0.30437446907377425</v>
      </c>
      <c r="N39" s="27">
        <f t="shared" si="9"/>
        <v>5.6732861442152754E-2</v>
      </c>
    </row>
    <row r="40" spans="6:14" x14ac:dyDescent="0.25">
      <c r="F40" s="12" t="s">
        <v>12</v>
      </c>
      <c r="G40" s="15">
        <f t="shared" si="4"/>
        <v>4.2837124539863938E-4</v>
      </c>
      <c r="H40" s="15">
        <f t="shared" si="5"/>
        <v>3.1975372283654371E-3</v>
      </c>
      <c r="I40" s="15">
        <f t="shared" si="6"/>
        <v>3.6259084737640763E-3</v>
      </c>
      <c r="K40" s="20" t="s">
        <v>12</v>
      </c>
      <c r="L40" s="21">
        <f t="shared" si="7"/>
        <v>0</v>
      </c>
      <c r="M40" s="21">
        <f t="shared" si="8"/>
        <v>3.6259084737640763E-3</v>
      </c>
      <c r="N40" s="21">
        <f t="shared" si="9"/>
        <v>3.6259084737640763E-3</v>
      </c>
    </row>
    <row r="41" spans="6:14" ht="15.75" customHeight="1" thickBot="1" x14ac:dyDescent="0.3">
      <c r="F41" s="10" t="s">
        <v>3</v>
      </c>
      <c r="G41" s="16">
        <f t="shared" si="4"/>
        <v>1.6100970477107384E-2</v>
      </c>
      <c r="H41" s="16">
        <f t="shared" si="5"/>
        <v>-1.6100970477107457E-2</v>
      </c>
      <c r="I41" s="16">
        <f t="shared" si="6"/>
        <v>0</v>
      </c>
      <c r="K41" s="72" t="s">
        <v>3</v>
      </c>
      <c r="L41" s="22">
        <f t="shared" si="7"/>
        <v>1</v>
      </c>
      <c r="M41" s="22">
        <f t="shared" si="8"/>
        <v>1</v>
      </c>
      <c r="N41" s="22">
        <f t="shared" si="9"/>
        <v>0</v>
      </c>
    </row>
  </sheetData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N41"/>
  <sheetViews>
    <sheetView workbookViewId="0">
      <selection activeCell="K41" sqref="K41"/>
    </sheetView>
  </sheetViews>
  <sheetFormatPr defaultRowHeight="15" x14ac:dyDescent="0.25"/>
  <cols>
    <col min="1" max="4" width="16.7109375" customWidth="1" collapsed="1"/>
    <col min="6" max="9" width="16.7109375" customWidth="1" collapsed="1"/>
    <col min="11" max="11" width="16.7109375" customWidth="1" collapsed="1"/>
    <col min="12" max="14" width="11.85546875" customWidth="1" collapsed="1"/>
  </cols>
  <sheetData>
    <row r="2" spans="1:9" ht="15.75" customHeight="1" thickBot="1" x14ac:dyDescent="0.3">
      <c r="A2" s="1" t="s">
        <v>29</v>
      </c>
      <c r="B2" s="1"/>
      <c r="C2" s="3"/>
      <c r="D2" s="3"/>
      <c r="F2" s="1" t="s">
        <v>30</v>
      </c>
      <c r="G2" s="1"/>
      <c r="H2" s="3"/>
      <c r="I2" s="3"/>
    </row>
    <row r="3" spans="1:9" x14ac:dyDescent="0.25">
      <c r="A3" s="2" t="s">
        <v>2</v>
      </c>
      <c r="B3" s="4" t="s">
        <v>18</v>
      </c>
      <c r="C3" s="4" t="s">
        <v>19</v>
      </c>
      <c r="D3" s="7" t="s">
        <v>3</v>
      </c>
      <c r="F3" s="2" t="s">
        <v>2</v>
      </c>
      <c r="G3" s="4" t="s">
        <v>18</v>
      </c>
      <c r="H3" s="4" t="s">
        <v>19</v>
      </c>
      <c r="I3" s="7" t="s">
        <v>3</v>
      </c>
    </row>
    <row r="4" spans="1:9" x14ac:dyDescent="0.25">
      <c r="A4" s="9" t="s">
        <v>4</v>
      </c>
      <c r="B4" s="9">
        <v>116.03156939196271</v>
      </c>
      <c r="C4" s="9">
        <v>18560.990449639579</v>
      </c>
      <c r="D4" s="9">
        <f t="shared" ref="D4:D13" si="0">SUM(B4:C4)</f>
        <v>18677.022019031541</v>
      </c>
      <c r="F4" s="9" t="s">
        <v>4</v>
      </c>
      <c r="G4" s="9">
        <v>0</v>
      </c>
      <c r="H4" s="9">
        <v>147</v>
      </c>
      <c r="I4" s="9">
        <f t="shared" ref="I4:I13" si="1">SUM(G4:H4)</f>
        <v>147</v>
      </c>
    </row>
    <row r="5" spans="1:9" x14ac:dyDescent="0.25">
      <c r="A5" s="9" t="s">
        <v>5</v>
      </c>
      <c r="B5" s="9">
        <v>240.95011880546741</v>
      </c>
      <c r="C5" s="9">
        <v>235780.64536513211</v>
      </c>
      <c r="D5" s="9">
        <f t="shared" si="0"/>
        <v>236021.59548393756</v>
      </c>
      <c r="F5" s="9" t="s">
        <v>5</v>
      </c>
      <c r="G5" s="9">
        <v>12449</v>
      </c>
      <c r="H5" s="9">
        <v>373071</v>
      </c>
      <c r="I5" s="9">
        <f t="shared" si="1"/>
        <v>385520</v>
      </c>
    </row>
    <row r="6" spans="1:9" x14ac:dyDescent="0.25">
      <c r="A6" s="9" t="s">
        <v>6</v>
      </c>
      <c r="B6" s="9">
        <v>0</v>
      </c>
      <c r="C6" s="9">
        <v>234121.51348437439</v>
      </c>
      <c r="D6" s="9">
        <f t="shared" si="0"/>
        <v>234121.51348437439</v>
      </c>
      <c r="F6" s="9" t="s">
        <v>6</v>
      </c>
      <c r="G6" s="9">
        <v>8774</v>
      </c>
      <c r="H6" s="9">
        <v>298208</v>
      </c>
      <c r="I6" s="9">
        <f t="shared" si="1"/>
        <v>306982</v>
      </c>
    </row>
    <row r="7" spans="1:9" x14ac:dyDescent="0.25">
      <c r="A7" s="9" t="s">
        <v>7</v>
      </c>
      <c r="B7" s="9">
        <v>0</v>
      </c>
      <c r="C7" s="9">
        <v>0</v>
      </c>
      <c r="D7" s="9">
        <f t="shared" si="0"/>
        <v>0</v>
      </c>
      <c r="F7" s="9" t="s">
        <v>7</v>
      </c>
      <c r="G7" s="9">
        <v>0</v>
      </c>
      <c r="H7" s="9">
        <v>0</v>
      </c>
      <c r="I7" s="9">
        <f t="shared" si="1"/>
        <v>0</v>
      </c>
    </row>
    <row r="8" spans="1:9" x14ac:dyDescent="0.25">
      <c r="A8" s="9" t="s">
        <v>8</v>
      </c>
      <c r="B8" s="9">
        <v>1128.575020206039</v>
      </c>
      <c r="C8" s="9">
        <v>2456.3638184935162</v>
      </c>
      <c r="D8" s="9">
        <f t="shared" si="0"/>
        <v>3584.9388386995552</v>
      </c>
      <c r="F8" s="9" t="s">
        <v>8</v>
      </c>
      <c r="G8" s="9">
        <v>0</v>
      </c>
      <c r="H8" s="9">
        <v>0</v>
      </c>
      <c r="I8" s="9">
        <f t="shared" si="1"/>
        <v>0</v>
      </c>
    </row>
    <row r="9" spans="1:9" x14ac:dyDescent="0.25">
      <c r="A9" s="9" t="s">
        <v>9</v>
      </c>
      <c r="B9" s="9">
        <v>0</v>
      </c>
      <c r="C9" s="9">
        <v>1696.815727007232</v>
      </c>
      <c r="D9" s="9">
        <f t="shared" si="0"/>
        <v>1696.815727007232</v>
      </c>
      <c r="F9" s="9" t="s">
        <v>9</v>
      </c>
      <c r="G9" s="9">
        <v>841</v>
      </c>
      <c r="H9" s="9">
        <v>3128</v>
      </c>
      <c r="I9" s="9">
        <f t="shared" si="1"/>
        <v>3969</v>
      </c>
    </row>
    <row r="10" spans="1:9" x14ac:dyDescent="0.25">
      <c r="A10" s="9" t="s">
        <v>10</v>
      </c>
      <c r="B10" s="9">
        <v>2831.4493458800412</v>
      </c>
      <c r="C10" s="9">
        <v>47076.87904091613</v>
      </c>
      <c r="D10" s="9">
        <f t="shared" si="0"/>
        <v>49908.328386796173</v>
      </c>
      <c r="F10" s="9" t="s">
        <v>10</v>
      </c>
      <c r="G10" s="9">
        <v>16</v>
      </c>
      <c r="H10" s="9">
        <v>10</v>
      </c>
      <c r="I10" s="9">
        <f t="shared" si="1"/>
        <v>26</v>
      </c>
    </row>
    <row r="11" spans="1:9" x14ac:dyDescent="0.25">
      <c r="A11" s="9" t="s">
        <v>11</v>
      </c>
      <c r="B11" s="9">
        <v>0</v>
      </c>
      <c r="C11" s="9">
        <v>217.71248838444009</v>
      </c>
      <c r="D11" s="9">
        <f t="shared" si="0"/>
        <v>217.71248838444009</v>
      </c>
      <c r="E11" s="9"/>
      <c r="F11" s="9" t="s">
        <v>11</v>
      </c>
      <c r="G11" s="9">
        <v>0</v>
      </c>
      <c r="H11" s="9">
        <v>0</v>
      </c>
      <c r="I11" s="9">
        <f t="shared" si="1"/>
        <v>0</v>
      </c>
    </row>
    <row r="12" spans="1:9" x14ac:dyDescent="0.25">
      <c r="A12" s="12" t="s">
        <v>12</v>
      </c>
      <c r="B12" s="12">
        <v>0</v>
      </c>
      <c r="C12" s="12">
        <v>0</v>
      </c>
      <c r="D12" s="12">
        <f t="shared" si="0"/>
        <v>0</v>
      </c>
      <c r="E12" s="9"/>
      <c r="F12" s="12" t="s">
        <v>12</v>
      </c>
      <c r="G12" s="12">
        <v>0</v>
      </c>
      <c r="H12" s="12">
        <v>0</v>
      </c>
      <c r="I12" s="12">
        <f t="shared" si="1"/>
        <v>0</v>
      </c>
    </row>
    <row r="13" spans="1:9" ht="15.75" customHeight="1" thickBot="1" x14ac:dyDescent="0.3">
      <c r="A13" s="10" t="s">
        <v>3</v>
      </c>
      <c r="B13" s="10">
        <f>SUM(B4:B12)</f>
        <v>4317.0060542835108</v>
      </c>
      <c r="C13" s="10">
        <f>SUM(C4:C12)</f>
        <v>539910.92037394736</v>
      </c>
      <c r="D13" s="10">
        <f t="shared" si="0"/>
        <v>544227.92642823083</v>
      </c>
      <c r="F13" s="10" t="s">
        <v>3</v>
      </c>
      <c r="G13" s="10">
        <f>SUM(G4:G12)</f>
        <v>22080</v>
      </c>
      <c r="H13" s="10">
        <f>SUM(H4:H12)</f>
        <v>674564</v>
      </c>
      <c r="I13" s="10">
        <f t="shared" si="1"/>
        <v>696644</v>
      </c>
    </row>
    <row r="16" spans="1:9" ht="15.75" customHeight="1" thickBot="1" x14ac:dyDescent="0.3">
      <c r="A16" s="1" t="s">
        <v>29</v>
      </c>
      <c r="B16" s="1"/>
      <c r="C16" s="3"/>
      <c r="D16" s="3"/>
      <c r="F16" s="1" t="s">
        <v>30</v>
      </c>
      <c r="G16" s="1"/>
      <c r="H16" s="3"/>
      <c r="I16" s="3"/>
    </row>
    <row r="17" spans="1:14" x14ac:dyDescent="0.25">
      <c r="A17" s="2" t="s">
        <v>2</v>
      </c>
      <c r="B17" s="4" t="s">
        <v>18</v>
      </c>
      <c r="C17" s="4" t="s">
        <v>19</v>
      </c>
      <c r="D17" s="7" t="s">
        <v>3</v>
      </c>
      <c r="F17" s="2" t="s">
        <v>2</v>
      </c>
      <c r="G17" s="4" t="s">
        <v>18</v>
      </c>
      <c r="H17" s="4" t="s">
        <v>19</v>
      </c>
      <c r="I17" s="7" t="s">
        <v>3</v>
      </c>
    </row>
    <row r="18" spans="1:14" x14ac:dyDescent="0.25">
      <c r="A18" s="9" t="s">
        <v>4</v>
      </c>
      <c r="B18" s="14">
        <f t="shared" ref="B18:D27" si="2">B4/$D$13</f>
        <v>2.1320399736463023E-4</v>
      </c>
      <c r="C18" s="14">
        <f t="shared" si="2"/>
        <v>3.4105178268699667E-2</v>
      </c>
      <c r="D18" s="14">
        <f t="shared" si="2"/>
        <v>3.4318382266064297E-2</v>
      </c>
      <c r="F18" s="9" t="s">
        <v>4</v>
      </c>
      <c r="G18" s="14">
        <f t="shared" ref="G18:I27" si="3">G4/$I$13</f>
        <v>0</v>
      </c>
      <c r="H18" s="14">
        <f t="shared" si="3"/>
        <v>2.1101165013981315E-4</v>
      </c>
      <c r="I18" s="14">
        <f t="shared" si="3"/>
        <v>2.1101165013981315E-4</v>
      </c>
    </row>
    <row r="19" spans="1:14" x14ac:dyDescent="0.25">
      <c r="A19" s="9" t="s">
        <v>5</v>
      </c>
      <c r="B19" s="14">
        <f t="shared" si="2"/>
        <v>4.4273751328202432E-4</v>
      </c>
      <c r="C19" s="14">
        <f t="shared" si="2"/>
        <v>0.43323878455220233</v>
      </c>
      <c r="D19" s="14">
        <f t="shared" si="2"/>
        <v>0.43368152206548433</v>
      </c>
      <c r="F19" s="9" t="s">
        <v>5</v>
      </c>
      <c r="G19" s="14">
        <f t="shared" si="3"/>
        <v>1.7869959405377781E-2</v>
      </c>
      <c r="H19" s="14">
        <f t="shared" si="3"/>
        <v>0.53552603625381112</v>
      </c>
      <c r="I19" s="14">
        <f t="shared" si="3"/>
        <v>0.55339599565918896</v>
      </c>
    </row>
    <row r="20" spans="1:14" x14ac:dyDescent="0.25">
      <c r="A20" s="9" t="s">
        <v>6</v>
      </c>
      <c r="B20" s="14">
        <f t="shared" si="2"/>
        <v>0</v>
      </c>
      <c r="C20" s="14">
        <f t="shared" si="2"/>
        <v>0.43019018708009793</v>
      </c>
      <c r="D20" s="14">
        <f t="shared" si="2"/>
        <v>0.43019018708009793</v>
      </c>
      <c r="F20" s="9" t="s">
        <v>6</v>
      </c>
      <c r="G20" s="14">
        <f t="shared" si="3"/>
        <v>1.2594668151882454E-2</v>
      </c>
      <c r="H20" s="14">
        <f t="shared" si="3"/>
        <v>0.42806368819655377</v>
      </c>
      <c r="I20" s="14">
        <f t="shared" si="3"/>
        <v>0.4406583563484362</v>
      </c>
    </row>
    <row r="21" spans="1:14" x14ac:dyDescent="0.25">
      <c r="A21" s="9" t="s">
        <v>7</v>
      </c>
      <c r="B21" s="14">
        <f t="shared" si="2"/>
        <v>0</v>
      </c>
      <c r="C21" s="14">
        <f t="shared" si="2"/>
        <v>0</v>
      </c>
      <c r="D21" s="14">
        <f t="shared" si="2"/>
        <v>0</v>
      </c>
      <c r="F21" s="9" t="s">
        <v>7</v>
      </c>
      <c r="G21" s="14">
        <f t="shared" si="3"/>
        <v>0</v>
      </c>
      <c r="H21" s="14">
        <f t="shared" si="3"/>
        <v>0</v>
      </c>
      <c r="I21" s="14">
        <f t="shared" si="3"/>
        <v>0</v>
      </c>
    </row>
    <row r="22" spans="1:14" x14ac:dyDescent="0.25">
      <c r="A22" s="9" t="s">
        <v>8</v>
      </c>
      <c r="B22" s="14">
        <f t="shared" si="2"/>
        <v>2.0737175830223917E-3</v>
      </c>
      <c r="C22" s="14">
        <f t="shared" si="2"/>
        <v>4.5134835961370776E-3</v>
      </c>
      <c r="D22" s="14">
        <f t="shared" si="2"/>
        <v>6.5872011791594694E-3</v>
      </c>
      <c r="F22" s="9" t="s">
        <v>8</v>
      </c>
      <c r="G22" s="14">
        <f t="shared" si="3"/>
        <v>0</v>
      </c>
      <c r="H22" s="14">
        <f t="shared" si="3"/>
        <v>0</v>
      </c>
      <c r="I22" s="14">
        <f t="shared" si="3"/>
        <v>0</v>
      </c>
    </row>
    <row r="23" spans="1:14" x14ac:dyDescent="0.25">
      <c r="A23" s="9" t="s">
        <v>9</v>
      </c>
      <c r="B23" s="14">
        <f t="shared" si="2"/>
        <v>0</v>
      </c>
      <c r="C23" s="14">
        <f t="shared" si="2"/>
        <v>3.11784023679828E-3</v>
      </c>
      <c r="D23" s="14">
        <f t="shared" si="2"/>
        <v>3.11784023679828E-3</v>
      </c>
      <c r="F23" s="9" t="s">
        <v>9</v>
      </c>
      <c r="G23" s="14">
        <f t="shared" si="3"/>
        <v>1.2072163113441012E-3</v>
      </c>
      <c r="H23" s="14">
        <f t="shared" si="3"/>
        <v>4.4900982424308546E-3</v>
      </c>
      <c r="I23" s="14">
        <f t="shared" si="3"/>
        <v>5.6973145537749558E-3</v>
      </c>
    </row>
    <row r="24" spans="1:14" x14ac:dyDescent="0.25">
      <c r="A24" s="9" t="s">
        <v>10</v>
      </c>
      <c r="B24" s="14">
        <f t="shared" si="2"/>
        <v>5.2026902854156159E-3</v>
      </c>
      <c r="C24" s="14">
        <f t="shared" si="2"/>
        <v>8.650213771623555E-2</v>
      </c>
      <c r="D24" s="14">
        <f t="shared" si="2"/>
        <v>9.1704828001651167E-2</v>
      </c>
      <c r="F24" s="9" t="s">
        <v>10</v>
      </c>
      <c r="G24" s="14">
        <f t="shared" si="3"/>
        <v>2.2967254436986466E-5</v>
      </c>
      <c r="H24" s="14">
        <f t="shared" si="3"/>
        <v>1.4354534023116541E-5</v>
      </c>
      <c r="I24" s="14">
        <f t="shared" si="3"/>
        <v>3.7321788460103011E-5</v>
      </c>
    </row>
    <row r="25" spans="1:14" x14ac:dyDescent="0.25">
      <c r="A25" s="9" t="s">
        <v>11</v>
      </c>
      <c r="B25" s="14">
        <f t="shared" si="2"/>
        <v>0</v>
      </c>
      <c r="C25" s="14">
        <f t="shared" si="2"/>
        <v>4.0003917074466882E-4</v>
      </c>
      <c r="D25" s="14">
        <f t="shared" si="2"/>
        <v>4.0003917074466882E-4</v>
      </c>
      <c r="F25" s="9" t="s">
        <v>11</v>
      </c>
      <c r="G25" s="14">
        <f t="shared" si="3"/>
        <v>0</v>
      </c>
      <c r="H25" s="14">
        <f t="shared" si="3"/>
        <v>0</v>
      </c>
      <c r="I25" s="14">
        <f t="shared" si="3"/>
        <v>0</v>
      </c>
    </row>
    <row r="26" spans="1:14" x14ac:dyDescent="0.25">
      <c r="A26" s="12" t="s">
        <v>12</v>
      </c>
      <c r="B26" s="15">
        <f t="shared" si="2"/>
        <v>0</v>
      </c>
      <c r="C26" s="15">
        <f t="shared" si="2"/>
        <v>0</v>
      </c>
      <c r="D26" s="15">
        <f t="shared" si="2"/>
        <v>0</v>
      </c>
      <c r="F26" s="12" t="s">
        <v>12</v>
      </c>
      <c r="G26" s="15">
        <f t="shared" si="3"/>
        <v>0</v>
      </c>
      <c r="H26" s="15">
        <f t="shared" si="3"/>
        <v>0</v>
      </c>
      <c r="I26" s="15">
        <f t="shared" si="3"/>
        <v>0</v>
      </c>
    </row>
    <row r="27" spans="1:14" ht="15.75" customHeight="1" thickBot="1" x14ac:dyDescent="0.3">
      <c r="A27" s="10" t="s">
        <v>3</v>
      </c>
      <c r="B27" s="16">
        <f t="shared" si="2"/>
        <v>7.932349379084663E-3</v>
      </c>
      <c r="C27" s="16">
        <f t="shared" si="2"/>
        <v>0.9920676506209154</v>
      </c>
      <c r="D27" s="16">
        <f t="shared" si="2"/>
        <v>1</v>
      </c>
      <c r="F27" s="10" t="s">
        <v>3</v>
      </c>
      <c r="G27" s="16">
        <f t="shared" si="3"/>
        <v>3.1694811123041323E-2</v>
      </c>
      <c r="H27" s="16">
        <f t="shared" si="3"/>
        <v>0.96830518887695871</v>
      </c>
      <c r="I27" s="16">
        <f t="shared" si="3"/>
        <v>1</v>
      </c>
    </row>
    <row r="30" spans="1:14" ht="15.75" customHeight="1" thickBot="1" x14ac:dyDescent="0.3">
      <c r="F30" s="1" t="s">
        <v>31</v>
      </c>
      <c r="G30" s="1"/>
      <c r="H30" s="3"/>
      <c r="I30" s="3"/>
      <c r="K30" s="18" t="s">
        <v>32</v>
      </c>
      <c r="L30" s="18"/>
      <c r="M30" s="19"/>
      <c r="N30" s="19"/>
    </row>
    <row r="31" spans="1:14" x14ac:dyDescent="0.25">
      <c r="F31" s="2" t="s">
        <v>2</v>
      </c>
      <c r="G31" s="4" t="s">
        <v>18</v>
      </c>
      <c r="H31" s="4" t="s">
        <v>19</v>
      </c>
      <c r="I31" s="7" t="s">
        <v>3</v>
      </c>
      <c r="K31" s="23" t="s">
        <v>2</v>
      </c>
      <c r="L31" s="24" t="s">
        <v>22</v>
      </c>
      <c r="M31" s="24" t="s">
        <v>23</v>
      </c>
      <c r="N31" s="25" t="s">
        <v>24</v>
      </c>
    </row>
    <row r="32" spans="1:14" x14ac:dyDescent="0.25">
      <c r="F32" s="9" t="s">
        <v>4</v>
      </c>
      <c r="G32" s="14">
        <f t="shared" ref="G32:G41" si="4">G18-B18</f>
        <v>-2.1320399736463023E-4</v>
      </c>
      <c r="H32" s="14">
        <f t="shared" ref="H32:H41" si="5">H18-C18</f>
        <v>-3.3894166618559853E-2</v>
      </c>
      <c r="I32" s="14">
        <f t="shared" ref="I32:I41" si="6">I18-D18</f>
        <v>-3.4107370615924483E-2</v>
      </c>
      <c r="K32" s="20" t="s">
        <v>4</v>
      </c>
      <c r="L32" s="21">
        <f t="shared" ref="L32:L41" si="7">D18</f>
        <v>3.4318382266064297E-2</v>
      </c>
      <c r="M32" s="21">
        <f t="shared" ref="M32:M41" si="8">I18</f>
        <v>2.1101165013981315E-4</v>
      </c>
      <c r="N32" s="21">
        <f t="shared" ref="N32:N41" si="9">M32-L32</f>
        <v>-3.4107370615924483E-2</v>
      </c>
    </row>
    <row r="33" spans="6:14" x14ac:dyDescent="0.25">
      <c r="F33" s="9" t="s">
        <v>5</v>
      </c>
      <c r="G33" s="14">
        <f t="shared" si="4"/>
        <v>1.7427221892095758E-2</v>
      </c>
      <c r="H33" s="14">
        <f t="shared" si="5"/>
        <v>0.10228725170160879</v>
      </c>
      <c r="I33" s="14">
        <f t="shared" si="6"/>
        <v>0.11971447359370463</v>
      </c>
      <c r="K33" s="26" t="s">
        <v>5</v>
      </c>
      <c r="L33" s="27">
        <f t="shared" si="7"/>
        <v>0.43368152206548433</v>
      </c>
      <c r="M33" s="27">
        <f t="shared" si="8"/>
        <v>0.55339599565918896</v>
      </c>
      <c r="N33" s="27">
        <f t="shared" si="9"/>
        <v>0.11971447359370463</v>
      </c>
    </row>
    <row r="34" spans="6:14" x14ac:dyDescent="0.25">
      <c r="F34" s="9" t="s">
        <v>6</v>
      </c>
      <c r="G34" s="14">
        <f t="shared" si="4"/>
        <v>1.2594668151882454E-2</v>
      </c>
      <c r="H34" s="14">
        <f t="shared" si="5"/>
        <v>-2.1264988835441589E-3</v>
      </c>
      <c r="I34" s="14">
        <f t="shared" si="6"/>
        <v>1.0468169268338268E-2</v>
      </c>
      <c r="K34" s="20" t="s">
        <v>6</v>
      </c>
      <c r="L34" s="21">
        <f t="shared" si="7"/>
        <v>0.43019018708009793</v>
      </c>
      <c r="M34" s="21">
        <f t="shared" si="8"/>
        <v>0.4406583563484362</v>
      </c>
      <c r="N34" s="21">
        <f t="shared" si="9"/>
        <v>1.0468169268338268E-2</v>
      </c>
    </row>
    <row r="35" spans="6:14" x14ac:dyDescent="0.25">
      <c r="F35" s="9" t="s">
        <v>7</v>
      </c>
      <c r="G35" s="14">
        <f t="shared" si="4"/>
        <v>0</v>
      </c>
      <c r="H35" s="14">
        <f t="shared" si="5"/>
        <v>0</v>
      </c>
      <c r="I35" s="14">
        <f t="shared" si="6"/>
        <v>0</v>
      </c>
      <c r="K35" s="26" t="s">
        <v>7</v>
      </c>
      <c r="L35" s="27">
        <f t="shared" si="7"/>
        <v>0</v>
      </c>
      <c r="M35" s="27">
        <f t="shared" si="8"/>
        <v>0</v>
      </c>
      <c r="N35" s="27">
        <f t="shared" si="9"/>
        <v>0</v>
      </c>
    </row>
    <row r="36" spans="6:14" x14ac:dyDescent="0.25">
      <c r="F36" s="9" t="s">
        <v>8</v>
      </c>
      <c r="G36" s="14">
        <f t="shared" si="4"/>
        <v>-2.0737175830223917E-3</v>
      </c>
      <c r="H36" s="14">
        <f t="shared" si="5"/>
        <v>-4.5134835961370776E-3</v>
      </c>
      <c r="I36" s="14">
        <f t="shared" si="6"/>
        <v>-6.5872011791594694E-3</v>
      </c>
      <c r="K36" s="20" t="s">
        <v>8</v>
      </c>
      <c r="L36" s="21">
        <f t="shared" si="7"/>
        <v>6.5872011791594694E-3</v>
      </c>
      <c r="M36" s="21">
        <f t="shared" si="8"/>
        <v>0</v>
      </c>
      <c r="N36" s="21">
        <f t="shared" si="9"/>
        <v>-6.5872011791594694E-3</v>
      </c>
    </row>
    <row r="37" spans="6:14" x14ac:dyDescent="0.25">
      <c r="F37" s="9" t="s">
        <v>9</v>
      </c>
      <c r="G37" s="14">
        <f t="shared" si="4"/>
        <v>1.2072163113441012E-3</v>
      </c>
      <c r="H37" s="14">
        <f t="shared" si="5"/>
        <v>1.3722580056325746E-3</v>
      </c>
      <c r="I37" s="14">
        <f t="shared" si="6"/>
        <v>2.5794743169766758E-3</v>
      </c>
      <c r="K37" s="26" t="s">
        <v>9</v>
      </c>
      <c r="L37" s="27">
        <f t="shared" si="7"/>
        <v>3.11784023679828E-3</v>
      </c>
      <c r="M37" s="27">
        <f t="shared" si="8"/>
        <v>5.6973145537749558E-3</v>
      </c>
      <c r="N37" s="27">
        <f t="shared" si="9"/>
        <v>2.5794743169766758E-3</v>
      </c>
    </row>
    <row r="38" spans="6:14" x14ac:dyDescent="0.25">
      <c r="F38" s="9" t="s">
        <v>10</v>
      </c>
      <c r="G38" s="14">
        <f t="shared" si="4"/>
        <v>-5.1797230309786292E-3</v>
      </c>
      <c r="H38" s="14">
        <f t="shared" si="5"/>
        <v>-8.6487783182212438E-2</v>
      </c>
      <c r="I38" s="14">
        <f t="shared" si="6"/>
        <v>-9.1667506213191058E-2</v>
      </c>
      <c r="K38" s="20" t="s">
        <v>10</v>
      </c>
      <c r="L38" s="21">
        <f t="shared" si="7"/>
        <v>9.1704828001651167E-2</v>
      </c>
      <c r="M38" s="21">
        <f t="shared" si="8"/>
        <v>3.7321788460103011E-5</v>
      </c>
      <c r="N38" s="21">
        <f t="shared" si="9"/>
        <v>-9.1667506213191058E-2</v>
      </c>
    </row>
    <row r="39" spans="6:14" x14ac:dyDescent="0.25">
      <c r="F39" s="9" t="s">
        <v>11</v>
      </c>
      <c r="G39" s="14">
        <f t="shared" si="4"/>
        <v>0</v>
      </c>
      <c r="H39" s="14">
        <f t="shared" si="5"/>
        <v>-4.0003917074466882E-4</v>
      </c>
      <c r="I39" s="14">
        <f t="shared" si="6"/>
        <v>-4.0003917074466882E-4</v>
      </c>
      <c r="K39" s="26" t="s">
        <v>11</v>
      </c>
      <c r="L39" s="27">
        <f t="shared" si="7"/>
        <v>4.0003917074466882E-4</v>
      </c>
      <c r="M39" s="27">
        <f t="shared" si="8"/>
        <v>0</v>
      </c>
      <c r="N39" s="27">
        <f t="shared" si="9"/>
        <v>-4.0003917074466882E-4</v>
      </c>
    </row>
    <row r="40" spans="6:14" x14ac:dyDescent="0.25">
      <c r="F40" s="12" t="s">
        <v>12</v>
      </c>
      <c r="G40" s="15">
        <f t="shared" si="4"/>
        <v>0</v>
      </c>
      <c r="H40" s="15">
        <f t="shared" si="5"/>
        <v>0</v>
      </c>
      <c r="I40" s="15">
        <f t="shared" si="6"/>
        <v>0</v>
      </c>
      <c r="K40" s="20" t="s">
        <v>12</v>
      </c>
      <c r="L40" s="21">
        <f t="shared" si="7"/>
        <v>0</v>
      </c>
      <c r="M40" s="21">
        <f t="shared" si="8"/>
        <v>0</v>
      </c>
      <c r="N40" s="21">
        <f t="shared" si="9"/>
        <v>0</v>
      </c>
    </row>
    <row r="41" spans="6:14" ht="15.75" customHeight="1" thickBot="1" x14ac:dyDescent="0.3">
      <c r="F41" s="10" t="s">
        <v>3</v>
      </c>
      <c r="G41" s="16">
        <f t="shared" si="4"/>
        <v>2.3762461743956659E-2</v>
      </c>
      <c r="H41" s="16">
        <f t="shared" si="5"/>
        <v>-2.3762461743956687E-2</v>
      </c>
      <c r="I41" s="16">
        <f t="shared" si="6"/>
        <v>0</v>
      </c>
      <c r="K41" s="72" t="s">
        <v>3</v>
      </c>
      <c r="L41" s="22">
        <f t="shared" si="7"/>
        <v>1</v>
      </c>
      <c r="M41" s="22">
        <f t="shared" si="8"/>
        <v>1</v>
      </c>
      <c r="N41" s="22">
        <f t="shared" si="9"/>
        <v>0</v>
      </c>
    </row>
  </sheetData>
  <pageMargins left="0.7" right="0.7" top="0.75" bottom="0.75" header="0.3" footer="0.3"/>
  <pageSetup orientation="portrait" horizontalDpi="429496729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N41"/>
  <sheetViews>
    <sheetView workbookViewId="0">
      <selection activeCell="K41" sqref="K41"/>
    </sheetView>
  </sheetViews>
  <sheetFormatPr defaultRowHeight="15" x14ac:dyDescent="0.25"/>
  <cols>
    <col min="1" max="4" width="16.7109375" customWidth="1" collapsed="1"/>
    <col min="6" max="9" width="16.7109375" customWidth="1" collapsed="1"/>
    <col min="11" max="11" width="16.7109375" customWidth="1" collapsed="1"/>
    <col min="12" max="14" width="11.85546875" customWidth="1" collapsed="1"/>
  </cols>
  <sheetData>
    <row r="2" spans="1:9" ht="15.75" customHeight="1" thickBot="1" x14ac:dyDescent="0.3">
      <c r="A2" s="1" t="s">
        <v>33</v>
      </c>
      <c r="B2" s="1"/>
      <c r="C2" s="3"/>
      <c r="D2" s="3"/>
      <c r="F2" s="1" t="s">
        <v>34</v>
      </c>
      <c r="G2" s="1"/>
      <c r="H2" s="3"/>
      <c r="I2" s="3"/>
    </row>
    <row r="3" spans="1:9" x14ac:dyDescent="0.25">
      <c r="A3" s="2" t="s">
        <v>2</v>
      </c>
      <c r="B3" s="4" t="s">
        <v>18</v>
      </c>
      <c r="C3" s="4" t="s">
        <v>19</v>
      </c>
      <c r="D3" s="7" t="s">
        <v>3</v>
      </c>
      <c r="F3" s="2" t="s">
        <v>2</v>
      </c>
      <c r="G3" s="4" t="s">
        <v>18</v>
      </c>
      <c r="H3" s="4" t="s">
        <v>19</v>
      </c>
      <c r="I3" s="7" t="s">
        <v>3</v>
      </c>
    </row>
    <row r="4" spans="1:9" x14ac:dyDescent="0.25">
      <c r="A4" s="9" t="s">
        <v>4</v>
      </c>
      <c r="B4" s="9">
        <v>2139.344604170406</v>
      </c>
      <c r="C4" s="9">
        <v>166272.1886651454</v>
      </c>
      <c r="D4" s="9">
        <f t="shared" ref="D4:D13" si="0">SUM(B4:C4)</f>
        <v>168411.53326931581</v>
      </c>
      <c r="E4" s="9"/>
      <c r="F4" s="9" t="s">
        <v>4</v>
      </c>
      <c r="G4" s="9">
        <v>0</v>
      </c>
      <c r="H4" s="9">
        <v>241060</v>
      </c>
      <c r="I4" s="9">
        <f t="shared" ref="I4:I13" si="1">SUM(G4:H4)</f>
        <v>241060</v>
      </c>
    </row>
    <row r="5" spans="1:9" x14ac:dyDescent="0.25">
      <c r="A5" s="9" t="s">
        <v>5</v>
      </c>
      <c r="B5" s="9">
        <v>10520.94246359626</v>
      </c>
      <c r="C5" s="9">
        <v>59513.539988903358</v>
      </c>
      <c r="D5" s="9">
        <f t="shared" si="0"/>
        <v>70034.482452499622</v>
      </c>
      <c r="E5" s="9"/>
      <c r="F5" s="9" t="s">
        <v>5</v>
      </c>
      <c r="G5" s="9">
        <v>13884</v>
      </c>
      <c r="H5" s="9">
        <v>200715</v>
      </c>
      <c r="I5" s="9">
        <f t="shared" si="1"/>
        <v>214599</v>
      </c>
    </row>
    <row r="6" spans="1:9" x14ac:dyDescent="0.25">
      <c r="A6" s="9" t="s">
        <v>6</v>
      </c>
      <c r="B6" s="9">
        <v>0</v>
      </c>
      <c r="C6" s="9">
        <v>34211.098602175553</v>
      </c>
      <c r="D6" s="9">
        <f t="shared" si="0"/>
        <v>34211.098602175553</v>
      </c>
      <c r="E6" s="9"/>
      <c r="F6" s="9" t="s">
        <v>6</v>
      </c>
      <c r="G6" s="9">
        <v>8342</v>
      </c>
      <c r="H6" s="9">
        <v>195192</v>
      </c>
      <c r="I6" s="9">
        <f t="shared" si="1"/>
        <v>203534</v>
      </c>
    </row>
    <row r="7" spans="1:9" x14ac:dyDescent="0.25">
      <c r="A7" s="9" t="s">
        <v>7</v>
      </c>
      <c r="B7" s="9">
        <v>642.53062712678127</v>
      </c>
      <c r="C7" s="9">
        <v>288.52782926283788</v>
      </c>
      <c r="D7" s="9">
        <f t="shared" si="0"/>
        <v>931.0584563896191</v>
      </c>
      <c r="E7" s="9"/>
      <c r="F7" s="9" t="s">
        <v>7</v>
      </c>
      <c r="G7" s="9">
        <v>0</v>
      </c>
      <c r="H7" s="9">
        <v>0</v>
      </c>
      <c r="I7" s="9">
        <f t="shared" si="1"/>
        <v>0</v>
      </c>
    </row>
    <row r="8" spans="1:9" x14ac:dyDescent="0.25">
      <c r="A8" s="9" t="s">
        <v>8</v>
      </c>
      <c r="B8" s="9">
        <v>15357.228425995099</v>
      </c>
      <c r="C8" s="9">
        <v>23598.003772023789</v>
      </c>
      <c r="D8" s="9">
        <f t="shared" si="0"/>
        <v>38955.232198018886</v>
      </c>
      <c r="E8" s="9"/>
      <c r="F8" s="9" t="s">
        <v>8</v>
      </c>
      <c r="G8" s="9">
        <v>7499</v>
      </c>
      <c r="H8" s="9">
        <v>5647</v>
      </c>
      <c r="I8" s="9">
        <f t="shared" si="1"/>
        <v>13146</v>
      </c>
    </row>
    <row r="9" spans="1:9" x14ac:dyDescent="0.25">
      <c r="A9" s="9" t="s">
        <v>9</v>
      </c>
      <c r="B9" s="9">
        <v>285.16111939196401</v>
      </c>
      <c r="C9" s="9">
        <v>11408.622810581461</v>
      </c>
      <c r="D9" s="9">
        <f t="shared" si="0"/>
        <v>11693.783929973424</v>
      </c>
      <c r="E9" s="9"/>
      <c r="F9" s="9" t="s">
        <v>9</v>
      </c>
      <c r="G9" s="9">
        <v>3944</v>
      </c>
      <c r="H9" s="9">
        <v>10542</v>
      </c>
      <c r="I9" s="9">
        <f t="shared" si="1"/>
        <v>14486</v>
      </c>
    </row>
    <row r="10" spans="1:9" x14ac:dyDescent="0.25">
      <c r="A10" s="9" t="s">
        <v>10</v>
      </c>
      <c r="B10" s="9">
        <v>1519.23057722198</v>
      </c>
      <c r="C10" s="9">
        <v>10342.724299913571</v>
      </c>
      <c r="D10" s="9">
        <f t="shared" si="0"/>
        <v>11861.954877135551</v>
      </c>
      <c r="E10" s="9"/>
      <c r="F10" s="9" t="s">
        <v>10</v>
      </c>
      <c r="G10" s="9">
        <v>12068</v>
      </c>
      <c r="H10" s="9">
        <v>32739</v>
      </c>
      <c r="I10" s="9">
        <f t="shared" si="1"/>
        <v>44807</v>
      </c>
    </row>
    <row r="11" spans="1:9" x14ac:dyDescent="0.25">
      <c r="A11" s="9" t="s">
        <v>11</v>
      </c>
      <c r="B11" s="9">
        <v>0</v>
      </c>
      <c r="C11" s="9">
        <v>0</v>
      </c>
      <c r="D11" s="9">
        <f t="shared" si="0"/>
        <v>0</v>
      </c>
      <c r="E11" s="9"/>
      <c r="F11" s="9" t="s">
        <v>11</v>
      </c>
      <c r="G11" s="9">
        <v>0</v>
      </c>
      <c r="H11" s="9">
        <v>0</v>
      </c>
      <c r="I11" s="9">
        <f t="shared" si="1"/>
        <v>0</v>
      </c>
    </row>
    <row r="12" spans="1:9" x14ac:dyDescent="0.25">
      <c r="A12" s="12" t="s">
        <v>12</v>
      </c>
      <c r="B12" s="12">
        <v>0</v>
      </c>
      <c r="C12" s="12">
        <v>0</v>
      </c>
      <c r="D12" s="12">
        <f t="shared" si="0"/>
        <v>0</v>
      </c>
      <c r="E12" s="9"/>
      <c r="F12" s="12" t="s">
        <v>12</v>
      </c>
      <c r="G12" s="12">
        <v>1529</v>
      </c>
      <c r="H12" s="12">
        <v>3022</v>
      </c>
      <c r="I12" s="12">
        <f t="shared" si="1"/>
        <v>4551</v>
      </c>
    </row>
    <row r="13" spans="1:9" ht="15.75" customHeight="1" thickBot="1" x14ac:dyDescent="0.3">
      <c r="A13" s="10" t="s">
        <v>3</v>
      </c>
      <c r="B13" s="10">
        <f>SUM(B4:B12)</f>
        <v>30464.43781750249</v>
      </c>
      <c r="C13" s="10">
        <f>SUM(C4:C12)</f>
        <v>305634.70596800593</v>
      </c>
      <c r="D13" s="10">
        <f t="shared" si="0"/>
        <v>336099.14378550841</v>
      </c>
      <c r="F13" s="10" t="s">
        <v>3</v>
      </c>
      <c r="G13" s="10">
        <f>SUM(G4:G12)</f>
        <v>47266</v>
      </c>
      <c r="H13" s="10">
        <f>SUM(H4:H12)</f>
        <v>688917</v>
      </c>
      <c r="I13" s="10">
        <f t="shared" si="1"/>
        <v>736183</v>
      </c>
    </row>
    <row r="16" spans="1:9" ht="15.75" customHeight="1" thickBot="1" x14ac:dyDescent="0.3">
      <c r="A16" s="1" t="s">
        <v>35</v>
      </c>
      <c r="B16" s="1"/>
      <c r="C16" s="3"/>
      <c r="D16" s="3"/>
      <c r="F16" s="1" t="s">
        <v>36</v>
      </c>
      <c r="G16" s="1"/>
      <c r="H16" s="3"/>
      <c r="I16" s="3"/>
    </row>
    <row r="17" spans="1:14" x14ac:dyDescent="0.25">
      <c r="A17" s="2" t="s">
        <v>2</v>
      </c>
      <c r="B17" s="4" t="s">
        <v>18</v>
      </c>
      <c r="C17" s="4" t="s">
        <v>19</v>
      </c>
      <c r="D17" s="7" t="s">
        <v>3</v>
      </c>
      <c r="F17" s="2" t="s">
        <v>2</v>
      </c>
      <c r="G17" s="4" t="s">
        <v>18</v>
      </c>
      <c r="H17" s="4" t="s">
        <v>19</v>
      </c>
      <c r="I17" s="7" t="s">
        <v>3</v>
      </c>
    </row>
    <row r="18" spans="1:14" x14ac:dyDescent="0.25">
      <c r="A18" s="9" t="s">
        <v>4</v>
      </c>
      <c r="B18" s="14">
        <f t="shared" ref="B18:D27" si="2">B4/$D$13</f>
        <v>6.365218846066719E-3</v>
      </c>
      <c r="C18" s="14">
        <f t="shared" si="2"/>
        <v>0.49471172937964075</v>
      </c>
      <c r="D18" s="14">
        <f t="shared" si="2"/>
        <v>0.50107694822570747</v>
      </c>
      <c r="F18" s="9" t="s">
        <v>4</v>
      </c>
      <c r="G18" s="14">
        <f t="shared" ref="G18:I27" si="3">G4/$I$13</f>
        <v>0</v>
      </c>
      <c r="H18" s="14">
        <f t="shared" si="3"/>
        <v>0.32744575737282716</v>
      </c>
      <c r="I18" s="14">
        <f t="shared" si="3"/>
        <v>0.32744575737282716</v>
      </c>
    </row>
    <row r="19" spans="1:14" x14ac:dyDescent="0.25">
      <c r="A19" s="9" t="s">
        <v>5</v>
      </c>
      <c r="B19" s="14">
        <f t="shared" si="2"/>
        <v>3.1303092132571785E-2</v>
      </c>
      <c r="C19" s="14">
        <f t="shared" si="2"/>
        <v>0.17707138232664965</v>
      </c>
      <c r="D19" s="14">
        <f t="shared" si="2"/>
        <v>0.20837447445922147</v>
      </c>
      <c r="F19" s="9" t="s">
        <v>5</v>
      </c>
      <c r="G19" s="14">
        <f t="shared" si="3"/>
        <v>1.8859441198723688E-2</v>
      </c>
      <c r="H19" s="14">
        <f t="shared" si="3"/>
        <v>0.27264280756279347</v>
      </c>
      <c r="I19" s="14">
        <f t="shared" si="3"/>
        <v>0.2915022487615172</v>
      </c>
    </row>
    <row r="20" spans="1:14" x14ac:dyDescent="0.25">
      <c r="A20" s="9" t="s">
        <v>6</v>
      </c>
      <c r="B20" s="14">
        <f t="shared" si="2"/>
        <v>0</v>
      </c>
      <c r="C20" s="14">
        <f t="shared" si="2"/>
        <v>0.10178871096443011</v>
      </c>
      <c r="D20" s="14">
        <f t="shared" si="2"/>
        <v>0.10178871096443011</v>
      </c>
      <c r="F20" s="9" t="s">
        <v>6</v>
      </c>
      <c r="G20" s="14">
        <f t="shared" si="3"/>
        <v>1.1331421670970397E-2</v>
      </c>
      <c r="H20" s="14">
        <f t="shared" si="3"/>
        <v>0.26514059683529773</v>
      </c>
      <c r="I20" s="14">
        <f t="shared" si="3"/>
        <v>0.27647201850626812</v>
      </c>
    </row>
    <row r="21" spans="1:14" x14ac:dyDescent="0.25">
      <c r="A21" s="9" t="s">
        <v>7</v>
      </c>
      <c r="B21" s="14">
        <f t="shared" si="2"/>
        <v>1.9117294375996124E-3</v>
      </c>
      <c r="C21" s="14">
        <f t="shared" si="2"/>
        <v>8.5846047095844565E-4</v>
      </c>
      <c r="D21" s="14">
        <f t="shared" si="2"/>
        <v>2.7701899085580579E-3</v>
      </c>
      <c r="F21" s="9" t="s">
        <v>7</v>
      </c>
      <c r="G21" s="14">
        <f t="shared" si="3"/>
        <v>0</v>
      </c>
      <c r="H21" s="14">
        <f t="shared" si="3"/>
        <v>0</v>
      </c>
      <c r="I21" s="14">
        <f t="shared" si="3"/>
        <v>0</v>
      </c>
    </row>
    <row r="22" spans="1:14" x14ac:dyDescent="0.25">
      <c r="A22" s="9" t="s">
        <v>8</v>
      </c>
      <c r="B22" s="14">
        <f t="shared" si="2"/>
        <v>4.5692554443982063E-2</v>
      </c>
      <c r="C22" s="14">
        <f t="shared" si="2"/>
        <v>7.021143673928415E-2</v>
      </c>
      <c r="D22" s="14">
        <f t="shared" si="2"/>
        <v>0.11590399118326621</v>
      </c>
      <c r="F22" s="9" t="s">
        <v>8</v>
      </c>
      <c r="G22" s="14">
        <f t="shared" si="3"/>
        <v>1.018632595428039E-2</v>
      </c>
      <c r="H22" s="14">
        <f t="shared" si="3"/>
        <v>7.6706471081239309E-3</v>
      </c>
      <c r="I22" s="14">
        <f t="shared" si="3"/>
        <v>1.785697306240432E-2</v>
      </c>
    </row>
    <row r="23" spans="1:14" x14ac:dyDescent="0.25">
      <c r="A23" s="9" t="s">
        <v>9</v>
      </c>
      <c r="B23" s="14">
        <f t="shared" si="2"/>
        <v>8.4844345683292787E-4</v>
      </c>
      <c r="C23" s="14">
        <f t="shared" si="2"/>
        <v>3.394421860789449E-2</v>
      </c>
      <c r="D23" s="14">
        <f t="shared" si="2"/>
        <v>3.479266206472742E-2</v>
      </c>
      <c r="F23" s="9" t="s">
        <v>9</v>
      </c>
      <c r="G23" s="14">
        <f t="shared" si="3"/>
        <v>5.3573635903029545E-3</v>
      </c>
      <c r="H23" s="14">
        <f t="shared" si="3"/>
        <v>1.4319809069212411E-2</v>
      </c>
      <c r="I23" s="14">
        <f t="shared" si="3"/>
        <v>1.9677172659515366E-2</v>
      </c>
    </row>
    <row r="24" spans="1:14" x14ac:dyDescent="0.25">
      <c r="A24" s="9" t="s">
        <v>10</v>
      </c>
      <c r="B24" s="14">
        <f t="shared" si="2"/>
        <v>4.5201858002694639E-3</v>
      </c>
      <c r="C24" s="14">
        <f t="shared" si="2"/>
        <v>3.0772837393819977E-2</v>
      </c>
      <c r="D24" s="14">
        <f t="shared" si="2"/>
        <v>3.5293023194089446E-2</v>
      </c>
      <c r="F24" s="9" t="s">
        <v>10</v>
      </c>
      <c r="G24" s="14">
        <f t="shared" si="3"/>
        <v>1.6392663237265733E-2</v>
      </c>
      <c r="H24" s="14">
        <f t="shared" si="3"/>
        <v>4.4471279559566035E-2</v>
      </c>
      <c r="I24" s="14">
        <f t="shared" si="3"/>
        <v>6.0863942796831765E-2</v>
      </c>
    </row>
    <row r="25" spans="1:14" x14ac:dyDescent="0.25">
      <c r="A25" s="9" t="s">
        <v>11</v>
      </c>
      <c r="B25" s="14">
        <f t="shared" si="2"/>
        <v>0</v>
      </c>
      <c r="C25" s="14">
        <f t="shared" si="2"/>
        <v>0</v>
      </c>
      <c r="D25" s="14">
        <f t="shared" si="2"/>
        <v>0</v>
      </c>
      <c r="F25" s="9" t="s">
        <v>11</v>
      </c>
      <c r="G25" s="14">
        <f t="shared" si="3"/>
        <v>0</v>
      </c>
      <c r="H25" s="14">
        <f t="shared" si="3"/>
        <v>0</v>
      </c>
      <c r="I25" s="14">
        <f t="shared" si="3"/>
        <v>0</v>
      </c>
    </row>
    <row r="26" spans="1:14" x14ac:dyDescent="0.25">
      <c r="A26" s="12" t="s">
        <v>12</v>
      </c>
      <c r="B26" s="15">
        <f t="shared" si="2"/>
        <v>0</v>
      </c>
      <c r="C26" s="15">
        <f t="shared" si="2"/>
        <v>0</v>
      </c>
      <c r="D26" s="15">
        <f t="shared" si="2"/>
        <v>0</v>
      </c>
      <c r="F26" s="12" t="s">
        <v>12</v>
      </c>
      <c r="G26" s="15">
        <f t="shared" si="3"/>
        <v>2.0769292417781994E-3</v>
      </c>
      <c r="H26" s="15">
        <f t="shared" si="3"/>
        <v>4.1049575988578923E-3</v>
      </c>
      <c r="I26" s="15">
        <f t="shared" si="3"/>
        <v>6.1818868406360921E-3</v>
      </c>
    </row>
    <row r="27" spans="1:14" ht="15.75" customHeight="1" thickBot="1" x14ac:dyDescent="0.3">
      <c r="A27" s="10" t="s">
        <v>3</v>
      </c>
      <c r="B27" s="16">
        <f t="shared" si="2"/>
        <v>9.0641224117322575E-2</v>
      </c>
      <c r="C27" s="16">
        <f t="shared" si="2"/>
        <v>0.90935877588267744</v>
      </c>
      <c r="D27" s="16">
        <f t="shared" si="2"/>
        <v>1</v>
      </c>
      <c r="F27" s="10" t="s">
        <v>3</v>
      </c>
      <c r="G27" s="16">
        <f t="shared" si="3"/>
        <v>6.4204144893321366E-2</v>
      </c>
      <c r="H27" s="16">
        <f t="shared" si="3"/>
        <v>0.93579585510667862</v>
      </c>
      <c r="I27" s="16">
        <f t="shared" si="3"/>
        <v>1</v>
      </c>
    </row>
    <row r="30" spans="1:14" ht="15.75" customHeight="1" thickBot="1" x14ac:dyDescent="0.3">
      <c r="F30" s="1" t="s">
        <v>37</v>
      </c>
      <c r="G30" s="1"/>
      <c r="H30" s="3"/>
      <c r="I30" s="3"/>
      <c r="K30" s="18" t="s">
        <v>38</v>
      </c>
      <c r="L30" s="18"/>
      <c r="M30" s="19"/>
      <c r="N30" s="19"/>
    </row>
    <row r="31" spans="1:14" x14ac:dyDescent="0.25">
      <c r="F31" s="2" t="s">
        <v>2</v>
      </c>
      <c r="G31" s="4" t="s">
        <v>18</v>
      </c>
      <c r="H31" s="4" t="s">
        <v>19</v>
      </c>
      <c r="I31" s="7" t="s">
        <v>3</v>
      </c>
      <c r="K31" s="23" t="s">
        <v>2</v>
      </c>
      <c r="L31" s="24" t="s">
        <v>22</v>
      </c>
      <c r="M31" s="24" t="s">
        <v>23</v>
      </c>
      <c r="N31" s="25" t="s">
        <v>24</v>
      </c>
    </row>
    <row r="32" spans="1:14" x14ac:dyDescent="0.25">
      <c r="F32" s="9" t="s">
        <v>4</v>
      </c>
      <c r="G32" s="14">
        <f t="shared" ref="G32:G41" si="4">G18-B18</f>
        <v>-6.365218846066719E-3</v>
      </c>
      <c r="H32" s="14">
        <f t="shared" ref="H32:H41" si="5">H18-C18</f>
        <v>-0.16726597200681359</v>
      </c>
      <c r="I32" s="14">
        <f t="shared" ref="I32:I41" si="6">I18-D18</f>
        <v>-0.17363119085288031</v>
      </c>
      <c r="K32" s="20" t="s">
        <v>4</v>
      </c>
      <c r="L32" s="21">
        <f t="shared" ref="L32:L41" si="7">D18</f>
        <v>0.50107694822570747</v>
      </c>
      <c r="M32" s="21">
        <f t="shared" ref="M32:M41" si="8">I18</f>
        <v>0.32744575737282716</v>
      </c>
      <c r="N32" s="21">
        <f t="shared" ref="N32:N41" si="9">M32-L32</f>
        <v>-0.17363119085288031</v>
      </c>
    </row>
    <row r="33" spans="6:14" x14ac:dyDescent="0.25">
      <c r="F33" s="9" t="s">
        <v>5</v>
      </c>
      <c r="G33" s="14">
        <f t="shared" si="4"/>
        <v>-1.2443650933848097E-2</v>
      </c>
      <c r="H33" s="14">
        <f t="shared" si="5"/>
        <v>9.5571425236143814E-2</v>
      </c>
      <c r="I33" s="14">
        <f t="shared" si="6"/>
        <v>8.3127774302295732E-2</v>
      </c>
      <c r="K33" s="26" t="s">
        <v>5</v>
      </c>
      <c r="L33" s="27">
        <f t="shared" si="7"/>
        <v>0.20837447445922147</v>
      </c>
      <c r="M33" s="27">
        <f t="shared" si="8"/>
        <v>0.2915022487615172</v>
      </c>
      <c r="N33" s="27">
        <f t="shared" si="9"/>
        <v>8.3127774302295732E-2</v>
      </c>
    </row>
    <row r="34" spans="6:14" x14ac:dyDescent="0.25">
      <c r="F34" s="9" t="s">
        <v>6</v>
      </c>
      <c r="G34" s="14">
        <f t="shared" si="4"/>
        <v>1.1331421670970397E-2</v>
      </c>
      <c r="H34" s="14">
        <f t="shared" si="5"/>
        <v>0.16335188587086763</v>
      </c>
      <c r="I34" s="14">
        <f t="shared" si="6"/>
        <v>0.17468330754183803</v>
      </c>
      <c r="K34" s="20" t="s">
        <v>6</v>
      </c>
      <c r="L34" s="21">
        <f t="shared" si="7"/>
        <v>0.10178871096443011</v>
      </c>
      <c r="M34" s="21">
        <f t="shared" si="8"/>
        <v>0.27647201850626812</v>
      </c>
      <c r="N34" s="21">
        <f t="shared" si="9"/>
        <v>0.17468330754183803</v>
      </c>
    </row>
    <row r="35" spans="6:14" x14ac:dyDescent="0.25">
      <c r="F35" s="9" t="s">
        <v>7</v>
      </c>
      <c r="G35" s="14">
        <f t="shared" si="4"/>
        <v>-1.9117294375996124E-3</v>
      </c>
      <c r="H35" s="14">
        <f t="shared" si="5"/>
        <v>-8.5846047095844565E-4</v>
      </c>
      <c r="I35" s="14">
        <f t="shared" si="6"/>
        <v>-2.7701899085580579E-3</v>
      </c>
      <c r="K35" s="26" t="s">
        <v>7</v>
      </c>
      <c r="L35" s="27">
        <f t="shared" si="7"/>
        <v>2.7701899085580579E-3</v>
      </c>
      <c r="M35" s="27">
        <f t="shared" si="8"/>
        <v>0</v>
      </c>
      <c r="N35" s="27">
        <f t="shared" si="9"/>
        <v>-2.7701899085580579E-3</v>
      </c>
    </row>
    <row r="36" spans="6:14" x14ac:dyDescent="0.25">
      <c r="F36" s="9" t="s">
        <v>8</v>
      </c>
      <c r="G36" s="14">
        <f t="shared" si="4"/>
        <v>-3.5506228489701669E-2</v>
      </c>
      <c r="H36" s="14">
        <f t="shared" si="5"/>
        <v>-6.2540789631160221E-2</v>
      </c>
      <c r="I36" s="14">
        <f t="shared" si="6"/>
        <v>-9.804701812086189E-2</v>
      </c>
      <c r="K36" s="20" t="s">
        <v>8</v>
      </c>
      <c r="L36" s="21">
        <f t="shared" si="7"/>
        <v>0.11590399118326621</v>
      </c>
      <c r="M36" s="21">
        <f t="shared" si="8"/>
        <v>1.785697306240432E-2</v>
      </c>
      <c r="N36" s="21">
        <f t="shared" si="9"/>
        <v>-9.804701812086189E-2</v>
      </c>
    </row>
    <row r="37" spans="6:14" x14ac:dyDescent="0.25">
      <c r="F37" s="9" t="s">
        <v>9</v>
      </c>
      <c r="G37" s="14">
        <f t="shared" si="4"/>
        <v>4.5089201334700263E-3</v>
      </c>
      <c r="H37" s="14">
        <f t="shared" si="5"/>
        <v>-1.962440953868208E-2</v>
      </c>
      <c r="I37" s="14">
        <f t="shared" si="6"/>
        <v>-1.5115489405212054E-2</v>
      </c>
      <c r="K37" s="26" t="s">
        <v>9</v>
      </c>
      <c r="L37" s="27">
        <f t="shared" si="7"/>
        <v>3.479266206472742E-2</v>
      </c>
      <c r="M37" s="27">
        <f t="shared" si="8"/>
        <v>1.9677172659515366E-2</v>
      </c>
      <c r="N37" s="27">
        <f t="shared" si="9"/>
        <v>-1.5115489405212054E-2</v>
      </c>
    </row>
    <row r="38" spans="6:14" x14ac:dyDescent="0.25">
      <c r="F38" s="9" t="s">
        <v>10</v>
      </c>
      <c r="G38" s="14">
        <f t="shared" si="4"/>
        <v>1.1872477436996268E-2</v>
      </c>
      <c r="H38" s="14">
        <f t="shared" si="5"/>
        <v>1.3698442165746057E-2</v>
      </c>
      <c r="I38" s="14">
        <f t="shared" si="6"/>
        <v>2.5570919602742319E-2</v>
      </c>
      <c r="K38" s="20" t="s">
        <v>10</v>
      </c>
      <c r="L38" s="21">
        <f t="shared" si="7"/>
        <v>3.5293023194089446E-2</v>
      </c>
      <c r="M38" s="21">
        <f t="shared" si="8"/>
        <v>6.0863942796831765E-2</v>
      </c>
      <c r="N38" s="21">
        <f t="shared" si="9"/>
        <v>2.5570919602742319E-2</v>
      </c>
    </row>
    <row r="39" spans="6:14" x14ac:dyDescent="0.25">
      <c r="F39" s="9" t="s">
        <v>11</v>
      </c>
      <c r="G39" s="14">
        <f t="shared" si="4"/>
        <v>0</v>
      </c>
      <c r="H39" s="14">
        <f t="shared" si="5"/>
        <v>0</v>
      </c>
      <c r="I39" s="14">
        <f t="shared" si="6"/>
        <v>0</v>
      </c>
      <c r="K39" s="26" t="s">
        <v>11</v>
      </c>
      <c r="L39" s="27">
        <f t="shared" si="7"/>
        <v>0</v>
      </c>
      <c r="M39" s="27">
        <f t="shared" si="8"/>
        <v>0</v>
      </c>
      <c r="N39" s="27">
        <f t="shared" si="9"/>
        <v>0</v>
      </c>
    </row>
    <row r="40" spans="6:14" x14ac:dyDescent="0.25">
      <c r="F40" s="12" t="s">
        <v>12</v>
      </c>
      <c r="G40" s="15">
        <f t="shared" si="4"/>
        <v>2.0769292417781994E-3</v>
      </c>
      <c r="H40" s="15">
        <f t="shared" si="5"/>
        <v>4.1049575988578923E-3</v>
      </c>
      <c r="I40" s="15">
        <f t="shared" si="6"/>
        <v>6.1818868406360921E-3</v>
      </c>
      <c r="K40" s="20" t="s">
        <v>12</v>
      </c>
      <c r="L40" s="21">
        <f t="shared" si="7"/>
        <v>0</v>
      </c>
      <c r="M40" s="21">
        <f t="shared" si="8"/>
        <v>6.1818868406360921E-3</v>
      </c>
      <c r="N40" s="21">
        <f t="shared" si="9"/>
        <v>6.1818868406360921E-3</v>
      </c>
    </row>
    <row r="41" spans="6:14" ht="15.75" customHeight="1" thickBot="1" x14ac:dyDescent="0.3">
      <c r="F41" s="10" t="s">
        <v>3</v>
      </c>
      <c r="G41" s="16">
        <f t="shared" si="4"/>
        <v>-2.6437079224001209E-2</v>
      </c>
      <c r="H41" s="16">
        <f t="shared" si="5"/>
        <v>2.6437079224001181E-2</v>
      </c>
      <c r="I41" s="16">
        <f t="shared" si="6"/>
        <v>0</v>
      </c>
      <c r="K41" s="72" t="s">
        <v>3</v>
      </c>
      <c r="L41" s="22">
        <f t="shared" si="7"/>
        <v>1</v>
      </c>
      <c r="M41" s="22">
        <f t="shared" si="8"/>
        <v>1</v>
      </c>
      <c r="N41" s="22">
        <f t="shared" si="9"/>
        <v>0</v>
      </c>
    </row>
  </sheetData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N41"/>
  <sheetViews>
    <sheetView workbookViewId="0">
      <selection activeCell="K41" sqref="K41"/>
    </sheetView>
  </sheetViews>
  <sheetFormatPr defaultRowHeight="15" x14ac:dyDescent="0.25"/>
  <cols>
    <col min="1" max="4" width="16.7109375" customWidth="1" collapsed="1"/>
    <col min="6" max="9" width="16.7109375" customWidth="1" collapsed="1"/>
    <col min="11" max="11" width="16.7109375" customWidth="1" collapsed="1"/>
    <col min="12" max="14" width="11.85546875" customWidth="1" collapsed="1"/>
  </cols>
  <sheetData>
    <row r="2" spans="1:9" ht="15.75" customHeight="1" thickBot="1" x14ac:dyDescent="0.3">
      <c r="A2" s="1" t="s">
        <v>39</v>
      </c>
      <c r="B2" s="1"/>
      <c r="C2" s="3"/>
      <c r="D2" s="3"/>
      <c r="F2" s="1" t="s">
        <v>40</v>
      </c>
      <c r="G2" s="1"/>
      <c r="H2" s="3"/>
      <c r="I2" s="3"/>
    </row>
    <row r="3" spans="1:9" x14ac:dyDescent="0.25">
      <c r="A3" s="2" t="s">
        <v>2</v>
      </c>
      <c r="B3" s="4" t="s">
        <v>18</v>
      </c>
      <c r="C3" s="4" t="s">
        <v>19</v>
      </c>
      <c r="D3" s="7" t="s">
        <v>3</v>
      </c>
      <c r="F3" s="2" t="s">
        <v>2</v>
      </c>
      <c r="G3" s="4" t="s">
        <v>18</v>
      </c>
      <c r="H3" s="4" t="s">
        <v>19</v>
      </c>
      <c r="I3" s="7" t="s">
        <v>3</v>
      </c>
    </row>
    <row r="4" spans="1:9" x14ac:dyDescent="0.25">
      <c r="A4" s="9" t="s">
        <v>4</v>
      </c>
      <c r="B4" s="9">
        <v>255.0064126965066</v>
      </c>
      <c r="C4" s="9">
        <v>283461.36477445753</v>
      </c>
      <c r="D4" s="9">
        <f t="shared" ref="D4:D13" si="0">SUM(B4:C4)</f>
        <v>283716.37118715403</v>
      </c>
      <c r="E4" s="9"/>
      <c r="F4" s="9" t="s">
        <v>4</v>
      </c>
      <c r="G4" s="9">
        <v>0</v>
      </c>
      <c r="H4" s="9">
        <v>246380</v>
      </c>
      <c r="I4" s="9">
        <f t="shared" ref="I4:I13" si="1">SUM(G4:H4)</f>
        <v>246380</v>
      </c>
    </row>
    <row r="5" spans="1:9" x14ac:dyDescent="0.25">
      <c r="A5" s="9" t="s">
        <v>5</v>
      </c>
      <c r="B5" s="9">
        <v>2253.737697418745</v>
      </c>
      <c r="C5" s="9">
        <v>149615.79185088619</v>
      </c>
      <c r="D5" s="9">
        <f t="shared" si="0"/>
        <v>151869.52954830494</v>
      </c>
      <c r="E5" s="9"/>
      <c r="F5" s="9" t="s">
        <v>5</v>
      </c>
      <c r="G5" s="9">
        <v>17728</v>
      </c>
      <c r="H5" s="9">
        <v>175215</v>
      </c>
      <c r="I5" s="9">
        <f t="shared" si="1"/>
        <v>192943</v>
      </c>
    </row>
    <row r="6" spans="1:9" x14ac:dyDescent="0.25">
      <c r="A6" s="9" t="s">
        <v>6</v>
      </c>
      <c r="B6" s="9">
        <v>13.8068836972041</v>
      </c>
      <c r="C6" s="9">
        <v>75263.158275504233</v>
      </c>
      <c r="D6" s="9">
        <f t="shared" si="0"/>
        <v>75276.965159201442</v>
      </c>
      <c r="E6" s="9"/>
      <c r="F6" s="9" t="s">
        <v>6</v>
      </c>
      <c r="G6" s="9">
        <v>10353</v>
      </c>
      <c r="H6" s="9">
        <v>186834</v>
      </c>
      <c r="I6" s="9">
        <f t="shared" si="1"/>
        <v>197187</v>
      </c>
    </row>
    <row r="7" spans="1:9" x14ac:dyDescent="0.25">
      <c r="A7" s="9" t="s">
        <v>7</v>
      </c>
      <c r="B7" s="9">
        <v>0</v>
      </c>
      <c r="C7" s="9">
        <v>0</v>
      </c>
      <c r="D7" s="9">
        <f t="shared" si="0"/>
        <v>0</v>
      </c>
      <c r="E7" s="9"/>
      <c r="F7" s="9" t="s">
        <v>7</v>
      </c>
      <c r="G7" s="9">
        <v>0</v>
      </c>
      <c r="H7" s="9">
        <v>0</v>
      </c>
      <c r="I7" s="9">
        <f t="shared" si="1"/>
        <v>0</v>
      </c>
    </row>
    <row r="8" spans="1:9" x14ac:dyDescent="0.25">
      <c r="A8" s="9" t="s">
        <v>8</v>
      </c>
      <c r="B8" s="9">
        <v>31649.550959838729</v>
      </c>
      <c r="C8" s="9">
        <v>3848.9412730827321</v>
      </c>
      <c r="D8" s="9">
        <f t="shared" si="0"/>
        <v>35498.492232921461</v>
      </c>
      <c r="E8" s="9"/>
      <c r="F8" s="9" t="s">
        <v>8</v>
      </c>
      <c r="G8" s="9">
        <v>4991</v>
      </c>
      <c r="H8" s="9">
        <v>3248</v>
      </c>
      <c r="I8" s="9">
        <f t="shared" si="1"/>
        <v>8239</v>
      </c>
    </row>
    <row r="9" spans="1:9" x14ac:dyDescent="0.25">
      <c r="A9" s="9" t="s">
        <v>9</v>
      </c>
      <c r="B9" s="9">
        <v>199.55724033539781</v>
      </c>
      <c r="C9" s="9">
        <v>1054.5711533438271</v>
      </c>
      <c r="D9" s="9">
        <f t="shared" si="0"/>
        <v>1254.1283936792249</v>
      </c>
      <c r="E9" s="9"/>
      <c r="F9" s="9" t="s">
        <v>9</v>
      </c>
      <c r="G9" s="9">
        <v>5916</v>
      </c>
      <c r="H9" s="9">
        <v>10982</v>
      </c>
      <c r="I9" s="9">
        <f t="shared" si="1"/>
        <v>16898</v>
      </c>
    </row>
    <row r="10" spans="1:9" x14ac:dyDescent="0.25">
      <c r="A10" s="9" t="s">
        <v>10</v>
      </c>
      <c r="B10" s="9">
        <v>50807.992591809882</v>
      </c>
      <c r="C10" s="9">
        <v>42912.078503374418</v>
      </c>
      <c r="D10" s="9">
        <f t="shared" si="0"/>
        <v>93720.071095184307</v>
      </c>
      <c r="E10" s="9"/>
      <c r="F10" s="9" t="s">
        <v>10</v>
      </c>
      <c r="G10" s="9">
        <v>17757</v>
      </c>
      <c r="H10" s="9">
        <v>36828</v>
      </c>
      <c r="I10" s="9">
        <f t="shared" si="1"/>
        <v>54585</v>
      </c>
    </row>
    <row r="11" spans="1:9" x14ac:dyDescent="0.25">
      <c r="A11" s="9" t="s">
        <v>11</v>
      </c>
      <c r="B11" s="9">
        <v>0</v>
      </c>
      <c r="C11" s="9">
        <v>21.6273241666158</v>
      </c>
      <c r="D11" s="9">
        <f t="shared" si="0"/>
        <v>21.6273241666158</v>
      </c>
      <c r="E11" s="9"/>
      <c r="F11" s="9" t="s">
        <v>11</v>
      </c>
      <c r="G11" s="9">
        <v>0</v>
      </c>
      <c r="H11" s="9">
        <v>0</v>
      </c>
      <c r="I11" s="9">
        <f t="shared" si="1"/>
        <v>0</v>
      </c>
    </row>
    <row r="12" spans="1:9" x14ac:dyDescent="0.25">
      <c r="A12" s="12" t="s">
        <v>12</v>
      </c>
      <c r="B12" s="12">
        <v>0</v>
      </c>
      <c r="C12" s="12">
        <v>0</v>
      </c>
      <c r="D12" s="12">
        <f t="shared" si="0"/>
        <v>0</v>
      </c>
      <c r="E12" s="9"/>
      <c r="F12" s="12" t="s">
        <v>12</v>
      </c>
      <c r="G12" s="12">
        <v>1705</v>
      </c>
      <c r="H12" s="12">
        <v>3291</v>
      </c>
      <c r="I12" s="12">
        <f t="shared" si="1"/>
        <v>4996</v>
      </c>
    </row>
    <row r="13" spans="1:9" ht="15.75" customHeight="1" thickBot="1" x14ac:dyDescent="0.3">
      <c r="A13" s="10" t="s">
        <v>3</v>
      </c>
      <c r="B13" s="10">
        <f>SUM(B4:B12)</f>
        <v>85179.651785796465</v>
      </c>
      <c r="C13" s="10">
        <f>SUM(C4:C12)</f>
        <v>556177.53315481555</v>
      </c>
      <c r="D13" s="10">
        <f t="shared" si="0"/>
        <v>641357.18494061206</v>
      </c>
      <c r="F13" s="10" t="s">
        <v>3</v>
      </c>
      <c r="G13" s="10">
        <f>SUM(G4:G12)</f>
        <v>58450</v>
      </c>
      <c r="H13" s="10">
        <f>SUM(H4:H12)</f>
        <v>662778</v>
      </c>
      <c r="I13" s="10">
        <f t="shared" si="1"/>
        <v>721228</v>
      </c>
    </row>
    <row r="16" spans="1:9" ht="15.75" customHeight="1" thickBot="1" x14ac:dyDescent="0.3">
      <c r="A16" s="1" t="s">
        <v>39</v>
      </c>
      <c r="B16" s="1"/>
      <c r="C16" s="3"/>
      <c r="D16" s="3"/>
      <c r="F16" s="1" t="s">
        <v>40</v>
      </c>
      <c r="G16" s="1"/>
      <c r="H16" s="3"/>
      <c r="I16" s="3"/>
    </row>
    <row r="17" spans="1:14" x14ac:dyDescent="0.25">
      <c r="A17" s="2" t="s">
        <v>2</v>
      </c>
      <c r="B17" s="4" t="s">
        <v>18</v>
      </c>
      <c r="C17" s="4" t="s">
        <v>19</v>
      </c>
      <c r="D17" s="7" t="s">
        <v>3</v>
      </c>
      <c r="F17" s="2" t="s">
        <v>2</v>
      </c>
      <c r="G17" s="4" t="s">
        <v>18</v>
      </c>
      <c r="H17" s="4" t="s">
        <v>19</v>
      </c>
      <c r="I17" s="7" t="s">
        <v>3</v>
      </c>
    </row>
    <row r="18" spans="1:14" x14ac:dyDescent="0.25">
      <c r="A18" s="9" t="s">
        <v>4</v>
      </c>
      <c r="B18" s="14">
        <f t="shared" ref="B18:D27" si="2">B4/$D$13</f>
        <v>3.9760435944928178E-4</v>
      </c>
      <c r="C18" s="14">
        <f t="shared" si="2"/>
        <v>0.44197113781567021</v>
      </c>
      <c r="D18" s="14">
        <f t="shared" si="2"/>
        <v>0.44236874217511946</v>
      </c>
      <c r="F18" s="9" t="s">
        <v>4</v>
      </c>
      <c r="G18" s="14">
        <f t="shared" ref="G18:I27" si="3">G4/$I$13</f>
        <v>0</v>
      </c>
      <c r="H18" s="14">
        <f t="shared" si="3"/>
        <v>0.34161180652997386</v>
      </c>
      <c r="I18" s="14">
        <f t="shared" si="3"/>
        <v>0.34161180652997386</v>
      </c>
    </row>
    <row r="19" spans="1:14" x14ac:dyDescent="0.25">
      <c r="A19" s="9" t="s">
        <v>5</v>
      </c>
      <c r="B19" s="14">
        <f t="shared" si="2"/>
        <v>3.5140133303838096E-3</v>
      </c>
      <c r="C19" s="14">
        <f t="shared" si="2"/>
        <v>0.23327998089666713</v>
      </c>
      <c r="D19" s="14">
        <f t="shared" si="2"/>
        <v>0.23679399422705094</v>
      </c>
      <c r="F19" s="9" t="s">
        <v>5</v>
      </c>
      <c r="G19" s="14">
        <f t="shared" si="3"/>
        <v>2.458029915643874E-2</v>
      </c>
      <c r="H19" s="14">
        <f t="shared" si="3"/>
        <v>0.24293981930817993</v>
      </c>
      <c r="I19" s="14">
        <f t="shared" si="3"/>
        <v>0.26752011846461871</v>
      </c>
    </row>
    <row r="20" spans="1:14" x14ac:dyDescent="0.25">
      <c r="A20" s="9" t="s">
        <v>6</v>
      </c>
      <c r="B20" s="14">
        <f t="shared" si="2"/>
        <v>2.1527604307547564E-5</v>
      </c>
      <c r="C20" s="14">
        <f t="shared" si="2"/>
        <v>0.11734983257804057</v>
      </c>
      <c r="D20" s="14">
        <f t="shared" si="2"/>
        <v>0.11737136018234813</v>
      </c>
      <c r="F20" s="9" t="s">
        <v>6</v>
      </c>
      <c r="G20" s="14">
        <f t="shared" si="3"/>
        <v>1.4354683955697781E-2</v>
      </c>
      <c r="H20" s="14">
        <f t="shared" si="3"/>
        <v>0.25904984276816762</v>
      </c>
      <c r="I20" s="14">
        <f t="shared" si="3"/>
        <v>0.27340452672386539</v>
      </c>
    </row>
    <row r="21" spans="1:14" x14ac:dyDescent="0.25">
      <c r="A21" s="9" t="s">
        <v>7</v>
      </c>
      <c r="B21" s="14">
        <f t="shared" si="2"/>
        <v>0</v>
      </c>
      <c r="C21" s="14">
        <f t="shared" si="2"/>
        <v>0</v>
      </c>
      <c r="D21" s="14">
        <f t="shared" si="2"/>
        <v>0</v>
      </c>
      <c r="F21" s="9" t="s">
        <v>7</v>
      </c>
      <c r="G21" s="14">
        <f t="shared" si="3"/>
        <v>0</v>
      </c>
      <c r="H21" s="14">
        <f t="shared" si="3"/>
        <v>0</v>
      </c>
      <c r="I21" s="14">
        <f t="shared" si="3"/>
        <v>0</v>
      </c>
    </row>
    <row r="22" spans="1:14" x14ac:dyDescent="0.25">
      <c r="A22" s="9" t="s">
        <v>8</v>
      </c>
      <c r="B22" s="14">
        <f t="shared" si="2"/>
        <v>4.9347776407571375E-2</v>
      </c>
      <c r="C22" s="14">
        <f t="shared" si="2"/>
        <v>6.0012444913034434E-3</v>
      </c>
      <c r="D22" s="14">
        <f t="shared" si="2"/>
        <v>5.5349020898874821E-2</v>
      </c>
      <c r="F22" s="9" t="s">
        <v>8</v>
      </c>
      <c r="G22" s="14">
        <f t="shared" si="3"/>
        <v>6.9201417582234748E-3</v>
      </c>
      <c r="H22" s="14">
        <f t="shared" si="3"/>
        <v>4.5034302606110693E-3</v>
      </c>
      <c r="I22" s="14">
        <f t="shared" si="3"/>
        <v>1.1423572018834543E-2</v>
      </c>
    </row>
    <row r="23" spans="1:14" x14ac:dyDescent="0.25">
      <c r="A23" s="9" t="s">
        <v>9</v>
      </c>
      <c r="B23" s="14">
        <f t="shared" si="2"/>
        <v>3.1114836634109941E-4</v>
      </c>
      <c r="C23" s="14">
        <f t="shared" si="2"/>
        <v>1.6442805633205427E-3</v>
      </c>
      <c r="D23" s="14">
        <f t="shared" si="2"/>
        <v>1.9554289296616423E-3</v>
      </c>
      <c r="F23" s="9" t="s">
        <v>9</v>
      </c>
      <c r="G23" s="14">
        <f t="shared" si="3"/>
        <v>8.2026765461130184E-3</v>
      </c>
      <c r="H23" s="14">
        <f t="shared" si="3"/>
        <v>1.5226807611462672E-2</v>
      </c>
      <c r="I23" s="14">
        <f t="shared" si="3"/>
        <v>2.3429484157575689E-2</v>
      </c>
    </row>
    <row r="24" spans="1:14" x14ac:dyDescent="0.25">
      <c r="A24" s="9" t="s">
        <v>10</v>
      </c>
      <c r="B24" s="14">
        <f t="shared" si="2"/>
        <v>7.9219495446230276E-2</v>
      </c>
      <c r="C24" s="14">
        <f t="shared" si="2"/>
        <v>6.6908236955898384E-2</v>
      </c>
      <c r="D24" s="14">
        <f t="shared" si="2"/>
        <v>0.14612773240212867</v>
      </c>
      <c r="F24" s="9" t="s">
        <v>10</v>
      </c>
      <c r="G24" s="14">
        <f t="shared" si="3"/>
        <v>2.4620508355194196E-2</v>
      </c>
      <c r="H24" s="14">
        <f t="shared" si="3"/>
        <v>5.106290937123905E-2</v>
      </c>
      <c r="I24" s="14">
        <f t="shared" si="3"/>
        <v>7.568341772643325E-2</v>
      </c>
    </row>
    <row r="25" spans="1:14" x14ac:dyDescent="0.25">
      <c r="A25" s="9" t="s">
        <v>11</v>
      </c>
      <c r="B25" s="14">
        <f t="shared" si="2"/>
        <v>0</v>
      </c>
      <c r="C25" s="14">
        <f t="shared" si="2"/>
        <v>3.37211848162556E-5</v>
      </c>
      <c r="D25" s="14">
        <f t="shared" si="2"/>
        <v>3.37211848162556E-5</v>
      </c>
      <c r="F25" s="9" t="s">
        <v>11</v>
      </c>
      <c r="G25" s="14">
        <f t="shared" si="3"/>
        <v>0</v>
      </c>
      <c r="H25" s="14">
        <f t="shared" si="3"/>
        <v>0</v>
      </c>
      <c r="I25" s="14">
        <f t="shared" si="3"/>
        <v>0</v>
      </c>
    </row>
    <row r="26" spans="1:14" x14ac:dyDescent="0.25">
      <c r="A26" s="12" t="s">
        <v>12</v>
      </c>
      <c r="B26" s="15">
        <f t="shared" si="2"/>
        <v>0</v>
      </c>
      <c r="C26" s="15">
        <f t="shared" si="2"/>
        <v>0</v>
      </c>
      <c r="D26" s="15">
        <f t="shared" si="2"/>
        <v>0</v>
      </c>
      <c r="F26" s="12" t="s">
        <v>12</v>
      </c>
      <c r="G26" s="15">
        <f t="shared" si="3"/>
        <v>2.3640235820018081E-3</v>
      </c>
      <c r="H26" s="15">
        <f t="shared" si="3"/>
        <v>4.563050796696745E-3</v>
      </c>
      <c r="I26" s="15">
        <f t="shared" si="3"/>
        <v>6.9270743786985526E-3</v>
      </c>
    </row>
    <row r="27" spans="1:14" ht="15.75" customHeight="1" thickBot="1" x14ac:dyDescent="0.3">
      <c r="A27" s="10" t="s">
        <v>3</v>
      </c>
      <c r="B27" s="16">
        <f t="shared" si="2"/>
        <v>0.13281156551428339</v>
      </c>
      <c r="C27" s="16">
        <f t="shared" si="2"/>
        <v>0.86718843448571659</v>
      </c>
      <c r="D27" s="16">
        <f t="shared" si="2"/>
        <v>1</v>
      </c>
      <c r="F27" s="10" t="s">
        <v>3</v>
      </c>
      <c r="G27" s="16">
        <f t="shared" si="3"/>
        <v>8.1042333353669019E-2</v>
      </c>
      <c r="H27" s="16">
        <f t="shared" si="3"/>
        <v>0.91895766664633094</v>
      </c>
      <c r="I27" s="16">
        <f t="shared" si="3"/>
        <v>1</v>
      </c>
    </row>
    <row r="30" spans="1:14" ht="15.75" customHeight="1" thickBot="1" x14ac:dyDescent="0.3">
      <c r="F30" s="1" t="s">
        <v>41</v>
      </c>
      <c r="G30" s="1"/>
      <c r="H30" s="3"/>
      <c r="I30" s="3"/>
      <c r="K30" s="18" t="s">
        <v>42</v>
      </c>
      <c r="L30" s="18"/>
      <c r="M30" s="19"/>
      <c r="N30" s="19"/>
    </row>
    <row r="31" spans="1:14" x14ac:dyDescent="0.25">
      <c r="F31" s="2" t="s">
        <v>2</v>
      </c>
      <c r="G31" s="4" t="s">
        <v>18</v>
      </c>
      <c r="H31" s="4" t="s">
        <v>19</v>
      </c>
      <c r="I31" s="7" t="s">
        <v>3</v>
      </c>
      <c r="K31" s="23" t="s">
        <v>2</v>
      </c>
      <c r="L31" s="24" t="s">
        <v>22</v>
      </c>
      <c r="M31" s="24" t="s">
        <v>23</v>
      </c>
      <c r="N31" s="25" t="s">
        <v>24</v>
      </c>
    </row>
    <row r="32" spans="1:14" x14ac:dyDescent="0.25">
      <c r="F32" s="9" t="s">
        <v>4</v>
      </c>
      <c r="G32" s="14">
        <f t="shared" ref="G32:G41" si="4">G18-B18</f>
        <v>-3.9760435944928178E-4</v>
      </c>
      <c r="H32" s="14">
        <f t="shared" ref="H32:H41" si="5">H18-C18</f>
        <v>-0.10035933128569635</v>
      </c>
      <c r="I32" s="14">
        <f t="shared" ref="I32:I41" si="6">I18-D18</f>
        <v>-0.1007569356451456</v>
      </c>
      <c r="K32" s="20" t="s">
        <v>4</v>
      </c>
      <c r="L32" s="21">
        <f t="shared" ref="L32:L41" si="7">D18</f>
        <v>0.44236874217511946</v>
      </c>
      <c r="M32" s="21">
        <f t="shared" ref="M32:M41" si="8">I18</f>
        <v>0.34161180652997386</v>
      </c>
      <c r="N32" s="21">
        <f t="shared" ref="N32:N41" si="9">M32-L32</f>
        <v>-0.1007569356451456</v>
      </c>
    </row>
    <row r="33" spans="6:14" x14ac:dyDescent="0.25">
      <c r="F33" s="9" t="s">
        <v>5</v>
      </c>
      <c r="G33" s="14">
        <f t="shared" si="4"/>
        <v>2.106628582605493E-2</v>
      </c>
      <c r="H33" s="14">
        <f t="shared" si="5"/>
        <v>9.6598384115128E-3</v>
      </c>
      <c r="I33" s="14">
        <f t="shared" si="6"/>
        <v>3.0726124237567765E-2</v>
      </c>
      <c r="K33" s="26" t="s">
        <v>5</v>
      </c>
      <c r="L33" s="27">
        <f t="shared" si="7"/>
        <v>0.23679399422705094</v>
      </c>
      <c r="M33" s="27">
        <f t="shared" si="8"/>
        <v>0.26752011846461871</v>
      </c>
      <c r="N33" s="27">
        <f t="shared" si="9"/>
        <v>3.0726124237567765E-2</v>
      </c>
    </row>
    <row r="34" spans="6:14" x14ac:dyDescent="0.25">
      <c r="F34" s="9" t="s">
        <v>6</v>
      </c>
      <c r="G34" s="14">
        <f t="shared" si="4"/>
        <v>1.4333156351390234E-2</v>
      </c>
      <c r="H34" s="14">
        <f t="shared" si="5"/>
        <v>0.14170001019012704</v>
      </c>
      <c r="I34" s="14">
        <f t="shared" si="6"/>
        <v>0.15603316654151728</v>
      </c>
      <c r="K34" s="20" t="s">
        <v>6</v>
      </c>
      <c r="L34" s="21">
        <f t="shared" si="7"/>
        <v>0.11737136018234813</v>
      </c>
      <c r="M34" s="21">
        <f t="shared" si="8"/>
        <v>0.27340452672386539</v>
      </c>
      <c r="N34" s="21">
        <f t="shared" si="9"/>
        <v>0.15603316654151728</v>
      </c>
    </row>
    <row r="35" spans="6:14" x14ac:dyDescent="0.25">
      <c r="F35" s="9" t="s">
        <v>7</v>
      </c>
      <c r="G35" s="14">
        <f t="shared" si="4"/>
        <v>0</v>
      </c>
      <c r="H35" s="14">
        <f t="shared" si="5"/>
        <v>0</v>
      </c>
      <c r="I35" s="14">
        <f t="shared" si="6"/>
        <v>0</v>
      </c>
      <c r="K35" s="26" t="s">
        <v>7</v>
      </c>
      <c r="L35" s="27">
        <f t="shared" si="7"/>
        <v>0</v>
      </c>
      <c r="M35" s="27">
        <f t="shared" si="8"/>
        <v>0</v>
      </c>
      <c r="N35" s="27">
        <f t="shared" si="9"/>
        <v>0</v>
      </c>
    </row>
    <row r="36" spans="6:14" x14ac:dyDescent="0.25">
      <c r="F36" s="9" t="s">
        <v>8</v>
      </c>
      <c r="G36" s="14">
        <f t="shared" si="4"/>
        <v>-4.2427634649347901E-2</v>
      </c>
      <c r="H36" s="14">
        <f t="shared" si="5"/>
        <v>-1.4978142306923741E-3</v>
      </c>
      <c r="I36" s="14">
        <f t="shared" si="6"/>
        <v>-4.3925448880040276E-2</v>
      </c>
      <c r="K36" s="20" t="s">
        <v>8</v>
      </c>
      <c r="L36" s="21">
        <f t="shared" si="7"/>
        <v>5.5349020898874821E-2</v>
      </c>
      <c r="M36" s="21">
        <f t="shared" si="8"/>
        <v>1.1423572018834543E-2</v>
      </c>
      <c r="N36" s="21">
        <f t="shared" si="9"/>
        <v>-4.3925448880040276E-2</v>
      </c>
    </row>
    <row r="37" spans="6:14" x14ac:dyDescent="0.25">
      <c r="F37" s="9" t="s">
        <v>9</v>
      </c>
      <c r="G37" s="14">
        <f t="shared" si="4"/>
        <v>7.8915281797719197E-3</v>
      </c>
      <c r="H37" s="14">
        <f t="shared" si="5"/>
        <v>1.358252704814213E-2</v>
      </c>
      <c r="I37" s="14">
        <f t="shared" si="6"/>
        <v>2.1474055227914048E-2</v>
      </c>
      <c r="K37" s="26" t="s">
        <v>9</v>
      </c>
      <c r="L37" s="27">
        <f t="shared" si="7"/>
        <v>1.9554289296616423E-3</v>
      </c>
      <c r="M37" s="27">
        <f t="shared" si="8"/>
        <v>2.3429484157575689E-2</v>
      </c>
      <c r="N37" s="27">
        <f t="shared" si="9"/>
        <v>2.1474055227914048E-2</v>
      </c>
    </row>
    <row r="38" spans="6:14" x14ac:dyDescent="0.25">
      <c r="F38" s="9" t="s">
        <v>10</v>
      </c>
      <c r="G38" s="14">
        <f t="shared" si="4"/>
        <v>-5.4598987091036083E-2</v>
      </c>
      <c r="H38" s="14">
        <f t="shared" si="5"/>
        <v>-1.5845327584659334E-2</v>
      </c>
      <c r="I38" s="14">
        <f t="shared" si="6"/>
        <v>-7.0444314675695424E-2</v>
      </c>
      <c r="K38" s="20" t="s">
        <v>10</v>
      </c>
      <c r="L38" s="21">
        <f t="shared" si="7"/>
        <v>0.14612773240212867</v>
      </c>
      <c r="M38" s="21">
        <f t="shared" si="8"/>
        <v>7.568341772643325E-2</v>
      </c>
      <c r="N38" s="21">
        <f t="shared" si="9"/>
        <v>-7.0444314675695424E-2</v>
      </c>
    </row>
    <row r="39" spans="6:14" x14ac:dyDescent="0.25">
      <c r="F39" s="9" t="s">
        <v>11</v>
      </c>
      <c r="G39" s="14">
        <f t="shared" si="4"/>
        <v>0</v>
      </c>
      <c r="H39" s="14">
        <f t="shared" si="5"/>
        <v>-3.37211848162556E-5</v>
      </c>
      <c r="I39" s="14">
        <f t="shared" si="6"/>
        <v>-3.37211848162556E-5</v>
      </c>
      <c r="K39" s="26" t="s">
        <v>11</v>
      </c>
      <c r="L39" s="27">
        <f t="shared" si="7"/>
        <v>3.37211848162556E-5</v>
      </c>
      <c r="M39" s="27">
        <f t="shared" si="8"/>
        <v>0</v>
      </c>
      <c r="N39" s="27">
        <f t="shared" si="9"/>
        <v>-3.37211848162556E-5</v>
      </c>
    </row>
    <row r="40" spans="6:14" x14ac:dyDescent="0.25">
      <c r="F40" s="12" t="s">
        <v>12</v>
      </c>
      <c r="G40" s="15">
        <f t="shared" si="4"/>
        <v>2.3640235820018081E-3</v>
      </c>
      <c r="H40" s="15">
        <f t="shared" si="5"/>
        <v>4.563050796696745E-3</v>
      </c>
      <c r="I40" s="15">
        <f t="shared" si="6"/>
        <v>6.9270743786985526E-3</v>
      </c>
      <c r="K40" s="20" t="s">
        <v>12</v>
      </c>
      <c r="L40" s="21">
        <f t="shared" si="7"/>
        <v>0</v>
      </c>
      <c r="M40" s="21">
        <f t="shared" si="8"/>
        <v>6.9270743786985526E-3</v>
      </c>
      <c r="N40" s="21">
        <f t="shared" si="9"/>
        <v>6.9270743786985526E-3</v>
      </c>
    </row>
    <row r="41" spans="6:14" ht="15.75" customHeight="1" thickBot="1" x14ac:dyDescent="0.3">
      <c r="F41" s="10" t="s">
        <v>3</v>
      </c>
      <c r="G41" s="16">
        <f t="shared" si="4"/>
        <v>-5.1769232160614367E-2</v>
      </c>
      <c r="H41" s="16">
        <f t="shared" si="5"/>
        <v>5.1769232160614354E-2</v>
      </c>
      <c r="I41" s="16">
        <f t="shared" si="6"/>
        <v>0</v>
      </c>
      <c r="K41" s="72" t="s">
        <v>3</v>
      </c>
      <c r="L41" s="22">
        <f t="shared" si="7"/>
        <v>1</v>
      </c>
      <c r="M41" s="22">
        <f t="shared" si="8"/>
        <v>1</v>
      </c>
      <c r="N41" s="22">
        <f t="shared" si="9"/>
        <v>0</v>
      </c>
    </row>
  </sheetData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N41"/>
  <sheetViews>
    <sheetView workbookViewId="0">
      <selection activeCell="H10" sqref="H10"/>
    </sheetView>
  </sheetViews>
  <sheetFormatPr defaultRowHeight="15" x14ac:dyDescent="0.25"/>
  <cols>
    <col min="1" max="4" width="16.7109375" customWidth="1" collapsed="1"/>
    <col min="6" max="9" width="16.7109375" customWidth="1" collapsed="1"/>
    <col min="11" max="11" width="16.7109375" customWidth="1" collapsed="1"/>
    <col min="12" max="14" width="11.85546875" customWidth="1" collapsed="1"/>
  </cols>
  <sheetData>
    <row r="2" spans="1:9" ht="15.75" customHeight="1" thickBot="1" x14ac:dyDescent="0.3">
      <c r="A2" s="1" t="s">
        <v>43</v>
      </c>
      <c r="B2" s="1"/>
      <c r="C2" s="3"/>
      <c r="D2" s="3"/>
      <c r="F2" s="1" t="s">
        <v>44</v>
      </c>
      <c r="G2" s="1"/>
      <c r="H2" s="3"/>
      <c r="I2" s="3"/>
    </row>
    <row r="3" spans="1:9" x14ac:dyDescent="0.25">
      <c r="A3" s="2" t="s">
        <v>2</v>
      </c>
      <c r="B3" s="4" t="s">
        <v>18</v>
      </c>
      <c r="C3" s="4" t="s">
        <v>19</v>
      </c>
      <c r="D3" s="7" t="s">
        <v>3</v>
      </c>
      <c r="F3" s="2" t="s">
        <v>2</v>
      </c>
      <c r="G3" s="4" t="s">
        <v>18</v>
      </c>
      <c r="H3" s="4" t="s">
        <v>19</v>
      </c>
      <c r="I3" s="7" t="s">
        <v>3</v>
      </c>
    </row>
    <row r="4" spans="1:9" x14ac:dyDescent="0.25">
      <c r="A4" s="9" t="s">
        <v>4</v>
      </c>
      <c r="B4" s="9">
        <v>165.57872763317329</v>
      </c>
      <c r="C4" s="9">
        <v>59507.707556659843</v>
      </c>
      <c r="D4" s="9">
        <f t="shared" ref="D4:D13" si="0">SUM(B4:C4)</f>
        <v>59673.286284293019</v>
      </c>
      <c r="E4" s="9"/>
      <c r="F4" s="9" t="s">
        <v>4</v>
      </c>
      <c r="G4" s="9">
        <v>0</v>
      </c>
      <c r="H4" s="9">
        <v>39695</v>
      </c>
      <c r="I4" s="9">
        <f t="shared" ref="I4:I13" si="1">SUM(G4:H4)</f>
        <v>39695</v>
      </c>
    </row>
    <row r="5" spans="1:9" x14ac:dyDescent="0.25">
      <c r="A5" s="9" t="s">
        <v>5</v>
      </c>
      <c r="B5" s="9">
        <v>75.7744760573338</v>
      </c>
      <c r="C5" s="9">
        <v>130844.1671621295</v>
      </c>
      <c r="D5" s="9">
        <f t="shared" si="0"/>
        <v>130919.94163818684</v>
      </c>
      <c r="E5" s="9"/>
      <c r="F5" s="9" t="s">
        <v>5</v>
      </c>
      <c r="G5" s="9">
        <v>2439</v>
      </c>
      <c r="H5" s="9">
        <v>75885</v>
      </c>
      <c r="I5" s="9">
        <f t="shared" si="1"/>
        <v>78324</v>
      </c>
    </row>
    <row r="6" spans="1:9" x14ac:dyDescent="0.25">
      <c r="A6" s="9" t="s">
        <v>6</v>
      </c>
      <c r="B6" s="9">
        <v>235.9867262787715</v>
      </c>
      <c r="C6" s="9">
        <v>71397.065209739405</v>
      </c>
      <c r="D6" s="9">
        <f t="shared" si="0"/>
        <v>71633.051936018179</v>
      </c>
      <c r="E6" s="9"/>
      <c r="F6" s="9" t="s">
        <v>6</v>
      </c>
      <c r="G6" s="9">
        <v>1478</v>
      </c>
      <c r="H6" s="9">
        <v>65018</v>
      </c>
      <c r="I6" s="9">
        <f t="shared" si="1"/>
        <v>66496</v>
      </c>
    </row>
    <row r="7" spans="1:9" x14ac:dyDescent="0.25">
      <c r="A7" s="9" t="s">
        <v>7</v>
      </c>
      <c r="B7" s="9">
        <v>73.456596268555799</v>
      </c>
      <c r="C7" s="9">
        <v>0</v>
      </c>
      <c r="D7" s="9">
        <f t="shared" si="0"/>
        <v>73.456596268555799</v>
      </c>
      <c r="E7" s="9"/>
      <c r="F7" s="9" t="s">
        <v>7</v>
      </c>
      <c r="G7" s="9">
        <v>0</v>
      </c>
      <c r="H7" s="9">
        <v>0</v>
      </c>
      <c r="I7" s="9">
        <f t="shared" si="1"/>
        <v>0</v>
      </c>
    </row>
    <row r="8" spans="1:9" x14ac:dyDescent="0.25">
      <c r="A8" s="9" t="s">
        <v>8</v>
      </c>
      <c r="B8" s="9">
        <v>2168.8607042033168</v>
      </c>
      <c r="C8" s="9">
        <v>891.85459788023002</v>
      </c>
      <c r="D8" s="9">
        <f t="shared" si="0"/>
        <v>3060.7153020835467</v>
      </c>
      <c r="E8" s="9"/>
      <c r="F8" s="9" t="s">
        <v>8</v>
      </c>
      <c r="G8" s="9">
        <v>950</v>
      </c>
      <c r="H8" s="9">
        <v>1629</v>
      </c>
      <c r="I8" s="9">
        <f t="shared" si="1"/>
        <v>2579</v>
      </c>
    </row>
    <row r="9" spans="1:9" x14ac:dyDescent="0.25">
      <c r="A9" s="9" t="s">
        <v>9</v>
      </c>
      <c r="B9" s="9">
        <v>2855.9189271781952</v>
      </c>
      <c r="C9" s="9">
        <v>764.94692309116738</v>
      </c>
      <c r="D9" s="9">
        <f t="shared" si="0"/>
        <v>3620.8658502693625</v>
      </c>
      <c r="E9" s="9"/>
      <c r="F9" s="9" t="s">
        <v>9</v>
      </c>
      <c r="G9" s="9">
        <v>255</v>
      </c>
      <c r="H9" s="9">
        <v>1195</v>
      </c>
      <c r="I9" s="9">
        <f t="shared" si="1"/>
        <v>1450</v>
      </c>
    </row>
    <row r="10" spans="1:9" x14ac:dyDescent="0.25">
      <c r="A10" s="9" t="s">
        <v>10</v>
      </c>
      <c r="B10" s="9">
        <v>10037.74918124969</v>
      </c>
      <c r="C10" s="9">
        <v>21343.548260216721</v>
      </c>
      <c r="D10" s="9">
        <f t="shared" si="0"/>
        <v>31381.297441466413</v>
      </c>
      <c r="E10" s="9"/>
      <c r="F10" s="9" t="s">
        <v>10</v>
      </c>
      <c r="G10" s="9">
        <v>6436</v>
      </c>
      <c r="H10" s="9">
        <v>36752</v>
      </c>
      <c r="I10" s="9">
        <f t="shared" si="1"/>
        <v>43188</v>
      </c>
    </row>
    <row r="11" spans="1:9" x14ac:dyDescent="0.25">
      <c r="A11" s="9" t="s">
        <v>11</v>
      </c>
      <c r="B11" s="9">
        <v>0</v>
      </c>
      <c r="C11" s="9">
        <v>0</v>
      </c>
      <c r="D11" s="9">
        <f t="shared" si="0"/>
        <v>0</v>
      </c>
      <c r="E11" s="9"/>
      <c r="F11" s="9" t="s">
        <v>11</v>
      </c>
      <c r="G11" s="9">
        <v>0</v>
      </c>
      <c r="H11" s="9">
        <v>0</v>
      </c>
      <c r="I11" s="9">
        <f t="shared" si="1"/>
        <v>0</v>
      </c>
    </row>
    <row r="12" spans="1:9" x14ac:dyDescent="0.25">
      <c r="A12" s="12" t="s">
        <v>12</v>
      </c>
      <c r="B12" s="12">
        <v>0</v>
      </c>
      <c r="C12" s="12">
        <v>0</v>
      </c>
      <c r="D12" s="12">
        <f t="shared" si="0"/>
        <v>0</v>
      </c>
      <c r="E12" s="9"/>
      <c r="F12" s="12" t="s">
        <v>12</v>
      </c>
      <c r="G12" s="12">
        <v>160</v>
      </c>
      <c r="H12" s="12">
        <v>529</v>
      </c>
      <c r="I12" s="12">
        <f t="shared" si="1"/>
        <v>689</v>
      </c>
    </row>
    <row r="13" spans="1:9" ht="15.75" customHeight="1" thickBot="1" x14ac:dyDescent="0.3">
      <c r="A13" s="10" t="s">
        <v>3</v>
      </c>
      <c r="B13" s="10">
        <f>SUM(B4:B12)</f>
        <v>15613.325338869035</v>
      </c>
      <c r="C13" s="10">
        <f>SUM(C4:C12)</f>
        <v>284749.28970971686</v>
      </c>
      <c r="D13" s="10">
        <f t="shared" si="0"/>
        <v>300362.61504858593</v>
      </c>
      <c r="F13" s="10" t="s">
        <v>3</v>
      </c>
      <c r="G13" s="10">
        <f>SUM(G4:G12)</f>
        <v>11718</v>
      </c>
      <c r="H13" s="10">
        <f>SUM(H4:H12)</f>
        <v>220703</v>
      </c>
      <c r="I13" s="10">
        <f t="shared" si="1"/>
        <v>232421</v>
      </c>
    </row>
    <row r="16" spans="1:9" ht="15.75" customHeight="1" thickBot="1" x14ac:dyDescent="0.3">
      <c r="A16" s="1" t="s">
        <v>43</v>
      </c>
      <c r="B16" s="1"/>
      <c r="C16" s="3"/>
      <c r="D16" s="3"/>
      <c r="F16" s="1" t="s">
        <v>44</v>
      </c>
      <c r="G16" s="1"/>
      <c r="H16" s="3"/>
      <c r="I16" s="3"/>
    </row>
    <row r="17" spans="1:14" x14ac:dyDescent="0.25">
      <c r="A17" s="2" t="s">
        <v>2</v>
      </c>
      <c r="B17" s="4" t="s">
        <v>18</v>
      </c>
      <c r="C17" s="4" t="s">
        <v>19</v>
      </c>
      <c r="D17" s="7" t="s">
        <v>3</v>
      </c>
      <c r="F17" s="2" t="s">
        <v>2</v>
      </c>
      <c r="G17" s="4" t="s">
        <v>18</v>
      </c>
      <c r="H17" s="4" t="s">
        <v>19</v>
      </c>
      <c r="I17" s="7" t="s">
        <v>3</v>
      </c>
    </row>
    <row r="18" spans="1:14" x14ac:dyDescent="0.25">
      <c r="A18" s="9" t="s">
        <v>4</v>
      </c>
      <c r="B18" s="14">
        <f t="shared" ref="B18:D27" si="2">B4/$D$13</f>
        <v>5.5126277152164785E-4</v>
      </c>
      <c r="C18" s="14">
        <f t="shared" si="2"/>
        <v>0.19811955474896242</v>
      </c>
      <c r="D18" s="14">
        <f t="shared" si="2"/>
        <v>0.19867081752048407</v>
      </c>
      <c r="F18" s="9" t="s">
        <v>4</v>
      </c>
      <c r="G18" s="14">
        <f t="shared" ref="G18:I27" si="3">G4/$I$13</f>
        <v>0</v>
      </c>
      <c r="H18" s="14">
        <f t="shared" si="3"/>
        <v>0.17078921439973152</v>
      </c>
      <c r="I18" s="14">
        <f t="shared" si="3"/>
        <v>0.17078921439973152</v>
      </c>
    </row>
    <row r="19" spans="1:14" x14ac:dyDescent="0.25">
      <c r="A19" s="9" t="s">
        <v>5</v>
      </c>
      <c r="B19" s="14">
        <f t="shared" si="2"/>
        <v>2.5227665581842372E-4</v>
      </c>
      <c r="C19" s="14">
        <f t="shared" si="2"/>
        <v>0.43562068182474861</v>
      </c>
      <c r="D19" s="14">
        <f t="shared" si="2"/>
        <v>0.43587295848056706</v>
      </c>
      <c r="F19" s="9" t="s">
        <v>5</v>
      </c>
      <c r="G19" s="14">
        <f t="shared" si="3"/>
        <v>1.0493888245898607E-2</v>
      </c>
      <c r="H19" s="14">
        <f t="shared" si="3"/>
        <v>0.32649803589176535</v>
      </c>
      <c r="I19" s="14">
        <f t="shared" si="3"/>
        <v>0.33699192413766399</v>
      </c>
    </row>
    <row r="20" spans="1:14" x14ac:dyDescent="0.25">
      <c r="A20" s="9" t="s">
        <v>6</v>
      </c>
      <c r="B20" s="14">
        <f t="shared" si="2"/>
        <v>7.8567276503635063E-4</v>
      </c>
      <c r="C20" s="14">
        <f t="shared" si="2"/>
        <v>0.23770290186809831</v>
      </c>
      <c r="D20" s="14">
        <f t="shared" si="2"/>
        <v>0.23848857463313466</v>
      </c>
      <c r="F20" s="9" t="s">
        <v>6</v>
      </c>
      <c r="G20" s="14">
        <f t="shared" si="3"/>
        <v>6.3591499907495446E-3</v>
      </c>
      <c r="H20" s="14">
        <f t="shared" si="3"/>
        <v>0.2797423640720933</v>
      </c>
      <c r="I20" s="14">
        <f t="shared" si="3"/>
        <v>0.28610151406284284</v>
      </c>
    </row>
    <row r="21" spans="1:14" x14ac:dyDescent="0.25">
      <c r="A21" s="9" t="s">
        <v>7</v>
      </c>
      <c r="B21" s="14">
        <f t="shared" si="2"/>
        <v>2.4455971744910277E-4</v>
      </c>
      <c r="C21" s="14">
        <f t="shared" si="2"/>
        <v>0</v>
      </c>
      <c r="D21" s="14">
        <f t="shared" si="2"/>
        <v>2.4455971744910277E-4</v>
      </c>
      <c r="F21" s="9" t="s">
        <v>7</v>
      </c>
      <c r="G21" s="14">
        <f t="shared" si="3"/>
        <v>0</v>
      </c>
      <c r="H21" s="14">
        <f t="shared" si="3"/>
        <v>0</v>
      </c>
      <c r="I21" s="14">
        <f t="shared" si="3"/>
        <v>0</v>
      </c>
    </row>
    <row r="22" spans="1:14" x14ac:dyDescent="0.25">
      <c r="A22" s="9" t="s">
        <v>8</v>
      </c>
      <c r="B22" s="14">
        <f t="shared" si="2"/>
        <v>7.2208077688113324E-3</v>
      </c>
      <c r="C22" s="14">
        <f t="shared" si="2"/>
        <v>2.9692596654745658E-3</v>
      </c>
      <c r="D22" s="14">
        <f t="shared" si="2"/>
        <v>1.0190067434285898E-2</v>
      </c>
      <c r="F22" s="9" t="s">
        <v>8</v>
      </c>
      <c r="G22" s="14">
        <f t="shared" si="3"/>
        <v>4.0874103458809659E-3</v>
      </c>
      <c r="H22" s="14">
        <f t="shared" si="3"/>
        <v>7.0088331088843095E-3</v>
      </c>
      <c r="I22" s="14">
        <f t="shared" si="3"/>
        <v>1.1096243454765274E-2</v>
      </c>
    </row>
    <row r="23" spans="1:14" x14ac:dyDescent="0.25">
      <c r="A23" s="9" t="s">
        <v>9</v>
      </c>
      <c r="B23" s="14">
        <f t="shared" si="2"/>
        <v>9.5082369911988832E-3</v>
      </c>
      <c r="C23" s="14">
        <f t="shared" si="2"/>
        <v>2.5467447836923095E-3</v>
      </c>
      <c r="D23" s="14">
        <f t="shared" si="2"/>
        <v>1.2054981774891192E-2</v>
      </c>
      <c r="F23" s="9" t="s">
        <v>9</v>
      </c>
      <c r="G23" s="14">
        <f t="shared" si="3"/>
        <v>1.0971469875785751E-3</v>
      </c>
      <c r="H23" s="14">
        <f t="shared" si="3"/>
        <v>5.1415319613976364E-3</v>
      </c>
      <c r="I23" s="14">
        <f t="shared" si="3"/>
        <v>6.2386789489762111E-3</v>
      </c>
    </row>
    <row r="24" spans="1:14" x14ac:dyDescent="0.25">
      <c r="A24" s="9" t="s">
        <v>10</v>
      </c>
      <c r="B24" s="14">
        <f t="shared" si="2"/>
        <v>3.3418770107678041E-2</v>
      </c>
      <c r="C24" s="14">
        <f t="shared" si="2"/>
        <v>7.1059270331509938E-2</v>
      </c>
      <c r="D24" s="14">
        <f t="shared" si="2"/>
        <v>0.10447804043918799</v>
      </c>
      <c r="F24" s="9" t="s">
        <v>10</v>
      </c>
      <c r="G24" s="14">
        <f t="shared" si="3"/>
        <v>2.7691129459041997E-2</v>
      </c>
      <c r="H24" s="14">
        <f t="shared" si="3"/>
        <v>0.15812684740191291</v>
      </c>
      <c r="I24" s="14">
        <f t="shared" si="3"/>
        <v>0.18581797686095491</v>
      </c>
    </row>
    <row r="25" spans="1:14" x14ac:dyDescent="0.25">
      <c r="A25" s="9" t="s">
        <v>11</v>
      </c>
      <c r="B25" s="14">
        <f t="shared" si="2"/>
        <v>0</v>
      </c>
      <c r="C25" s="14">
        <f t="shared" si="2"/>
        <v>0</v>
      </c>
      <c r="D25" s="14">
        <f t="shared" si="2"/>
        <v>0</v>
      </c>
      <c r="F25" s="9" t="s">
        <v>11</v>
      </c>
      <c r="G25" s="14">
        <f t="shared" si="3"/>
        <v>0</v>
      </c>
      <c r="H25" s="14">
        <f t="shared" si="3"/>
        <v>0</v>
      </c>
      <c r="I25" s="14">
        <f t="shared" si="3"/>
        <v>0</v>
      </c>
    </row>
    <row r="26" spans="1:14" x14ac:dyDescent="0.25">
      <c r="A26" s="12" t="s">
        <v>12</v>
      </c>
      <c r="B26" s="15">
        <f t="shared" si="2"/>
        <v>0</v>
      </c>
      <c r="C26" s="15">
        <f t="shared" si="2"/>
        <v>0</v>
      </c>
      <c r="D26" s="15">
        <f t="shared" si="2"/>
        <v>0</v>
      </c>
      <c r="F26" s="12" t="s">
        <v>12</v>
      </c>
      <c r="G26" s="15">
        <f t="shared" si="3"/>
        <v>6.8840595299047853E-4</v>
      </c>
      <c r="H26" s="15">
        <f t="shared" si="3"/>
        <v>2.2760421820747696E-3</v>
      </c>
      <c r="I26" s="15">
        <f t="shared" si="3"/>
        <v>2.9644481350652478E-3</v>
      </c>
    </row>
    <row r="27" spans="1:14" ht="15.75" customHeight="1" thickBot="1" x14ac:dyDescent="0.3">
      <c r="A27" s="10" t="s">
        <v>3</v>
      </c>
      <c r="B27" s="16">
        <f t="shared" si="2"/>
        <v>5.1981586777513779E-2</v>
      </c>
      <c r="C27" s="16">
        <f t="shared" si="2"/>
        <v>0.94801841322248614</v>
      </c>
      <c r="D27" s="16">
        <f t="shared" si="2"/>
        <v>1</v>
      </c>
      <c r="F27" s="10" t="s">
        <v>3</v>
      </c>
      <c r="G27" s="16">
        <f t="shared" si="3"/>
        <v>5.0417130982140165E-2</v>
      </c>
      <c r="H27" s="16">
        <f t="shared" si="3"/>
        <v>0.94958286901785982</v>
      </c>
      <c r="I27" s="16">
        <f t="shared" si="3"/>
        <v>1</v>
      </c>
    </row>
    <row r="30" spans="1:14" ht="15.75" customHeight="1" thickBot="1" x14ac:dyDescent="0.3">
      <c r="F30" s="1" t="s">
        <v>45</v>
      </c>
      <c r="G30" s="1"/>
      <c r="H30" s="3"/>
      <c r="I30" s="3"/>
      <c r="K30" s="18" t="s">
        <v>46</v>
      </c>
      <c r="L30" s="18"/>
      <c r="M30" s="19"/>
      <c r="N30" s="19"/>
    </row>
    <row r="31" spans="1:14" x14ac:dyDescent="0.25">
      <c r="F31" s="2" t="s">
        <v>2</v>
      </c>
      <c r="G31" s="4" t="s">
        <v>18</v>
      </c>
      <c r="H31" s="4" t="s">
        <v>19</v>
      </c>
      <c r="I31" s="7" t="s">
        <v>3</v>
      </c>
      <c r="K31" s="23" t="s">
        <v>2</v>
      </c>
      <c r="L31" s="24" t="s">
        <v>22</v>
      </c>
      <c r="M31" s="24" t="s">
        <v>23</v>
      </c>
      <c r="N31" s="25" t="s">
        <v>24</v>
      </c>
    </row>
    <row r="32" spans="1:14" x14ac:dyDescent="0.25">
      <c r="F32" s="9" t="s">
        <v>4</v>
      </c>
      <c r="G32" s="14">
        <f t="shared" ref="G32:G41" si="4">G18-B18</f>
        <v>-5.5126277152164785E-4</v>
      </c>
      <c r="H32" s="14">
        <f t="shared" ref="H32:H41" si="5">H18-C18</f>
        <v>-2.7330340349230903E-2</v>
      </c>
      <c r="I32" s="14">
        <f t="shared" ref="I32:I41" si="6">I18-D18</f>
        <v>-2.7881603120752552E-2</v>
      </c>
      <c r="K32" s="20" t="s">
        <v>4</v>
      </c>
      <c r="L32" s="21">
        <f t="shared" ref="L32:L41" si="7">D18</f>
        <v>0.19867081752048407</v>
      </c>
      <c r="M32" s="21">
        <f t="shared" ref="M32:M41" si="8">I18</f>
        <v>0.17078921439973152</v>
      </c>
      <c r="N32" s="21">
        <f t="shared" ref="N32:N41" si="9">M32-L32</f>
        <v>-2.7881603120752552E-2</v>
      </c>
    </row>
    <row r="33" spans="6:14" x14ac:dyDescent="0.25">
      <c r="F33" s="9" t="s">
        <v>5</v>
      </c>
      <c r="G33" s="14">
        <f t="shared" si="4"/>
        <v>1.0241611590080184E-2</v>
      </c>
      <c r="H33" s="14">
        <f t="shared" si="5"/>
        <v>-0.10912264593298326</v>
      </c>
      <c r="I33" s="14">
        <f t="shared" si="6"/>
        <v>-9.8881034342903074E-2</v>
      </c>
      <c r="K33" s="26" t="s">
        <v>5</v>
      </c>
      <c r="L33" s="27">
        <f t="shared" si="7"/>
        <v>0.43587295848056706</v>
      </c>
      <c r="M33" s="27">
        <f t="shared" si="8"/>
        <v>0.33699192413766399</v>
      </c>
      <c r="N33" s="27">
        <f t="shared" si="9"/>
        <v>-9.8881034342903074E-2</v>
      </c>
    </row>
    <row r="34" spans="6:14" x14ac:dyDescent="0.25">
      <c r="F34" s="9" t="s">
        <v>6</v>
      </c>
      <c r="G34" s="14">
        <f t="shared" si="4"/>
        <v>5.5734772257131941E-3</v>
      </c>
      <c r="H34" s="14">
        <f t="shared" si="5"/>
        <v>4.2039462203994987E-2</v>
      </c>
      <c r="I34" s="14">
        <f t="shared" si="6"/>
        <v>4.7612939429708179E-2</v>
      </c>
      <c r="K34" s="20" t="s">
        <v>6</v>
      </c>
      <c r="L34" s="21">
        <f t="shared" si="7"/>
        <v>0.23848857463313466</v>
      </c>
      <c r="M34" s="21">
        <f t="shared" si="8"/>
        <v>0.28610151406284284</v>
      </c>
      <c r="N34" s="21">
        <f t="shared" si="9"/>
        <v>4.7612939429708179E-2</v>
      </c>
    </row>
    <row r="35" spans="6:14" x14ac:dyDescent="0.25">
      <c r="F35" s="9" t="s">
        <v>7</v>
      </c>
      <c r="G35" s="14">
        <f t="shared" si="4"/>
        <v>-2.4455971744910277E-4</v>
      </c>
      <c r="H35" s="14">
        <f t="shared" si="5"/>
        <v>0</v>
      </c>
      <c r="I35" s="14">
        <f t="shared" si="6"/>
        <v>-2.4455971744910277E-4</v>
      </c>
      <c r="K35" s="26" t="s">
        <v>7</v>
      </c>
      <c r="L35" s="27">
        <f t="shared" si="7"/>
        <v>2.4455971744910277E-4</v>
      </c>
      <c r="M35" s="27">
        <f t="shared" si="8"/>
        <v>0</v>
      </c>
      <c r="N35" s="27">
        <f t="shared" si="9"/>
        <v>-2.4455971744910277E-4</v>
      </c>
    </row>
    <row r="36" spans="6:14" x14ac:dyDescent="0.25">
      <c r="F36" s="9" t="s">
        <v>8</v>
      </c>
      <c r="G36" s="14">
        <f t="shared" si="4"/>
        <v>-3.1333974229303665E-3</v>
      </c>
      <c r="H36" s="14">
        <f t="shared" si="5"/>
        <v>4.0395734434097441E-3</v>
      </c>
      <c r="I36" s="14">
        <f t="shared" si="6"/>
        <v>9.0617602047937673E-4</v>
      </c>
      <c r="K36" s="20" t="s">
        <v>8</v>
      </c>
      <c r="L36" s="21">
        <f t="shared" si="7"/>
        <v>1.0190067434285898E-2</v>
      </c>
      <c r="M36" s="21">
        <f t="shared" si="8"/>
        <v>1.1096243454765274E-2</v>
      </c>
      <c r="N36" s="21">
        <f t="shared" si="9"/>
        <v>9.0617602047937673E-4</v>
      </c>
    </row>
    <row r="37" spans="6:14" x14ac:dyDescent="0.25">
      <c r="F37" s="9" t="s">
        <v>9</v>
      </c>
      <c r="G37" s="14">
        <f t="shared" si="4"/>
        <v>-8.4110900036203085E-3</v>
      </c>
      <c r="H37" s="14">
        <f t="shared" si="5"/>
        <v>2.5947871777053269E-3</v>
      </c>
      <c r="I37" s="14">
        <f t="shared" si="6"/>
        <v>-5.8163028259149811E-3</v>
      </c>
      <c r="K37" s="26" t="s">
        <v>9</v>
      </c>
      <c r="L37" s="27">
        <f t="shared" si="7"/>
        <v>1.2054981774891192E-2</v>
      </c>
      <c r="M37" s="27">
        <f t="shared" si="8"/>
        <v>6.2386789489762111E-3</v>
      </c>
      <c r="N37" s="27">
        <f t="shared" si="9"/>
        <v>-5.8163028259149811E-3</v>
      </c>
    </row>
    <row r="38" spans="6:14" x14ac:dyDescent="0.25">
      <c r="F38" s="9" t="s">
        <v>10</v>
      </c>
      <c r="G38" s="14">
        <f t="shared" si="4"/>
        <v>-5.7276406486360433E-3</v>
      </c>
      <c r="H38" s="14">
        <f t="shared" si="5"/>
        <v>8.7067577070402968E-2</v>
      </c>
      <c r="I38" s="14">
        <f t="shared" si="6"/>
        <v>8.1339936421766929E-2</v>
      </c>
      <c r="K38" s="20" t="s">
        <v>10</v>
      </c>
      <c r="L38" s="21">
        <f t="shared" si="7"/>
        <v>0.10447804043918799</v>
      </c>
      <c r="M38" s="21">
        <f t="shared" si="8"/>
        <v>0.18581797686095491</v>
      </c>
      <c r="N38" s="21">
        <f t="shared" si="9"/>
        <v>8.1339936421766929E-2</v>
      </c>
    </row>
    <row r="39" spans="6:14" x14ac:dyDescent="0.25">
      <c r="F39" s="9" t="s">
        <v>11</v>
      </c>
      <c r="G39" s="14">
        <f t="shared" si="4"/>
        <v>0</v>
      </c>
      <c r="H39" s="14">
        <f t="shared" si="5"/>
        <v>0</v>
      </c>
      <c r="I39" s="14">
        <f t="shared" si="6"/>
        <v>0</v>
      </c>
      <c r="K39" s="26" t="s">
        <v>11</v>
      </c>
      <c r="L39" s="27">
        <f t="shared" si="7"/>
        <v>0</v>
      </c>
      <c r="M39" s="27">
        <f t="shared" si="8"/>
        <v>0</v>
      </c>
      <c r="N39" s="27">
        <f t="shared" si="9"/>
        <v>0</v>
      </c>
    </row>
    <row r="40" spans="6:14" x14ac:dyDescent="0.25">
      <c r="F40" s="12" t="s">
        <v>12</v>
      </c>
      <c r="G40" s="15">
        <f t="shared" si="4"/>
        <v>6.8840595299047853E-4</v>
      </c>
      <c r="H40" s="15">
        <f t="shared" si="5"/>
        <v>2.2760421820747696E-3</v>
      </c>
      <c r="I40" s="15">
        <f t="shared" si="6"/>
        <v>2.9644481350652478E-3</v>
      </c>
      <c r="K40" s="20" t="s">
        <v>12</v>
      </c>
      <c r="L40" s="21">
        <f t="shared" si="7"/>
        <v>0</v>
      </c>
      <c r="M40" s="21">
        <f t="shared" si="8"/>
        <v>2.9644481350652478E-3</v>
      </c>
      <c r="N40" s="21">
        <f t="shared" si="9"/>
        <v>2.9644481350652478E-3</v>
      </c>
    </row>
    <row r="41" spans="6:14" ht="15.75" customHeight="1" thickBot="1" x14ac:dyDescent="0.3">
      <c r="F41" s="10" t="s">
        <v>3</v>
      </c>
      <c r="G41" s="16">
        <f t="shared" si="4"/>
        <v>-1.5644557953736135E-3</v>
      </c>
      <c r="H41" s="16">
        <f t="shared" si="5"/>
        <v>1.564455795373676E-3</v>
      </c>
      <c r="I41" s="16">
        <f t="shared" si="6"/>
        <v>0</v>
      </c>
      <c r="K41" s="72" t="s">
        <v>3</v>
      </c>
      <c r="L41" s="22">
        <f t="shared" si="7"/>
        <v>1</v>
      </c>
      <c r="M41" s="22">
        <f t="shared" si="8"/>
        <v>1</v>
      </c>
      <c r="N41" s="22">
        <f t="shared" si="9"/>
        <v>0</v>
      </c>
    </row>
  </sheetData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N41"/>
  <sheetViews>
    <sheetView workbookViewId="0">
      <selection activeCell="F11" sqref="F11"/>
    </sheetView>
  </sheetViews>
  <sheetFormatPr defaultRowHeight="15" x14ac:dyDescent="0.25"/>
  <cols>
    <col min="1" max="4" width="16.7109375" customWidth="1" collapsed="1"/>
    <col min="6" max="9" width="16.7109375" customWidth="1" collapsed="1"/>
    <col min="11" max="11" width="16.7109375" customWidth="1" collapsed="1"/>
    <col min="12" max="14" width="11.85546875" customWidth="1" collapsed="1"/>
  </cols>
  <sheetData>
    <row r="2" spans="1:9" ht="15.75" customHeight="1" thickBot="1" x14ac:dyDescent="0.3">
      <c r="A2" s="1" t="s">
        <v>47</v>
      </c>
      <c r="B2" s="1"/>
      <c r="C2" s="3"/>
      <c r="D2" s="3"/>
      <c r="F2" s="1" t="s">
        <v>48</v>
      </c>
      <c r="G2" s="1"/>
      <c r="H2" s="3"/>
      <c r="I2" s="3"/>
    </row>
    <row r="3" spans="1:9" x14ac:dyDescent="0.25">
      <c r="A3" s="2" t="s">
        <v>2</v>
      </c>
      <c r="B3" s="4" t="s">
        <v>18</v>
      </c>
      <c r="C3" s="4" t="s">
        <v>19</v>
      </c>
      <c r="D3" s="7" t="s">
        <v>3</v>
      </c>
      <c r="F3" s="2" t="s">
        <v>2</v>
      </c>
      <c r="G3" s="4" t="s">
        <v>18</v>
      </c>
      <c r="H3" s="4" t="s">
        <v>19</v>
      </c>
      <c r="I3" s="7" t="s">
        <v>3</v>
      </c>
    </row>
    <row r="4" spans="1:9" x14ac:dyDescent="0.25">
      <c r="A4" s="9" t="s">
        <v>4</v>
      </c>
      <c r="B4" s="9">
        <v>1091.8531069149501</v>
      </c>
      <c r="C4" s="9">
        <v>382357.08232065919</v>
      </c>
      <c r="D4" s="9">
        <f t="shared" ref="D4:D13" si="0">SUM(B4:C4)</f>
        <v>383448.93542757415</v>
      </c>
      <c r="E4" s="9"/>
      <c r="F4" s="9" t="s">
        <v>4</v>
      </c>
      <c r="G4" s="9">
        <v>0</v>
      </c>
      <c r="H4" s="9">
        <v>191108</v>
      </c>
      <c r="I4" s="9">
        <f t="shared" ref="I4:I13" si="1">SUM(G4:H4)</f>
        <v>191108</v>
      </c>
    </row>
    <row r="5" spans="1:9" x14ac:dyDescent="0.25">
      <c r="A5" s="9" t="s">
        <v>5</v>
      </c>
      <c r="B5" s="9">
        <v>1029.410004343202</v>
      </c>
      <c r="C5" s="9">
        <v>275561.93950390653</v>
      </c>
      <c r="D5" s="9">
        <f t="shared" si="0"/>
        <v>276591.34950824972</v>
      </c>
      <c r="E5" s="9"/>
      <c r="F5" s="9" t="s">
        <v>5</v>
      </c>
      <c r="G5" s="9">
        <v>8595</v>
      </c>
      <c r="H5" s="9">
        <v>226772</v>
      </c>
      <c r="I5" s="9">
        <f t="shared" si="1"/>
        <v>235367</v>
      </c>
    </row>
    <row r="6" spans="1:9" x14ac:dyDescent="0.25">
      <c r="A6" s="9" t="s">
        <v>6</v>
      </c>
      <c r="B6" s="9">
        <v>1281.442964086415</v>
      </c>
      <c r="C6" s="9">
        <v>235417.24127826159</v>
      </c>
      <c r="D6" s="9">
        <f t="shared" si="0"/>
        <v>236698.68424234801</v>
      </c>
      <c r="E6" s="9"/>
      <c r="F6" s="9" t="s">
        <v>6</v>
      </c>
      <c r="G6" s="9">
        <v>5284</v>
      </c>
      <c r="H6" s="9">
        <v>223122</v>
      </c>
      <c r="I6" s="9">
        <f t="shared" si="1"/>
        <v>228406</v>
      </c>
    </row>
    <row r="7" spans="1:9" x14ac:dyDescent="0.25">
      <c r="A7" s="9" t="s">
        <v>7</v>
      </c>
      <c r="B7" s="9">
        <v>216.51788934772529</v>
      </c>
      <c r="C7" s="9">
        <v>7757.2519230766356</v>
      </c>
      <c r="D7" s="9">
        <f t="shared" si="0"/>
        <v>7973.7698124243607</v>
      </c>
      <c r="E7" s="9"/>
      <c r="F7" s="9" t="s">
        <v>7</v>
      </c>
      <c r="G7" s="9">
        <v>0</v>
      </c>
      <c r="H7" s="9">
        <v>0</v>
      </c>
      <c r="I7" s="9">
        <f t="shared" si="1"/>
        <v>0</v>
      </c>
    </row>
    <row r="8" spans="1:9" x14ac:dyDescent="0.25">
      <c r="A8" s="9" t="s">
        <v>8</v>
      </c>
      <c r="B8" s="9">
        <v>12327.644491120751</v>
      </c>
      <c r="C8" s="9">
        <v>38273.003076495334</v>
      </c>
      <c r="D8" s="9">
        <f t="shared" si="0"/>
        <v>50600.647567616084</v>
      </c>
      <c r="E8" s="9"/>
      <c r="F8" s="9" t="s">
        <v>8</v>
      </c>
      <c r="G8" s="9">
        <v>3925</v>
      </c>
      <c r="H8" s="9">
        <v>3595</v>
      </c>
      <c r="I8" s="9">
        <f t="shared" si="1"/>
        <v>7520</v>
      </c>
    </row>
    <row r="9" spans="1:9" x14ac:dyDescent="0.25">
      <c r="A9" s="9" t="s">
        <v>9</v>
      </c>
      <c r="B9" s="9">
        <v>1268.7154812862241</v>
      </c>
      <c r="C9" s="9">
        <v>16925.534947974709</v>
      </c>
      <c r="D9" s="9">
        <f t="shared" si="0"/>
        <v>18194.250429260934</v>
      </c>
      <c r="E9" s="9"/>
      <c r="F9" s="9" t="s">
        <v>9</v>
      </c>
      <c r="G9" s="9">
        <v>2194</v>
      </c>
      <c r="H9" s="9">
        <v>11156</v>
      </c>
      <c r="I9" s="9">
        <f t="shared" si="1"/>
        <v>13350</v>
      </c>
    </row>
    <row r="10" spans="1:9" x14ac:dyDescent="0.25">
      <c r="A10" s="9" t="s">
        <v>10</v>
      </c>
      <c r="B10" s="9">
        <v>19425.86494843326</v>
      </c>
      <c r="C10" s="9">
        <v>230144.17195966319</v>
      </c>
      <c r="D10" s="9">
        <f t="shared" si="0"/>
        <v>249570.03690809646</v>
      </c>
      <c r="E10" s="9"/>
      <c r="F10" s="9" t="s">
        <v>10</v>
      </c>
      <c r="G10" s="9">
        <v>20440</v>
      </c>
      <c r="H10" s="9">
        <v>424680</v>
      </c>
      <c r="I10" s="9">
        <f t="shared" si="1"/>
        <v>445120</v>
      </c>
    </row>
    <row r="11" spans="1:9" x14ac:dyDescent="0.25">
      <c r="A11" s="9" t="s">
        <v>11</v>
      </c>
      <c r="B11" s="9">
        <v>50.456063749575399</v>
      </c>
      <c r="C11" s="9">
        <v>6513.1908905949012</v>
      </c>
      <c r="D11" s="9">
        <f t="shared" si="0"/>
        <v>6563.6469543444764</v>
      </c>
      <c r="E11" s="9"/>
      <c r="F11" s="9" t="s">
        <v>11</v>
      </c>
      <c r="G11" s="9">
        <v>0</v>
      </c>
      <c r="H11" s="9">
        <v>0</v>
      </c>
      <c r="I11" s="9">
        <f t="shared" si="1"/>
        <v>0</v>
      </c>
    </row>
    <row r="12" spans="1:9" x14ac:dyDescent="0.25">
      <c r="A12" s="12" t="s">
        <v>12</v>
      </c>
      <c r="B12" s="12">
        <v>0</v>
      </c>
      <c r="C12" s="12">
        <v>0</v>
      </c>
      <c r="D12" s="12">
        <f t="shared" si="0"/>
        <v>0</v>
      </c>
      <c r="E12" s="9"/>
      <c r="F12" s="12" t="s">
        <v>12</v>
      </c>
      <c r="G12" s="12">
        <v>648</v>
      </c>
      <c r="H12" s="12">
        <v>1601</v>
      </c>
      <c r="I12" s="12">
        <f t="shared" si="1"/>
        <v>2249</v>
      </c>
    </row>
    <row r="13" spans="1:9" ht="15.75" customHeight="1" thickBot="1" x14ac:dyDescent="0.3">
      <c r="A13" s="10" t="s">
        <v>3</v>
      </c>
      <c r="B13" s="10">
        <f>SUM(B4:B12)</f>
        <v>36691.904949282107</v>
      </c>
      <c r="C13" s="10">
        <f>SUM(C4:C12)</f>
        <v>1192949.4159006323</v>
      </c>
      <c r="D13" s="10">
        <f t="shared" si="0"/>
        <v>1229641.3208499143</v>
      </c>
      <c r="F13" s="10" t="s">
        <v>3</v>
      </c>
      <c r="G13" s="10">
        <f>SUM(G4:G12)</f>
        <v>41086</v>
      </c>
      <c r="H13" s="10">
        <f>SUM(H4:H12)</f>
        <v>1082034</v>
      </c>
      <c r="I13" s="10">
        <f t="shared" si="1"/>
        <v>1123120</v>
      </c>
    </row>
    <row r="16" spans="1:9" ht="15.75" customHeight="1" thickBot="1" x14ac:dyDescent="0.3">
      <c r="A16" s="1" t="s">
        <v>49</v>
      </c>
      <c r="B16" s="1"/>
      <c r="C16" s="3"/>
      <c r="D16" s="3"/>
      <c r="F16" s="1" t="s">
        <v>50</v>
      </c>
      <c r="G16" s="1"/>
      <c r="H16" s="3"/>
      <c r="I16" s="3"/>
    </row>
    <row r="17" spans="1:14" x14ac:dyDescent="0.25">
      <c r="A17" s="2" t="s">
        <v>2</v>
      </c>
      <c r="B17" s="4" t="s">
        <v>18</v>
      </c>
      <c r="C17" s="4" t="s">
        <v>19</v>
      </c>
      <c r="D17" s="7" t="s">
        <v>3</v>
      </c>
      <c r="F17" s="2" t="s">
        <v>2</v>
      </c>
      <c r="G17" s="4" t="s">
        <v>18</v>
      </c>
      <c r="H17" s="4" t="s">
        <v>19</v>
      </c>
      <c r="I17" s="7" t="s">
        <v>3</v>
      </c>
    </row>
    <row r="18" spans="1:14" x14ac:dyDescent="0.25">
      <c r="A18" s="9" t="s">
        <v>4</v>
      </c>
      <c r="B18" s="14">
        <f t="shared" ref="B18:D27" si="2">B4/$D$13</f>
        <v>8.8794438540848106E-4</v>
      </c>
      <c r="C18" s="14">
        <f t="shared" si="2"/>
        <v>0.31095009238659793</v>
      </c>
      <c r="D18" s="14">
        <f t="shared" si="2"/>
        <v>0.31183803677200644</v>
      </c>
      <c r="F18" s="9" t="s">
        <v>4</v>
      </c>
      <c r="G18" s="14">
        <f t="shared" ref="G18:I27" si="3">G4/$I$13</f>
        <v>0</v>
      </c>
      <c r="H18" s="14">
        <f t="shared" si="3"/>
        <v>0.17015813092100576</v>
      </c>
      <c r="I18" s="14">
        <f t="shared" si="3"/>
        <v>0.17015813092100576</v>
      </c>
    </row>
    <row r="19" spans="1:14" x14ac:dyDescent="0.25">
      <c r="A19" s="9" t="s">
        <v>5</v>
      </c>
      <c r="B19" s="14">
        <f t="shared" si="2"/>
        <v>8.3716282698737324E-4</v>
      </c>
      <c r="C19" s="14">
        <f t="shared" si="2"/>
        <v>0.22409944658775877</v>
      </c>
      <c r="D19" s="14">
        <f t="shared" si="2"/>
        <v>0.22493660941474614</v>
      </c>
      <c r="F19" s="9" t="s">
        <v>5</v>
      </c>
      <c r="G19" s="14">
        <f t="shared" si="3"/>
        <v>7.6527886601609803E-3</v>
      </c>
      <c r="H19" s="14">
        <f t="shared" si="3"/>
        <v>0.20191252938243465</v>
      </c>
      <c r="I19" s="14">
        <f t="shared" si="3"/>
        <v>0.20956531804259562</v>
      </c>
    </row>
    <row r="20" spans="1:14" x14ac:dyDescent="0.25">
      <c r="A20" s="9" t="s">
        <v>6</v>
      </c>
      <c r="B20" s="14">
        <f t="shared" si="2"/>
        <v>1.0421274418467785E-3</v>
      </c>
      <c r="C20" s="14">
        <f t="shared" si="2"/>
        <v>0.19145196024767924</v>
      </c>
      <c r="D20" s="14">
        <f t="shared" si="2"/>
        <v>0.19249408768952603</v>
      </c>
      <c r="F20" s="9" t="s">
        <v>6</v>
      </c>
      <c r="G20" s="14">
        <f t="shared" si="3"/>
        <v>4.7047510506446327E-3</v>
      </c>
      <c r="H20" s="14">
        <f t="shared" si="3"/>
        <v>0.19866265403518768</v>
      </c>
      <c r="I20" s="14">
        <f t="shared" si="3"/>
        <v>0.20336740508583231</v>
      </c>
    </row>
    <row r="21" spans="1:14" x14ac:dyDescent="0.25">
      <c r="A21" s="9" t="s">
        <v>7</v>
      </c>
      <c r="B21" s="14">
        <f t="shared" si="2"/>
        <v>1.7608215149932547E-4</v>
      </c>
      <c r="C21" s="14">
        <f t="shared" si="2"/>
        <v>6.3085485104834556E-3</v>
      </c>
      <c r="D21" s="14">
        <f t="shared" si="2"/>
        <v>6.484630661982781E-3</v>
      </c>
      <c r="F21" s="9" t="s">
        <v>7</v>
      </c>
      <c r="G21" s="14">
        <f t="shared" si="3"/>
        <v>0</v>
      </c>
      <c r="H21" s="14">
        <f t="shared" si="3"/>
        <v>0</v>
      </c>
      <c r="I21" s="14">
        <f t="shared" si="3"/>
        <v>0</v>
      </c>
    </row>
    <row r="22" spans="1:14" x14ac:dyDescent="0.25">
      <c r="A22" s="9" t="s">
        <v>8</v>
      </c>
      <c r="B22" s="14">
        <f t="shared" si="2"/>
        <v>1.0025398693173405E-2</v>
      </c>
      <c r="C22" s="14">
        <f t="shared" si="2"/>
        <v>3.1125339094852034E-2</v>
      </c>
      <c r="D22" s="14">
        <f t="shared" si="2"/>
        <v>4.1150737788025443E-2</v>
      </c>
      <c r="F22" s="9" t="s">
        <v>8</v>
      </c>
      <c r="G22" s="14">
        <f t="shared" si="3"/>
        <v>3.4947289692998078E-3</v>
      </c>
      <c r="H22" s="14">
        <f t="shared" si="3"/>
        <v>3.2009046228363845E-3</v>
      </c>
      <c r="I22" s="14">
        <f t="shared" si="3"/>
        <v>6.695633592136192E-3</v>
      </c>
    </row>
    <row r="23" spans="1:14" x14ac:dyDescent="0.25">
      <c r="A23" s="9" t="s">
        <v>9</v>
      </c>
      <c r="B23" s="14">
        <f t="shared" si="2"/>
        <v>1.0317768765360797E-3</v>
      </c>
      <c r="C23" s="14">
        <f t="shared" si="2"/>
        <v>1.3764611404141794E-2</v>
      </c>
      <c r="D23" s="14">
        <f t="shared" si="2"/>
        <v>1.4796388280677874E-2</v>
      </c>
      <c r="F23" s="9" t="s">
        <v>9</v>
      </c>
      <c r="G23" s="14">
        <f t="shared" si="3"/>
        <v>1.9534867155780325E-3</v>
      </c>
      <c r="H23" s="14">
        <f t="shared" si="3"/>
        <v>9.9330436640786383E-3</v>
      </c>
      <c r="I23" s="14">
        <f t="shared" si="3"/>
        <v>1.188653037965667E-2</v>
      </c>
    </row>
    <row r="24" spans="1:14" x14ac:dyDescent="0.25">
      <c r="A24" s="9" t="s">
        <v>10</v>
      </c>
      <c r="B24" s="14">
        <f t="shared" si="2"/>
        <v>1.579799297489964E-2</v>
      </c>
      <c r="C24" s="14">
        <f t="shared" si="2"/>
        <v>0.18716366151439195</v>
      </c>
      <c r="D24" s="14">
        <f t="shared" si="2"/>
        <v>0.2029616544892916</v>
      </c>
      <c r="F24" s="9" t="s">
        <v>10</v>
      </c>
      <c r="G24" s="14">
        <f t="shared" si="3"/>
        <v>1.8199301944582948E-2</v>
      </c>
      <c r="H24" s="14">
        <f t="shared" si="3"/>
        <v>0.37812522259420189</v>
      </c>
      <c r="I24" s="14">
        <f t="shared" si="3"/>
        <v>0.39632452453878481</v>
      </c>
    </row>
    <row r="25" spans="1:14" x14ac:dyDescent="0.25">
      <c r="A25" s="9" t="s">
        <v>11</v>
      </c>
      <c r="B25" s="14">
        <f t="shared" si="2"/>
        <v>4.1033155680471713E-5</v>
      </c>
      <c r="C25" s="14">
        <f t="shared" si="2"/>
        <v>5.2968217480631316E-3</v>
      </c>
      <c r="D25" s="14">
        <f t="shared" si="2"/>
        <v>5.3378549037436029E-3</v>
      </c>
      <c r="F25" s="9" t="s">
        <v>11</v>
      </c>
      <c r="G25" s="14">
        <f t="shared" si="3"/>
        <v>0</v>
      </c>
      <c r="H25" s="14">
        <f t="shared" si="3"/>
        <v>0</v>
      </c>
      <c r="I25" s="14">
        <f t="shared" si="3"/>
        <v>0</v>
      </c>
    </row>
    <row r="26" spans="1:14" x14ac:dyDescent="0.25">
      <c r="A26" s="12" t="s">
        <v>12</v>
      </c>
      <c r="B26" s="15">
        <f t="shared" si="2"/>
        <v>0</v>
      </c>
      <c r="C26" s="15">
        <f t="shared" si="2"/>
        <v>0</v>
      </c>
      <c r="D26" s="15">
        <f t="shared" si="2"/>
        <v>0</v>
      </c>
      <c r="F26" s="12" t="s">
        <v>12</v>
      </c>
      <c r="G26" s="15">
        <f t="shared" si="3"/>
        <v>5.7696417123726765E-4</v>
      </c>
      <c r="H26" s="15">
        <f t="shared" si="3"/>
        <v>1.4254932687513355E-3</v>
      </c>
      <c r="I26" s="15">
        <f t="shared" si="3"/>
        <v>2.0024574399886033E-3</v>
      </c>
    </row>
    <row r="27" spans="1:14" ht="15.75" customHeight="1" thickBot="1" x14ac:dyDescent="0.3">
      <c r="A27" s="10" t="s">
        <v>3</v>
      </c>
      <c r="B27" s="16">
        <f t="shared" si="2"/>
        <v>2.9839518506031556E-2</v>
      </c>
      <c r="C27" s="16">
        <f t="shared" si="2"/>
        <v>0.9701604814939685</v>
      </c>
      <c r="D27" s="16">
        <f t="shared" si="2"/>
        <v>1</v>
      </c>
      <c r="F27" s="10" t="s">
        <v>3</v>
      </c>
      <c r="G27" s="16">
        <f t="shared" si="3"/>
        <v>3.6582021511503665E-2</v>
      </c>
      <c r="H27" s="16">
        <f t="shared" si="3"/>
        <v>0.96341797848849631</v>
      </c>
      <c r="I27" s="16">
        <f t="shared" si="3"/>
        <v>1</v>
      </c>
    </row>
    <row r="30" spans="1:14" ht="15.75" customHeight="1" thickBot="1" x14ac:dyDescent="0.3">
      <c r="F30" s="1" t="s">
        <v>51</v>
      </c>
      <c r="G30" s="1"/>
      <c r="H30" s="3"/>
      <c r="I30" s="3"/>
      <c r="K30" s="18" t="s">
        <v>52</v>
      </c>
      <c r="L30" s="18"/>
      <c r="M30" s="19"/>
      <c r="N30" s="19"/>
    </row>
    <row r="31" spans="1:14" x14ac:dyDescent="0.25">
      <c r="F31" s="2" t="s">
        <v>2</v>
      </c>
      <c r="G31" s="4" t="s">
        <v>18</v>
      </c>
      <c r="H31" s="4" t="s">
        <v>19</v>
      </c>
      <c r="I31" s="7" t="s">
        <v>3</v>
      </c>
      <c r="K31" s="23" t="s">
        <v>2</v>
      </c>
      <c r="L31" s="24" t="s">
        <v>22</v>
      </c>
      <c r="M31" s="24" t="s">
        <v>23</v>
      </c>
      <c r="N31" s="25" t="s">
        <v>24</v>
      </c>
    </row>
    <row r="32" spans="1:14" x14ac:dyDescent="0.25">
      <c r="F32" s="9" t="s">
        <v>4</v>
      </c>
      <c r="G32" s="14">
        <f t="shared" ref="G32:G41" si="4">G18-B18</f>
        <v>-8.8794438540848106E-4</v>
      </c>
      <c r="H32" s="14">
        <f t="shared" ref="H32:H41" si="5">H18-C18</f>
        <v>-0.14079196146559217</v>
      </c>
      <c r="I32" s="14">
        <f t="shared" ref="I32:I41" si="6">I18-D18</f>
        <v>-0.14167990585100068</v>
      </c>
      <c r="K32" s="20" t="s">
        <v>4</v>
      </c>
      <c r="L32" s="21">
        <f t="shared" ref="L32:L41" si="7">D18</f>
        <v>0.31183803677200644</v>
      </c>
      <c r="M32" s="21">
        <f t="shared" ref="M32:M41" si="8">I18</f>
        <v>0.17015813092100576</v>
      </c>
      <c r="N32" s="21">
        <f t="shared" ref="N32:N41" si="9">M32-L32</f>
        <v>-0.14167990585100068</v>
      </c>
    </row>
    <row r="33" spans="6:14" x14ac:dyDescent="0.25">
      <c r="F33" s="9" t="s">
        <v>5</v>
      </c>
      <c r="G33" s="14">
        <f t="shared" si="4"/>
        <v>6.815625833173607E-3</v>
      </c>
      <c r="H33" s="14">
        <f t="shared" si="5"/>
        <v>-2.2186917205324119E-2</v>
      </c>
      <c r="I33" s="14">
        <f t="shared" si="6"/>
        <v>-1.5371291372150514E-2</v>
      </c>
      <c r="K33" s="26" t="s">
        <v>5</v>
      </c>
      <c r="L33" s="27">
        <f t="shared" si="7"/>
        <v>0.22493660941474614</v>
      </c>
      <c r="M33" s="27">
        <f t="shared" si="8"/>
        <v>0.20956531804259562</v>
      </c>
      <c r="N33" s="27">
        <f t="shared" si="9"/>
        <v>-1.5371291372150514E-2</v>
      </c>
    </row>
    <row r="34" spans="6:14" x14ac:dyDescent="0.25">
      <c r="F34" s="9" t="s">
        <v>6</v>
      </c>
      <c r="G34" s="14">
        <f t="shared" si="4"/>
        <v>3.6626236087978544E-3</v>
      </c>
      <c r="H34" s="14">
        <f t="shared" si="5"/>
        <v>7.2106937875084376E-3</v>
      </c>
      <c r="I34" s="14">
        <f t="shared" si="6"/>
        <v>1.0873317396306287E-2</v>
      </c>
      <c r="K34" s="20" t="s">
        <v>6</v>
      </c>
      <c r="L34" s="21">
        <f t="shared" si="7"/>
        <v>0.19249408768952603</v>
      </c>
      <c r="M34" s="21">
        <f t="shared" si="8"/>
        <v>0.20336740508583231</v>
      </c>
      <c r="N34" s="21">
        <f t="shared" si="9"/>
        <v>1.0873317396306287E-2</v>
      </c>
    </row>
    <row r="35" spans="6:14" x14ac:dyDescent="0.25">
      <c r="F35" s="9" t="s">
        <v>7</v>
      </c>
      <c r="G35" s="14">
        <f t="shared" si="4"/>
        <v>-1.7608215149932547E-4</v>
      </c>
      <c r="H35" s="14">
        <f t="shared" si="5"/>
        <v>-6.3085485104834556E-3</v>
      </c>
      <c r="I35" s="14">
        <f t="shared" si="6"/>
        <v>-6.484630661982781E-3</v>
      </c>
      <c r="K35" s="26" t="s">
        <v>7</v>
      </c>
      <c r="L35" s="27">
        <f t="shared" si="7"/>
        <v>6.484630661982781E-3</v>
      </c>
      <c r="M35" s="27">
        <f t="shared" si="8"/>
        <v>0</v>
      </c>
      <c r="N35" s="27">
        <f t="shared" si="9"/>
        <v>-6.484630661982781E-3</v>
      </c>
    </row>
    <row r="36" spans="6:14" x14ac:dyDescent="0.25">
      <c r="F36" s="9" t="s">
        <v>8</v>
      </c>
      <c r="G36" s="14">
        <f t="shared" si="4"/>
        <v>-6.5306697238735976E-3</v>
      </c>
      <c r="H36" s="14">
        <f t="shared" si="5"/>
        <v>-2.792443447201565E-2</v>
      </c>
      <c r="I36" s="14">
        <f t="shared" si="6"/>
        <v>-3.445510419588925E-2</v>
      </c>
      <c r="K36" s="20" t="s">
        <v>8</v>
      </c>
      <c r="L36" s="21">
        <f t="shared" si="7"/>
        <v>4.1150737788025443E-2</v>
      </c>
      <c r="M36" s="21">
        <f t="shared" si="8"/>
        <v>6.695633592136192E-3</v>
      </c>
      <c r="N36" s="21">
        <f t="shared" si="9"/>
        <v>-3.445510419588925E-2</v>
      </c>
    </row>
    <row r="37" spans="6:14" x14ac:dyDescent="0.25">
      <c r="F37" s="9" t="s">
        <v>9</v>
      </c>
      <c r="G37" s="14">
        <f t="shared" si="4"/>
        <v>9.2170983904195283E-4</v>
      </c>
      <c r="H37" s="14">
        <f t="shared" si="5"/>
        <v>-3.8315677400631559E-3</v>
      </c>
      <c r="I37" s="14">
        <f t="shared" si="6"/>
        <v>-2.9098579010212039E-3</v>
      </c>
      <c r="K37" s="26" t="s">
        <v>9</v>
      </c>
      <c r="L37" s="27">
        <f t="shared" si="7"/>
        <v>1.4796388280677874E-2</v>
      </c>
      <c r="M37" s="27">
        <f t="shared" si="8"/>
        <v>1.188653037965667E-2</v>
      </c>
      <c r="N37" s="27">
        <f t="shared" si="9"/>
        <v>-2.9098579010212039E-3</v>
      </c>
    </row>
    <row r="38" spans="6:14" x14ac:dyDescent="0.25">
      <c r="F38" s="9" t="s">
        <v>10</v>
      </c>
      <c r="G38" s="14">
        <f t="shared" si="4"/>
        <v>2.4013089696833072E-3</v>
      </c>
      <c r="H38" s="14">
        <f t="shared" si="5"/>
        <v>0.19096156107980994</v>
      </c>
      <c r="I38" s="14">
        <f t="shared" si="6"/>
        <v>0.19336287004949321</v>
      </c>
      <c r="K38" s="20" t="s">
        <v>10</v>
      </c>
      <c r="L38" s="21">
        <f t="shared" si="7"/>
        <v>0.2029616544892916</v>
      </c>
      <c r="M38" s="21">
        <f t="shared" si="8"/>
        <v>0.39632452453878481</v>
      </c>
      <c r="N38" s="21">
        <f t="shared" si="9"/>
        <v>0.19336287004949321</v>
      </c>
    </row>
    <row r="39" spans="6:14" x14ac:dyDescent="0.25">
      <c r="F39" s="9" t="s">
        <v>11</v>
      </c>
      <c r="G39" s="14">
        <f t="shared" si="4"/>
        <v>-4.1033155680471713E-5</v>
      </c>
      <c r="H39" s="14">
        <f t="shared" si="5"/>
        <v>-5.2968217480631316E-3</v>
      </c>
      <c r="I39" s="14">
        <f t="shared" si="6"/>
        <v>-5.3378549037436029E-3</v>
      </c>
      <c r="K39" s="26" t="s">
        <v>11</v>
      </c>
      <c r="L39" s="27">
        <f t="shared" si="7"/>
        <v>5.3378549037436029E-3</v>
      </c>
      <c r="M39" s="27">
        <f t="shared" si="8"/>
        <v>0</v>
      </c>
      <c r="N39" s="27">
        <f t="shared" si="9"/>
        <v>-5.3378549037436029E-3</v>
      </c>
    </row>
    <row r="40" spans="6:14" x14ac:dyDescent="0.25">
      <c r="F40" s="12" t="s">
        <v>12</v>
      </c>
      <c r="G40" s="15">
        <f t="shared" si="4"/>
        <v>5.7696417123726765E-4</v>
      </c>
      <c r="H40" s="15">
        <f t="shared" si="5"/>
        <v>1.4254932687513355E-3</v>
      </c>
      <c r="I40" s="15">
        <f t="shared" si="6"/>
        <v>2.0024574399886033E-3</v>
      </c>
      <c r="K40" s="20" t="s">
        <v>12</v>
      </c>
      <c r="L40" s="21">
        <f t="shared" si="7"/>
        <v>0</v>
      </c>
      <c r="M40" s="21">
        <f t="shared" si="8"/>
        <v>2.0024574399886033E-3</v>
      </c>
      <c r="N40" s="21">
        <f t="shared" si="9"/>
        <v>2.0024574399886033E-3</v>
      </c>
    </row>
    <row r="41" spans="6:14" ht="15.75" customHeight="1" thickBot="1" x14ac:dyDescent="0.3">
      <c r="F41" s="10" t="s">
        <v>3</v>
      </c>
      <c r="G41" s="16">
        <f t="shared" si="4"/>
        <v>6.7425030054721093E-3</v>
      </c>
      <c r="H41" s="16">
        <f t="shared" si="5"/>
        <v>-6.7425030054721891E-3</v>
      </c>
      <c r="I41" s="16">
        <f t="shared" si="6"/>
        <v>0</v>
      </c>
      <c r="K41" s="17" t="s">
        <v>3</v>
      </c>
      <c r="L41" s="16">
        <f t="shared" si="7"/>
        <v>1</v>
      </c>
      <c r="M41" s="16">
        <f t="shared" si="8"/>
        <v>1</v>
      </c>
      <c r="N41" s="16">
        <f t="shared" si="9"/>
        <v>0</v>
      </c>
    </row>
  </sheetData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T41"/>
  <sheetViews>
    <sheetView workbookViewId="0">
      <selection activeCell="L12" sqref="L12"/>
    </sheetView>
  </sheetViews>
  <sheetFormatPr defaultRowHeight="15" x14ac:dyDescent="0.25"/>
  <cols>
    <col min="1" max="1" width="16.7109375" customWidth="1" collapsed="1"/>
    <col min="2" max="9" width="12.7109375" customWidth="1" collapsed="1"/>
    <col min="10" max="10" width="3.7109375" customWidth="1" collapsed="1"/>
    <col min="11" max="11" width="16.7109375" customWidth="1" collapsed="1"/>
    <col min="12" max="20" width="12.7109375" customWidth="1" collapsed="1"/>
  </cols>
  <sheetData>
    <row r="2" spans="1:19" ht="15.75" customHeight="1" thickBot="1" x14ac:dyDescent="0.3">
      <c r="A2" s="1" t="s">
        <v>53</v>
      </c>
      <c r="B2" s="1"/>
      <c r="C2" s="3"/>
      <c r="D2" s="3"/>
      <c r="E2" s="3"/>
      <c r="F2" s="3"/>
      <c r="G2" s="3"/>
      <c r="H2" s="3"/>
      <c r="I2" s="3"/>
      <c r="K2" s="1" t="s">
        <v>54</v>
      </c>
      <c r="L2" s="1"/>
      <c r="M2" s="3"/>
      <c r="N2" s="3"/>
      <c r="O2" s="3"/>
      <c r="P2" s="3"/>
      <c r="Q2" s="3"/>
      <c r="R2" s="3"/>
      <c r="S2" s="3"/>
    </row>
    <row r="3" spans="1:19" x14ac:dyDescent="0.25">
      <c r="A3" s="5"/>
      <c r="B3" s="73" t="s">
        <v>55</v>
      </c>
      <c r="C3" s="74"/>
      <c r="D3" s="74"/>
      <c r="E3" s="74"/>
      <c r="F3" s="74"/>
      <c r="G3" s="74"/>
      <c r="H3" s="74"/>
      <c r="I3" s="11"/>
      <c r="K3" s="5"/>
      <c r="L3" s="73" t="s">
        <v>55</v>
      </c>
      <c r="M3" s="74"/>
      <c r="N3" s="74"/>
      <c r="O3" s="74"/>
      <c r="P3" s="74"/>
      <c r="Q3" s="74"/>
      <c r="R3" s="74"/>
      <c r="S3" s="74"/>
    </row>
    <row r="4" spans="1:19" x14ac:dyDescent="0.25">
      <c r="A4" s="6" t="s">
        <v>2</v>
      </c>
      <c r="B4" s="7" t="s">
        <v>4</v>
      </c>
      <c r="C4" s="7" t="s">
        <v>5</v>
      </c>
      <c r="D4" s="7" t="s">
        <v>6</v>
      </c>
      <c r="E4" s="7" t="s">
        <v>7</v>
      </c>
      <c r="F4" s="7" t="s">
        <v>8</v>
      </c>
      <c r="G4" s="7" t="s">
        <v>9</v>
      </c>
      <c r="H4" s="7" t="s">
        <v>10</v>
      </c>
      <c r="I4" s="7" t="s">
        <v>3</v>
      </c>
      <c r="K4" s="6" t="s">
        <v>2</v>
      </c>
      <c r="L4" s="7" t="s">
        <v>4</v>
      </c>
      <c r="M4" s="7" t="s">
        <v>5</v>
      </c>
      <c r="N4" s="7" t="s">
        <v>6</v>
      </c>
      <c r="O4" s="7" t="s">
        <v>7</v>
      </c>
      <c r="P4" s="7" t="s">
        <v>8</v>
      </c>
      <c r="Q4" s="7" t="s">
        <v>9</v>
      </c>
      <c r="R4" s="7" t="s">
        <v>10</v>
      </c>
      <c r="S4" s="7" t="s">
        <v>3</v>
      </c>
    </row>
    <row r="5" spans="1:19" x14ac:dyDescent="0.25">
      <c r="A5" t="s">
        <v>4</v>
      </c>
      <c r="B5" s="9">
        <v>49320.851390380878</v>
      </c>
      <c r="C5" s="9">
        <v>7117.6375954397736</v>
      </c>
      <c r="D5" s="9">
        <v>9828.5054810251349</v>
      </c>
      <c r="E5" s="9">
        <v>0</v>
      </c>
      <c r="F5" s="9">
        <v>473.18056450877299</v>
      </c>
      <c r="G5" s="9">
        <v>0</v>
      </c>
      <c r="H5" s="9">
        <v>0</v>
      </c>
      <c r="I5" s="9">
        <f t="shared" ref="I5:I12" si="0">SUM(B5:H5)</f>
        <v>66740.175031354564</v>
      </c>
      <c r="J5" s="9"/>
      <c r="K5" s="9" t="s">
        <v>4</v>
      </c>
      <c r="L5" s="9">
        <v>70529</v>
      </c>
      <c r="M5" s="9">
        <v>16500</v>
      </c>
      <c r="N5" s="9">
        <v>5995</v>
      </c>
      <c r="O5" s="9">
        <v>1621</v>
      </c>
      <c r="P5" s="9">
        <v>1664</v>
      </c>
      <c r="Q5" s="9">
        <v>727</v>
      </c>
      <c r="R5" s="9">
        <v>213</v>
      </c>
      <c r="S5" s="9">
        <f t="shared" ref="S5:S12" si="1">SUM(L5:R5)</f>
        <v>97249</v>
      </c>
    </row>
    <row r="6" spans="1:19" x14ac:dyDescent="0.25">
      <c r="A6" t="s">
        <v>5</v>
      </c>
      <c r="B6" s="9">
        <v>0</v>
      </c>
      <c r="C6" s="9">
        <v>14885.10388182068</v>
      </c>
      <c r="D6" s="9">
        <v>555.30999329314079</v>
      </c>
      <c r="E6" s="9">
        <v>0</v>
      </c>
      <c r="F6" s="9">
        <v>9.2077256076910103</v>
      </c>
      <c r="G6" s="9">
        <v>0</v>
      </c>
      <c r="H6" s="9">
        <v>0</v>
      </c>
      <c r="I6" s="9">
        <f t="shared" si="0"/>
        <v>15449.621600721512</v>
      </c>
      <c r="J6" s="9"/>
      <c r="K6" s="9" t="s">
        <v>5</v>
      </c>
      <c r="L6" s="9">
        <v>9830</v>
      </c>
      <c r="M6" s="9">
        <v>6050</v>
      </c>
      <c r="N6" s="9">
        <v>3909</v>
      </c>
      <c r="O6" s="9">
        <v>978</v>
      </c>
      <c r="P6" s="9">
        <v>1530</v>
      </c>
      <c r="Q6" s="9">
        <v>596</v>
      </c>
      <c r="R6" s="9">
        <v>186</v>
      </c>
      <c r="S6" s="9">
        <f t="shared" si="1"/>
        <v>23079</v>
      </c>
    </row>
    <row r="7" spans="1:19" x14ac:dyDescent="0.25">
      <c r="A7" t="s">
        <v>6</v>
      </c>
      <c r="B7" s="9">
        <v>0</v>
      </c>
      <c r="C7" s="9">
        <v>0</v>
      </c>
      <c r="D7" s="9">
        <v>7099.3118068901767</v>
      </c>
      <c r="E7" s="9">
        <v>0</v>
      </c>
      <c r="F7" s="9">
        <v>207.24114873480241</v>
      </c>
      <c r="G7" s="9">
        <v>0</v>
      </c>
      <c r="H7" s="9">
        <v>0</v>
      </c>
      <c r="I7" s="9">
        <f t="shared" si="0"/>
        <v>7306.5529556249794</v>
      </c>
      <c r="J7" s="9"/>
      <c r="K7" s="9" t="s">
        <v>6</v>
      </c>
      <c r="L7" s="9">
        <v>3797</v>
      </c>
      <c r="M7" s="9">
        <v>2287</v>
      </c>
      <c r="N7" s="9">
        <v>1456</v>
      </c>
      <c r="O7" s="9">
        <v>390</v>
      </c>
      <c r="P7" s="9">
        <v>629</v>
      </c>
      <c r="Q7" s="9">
        <v>225</v>
      </c>
      <c r="R7" s="9">
        <v>66</v>
      </c>
      <c r="S7" s="9">
        <f t="shared" si="1"/>
        <v>8850</v>
      </c>
    </row>
    <row r="8" spans="1:19" x14ac:dyDescent="0.25">
      <c r="A8" t="s">
        <v>7</v>
      </c>
      <c r="B8" s="9">
        <v>0</v>
      </c>
      <c r="C8" s="9">
        <v>0</v>
      </c>
      <c r="D8" s="9">
        <v>0</v>
      </c>
      <c r="E8" s="9">
        <v>0</v>
      </c>
      <c r="F8" s="9">
        <v>0</v>
      </c>
      <c r="G8" s="9">
        <v>0</v>
      </c>
      <c r="H8" s="9">
        <v>0</v>
      </c>
      <c r="I8" s="9">
        <f t="shared" si="0"/>
        <v>0</v>
      </c>
      <c r="J8" s="9"/>
      <c r="K8" t="s">
        <v>7</v>
      </c>
      <c r="L8" s="9">
        <v>0</v>
      </c>
      <c r="M8" s="9">
        <v>0</v>
      </c>
      <c r="N8" s="9">
        <v>0</v>
      </c>
      <c r="O8" s="9">
        <v>0</v>
      </c>
      <c r="P8" s="9">
        <v>0</v>
      </c>
      <c r="Q8" s="9">
        <v>0</v>
      </c>
      <c r="R8" s="9">
        <v>0</v>
      </c>
      <c r="S8" s="9">
        <f t="shared" si="1"/>
        <v>0</v>
      </c>
    </row>
    <row r="9" spans="1:19" x14ac:dyDescent="0.25">
      <c r="A9" t="s">
        <v>8</v>
      </c>
      <c r="B9" s="9">
        <v>0</v>
      </c>
      <c r="C9" s="9">
        <v>0</v>
      </c>
      <c r="D9" s="9">
        <v>0</v>
      </c>
      <c r="E9" s="9">
        <v>0</v>
      </c>
      <c r="F9" s="9">
        <v>3269.2706058209019</v>
      </c>
      <c r="G9" s="9">
        <v>0</v>
      </c>
      <c r="H9" s="9">
        <v>0</v>
      </c>
      <c r="I9" s="9">
        <f t="shared" si="0"/>
        <v>3269.2706058209019</v>
      </c>
      <c r="J9" s="9"/>
      <c r="K9" s="9" t="s">
        <v>8</v>
      </c>
      <c r="L9" s="9">
        <v>675</v>
      </c>
      <c r="M9" s="9">
        <v>220</v>
      </c>
      <c r="N9" s="9">
        <v>328</v>
      </c>
      <c r="O9" s="9">
        <v>177</v>
      </c>
      <c r="P9" s="9">
        <v>266</v>
      </c>
      <c r="Q9" s="9">
        <v>63</v>
      </c>
      <c r="R9" s="9">
        <v>20</v>
      </c>
      <c r="S9" s="9">
        <f t="shared" si="1"/>
        <v>1749</v>
      </c>
    </row>
    <row r="10" spans="1:19" x14ac:dyDescent="0.25">
      <c r="A10" t="s">
        <v>9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149.13401163280329</v>
      </c>
      <c r="H10" s="9">
        <v>0</v>
      </c>
      <c r="I10" s="9">
        <f t="shared" si="0"/>
        <v>149.13401163280329</v>
      </c>
      <c r="J10" s="9"/>
      <c r="K10" s="9" t="s">
        <v>9</v>
      </c>
      <c r="L10" s="9">
        <v>171</v>
      </c>
      <c r="M10" s="9">
        <v>53</v>
      </c>
      <c r="N10" s="9">
        <v>84</v>
      </c>
      <c r="O10" s="9">
        <v>22</v>
      </c>
      <c r="P10" s="9">
        <v>42</v>
      </c>
      <c r="Q10" s="9">
        <v>134</v>
      </c>
      <c r="R10" s="9">
        <v>4</v>
      </c>
      <c r="S10" s="9">
        <f t="shared" si="1"/>
        <v>510</v>
      </c>
    </row>
    <row r="11" spans="1:19" x14ac:dyDescent="0.25">
      <c r="A11" t="s">
        <v>10</v>
      </c>
      <c r="B11" s="9">
        <v>14855.118426027009</v>
      </c>
      <c r="C11" s="9">
        <v>2715.0125740165809</v>
      </c>
      <c r="D11" s="9">
        <v>6066.5891709559137</v>
      </c>
      <c r="E11" s="9">
        <v>135.28607426296929</v>
      </c>
      <c r="F11" s="9">
        <v>3093.1334268803212</v>
      </c>
      <c r="G11" s="9">
        <v>1311.0291926455629</v>
      </c>
      <c r="H11" s="9">
        <v>9361.7463990513043</v>
      </c>
      <c r="I11" s="9">
        <f t="shared" si="0"/>
        <v>37537.91526383967</v>
      </c>
      <c r="J11" s="9"/>
      <c r="K11" s="9" t="s">
        <v>10</v>
      </c>
      <c r="L11" s="9">
        <v>31167</v>
      </c>
      <c r="M11" s="9">
        <v>10501</v>
      </c>
      <c r="N11" s="9">
        <v>9108</v>
      </c>
      <c r="O11" s="9">
        <v>2955</v>
      </c>
      <c r="P11" s="9">
        <v>8801</v>
      </c>
      <c r="Q11" s="9">
        <v>1356</v>
      </c>
      <c r="R11" s="9">
        <v>1313</v>
      </c>
      <c r="S11" s="9">
        <f t="shared" si="1"/>
        <v>65201</v>
      </c>
    </row>
    <row r="12" spans="1:19" x14ac:dyDescent="0.25">
      <c r="A12" s="6" t="s">
        <v>12</v>
      </c>
      <c r="B12" s="12">
        <v>0</v>
      </c>
      <c r="C12" s="12">
        <v>0</v>
      </c>
      <c r="D12" s="12">
        <v>0</v>
      </c>
      <c r="E12" s="12">
        <v>0</v>
      </c>
      <c r="F12" s="12">
        <v>0</v>
      </c>
      <c r="G12" s="12">
        <v>0</v>
      </c>
      <c r="H12" s="12">
        <v>0</v>
      </c>
      <c r="I12" s="9">
        <f t="shared" si="0"/>
        <v>0</v>
      </c>
      <c r="J12" s="9"/>
      <c r="K12" s="6" t="s">
        <v>12</v>
      </c>
      <c r="L12" s="9">
        <v>11623</v>
      </c>
      <c r="M12" s="9">
        <v>4168</v>
      </c>
      <c r="N12" s="9">
        <v>5094</v>
      </c>
      <c r="O12" s="9">
        <v>2619</v>
      </c>
      <c r="P12" s="9">
        <v>4545</v>
      </c>
      <c r="Q12" s="9">
        <v>693</v>
      </c>
      <c r="R12" s="9">
        <v>167</v>
      </c>
      <c r="S12" s="9">
        <f t="shared" si="1"/>
        <v>28909</v>
      </c>
    </row>
    <row r="13" spans="1:19" ht="15.75" customHeight="1" thickBot="1" x14ac:dyDescent="0.3">
      <c r="A13" s="13" t="s">
        <v>3</v>
      </c>
      <c r="B13" s="17">
        <f t="shared" ref="B13:I13" si="2">SUM(B5:B12)</f>
        <v>64175.969816407887</v>
      </c>
      <c r="C13" s="17">
        <f t="shared" si="2"/>
        <v>24717.754051277036</v>
      </c>
      <c r="D13" s="17">
        <f t="shared" si="2"/>
        <v>23549.716452164364</v>
      </c>
      <c r="E13" s="17">
        <f t="shared" si="2"/>
        <v>135.28607426296929</v>
      </c>
      <c r="F13" s="17">
        <f t="shared" si="2"/>
        <v>7052.0334715524896</v>
      </c>
      <c r="G13" s="17">
        <f t="shared" si="2"/>
        <v>1460.1632042783663</v>
      </c>
      <c r="H13" s="17">
        <f t="shared" si="2"/>
        <v>9361.7463990513043</v>
      </c>
      <c r="I13" s="17">
        <f t="shared" si="2"/>
        <v>130452.66946899443</v>
      </c>
      <c r="K13" s="10" t="s">
        <v>3</v>
      </c>
      <c r="L13" s="17">
        <f t="shared" ref="L13:S13" si="3">SUM(L5:L12)</f>
        <v>127792</v>
      </c>
      <c r="M13" s="17">
        <f t="shared" si="3"/>
        <v>39779</v>
      </c>
      <c r="N13" s="17">
        <f t="shared" si="3"/>
        <v>25974</v>
      </c>
      <c r="O13" s="17">
        <f t="shared" si="3"/>
        <v>8762</v>
      </c>
      <c r="P13" s="17">
        <f t="shared" si="3"/>
        <v>17477</v>
      </c>
      <c r="Q13" s="17">
        <f t="shared" si="3"/>
        <v>3794</v>
      </c>
      <c r="R13" s="17">
        <f t="shared" si="3"/>
        <v>1969</v>
      </c>
      <c r="S13" s="17">
        <f t="shared" si="3"/>
        <v>225547</v>
      </c>
    </row>
    <row r="16" spans="1:19" ht="15.75" customHeight="1" thickBot="1" x14ac:dyDescent="0.3">
      <c r="A16" s="1" t="s">
        <v>56</v>
      </c>
      <c r="B16" s="1"/>
      <c r="C16" s="3"/>
      <c r="D16" s="3"/>
      <c r="E16" s="3"/>
      <c r="F16" s="3"/>
      <c r="G16" s="3"/>
      <c r="H16" s="3"/>
      <c r="I16" s="3"/>
      <c r="K16" s="1" t="s">
        <v>57</v>
      </c>
      <c r="L16" s="1"/>
      <c r="M16" s="3"/>
      <c r="N16" s="3"/>
      <c r="O16" s="3"/>
      <c r="P16" s="3"/>
      <c r="Q16" s="3"/>
      <c r="R16" s="3"/>
      <c r="S16" s="3"/>
    </row>
    <row r="17" spans="1:19" x14ac:dyDescent="0.25">
      <c r="A17" s="5"/>
      <c r="B17" s="73" t="s">
        <v>55</v>
      </c>
      <c r="C17" s="74"/>
      <c r="D17" s="74"/>
      <c r="E17" s="74"/>
      <c r="F17" s="74"/>
      <c r="G17" s="74"/>
      <c r="H17" s="74"/>
      <c r="I17" s="11"/>
      <c r="K17" s="5"/>
      <c r="L17" s="73" t="s">
        <v>55</v>
      </c>
      <c r="M17" s="74"/>
      <c r="N17" s="74"/>
      <c r="O17" s="74"/>
      <c r="P17" s="74"/>
      <c r="Q17" s="74"/>
      <c r="R17" s="74"/>
      <c r="S17" s="74"/>
    </row>
    <row r="18" spans="1:19" x14ac:dyDescent="0.25">
      <c r="A18" s="6" t="s">
        <v>2</v>
      </c>
      <c r="B18" s="7" t="s">
        <v>4</v>
      </c>
      <c r="C18" s="7" t="s">
        <v>5</v>
      </c>
      <c r="D18" s="7" t="s">
        <v>6</v>
      </c>
      <c r="E18" s="7" t="s">
        <v>7</v>
      </c>
      <c r="F18" s="7" t="s">
        <v>8</v>
      </c>
      <c r="G18" s="7" t="s">
        <v>9</v>
      </c>
      <c r="H18" s="7" t="s">
        <v>10</v>
      </c>
      <c r="I18" s="7" t="s">
        <v>3</v>
      </c>
      <c r="K18" s="6" t="s">
        <v>2</v>
      </c>
      <c r="L18" s="7" t="s">
        <v>4</v>
      </c>
      <c r="M18" s="7" t="s">
        <v>5</v>
      </c>
      <c r="N18" s="7" t="s">
        <v>6</v>
      </c>
      <c r="O18" s="7" t="s">
        <v>7</v>
      </c>
      <c r="P18" s="7" t="s">
        <v>8</v>
      </c>
      <c r="Q18" s="7" t="s">
        <v>9</v>
      </c>
      <c r="R18" s="7" t="s">
        <v>10</v>
      </c>
      <c r="S18" s="7" t="s">
        <v>3</v>
      </c>
    </row>
    <row r="19" spans="1:19" x14ac:dyDescent="0.25">
      <c r="A19" t="s">
        <v>4</v>
      </c>
      <c r="B19" s="14">
        <f t="shared" ref="B19:I27" si="4">B5/$I$13</f>
        <v>0.37807468096391311</v>
      </c>
      <c r="C19" s="14">
        <f t="shared" si="4"/>
        <v>5.4561072796838937E-2</v>
      </c>
      <c r="D19" s="14">
        <f t="shared" si="4"/>
        <v>7.5341543573097539E-2</v>
      </c>
      <c r="E19" s="14">
        <f t="shared" si="4"/>
        <v>0</v>
      </c>
      <c r="F19" s="14">
        <f t="shared" si="4"/>
        <v>3.6272202511059923E-3</v>
      </c>
      <c r="G19" s="14">
        <f t="shared" si="4"/>
        <v>0</v>
      </c>
      <c r="H19" s="14">
        <f t="shared" si="4"/>
        <v>0</v>
      </c>
      <c r="I19" s="14">
        <f t="shared" si="4"/>
        <v>0.51160451758495562</v>
      </c>
      <c r="J19" s="9"/>
      <c r="K19" s="9" t="s">
        <v>4</v>
      </c>
      <c r="L19" s="14">
        <f t="shared" ref="L19:S27" si="5">L5/$S$13</f>
        <v>0.3127020088939334</v>
      </c>
      <c r="M19" s="14">
        <f t="shared" si="5"/>
        <v>7.3155484222800563E-2</v>
      </c>
      <c r="N19" s="14">
        <f t="shared" si="5"/>
        <v>2.6579825934284207E-2</v>
      </c>
      <c r="O19" s="14">
        <f t="shared" si="5"/>
        <v>7.1869721166763472E-3</v>
      </c>
      <c r="P19" s="14">
        <f t="shared" si="5"/>
        <v>7.3776197422266753E-3</v>
      </c>
      <c r="Q19" s="14">
        <f t="shared" si="5"/>
        <v>3.223274971513698E-3</v>
      </c>
      <c r="R19" s="14">
        <f t="shared" si="5"/>
        <v>9.4437079633069825E-4</v>
      </c>
      <c r="S19" s="14">
        <f t="shared" si="5"/>
        <v>0.43116955667776563</v>
      </c>
    </row>
    <row r="20" spans="1:19" x14ac:dyDescent="0.25">
      <c r="A20" t="s">
        <v>5</v>
      </c>
      <c r="B20" s="14">
        <f t="shared" si="4"/>
        <v>0</v>
      </c>
      <c r="C20" s="14">
        <f t="shared" si="4"/>
        <v>0.11410348245390657</v>
      </c>
      <c r="D20" s="14">
        <f t="shared" si="4"/>
        <v>4.25679287019209E-3</v>
      </c>
      <c r="E20" s="14">
        <f t="shared" si="4"/>
        <v>0</v>
      </c>
      <c r="F20" s="14">
        <f t="shared" si="4"/>
        <v>7.0582883778238617E-5</v>
      </c>
      <c r="G20" s="14">
        <f t="shared" si="4"/>
        <v>0</v>
      </c>
      <c r="H20" s="14">
        <f t="shared" si="4"/>
        <v>0</v>
      </c>
      <c r="I20" s="14">
        <f t="shared" si="4"/>
        <v>0.11843085820787691</v>
      </c>
      <c r="J20" s="9"/>
      <c r="K20" s="9" t="s">
        <v>5</v>
      </c>
      <c r="L20" s="14">
        <f t="shared" si="5"/>
        <v>4.358293393394725E-2</v>
      </c>
      <c r="M20" s="14">
        <f t="shared" si="5"/>
        <v>2.6823677548360209E-2</v>
      </c>
      <c r="N20" s="14">
        <f t="shared" si="5"/>
        <v>1.7331199262238025E-2</v>
      </c>
      <c r="O20" s="14">
        <f t="shared" si="5"/>
        <v>4.3361250648423612E-3</v>
      </c>
      <c r="P20" s="14">
        <f t="shared" si="5"/>
        <v>6.7835085370233257E-3</v>
      </c>
      <c r="Q20" s="14">
        <f t="shared" si="5"/>
        <v>2.6424647634417662E-3</v>
      </c>
      <c r="R20" s="14">
        <f t="shared" si="5"/>
        <v>8.2466182214793369E-4</v>
      </c>
      <c r="S20" s="14">
        <f t="shared" si="5"/>
        <v>0.10232457093200087</v>
      </c>
    </row>
    <row r="21" spans="1:19" x14ac:dyDescent="0.25">
      <c r="A21" t="s">
        <v>6</v>
      </c>
      <c r="B21" s="14">
        <f t="shared" si="4"/>
        <v>0</v>
      </c>
      <c r="C21" s="14">
        <f t="shared" si="4"/>
        <v>0</v>
      </c>
      <c r="D21" s="14">
        <f t="shared" si="4"/>
        <v>5.4420594348799575E-2</v>
      </c>
      <c r="E21" s="14">
        <f t="shared" si="4"/>
        <v>0</v>
      </c>
      <c r="F21" s="14">
        <f t="shared" si="4"/>
        <v>1.5886309538806242E-3</v>
      </c>
      <c r="G21" s="14">
        <f t="shared" si="4"/>
        <v>0</v>
      </c>
      <c r="H21" s="14">
        <f t="shared" si="4"/>
        <v>0</v>
      </c>
      <c r="I21" s="14">
        <f t="shared" si="4"/>
        <v>5.6009225302680196E-2</v>
      </c>
      <c r="J21" s="9"/>
      <c r="K21" s="9" t="s">
        <v>6</v>
      </c>
      <c r="L21" s="14">
        <f t="shared" si="5"/>
        <v>1.6834628702665076E-2</v>
      </c>
      <c r="M21" s="14">
        <f t="shared" si="5"/>
        <v>1.0139793479851207E-2</v>
      </c>
      <c r="N21" s="14">
        <f t="shared" si="5"/>
        <v>6.4554172744483414E-3</v>
      </c>
      <c r="O21" s="14">
        <f t="shared" si="5"/>
        <v>1.7291296270843771E-3</v>
      </c>
      <c r="P21" s="14">
        <f t="shared" si="5"/>
        <v>2.788775731887367E-3</v>
      </c>
      <c r="Q21" s="14">
        <f t="shared" si="5"/>
        <v>9.975747848563715E-4</v>
      </c>
      <c r="R21" s="14">
        <f t="shared" si="5"/>
        <v>2.9262193689120228E-4</v>
      </c>
      <c r="S21" s="14">
        <f t="shared" si="5"/>
        <v>3.9237941537683944E-2</v>
      </c>
    </row>
    <row r="22" spans="1:19" x14ac:dyDescent="0.25">
      <c r="A22" t="s">
        <v>7</v>
      </c>
      <c r="B22" s="14">
        <f t="shared" si="4"/>
        <v>0</v>
      </c>
      <c r="C22" s="14">
        <f t="shared" si="4"/>
        <v>0</v>
      </c>
      <c r="D22" s="14">
        <f t="shared" si="4"/>
        <v>0</v>
      </c>
      <c r="E22" s="14">
        <f t="shared" si="4"/>
        <v>0</v>
      </c>
      <c r="F22" s="14">
        <f t="shared" si="4"/>
        <v>0</v>
      </c>
      <c r="G22" s="14">
        <f t="shared" si="4"/>
        <v>0</v>
      </c>
      <c r="H22" s="14">
        <f t="shared" si="4"/>
        <v>0</v>
      </c>
      <c r="I22" s="14">
        <f t="shared" si="4"/>
        <v>0</v>
      </c>
      <c r="J22" s="9"/>
      <c r="K22" t="s">
        <v>7</v>
      </c>
      <c r="L22" s="14">
        <f t="shared" si="5"/>
        <v>0</v>
      </c>
      <c r="M22" s="14">
        <f t="shared" si="5"/>
        <v>0</v>
      </c>
      <c r="N22" s="14">
        <f t="shared" si="5"/>
        <v>0</v>
      </c>
      <c r="O22" s="14">
        <f t="shared" si="5"/>
        <v>0</v>
      </c>
      <c r="P22" s="14">
        <f t="shared" si="5"/>
        <v>0</v>
      </c>
      <c r="Q22" s="14">
        <f t="shared" si="5"/>
        <v>0</v>
      </c>
      <c r="R22" s="14">
        <f t="shared" si="5"/>
        <v>0</v>
      </c>
      <c r="S22" s="14">
        <f t="shared" si="5"/>
        <v>0</v>
      </c>
    </row>
    <row r="23" spans="1:19" x14ac:dyDescent="0.25">
      <c r="A23" t="s">
        <v>8</v>
      </c>
      <c r="B23" s="14">
        <f t="shared" si="4"/>
        <v>0</v>
      </c>
      <c r="C23" s="14">
        <f t="shared" si="4"/>
        <v>0</v>
      </c>
      <c r="D23" s="14">
        <f t="shared" si="4"/>
        <v>0</v>
      </c>
      <c r="E23" s="14">
        <f t="shared" si="4"/>
        <v>0</v>
      </c>
      <c r="F23" s="14">
        <f t="shared" si="4"/>
        <v>2.506097130191676E-2</v>
      </c>
      <c r="G23" s="14">
        <f t="shared" si="4"/>
        <v>0</v>
      </c>
      <c r="H23" s="14">
        <f t="shared" si="4"/>
        <v>0</v>
      </c>
      <c r="I23" s="14">
        <f t="shared" si="4"/>
        <v>2.506097130191676E-2</v>
      </c>
      <c r="J23" s="9"/>
      <c r="K23" s="9" t="s">
        <v>8</v>
      </c>
      <c r="L23" s="14">
        <f t="shared" si="5"/>
        <v>2.9927243545691141E-3</v>
      </c>
      <c r="M23" s="14">
        <f t="shared" si="5"/>
        <v>9.7540645630400755E-4</v>
      </c>
      <c r="N23" s="14">
        <f t="shared" si="5"/>
        <v>1.4542423530350659E-3</v>
      </c>
      <c r="O23" s="14">
        <f t="shared" si="5"/>
        <v>7.8475883075367883E-4</v>
      </c>
      <c r="P23" s="14">
        <f t="shared" si="5"/>
        <v>1.1793550789857546E-3</v>
      </c>
      <c r="Q23" s="14">
        <f t="shared" si="5"/>
        <v>2.7932093975978399E-4</v>
      </c>
      <c r="R23" s="14">
        <f t="shared" si="5"/>
        <v>8.8673314209455231E-5</v>
      </c>
      <c r="S23" s="14">
        <f t="shared" si="5"/>
        <v>7.7544813276168604E-3</v>
      </c>
    </row>
    <row r="24" spans="1:19" x14ac:dyDescent="0.25">
      <c r="A24" t="s">
        <v>9</v>
      </c>
      <c r="B24" s="14">
        <f t="shared" si="4"/>
        <v>0</v>
      </c>
      <c r="C24" s="14">
        <f t="shared" si="4"/>
        <v>0</v>
      </c>
      <c r="D24" s="14">
        <f t="shared" si="4"/>
        <v>0</v>
      </c>
      <c r="E24" s="14">
        <f t="shared" si="4"/>
        <v>0</v>
      </c>
      <c r="F24" s="14">
        <f t="shared" si="4"/>
        <v>0</v>
      </c>
      <c r="G24" s="14">
        <f t="shared" si="4"/>
        <v>1.1432039853216571E-3</v>
      </c>
      <c r="H24" s="14">
        <f t="shared" si="4"/>
        <v>0</v>
      </c>
      <c r="I24" s="14">
        <f t="shared" si="4"/>
        <v>1.1432039853216571E-3</v>
      </c>
      <c r="J24" s="9"/>
      <c r="K24" s="9" t="s">
        <v>9</v>
      </c>
      <c r="L24" s="14">
        <f t="shared" si="5"/>
        <v>7.5815683649084226E-4</v>
      </c>
      <c r="M24" s="14">
        <f t="shared" si="5"/>
        <v>2.3498428265505638E-4</v>
      </c>
      <c r="N24" s="14">
        <f t="shared" si="5"/>
        <v>3.7242791967971199E-4</v>
      </c>
      <c r="O24" s="14">
        <f t="shared" si="5"/>
        <v>9.7540645630400763E-5</v>
      </c>
      <c r="P24" s="14">
        <f t="shared" si="5"/>
        <v>1.8621395983985599E-4</v>
      </c>
      <c r="Q24" s="14">
        <f t="shared" si="5"/>
        <v>5.9411120520335011E-4</v>
      </c>
      <c r="R24" s="14">
        <f t="shared" si="5"/>
        <v>1.7734662841891048E-5</v>
      </c>
      <c r="S24" s="14">
        <f t="shared" si="5"/>
        <v>2.2611695123411087E-3</v>
      </c>
    </row>
    <row r="25" spans="1:19" x14ac:dyDescent="0.25">
      <c r="A25" t="s">
        <v>10</v>
      </c>
      <c r="B25" s="14">
        <f t="shared" si="4"/>
        <v>0.11387362548037185</v>
      </c>
      <c r="C25" s="14">
        <f t="shared" si="4"/>
        <v>2.0812242363977659E-2</v>
      </c>
      <c r="D25" s="14">
        <f t="shared" si="4"/>
        <v>4.6504139743938328E-2</v>
      </c>
      <c r="E25" s="14">
        <f t="shared" si="4"/>
        <v>1.0370510225175857E-3</v>
      </c>
      <c r="F25" s="14">
        <f t="shared" si="4"/>
        <v>2.3710771419786756E-2</v>
      </c>
      <c r="G25" s="14">
        <f t="shared" si="4"/>
        <v>1.0049845648863201E-2</v>
      </c>
      <c r="H25" s="14">
        <f t="shared" si="4"/>
        <v>7.1763547937793437E-2</v>
      </c>
      <c r="I25" s="14">
        <f t="shared" si="4"/>
        <v>0.28775122361724886</v>
      </c>
      <c r="J25" s="9"/>
      <c r="K25" s="9" t="s">
        <v>10</v>
      </c>
      <c r="L25" s="14">
        <f t="shared" si="5"/>
        <v>0.13818405919830457</v>
      </c>
      <c r="M25" s="14">
        <f t="shared" si="5"/>
        <v>4.6557923625674472E-2</v>
      </c>
      <c r="N25" s="14">
        <f t="shared" si="5"/>
        <v>4.0381827290985911E-2</v>
      </c>
      <c r="O25" s="14">
        <f t="shared" si="5"/>
        <v>1.3101482174447012E-2</v>
      </c>
      <c r="P25" s="14">
        <f t="shared" si="5"/>
        <v>3.9020691917870776E-2</v>
      </c>
      <c r="Q25" s="14">
        <f t="shared" si="5"/>
        <v>6.0120507034010654E-3</v>
      </c>
      <c r="R25" s="14">
        <f t="shared" si="5"/>
        <v>5.8214030778507364E-3</v>
      </c>
      <c r="S25" s="14">
        <f t="shared" si="5"/>
        <v>0.28907943798853453</v>
      </c>
    </row>
    <row r="26" spans="1:19" x14ac:dyDescent="0.25">
      <c r="A26" s="6" t="s">
        <v>12</v>
      </c>
      <c r="B26" s="15">
        <f t="shared" si="4"/>
        <v>0</v>
      </c>
      <c r="C26" s="15">
        <f t="shared" si="4"/>
        <v>0</v>
      </c>
      <c r="D26" s="15">
        <f t="shared" si="4"/>
        <v>0</v>
      </c>
      <c r="E26" s="15">
        <f t="shared" si="4"/>
        <v>0</v>
      </c>
      <c r="F26" s="15">
        <f t="shared" si="4"/>
        <v>0</v>
      </c>
      <c r="G26" s="15">
        <f t="shared" si="4"/>
        <v>0</v>
      </c>
      <c r="H26" s="15">
        <f t="shared" si="4"/>
        <v>0</v>
      </c>
      <c r="I26" s="14">
        <f t="shared" si="4"/>
        <v>0</v>
      </c>
      <c r="J26" s="9"/>
      <c r="K26" s="6" t="s">
        <v>12</v>
      </c>
      <c r="L26" s="14">
        <f t="shared" si="5"/>
        <v>5.1532496552824908E-2</v>
      </c>
      <c r="M26" s="14">
        <f t="shared" si="5"/>
        <v>1.847951868125047E-2</v>
      </c>
      <c r="N26" s="14">
        <f t="shared" si="5"/>
        <v>2.2585093129148248E-2</v>
      </c>
      <c r="O26" s="14">
        <f t="shared" si="5"/>
        <v>1.1611770495728164E-2</v>
      </c>
      <c r="P26" s="14">
        <f t="shared" si="5"/>
        <v>2.0151010654098703E-2</v>
      </c>
      <c r="Q26" s="14">
        <f t="shared" si="5"/>
        <v>3.072530337357624E-3</v>
      </c>
      <c r="R26" s="14">
        <f t="shared" si="5"/>
        <v>7.4042217364895125E-4</v>
      </c>
      <c r="S26" s="14">
        <f t="shared" si="5"/>
        <v>0.12817284202405707</v>
      </c>
    </row>
    <row r="27" spans="1:19" ht="15.75" customHeight="1" thickBot="1" x14ac:dyDescent="0.3">
      <c r="A27" s="13" t="s">
        <v>3</v>
      </c>
      <c r="B27" s="16">
        <f t="shared" si="4"/>
        <v>0.49194830644428494</v>
      </c>
      <c r="C27" s="16">
        <f t="shared" si="4"/>
        <v>0.18947679761472319</v>
      </c>
      <c r="D27" s="16">
        <f t="shared" si="4"/>
        <v>0.18052307053602751</v>
      </c>
      <c r="E27" s="16">
        <f t="shared" si="4"/>
        <v>1.0370510225175857E-3</v>
      </c>
      <c r="F27" s="16">
        <f t="shared" si="4"/>
        <v>5.4058176810468372E-2</v>
      </c>
      <c r="G27" s="16">
        <f t="shared" si="4"/>
        <v>1.1193049634184857E-2</v>
      </c>
      <c r="H27" s="16">
        <f t="shared" si="4"/>
        <v>7.1763547937793437E-2</v>
      </c>
      <c r="I27" s="16">
        <f t="shared" si="4"/>
        <v>1</v>
      </c>
      <c r="K27" s="10" t="s">
        <v>3</v>
      </c>
      <c r="L27" s="16">
        <f t="shared" si="5"/>
        <v>0.56658700847273513</v>
      </c>
      <c r="M27" s="16">
        <f t="shared" si="5"/>
        <v>0.176366788296896</v>
      </c>
      <c r="N27" s="16">
        <f t="shared" si="5"/>
        <v>0.11516003316381951</v>
      </c>
      <c r="O27" s="16">
        <f t="shared" si="5"/>
        <v>3.8847778955162338E-2</v>
      </c>
      <c r="P27" s="16">
        <f t="shared" si="5"/>
        <v>7.7487175621932455E-2</v>
      </c>
      <c r="Q27" s="16">
        <f t="shared" si="5"/>
        <v>1.682132770553366E-2</v>
      </c>
      <c r="R27" s="16">
        <f t="shared" si="5"/>
        <v>8.7298877839208679E-3</v>
      </c>
      <c r="S27" s="16">
        <f t="shared" si="5"/>
        <v>1</v>
      </c>
    </row>
    <row r="30" spans="1:19" ht="15.75" customHeight="1" thickBot="1" x14ac:dyDescent="0.3">
      <c r="K30" s="1" t="s">
        <v>58</v>
      </c>
      <c r="L30" s="1"/>
      <c r="M30" s="3"/>
      <c r="N30" s="3"/>
      <c r="O30" s="3"/>
      <c r="P30" s="3"/>
      <c r="Q30" s="3"/>
      <c r="R30" s="3"/>
      <c r="S30" s="3"/>
    </row>
    <row r="31" spans="1:19" x14ac:dyDescent="0.25">
      <c r="K31" s="5"/>
      <c r="L31" s="73" t="s">
        <v>55</v>
      </c>
      <c r="M31" s="74"/>
      <c r="N31" s="74"/>
      <c r="O31" s="74"/>
      <c r="P31" s="74"/>
      <c r="Q31" s="74"/>
      <c r="R31" s="74"/>
      <c r="S31" s="74"/>
    </row>
    <row r="32" spans="1:19" x14ac:dyDescent="0.25">
      <c r="K32" s="6" t="s">
        <v>2</v>
      </c>
      <c r="L32" s="7" t="s">
        <v>4</v>
      </c>
      <c r="M32" s="7" t="s">
        <v>5</v>
      </c>
      <c r="N32" s="7" t="s">
        <v>6</v>
      </c>
      <c r="O32" s="7" t="s">
        <v>7</v>
      </c>
      <c r="P32" s="7" t="s">
        <v>8</v>
      </c>
      <c r="Q32" s="7" t="s">
        <v>9</v>
      </c>
      <c r="R32" s="7" t="s">
        <v>10</v>
      </c>
      <c r="S32" s="7" t="s">
        <v>3</v>
      </c>
    </row>
    <row r="33" spans="11:19" x14ac:dyDescent="0.25">
      <c r="K33" s="9" t="s">
        <v>4</v>
      </c>
      <c r="L33" s="14">
        <f t="shared" ref="L33:L41" si="6">L19-B19</f>
        <v>-6.5372672069979709E-2</v>
      </c>
      <c r="M33" s="14">
        <f t="shared" ref="M33:M41" si="7">M19-C19</f>
        <v>1.8594411425961625E-2</v>
      </c>
      <c r="N33" s="14">
        <f t="shared" ref="N33:N41" si="8">N19-D19</f>
        <v>-4.8761717638813332E-2</v>
      </c>
      <c r="O33" s="14">
        <f t="shared" ref="O33:O41" si="9">O19-E19</f>
        <v>7.1869721166763472E-3</v>
      </c>
      <c r="P33" s="14">
        <f t="shared" ref="P33:P41" si="10">P19-F19</f>
        <v>3.7503994911206829E-3</v>
      </c>
      <c r="Q33" s="14">
        <f t="shared" ref="Q33:Q41" si="11">Q19-G19</f>
        <v>3.223274971513698E-3</v>
      </c>
      <c r="R33" s="14">
        <f t="shared" ref="R33:R41" si="12">R19-H19</f>
        <v>9.4437079633069825E-4</v>
      </c>
      <c r="S33" s="14">
        <f t="shared" ref="S33:S41" si="13">S19-I19</f>
        <v>-8.043496090718999E-2</v>
      </c>
    </row>
    <row r="34" spans="11:19" x14ac:dyDescent="0.25">
      <c r="K34" s="9" t="s">
        <v>5</v>
      </c>
      <c r="L34" s="14">
        <f t="shared" si="6"/>
        <v>4.358293393394725E-2</v>
      </c>
      <c r="M34" s="14">
        <f t="shared" si="7"/>
        <v>-8.7279804905546363E-2</v>
      </c>
      <c r="N34" s="14">
        <f t="shared" si="8"/>
        <v>1.3074406392045934E-2</v>
      </c>
      <c r="O34" s="14">
        <f t="shared" si="9"/>
        <v>4.3361250648423612E-3</v>
      </c>
      <c r="P34" s="14">
        <f t="shared" si="10"/>
        <v>6.7129256532450872E-3</v>
      </c>
      <c r="Q34" s="14">
        <f t="shared" si="11"/>
        <v>2.6424647634417662E-3</v>
      </c>
      <c r="R34" s="14">
        <f t="shared" si="12"/>
        <v>8.2466182214793369E-4</v>
      </c>
      <c r="S34" s="14">
        <f t="shared" si="13"/>
        <v>-1.6106287275876041E-2</v>
      </c>
    </row>
    <row r="35" spans="11:19" x14ac:dyDescent="0.25">
      <c r="K35" s="9" t="s">
        <v>6</v>
      </c>
      <c r="L35" s="14">
        <f t="shared" si="6"/>
        <v>1.6834628702665076E-2</v>
      </c>
      <c r="M35" s="14">
        <f t="shared" si="7"/>
        <v>1.0139793479851207E-2</v>
      </c>
      <c r="N35" s="14">
        <f t="shared" si="8"/>
        <v>-4.7965177074351231E-2</v>
      </c>
      <c r="O35" s="14">
        <f t="shared" si="9"/>
        <v>1.7291296270843771E-3</v>
      </c>
      <c r="P35" s="14">
        <f t="shared" si="10"/>
        <v>1.2001447780067428E-3</v>
      </c>
      <c r="Q35" s="14">
        <f t="shared" si="11"/>
        <v>9.975747848563715E-4</v>
      </c>
      <c r="R35" s="14">
        <f t="shared" si="12"/>
        <v>2.9262193689120228E-4</v>
      </c>
      <c r="S35" s="14">
        <f t="shared" si="13"/>
        <v>-1.6771283764996252E-2</v>
      </c>
    </row>
    <row r="36" spans="11:19" x14ac:dyDescent="0.25">
      <c r="K36" t="s">
        <v>7</v>
      </c>
      <c r="L36" s="14">
        <f t="shared" si="6"/>
        <v>0</v>
      </c>
      <c r="M36" s="14">
        <f t="shared" si="7"/>
        <v>0</v>
      </c>
      <c r="N36" s="14">
        <f t="shared" si="8"/>
        <v>0</v>
      </c>
      <c r="O36" s="14">
        <f t="shared" si="9"/>
        <v>0</v>
      </c>
      <c r="P36" s="14">
        <f t="shared" si="10"/>
        <v>0</v>
      </c>
      <c r="Q36" s="14">
        <f t="shared" si="11"/>
        <v>0</v>
      </c>
      <c r="R36" s="14">
        <f t="shared" si="12"/>
        <v>0</v>
      </c>
      <c r="S36" s="14">
        <f t="shared" si="13"/>
        <v>0</v>
      </c>
    </row>
    <row r="37" spans="11:19" x14ac:dyDescent="0.25">
      <c r="K37" s="9" t="s">
        <v>8</v>
      </c>
      <c r="L37" s="14">
        <f t="shared" si="6"/>
        <v>2.9927243545691141E-3</v>
      </c>
      <c r="M37" s="14">
        <f t="shared" si="7"/>
        <v>9.7540645630400755E-4</v>
      </c>
      <c r="N37" s="14">
        <f t="shared" si="8"/>
        <v>1.4542423530350659E-3</v>
      </c>
      <c r="O37" s="14">
        <f t="shared" si="9"/>
        <v>7.8475883075367883E-4</v>
      </c>
      <c r="P37" s="14">
        <f t="shared" si="10"/>
        <v>-2.3881616222931005E-2</v>
      </c>
      <c r="Q37" s="14">
        <f t="shared" si="11"/>
        <v>2.7932093975978399E-4</v>
      </c>
      <c r="R37" s="14">
        <f t="shared" si="12"/>
        <v>8.8673314209455231E-5</v>
      </c>
      <c r="S37" s="14">
        <f t="shared" si="13"/>
        <v>-1.7306489974299899E-2</v>
      </c>
    </row>
    <row r="38" spans="11:19" x14ac:dyDescent="0.25">
      <c r="K38" s="9" t="s">
        <v>9</v>
      </c>
      <c r="L38" s="14">
        <f t="shared" si="6"/>
        <v>7.5815683649084226E-4</v>
      </c>
      <c r="M38" s="14">
        <f t="shared" si="7"/>
        <v>2.3498428265505638E-4</v>
      </c>
      <c r="N38" s="14">
        <f t="shared" si="8"/>
        <v>3.7242791967971199E-4</v>
      </c>
      <c r="O38" s="14">
        <f t="shared" si="9"/>
        <v>9.7540645630400763E-5</v>
      </c>
      <c r="P38" s="14">
        <f t="shared" si="10"/>
        <v>1.8621395983985599E-4</v>
      </c>
      <c r="Q38" s="14">
        <f t="shared" si="11"/>
        <v>-5.4909278011830702E-4</v>
      </c>
      <c r="R38" s="14">
        <f t="shared" si="12"/>
        <v>1.7734662841891048E-5</v>
      </c>
      <c r="S38" s="14">
        <f t="shared" si="13"/>
        <v>1.1179655270194516E-3</v>
      </c>
    </row>
    <row r="39" spans="11:19" x14ac:dyDescent="0.25">
      <c r="K39" s="9" t="s">
        <v>10</v>
      </c>
      <c r="L39" s="14">
        <f t="shared" si="6"/>
        <v>2.431043371793272E-2</v>
      </c>
      <c r="M39" s="14">
        <f t="shared" si="7"/>
        <v>2.5745681261696813E-2</v>
      </c>
      <c r="N39" s="14">
        <f t="shared" si="8"/>
        <v>-6.1223124529524164E-3</v>
      </c>
      <c r="O39" s="14">
        <f t="shared" si="9"/>
        <v>1.2064431151929426E-2</v>
      </c>
      <c r="P39" s="14">
        <f t="shared" si="10"/>
        <v>1.530992049808402E-2</v>
      </c>
      <c r="Q39" s="14">
        <f t="shared" si="11"/>
        <v>-4.0377949454621356E-3</v>
      </c>
      <c r="R39" s="14">
        <f t="shared" si="12"/>
        <v>-6.5942144859942695E-2</v>
      </c>
      <c r="S39" s="14">
        <f t="shared" si="13"/>
        <v>1.3282143712856631E-3</v>
      </c>
    </row>
    <row r="40" spans="11:19" x14ac:dyDescent="0.25">
      <c r="K40" s="6" t="s">
        <v>12</v>
      </c>
      <c r="L40" s="14">
        <f t="shared" si="6"/>
        <v>5.1532496552824908E-2</v>
      </c>
      <c r="M40" s="14">
        <f t="shared" si="7"/>
        <v>1.847951868125047E-2</v>
      </c>
      <c r="N40" s="14">
        <f t="shared" si="8"/>
        <v>2.2585093129148248E-2</v>
      </c>
      <c r="O40" s="14">
        <f t="shared" si="9"/>
        <v>1.1611770495728164E-2</v>
      </c>
      <c r="P40" s="14">
        <f t="shared" si="10"/>
        <v>2.0151010654098703E-2</v>
      </c>
      <c r="Q40" s="14">
        <f t="shared" si="11"/>
        <v>3.072530337357624E-3</v>
      </c>
      <c r="R40" s="14">
        <f t="shared" si="12"/>
        <v>7.4042217364895125E-4</v>
      </c>
      <c r="S40" s="14">
        <f t="shared" si="13"/>
        <v>0.12817284202405707</v>
      </c>
    </row>
    <row r="41" spans="11:19" ht="15.75" customHeight="1" thickBot="1" x14ac:dyDescent="0.3">
      <c r="K41" s="10" t="s">
        <v>3</v>
      </c>
      <c r="L41" s="16">
        <f t="shared" si="6"/>
        <v>7.4638702028450188E-2</v>
      </c>
      <c r="M41" s="16">
        <f t="shared" si="7"/>
        <v>-1.3110009317827187E-2</v>
      </c>
      <c r="N41" s="16">
        <f t="shared" si="8"/>
        <v>-6.5363037372207999E-2</v>
      </c>
      <c r="O41" s="16">
        <f t="shared" si="9"/>
        <v>3.7810727932644755E-2</v>
      </c>
      <c r="P41" s="16">
        <f t="shared" si="10"/>
        <v>2.3428998811464083E-2</v>
      </c>
      <c r="Q41" s="16">
        <f t="shared" si="11"/>
        <v>5.6282780713488023E-3</v>
      </c>
      <c r="R41" s="16">
        <f t="shared" si="12"/>
        <v>-6.3033660153872573E-2</v>
      </c>
      <c r="S41" s="16">
        <f t="shared" si="13"/>
        <v>0</v>
      </c>
    </row>
  </sheetData>
  <mergeCells count="5">
    <mergeCell ref="L31:S31"/>
    <mergeCell ref="L17:S17"/>
    <mergeCell ref="B17:H17"/>
    <mergeCell ref="L3:S3"/>
    <mergeCell ref="B3:H3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2:B3"/>
  <sheetViews>
    <sheetView workbookViewId="0"/>
  </sheetViews>
  <sheetFormatPr defaultRowHeight="15" x14ac:dyDescent="0.25"/>
  <sheetData>
    <row r="2" spans="2:2" x14ac:dyDescent="0.25">
      <c r="B2" t="s">
        <v>59</v>
      </c>
    </row>
    <row r="3" spans="2:2" x14ac:dyDescent="0.25">
      <c r="B3" t="s">
        <v>60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BF47"/>
  <sheetViews>
    <sheetView topLeftCell="A34" workbookViewId="0">
      <selection activeCell="I32" sqref="I31:I32"/>
    </sheetView>
  </sheetViews>
  <sheetFormatPr defaultRowHeight="15" x14ac:dyDescent="0.25"/>
  <cols>
    <col min="2" max="2" width="11" bestFit="1" customWidth="1" collapsed="1"/>
  </cols>
  <sheetData>
    <row r="1" spans="1:58" x14ac:dyDescent="0.25">
      <c r="A1" s="30" t="s">
        <v>61</v>
      </c>
      <c r="M1" s="30" t="s">
        <v>62</v>
      </c>
      <c r="W1" s="30" t="s">
        <v>63</v>
      </c>
      <c r="AL1" s="30" t="s">
        <v>64</v>
      </c>
      <c r="AZ1" s="30" t="s">
        <v>65</v>
      </c>
    </row>
    <row r="2" spans="1:58" x14ac:dyDescent="0.25">
      <c r="A2" t="s">
        <v>66</v>
      </c>
      <c r="B2" t="s">
        <v>67</v>
      </c>
      <c r="E2" s="28" t="s">
        <v>68</v>
      </c>
      <c r="M2" t="s">
        <v>66</v>
      </c>
      <c r="N2" t="s">
        <v>67</v>
      </c>
      <c r="Q2" s="28" t="s">
        <v>68</v>
      </c>
      <c r="W2" t="s">
        <v>66</v>
      </c>
      <c r="X2" t="s">
        <v>67</v>
      </c>
      <c r="AA2" t="s">
        <v>68</v>
      </c>
      <c r="AL2" t="s">
        <v>66</v>
      </c>
      <c r="AM2" t="s">
        <v>67</v>
      </c>
      <c r="AP2" t="s">
        <v>68</v>
      </c>
      <c r="AZ2" t="s">
        <v>66</v>
      </c>
      <c r="BA2" t="s">
        <v>67</v>
      </c>
      <c r="BD2" t="s">
        <v>68</v>
      </c>
    </row>
    <row r="3" spans="1:58" x14ac:dyDescent="0.25">
      <c r="A3">
        <v>1</v>
      </c>
      <c r="B3" t="s">
        <v>69</v>
      </c>
      <c r="C3" t="s">
        <v>70</v>
      </c>
      <c r="D3" s="29">
        <v>8.2714292376400003E-2</v>
      </c>
      <c r="E3" t="s">
        <v>71</v>
      </c>
      <c r="F3" t="s">
        <v>72</v>
      </c>
      <c r="G3" t="s">
        <v>73</v>
      </c>
      <c r="M3">
        <v>2</v>
      </c>
      <c r="N3" t="s">
        <v>74</v>
      </c>
      <c r="O3" t="s">
        <v>70</v>
      </c>
      <c r="P3">
        <v>3.3415951052600001</v>
      </c>
      <c r="Q3" t="s">
        <v>75</v>
      </c>
      <c r="W3">
        <v>1</v>
      </c>
      <c r="X3" t="s">
        <v>69</v>
      </c>
      <c r="Y3" t="s">
        <v>70</v>
      </c>
      <c r="Z3">
        <v>0.52879225620699999</v>
      </c>
      <c r="AA3" t="s">
        <v>76</v>
      </c>
      <c r="AB3" t="s">
        <v>77</v>
      </c>
      <c r="AC3" t="s">
        <v>78</v>
      </c>
      <c r="AL3">
        <v>1</v>
      </c>
      <c r="AM3" t="s">
        <v>69</v>
      </c>
      <c r="AN3" t="s">
        <v>70</v>
      </c>
      <c r="AO3">
        <v>0.37910550304899998</v>
      </c>
      <c r="AP3" t="s">
        <v>79</v>
      </c>
      <c r="AQ3" t="s">
        <v>72</v>
      </c>
      <c r="AR3" t="s">
        <v>73</v>
      </c>
      <c r="AZ3">
        <v>1</v>
      </c>
      <c r="BA3" t="s">
        <v>69</v>
      </c>
      <c r="BB3" t="s">
        <v>70</v>
      </c>
      <c r="BC3">
        <v>1.4514354035000001</v>
      </c>
      <c r="BD3" t="s">
        <v>80</v>
      </c>
      <c r="BE3" t="s">
        <v>81</v>
      </c>
      <c r="BF3" t="s">
        <v>82</v>
      </c>
    </row>
    <row r="4" spans="1:58" x14ac:dyDescent="0.25">
      <c r="A4">
        <v>2</v>
      </c>
      <c r="B4" t="s">
        <v>74</v>
      </c>
      <c r="C4" t="s">
        <v>70</v>
      </c>
      <c r="D4">
        <v>1.0220354865200001</v>
      </c>
      <c r="E4" t="s">
        <v>83</v>
      </c>
      <c r="M4">
        <v>30</v>
      </c>
      <c r="N4" t="s">
        <v>84</v>
      </c>
      <c r="O4" t="s">
        <v>70</v>
      </c>
      <c r="P4">
        <v>-2.1800862739200002</v>
      </c>
      <c r="Q4">
        <v>1</v>
      </c>
      <c r="W4">
        <v>2</v>
      </c>
      <c r="X4" t="s">
        <v>74</v>
      </c>
      <c r="Y4" t="s">
        <v>70</v>
      </c>
      <c r="Z4">
        <v>0.55879276356800001</v>
      </c>
      <c r="AA4" t="s">
        <v>85</v>
      </c>
      <c r="AL4">
        <v>2</v>
      </c>
      <c r="AM4" t="s">
        <v>74</v>
      </c>
      <c r="AN4" t="s">
        <v>70</v>
      </c>
      <c r="AO4">
        <v>2.0186908853599999</v>
      </c>
      <c r="AP4" t="s">
        <v>75</v>
      </c>
      <c r="AZ4">
        <v>2</v>
      </c>
      <c r="BA4" t="s">
        <v>74</v>
      </c>
      <c r="BB4" t="s">
        <v>70</v>
      </c>
      <c r="BC4">
        <v>1.3039408369400001</v>
      </c>
      <c r="BD4" t="s">
        <v>86</v>
      </c>
    </row>
    <row r="5" spans="1:58" x14ac:dyDescent="0.25">
      <c r="A5">
        <v>10</v>
      </c>
      <c r="B5" t="s">
        <v>87</v>
      </c>
      <c r="C5" t="s">
        <v>70</v>
      </c>
      <c r="D5">
        <v>-1.1944700928600001</v>
      </c>
      <c r="E5">
        <v>1</v>
      </c>
      <c r="G5" t="s">
        <v>11</v>
      </c>
      <c r="M5">
        <v>31</v>
      </c>
      <c r="N5" t="s">
        <v>88</v>
      </c>
      <c r="O5" t="s">
        <v>70</v>
      </c>
      <c r="P5">
        <v>1.16680397388</v>
      </c>
      <c r="Q5" t="s">
        <v>89</v>
      </c>
      <c r="W5">
        <v>10</v>
      </c>
      <c r="X5" t="s">
        <v>90</v>
      </c>
      <c r="Y5" t="s">
        <v>70</v>
      </c>
      <c r="Z5">
        <v>-1.6038121758199999</v>
      </c>
      <c r="AA5">
        <v>1</v>
      </c>
      <c r="AL5">
        <v>20</v>
      </c>
      <c r="AM5" t="s">
        <v>91</v>
      </c>
      <c r="AN5" t="s">
        <v>70</v>
      </c>
      <c r="AO5">
        <v>-4.4200798368200003</v>
      </c>
      <c r="AP5">
        <v>1</v>
      </c>
      <c r="AZ5">
        <v>20</v>
      </c>
      <c r="BA5" t="s">
        <v>91</v>
      </c>
      <c r="BB5" t="s">
        <v>70</v>
      </c>
      <c r="BC5">
        <v>-3.4980731239099998</v>
      </c>
      <c r="BD5">
        <v>1</v>
      </c>
    </row>
    <row r="6" spans="1:58" x14ac:dyDescent="0.25">
      <c r="A6">
        <v>17</v>
      </c>
      <c r="B6" t="s">
        <v>92</v>
      </c>
      <c r="C6" t="s">
        <v>70</v>
      </c>
      <c r="D6">
        <v>-0.37388358649999998</v>
      </c>
      <c r="E6" t="s">
        <v>93</v>
      </c>
      <c r="M6">
        <v>32</v>
      </c>
      <c r="N6" t="s">
        <v>94</v>
      </c>
      <c r="O6" t="s">
        <v>70</v>
      </c>
      <c r="P6">
        <v>0.48228420681</v>
      </c>
      <c r="Q6" t="s">
        <v>95</v>
      </c>
      <c r="W6">
        <v>11</v>
      </c>
      <c r="X6" t="s">
        <v>96</v>
      </c>
      <c r="Y6" t="s">
        <v>97</v>
      </c>
      <c r="Z6">
        <v>-2</v>
      </c>
      <c r="AA6" t="s">
        <v>98</v>
      </c>
      <c r="AD6" t="s">
        <v>99</v>
      </c>
      <c r="AL6">
        <v>21</v>
      </c>
      <c r="AM6" t="s">
        <v>100</v>
      </c>
      <c r="AN6" t="s">
        <v>70</v>
      </c>
      <c r="AO6">
        <v>4.94579205397</v>
      </c>
      <c r="AP6" t="s">
        <v>98</v>
      </c>
      <c r="AZ6">
        <v>30</v>
      </c>
      <c r="BA6" t="s">
        <v>84</v>
      </c>
      <c r="BB6" t="s">
        <v>70</v>
      </c>
      <c r="BC6">
        <v>-2.6353130235300002</v>
      </c>
      <c r="BD6">
        <v>1</v>
      </c>
    </row>
    <row r="7" spans="1:58" x14ac:dyDescent="0.25">
      <c r="A7">
        <v>18</v>
      </c>
      <c r="B7" t="s">
        <v>101</v>
      </c>
      <c r="C7" t="s">
        <v>70</v>
      </c>
      <c r="D7">
        <v>-2.1552189459600002</v>
      </c>
      <c r="E7" t="s">
        <v>102</v>
      </c>
      <c r="M7">
        <v>33</v>
      </c>
      <c r="N7" t="s">
        <v>103</v>
      </c>
      <c r="O7" t="s">
        <v>70</v>
      </c>
      <c r="P7" s="29">
        <v>7.7733428152199996E-2</v>
      </c>
      <c r="Q7" t="s">
        <v>104</v>
      </c>
      <c r="W7">
        <v>13</v>
      </c>
      <c r="X7" t="s">
        <v>105</v>
      </c>
      <c r="Y7" t="s">
        <v>70</v>
      </c>
      <c r="Z7">
        <v>-1.01072071817</v>
      </c>
      <c r="AA7" t="s">
        <v>106</v>
      </c>
      <c r="AL7">
        <v>30</v>
      </c>
      <c r="AM7" t="s">
        <v>84</v>
      </c>
      <c r="AN7" t="s">
        <v>70</v>
      </c>
      <c r="AO7">
        <v>-0.81129976642199997</v>
      </c>
      <c r="AP7">
        <v>1</v>
      </c>
      <c r="AZ7">
        <v>40</v>
      </c>
      <c r="BA7" t="s">
        <v>107</v>
      </c>
      <c r="BB7" t="s">
        <v>70</v>
      </c>
      <c r="BC7">
        <v>-1.7745103655700001</v>
      </c>
      <c r="BD7">
        <v>1</v>
      </c>
    </row>
    <row r="8" spans="1:58" x14ac:dyDescent="0.25">
      <c r="A8">
        <v>20</v>
      </c>
      <c r="B8" t="s">
        <v>91</v>
      </c>
      <c r="C8" t="s">
        <v>70</v>
      </c>
      <c r="D8">
        <v>-3.89062176924</v>
      </c>
      <c r="E8">
        <v>1</v>
      </c>
      <c r="G8" t="s">
        <v>108</v>
      </c>
      <c r="M8">
        <v>40</v>
      </c>
      <c r="N8" t="s">
        <v>107</v>
      </c>
      <c r="O8" t="s">
        <v>70</v>
      </c>
      <c r="P8">
        <v>-1.3015858506</v>
      </c>
      <c r="Q8">
        <v>1</v>
      </c>
      <c r="W8">
        <v>20</v>
      </c>
      <c r="X8" t="s">
        <v>91</v>
      </c>
      <c r="Y8" t="s">
        <v>70</v>
      </c>
      <c r="Z8">
        <v>-1.9181554270400001</v>
      </c>
      <c r="AA8">
        <v>1</v>
      </c>
      <c r="AL8">
        <v>31</v>
      </c>
      <c r="AM8" t="s">
        <v>109</v>
      </c>
      <c r="AN8" t="s">
        <v>70</v>
      </c>
      <c r="AO8">
        <v>0.59818794862500002</v>
      </c>
      <c r="AP8" t="s">
        <v>89</v>
      </c>
      <c r="AZ8">
        <v>50</v>
      </c>
      <c r="BA8" t="s">
        <v>110</v>
      </c>
      <c r="BB8" t="s">
        <v>70</v>
      </c>
      <c r="BC8">
        <v>-2.30718445759</v>
      </c>
      <c r="BD8">
        <v>1</v>
      </c>
    </row>
    <row r="9" spans="1:58" x14ac:dyDescent="0.25">
      <c r="A9">
        <v>21</v>
      </c>
      <c r="B9" t="s">
        <v>100</v>
      </c>
      <c r="C9" t="s">
        <v>70</v>
      </c>
      <c r="D9">
        <v>1.02924701291</v>
      </c>
      <c r="E9" t="s">
        <v>98</v>
      </c>
      <c r="M9">
        <v>41</v>
      </c>
      <c r="N9" t="s">
        <v>111</v>
      </c>
      <c r="O9" t="s">
        <v>97</v>
      </c>
      <c r="P9">
        <v>-5.9139999999999997</v>
      </c>
      <c r="Q9" t="s">
        <v>98</v>
      </c>
      <c r="W9">
        <v>30</v>
      </c>
      <c r="X9" t="s">
        <v>84</v>
      </c>
      <c r="Y9" t="s">
        <v>70</v>
      </c>
      <c r="Z9">
        <v>-0.96957991101999996</v>
      </c>
      <c r="AA9">
        <v>1</v>
      </c>
      <c r="AL9">
        <v>32</v>
      </c>
      <c r="AM9" t="s">
        <v>112</v>
      </c>
      <c r="AN9" t="s">
        <v>70</v>
      </c>
      <c r="AO9">
        <v>0.126346118476</v>
      </c>
      <c r="AP9" t="s">
        <v>95</v>
      </c>
      <c r="AZ9">
        <v>54</v>
      </c>
      <c r="BA9" t="s">
        <v>113</v>
      </c>
      <c r="BB9" t="s">
        <v>70</v>
      </c>
      <c r="BC9">
        <v>-0.13556679442799999</v>
      </c>
      <c r="BD9" t="s">
        <v>114</v>
      </c>
    </row>
    <row r="10" spans="1:58" x14ac:dyDescent="0.25">
      <c r="A10">
        <v>22</v>
      </c>
      <c r="B10" t="s">
        <v>115</v>
      </c>
      <c r="C10" t="s">
        <v>70</v>
      </c>
      <c r="D10">
        <v>0.28476332632899998</v>
      </c>
      <c r="E10" t="s">
        <v>116</v>
      </c>
      <c r="M10">
        <v>42</v>
      </c>
      <c r="N10" t="s">
        <v>117</v>
      </c>
      <c r="O10" t="s">
        <v>70</v>
      </c>
      <c r="P10" s="29">
        <v>-3.2567490020500002E-2</v>
      </c>
      <c r="Q10" t="s">
        <v>116</v>
      </c>
      <c r="W10">
        <v>31</v>
      </c>
      <c r="X10" t="s">
        <v>109</v>
      </c>
      <c r="Y10" t="s">
        <v>70</v>
      </c>
      <c r="Z10">
        <v>0.32331883684899998</v>
      </c>
      <c r="AA10" t="s">
        <v>89</v>
      </c>
      <c r="AL10">
        <v>34</v>
      </c>
      <c r="AM10" t="s">
        <v>118</v>
      </c>
      <c r="AN10" t="s">
        <v>70</v>
      </c>
      <c r="AO10">
        <v>0.182457426512</v>
      </c>
      <c r="AP10" t="s">
        <v>119</v>
      </c>
      <c r="AZ10">
        <v>55</v>
      </c>
      <c r="BA10" t="s">
        <v>120</v>
      </c>
      <c r="BB10" t="s">
        <v>70</v>
      </c>
      <c r="BC10">
        <v>-0.13243830190100001</v>
      </c>
      <c r="BD10" t="s">
        <v>121</v>
      </c>
    </row>
    <row r="11" spans="1:58" x14ac:dyDescent="0.25">
      <c r="A11">
        <v>27</v>
      </c>
      <c r="B11" t="s">
        <v>122</v>
      </c>
      <c r="C11" t="s">
        <v>97</v>
      </c>
      <c r="D11">
        <v>-5</v>
      </c>
      <c r="E11" t="s">
        <v>93</v>
      </c>
      <c r="M11">
        <v>50</v>
      </c>
      <c r="N11" s="31" t="s">
        <v>123</v>
      </c>
      <c r="O11" t="s">
        <v>97</v>
      </c>
      <c r="P11">
        <v>-10</v>
      </c>
      <c r="Q11">
        <v>1</v>
      </c>
      <c r="W11">
        <v>32</v>
      </c>
      <c r="X11" t="s">
        <v>112</v>
      </c>
      <c r="Y11" t="s">
        <v>70</v>
      </c>
      <c r="Z11">
        <v>0.27882626875799998</v>
      </c>
      <c r="AA11" t="s">
        <v>95</v>
      </c>
      <c r="AL11">
        <v>35</v>
      </c>
      <c r="AM11" t="s">
        <v>124</v>
      </c>
      <c r="AN11" t="s">
        <v>70</v>
      </c>
      <c r="AO11">
        <v>0.22510711488400001</v>
      </c>
      <c r="AP11" t="s">
        <v>125</v>
      </c>
      <c r="AZ11">
        <v>58</v>
      </c>
      <c r="BA11" t="s">
        <v>126</v>
      </c>
      <c r="BB11" t="s">
        <v>70</v>
      </c>
      <c r="BC11">
        <v>2.76787980308</v>
      </c>
      <c r="BD11" t="s">
        <v>127</v>
      </c>
    </row>
    <row r="12" spans="1:58" x14ac:dyDescent="0.25">
      <c r="A12">
        <v>28</v>
      </c>
      <c r="B12" t="s">
        <v>128</v>
      </c>
      <c r="C12" t="s">
        <v>70</v>
      </c>
      <c r="D12">
        <v>1.6189300503899999</v>
      </c>
      <c r="E12" t="s">
        <v>102</v>
      </c>
      <c r="M12">
        <v>60</v>
      </c>
      <c r="N12" t="s">
        <v>129</v>
      </c>
      <c r="O12" t="s">
        <v>97</v>
      </c>
      <c r="P12">
        <v>-10</v>
      </c>
      <c r="Q12">
        <v>1</v>
      </c>
      <c r="W12">
        <v>35</v>
      </c>
      <c r="X12" t="s">
        <v>124</v>
      </c>
      <c r="Y12" t="s">
        <v>70</v>
      </c>
      <c r="Z12">
        <v>-0.135816439973</v>
      </c>
      <c r="AA12" t="s">
        <v>125</v>
      </c>
      <c r="AL12">
        <v>38</v>
      </c>
      <c r="AM12" t="s">
        <v>130</v>
      </c>
      <c r="AN12" t="s">
        <v>70</v>
      </c>
      <c r="AO12">
        <v>-3.6449456511</v>
      </c>
      <c r="AP12" t="s">
        <v>131</v>
      </c>
      <c r="AZ12">
        <v>59</v>
      </c>
      <c r="BA12" t="s">
        <v>132</v>
      </c>
      <c r="BB12" t="s">
        <v>70</v>
      </c>
      <c r="BC12">
        <v>2.0325205083700002</v>
      </c>
      <c r="BD12" t="s">
        <v>133</v>
      </c>
    </row>
    <row r="13" spans="1:58" x14ac:dyDescent="0.25">
      <c r="A13">
        <v>29</v>
      </c>
      <c r="B13" t="s">
        <v>134</v>
      </c>
      <c r="C13" t="s">
        <v>70</v>
      </c>
      <c r="D13">
        <v>1.4418614350800001</v>
      </c>
      <c r="E13" t="s">
        <v>135</v>
      </c>
      <c r="M13">
        <v>73</v>
      </c>
      <c r="N13" t="s">
        <v>136</v>
      </c>
      <c r="O13" t="s">
        <v>70</v>
      </c>
      <c r="P13">
        <v>-2.3805019629599999</v>
      </c>
      <c r="Q13" t="s">
        <v>137</v>
      </c>
      <c r="W13">
        <v>38</v>
      </c>
      <c r="X13" t="s">
        <v>130</v>
      </c>
      <c r="Y13" t="s">
        <v>70</v>
      </c>
      <c r="Z13">
        <v>-0.61753363761699998</v>
      </c>
      <c r="AA13" t="s">
        <v>131</v>
      </c>
      <c r="AL13">
        <v>39</v>
      </c>
      <c r="AM13" t="s">
        <v>138</v>
      </c>
      <c r="AN13" t="s">
        <v>70</v>
      </c>
      <c r="AO13">
        <v>-2.0456438236599999</v>
      </c>
      <c r="AP13" t="s">
        <v>139</v>
      </c>
      <c r="AZ13">
        <v>60</v>
      </c>
      <c r="BA13" t="s">
        <v>129</v>
      </c>
      <c r="BB13" t="s">
        <v>70</v>
      </c>
      <c r="BC13">
        <v>-4.8566896576699996</v>
      </c>
      <c r="BD13">
        <v>1</v>
      </c>
    </row>
    <row r="14" spans="1:58" x14ac:dyDescent="0.25">
      <c r="A14">
        <v>30</v>
      </c>
      <c r="B14" t="s">
        <v>84</v>
      </c>
      <c r="C14" t="s">
        <v>70</v>
      </c>
      <c r="D14">
        <v>-0.436326716236</v>
      </c>
      <c r="E14">
        <v>1</v>
      </c>
      <c r="M14">
        <v>76</v>
      </c>
      <c r="N14" t="s">
        <v>140</v>
      </c>
      <c r="O14" t="s">
        <v>70</v>
      </c>
      <c r="P14" s="29">
        <v>1.5103600785499999E-3</v>
      </c>
      <c r="Q14" t="s">
        <v>141</v>
      </c>
      <c r="W14">
        <v>39</v>
      </c>
      <c r="X14" t="s">
        <v>138</v>
      </c>
      <c r="Y14" t="s">
        <v>70</v>
      </c>
      <c r="Z14">
        <v>-1.24532834343</v>
      </c>
      <c r="AA14" t="s">
        <v>139</v>
      </c>
      <c r="AL14">
        <v>40</v>
      </c>
      <c r="AM14" t="s">
        <v>107</v>
      </c>
      <c r="AN14" t="s">
        <v>70</v>
      </c>
      <c r="AO14">
        <v>-0.72293440404700005</v>
      </c>
      <c r="AP14">
        <v>1</v>
      </c>
      <c r="AZ14">
        <v>61</v>
      </c>
      <c r="BA14" t="s">
        <v>142</v>
      </c>
      <c r="BB14" t="s">
        <v>70</v>
      </c>
      <c r="BC14" s="29">
        <v>-7.61146297547E-2</v>
      </c>
      <c r="BD14" t="s">
        <v>143</v>
      </c>
    </row>
    <row r="15" spans="1:58" x14ac:dyDescent="0.25">
      <c r="A15">
        <v>37</v>
      </c>
      <c r="B15" t="s">
        <v>138</v>
      </c>
      <c r="C15" t="s">
        <v>70</v>
      </c>
      <c r="D15">
        <v>-1.17061677191</v>
      </c>
      <c r="E15" t="s">
        <v>139</v>
      </c>
      <c r="H15" t="s">
        <v>131</v>
      </c>
      <c r="M15">
        <v>81</v>
      </c>
      <c r="N15" t="s">
        <v>144</v>
      </c>
      <c r="O15" t="s">
        <v>70</v>
      </c>
      <c r="P15">
        <v>0.91500335831599999</v>
      </c>
      <c r="Q15" t="s">
        <v>89</v>
      </c>
      <c r="W15">
        <v>40</v>
      </c>
      <c r="X15" t="s">
        <v>107</v>
      </c>
      <c r="Y15" t="s">
        <v>70</v>
      </c>
      <c r="Z15">
        <v>-0.43668173859600001</v>
      </c>
      <c r="AA15">
        <v>1</v>
      </c>
      <c r="AL15">
        <v>41</v>
      </c>
      <c r="AM15" t="s">
        <v>111</v>
      </c>
      <c r="AN15" t="s">
        <v>70</v>
      </c>
      <c r="AO15">
        <v>-0.92857142151799998</v>
      </c>
      <c r="AP15" t="s">
        <v>98</v>
      </c>
      <c r="AZ15">
        <v>69</v>
      </c>
      <c r="BA15" t="s">
        <v>145</v>
      </c>
      <c r="BB15" t="s">
        <v>70</v>
      </c>
      <c r="BC15">
        <v>4.2535185960500002</v>
      </c>
      <c r="BD15" t="s">
        <v>146</v>
      </c>
    </row>
    <row r="16" spans="1:58" x14ac:dyDescent="0.25">
      <c r="A16">
        <v>38</v>
      </c>
      <c r="B16" t="s">
        <v>147</v>
      </c>
      <c r="C16" t="s">
        <v>70</v>
      </c>
      <c r="D16">
        <v>-0.50005425535900005</v>
      </c>
      <c r="E16" t="s">
        <v>131</v>
      </c>
      <c r="M16">
        <v>82</v>
      </c>
      <c r="N16" t="s">
        <v>148</v>
      </c>
      <c r="O16" t="s">
        <v>70</v>
      </c>
      <c r="P16" s="29">
        <v>-2.7232831171200001E-2</v>
      </c>
      <c r="Q16" t="s">
        <v>95</v>
      </c>
      <c r="W16">
        <v>41</v>
      </c>
      <c r="X16" t="s">
        <v>111</v>
      </c>
      <c r="Y16" t="s">
        <v>70</v>
      </c>
      <c r="Z16">
        <v>-3.1062781391100001</v>
      </c>
      <c r="AA16" t="s">
        <v>98</v>
      </c>
      <c r="AL16">
        <v>43</v>
      </c>
      <c r="AM16" t="s">
        <v>149</v>
      </c>
      <c r="AN16" t="s">
        <v>70</v>
      </c>
      <c r="AO16">
        <v>-0.115623185214</v>
      </c>
      <c r="AP16" t="s">
        <v>106</v>
      </c>
      <c r="AZ16">
        <v>79</v>
      </c>
      <c r="BA16" t="s">
        <v>150</v>
      </c>
      <c r="BB16" t="s">
        <v>97</v>
      </c>
      <c r="BC16">
        <v>5</v>
      </c>
      <c r="BD16" t="s">
        <v>151</v>
      </c>
    </row>
    <row r="17" spans="1:56" x14ac:dyDescent="0.25">
      <c r="A17">
        <v>40</v>
      </c>
      <c r="B17" t="s">
        <v>107</v>
      </c>
      <c r="C17" t="s">
        <v>70</v>
      </c>
      <c r="D17">
        <v>-1.07632083804</v>
      </c>
      <c r="E17">
        <v>1</v>
      </c>
      <c r="M17">
        <v>83</v>
      </c>
      <c r="N17" t="s">
        <v>152</v>
      </c>
      <c r="O17" t="s">
        <v>70</v>
      </c>
      <c r="P17">
        <v>-1.41548419308</v>
      </c>
      <c r="Q17" t="s">
        <v>104</v>
      </c>
      <c r="W17">
        <v>42</v>
      </c>
      <c r="X17" t="s">
        <v>117</v>
      </c>
      <c r="Y17" t="s">
        <v>70</v>
      </c>
      <c r="Z17">
        <v>0.43342144713399999</v>
      </c>
      <c r="AA17" t="s">
        <v>116</v>
      </c>
      <c r="AL17">
        <v>48</v>
      </c>
      <c r="AM17" t="s">
        <v>147</v>
      </c>
      <c r="AN17" t="s">
        <v>70</v>
      </c>
      <c r="AO17">
        <v>-2.1236838848900002</v>
      </c>
      <c r="AP17" t="s">
        <v>131</v>
      </c>
      <c r="AZ17">
        <v>88</v>
      </c>
      <c r="BA17" t="s">
        <v>153</v>
      </c>
      <c r="BB17" t="s">
        <v>70</v>
      </c>
      <c r="BC17">
        <v>-0.23852894050599999</v>
      </c>
      <c r="BD17" t="s">
        <v>127</v>
      </c>
    </row>
    <row r="18" spans="1:56" x14ac:dyDescent="0.25">
      <c r="A18">
        <v>41</v>
      </c>
      <c r="B18" t="s">
        <v>111</v>
      </c>
      <c r="C18" t="s">
        <v>70</v>
      </c>
      <c r="D18">
        <v>-1.7451141218699999</v>
      </c>
      <c r="E18" t="s">
        <v>98</v>
      </c>
      <c r="W18">
        <v>48</v>
      </c>
      <c r="X18" t="s">
        <v>147</v>
      </c>
      <c r="Y18" t="s">
        <v>70</v>
      </c>
      <c r="Z18">
        <v>-0.39332327498699998</v>
      </c>
      <c r="AA18" t="s">
        <v>131</v>
      </c>
      <c r="AL18">
        <v>50</v>
      </c>
      <c r="AM18" t="s">
        <v>110</v>
      </c>
      <c r="AN18" t="s">
        <v>70</v>
      </c>
      <c r="AO18">
        <v>1.21463609016</v>
      </c>
      <c r="AP18">
        <v>1</v>
      </c>
      <c r="AZ18">
        <v>89</v>
      </c>
      <c r="BA18" t="s">
        <v>154</v>
      </c>
      <c r="BB18" t="s">
        <v>70</v>
      </c>
      <c r="BC18">
        <v>1.3187843664700001</v>
      </c>
      <c r="BD18" t="s">
        <v>133</v>
      </c>
    </row>
    <row r="19" spans="1:56" x14ac:dyDescent="0.25">
      <c r="A19">
        <v>44</v>
      </c>
      <c r="B19" t="s">
        <v>155</v>
      </c>
      <c r="C19" t="s">
        <v>70</v>
      </c>
      <c r="D19">
        <v>-0.26427109019</v>
      </c>
      <c r="E19" t="s">
        <v>114</v>
      </c>
      <c r="W19">
        <v>50</v>
      </c>
      <c r="X19" t="s">
        <v>110</v>
      </c>
      <c r="Y19" t="s">
        <v>70</v>
      </c>
      <c r="Z19">
        <v>2.20032936544</v>
      </c>
      <c r="AA19">
        <v>1</v>
      </c>
      <c r="AL19">
        <v>52</v>
      </c>
      <c r="AM19" t="s">
        <v>156</v>
      </c>
      <c r="AN19" t="s">
        <v>70</v>
      </c>
      <c r="AO19">
        <v>-0.87685347122000001</v>
      </c>
      <c r="AP19" t="s">
        <v>116</v>
      </c>
      <c r="AZ19">
        <v>99</v>
      </c>
      <c r="BA19" t="s">
        <v>157</v>
      </c>
      <c r="BB19" t="s">
        <v>70</v>
      </c>
      <c r="BC19">
        <v>0.96666822906600003</v>
      </c>
    </row>
    <row r="20" spans="1:56" x14ac:dyDescent="0.25">
      <c r="A20">
        <v>45</v>
      </c>
      <c r="B20" t="s">
        <v>158</v>
      </c>
      <c r="C20" t="s">
        <v>70</v>
      </c>
      <c r="D20">
        <v>-0.26346992705599998</v>
      </c>
      <c r="E20" t="s">
        <v>121</v>
      </c>
      <c r="W20">
        <v>53</v>
      </c>
      <c r="X20" t="s">
        <v>159</v>
      </c>
      <c r="Y20" t="s">
        <v>70</v>
      </c>
      <c r="Z20">
        <v>-1.27744217244</v>
      </c>
      <c r="AA20" t="s">
        <v>106</v>
      </c>
      <c r="AL20">
        <v>54</v>
      </c>
      <c r="AM20" t="s">
        <v>160</v>
      </c>
      <c r="AN20" t="s">
        <v>70</v>
      </c>
      <c r="AO20">
        <v>0.114530953724</v>
      </c>
      <c r="AP20" t="s">
        <v>114</v>
      </c>
    </row>
    <row r="21" spans="1:56" x14ac:dyDescent="0.25">
      <c r="A21">
        <v>47</v>
      </c>
      <c r="B21" t="s">
        <v>161</v>
      </c>
      <c r="C21" t="s">
        <v>70</v>
      </c>
      <c r="D21">
        <v>1.3756218553499999</v>
      </c>
      <c r="E21" t="s">
        <v>93</v>
      </c>
      <c r="W21">
        <v>54</v>
      </c>
      <c r="X21" t="s">
        <v>113</v>
      </c>
      <c r="Y21" t="s">
        <v>70</v>
      </c>
      <c r="Z21">
        <v>-0.17415467666600001</v>
      </c>
      <c r="AA21" t="s">
        <v>114</v>
      </c>
      <c r="AL21">
        <v>60</v>
      </c>
      <c r="AM21" t="s">
        <v>129</v>
      </c>
      <c r="AN21" t="s">
        <v>70</v>
      </c>
      <c r="AO21">
        <v>-6.5774811724299997</v>
      </c>
      <c r="AP21">
        <v>1</v>
      </c>
    </row>
    <row r="22" spans="1:56" x14ac:dyDescent="0.25">
      <c r="A22">
        <v>50</v>
      </c>
      <c r="B22" t="s">
        <v>110</v>
      </c>
      <c r="C22" t="s">
        <v>70</v>
      </c>
      <c r="D22">
        <v>1.2145079058199999</v>
      </c>
      <c r="E22">
        <v>1</v>
      </c>
      <c r="W22">
        <v>60</v>
      </c>
      <c r="X22" t="s">
        <v>129</v>
      </c>
      <c r="Y22" t="s">
        <v>70</v>
      </c>
      <c r="Z22">
        <v>-9.5721045222600001</v>
      </c>
      <c r="AA22">
        <v>1</v>
      </c>
      <c r="AL22">
        <v>61</v>
      </c>
      <c r="AM22" t="s">
        <v>142</v>
      </c>
      <c r="AN22" t="s">
        <v>70</v>
      </c>
      <c r="AO22">
        <v>1.0360071208699999</v>
      </c>
      <c r="AP22" t="s">
        <v>143</v>
      </c>
    </row>
    <row r="23" spans="1:56" x14ac:dyDescent="0.25">
      <c r="A23">
        <v>52</v>
      </c>
      <c r="B23" t="s">
        <v>156</v>
      </c>
      <c r="C23" t="s">
        <v>70</v>
      </c>
      <c r="D23">
        <v>-1.01885889266</v>
      </c>
      <c r="E23" t="s">
        <v>116</v>
      </c>
      <c r="W23">
        <v>61</v>
      </c>
      <c r="X23" t="s">
        <v>142</v>
      </c>
      <c r="Y23" t="s">
        <v>70</v>
      </c>
      <c r="Z23">
        <v>0.76617238553300004</v>
      </c>
      <c r="AA23" t="s">
        <v>143</v>
      </c>
      <c r="AL23">
        <v>63</v>
      </c>
      <c r="AM23" t="s">
        <v>162</v>
      </c>
      <c r="AN23" t="s">
        <v>70</v>
      </c>
      <c r="AO23">
        <v>-0.76682515659200001</v>
      </c>
      <c r="AP23" t="s">
        <v>137</v>
      </c>
    </row>
    <row r="24" spans="1:56" x14ac:dyDescent="0.25">
      <c r="A24">
        <v>54</v>
      </c>
      <c r="B24" t="s">
        <v>113</v>
      </c>
      <c r="C24" t="s">
        <v>70</v>
      </c>
      <c r="D24">
        <v>-0.78347783300499996</v>
      </c>
      <c r="E24" t="s">
        <v>114</v>
      </c>
      <c r="W24">
        <v>63</v>
      </c>
      <c r="X24" t="s">
        <v>162</v>
      </c>
      <c r="Y24" t="s">
        <v>70</v>
      </c>
      <c r="Z24">
        <v>-0.66187614505199999</v>
      </c>
      <c r="AA24" t="s">
        <v>137</v>
      </c>
      <c r="AL24">
        <v>73</v>
      </c>
      <c r="AM24" t="s">
        <v>136</v>
      </c>
      <c r="AN24" t="s">
        <v>70</v>
      </c>
      <c r="AO24">
        <v>-0.36705005247900002</v>
      </c>
      <c r="AP24" t="s">
        <v>137</v>
      </c>
    </row>
    <row r="25" spans="1:56" x14ac:dyDescent="0.25">
      <c r="A25">
        <v>56</v>
      </c>
      <c r="B25" t="s">
        <v>163</v>
      </c>
      <c r="C25" t="s">
        <v>70</v>
      </c>
      <c r="D25">
        <v>0.30803328101299998</v>
      </c>
      <c r="E25" t="s">
        <v>164</v>
      </c>
      <c r="W25">
        <v>71</v>
      </c>
      <c r="X25" t="s">
        <v>165</v>
      </c>
      <c r="Y25" t="s">
        <v>70</v>
      </c>
      <c r="Z25">
        <v>-0.659709011367</v>
      </c>
      <c r="AA25" t="s">
        <v>143</v>
      </c>
      <c r="AL25">
        <v>120</v>
      </c>
      <c r="AM25" t="s">
        <v>166</v>
      </c>
      <c r="AN25" t="s">
        <v>70</v>
      </c>
      <c r="AO25">
        <v>-1.37393186115</v>
      </c>
      <c r="AP25" t="s">
        <v>167</v>
      </c>
    </row>
    <row r="26" spans="1:56" x14ac:dyDescent="0.25">
      <c r="A26">
        <v>59</v>
      </c>
      <c r="B26" t="s">
        <v>168</v>
      </c>
      <c r="C26" t="s">
        <v>70</v>
      </c>
      <c r="D26">
        <v>-1.56467364191</v>
      </c>
      <c r="E26" t="s">
        <v>135</v>
      </c>
      <c r="W26">
        <v>124</v>
      </c>
      <c r="X26" t="s">
        <v>169</v>
      </c>
      <c r="Y26" t="s">
        <v>70</v>
      </c>
      <c r="Z26">
        <v>2.0023107306000001</v>
      </c>
      <c r="AA26" t="s">
        <v>170</v>
      </c>
      <c r="AL26">
        <v>124</v>
      </c>
      <c r="AM26" t="s">
        <v>169</v>
      </c>
      <c r="AN26" t="s">
        <v>70</v>
      </c>
      <c r="AO26">
        <v>1.98544962266</v>
      </c>
      <c r="AP26" t="s">
        <v>170</v>
      </c>
    </row>
    <row r="27" spans="1:56" x14ac:dyDescent="0.25">
      <c r="A27">
        <v>60</v>
      </c>
      <c r="B27" t="s">
        <v>129</v>
      </c>
      <c r="C27" t="s">
        <v>70</v>
      </c>
      <c r="D27">
        <v>-3.5143971590500001</v>
      </c>
      <c r="E27">
        <v>1</v>
      </c>
      <c r="G27" t="s">
        <v>9</v>
      </c>
      <c r="W27">
        <v>127</v>
      </c>
      <c r="X27" t="s">
        <v>171</v>
      </c>
      <c r="Y27" t="s">
        <v>70</v>
      </c>
      <c r="Z27" s="29">
        <v>1.0987901816399999E-2</v>
      </c>
      <c r="AA27" t="s">
        <v>141</v>
      </c>
      <c r="AL27">
        <v>128</v>
      </c>
      <c r="AM27" t="s">
        <v>172</v>
      </c>
      <c r="AN27" t="s">
        <v>70</v>
      </c>
      <c r="AO27" s="29">
        <v>1.56308175885E-4</v>
      </c>
      <c r="AP27" t="s">
        <v>173</v>
      </c>
    </row>
    <row r="28" spans="1:56" x14ac:dyDescent="0.25">
      <c r="A28">
        <v>61</v>
      </c>
      <c r="B28" t="s">
        <v>142</v>
      </c>
      <c r="C28" t="s">
        <v>70</v>
      </c>
      <c r="D28">
        <v>0.16084114056400001</v>
      </c>
      <c r="E28" t="s">
        <v>143</v>
      </c>
      <c r="W28">
        <v>128</v>
      </c>
      <c r="X28" t="s">
        <v>172</v>
      </c>
      <c r="Y28" t="s">
        <v>70</v>
      </c>
      <c r="Z28" s="29">
        <v>9.8072993996499997E-5</v>
      </c>
      <c r="AA28" t="s">
        <v>173</v>
      </c>
      <c r="AL28">
        <v>131</v>
      </c>
      <c r="AM28" t="s">
        <v>174</v>
      </c>
      <c r="AN28" t="s">
        <v>70</v>
      </c>
      <c r="AO28">
        <v>-0.48853505686199999</v>
      </c>
      <c r="AP28" t="s">
        <v>175</v>
      </c>
    </row>
    <row r="29" spans="1:56" x14ac:dyDescent="0.25">
      <c r="A29">
        <v>69</v>
      </c>
      <c r="B29" t="s">
        <v>176</v>
      </c>
      <c r="C29" t="s">
        <v>70</v>
      </c>
      <c r="D29">
        <v>0.51493638010999998</v>
      </c>
      <c r="E29" t="s">
        <v>102</v>
      </c>
      <c r="W29">
        <v>131</v>
      </c>
      <c r="X29" t="s">
        <v>174</v>
      </c>
      <c r="Y29" t="s">
        <v>70</v>
      </c>
      <c r="Z29">
        <v>-2.2170416796199999</v>
      </c>
      <c r="AA29" t="s">
        <v>175</v>
      </c>
      <c r="AL29">
        <v>132</v>
      </c>
      <c r="AM29" t="s">
        <v>177</v>
      </c>
      <c r="AN29" t="s">
        <v>70</v>
      </c>
      <c r="AO29">
        <v>0.231801803532</v>
      </c>
      <c r="AP29" t="s">
        <v>178</v>
      </c>
    </row>
    <row r="30" spans="1:56" x14ac:dyDescent="0.25">
      <c r="A30">
        <v>79</v>
      </c>
      <c r="B30" t="s">
        <v>179</v>
      </c>
      <c r="C30" t="s">
        <v>70</v>
      </c>
      <c r="D30" s="29">
        <v>-7.3787571266300004E-3</v>
      </c>
      <c r="E30" t="s">
        <v>102</v>
      </c>
      <c r="G30" t="s">
        <v>10</v>
      </c>
      <c r="W30">
        <v>132</v>
      </c>
      <c r="X30" t="s">
        <v>177</v>
      </c>
      <c r="Y30" t="s">
        <v>70</v>
      </c>
      <c r="Z30" s="29">
        <v>-3.1767087365000002E-2</v>
      </c>
      <c r="AA30" t="s">
        <v>178</v>
      </c>
      <c r="AL30">
        <v>133</v>
      </c>
      <c r="AM30" t="s">
        <v>180</v>
      </c>
      <c r="AN30" t="s">
        <v>70</v>
      </c>
      <c r="AO30">
        <v>-0.448982673572</v>
      </c>
      <c r="AP30" t="s">
        <v>175</v>
      </c>
    </row>
    <row r="31" spans="1:56" x14ac:dyDescent="0.25">
      <c r="A31">
        <v>122</v>
      </c>
      <c r="B31" t="s">
        <v>181</v>
      </c>
      <c r="C31" t="s">
        <v>70</v>
      </c>
      <c r="D31">
        <v>0.41910856576200001</v>
      </c>
      <c r="E31" t="s">
        <v>182</v>
      </c>
      <c r="W31">
        <v>133</v>
      </c>
      <c r="X31" t="s">
        <v>180</v>
      </c>
      <c r="Y31" t="s">
        <v>70</v>
      </c>
      <c r="Z31">
        <v>3.7030999967599998</v>
      </c>
      <c r="AA31" t="s">
        <v>175</v>
      </c>
      <c r="AL31">
        <v>134</v>
      </c>
      <c r="AM31" t="s">
        <v>183</v>
      </c>
      <c r="AN31" t="s">
        <v>70</v>
      </c>
      <c r="AO31">
        <v>0.337153571657</v>
      </c>
      <c r="AP31" t="s">
        <v>178</v>
      </c>
    </row>
    <row r="32" spans="1:56" x14ac:dyDescent="0.25">
      <c r="A32">
        <v>129</v>
      </c>
      <c r="B32" t="s">
        <v>184</v>
      </c>
      <c r="C32" t="s">
        <v>70</v>
      </c>
      <c r="D32">
        <v>2.5894917765500001</v>
      </c>
      <c r="E32" t="s">
        <v>185</v>
      </c>
      <c r="W32">
        <v>134</v>
      </c>
      <c r="X32" t="s">
        <v>183</v>
      </c>
      <c r="Y32" t="s">
        <v>70</v>
      </c>
      <c r="Z32">
        <v>0.24299252372800001</v>
      </c>
      <c r="AA32" t="s">
        <v>178</v>
      </c>
      <c r="AL32">
        <v>136</v>
      </c>
      <c r="AM32" t="s">
        <v>186</v>
      </c>
      <c r="AN32" t="s">
        <v>70</v>
      </c>
      <c r="AO32" s="29">
        <v>7.2810588779500002E-2</v>
      </c>
      <c r="AP32" t="s">
        <v>167</v>
      </c>
    </row>
    <row r="33" spans="1:42" x14ac:dyDescent="0.25">
      <c r="A33">
        <v>131</v>
      </c>
      <c r="B33" t="s">
        <v>174</v>
      </c>
      <c r="C33" t="s">
        <v>70</v>
      </c>
      <c r="D33">
        <v>-1.78374770832</v>
      </c>
      <c r="E33" t="s">
        <v>175</v>
      </c>
      <c r="W33">
        <v>162</v>
      </c>
      <c r="X33" t="s">
        <v>187</v>
      </c>
      <c r="Y33" t="s">
        <v>70</v>
      </c>
      <c r="Z33">
        <v>0.47993312787800002</v>
      </c>
      <c r="AA33" t="s">
        <v>188</v>
      </c>
      <c r="AD33" t="s">
        <v>189</v>
      </c>
      <c r="AL33">
        <v>137</v>
      </c>
      <c r="AM33" t="s">
        <v>190</v>
      </c>
      <c r="AN33" t="s">
        <v>70</v>
      </c>
      <c r="AO33">
        <v>2.1739211388099999</v>
      </c>
      <c r="AP33" t="s">
        <v>191</v>
      </c>
    </row>
    <row r="34" spans="1:42" x14ac:dyDescent="0.25">
      <c r="A34">
        <v>132</v>
      </c>
      <c r="B34" t="s">
        <v>177</v>
      </c>
      <c r="C34" t="s">
        <v>70</v>
      </c>
      <c r="D34">
        <v>0.219607287175</v>
      </c>
      <c r="E34" t="s">
        <v>178</v>
      </c>
      <c r="W34">
        <v>164</v>
      </c>
      <c r="X34" t="s">
        <v>192</v>
      </c>
      <c r="Y34" t="s">
        <v>70</v>
      </c>
      <c r="Z34">
        <v>2.4096342508199999</v>
      </c>
      <c r="AA34" t="s">
        <v>193</v>
      </c>
      <c r="AL34">
        <v>138</v>
      </c>
      <c r="AM34" t="s">
        <v>194</v>
      </c>
      <c r="AN34" t="s">
        <v>70</v>
      </c>
      <c r="AO34">
        <v>0.54895052211899997</v>
      </c>
      <c r="AP34" t="s">
        <v>195</v>
      </c>
    </row>
    <row r="35" spans="1:42" x14ac:dyDescent="0.25">
      <c r="A35">
        <v>133</v>
      </c>
      <c r="B35" t="s">
        <v>180</v>
      </c>
      <c r="C35" t="s">
        <v>70</v>
      </c>
      <c r="D35">
        <v>1.28842096954</v>
      </c>
      <c r="E35" t="s">
        <v>175</v>
      </c>
      <c r="W35">
        <v>168</v>
      </c>
      <c r="X35" t="s">
        <v>196</v>
      </c>
      <c r="Y35" t="s">
        <v>70</v>
      </c>
      <c r="Z35" s="29">
        <v>1.5323914424799999E-4</v>
      </c>
      <c r="AA35" t="s">
        <v>173</v>
      </c>
      <c r="AL35">
        <v>160</v>
      </c>
      <c r="AM35" t="s">
        <v>197</v>
      </c>
      <c r="AN35" t="s">
        <v>70</v>
      </c>
      <c r="AO35">
        <v>0.97577037596600003</v>
      </c>
      <c r="AP35" t="s">
        <v>195</v>
      </c>
    </row>
    <row r="36" spans="1:42" x14ac:dyDescent="0.25">
      <c r="A36">
        <v>134</v>
      </c>
      <c r="B36" t="s">
        <v>183</v>
      </c>
      <c r="C36" t="s">
        <v>70</v>
      </c>
      <c r="D36">
        <v>0.22135756046499999</v>
      </c>
      <c r="E36" t="s">
        <v>178</v>
      </c>
      <c r="W36">
        <v>169</v>
      </c>
      <c r="X36" t="s">
        <v>198</v>
      </c>
      <c r="Y36" t="s">
        <v>70</v>
      </c>
      <c r="Z36">
        <v>7.1710322282799996</v>
      </c>
      <c r="AA36" t="s">
        <v>199</v>
      </c>
      <c r="AL36">
        <v>161</v>
      </c>
      <c r="AM36" t="s">
        <v>200</v>
      </c>
      <c r="AN36" t="s">
        <v>70</v>
      </c>
      <c r="AO36">
        <v>0.73068915349300001</v>
      </c>
      <c r="AP36" t="s">
        <v>188</v>
      </c>
    </row>
    <row r="37" spans="1:42" x14ac:dyDescent="0.25">
      <c r="A37">
        <v>161</v>
      </c>
      <c r="B37" t="s">
        <v>200</v>
      </c>
      <c r="C37" t="s">
        <v>70</v>
      </c>
      <c r="D37">
        <v>1.07764073896</v>
      </c>
      <c r="E37" t="s">
        <v>188</v>
      </c>
      <c r="W37">
        <v>179</v>
      </c>
      <c r="X37" t="s">
        <v>201</v>
      </c>
      <c r="Y37" t="s">
        <v>70</v>
      </c>
      <c r="Z37">
        <v>0.925274561946</v>
      </c>
      <c r="AA37" t="s">
        <v>199</v>
      </c>
      <c r="AE37" t="s">
        <v>193</v>
      </c>
      <c r="AL37">
        <v>162</v>
      </c>
      <c r="AM37" t="s">
        <v>187</v>
      </c>
      <c r="AN37" t="s">
        <v>70</v>
      </c>
      <c r="AO37">
        <v>0.91913294534199996</v>
      </c>
      <c r="AP37" t="s">
        <v>189</v>
      </c>
    </row>
    <row r="38" spans="1:42" x14ac:dyDescent="0.25">
      <c r="A38">
        <v>162</v>
      </c>
      <c r="B38" t="s">
        <v>187</v>
      </c>
      <c r="C38" t="s">
        <v>70</v>
      </c>
      <c r="D38">
        <v>0.88180479210700002</v>
      </c>
      <c r="E38" t="s">
        <v>189</v>
      </c>
      <c r="W38">
        <v>99</v>
      </c>
      <c r="X38" t="s">
        <v>157</v>
      </c>
      <c r="Y38" t="s">
        <v>70</v>
      </c>
      <c r="Z38">
        <v>0.95968590185500002</v>
      </c>
      <c r="AL38">
        <v>163</v>
      </c>
      <c r="AM38" t="s">
        <v>202</v>
      </c>
      <c r="AN38" t="s">
        <v>70</v>
      </c>
      <c r="AO38">
        <v>-0.88337105065300003</v>
      </c>
      <c r="AP38" t="s">
        <v>203</v>
      </c>
    </row>
    <row r="39" spans="1:42" x14ac:dyDescent="0.25">
      <c r="A39">
        <v>163</v>
      </c>
      <c r="B39" t="s">
        <v>202</v>
      </c>
      <c r="C39" t="s">
        <v>70</v>
      </c>
      <c r="D39">
        <v>-1.1532748156899999</v>
      </c>
      <c r="E39" t="s">
        <v>203</v>
      </c>
      <c r="AL39">
        <v>164</v>
      </c>
      <c r="AM39" t="s">
        <v>192</v>
      </c>
      <c r="AN39" t="s">
        <v>70</v>
      </c>
      <c r="AO39">
        <v>2.8689614342600001</v>
      </c>
      <c r="AP39" t="s">
        <v>193</v>
      </c>
    </row>
    <row r="40" spans="1:42" x14ac:dyDescent="0.25">
      <c r="A40">
        <v>164</v>
      </c>
      <c r="B40" t="s">
        <v>192</v>
      </c>
      <c r="C40" t="s">
        <v>70</v>
      </c>
      <c r="D40">
        <v>0.93583173807599995</v>
      </c>
      <c r="E40" t="s">
        <v>193</v>
      </c>
      <c r="AL40">
        <v>165</v>
      </c>
      <c r="AM40" t="s">
        <v>204</v>
      </c>
      <c r="AN40" t="s">
        <v>70</v>
      </c>
      <c r="AO40" s="29">
        <v>8.0969107286800002E-4</v>
      </c>
      <c r="AP40" t="s">
        <v>205</v>
      </c>
    </row>
    <row r="41" spans="1:42" x14ac:dyDescent="0.25">
      <c r="A41">
        <v>168</v>
      </c>
      <c r="B41" t="s">
        <v>196</v>
      </c>
      <c r="C41" t="s">
        <v>70</v>
      </c>
      <c r="D41" s="29">
        <v>1.7653108240300001E-4</v>
      </c>
      <c r="E41" t="s">
        <v>173</v>
      </c>
      <c r="AL41">
        <v>168</v>
      </c>
      <c r="AM41" t="s">
        <v>196</v>
      </c>
      <c r="AN41" t="s">
        <v>70</v>
      </c>
      <c r="AO41" s="29">
        <v>5.6436182079000003E-5</v>
      </c>
      <c r="AP41" t="s">
        <v>173</v>
      </c>
    </row>
    <row r="42" spans="1:42" x14ac:dyDescent="0.25">
      <c r="A42">
        <v>169</v>
      </c>
      <c r="B42" t="s">
        <v>198</v>
      </c>
      <c r="C42" t="s">
        <v>70</v>
      </c>
      <c r="D42">
        <v>0.21170918018000001</v>
      </c>
      <c r="E42" t="s">
        <v>199</v>
      </c>
      <c r="AL42">
        <v>169</v>
      </c>
      <c r="AM42" t="s">
        <v>198</v>
      </c>
      <c r="AN42" t="s">
        <v>70</v>
      </c>
      <c r="AO42">
        <v>1.04301037572</v>
      </c>
      <c r="AP42" t="s">
        <v>199</v>
      </c>
    </row>
    <row r="43" spans="1:42" x14ac:dyDescent="0.25">
      <c r="A43">
        <v>179</v>
      </c>
      <c r="B43" t="s">
        <v>201</v>
      </c>
      <c r="C43" t="s">
        <v>70</v>
      </c>
      <c r="D43">
        <v>0.18728146335900001</v>
      </c>
      <c r="E43" t="s">
        <v>199</v>
      </c>
      <c r="AL43">
        <v>171</v>
      </c>
      <c r="AM43" t="s">
        <v>206</v>
      </c>
      <c r="AN43" t="s">
        <v>70</v>
      </c>
      <c r="AO43">
        <v>1.2382774015</v>
      </c>
      <c r="AP43" t="s">
        <v>191</v>
      </c>
    </row>
    <row r="44" spans="1:42" x14ac:dyDescent="0.25">
      <c r="A44">
        <v>99</v>
      </c>
      <c r="B44" t="s">
        <v>157</v>
      </c>
      <c r="C44" t="s">
        <v>70</v>
      </c>
      <c r="D44">
        <v>1</v>
      </c>
      <c r="AL44">
        <v>172</v>
      </c>
      <c r="AM44" t="s">
        <v>207</v>
      </c>
      <c r="AN44" t="s">
        <v>70</v>
      </c>
      <c r="AO44">
        <v>1.3528226166499999</v>
      </c>
      <c r="AP44" t="s">
        <v>195</v>
      </c>
    </row>
    <row r="45" spans="1:42" x14ac:dyDescent="0.25">
      <c r="AL45">
        <v>175</v>
      </c>
      <c r="AM45" t="s">
        <v>208</v>
      </c>
      <c r="AN45" t="s">
        <v>70</v>
      </c>
      <c r="AO45" s="29">
        <v>8.3440753078999996E-4</v>
      </c>
      <c r="AP45" t="s">
        <v>205</v>
      </c>
    </row>
    <row r="46" spans="1:42" x14ac:dyDescent="0.25">
      <c r="AL46">
        <v>178</v>
      </c>
      <c r="AM46" t="s">
        <v>209</v>
      </c>
      <c r="AN46" t="s">
        <v>70</v>
      </c>
      <c r="AO46" s="29">
        <v>1.08742831019E-5</v>
      </c>
      <c r="AP46" t="s">
        <v>210</v>
      </c>
    </row>
    <row r="47" spans="1:42" x14ac:dyDescent="0.25">
      <c r="AL47">
        <v>99</v>
      </c>
      <c r="AM47" t="s">
        <v>157</v>
      </c>
      <c r="AN47" t="s">
        <v>70</v>
      </c>
      <c r="AO47">
        <v>0.78390199493699997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FFFF00"/>
  </sheetPr>
  <dimension ref="A1:K134"/>
  <sheetViews>
    <sheetView topLeftCell="A13" workbookViewId="0">
      <selection activeCell="A8" sqref="A8:K134"/>
    </sheetView>
  </sheetViews>
  <sheetFormatPr defaultRowHeight="15" x14ac:dyDescent="0.25"/>
  <sheetData>
    <row r="1" spans="1:11" x14ac:dyDescent="0.25">
      <c r="A1" s="46" t="s">
        <v>211</v>
      </c>
      <c r="B1" s="42"/>
      <c r="C1" s="42"/>
      <c r="D1" s="42"/>
      <c r="E1" s="42"/>
      <c r="F1" s="42"/>
      <c r="G1" s="42"/>
      <c r="H1" s="42" t="s">
        <v>212</v>
      </c>
      <c r="I1" s="42"/>
      <c r="J1" s="42"/>
      <c r="K1" s="42"/>
    </row>
    <row r="2" spans="1:11" x14ac:dyDescent="0.25">
      <c r="A2" s="42">
        <v>1</v>
      </c>
      <c r="B2" s="42" t="s">
        <v>213</v>
      </c>
      <c r="C2" s="42"/>
      <c r="D2" s="42"/>
      <c r="E2" s="42"/>
      <c r="F2" s="42"/>
      <c r="G2" s="42"/>
      <c r="H2" s="42"/>
      <c r="I2" s="42"/>
      <c r="J2" s="42"/>
      <c r="K2" s="42"/>
    </row>
    <row r="3" spans="1:11" x14ac:dyDescent="0.25">
      <c r="A3" s="42">
        <v>2</v>
      </c>
      <c r="B3" s="42" t="s">
        <v>214</v>
      </c>
      <c r="C3" s="42"/>
      <c r="D3" s="42"/>
      <c r="E3" s="42"/>
      <c r="F3" s="42"/>
      <c r="G3" s="42"/>
      <c r="H3" s="42"/>
      <c r="I3" s="42"/>
      <c r="J3" s="42"/>
      <c r="K3" s="42"/>
    </row>
    <row r="4" spans="1:11" x14ac:dyDescent="0.25">
      <c r="A4" s="42">
        <v>3</v>
      </c>
      <c r="B4" s="42" t="s">
        <v>215</v>
      </c>
      <c r="C4" s="42"/>
      <c r="D4" s="42"/>
      <c r="E4" s="42"/>
      <c r="F4" s="42"/>
      <c r="G4" s="42"/>
      <c r="H4" s="42"/>
      <c r="I4" s="42"/>
      <c r="J4" s="42"/>
      <c r="K4" s="42"/>
    </row>
    <row r="5" spans="1:11" x14ac:dyDescent="0.25">
      <c r="A5" s="42">
        <v>4</v>
      </c>
      <c r="B5" s="42" t="s">
        <v>216</v>
      </c>
      <c r="C5" s="42"/>
      <c r="D5" s="42"/>
      <c r="E5" s="42"/>
      <c r="F5" s="42"/>
      <c r="G5" s="42"/>
      <c r="H5" s="42"/>
      <c r="I5" s="42"/>
      <c r="J5" s="42"/>
      <c r="K5" s="42"/>
    </row>
    <row r="6" spans="1:1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</row>
    <row r="8" spans="1:11" x14ac:dyDescent="0.25">
      <c r="A8" t="s">
        <v>217</v>
      </c>
      <c r="B8" t="s">
        <v>218</v>
      </c>
      <c r="C8" t="s">
        <v>219</v>
      </c>
      <c r="D8" t="s">
        <v>220</v>
      </c>
    </row>
    <row r="9" spans="1:11" x14ac:dyDescent="0.25">
      <c r="A9" t="s">
        <v>221</v>
      </c>
      <c r="B9" t="s">
        <v>222</v>
      </c>
      <c r="C9" t="s">
        <v>223</v>
      </c>
      <c r="D9" t="s">
        <v>224</v>
      </c>
      <c r="E9">
        <v>4</v>
      </c>
      <c r="F9" s="40">
        <v>0.46832175925925928</v>
      </c>
      <c r="G9" t="s">
        <v>225</v>
      </c>
      <c r="H9">
        <v>6</v>
      </c>
      <c r="I9" t="s">
        <v>226</v>
      </c>
      <c r="J9">
        <v>17</v>
      </c>
    </row>
    <row r="10" spans="1:11" x14ac:dyDescent="0.25">
      <c r="A10" t="s">
        <v>227</v>
      </c>
    </row>
    <row r="11" spans="1:11" x14ac:dyDescent="0.25">
      <c r="B11">
        <v>1</v>
      </c>
      <c r="C11" t="s">
        <v>69</v>
      </c>
      <c r="D11" t="s">
        <v>70</v>
      </c>
      <c r="E11">
        <v>0.98306756399999995</v>
      </c>
      <c r="F11">
        <v>0.125473538597</v>
      </c>
    </row>
    <row r="12" spans="1:11" x14ac:dyDescent="0.25">
      <c r="B12">
        <v>2</v>
      </c>
      <c r="C12" t="s">
        <v>74</v>
      </c>
      <c r="D12" t="s">
        <v>70</v>
      </c>
      <c r="E12">
        <v>0.51430888699999999</v>
      </c>
      <c r="F12" s="29">
        <v>3.6453648191500002E-2</v>
      </c>
    </row>
    <row r="13" spans="1:11" x14ac:dyDescent="0.25">
      <c r="B13">
        <v>10</v>
      </c>
      <c r="C13" t="s">
        <v>90</v>
      </c>
      <c r="D13" t="s">
        <v>70</v>
      </c>
      <c r="E13">
        <v>-4.1251959730000003</v>
      </c>
      <c r="F13">
        <v>0.66233066856800005</v>
      </c>
    </row>
    <row r="14" spans="1:11" x14ac:dyDescent="0.25">
      <c r="B14">
        <v>11</v>
      </c>
      <c r="C14" t="s">
        <v>96</v>
      </c>
      <c r="D14" t="s">
        <v>70</v>
      </c>
      <c r="E14">
        <v>-2.5630624740000001</v>
      </c>
      <c r="F14">
        <v>0.72359141074400002</v>
      </c>
    </row>
    <row r="15" spans="1:11" x14ac:dyDescent="0.25">
      <c r="B15">
        <v>13</v>
      </c>
      <c r="C15" t="s">
        <v>105</v>
      </c>
      <c r="D15" t="s">
        <v>70</v>
      </c>
      <c r="E15">
        <v>-1.185149333</v>
      </c>
      <c r="F15">
        <v>0.37337494340799998</v>
      </c>
    </row>
    <row r="16" spans="1:11" x14ac:dyDescent="0.25">
      <c r="B16">
        <v>20</v>
      </c>
      <c r="C16" t="s">
        <v>91</v>
      </c>
      <c r="D16" t="s">
        <v>70</v>
      </c>
      <c r="E16">
        <v>-3.0344243999999998</v>
      </c>
      <c r="F16">
        <v>0.72739498695600002</v>
      </c>
    </row>
    <row r="17" spans="2:6" x14ac:dyDescent="0.25">
      <c r="B17">
        <v>30</v>
      </c>
      <c r="C17" t="s">
        <v>84</v>
      </c>
      <c r="D17" t="s">
        <v>70</v>
      </c>
      <c r="E17">
        <v>-2.6026901850000002</v>
      </c>
      <c r="F17">
        <v>0.67969898658799999</v>
      </c>
    </row>
    <row r="18" spans="2:6" x14ac:dyDescent="0.25">
      <c r="B18">
        <v>31</v>
      </c>
      <c r="C18" t="s">
        <v>109</v>
      </c>
      <c r="D18" t="s">
        <v>97</v>
      </c>
      <c r="E18">
        <v>0</v>
      </c>
      <c r="F18">
        <v>0</v>
      </c>
    </row>
    <row r="19" spans="2:6" x14ac:dyDescent="0.25">
      <c r="B19">
        <v>32</v>
      </c>
      <c r="C19" t="s">
        <v>112</v>
      </c>
      <c r="D19" t="s">
        <v>70</v>
      </c>
      <c r="E19">
        <v>0.44708751299999999</v>
      </c>
      <c r="F19" s="29">
        <v>0.16001698481000001</v>
      </c>
    </row>
    <row r="20" spans="2:6" x14ac:dyDescent="0.25">
      <c r="B20">
        <v>35</v>
      </c>
      <c r="C20" t="s">
        <v>124</v>
      </c>
      <c r="D20" t="s">
        <v>70</v>
      </c>
      <c r="E20">
        <v>-0.35387644200000001</v>
      </c>
      <c r="F20" s="29">
        <v>8.4897093652699998E-2</v>
      </c>
    </row>
    <row r="21" spans="2:6" x14ac:dyDescent="0.25">
      <c r="B21">
        <v>38</v>
      </c>
      <c r="C21" t="s">
        <v>130</v>
      </c>
      <c r="D21" t="s">
        <v>70</v>
      </c>
      <c r="E21">
        <v>-2.0693221340000001</v>
      </c>
      <c r="F21">
        <v>0.36550627885499998</v>
      </c>
    </row>
    <row r="22" spans="2:6" x14ac:dyDescent="0.25">
      <c r="B22">
        <v>39</v>
      </c>
      <c r="C22" t="s">
        <v>138</v>
      </c>
      <c r="D22" t="s">
        <v>70</v>
      </c>
      <c r="E22">
        <v>-1.1541206639999999</v>
      </c>
      <c r="F22">
        <v>0.16234260984099999</v>
      </c>
    </row>
    <row r="23" spans="2:6" x14ac:dyDescent="0.25">
      <c r="B23">
        <v>40</v>
      </c>
      <c r="C23" t="s">
        <v>107</v>
      </c>
      <c r="D23" t="s">
        <v>70</v>
      </c>
      <c r="E23">
        <v>-2.14205632</v>
      </c>
      <c r="F23">
        <v>0.67404926510399998</v>
      </c>
    </row>
    <row r="24" spans="2:6" x14ac:dyDescent="0.25">
      <c r="B24">
        <v>41</v>
      </c>
      <c r="C24" t="s">
        <v>111</v>
      </c>
      <c r="D24" t="s">
        <v>70</v>
      </c>
      <c r="E24">
        <v>-3.5522207300000002</v>
      </c>
      <c r="F24">
        <v>0.60852166979699995</v>
      </c>
    </row>
    <row r="25" spans="2:6" x14ac:dyDescent="0.25">
      <c r="B25">
        <v>42</v>
      </c>
      <c r="C25" t="s">
        <v>117</v>
      </c>
      <c r="D25" t="s">
        <v>70</v>
      </c>
      <c r="E25">
        <v>0.417219746</v>
      </c>
      <c r="F25">
        <v>0.194101402162</v>
      </c>
    </row>
    <row r="26" spans="2:6" x14ac:dyDescent="0.25">
      <c r="B26">
        <v>48</v>
      </c>
      <c r="C26" t="s">
        <v>147</v>
      </c>
      <c r="D26" t="s">
        <v>70</v>
      </c>
      <c r="E26">
        <v>-1.9493286999999999</v>
      </c>
      <c r="F26">
        <v>0.33514522941199998</v>
      </c>
    </row>
    <row r="27" spans="2:6" x14ac:dyDescent="0.25">
      <c r="B27">
        <v>50</v>
      </c>
      <c r="C27" t="s">
        <v>110</v>
      </c>
      <c r="D27" t="s">
        <v>70</v>
      </c>
      <c r="E27">
        <v>1.577637277</v>
      </c>
      <c r="F27">
        <v>0.64311556075099996</v>
      </c>
    </row>
    <row r="28" spans="2:6" x14ac:dyDescent="0.25">
      <c r="B28">
        <v>53</v>
      </c>
      <c r="C28" t="s">
        <v>159</v>
      </c>
      <c r="D28" t="s">
        <v>70</v>
      </c>
      <c r="E28">
        <v>-2.5141990239999998</v>
      </c>
      <c r="F28">
        <v>0.27078973018199998</v>
      </c>
    </row>
    <row r="29" spans="2:6" x14ac:dyDescent="0.25">
      <c r="B29">
        <v>54</v>
      </c>
      <c r="C29" t="s">
        <v>113</v>
      </c>
      <c r="D29" t="s">
        <v>70</v>
      </c>
      <c r="E29">
        <v>0.761602102</v>
      </c>
      <c r="F29">
        <v>0.35985234117499998</v>
      </c>
    </row>
    <row r="30" spans="2:6" x14ac:dyDescent="0.25">
      <c r="B30">
        <v>60</v>
      </c>
      <c r="C30" t="s">
        <v>129</v>
      </c>
      <c r="D30" t="s">
        <v>70</v>
      </c>
      <c r="E30">
        <v>-3.7193614820000001</v>
      </c>
      <c r="F30">
        <v>0.74918801820699998</v>
      </c>
    </row>
    <row r="31" spans="2:6" x14ac:dyDescent="0.25">
      <c r="B31">
        <v>61</v>
      </c>
      <c r="C31" t="s">
        <v>142</v>
      </c>
      <c r="D31" t="s">
        <v>70</v>
      </c>
      <c r="E31">
        <v>1.7828694030000001</v>
      </c>
      <c r="F31">
        <v>0.28202992258199999</v>
      </c>
    </row>
    <row r="32" spans="2:6" x14ac:dyDescent="0.25">
      <c r="B32">
        <v>63</v>
      </c>
      <c r="C32" t="s">
        <v>162</v>
      </c>
      <c r="D32" t="s">
        <v>70</v>
      </c>
      <c r="E32">
        <v>-1.1592853190000001</v>
      </c>
      <c r="F32">
        <v>0.37184639859200003</v>
      </c>
    </row>
    <row r="33" spans="2:6" x14ac:dyDescent="0.25">
      <c r="B33">
        <v>71</v>
      </c>
      <c r="C33" t="s">
        <v>165</v>
      </c>
      <c r="D33" t="s">
        <v>70</v>
      </c>
      <c r="E33">
        <v>0.93477131499999999</v>
      </c>
      <c r="F33">
        <v>0.25661433948200002</v>
      </c>
    </row>
    <row r="34" spans="2:6" x14ac:dyDescent="0.25">
      <c r="B34">
        <v>124</v>
      </c>
      <c r="C34" t="s">
        <v>169</v>
      </c>
      <c r="D34" t="s">
        <v>70</v>
      </c>
      <c r="E34">
        <v>1.3254575719999999</v>
      </c>
      <c r="F34">
        <v>0.40464440664700002</v>
      </c>
    </row>
    <row r="35" spans="2:6" x14ac:dyDescent="0.25">
      <c r="B35">
        <v>127</v>
      </c>
      <c r="C35" t="s">
        <v>171</v>
      </c>
      <c r="D35" t="s">
        <v>70</v>
      </c>
      <c r="E35" s="29">
        <v>9.2856180000000007E-3</v>
      </c>
      <c r="F35" s="29">
        <v>1.5363030317499999E-3</v>
      </c>
    </row>
    <row r="36" spans="2:6" x14ac:dyDescent="0.25">
      <c r="B36">
        <v>128</v>
      </c>
      <c r="C36" t="s">
        <v>172</v>
      </c>
      <c r="D36" t="s">
        <v>70</v>
      </c>
      <c r="E36" s="29">
        <v>4.4706600000000003E-5</v>
      </c>
      <c r="F36" s="29">
        <v>6.84493236824E-6</v>
      </c>
    </row>
    <row r="37" spans="2:6" x14ac:dyDescent="0.25">
      <c r="B37">
        <v>131</v>
      </c>
      <c r="C37" t="s">
        <v>174</v>
      </c>
      <c r="D37" t="s">
        <v>70</v>
      </c>
      <c r="E37">
        <v>-4.5175524459999998</v>
      </c>
      <c r="F37">
        <v>0.64926463798400003</v>
      </c>
    </row>
    <row r="38" spans="2:6" x14ac:dyDescent="0.25">
      <c r="B38">
        <v>132</v>
      </c>
      <c r="C38" t="s">
        <v>177</v>
      </c>
      <c r="D38" t="s">
        <v>70</v>
      </c>
      <c r="E38" s="29">
        <v>0.19300757900000001</v>
      </c>
      <c r="F38" s="29">
        <v>7.4666823169400001E-2</v>
      </c>
    </row>
    <row r="39" spans="2:6" x14ac:dyDescent="0.25">
      <c r="B39">
        <v>133</v>
      </c>
      <c r="C39" t="s">
        <v>180</v>
      </c>
      <c r="D39" t="s">
        <v>70</v>
      </c>
      <c r="E39">
        <v>5.5028395569999997</v>
      </c>
      <c r="F39">
        <v>0.57644688837799996</v>
      </c>
    </row>
    <row r="40" spans="2:6" x14ac:dyDescent="0.25">
      <c r="B40">
        <v>134</v>
      </c>
      <c r="C40" t="s">
        <v>183</v>
      </c>
      <c r="D40" t="s">
        <v>70</v>
      </c>
      <c r="E40">
        <v>0.42372318599999997</v>
      </c>
      <c r="F40" s="29">
        <v>8.9627643835499995E-2</v>
      </c>
    </row>
    <row r="41" spans="2:6" x14ac:dyDescent="0.25">
      <c r="B41">
        <v>162</v>
      </c>
      <c r="C41" t="s">
        <v>187</v>
      </c>
      <c r="D41" t="s">
        <v>97</v>
      </c>
      <c r="E41">
        <v>0</v>
      </c>
      <c r="F41">
        <v>0</v>
      </c>
    </row>
    <row r="42" spans="2:6" x14ac:dyDescent="0.25">
      <c r="B42">
        <v>164</v>
      </c>
      <c r="C42" t="s">
        <v>192</v>
      </c>
      <c r="D42" t="s">
        <v>70</v>
      </c>
      <c r="E42">
        <v>1.336185706</v>
      </c>
      <c r="F42">
        <v>0.60670995996099997</v>
      </c>
    </row>
    <row r="43" spans="2:6" x14ac:dyDescent="0.25">
      <c r="B43">
        <v>168</v>
      </c>
      <c r="C43" t="s">
        <v>196</v>
      </c>
      <c r="D43" t="s">
        <v>70</v>
      </c>
      <c r="E43" s="29">
        <v>-6.5359500000000005E-7</v>
      </c>
      <c r="F43" s="29">
        <v>7.8084473408900002E-6</v>
      </c>
    </row>
    <row r="44" spans="2:6" x14ac:dyDescent="0.25">
      <c r="B44">
        <v>169</v>
      </c>
      <c r="C44" t="s">
        <v>198</v>
      </c>
      <c r="D44" t="s">
        <v>70</v>
      </c>
      <c r="E44">
        <v>1.3874495019999999</v>
      </c>
      <c r="F44">
        <v>0.54198850735799997</v>
      </c>
    </row>
    <row r="45" spans="2:6" x14ac:dyDescent="0.25">
      <c r="B45">
        <v>179</v>
      </c>
      <c r="C45" t="s">
        <v>201</v>
      </c>
      <c r="D45" t="s">
        <v>70</v>
      </c>
      <c r="E45">
        <v>1.736096511</v>
      </c>
      <c r="F45">
        <v>0.40505155627599998</v>
      </c>
    </row>
    <row r="46" spans="2:6" x14ac:dyDescent="0.25">
      <c r="B46">
        <v>201</v>
      </c>
      <c r="C46" t="s">
        <v>228</v>
      </c>
      <c r="D46" t="s">
        <v>97</v>
      </c>
      <c r="E46">
        <v>-0.8</v>
      </c>
      <c r="F46">
        <v>0</v>
      </c>
    </row>
    <row r="47" spans="2:6" x14ac:dyDescent="0.25">
      <c r="B47">
        <v>202</v>
      </c>
      <c r="C47" t="s">
        <v>229</v>
      </c>
      <c r="D47" t="s">
        <v>97</v>
      </c>
      <c r="E47">
        <v>-0.8</v>
      </c>
      <c r="F47">
        <v>0</v>
      </c>
    </row>
    <row r="48" spans="2:6" x14ac:dyDescent="0.25">
      <c r="B48">
        <v>203</v>
      </c>
      <c r="C48" s="29" t="s">
        <v>230</v>
      </c>
      <c r="D48" s="29" t="s">
        <v>97</v>
      </c>
      <c r="E48" s="29">
        <v>0</v>
      </c>
      <c r="F48">
        <v>0</v>
      </c>
    </row>
    <row r="49" spans="2:6" x14ac:dyDescent="0.25">
      <c r="B49">
        <v>204</v>
      </c>
      <c r="C49" t="s">
        <v>231</v>
      </c>
      <c r="D49" t="s">
        <v>97</v>
      </c>
      <c r="E49">
        <v>0</v>
      </c>
      <c r="F49">
        <v>0</v>
      </c>
    </row>
    <row r="50" spans="2:6" x14ac:dyDescent="0.25">
      <c r="B50">
        <v>205</v>
      </c>
      <c r="C50" t="s">
        <v>232</v>
      </c>
      <c r="D50" t="s">
        <v>97</v>
      </c>
      <c r="E50">
        <v>0</v>
      </c>
      <c r="F50">
        <v>0</v>
      </c>
    </row>
    <row r="51" spans="2:6" x14ac:dyDescent="0.25">
      <c r="B51">
        <v>206</v>
      </c>
      <c r="C51" t="s">
        <v>233</v>
      </c>
      <c r="D51" t="s">
        <v>97</v>
      </c>
      <c r="E51">
        <v>-1.2715533000000001</v>
      </c>
      <c r="F51">
        <v>0</v>
      </c>
    </row>
    <row r="52" spans="2:6" x14ac:dyDescent="0.25">
      <c r="B52">
        <v>207</v>
      </c>
      <c r="C52" t="s">
        <v>234</v>
      </c>
      <c r="D52" t="s">
        <v>97</v>
      </c>
      <c r="E52">
        <v>0</v>
      </c>
      <c r="F52">
        <v>0</v>
      </c>
    </row>
    <row r="53" spans="2:6" x14ac:dyDescent="0.25">
      <c r="B53">
        <v>208</v>
      </c>
      <c r="C53" t="s">
        <v>235</v>
      </c>
      <c r="D53" t="s">
        <v>97</v>
      </c>
      <c r="E53">
        <v>-2</v>
      </c>
      <c r="F53">
        <v>0</v>
      </c>
    </row>
    <row r="54" spans="2:6" x14ac:dyDescent="0.25">
      <c r="B54">
        <v>209</v>
      </c>
      <c r="C54" t="s">
        <v>236</v>
      </c>
      <c r="D54" t="s">
        <v>97</v>
      </c>
      <c r="E54">
        <v>-1</v>
      </c>
      <c r="F54">
        <v>0</v>
      </c>
    </row>
    <row r="55" spans="2:6" x14ac:dyDescent="0.25">
      <c r="B55">
        <v>210</v>
      </c>
      <c r="C55" t="s">
        <v>237</v>
      </c>
      <c r="D55" t="s">
        <v>97</v>
      </c>
      <c r="E55">
        <v>-2</v>
      </c>
      <c r="F55">
        <v>0</v>
      </c>
    </row>
    <row r="56" spans="2:6" x14ac:dyDescent="0.25">
      <c r="B56">
        <v>211</v>
      </c>
      <c r="C56" t="s">
        <v>238</v>
      </c>
      <c r="D56" t="s">
        <v>97</v>
      </c>
      <c r="E56">
        <v>0</v>
      </c>
      <c r="F56">
        <v>0</v>
      </c>
    </row>
    <row r="57" spans="2:6" x14ac:dyDescent="0.25">
      <c r="B57">
        <v>301</v>
      </c>
      <c r="C57" t="s">
        <v>239</v>
      </c>
      <c r="D57" t="s">
        <v>97</v>
      </c>
      <c r="E57">
        <v>0</v>
      </c>
      <c r="F57" s="29">
        <v>0</v>
      </c>
    </row>
    <row r="58" spans="2:6" x14ac:dyDescent="0.25">
      <c r="B58">
        <v>302</v>
      </c>
      <c r="C58" t="s">
        <v>240</v>
      </c>
      <c r="D58" t="s">
        <v>97</v>
      </c>
      <c r="E58">
        <v>0</v>
      </c>
      <c r="F58">
        <v>0</v>
      </c>
    </row>
    <row r="59" spans="2:6" x14ac:dyDescent="0.25">
      <c r="B59">
        <v>303</v>
      </c>
      <c r="C59" s="29" t="s">
        <v>241</v>
      </c>
      <c r="D59" s="29" t="s">
        <v>97</v>
      </c>
      <c r="E59" s="29">
        <v>0</v>
      </c>
      <c r="F59">
        <v>0</v>
      </c>
    </row>
    <row r="60" spans="2:6" x14ac:dyDescent="0.25">
      <c r="B60">
        <v>304</v>
      </c>
      <c r="C60" t="s">
        <v>242</v>
      </c>
      <c r="D60" t="s">
        <v>97</v>
      </c>
      <c r="E60">
        <v>0</v>
      </c>
      <c r="F60">
        <v>0</v>
      </c>
    </row>
    <row r="61" spans="2:6" x14ac:dyDescent="0.25">
      <c r="B61">
        <v>305</v>
      </c>
      <c r="C61" t="s">
        <v>243</v>
      </c>
      <c r="D61" t="s">
        <v>97</v>
      </c>
      <c r="E61">
        <v>0</v>
      </c>
      <c r="F61">
        <v>0</v>
      </c>
    </row>
    <row r="62" spans="2:6" x14ac:dyDescent="0.25">
      <c r="B62">
        <v>306</v>
      </c>
      <c r="C62" t="s">
        <v>244</v>
      </c>
      <c r="D62" t="s">
        <v>97</v>
      </c>
      <c r="E62">
        <v>-1.4978495999999999</v>
      </c>
      <c r="F62">
        <v>0</v>
      </c>
    </row>
    <row r="63" spans="2:6" x14ac:dyDescent="0.25">
      <c r="B63">
        <v>307</v>
      </c>
      <c r="C63" t="s">
        <v>245</v>
      </c>
      <c r="D63" t="s">
        <v>97</v>
      </c>
      <c r="E63">
        <v>0</v>
      </c>
      <c r="F63">
        <v>0</v>
      </c>
    </row>
    <row r="64" spans="2:6" x14ac:dyDescent="0.25">
      <c r="B64">
        <v>308</v>
      </c>
      <c r="C64" t="s">
        <v>246</v>
      </c>
      <c r="D64" t="s">
        <v>97</v>
      </c>
      <c r="E64">
        <v>0</v>
      </c>
      <c r="F64">
        <v>0</v>
      </c>
    </row>
    <row r="65" spans="2:11" x14ac:dyDescent="0.25">
      <c r="B65">
        <v>309</v>
      </c>
      <c r="C65" t="s">
        <v>247</v>
      </c>
      <c r="D65" t="s">
        <v>97</v>
      </c>
      <c r="E65">
        <v>0</v>
      </c>
      <c r="F65">
        <v>0</v>
      </c>
    </row>
    <row r="66" spans="2:11" x14ac:dyDescent="0.25">
      <c r="B66">
        <v>310</v>
      </c>
      <c r="C66" t="s">
        <v>248</v>
      </c>
      <c r="D66" t="s">
        <v>97</v>
      </c>
      <c r="E66">
        <v>0</v>
      </c>
      <c r="F66">
        <v>0</v>
      </c>
    </row>
    <row r="67" spans="2:11" x14ac:dyDescent="0.25">
      <c r="B67">
        <v>311</v>
      </c>
      <c r="C67" t="s">
        <v>249</v>
      </c>
      <c r="D67" t="s">
        <v>97</v>
      </c>
      <c r="E67">
        <v>0</v>
      </c>
      <c r="F67">
        <v>0</v>
      </c>
    </row>
    <row r="68" spans="2:11" x14ac:dyDescent="0.25">
      <c r="B68">
        <v>99</v>
      </c>
      <c r="C68" t="s">
        <v>157</v>
      </c>
      <c r="D68" t="s">
        <v>70</v>
      </c>
      <c r="E68">
        <v>0.53642515987899997</v>
      </c>
      <c r="F68" s="29">
        <v>3.9633220910000003E-2</v>
      </c>
    </row>
    <row r="69" spans="2:11" x14ac:dyDescent="0.25">
      <c r="B69">
        <v>-1</v>
      </c>
    </row>
    <row r="70" spans="2:11" x14ac:dyDescent="0.25">
      <c r="B70">
        <v>5421</v>
      </c>
      <c r="C70" s="29">
        <v>-7038.2122773399997</v>
      </c>
      <c r="D70" s="29">
        <v>-9577.4811960099996</v>
      </c>
      <c r="E70" s="29">
        <v>-4910.39365825</v>
      </c>
    </row>
    <row r="71" spans="2:11" x14ac:dyDescent="0.25">
      <c r="B71">
        <v>15</v>
      </c>
      <c r="C71" t="s">
        <v>250</v>
      </c>
      <c r="D71" t="s">
        <v>225</v>
      </c>
      <c r="E71">
        <v>6</v>
      </c>
      <c r="F71" t="s">
        <v>226</v>
      </c>
      <c r="G71">
        <v>17</v>
      </c>
    </row>
    <row r="72" spans="2:11" x14ac:dyDescent="0.25">
      <c r="B72">
        <v>42848</v>
      </c>
      <c r="C72">
        <v>-18163</v>
      </c>
      <c r="D72">
        <v>-31275</v>
      </c>
      <c r="E72">
        <v>3054</v>
      </c>
      <c r="F72">
        <v>6272</v>
      </c>
      <c r="G72">
        <v>-4564</v>
      </c>
      <c r="H72">
        <v>438</v>
      </c>
      <c r="I72">
        <v>1153</v>
      </c>
      <c r="J72">
        <v>-5503</v>
      </c>
      <c r="K72">
        <v>5491</v>
      </c>
    </row>
    <row r="73" spans="2:11" x14ac:dyDescent="0.25">
      <c r="B73">
        <v>-17263</v>
      </c>
      <c r="C73">
        <v>-26021</v>
      </c>
      <c r="D73">
        <v>87948</v>
      </c>
      <c r="E73">
        <v>-1445</v>
      </c>
      <c r="F73">
        <v>-1357</v>
      </c>
      <c r="G73">
        <v>-14800</v>
      </c>
      <c r="H73">
        <v>-27427</v>
      </c>
      <c r="I73">
        <v>86635</v>
      </c>
      <c r="J73">
        <v>-1522</v>
      </c>
      <c r="K73">
        <v>-370</v>
      </c>
    </row>
    <row r="74" spans="2:11" x14ac:dyDescent="0.25">
      <c r="B74">
        <v>76889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15521</v>
      </c>
      <c r="K74">
        <v>19780</v>
      </c>
    </row>
    <row r="75" spans="2:11" x14ac:dyDescent="0.25">
      <c r="B75">
        <v>-8220</v>
      </c>
      <c r="C75">
        <v>1257</v>
      </c>
      <c r="D75">
        <v>-683</v>
      </c>
      <c r="E75">
        <v>-7524</v>
      </c>
      <c r="F75">
        <v>-12107</v>
      </c>
      <c r="G75">
        <v>0</v>
      </c>
      <c r="H75">
        <v>-8337</v>
      </c>
      <c r="I75">
        <v>-26807</v>
      </c>
      <c r="J75">
        <v>12707</v>
      </c>
      <c r="K75">
        <v>-2144</v>
      </c>
    </row>
    <row r="76" spans="2:11" x14ac:dyDescent="0.25">
      <c r="B76">
        <v>-171</v>
      </c>
      <c r="C76">
        <v>10949</v>
      </c>
      <c r="D76">
        <v>-20909</v>
      </c>
      <c r="E76">
        <v>0</v>
      </c>
      <c r="F76">
        <v>-8066</v>
      </c>
      <c r="G76">
        <v>-22037</v>
      </c>
      <c r="H76">
        <v>-29253</v>
      </c>
      <c r="I76">
        <v>9826</v>
      </c>
      <c r="J76">
        <v>-2056</v>
      </c>
      <c r="K76">
        <v>-151</v>
      </c>
    </row>
    <row r="77" spans="2:11" x14ac:dyDescent="0.25">
      <c r="B77">
        <v>9916</v>
      </c>
      <c r="C77">
        <v>-2626</v>
      </c>
      <c r="D77">
        <v>0</v>
      </c>
      <c r="E77">
        <v>2520</v>
      </c>
      <c r="F77">
        <v>13843</v>
      </c>
      <c r="G77">
        <v>-3494</v>
      </c>
      <c r="H77">
        <v>-2313</v>
      </c>
      <c r="I77">
        <v>1163</v>
      </c>
      <c r="J77">
        <v>-110</v>
      </c>
      <c r="K77">
        <v>261</v>
      </c>
    </row>
    <row r="78" spans="2:11" x14ac:dyDescent="0.25">
      <c r="B78">
        <v>1065</v>
      </c>
      <c r="C78">
        <v>-7327</v>
      </c>
      <c r="D78">
        <v>0</v>
      </c>
      <c r="E78">
        <v>7310</v>
      </c>
      <c r="F78">
        <v>1677</v>
      </c>
      <c r="G78">
        <v>16097</v>
      </c>
      <c r="H78">
        <v>-14141</v>
      </c>
      <c r="I78">
        <v>-27101</v>
      </c>
      <c r="J78">
        <v>87188</v>
      </c>
      <c r="K78">
        <v>-1492</v>
      </c>
    </row>
    <row r="79" spans="2:11" x14ac:dyDescent="0.25">
      <c r="B79">
        <v>-333</v>
      </c>
      <c r="C79">
        <v>77378</v>
      </c>
      <c r="D79">
        <v>99139</v>
      </c>
      <c r="E79">
        <v>0</v>
      </c>
      <c r="F79">
        <v>-11109</v>
      </c>
      <c r="G79">
        <v>-21035</v>
      </c>
      <c r="H79">
        <v>-59</v>
      </c>
      <c r="I79">
        <v>-442</v>
      </c>
      <c r="J79">
        <v>-26773</v>
      </c>
      <c r="K79">
        <v>-32589</v>
      </c>
    </row>
    <row r="80" spans="2:11" x14ac:dyDescent="0.25">
      <c r="B80">
        <v>12980</v>
      </c>
      <c r="C80">
        <v>-1120</v>
      </c>
      <c r="D80">
        <v>454</v>
      </c>
      <c r="E80">
        <v>12999</v>
      </c>
      <c r="F80">
        <v>4330</v>
      </c>
      <c r="G80">
        <v>0</v>
      </c>
      <c r="H80">
        <v>-8389</v>
      </c>
      <c r="I80">
        <v>12422</v>
      </c>
      <c r="J80">
        <v>6204</v>
      </c>
      <c r="K80">
        <v>1243</v>
      </c>
    </row>
    <row r="81" spans="2:11" x14ac:dyDescent="0.25">
      <c r="B81">
        <v>4114</v>
      </c>
      <c r="C81">
        <v>8036</v>
      </c>
      <c r="D81">
        <v>14360</v>
      </c>
      <c r="E81">
        <v>-2464</v>
      </c>
      <c r="F81">
        <v>1732</v>
      </c>
      <c r="G81">
        <v>4548</v>
      </c>
      <c r="H81">
        <v>-2849</v>
      </c>
      <c r="I81">
        <v>-17956</v>
      </c>
      <c r="J81">
        <v>0</v>
      </c>
      <c r="K81">
        <v>9299</v>
      </c>
    </row>
    <row r="82" spans="2:11" x14ac:dyDescent="0.25">
      <c r="B82">
        <v>8220</v>
      </c>
      <c r="C82">
        <v>14090</v>
      </c>
      <c r="D82">
        <v>2542</v>
      </c>
      <c r="E82">
        <v>-17640</v>
      </c>
      <c r="F82">
        <v>2360</v>
      </c>
      <c r="G82">
        <v>-21486</v>
      </c>
      <c r="H82">
        <v>-30375</v>
      </c>
      <c r="I82">
        <v>10049</v>
      </c>
      <c r="J82">
        <v>-2148</v>
      </c>
      <c r="K82">
        <v>-218</v>
      </c>
    </row>
    <row r="83" spans="2:11" x14ac:dyDescent="0.25">
      <c r="B83">
        <v>10191</v>
      </c>
      <c r="C83">
        <v>-266</v>
      </c>
      <c r="D83">
        <v>0</v>
      </c>
      <c r="E83">
        <v>1355</v>
      </c>
      <c r="F83">
        <v>14299</v>
      </c>
      <c r="G83">
        <v>74379</v>
      </c>
      <c r="H83">
        <v>3427</v>
      </c>
      <c r="I83">
        <v>-916</v>
      </c>
      <c r="J83">
        <v>5905</v>
      </c>
      <c r="K83">
        <v>14864</v>
      </c>
    </row>
    <row r="84" spans="2:11" x14ac:dyDescent="0.25">
      <c r="B84">
        <v>11269</v>
      </c>
      <c r="C84">
        <v>-1292</v>
      </c>
      <c r="D84">
        <v>84044</v>
      </c>
      <c r="E84">
        <v>294</v>
      </c>
      <c r="F84">
        <v>-97</v>
      </c>
      <c r="G84">
        <v>73373</v>
      </c>
      <c r="H84">
        <v>83338</v>
      </c>
      <c r="I84">
        <v>0</v>
      </c>
      <c r="J84">
        <v>3316</v>
      </c>
      <c r="K84">
        <v>4657</v>
      </c>
    </row>
    <row r="85" spans="2:11" x14ac:dyDescent="0.25">
      <c r="B85">
        <v>-7500</v>
      </c>
      <c r="C85">
        <v>-418</v>
      </c>
      <c r="D85">
        <v>84094</v>
      </c>
      <c r="E85">
        <v>-8567</v>
      </c>
      <c r="F85">
        <v>4589</v>
      </c>
      <c r="G85">
        <v>-7868</v>
      </c>
      <c r="H85">
        <v>-43246</v>
      </c>
      <c r="I85">
        <v>-51936</v>
      </c>
      <c r="J85">
        <v>18693</v>
      </c>
      <c r="K85">
        <v>-2941</v>
      </c>
    </row>
    <row r="86" spans="2:11" x14ac:dyDescent="0.25">
      <c r="B86">
        <v>4542</v>
      </c>
      <c r="C86">
        <v>17835</v>
      </c>
      <c r="D86">
        <v>12136</v>
      </c>
      <c r="E86">
        <v>0</v>
      </c>
      <c r="F86">
        <v>-20428</v>
      </c>
      <c r="G86">
        <v>14648</v>
      </c>
      <c r="H86">
        <v>25477</v>
      </c>
      <c r="I86">
        <v>3335</v>
      </c>
      <c r="J86">
        <v>11991</v>
      </c>
      <c r="K86">
        <v>31351</v>
      </c>
    </row>
    <row r="87" spans="2:11" x14ac:dyDescent="0.25">
      <c r="B87">
        <v>9558</v>
      </c>
      <c r="C87">
        <v>26040</v>
      </c>
      <c r="D87">
        <v>-14865</v>
      </c>
      <c r="E87">
        <v>9942</v>
      </c>
      <c r="F87">
        <v>12830</v>
      </c>
      <c r="G87">
        <v>-5865</v>
      </c>
      <c r="H87">
        <v>1019</v>
      </c>
      <c r="I87">
        <v>327</v>
      </c>
      <c r="J87">
        <v>-5261</v>
      </c>
      <c r="K87">
        <v>-5321</v>
      </c>
    </row>
    <row r="88" spans="2:11" x14ac:dyDescent="0.25">
      <c r="B88">
        <v>0</v>
      </c>
      <c r="C88">
        <v>7257</v>
      </c>
      <c r="D88">
        <v>-5804</v>
      </c>
      <c r="E88">
        <v>-1494</v>
      </c>
      <c r="F88">
        <v>-327</v>
      </c>
      <c r="G88">
        <v>-5254</v>
      </c>
      <c r="H88">
        <v>-5864</v>
      </c>
      <c r="I88">
        <v>7197</v>
      </c>
      <c r="J88">
        <v>-1332</v>
      </c>
      <c r="K88">
        <v>-1568</v>
      </c>
    </row>
    <row r="89" spans="2:11" x14ac:dyDescent="0.25">
      <c r="B89">
        <v>-12743</v>
      </c>
      <c r="C89">
        <v>-25706</v>
      </c>
      <c r="D89">
        <v>-41789</v>
      </c>
      <c r="E89">
        <v>61047</v>
      </c>
      <c r="F89">
        <v>-2860</v>
      </c>
      <c r="G89">
        <v>-448</v>
      </c>
      <c r="H89">
        <v>55601</v>
      </c>
      <c r="I89">
        <v>56423</v>
      </c>
      <c r="J89">
        <v>0</v>
      </c>
      <c r="K89">
        <v>-11513</v>
      </c>
    </row>
    <row r="90" spans="2:11" x14ac:dyDescent="0.25">
      <c r="B90">
        <v>13139</v>
      </c>
      <c r="C90">
        <v>16368</v>
      </c>
      <c r="D90">
        <v>1349</v>
      </c>
      <c r="E90">
        <v>56627</v>
      </c>
      <c r="F90">
        <v>18494</v>
      </c>
      <c r="G90">
        <v>-7778</v>
      </c>
      <c r="H90">
        <v>16971</v>
      </c>
      <c r="I90">
        <v>43522</v>
      </c>
      <c r="J90">
        <v>29568</v>
      </c>
      <c r="K90">
        <v>-7474</v>
      </c>
    </row>
    <row r="91" spans="2:11" x14ac:dyDescent="0.25">
      <c r="B91">
        <v>23194</v>
      </c>
      <c r="C91">
        <v>36921</v>
      </c>
      <c r="D91">
        <v>-2544</v>
      </c>
      <c r="E91">
        <v>2425</v>
      </c>
      <c r="F91">
        <v>387</v>
      </c>
      <c r="G91">
        <v>-2659</v>
      </c>
      <c r="H91">
        <v>223</v>
      </c>
      <c r="I91">
        <v>0</v>
      </c>
      <c r="J91">
        <v>10683</v>
      </c>
      <c r="K91">
        <v>-9296</v>
      </c>
    </row>
    <row r="92" spans="2:11" x14ac:dyDescent="0.25">
      <c r="B92">
        <v>-15493</v>
      </c>
      <c r="C92">
        <v>-1261</v>
      </c>
      <c r="D92">
        <v>459</v>
      </c>
      <c r="E92">
        <v>-18068</v>
      </c>
      <c r="F92">
        <v>8222</v>
      </c>
      <c r="G92">
        <v>-16100</v>
      </c>
      <c r="H92">
        <v>16426</v>
      </c>
      <c r="I92">
        <v>-27298</v>
      </c>
      <c r="J92">
        <v>6189</v>
      </c>
      <c r="K92">
        <v>-35311</v>
      </c>
    </row>
    <row r="93" spans="2:11" x14ac:dyDescent="0.25">
      <c r="B93">
        <v>-6355</v>
      </c>
      <c r="C93">
        <v>-10712</v>
      </c>
      <c r="D93">
        <v>4242</v>
      </c>
      <c r="E93">
        <v>-820</v>
      </c>
      <c r="F93">
        <v>-260</v>
      </c>
      <c r="G93">
        <v>3820</v>
      </c>
      <c r="H93">
        <v>3082</v>
      </c>
      <c r="I93">
        <v>0</v>
      </c>
      <c r="J93">
        <v>-3743</v>
      </c>
      <c r="K93">
        <v>3503</v>
      </c>
    </row>
    <row r="94" spans="2:11" x14ac:dyDescent="0.25">
      <c r="B94">
        <v>4723</v>
      </c>
      <c r="C94">
        <v>411</v>
      </c>
      <c r="D94">
        <v>3049</v>
      </c>
      <c r="E94">
        <v>4828</v>
      </c>
      <c r="F94">
        <v>-3320</v>
      </c>
      <c r="G94">
        <v>4916</v>
      </c>
      <c r="H94">
        <v>-1437</v>
      </c>
      <c r="I94">
        <v>7380</v>
      </c>
      <c r="J94">
        <v>-2139</v>
      </c>
      <c r="K94">
        <v>-2116</v>
      </c>
    </row>
    <row r="95" spans="2:11" x14ac:dyDescent="0.25">
      <c r="B95">
        <v>-5035</v>
      </c>
      <c r="C95">
        <v>10699</v>
      </c>
      <c r="D95">
        <v>20993</v>
      </c>
      <c r="E95">
        <v>15257</v>
      </c>
      <c r="F95">
        <v>1409</v>
      </c>
      <c r="G95">
        <v>345</v>
      </c>
      <c r="H95">
        <v>13478</v>
      </c>
      <c r="I95">
        <v>16448</v>
      </c>
      <c r="J95">
        <v>0</v>
      </c>
      <c r="K95">
        <v>6299</v>
      </c>
    </row>
    <row r="96" spans="2:11" x14ac:dyDescent="0.25">
      <c r="B96">
        <v>-4988</v>
      </c>
      <c r="C96">
        <v>-8844</v>
      </c>
      <c r="D96">
        <v>-584</v>
      </c>
      <c r="E96">
        <v>16707</v>
      </c>
      <c r="F96">
        <v>-10317</v>
      </c>
      <c r="G96">
        <v>5730</v>
      </c>
      <c r="H96">
        <v>-9267</v>
      </c>
      <c r="I96">
        <v>26740</v>
      </c>
      <c r="J96">
        <v>-14860</v>
      </c>
      <c r="K96">
        <v>3814</v>
      </c>
    </row>
    <row r="97" spans="2:11" x14ac:dyDescent="0.25">
      <c r="B97">
        <v>-2577</v>
      </c>
      <c r="C97">
        <v>49833</v>
      </c>
      <c r="D97">
        <v>-2629</v>
      </c>
      <c r="E97">
        <v>5992</v>
      </c>
      <c r="F97">
        <v>2193</v>
      </c>
      <c r="G97">
        <v>-1038</v>
      </c>
      <c r="H97">
        <v>730</v>
      </c>
      <c r="I97">
        <v>3939</v>
      </c>
      <c r="J97">
        <v>-45446</v>
      </c>
      <c r="K97">
        <v>2851</v>
      </c>
    </row>
    <row r="98" spans="2:11" x14ac:dyDescent="0.25">
      <c r="B98">
        <v>0</v>
      </c>
      <c r="C98">
        <v>1772</v>
      </c>
      <c r="D98">
        <v>-1556</v>
      </c>
      <c r="E98">
        <v>-5054</v>
      </c>
      <c r="F98">
        <v>-130</v>
      </c>
      <c r="G98">
        <v>2930</v>
      </c>
      <c r="H98">
        <v>-5006</v>
      </c>
      <c r="I98">
        <v>4371</v>
      </c>
      <c r="J98">
        <v>-5356</v>
      </c>
      <c r="K98">
        <v>8112</v>
      </c>
    </row>
    <row r="99" spans="2:11" x14ac:dyDescent="0.25">
      <c r="B99">
        <v>-5454</v>
      </c>
      <c r="C99">
        <v>1271</v>
      </c>
      <c r="D99">
        <v>-3897</v>
      </c>
      <c r="E99">
        <v>4190</v>
      </c>
      <c r="F99">
        <v>-1059</v>
      </c>
      <c r="G99">
        <v>2953</v>
      </c>
      <c r="H99">
        <v>17688</v>
      </c>
      <c r="I99">
        <v>34017</v>
      </c>
      <c r="J99">
        <v>-25342</v>
      </c>
      <c r="K99">
        <v>2216</v>
      </c>
    </row>
    <row r="100" spans="2:11" x14ac:dyDescent="0.25">
      <c r="B100">
        <v>-45</v>
      </c>
      <c r="C100">
        <v>-24783</v>
      </c>
      <c r="D100">
        <v>-5218</v>
      </c>
      <c r="E100">
        <v>0</v>
      </c>
      <c r="F100">
        <v>11275</v>
      </c>
      <c r="G100">
        <v>-10471</v>
      </c>
      <c r="H100">
        <v>-17845</v>
      </c>
      <c r="I100">
        <v>-1209</v>
      </c>
      <c r="J100">
        <v>-5095</v>
      </c>
      <c r="K100">
        <v>-22770</v>
      </c>
    </row>
    <row r="101" spans="2:11" x14ac:dyDescent="0.25">
      <c r="B101">
        <v>10637</v>
      </c>
      <c r="C101">
        <v>-18755</v>
      </c>
      <c r="D101">
        <v>12491</v>
      </c>
      <c r="E101">
        <v>-29437</v>
      </c>
      <c r="F101">
        <v>5717</v>
      </c>
      <c r="G101">
        <v>-20244</v>
      </c>
      <c r="H101">
        <v>20112</v>
      </c>
      <c r="I101">
        <v>-7232</v>
      </c>
      <c r="J101">
        <v>11534</v>
      </c>
      <c r="K101">
        <v>6931</v>
      </c>
    </row>
    <row r="102" spans="2:11" x14ac:dyDescent="0.25">
      <c r="B102">
        <v>1814</v>
      </c>
      <c r="C102">
        <v>34239</v>
      </c>
      <c r="D102">
        <v>-9495</v>
      </c>
      <c r="E102">
        <v>2781</v>
      </c>
      <c r="F102">
        <v>404</v>
      </c>
      <c r="G102">
        <v>-11136</v>
      </c>
      <c r="H102">
        <v>-3868</v>
      </c>
      <c r="I102">
        <v>0</v>
      </c>
      <c r="J102">
        <v>11763</v>
      </c>
      <c r="K102">
        <v>-10601</v>
      </c>
    </row>
    <row r="103" spans="2:11" x14ac:dyDescent="0.25">
      <c r="B103">
        <v>-18525</v>
      </c>
      <c r="C103">
        <v>-782</v>
      </c>
      <c r="D103">
        <v>-3865</v>
      </c>
      <c r="E103">
        <v>-23052</v>
      </c>
      <c r="F103">
        <v>8734</v>
      </c>
      <c r="G103">
        <v>-19833</v>
      </c>
      <c r="H103">
        <v>14445</v>
      </c>
      <c r="I103">
        <v>-33641</v>
      </c>
      <c r="J103">
        <v>3585</v>
      </c>
      <c r="K103">
        <v>-20061</v>
      </c>
    </row>
    <row r="104" spans="2:11" x14ac:dyDescent="0.25">
      <c r="B104">
        <v>20598</v>
      </c>
      <c r="C104">
        <v>-5586</v>
      </c>
      <c r="D104">
        <v>15084</v>
      </c>
      <c r="E104">
        <v>9529</v>
      </c>
      <c r="F104">
        <v>-1745</v>
      </c>
      <c r="G104">
        <v>-35128</v>
      </c>
      <c r="H104">
        <v>-40445</v>
      </c>
      <c r="I104">
        <v>14083</v>
      </c>
      <c r="J104">
        <v>-2962</v>
      </c>
      <c r="K104">
        <v>-345</v>
      </c>
    </row>
    <row r="105" spans="2:11" x14ac:dyDescent="0.25">
      <c r="B105">
        <v>13295</v>
      </c>
      <c r="C105">
        <v>7532</v>
      </c>
      <c r="D105">
        <v>0</v>
      </c>
      <c r="E105">
        <v>-8775</v>
      </c>
      <c r="F105">
        <v>15880</v>
      </c>
      <c r="G105">
        <v>19608</v>
      </c>
      <c r="H105">
        <v>1539</v>
      </c>
      <c r="I105">
        <v>7269</v>
      </c>
      <c r="J105">
        <v>22055</v>
      </c>
      <c r="K105">
        <v>-7749</v>
      </c>
    </row>
    <row r="106" spans="2:11" x14ac:dyDescent="0.25">
      <c r="B106">
        <v>20317</v>
      </c>
      <c r="C106">
        <v>-11414</v>
      </c>
      <c r="D106">
        <v>37891</v>
      </c>
      <c r="E106">
        <v>-9422</v>
      </c>
      <c r="F106">
        <v>22999</v>
      </c>
      <c r="G106">
        <v>-21334</v>
      </c>
      <c r="H106">
        <v>5683</v>
      </c>
      <c r="I106">
        <v>-11511</v>
      </c>
      <c r="J106">
        <v>-5289</v>
      </c>
      <c r="K106">
        <v>-23244</v>
      </c>
    </row>
    <row r="107" spans="2:11" x14ac:dyDescent="0.25">
      <c r="B107">
        <v>-23013</v>
      </c>
      <c r="C107">
        <v>16302</v>
      </c>
      <c r="D107">
        <v>14201</v>
      </c>
      <c r="E107">
        <v>-3255</v>
      </c>
      <c r="F107">
        <v>1121</v>
      </c>
      <c r="G107">
        <v>576</v>
      </c>
      <c r="H107">
        <v>-4034</v>
      </c>
      <c r="I107">
        <v>-7344</v>
      </c>
      <c r="J107">
        <v>0</v>
      </c>
      <c r="K107">
        <v>4146</v>
      </c>
    </row>
    <row r="108" spans="2:11" x14ac:dyDescent="0.25">
      <c r="B108">
        <v>-2011</v>
      </c>
      <c r="C108">
        <v>-7920</v>
      </c>
      <c r="D108">
        <v>-932</v>
      </c>
      <c r="E108">
        <v>-7281</v>
      </c>
      <c r="F108">
        <v>-11140</v>
      </c>
      <c r="G108">
        <v>1893</v>
      </c>
      <c r="H108">
        <v>-8069</v>
      </c>
      <c r="I108">
        <v>-2252</v>
      </c>
      <c r="J108">
        <v>-13145</v>
      </c>
      <c r="K108">
        <v>1693</v>
      </c>
    </row>
    <row r="109" spans="2:11" x14ac:dyDescent="0.25">
      <c r="B109">
        <v>-8651</v>
      </c>
      <c r="C109">
        <v>6528</v>
      </c>
      <c r="D109">
        <v>-1391</v>
      </c>
      <c r="E109">
        <v>2784</v>
      </c>
      <c r="F109">
        <v>4124</v>
      </c>
      <c r="G109">
        <v>9884</v>
      </c>
      <c r="H109">
        <v>8412</v>
      </c>
      <c r="I109">
        <v>-16186</v>
      </c>
      <c r="J109">
        <v>37719</v>
      </c>
      <c r="K109">
        <v>54827</v>
      </c>
    </row>
    <row r="110" spans="2:11" x14ac:dyDescent="0.25">
      <c r="B110">
        <v>-16445</v>
      </c>
      <c r="C110">
        <v>3861</v>
      </c>
      <c r="D110">
        <v>172</v>
      </c>
      <c r="E110">
        <v>-16937</v>
      </c>
      <c r="F110">
        <v>-16022</v>
      </c>
      <c r="G110">
        <v>0</v>
      </c>
      <c r="H110">
        <v>13535</v>
      </c>
      <c r="I110">
        <v>-12247</v>
      </c>
      <c r="J110">
        <v>-26683</v>
      </c>
      <c r="K110">
        <v>-768</v>
      </c>
    </row>
    <row r="111" spans="2:11" x14ac:dyDescent="0.25">
      <c r="B111">
        <v>-15638</v>
      </c>
      <c r="C111">
        <v>-27123</v>
      </c>
      <c r="D111">
        <v>16456</v>
      </c>
      <c r="E111">
        <v>-28071</v>
      </c>
      <c r="F111">
        <v>14797</v>
      </c>
      <c r="G111">
        <v>-47371</v>
      </c>
      <c r="H111">
        <v>9662</v>
      </c>
      <c r="I111">
        <v>-30566</v>
      </c>
      <c r="J111">
        <v>28956</v>
      </c>
      <c r="K111">
        <v>-9582</v>
      </c>
    </row>
    <row r="112" spans="2:11" x14ac:dyDescent="0.25">
      <c r="B112">
        <v>17310</v>
      </c>
      <c r="C112">
        <v>9928</v>
      </c>
      <c r="D112">
        <v>34016</v>
      </c>
      <c r="E112">
        <v>37572</v>
      </c>
      <c r="F112">
        <v>-2603</v>
      </c>
      <c r="G112">
        <v>8849</v>
      </c>
      <c r="H112">
        <v>23527</v>
      </c>
      <c r="I112">
        <v>26288</v>
      </c>
      <c r="J112">
        <v>-7701</v>
      </c>
      <c r="K112">
        <v>1957</v>
      </c>
    </row>
    <row r="113" spans="2:11" x14ac:dyDescent="0.25">
      <c r="B113">
        <v>683</v>
      </c>
      <c r="C113">
        <v>-8281</v>
      </c>
      <c r="D113">
        <v>-14684</v>
      </c>
      <c r="E113">
        <v>0</v>
      </c>
      <c r="F113">
        <v>11076</v>
      </c>
      <c r="G113">
        <v>-6627</v>
      </c>
      <c r="H113">
        <v>-19901</v>
      </c>
      <c r="I113">
        <v>-2539</v>
      </c>
      <c r="J113">
        <v>-14740</v>
      </c>
      <c r="K113">
        <v>-16210</v>
      </c>
    </row>
    <row r="114" spans="2:11" x14ac:dyDescent="0.25">
      <c r="B114">
        <v>6165</v>
      </c>
      <c r="C114">
        <v>-20630</v>
      </c>
      <c r="D114">
        <v>3862</v>
      </c>
      <c r="E114">
        <v>-23550</v>
      </c>
      <c r="F114">
        <v>5336</v>
      </c>
      <c r="G114">
        <v>-15412</v>
      </c>
      <c r="H114">
        <v>12946</v>
      </c>
      <c r="I114">
        <v>-3681</v>
      </c>
      <c r="J114">
        <v>6573</v>
      </c>
      <c r="K114">
        <v>5745</v>
      </c>
    </row>
    <row r="115" spans="2:11" x14ac:dyDescent="0.25">
      <c r="B115">
        <v>17130</v>
      </c>
      <c r="C115">
        <v>16501</v>
      </c>
      <c r="D115">
        <v>-20976</v>
      </c>
      <c r="E115">
        <v>62229</v>
      </c>
      <c r="F115">
        <v>17921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11524</v>
      </c>
      <c r="H118">
        <v>18403</v>
      </c>
      <c r="I118">
        <v>13501</v>
      </c>
      <c r="J118">
        <v>1953</v>
      </c>
      <c r="K118">
        <v>853</v>
      </c>
    </row>
    <row r="119" spans="2:11" x14ac:dyDescent="0.25">
      <c r="B119">
        <v>10626</v>
      </c>
      <c r="C119">
        <v>14483</v>
      </c>
      <c r="D119">
        <v>0</v>
      </c>
      <c r="E119">
        <v>5501</v>
      </c>
      <c r="F119">
        <v>-5513</v>
      </c>
      <c r="G119">
        <v>-9857</v>
      </c>
      <c r="H119">
        <v>-361</v>
      </c>
      <c r="I119">
        <v>14750</v>
      </c>
      <c r="J119">
        <v>-9473</v>
      </c>
      <c r="K119">
        <v>7884</v>
      </c>
    </row>
    <row r="120" spans="2:11" x14ac:dyDescent="0.25">
      <c r="B120">
        <v>-10397</v>
      </c>
      <c r="C120">
        <v>26487</v>
      </c>
      <c r="D120">
        <v>-15970</v>
      </c>
      <c r="E120">
        <v>3686</v>
      </c>
      <c r="F120">
        <v>-43442</v>
      </c>
      <c r="G120">
        <v>16151</v>
      </c>
      <c r="H120">
        <v>794</v>
      </c>
      <c r="I120">
        <v>10730</v>
      </c>
      <c r="J120">
        <v>6615</v>
      </c>
      <c r="K120">
        <v>14583</v>
      </c>
    </row>
    <row r="121" spans="2:11" x14ac:dyDescent="0.25">
      <c r="B121">
        <v>15697</v>
      </c>
      <c r="C121">
        <v>-13847</v>
      </c>
      <c r="D121">
        <v>6653</v>
      </c>
      <c r="E121">
        <v>20697</v>
      </c>
      <c r="F121">
        <v>10754</v>
      </c>
      <c r="G121">
        <v>0</v>
      </c>
      <c r="H121">
        <v>-15193</v>
      </c>
      <c r="I121">
        <v>-1466</v>
      </c>
      <c r="J121">
        <v>767</v>
      </c>
      <c r="K121">
        <v>-78</v>
      </c>
    </row>
    <row r="122" spans="2:11" x14ac:dyDescent="0.25">
      <c r="B122">
        <v>44</v>
      </c>
      <c r="C122">
        <v>-177</v>
      </c>
      <c r="D122">
        <v>2377</v>
      </c>
      <c r="E122">
        <v>0</v>
      </c>
      <c r="F122">
        <v>-380</v>
      </c>
      <c r="G122">
        <v>-433</v>
      </c>
      <c r="H122">
        <v>144</v>
      </c>
      <c r="I122">
        <v>512</v>
      </c>
      <c r="J122">
        <v>2280</v>
      </c>
      <c r="K122">
        <v>-1556</v>
      </c>
    </row>
    <row r="123" spans="2:11" x14ac:dyDescent="0.25">
      <c r="B123">
        <v>83</v>
      </c>
      <c r="C123">
        <v>-228</v>
      </c>
      <c r="D123">
        <v>1898</v>
      </c>
      <c r="E123">
        <v>-131</v>
      </c>
      <c r="F123">
        <v>-2093</v>
      </c>
      <c r="G123">
        <v>2724</v>
      </c>
      <c r="H123">
        <v>-5943</v>
      </c>
      <c r="I123">
        <v>4376</v>
      </c>
      <c r="J123">
        <v>4259</v>
      </c>
      <c r="K123">
        <v>2088</v>
      </c>
    </row>
    <row r="124" spans="2:11" x14ac:dyDescent="0.25">
      <c r="B124">
        <v>1342</v>
      </c>
      <c r="C124">
        <v>20337</v>
      </c>
      <c r="D124">
        <v>1435</v>
      </c>
      <c r="E124">
        <v>-638</v>
      </c>
      <c r="F124">
        <v>1665</v>
      </c>
      <c r="G124">
        <v>-334</v>
      </c>
      <c r="H124">
        <v>0</v>
      </c>
      <c r="I124">
        <v>-12490</v>
      </c>
      <c r="J124">
        <v>9639</v>
      </c>
      <c r="K124">
        <v>19669</v>
      </c>
    </row>
    <row r="125" spans="2:11" x14ac:dyDescent="0.25">
      <c r="B125">
        <v>15186</v>
      </c>
      <c r="C125">
        <v>1596</v>
      </c>
      <c r="D125">
        <v>530</v>
      </c>
      <c r="E125">
        <v>12645</v>
      </c>
      <c r="F125">
        <v>16939</v>
      </c>
      <c r="G125">
        <v>0</v>
      </c>
      <c r="H125">
        <v>5852</v>
      </c>
      <c r="I125">
        <v>-5548</v>
      </c>
      <c r="J125">
        <v>-10264</v>
      </c>
      <c r="K125">
        <v>-514</v>
      </c>
    </row>
    <row r="126" spans="2:11" x14ac:dyDescent="0.25">
      <c r="B126">
        <v>17193</v>
      </c>
      <c r="C126">
        <v>-10983</v>
      </c>
      <c r="D126">
        <v>7110</v>
      </c>
      <c r="E126">
        <v>-10840</v>
      </c>
      <c r="F126">
        <v>28629</v>
      </c>
      <c r="G126">
        <v>-16338</v>
      </c>
      <c r="H126">
        <v>3079</v>
      </c>
      <c r="I126">
        <v>-37424</v>
      </c>
      <c r="J126">
        <v>18527</v>
      </c>
      <c r="K126">
        <v>-2903</v>
      </c>
    </row>
    <row r="127" spans="2:11" x14ac:dyDescent="0.25">
      <c r="B127">
        <v>8299</v>
      </c>
      <c r="C127">
        <v>5079</v>
      </c>
      <c r="D127">
        <v>17585</v>
      </c>
      <c r="E127">
        <v>15608</v>
      </c>
      <c r="F127">
        <v>-13627</v>
      </c>
      <c r="G127">
        <v>7598</v>
      </c>
      <c r="H127">
        <v>19933</v>
      </c>
      <c r="I127">
        <v>11291</v>
      </c>
      <c r="J127">
        <v>0</v>
      </c>
      <c r="K127">
        <v>3093</v>
      </c>
    </row>
    <row r="128" spans="2:11" x14ac:dyDescent="0.25">
      <c r="B128">
        <v>-6325</v>
      </c>
      <c r="C128">
        <v>4073</v>
      </c>
      <c r="D128">
        <v>18037</v>
      </c>
      <c r="E128">
        <v>77107</v>
      </c>
      <c r="F128">
        <v>1766</v>
      </c>
      <c r="G128">
        <v>810</v>
      </c>
      <c r="H128">
        <v>68689</v>
      </c>
      <c r="I128">
        <v>76594</v>
      </c>
      <c r="J128">
        <v>0</v>
      </c>
      <c r="K128">
        <v>4104</v>
      </c>
    </row>
    <row r="129" spans="2:11" x14ac:dyDescent="0.25">
      <c r="B129">
        <v>-4137</v>
      </c>
      <c r="C129">
        <v>-9279</v>
      </c>
      <c r="D129">
        <v>-136</v>
      </c>
      <c r="E129">
        <v>77325</v>
      </c>
      <c r="F129">
        <v>-9318</v>
      </c>
      <c r="G129">
        <v>8121</v>
      </c>
      <c r="H129">
        <v>-9953</v>
      </c>
      <c r="I129">
        <v>91381</v>
      </c>
      <c r="J129">
        <v>-14049</v>
      </c>
      <c r="K129">
        <v>1644</v>
      </c>
    </row>
    <row r="130" spans="2:11" x14ac:dyDescent="0.25">
      <c r="B130">
        <v>37020</v>
      </c>
      <c r="C130">
        <v>12388</v>
      </c>
      <c r="D130">
        <v>-3066</v>
      </c>
      <c r="E130">
        <v>11060</v>
      </c>
      <c r="F130">
        <v>6085</v>
      </c>
      <c r="G130">
        <v>16587</v>
      </c>
      <c r="H130">
        <v>19703</v>
      </c>
      <c r="I130">
        <v>-12081</v>
      </c>
      <c r="J130">
        <v>6840</v>
      </c>
      <c r="K130">
        <v>19883</v>
      </c>
    </row>
    <row r="131" spans="2:11" x14ac:dyDescent="0.25">
      <c r="B131">
        <v>10342</v>
      </c>
      <c r="C131">
        <v>0</v>
      </c>
      <c r="D131">
        <v>30389</v>
      </c>
      <c r="E131">
        <v>4468</v>
      </c>
      <c r="F131">
        <v>32919</v>
      </c>
      <c r="G131">
        <v>-58701</v>
      </c>
      <c r="H131">
        <v>-77567</v>
      </c>
      <c r="I131">
        <v>24941</v>
      </c>
      <c r="J131">
        <v>-5599</v>
      </c>
      <c r="K131">
        <v>-713</v>
      </c>
    </row>
    <row r="132" spans="2:11" x14ac:dyDescent="0.25">
      <c r="B132">
        <v>24748</v>
      </c>
      <c r="C132">
        <v>18110</v>
      </c>
      <c r="D132">
        <v>0</v>
      </c>
      <c r="E132">
        <v>-25222</v>
      </c>
      <c r="F132">
        <v>20479</v>
      </c>
      <c r="G132">
        <v>37484</v>
      </c>
      <c r="H132">
        <v>3136</v>
      </c>
      <c r="I132">
        <v>17724</v>
      </c>
      <c r="J132">
        <v>42166</v>
      </c>
      <c r="K132">
        <v>-18621</v>
      </c>
    </row>
    <row r="133" spans="2:11" x14ac:dyDescent="0.25">
      <c r="B133">
        <v>38872</v>
      </c>
      <c r="C133">
        <v>-20831</v>
      </c>
      <c r="D133">
        <v>67166</v>
      </c>
      <c r="E133">
        <v>-14050</v>
      </c>
      <c r="F133">
        <v>43735</v>
      </c>
      <c r="G133">
        <v>-41111</v>
      </c>
      <c r="H133">
        <v>12545</v>
      </c>
      <c r="I133">
        <v>-23628</v>
      </c>
      <c r="J133">
        <v>-12609</v>
      </c>
      <c r="K133">
        <v>-46837</v>
      </c>
    </row>
    <row r="134" spans="2:11" x14ac:dyDescent="0.25">
      <c r="B134">
        <v>-49497</v>
      </c>
      <c r="C134">
        <v>50734</v>
      </c>
      <c r="D134">
        <v>-19668</v>
      </c>
      <c r="E134">
        <v>-71781</v>
      </c>
      <c r="F134">
        <v>-34765</v>
      </c>
      <c r="G134">
        <v>0</v>
      </c>
      <c r="H134">
        <v>-28190</v>
      </c>
      <c r="I134">
        <v>-288</v>
      </c>
      <c r="J134">
        <v>-27425</v>
      </c>
      <c r="K134">
        <v>-26001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FF00"/>
  </sheetPr>
  <dimension ref="A1:K164"/>
  <sheetViews>
    <sheetView workbookViewId="0">
      <selection activeCell="A8" sqref="A8:K164"/>
    </sheetView>
  </sheetViews>
  <sheetFormatPr defaultRowHeight="15" x14ac:dyDescent="0.25"/>
  <sheetData>
    <row r="1" spans="1:11" x14ac:dyDescent="0.25">
      <c r="A1" s="46" t="s">
        <v>211</v>
      </c>
      <c r="B1" s="42"/>
      <c r="C1" s="42"/>
      <c r="D1" s="42"/>
      <c r="E1" s="42"/>
      <c r="F1" s="42"/>
      <c r="G1" s="42"/>
      <c r="H1" s="42" t="s">
        <v>212</v>
      </c>
      <c r="I1" s="42"/>
      <c r="J1" s="42"/>
      <c r="K1" s="42"/>
    </row>
    <row r="2" spans="1:11" x14ac:dyDescent="0.25">
      <c r="A2" s="42">
        <v>1</v>
      </c>
      <c r="B2" s="42" t="s">
        <v>251</v>
      </c>
      <c r="C2" s="42"/>
      <c r="D2" s="42"/>
      <c r="E2" s="42"/>
      <c r="F2" s="42"/>
      <c r="G2" s="42"/>
      <c r="H2" s="42"/>
      <c r="I2" s="42"/>
      <c r="J2" s="42"/>
      <c r="K2" s="42"/>
    </row>
    <row r="3" spans="1:11" x14ac:dyDescent="0.25">
      <c r="A3" s="42">
        <v>2</v>
      </c>
      <c r="B3" s="42" t="s">
        <v>214</v>
      </c>
      <c r="C3" s="42"/>
      <c r="D3" s="42"/>
      <c r="E3" s="42"/>
      <c r="F3" s="42"/>
      <c r="G3" s="42"/>
      <c r="H3" s="42"/>
      <c r="I3" s="42"/>
      <c r="J3" s="42"/>
      <c r="K3" s="42"/>
    </row>
    <row r="4" spans="1:11" x14ac:dyDescent="0.25">
      <c r="A4" s="42">
        <v>3</v>
      </c>
      <c r="B4" s="42" t="s">
        <v>215</v>
      </c>
      <c r="C4" s="42"/>
      <c r="D4" s="42"/>
      <c r="E4" s="42"/>
      <c r="F4" s="42"/>
      <c r="G4" s="42"/>
      <c r="H4" s="42"/>
      <c r="I4" s="42"/>
      <c r="J4" s="42"/>
      <c r="K4" s="42"/>
    </row>
    <row r="5" spans="1:11" x14ac:dyDescent="0.25">
      <c r="A5" s="42">
        <v>4</v>
      </c>
      <c r="B5" s="42" t="s">
        <v>216</v>
      </c>
      <c r="C5" s="42"/>
      <c r="D5" s="42"/>
      <c r="E5" s="42"/>
      <c r="F5" s="42"/>
      <c r="G5" s="42"/>
      <c r="H5" s="42"/>
      <c r="I5" s="42"/>
      <c r="J5" s="42"/>
      <c r="K5" s="42"/>
    </row>
    <row r="6" spans="1:1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</row>
    <row r="8" spans="1:11" x14ac:dyDescent="0.25">
      <c r="A8" t="s">
        <v>252</v>
      </c>
      <c r="B8" t="s">
        <v>218</v>
      </c>
      <c r="C8" t="s">
        <v>219</v>
      </c>
      <c r="D8" t="s">
        <v>220</v>
      </c>
    </row>
    <row r="9" spans="1:11" x14ac:dyDescent="0.25">
      <c r="A9" t="s">
        <v>221</v>
      </c>
      <c r="B9" t="s">
        <v>222</v>
      </c>
      <c r="C9" t="s">
        <v>223</v>
      </c>
      <c r="D9" t="s">
        <v>224</v>
      </c>
      <c r="E9">
        <v>4</v>
      </c>
      <c r="F9" s="40">
        <v>0.47909722222222217</v>
      </c>
      <c r="G9" t="s">
        <v>225</v>
      </c>
      <c r="H9">
        <v>6</v>
      </c>
      <c r="I9" t="s">
        <v>226</v>
      </c>
      <c r="J9">
        <v>17</v>
      </c>
    </row>
    <row r="10" spans="1:11" x14ac:dyDescent="0.25">
      <c r="A10" t="s">
        <v>227</v>
      </c>
    </row>
    <row r="11" spans="1:11" x14ac:dyDescent="0.25">
      <c r="B11">
        <v>1</v>
      </c>
      <c r="C11" t="s">
        <v>69</v>
      </c>
      <c r="D11" t="s">
        <v>70</v>
      </c>
      <c r="E11" s="29">
        <v>1.6366214969999999</v>
      </c>
      <c r="F11">
        <v>0.19501361520499999</v>
      </c>
    </row>
    <row r="12" spans="1:11" x14ac:dyDescent="0.25">
      <c r="B12">
        <v>2</v>
      </c>
      <c r="C12" t="s">
        <v>74</v>
      </c>
      <c r="D12" t="s">
        <v>70</v>
      </c>
      <c r="E12">
        <v>0.91289459500000003</v>
      </c>
      <c r="F12" s="29">
        <v>8.35249730602E-2</v>
      </c>
    </row>
    <row r="13" spans="1:11" x14ac:dyDescent="0.25">
      <c r="B13">
        <v>10</v>
      </c>
      <c r="C13" t="s">
        <v>87</v>
      </c>
      <c r="D13" t="s">
        <v>70</v>
      </c>
      <c r="E13">
        <v>-0.27978488299999998</v>
      </c>
      <c r="F13">
        <v>0.34431279040599999</v>
      </c>
    </row>
    <row r="14" spans="1:11" x14ac:dyDescent="0.25">
      <c r="B14">
        <v>17</v>
      </c>
      <c r="C14" t="s">
        <v>92</v>
      </c>
      <c r="D14" t="s">
        <v>97</v>
      </c>
      <c r="E14">
        <v>-5.7474999999999996</v>
      </c>
      <c r="F14">
        <v>0</v>
      </c>
    </row>
    <row r="15" spans="1:11" x14ac:dyDescent="0.25">
      <c r="B15">
        <v>18</v>
      </c>
      <c r="C15" t="s">
        <v>101</v>
      </c>
      <c r="D15" t="s">
        <v>70</v>
      </c>
      <c r="E15">
        <v>-5.2693623949999999</v>
      </c>
      <c r="F15">
        <v>0.68354835491400001</v>
      </c>
    </row>
    <row r="16" spans="1:11" x14ac:dyDescent="0.25">
      <c r="B16">
        <v>20</v>
      </c>
      <c r="C16" t="s">
        <v>91</v>
      </c>
      <c r="D16" t="s">
        <v>70</v>
      </c>
      <c r="E16">
        <v>-4.4278629379999996</v>
      </c>
      <c r="F16">
        <v>0.93323297654000004</v>
      </c>
    </row>
    <row r="17" spans="2:6" x14ac:dyDescent="0.25">
      <c r="B17">
        <v>21</v>
      </c>
      <c r="C17" t="s">
        <v>100</v>
      </c>
      <c r="D17" t="s">
        <v>70</v>
      </c>
      <c r="E17" s="29">
        <v>-5.0045351000000002E-2</v>
      </c>
      <c r="F17">
        <v>0.17611836478599999</v>
      </c>
    </row>
    <row r="18" spans="2:6" x14ac:dyDescent="0.25">
      <c r="B18">
        <v>22</v>
      </c>
      <c r="C18" t="s">
        <v>115</v>
      </c>
      <c r="D18" t="s">
        <v>70</v>
      </c>
      <c r="E18" s="29">
        <v>-5.0746489999999998E-2</v>
      </c>
      <c r="F18">
        <v>0.30093288138099999</v>
      </c>
    </row>
    <row r="19" spans="2:6" x14ac:dyDescent="0.25">
      <c r="B19">
        <v>27</v>
      </c>
      <c r="C19" t="s">
        <v>122</v>
      </c>
      <c r="D19" t="s">
        <v>97</v>
      </c>
      <c r="E19">
        <v>-5</v>
      </c>
      <c r="F19">
        <v>0</v>
      </c>
    </row>
    <row r="20" spans="2:6" x14ac:dyDescent="0.25">
      <c r="B20">
        <v>28</v>
      </c>
      <c r="C20" t="s">
        <v>128</v>
      </c>
      <c r="D20" t="s">
        <v>70</v>
      </c>
      <c r="E20">
        <v>5.2955199730000002</v>
      </c>
      <c r="F20">
        <v>0.93271155108000003</v>
      </c>
    </row>
    <row r="21" spans="2:6" x14ac:dyDescent="0.25">
      <c r="B21">
        <v>29</v>
      </c>
      <c r="C21" t="s">
        <v>134</v>
      </c>
      <c r="D21" t="s">
        <v>70</v>
      </c>
      <c r="E21">
        <v>3.2469681079999999</v>
      </c>
      <c r="F21">
        <v>0.84554667239000003</v>
      </c>
    </row>
    <row r="22" spans="2:6" x14ac:dyDescent="0.25">
      <c r="B22">
        <v>30</v>
      </c>
      <c r="C22" t="s">
        <v>84</v>
      </c>
      <c r="D22" t="s">
        <v>70</v>
      </c>
      <c r="E22">
        <v>-0.45676292000000002</v>
      </c>
      <c r="F22">
        <v>0.34398669711899998</v>
      </c>
    </row>
    <row r="23" spans="2:6" x14ac:dyDescent="0.25">
      <c r="B23">
        <v>37</v>
      </c>
      <c r="C23" t="s">
        <v>138</v>
      </c>
      <c r="D23" t="s">
        <v>70</v>
      </c>
      <c r="E23">
        <v>-2.1066630989999999</v>
      </c>
      <c r="F23">
        <v>0.316662478729</v>
      </c>
    </row>
    <row r="24" spans="2:6" x14ac:dyDescent="0.25">
      <c r="B24">
        <v>38</v>
      </c>
      <c r="C24" t="s">
        <v>147</v>
      </c>
      <c r="D24" t="s">
        <v>70</v>
      </c>
      <c r="E24">
        <v>-1.023984556</v>
      </c>
      <c r="F24">
        <v>0.333698615945</v>
      </c>
    </row>
    <row r="25" spans="2:6" x14ac:dyDescent="0.25">
      <c r="B25">
        <v>40</v>
      </c>
      <c r="C25" t="s">
        <v>107</v>
      </c>
      <c r="D25" t="s">
        <v>70</v>
      </c>
      <c r="E25">
        <v>-1.003425644</v>
      </c>
      <c r="F25">
        <v>0.34599367384800001</v>
      </c>
    </row>
    <row r="26" spans="2:6" x14ac:dyDescent="0.25">
      <c r="B26">
        <v>41</v>
      </c>
      <c r="C26" t="s">
        <v>111</v>
      </c>
      <c r="D26" t="s">
        <v>70</v>
      </c>
      <c r="E26">
        <v>-1.3307406129999999</v>
      </c>
      <c r="F26">
        <v>0.33748375614499998</v>
      </c>
    </row>
    <row r="27" spans="2:6" x14ac:dyDescent="0.25">
      <c r="B27">
        <v>44</v>
      </c>
      <c r="C27" t="s">
        <v>155</v>
      </c>
      <c r="D27" t="s">
        <v>70</v>
      </c>
      <c r="E27">
        <v>0.22708982699999999</v>
      </c>
      <c r="F27">
        <v>0.29066758908599999</v>
      </c>
    </row>
    <row r="28" spans="2:6" x14ac:dyDescent="0.25">
      <c r="B28">
        <v>45</v>
      </c>
      <c r="C28" t="s">
        <v>158</v>
      </c>
      <c r="D28" t="s">
        <v>70</v>
      </c>
      <c r="E28">
        <v>-0.52505228900000001</v>
      </c>
      <c r="F28">
        <v>0.27106838531499999</v>
      </c>
    </row>
    <row r="29" spans="2:6" x14ac:dyDescent="0.25">
      <c r="B29">
        <v>47</v>
      </c>
      <c r="C29" t="s">
        <v>161</v>
      </c>
      <c r="D29" t="s">
        <v>70</v>
      </c>
      <c r="E29">
        <v>1.564023495</v>
      </c>
      <c r="F29">
        <v>0.53692477379299997</v>
      </c>
    </row>
    <row r="30" spans="2:6" x14ac:dyDescent="0.25">
      <c r="B30">
        <v>50</v>
      </c>
      <c r="C30" t="s">
        <v>110</v>
      </c>
      <c r="D30" t="s">
        <v>70</v>
      </c>
      <c r="E30">
        <v>2.3671031779999998</v>
      </c>
      <c r="F30">
        <v>0.50214802606200004</v>
      </c>
    </row>
    <row r="31" spans="2:6" x14ac:dyDescent="0.25">
      <c r="B31">
        <v>52</v>
      </c>
      <c r="C31" t="s">
        <v>156</v>
      </c>
      <c r="D31" t="s">
        <v>70</v>
      </c>
      <c r="E31">
        <v>-2.1575125929999999</v>
      </c>
      <c r="F31">
        <v>0.36306057243700002</v>
      </c>
    </row>
    <row r="32" spans="2:6" x14ac:dyDescent="0.25">
      <c r="B32">
        <v>54</v>
      </c>
      <c r="C32" t="s">
        <v>113</v>
      </c>
      <c r="D32" t="s">
        <v>97</v>
      </c>
      <c r="E32">
        <v>0</v>
      </c>
      <c r="F32">
        <v>0</v>
      </c>
    </row>
    <row r="33" spans="2:6" x14ac:dyDescent="0.25">
      <c r="B33">
        <v>56</v>
      </c>
      <c r="C33" t="s">
        <v>163</v>
      </c>
      <c r="D33" t="s">
        <v>70</v>
      </c>
      <c r="E33">
        <v>0.30919284200000002</v>
      </c>
      <c r="F33">
        <v>0.30424957775799999</v>
      </c>
    </row>
    <row r="34" spans="2:6" x14ac:dyDescent="0.25">
      <c r="B34">
        <v>59</v>
      </c>
      <c r="C34" t="s">
        <v>168</v>
      </c>
      <c r="D34" t="s">
        <v>70</v>
      </c>
      <c r="E34">
        <v>-3.2597140630000001</v>
      </c>
      <c r="F34">
        <v>0.471635145413</v>
      </c>
    </row>
    <row r="35" spans="2:6" x14ac:dyDescent="0.25">
      <c r="B35">
        <v>60</v>
      </c>
      <c r="C35" t="s">
        <v>129</v>
      </c>
      <c r="D35" t="s">
        <v>70</v>
      </c>
      <c r="E35">
        <v>-3.8530967860000001</v>
      </c>
      <c r="F35">
        <v>0.61260220369700003</v>
      </c>
    </row>
    <row r="36" spans="2:6" x14ac:dyDescent="0.25">
      <c r="B36">
        <v>61</v>
      </c>
      <c r="C36" t="s">
        <v>142</v>
      </c>
      <c r="D36" t="s">
        <v>70</v>
      </c>
      <c r="E36">
        <v>1.044595197</v>
      </c>
      <c r="F36">
        <v>0.217909240496</v>
      </c>
    </row>
    <row r="37" spans="2:6" x14ac:dyDescent="0.25">
      <c r="B37">
        <v>69</v>
      </c>
      <c r="C37" t="s">
        <v>176</v>
      </c>
      <c r="D37" t="s">
        <v>70</v>
      </c>
      <c r="E37">
        <v>2.655798109</v>
      </c>
      <c r="F37">
        <v>0.53218512319</v>
      </c>
    </row>
    <row r="38" spans="2:6" x14ac:dyDescent="0.25">
      <c r="B38">
        <v>79</v>
      </c>
      <c r="C38" t="s">
        <v>179</v>
      </c>
      <c r="D38" t="s">
        <v>70</v>
      </c>
      <c r="E38" s="29">
        <v>3.1769310329999998</v>
      </c>
      <c r="F38">
        <v>0.44329049731600001</v>
      </c>
    </row>
    <row r="39" spans="2:6" x14ac:dyDescent="0.25">
      <c r="B39">
        <v>122</v>
      </c>
      <c r="C39" t="s">
        <v>181</v>
      </c>
      <c r="D39" t="s">
        <v>70</v>
      </c>
      <c r="E39">
        <v>-0.24379659300000001</v>
      </c>
      <c r="F39">
        <v>0.107571898717</v>
      </c>
    </row>
    <row r="40" spans="2:6" x14ac:dyDescent="0.25">
      <c r="B40">
        <v>129</v>
      </c>
      <c r="C40" t="s">
        <v>184</v>
      </c>
      <c r="D40" t="s">
        <v>70</v>
      </c>
      <c r="E40">
        <v>0.77462376499999996</v>
      </c>
      <c r="F40">
        <v>0.28644455923099998</v>
      </c>
    </row>
    <row r="41" spans="2:6" x14ac:dyDescent="0.25">
      <c r="B41">
        <v>131</v>
      </c>
      <c r="C41" t="s">
        <v>174</v>
      </c>
      <c r="D41" t="s">
        <v>97</v>
      </c>
      <c r="E41">
        <v>0</v>
      </c>
      <c r="F41">
        <v>0</v>
      </c>
    </row>
    <row r="42" spans="2:6" x14ac:dyDescent="0.25">
      <c r="B42">
        <v>132</v>
      </c>
      <c r="C42" t="s">
        <v>177</v>
      </c>
      <c r="D42" t="s">
        <v>70</v>
      </c>
      <c r="E42" s="29">
        <v>1.337907E-2</v>
      </c>
      <c r="F42" s="29">
        <v>9.0433152226200006E-2</v>
      </c>
    </row>
    <row r="43" spans="2:6" x14ac:dyDescent="0.25">
      <c r="B43">
        <v>133</v>
      </c>
      <c r="C43" t="s">
        <v>180</v>
      </c>
      <c r="D43" t="s">
        <v>97</v>
      </c>
      <c r="E43">
        <v>0</v>
      </c>
      <c r="F43">
        <v>0</v>
      </c>
    </row>
    <row r="44" spans="2:6" x14ac:dyDescent="0.25">
      <c r="B44">
        <v>134</v>
      </c>
      <c r="C44" t="s">
        <v>183</v>
      </c>
      <c r="D44" t="s">
        <v>70</v>
      </c>
      <c r="E44">
        <v>0.433890995</v>
      </c>
      <c r="F44" s="29">
        <v>7.2106749913899995E-2</v>
      </c>
    </row>
    <row r="45" spans="2:6" x14ac:dyDescent="0.25">
      <c r="B45">
        <v>161</v>
      </c>
      <c r="C45" t="s">
        <v>200</v>
      </c>
      <c r="D45" t="s">
        <v>97</v>
      </c>
      <c r="E45">
        <v>0</v>
      </c>
      <c r="F45">
        <v>0</v>
      </c>
    </row>
    <row r="46" spans="2:6" x14ac:dyDescent="0.25">
      <c r="B46">
        <v>162</v>
      </c>
      <c r="C46" t="s">
        <v>187</v>
      </c>
      <c r="D46" t="s">
        <v>97</v>
      </c>
      <c r="E46">
        <v>0</v>
      </c>
      <c r="F46">
        <v>0</v>
      </c>
    </row>
    <row r="47" spans="2:6" x14ac:dyDescent="0.25">
      <c r="B47">
        <v>163</v>
      </c>
      <c r="C47" t="s">
        <v>202</v>
      </c>
      <c r="D47" t="s">
        <v>97</v>
      </c>
      <c r="E47">
        <v>0</v>
      </c>
      <c r="F47">
        <v>0</v>
      </c>
    </row>
    <row r="48" spans="2:6" x14ac:dyDescent="0.25">
      <c r="B48">
        <v>164</v>
      </c>
      <c r="C48" t="s">
        <v>192</v>
      </c>
      <c r="D48" t="s">
        <v>97</v>
      </c>
      <c r="E48">
        <v>0</v>
      </c>
      <c r="F48">
        <v>0</v>
      </c>
    </row>
    <row r="49" spans="2:6" x14ac:dyDescent="0.25">
      <c r="B49">
        <v>168</v>
      </c>
      <c r="C49" t="s">
        <v>196</v>
      </c>
      <c r="D49" t="s">
        <v>70</v>
      </c>
      <c r="E49" s="29">
        <v>1.1363600000000001E-5</v>
      </c>
      <c r="F49" s="29">
        <v>1.31537878938E-5</v>
      </c>
    </row>
    <row r="50" spans="2:6" x14ac:dyDescent="0.25">
      <c r="B50">
        <v>169</v>
      </c>
      <c r="C50" t="s">
        <v>198</v>
      </c>
      <c r="D50" t="s">
        <v>70</v>
      </c>
      <c r="E50">
        <v>-0.36651267700000001</v>
      </c>
      <c r="F50">
        <v>0.81267331412900001</v>
      </c>
    </row>
    <row r="51" spans="2:6" x14ac:dyDescent="0.25">
      <c r="B51">
        <v>179</v>
      </c>
      <c r="C51" t="s">
        <v>201</v>
      </c>
      <c r="D51" t="s">
        <v>70</v>
      </c>
      <c r="E51">
        <v>0.502373344</v>
      </c>
      <c r="F51">
        <v>0.27871621834499999</v>
      </c>
    </row>
    <row r="52" spans="2:6" x14ac:dyDescent="0.25">
      <c r="B52">
        <v>201</v>
      </c>
      <c r="C52" t="s">
        <v>228</v>
      </c>
      <c r="D52" t="s">
        <v>97</v>
      </c>
      <c r="E52">
        <v>0</v>
      </c>
      <c r="F52" s="29">
        <v>0</v>
      </c>
    </row>
    <row r="53" spans="2:6" x14ac:dyDescent="0.25">
      <c r="B53">
        <v>202</v>
      </c>
      <c r="C53" t="s">
        <v>229</v>
      </c>
      <c r="D53" t="s">
        <v>97</v>
      </c>
      <c r="E53">
        <v>0</v>
      </c>
      <c r="F53">
        <v>0</v>
      </c>
    </row>
    <row r="54" spans="2:6" x14ac:dyDescent="0.25">
      <c r="B54">
        <v>203</v>
      </c>
      <c r="C54" s="29" t="s">
        <v>230</v>
      </c>
      <c r="D54" s="29" t="s">
        <v>97</v>
      </c>
      <c r="E54" s="29">
        <v>0</v>
      </c>
      <c r="F54">
        <v>0</v>
      </c>
    </row>
    <row r="55" spans="2:6" x14ac:dyDescent="0.25">
      <c r="B55">
        <v>204</v>
      </c>
      <c r="C55" t="s">
        <v>231</v>
      </c>
      <c r="D55" t="s">
        <v>97</v>
      </c>
      <c r="E55">
        <v>0</v>
      </c>
      <c r="F55">
        <v>0</v>
      </c>
    </row>
    <row r="56" spans="2:6" x14ac:dyDescent="0.25">
      <c r="B56">
        <v>205</v>
      </c>
      <c r="C56" t="s">
        <v>232</v>
      </c>
      <c r="D56" t="s">
        <v>97</v>
      </c>
      <c r="E56">
        <v>0</v>
      </c>
      <c r="F56">
        <v>0</v>
      </c>
    </row>
    <row r="57" spans="2:6" x14ac:dyDescent="0.25">
      <c r="B57">
        <v>206</v>
      </c>
      <c r="C57" t="s">
        <v>233</v>
      </c>
      <c r="D57" t="s">
        <v>97</v>
      </c>
      <c r="E57">
        <v>0</v>
      </c>
      <c r="F57">
        <v>0</v>
      </c>
    </row>
    <row r="58" spans="2:6" x14ac:dyDescent="0.25">
      <c r="B58">
        <v>207</v>
      </c>
      <c r="C58" t="s">
        <v>234</v>
      </c>
      <c r="D58" t="s">
        <v>97</v>
      </c>
      <c r="E58">
        <v>0</v>
      </c>
      <c r="F58">
        <v>0</v>
      </c>
    </row>
    <row r="59" spans="2:6" x14ac:dyDescent="0.25">
      <c r="B59">
        <v>208</v>
      </c>
      <c r="C59" t="s">
        <v>235</v>
      </c>
      <c r="D59" t="s">
        <v>97</v>
      </c>
      <c r="E59">
        <v>0</v>
      </c>
      <c r="F59">
        <v>0</v>
      </c>
    </row>
    <row r="60" spans="2:6" x14ac:dyDescent="0.25">
      <c r="B60">
        <v>209</v>
      </c>
      <c r="C60" t="s">
        <v>236</v>
      </c>
      <c r="D60" t="s">
        <v>97</v>
      </c>
      <c r="E60">
        <v>0</v>
      </c>
      <c r="F60">
        <v>0</v>
      </c>
    </row>
    <row r="61" spans="2:6" x14ac:dyDescent="0.25">
      <c r="B61">
        <v>210</v>
      </c>
      <c r="C61" t="s">
        <v>237</v>
      </c>
      <c r="D61" t="s">
        <v>97</v>
      </c>
      <c r="E61">
        <v>0</v>
      </c>
      <c r="F61">
        <v>0</v>
      </c>
    </row>
    <row r="62" spans="2:6" x14ac:dyDescent="0.25">
      <c r="B62">
        <v>211</v>
      </c>
      <c r="C62" t="s">
        <v>238</v>
      </c>
      <c r="D62" t="s">
        <v>97</v>
      </c>
      <c r="E62">
        <v>0</v>
      </c>
      <c r="F62">
        <v>0</v>
      </c>
    </row>
    <row r="63" spans="2:6" x14ac:dyDescent="0.25">
      <c r="B63">
        <v>301</v>
      </c>
      <c r="C63" t="s">
        <v>239</v>
      </c>
      <c r="D63" t="s">
        <v>97</v>
      </c>
      <c r="E63">
        <v>0</v>
      </c>
      <c r="F63">
        <v>0</v>
      </c>
    </row>
    <row r="64" spans="2:6" x14ac:dyDescent="0.25">
      <c r="B64">
        <v>302</v>
      </c>
      <c r="C64" t="s">
        <v>240</v>
      </c>
      <c r="D64" t="s">
        <v>97</v>
      </c>
      <c r="E64">
        <v>0</v>
      </c>
      <c r="F64">
        <v>0</v>
      </c>
    </row>
    <row r="65" spans="2:11" x14ac:dyDescent="0.25">
      <c r="B65">
        <v>303</v>
      </c>
      <c r="C65" t="s">
        <v>241</v>
      </c>
      <c r="D65" t="s">
        <v>97</v>
      </c>
      <c r="E65">
        <v>0</v>
      </c>
      <c r="F65">
        <v>0</v>
      </c>
    </row>
    <row r="66" spans="2:11" x14ac:dyDescent="0.25">
      <c r="B66">
        <v>304</v>
      </c>
      <c r="C66" t="s">
        <v>242</v>
      </c>
      <c r="D66" t="s">
        <v>97</v>
      </c>
      <c r="E66">
        <v>0</v>
      </c>
      <c r="F66">
        <v>0</v>
      </c>
    </row>
    <row r="67" spans="2:11" x14ac:dyDescent="0.25">
      <c r="B67">
        <v>305</v>
      </c>
      <c r="C67" t="s">
        <v>243</v>
      </c>
      <c r="D67" t="s">
        <v>97</v>
      </c>
      <c r="E67">
        <v>0</v>
      </c>
      <c r="F67">
        <v>0</v>
      </c>
    </row>
    <row r="68" spans="2:11" x14ac:dyDescent="0.25">
      <c r="B68">
        <v>306</v>
      </c>
      <c r="C68" t="s">
        <v>244</v>
      </c>
      <c r="D68" t="s">
        <v>97</v>
      </c>
      <c r="E68">
        <v>-1.063796</v>
      </c>
      <c r="F68">
        <v>0</v>
      </c>
    </row>
    <row r="69" spans="2:11" x14ac:dyDescent="0.25">
      <c r="B69">
        <v>307</v>
      </c>
      <c r="C69" t="s">
        <v>245</v>
      </c>
      <c r="D69" t="s">
        <v>97</v>
      </c>
      <c r="E69">
        <v>0</v>
      </c>
      <c r="F69">
        <v>0</v>
      </c>
    </row>
    <row r="70" spans="2:11" x14ac:dyDescent="0.25">
      <c r="B70">
        <v>308</v>
      </c>
      <c r="C70" t="s">
        <v>246</v>
      </c>
      <c r="D70" t="s">
        <v>97</v>
      </c>
      <c r="E70">
        <v>0</v>
      </c>
      <c r="F70">
        <v>0</v>
      </c>
    </row>
    <row r="71" spans="2:11" x14ac:dyDescent="0.25">
      <c r="B71">
        <v>309</v>
      </c>
      <c r="C71" t="s">
        <v>247</v>
      </c>
      <c r="D71" t="s">
        <v>97</v>
      </c>
      <c r="E71">
        <v>0</v>
      </c>
      <c r="F71">
        <v>0</v>
      </c>
    </row>
    <row r="72" spans="2:11" x14ac:dyDescent="0.25">
      <c r="B72">
        <v>310</v>
      </c>
      <c r="C72" t="s">
        <v>248</v>
      </c>
      <c r="D72" t="s">
        <v>97</v>
      </c>
      <c r="E72">
        <v>0</v>
      </c>
      <c r="F72">
        <v>0</v>
      </c>
    </row>
    <row r="73" spans="2:11" x14ac:dyDescent="0.25">
      <c r="B73">
        <v>311</v>
      </c>
      <c r="C73" t="s">
        <v>249</v>
      </c>
      <c r="D73" t="s">
        <v>97</v>
      </c>
      <c r="E73">
        <v>0</v>
      </c>
      <c r="F73">
        <v>0</v>
      </c>
    </row>
    <row r="74" spans="2:11" x14ac:dyDescent="0.25">
      <c r="B74">
        <v>99</v>
      </c>
      <c r="C74" t="s">
        <v>157</v>
      </c>
      <c r="D74" t="s">
        <v>70</v>
      </c>
      <c r="E74">
        <v>0.78311080353600004</v>
      </c>
      <c r="F74" s="29">
        <v>6.7494321499999996E-2</v>
      </c>
    </row>
    <row r="75" spans="2:11" x14ac:dyDescent="0.25">
      <c r="B75">
        <v>-1</v>
      </c>
    </row>
    <row r="76" spans="2:11" x14ac:dyDescent="0.25">
      <c r="B76">
        <v>2988</v>
      </c>
      <c r="C76" s="29">
        <v>-4862.5542158400003</v>
      </c>
      <c r="D76" s="29">
        <v>-5385.7599593000004</v>
      </c>
      <c r="E76" s="29">
        <v>-3079.5241074099999</v>
      </c>
    </row>
    <row r="77" spans="2:11" x14ac:dyDescent="0.25">
      <c r="B77">
        <v>11</v>
      </c>
      <c r="C77" t="s">
        <v>253</v>
      </c>
      <c r="D77" t="s">
        <v>225</v>
      </c>
      <c r="E77">
        <v>6</v>
      </c>
      <c r="F77" t="s">
        <v>226</v>
      </c>
      <c r="G77">
        <v>17</v>
      </c>
    </row>
    <row r="78" spans="2:11" x14ac:dyDescent="0.25">
      <c r="B78">
        <v>57952</v>
      </c>
      <c r="C78">
        <v>-7620</v>
      </c>
      <c r="D78">
        <v>-21641</v>
      </c>
      <c r="E78">
        <v>0</v>
      </c>
      <c r="F78">
        <v>0</v>
      </c>
      <c r="G78">
        <v>0</v>
      </c>
      <c r="H78">
        <v>-54301</v>
      </c>
      <c r="I78">
        <v>-51114</v>
      </c>
      <c r="J78">
        <v>4975</v>
      </c>
      <c r="K78">
        <v>0</v>
      </c>
    </row>
    <row r="79" spans="2:11" x14ac:dyDescent="0.25">
      <c r="B79">
        <v>-33925</v>
      </c>
      <c r="C79">
        <v>-34266</v>
      </c>
      <c r="D79">
        <v>33256</v>
      </c>
      <c r="E79">
        <v>0</v>
      </c>
      <c r="F79">
        <v>28331</v>
      </c>
      <c r="G79">
        <v>-3871</v>
      </c>
      <c r="H79">
        <v>-2854</v>
      </c>
      <c r="I79">
        <v>-1743</v>
      </c>
      <c r="J79">
        <v>0</v>
      </c>
      <c r="K79">
        <v>9710</v>
      </c>
    </row>
    <row r="80" spans="2:11" x14ac:dyDescent="0.25">
      <c r="B80">
        <v>837</v>
      </c>
      <c r="C80">
        <v>756</v>
      </c>
      <c r="D80">
        <v>-4274</v>
      </c>
      <c r="E80">
        <v>-1715</v>
      </c>
      <c r="F80">
        <v>0</v>
      </c>
      <c r="G80">
        <v>-8710</v>
      </c>
      <c r="H80">
        <v>-6587</v>
      </c>
      <c r="I80">
        <v>22274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35111</v>
      </c>
      <c r="I81">
        <v>43921</v>
      </c>
      <c r="J81">
        <v>-3961</v>
      </c>
      <c r="K81">
        <v>0</v>
      </c>
    </row>
    <row r="82" spans="2:11" x14ac:dyDescent="0.25">
      <c r="B82">
        <v>-24832</v>
      </c>
      <c r="C82">
        <v>-86641</v>
      </c>
      <c r="D82">
        <v>-6973</v>
      </c>
      <c r="E82">
        <v>-7225</v>
      </c>
      <c r="F82">
        <v>0</v>
      </c>
      <c r="G82">
        <v>23723</v>
      </c>
      <c r="H82">
        <v>27648</v>
      </c>
      <c r="I82">
        <v>-2208</v>
      </c>
      <c r="J82">
        <v>0</v>
      </c>
      <c r="K82">
        <v>-19656</v>
      </c>
    </row>
    <row r="83" spans="2:11" x14ac:dyDescent="0.25">
      <c r="B83">
        <v>-82417</v>
      </c>
      <c r="C83">
        <v>-6944</v>
      </c>
      <c r="D83">
        <v>-18288</v>
      </c>
      <c r="E83">
        <v>0</v>
      </c>
      <c r="F83">
        <v>88465</v>
      </c>
      <c r="G83">
        <v>-693</v>
      </c>
      <c r="H83">
        <v>-13462</v>
      </c>
      <c r="I83">
        <v>94663</v>
      </c>
      <c r="J83">
        <v>0</v>
      </c>
      <c r="K83">
        <v>1404</v>
      </c>
    </row>
    <row r="84" spans="2:11" x14ac:dyDescent="0.25">
      <c r="B84">
        <v>29091</v>
      </c>
      <c r="C84">
        <v>-2714</v>
      </c>
      <c r="D84">
        <v>-2182</v>
      </c>
      <c r="E84">
        <v>0</v>
      </c>
      <c r="F84">
        <v>1817</v>
      </c>
      <c r="G84">
        <v>1155</v>
      </c>
      <c r="H84">
        <v>-26941</v>
      </c>
      <c r="I84">
        <v>-28984</v>
      </c>
      <c r="J84">
        <v>5247</v>
      </c>
      <c r="K84">
        <v>0</v>
      </c>
    </row>
    <row r="85" spans="2:11" x14ac:dyDescent="0.25">
      <c r="B85">
        <v>44288</v>
      </c>
      <c r="C85">
        <v>17989</v>
      </c>
      <c r="D85">
        <v>-1517</v>
      </c>
      <c r="E85">
        <v>-20378</v>
      </c>
      <c r="F85">
        <v>0</v>
      </c>
      <c r="G85">
        <v>-5184</v>
      </c>
      <c r="H85">
        <v>-8322</v>
      </c>
      <c r="I85">
        <v>-289</v>
      </c>
      <c r="J85">
        <v>-9371</v>
      </c>
      <c r="K85">
        <v>-18569</v>
      </c>
    </row>
    <row r="86" spans="2:11" x14ac:dyDescent="0.25">
      <c r="B86">
        <v>3861</v>
      </c>
      <c r="C86">
        <v>0</v>
      </c>
      <c r="D86">
        <v>35453</v>
      </c>
      <c r="E86">
        <v>12035</v>
      </c>
      <c r="F86">
        <v>-2305</v>
      </c>
      <c r="G86">
        <v>-21913</v>
      </c>
      <c r="H86">
        <v>0</v>
      </c>
      <c r="I86">
        <v>1629</v>
      </c>
      <c r="J86">
        <v>-3848</v>
      </c>
      <c r="K86">
        <v>1988</v>
      </c>
    </row>
    <row r="87" spans="2:11" x14ac:dyDescent="0.25">
      <c r="B87">
        <v>71658</v>
      </c>
      <c r="C87">
        <v>-803</v>
      </c>
      <c r="D87">
        <v>-13726</v>
      </c>
      <c r="E87">
        <v>94183</v>
      </c>
      <c r="F87">
        <v>0</v>
      </c>
      <c r="G87">
        <v>2240</v>
      </c>
      <c r="H87">
        <v>29193</v>
      </c>
      <c r="I87">
        <v>-2703</v>
      </c>
      <c r="J87">
        <v>-2491</v>
      </c>
      <c r="K87">
        <v>0</v>
      </c>
    </row>
    <row r="88" spans="2:11" x14ac:dyDescent="0.25">
      <c r="B88">
        <v>1823</v>
      </c>
      <c r="C88">
        <v>1016</v>
      </c>
      <c r="D88">
        <v>97226</v>
      </c>
      <c r="E88">
        <v>3889</v>
      </c>
      <c r="F88">
        <v>92</v>
      </c>
      <c r="G88">
        <v>-33193</v>
      </c>
      <c r="H88">
        <v>-30650</v>
      </c>
      <c r="I88">
        <v>3915</v>
      </c>
      <c r="J88">
        <v>0</v>
      </c>
      <c r="K88">
        <v>31111</v>
      </c>
    </row>
    <row r="89" spans="2:11" x14ac:dyDescent="0.25">
      <c r="B89">
        <v>15535</v>
      </c>
      <c r="C89">
        <v>29975</v>
      </c>
      <c r="D89">
        <v>-320</v>
      </c>
      <c r="E89">
        <v>0</v>
      </c>
      <c r="F89">
        <v>-18487</v>
      </c>
      <c r="G89">
        <v>-12772</v>
      </c>
      <c r="H89">
        <v>296</v>
      </c>
      <c r="I89">
        <v>-4227</v>
      </c>
      <c r="J89">
        <v>-12207</v>
      </c>
      <c r="K89">
        <v>288</v>
      </c>
    </row>
    <row r="90" spans="2:11" x14ac:dyDescent="0.25">
      <c r="B90">
        <v>6941</v>
      </c>
      <c r="C90">
        <v>4764</v>
      </c>
      <c r="D90">
        <v>786</v>
      </c>
      <c r="E90">
        <v>0</v>
      </c>
      <c r="F90">
        <v>-2187</v>
      </c>
      <c r="G90">
        <v>-3129</v>
      </c>
      <c r="H90">
        <v>-1756</v>
      </c>
      <c r="I90">
        <v>4931</v>
      </c>
      <c r="J90">
        <v>0</v>
      </c>
      <c r="K90">
        <v>5641</v>
      </c>
    </row>
    <row r="91" spans="2:11" x14ac:dyDescent="0.25">
      <c r="B91">
        <v>1674</v>
      </c>
      <c r="C91">
        <v>-4827</v>
      </c>
      <c r="D91">
        <v>6165</v>
      </c>
      <c r="E91">
        <v>9653</v>
      </c>
      <c r="F91">
        <v>-5274</v>
      </c>
      <c r="G91">
        <v>-9391</v>
      </c>
      <c r="H91">
        <v>-11913</v>
      </c>
      <c r="I91">
        <v>-14163</v>
      </c>
      <c r="J91">
        <v>202</v>
      </c>
      <c r="K91">
        <v>0</v>
      </c>
    </row>
    <row r="92" spans="2:11" x14ac:dyDescent="0.25">
      <c r="B92">
        <v>11851</v>
      </c>
      <c r="C92">
        <v>5937</v>
      </c>
      <c r="D92">
        <v>2266</v>
      </c>
      <c r="E92">
        <v>6656</v>
      </c>
      <c r="F92">
        <v>0</v>
      </c>
      <c r="G92">
        <v>-8013</v>
      </c>
      <c r="H92">
        <v>-6978</v>
      </c>
      <c r="I92">
        <v>-8674</v>
      </c>
      <c r="J92">
        <v>13260</v>
      </c>
      <c r="K92">
        <v>12907</v>
      </c>
    </row>
    <row r="93" spans="2:11" x14ac:dyDescent="0.25">
      <c r="B93">
        <v>-8916</v>
      </c>
      <c r="C93">
        <v>8746</v>
      </c>
      <c r="D93">
        <v>9010</v>
      </c>
      <c r="E93">
        <v>22681</v>
      </c>
      <c r="F93">
        <v>25927</v>
      </c>
      <c r="G93">
        <v>-2180</v>
      </c>
      <c r="H93">
        <v>0</v>
      </c>
      <c r="I93">
        <v>-20050</v>
      </c>
      <c r="J93">
        <v>-12782</v>
      </c>
      <c r="K93">
        <v>-2233</v>
      </c>
    </row>
    <row r="94" spans="2:11" x14ac:dyDescent="0.25">
      <c r="B94">
        <v>-1444</v>
      </c>
      <c r="C94">
        <v>0</v>
      </c>
      <c r="D94">
        <v>15439</v>
      </c>
      <c r="E94">
        <v>10033</v>
      </c>
      <c r="F94">
        <v>-1935</v>
      </c>
      <c r="G94">
        <v>-9857</v>
      </c>
      <c r="H94">
        <v>-5823</v>
      </c>
      <c r="I94">
        <v>-2030</v>
      </c>
      <c r="J94">
        <v>-11541</v>
      </c>
      <c r="K94">
        <v>6169</v>
      </c>
    </row>
    <row r="95" spans="2:11" x14ac:dyDescent="0.25">
      <c r="B95">
        <v>-1192</v>
      </c>
      <c r="C95">
        <v>42743</v>
      </c>
      <c r="D95">
        <v>26487</v>
      </c>
      <c r="E95">
        <v>61811</v>
      </c>
      <c r="F95">
        <v>0</v>
      </c>
      <c r="G95">
        <v>-11704</v>
      </c>
      <c r="H95">
        <v>3467</v>
      </c>
      <c r="I95">
        <v>-7843</v>
      </c>
      <c r="J95">
        <v>-19631</v>
      </c>
      <c r="K95">
        <v>0</v>
      </c>
    </row>
    <row r="96" spans="2:11" x14ac:dyDescent="0.25">
      <c r="B96">
        <v>33548</v>
      </c>
      <c r="C96">
        <v>17872</v>
      </c>
      <c r="D96">
        <v>67032</v>
      </c>
      <c r="E96">
        <v>15544</v>
      </c>
      <c r="F96">
        <v>24261</v>
      </c>
      <c r="G96">
        <v>67212</v>
      </c>
      <c r="H96">
        <v>-14992</v>
      </c>
      <c r="I96">
        <v>7994</v>
      </c>
      <c r="J96">
        <v>-6398</v>
      </c>
      <c r="K96">
        <v>12886</v>
      </c>
    </row>
    <row r="97" spans="2:11" x14ac:dyDescent="0.25">
      <c r="B97">
        <v>-50920</v>
      </c>
      <c r="C97">
        <v>-43868</v>
      </c>
      <c r="D97">
        <v>3817</v>
      </c>
      <c r="E97">
        <v>0</v>
      </c>
      <c r="F97">
        <v>27296</v>
      </c>
      <c r="G97">
        <v>19510</v>
      </c>
      <c r="H97">
        <v>9079</v>
      </c>
      <c r="I97">
        <v>29218</v>
      </c>
      <c r="J97">
        <v>0</v>
      </c>
      <c r="K97">
        <v>-31636</v>
      </c>
    </row>
    <row r="98" spans="2:11" x14ac:dyDescent="0.25">
      <c r="B98">
        <v>-22524</v>
      </c>
      <c r="C98">
        <v>-1739</v>
      </c>
      <c r="D98">
        <v>1881</v>
      </c>
      <c r="E98">
        <v>-8170</v>
      </c>
      <c r="F98">
        <v>-1845</v>
      </c>
      <c r="G98">
        <v>20871</v>
      </c>
      <c r="H98">
        <v>1815</v>
      </c>
      <c r="I98">
        <v>14118</v>
      </c>
      <c r="J98">
        <v>-16327</v>
      </c>
      <c r="K98">
        <v>-46710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-6989</v>
      </c>
      <c r="D101">
        <v>6004</v>
      </c>
      <c r="E101">
        <v>-3731</v>
      </c>
      <c r="F101">
        <v>0</v>
      </c>
      <c r="G101">
        <v>-9944</v>
      </c>
      <c r="H101">
        <v>-3424</v>
      </c>
      <c r="I101">
        <v>564</v>
      </c>
      <c r="J101">
        <v>7015</v>
      </c>
      <c r="K101">
        <v>0</v>
      </c>
    </row>
    <row r="102" spans="2:11" x14ac:dyDescent="0.25">
      <c r="B102">
        <v>-545</v>
      </c>
      <c r="C102">
        <v>1040</v>
      </c>
      <c r="D102">
        <v>-1596</v>
      </c>
      <c r="E102">
        <v>-19162</v>
      </c>
      <c r="F102">
        <v>-21551</v>
      </c>
      <c r="G102">
        <v>-1987</v>
      </c>
      <c r="H102">
        <v>-1963</v>
      </c>
      <c r="I102">
        <v>-8943</v>
      </c>
      <c r="J102">
        <v>-9983</v>
      </c>
      <c r="K102">
        <v>385</v>
      </c>
    </row>
    <row r="103" spans="2:11" x14ac:dyDescent="0.25">
      <c r="B103">
        <v>-22707</v>
      </c>
      <c r="C103">
        <v>-3831</v>
      </c>
      <c r="D103">
        <v>0</v>
      </c>
      <c r="E103">
        <v>-48620</v>
      </c>
      <c r="F103">
        <v>-52725</v>
      </c>
      <c r="G103">
        <v>7263</v>
      </c>
      <c r="H103">
        <v>0</v>
      </c>
      <c r="I103">
        <v>29859</v>
      </c>
      <c r="J103">
        <v>26126</v>
      </c>
      <c r="K103">
        <v>4988</v>
      </c>
    </row>
    <row r="104" spans="2:11" x14ac:dyDescent="0.25">
      <c r="B104">
        <v>4860</v>
      </c>
      <c r="C104">
        <v>0</v>
      </c>
      <c r="D104">
        <v>-40635</v>
      </c>
      <c r="E104">
        <v>-20781</v>
      </c>
      <c r="F104">
        <v>-552</v>
      </c>
      <c r="G104">
        <v>6027</v>
      </c>
      <c r="H104">
        <v>-2983</v>
      </c>
      <c r="I104">
        <v>-672</v>
      </c>
      <c r="J104">
        <v>22999</v>
      </c>
      <c r="K104">
        <v>-7472</v>
      </c>
    </row>
    <row r="105" spans="2:11" x14ac:dyDescent="0.25">
      <c r="B105">
        <v>10462</v>
      </c>
      <c r="C105">
        <v>-18330</v>
      </c>
      <c r="D105">
        <v>-43223</v>
      </c>
      <c r="E105">
        <v>29061</v>
      </c>
      <c r="F105">
        <v>0</v>
      </c>
      <c r="G105">
        <v>-25970</v>
      </c>
      <c r="H105">
        <v>-27661</v>
      </c>
      <c r="I105">
        <v>-37157</v>
      </c>
      <c r="J105">
        <v>45360</v>
      </c>
      <c r="K105">
        <v>0</v>
      </c>
    </row>
    <row r="106" spans="2:11" x14ac:dyDescent="0.25">
      <c r="B106">
        <v>24233</v>
      </c>
      <c r="C106">
        <v>29510</v>
      </c>
      <c r="D106">
        <v>2511</v>
      </c>
      <c r="E106">
        <v>1780</v>
      </c>
      <c r="F106">
        <v>0</v>
      </c>
      <c r="G106">
        <v>-20242</v>
      </c>
      <c r="H106">
        <v>-12708</v>
      </c>
      <c r="I106">
        <v>41567</v>
      </c>
      <c r="J106">
        <v>13831</v>
      </c>
      <c r="K106">
        <v>8897</v>
      </c>
    </row>
    <row r="107" spans="2:11" x14ac:dyDescent="0.25">
      <c r="B107">
        <v>41546</v>
      </c>
      <c r="C107">
        <v>15249</v>
      </c>
      <c r="D107">
        <v>-1929</v>
      </c>
      <c r="E107">
        <v>5928</v>
      </c>
      <c r="F107">
        <v>-9169</v>
      </c>
      <c r="G107">
        <v>12269</v>
      </c>
      <c r="H107">
        <v>20431</v>
      </c>
      <c r="I107">
        <v>0</v>
      </c>
      <c r="J107">
        <v>-3337</v>
      </c>
      <c r="K107">
        <v>24469</v>
      </c>
    </row>
    <row r="108" spans="2:11" x14ac:dyDescent="0.25">
      <c r="B108">
        <v>7216</v>
      </c>
      <c r="C108">
        <v>8491</v>
      </c>
      <c r="D108">
        <v>-924</v>
      </c>
      <c r="E108">
        <v>0</v>
      </c>
      <c r="F108">
        <v>-6355</v>
      </c>
      <c r="G108">
        <v>-3918</v>
      </c>
      <c r="H108">
        <v>-1897</v>
      </c>
      <c r="I108">
        <v>-309</v>
      </c>
      <c r="J108">
        <v>0</v>
      </c>
      <c r="K108">
        <v>4966</v>
      </c>
    </row>
    <row r="109" spans="2:11" x14ac:dyDescent="0.25">
      <c r="B109">
        <v>3248</v>
      </c>
      <c r="C109">
        <v>76</v>
      </c>
      <c r="D109">
        <v>-3617</v>
      </c>
      <c r="E109">
        <v>-2292</v>
      </c>
      <c r="F109">
        <v>7</v>
      </c>
      <c r="G109">
        <v>-4103</v>
      </c>
      <c r="H109">
        <v>391</v>
      </c>
      <c r="I109">
        <v>-1719</v>
      </c>
      <c r="J109">
        <v>3065</v>
      </c>
      <c r="K109">
        <v>4362</v>
      </c>
    </row>
    <row r="110" spans="2:11" x14ac:dyDescent="0.25">
      <c r="B110">
        <v>-5400</v>
      </c>
      <c r="C110">
        <v>0</v>
      </c>
      <c r="D110">
        <v>516</v>
      </c>
      <c r="E110">
        <v>-6171</v>
      </c>
      <c r="F110">
        <v>-30047</v>
      </c>
      <c r="G110">
        <v>23370</v>
      </c>
      <c r="H110">
        <v>43843</v>
      </c>
      <c r="I110">
        <v>-2306</v>
      </c>
      <c r="J110">
        <v>0</v>
      </c>
      <c r="K110">
        <v>-11448</v>
      </c>
    </row>
    <row r="111" spans="2:11" x14ac:dyDescent="0.25">
      <c r="B111">
        <v>-16172</v>
      </c>
      <c r="C111">
        <v>4248</v>
      </c>
      <c r="D111">
        <v>-16688</v>
      </c>
      <c r="E111">
        <v>0</v>
      </c>
      <c r="F111">
        <v>37002</v>
      </c>
      <c r="G111">
        <v>19405</v>
      </c>
      <c r="H111">
        <v>3506</v>
      </c>
      <c r="I111">
        <v>10333</v>
      </c>
      <c r="J111">
        <v>15576</v>
      </c>
      <c r="K111">
        <v>3778</v>
      </c>
    </row>
    <row r="112" spans="2:11" x14ac:dyDescent="0.25">
      <c r="B112">
        <v>-10540</v>
      </c>
      <c r="C112">
        <v>5450</v>
      </c>
      <c r="D112">
        <v>-7735</v>
      </c>
      <c r="E112">
        <v>6075</v>
      </c>
      <c r="F112">
        <v>41182</v>
      </c>
      <c r="G112">
        <v>-34166</v>
      </c>
      <c r="H112">
        <v>0</v>
      </c>
      <c r="I112">
        <v>-3916</v>
      </c>
      <c r="J112">
        <v>-44284</v>
      </c>
      <c r="K112">
        <v>-35043</v>
      </c>
    </row>
    <row r="113" spans="2:11" x14ac:dyDescent="0.25">
      <c r="B113">
        <v>9790</v>
      </c>
      <c r="C113">
        <v>26874</v>
      </c>
      <c r="D113">
        <v>61053</v>
      </c>
      <c r="E113">
        <v>-11409</v>
      </c>
      <c r="F113">
        <v>0</v>
      </c>
      <c r="G113">
        <v>-12680</v>
      </c>
      <c r="H113">
        <v>-20756</v>
      </c>
      <c r="I113">
        <v>7094</v>
      </c>
      <c r="J113">
        <v>-20686</v>
      </c>
      <c r="K113">
        <v>0</v>
      </c>
    </row>
    <row r="114" spans="2:11" x14ac:dyDescent="0.25">
      <c r="B114">
        <v>44280</v>
      </c>
      <c r="C114">
        <v>23084</v>
      </c>
      <c r="D114">
        <v>-4476</v>
      </c>
      <c r="E114">
        <v>13092</v>
      </c>
      <c r="F114">
        <v>19184</v>
      </c>
      <c r="G114">
        <v>-4056</v>
      </c>
      <c r="H114">
        <v>-11686</v>
      </c>
      <c r="I114">
        <v>5918</v>
      </c>
      <c r="J114">
        <v>-9228</v>
      </c>
      <c r="K114">
        <v>3838</v>
      </c>
    </row>
    <row r="115" spans="2:11" x14ac:dyDescent="0.25">
      <c r="B115">
        <v>43466</v>
      </c>
      <c r="C115">
        <v>-41063</v>
      </c>
      <c r="D115">
        <v>0</v>
      </c>
      <c r="E115">
        <v>-4153</v>
      </c>
      <c r="F115">
        <v>-52760</v>
      </c>
      <c r="G115">
        <v>-25992</v>
      </c>
      <c r="H115">
        <v>5600</v>
      </c>
      <c r="I115">
        <v>67924</v>
      </c>
      <c r="J115">
        <v>-20878</v>
      </c>
      <c r="K115">
        <v>-28011</v>
      </c>
    </row>
    <row r="116" spans="2:11" x14ac:dyDescent="0.25">
      <c r="B116">
        <v>19300</v>
      </c>
      <c r="C116">
        <v>0</v>
      </c>
      <c r="D116">
        <v>16876</v>
      </c>
      <c r="E116">
        <v>-4663</v>
      </c>
      <c r="F116">
        <v>-9688</v>
      </c>
      <c r="G116">
        <v>2962</v>
      </c>
      <c r="H116">
        <v>0</v>
      </c>
      <c r="I116">
        <v>-13446</v>
      </c>
      <c r="J116">
        <v>-5926</v>
      </c>
      <c r="K116">
        <v>17059</v>
      </c>
    </row>
    <row r="117" spans="2:11" x14ac:dyDescent="0.25">
      <c r="B117">
        <v>11256</v>
      </c>
      <c r="C117">
        <v>7441</v>
      </c>
      <c r="D117">
        <v>17082</v>
      </c>
      <c r="E117">
        <v>9131</v>
      </c>
      <c r="F117">
        <v>-861</v>
      </c>
      <c r="G117">
        <v>3498</v>
      </c>
      <c r="H117">
        <v>-4188</v>
      </c>
      <c r="I117">
        <v>3071</v>
      </c>
      <c r="J117">
        <v>11394</v>
      </c>
      <c r="K117">
        <v>0</v>
      </c>
    </row>
    <row r="118" spans="2:11" x14ac:dyDescent="0.25">
      <c r="B118">
        <v>-4226</v>
      </c>
      <c r="C118">
        <v>14221</v>
      </c>
      <c r="D118">
        <v>14470</v>
      </c>
      <c r="E118">
        <v>-1842</v>
      </c>
      <c r="F118">
        <v>-6114</v>
      </c>
      <c r="G118">
        <v>-11161</v>
      </c>
      <c r="H118">
        <v>34598</v>
      </c>
      <c r="I118">
        <v>23552</v>
      </c>
      <c r="J118">
        <v>4728</v>
      </c>
      <c r="K118">
        <v>0</v>
      </c>
    </row>
    <row r="119" spans="2:11" x14ac:dyDescent="0.25">
      <c r="B119">
        <v>-20254</v>
      </c>
      <c r="C119">
        <v>-34433</v>
      </c>
      <c r="D119">
        <v>290</v>
      </c>
      <c r="E119">
        <v>-14258</v>
      </c>
      <c r="F119">
        <v>0</v>
      </c>
      <c r="G119">
        <v>26205</v>
      </c>
      <c r="H119">
        <v>11762</v>
      </c>
      <c r="I119">
        <v>7328</v>
      </c>
      <c r="J119">
        <v>-12151</v>
      </c>
      <c r="K119">
        <v>-5646</v>
      </c>
    </row>
    <row r="120" spans="2:11" x14ac:dyDescent="0.25">
      <c r="B120">
        <v>7269</v>
      </c>
      <c r="C120">
        <v>-7734</v>
      </c>
      <c r="D120">
        <v>2881</v>
      </c>
      <c r="E120">
        <v>-4059</v>
      </c>
      <c r="F120">
        <v>10350</v>
      </c>
      <c r="G120">
        <v>21039</v>
      </c>
      <c r="H120">
        <v>-17996</v>
      </c>
      <c r="I120">
        <v>0</v>
      </c>
      <c r="J120">
        <v>-1116</v>
      </c>
      <c r="K120">
        <v>-18646</v>
      </c>
    </row>
    <row r="121" spans="2:11" x14ac:dyDescent="0.25">
      <c r="B121">
        <v>-10349</v>
      </c>
      <c r="C121">
        <v>2447</v>
      </c>
      <c r="D121">
        <v>4827</v>
      </c>
      <c r="E121">
        <v>5702</v>
      </c>
      <c r="F121">
        <v>10266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5799</v>
      </c>
      <c r="H124">
        <v>742</v>
      </c>
      <c r="I124">
        <v>1089</v>
      </c>
      <c r="J124">
        <v>0</v>
      </c>
      <c r="K124">
        <v>232</v>
      </c>
    </row>
    <row r="125" spans="2:11" x14ac:dyDescent="0.25">
      <c r="B125">
        <v>913</v>
      </c>
      <c r="C125">
        <v>-1124</v>
      </c>
      <c r="D125">
        <v>-1502</v>
      </c>
      <c r="E125">
        <v>0</v>
      </c>
      <c r="F125">
        <v>959</v>
      </c>
      <c r="G125">
        <v>437</v>
      </c>
      <c r="H125">
        <v>-558</v>
      </c>
      <c r="I125">
        <v>1809</v>
      </c>
      <c r="J125">
        <v>3819</v>
      </c>
      <c r="K125">
        <v>-512</v>
      </c>
    </row>
    <row r="126" spans="2:11" x14ac:dyDescent="0.25">
      <c r="B126">
        <v>-9350</v>
      </c>
      <c r="C126">
        <v>1748</v>
      </c>
      <c r="D126">
        <v>-1547</v>
      </c>
      <c r="E126">
        <v>727</v>
      </c>
      <c r="F126">
        <v>-15797</v>
      </c>
      <c r="G126">
        <v>7153</v>
      </c>
      <c r="H126">
        <v>0</v>
      </c>
      <c r="I126">
        <v>10785</v>
      </c>
      <c r="J126">
        <v>3897</v>
      </c>
      <c r="K126">
        <v>311</v>
      </c>
    </row>
    <row r="127" spans="2:11" x14ac:dyDescent="0.25">
      <c r="B127">
        <v>-571</v>
      </c>
      <c r="C127">
        <v>1733</v>
      </c>
      <c r="D127">
        <v>1751</v>
      </c>
      <c r="E127">
        <v>-1122</v>
      </c>
      <c r="F127">
        <v>-1629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37363</v>
      </c>
      <c r="K130">
        <v>40110</v>
      </c>
    </row>
    <row r="131" spans="2:11" x14ac:dyDescent="0.25">
      <c r="B131">
        <v>-2947</v>
      </c>
      <c r="C131">
        <v>0</v>
      </c>
      <c r="D131">
        <v>-26678</v>
      </c>
      <c r="E131">
        <v>-18165</v>
      </c>
      <c r="F131">
        <v>-3959</v>
      </c>
      <c r="G131">
        <v>-4551</v>
      </c>
      <c r="H131">
        <v>0</v>
      </c>
      <c r="I131">
        <v>27929</v>
      </c>
      <c r="J131">
        <v>16408</v>
      </c>
      <c r="K131">
        <v>-3839</v>
      </c>
    </row>
    <row r="132" spans="2:11" x14ac:dyDescent="0.25">
      <c r="B132">
        <v>-31848</v>
      </c>
      <c r="C132">
        <v>-25543</v>
      </c>
      <c r="D132">
        <v>-4391</v>
      </c>
      <c r="E132">
        <v>-27747</v>
      </c>
      <c r="F132">
        <v>5791</v>
      </c>
      <c r="G132">
        <v>-11269</v>
      </c>
      <c r="H132">
        <v>15621</v>
      </c>
      <c r="I132">
        <v>23864</v>
      </c>
      <c r="J132">
        <v>-26714</v>
      </c>
      <c r="K132">
        <v>0</v>
      </c>
    </row>
    <row r="133" spans="2:11" x14ac:dyDescent="0.25">
      <c r="B133">
        <v>3027</v>
      </c>
      <c r="C133">
        <v>-33847</v>
      </c>
      <c r="D133">
        <v>-17981</v>
      </c>
      <c r="E133">
        <v>4593</v>
      </c>
      <c r="F133">
        <v>29344</v>
      </c>
      <c r="G133">
        <v>34462</v>
      </c>
      <c r="H133">
        <v>-11013</v>
      </c>
      <c r="I133">
        <v>11352</v>
      </c>
      <c r="J133">
        <v>0</v>
      </c>
      <c r="K133">
        <v>24360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-1033</v>
      </c>
      <c r="F148">
        <v>1925</v>
      </c>
      <c r="G148">
        <v>236</v>
      </c>
      <c r="H148">
        <v>0</v>
      </c>
      <c r="I148">
        <v>923</v>
      </c>
      <c r="J148">
        <v>1448</v>
      </c>
      <c r="K148">
        <v>-54</v>
      </c>
    </row>
    <row r="149" spans="2:11" x14ac:dyDescent="0.25">
      <c r="B149">
        <v>-481</v>
      </c>
      <c r="C149">
        <v>0</v>
      </c>
      <c r="D149">
        <v>-761</v>
      </c>
      <c r="E149">
        <v>-502</v>
      </c>
      <c r="F149">
        <v>47</v>
      </c>
      <c r="G149">
        <v>599</v>
      </c>
      <c r="H149">
        <v>528</v>
      </c>
      <c r="I149">
        <v>67</v>
      </c>
      <c r="J149">
        <v>624</v>
      </c>
      <c r="K149">
        <v>-254</v>
      </c>
    </row>
    <row r="150" spans="2:11" x14ac:dyDescent="0.25">
      <c r="B150">
        <v>82</v>
      </c>
      <c r="C150">
        <v>-1182</v>
      </c>
      <c r="D150">
        <v>-481</v>
      </c>
      <c r="E150">
        <v>665</v>
      </c>
      <c r="F150">
        <v>0</v>
      </c>
      <c r="G150">
        <v>-122</v>
      </c>
      <c r="H150">
        <v>918</v>
      </c>
      <c r="I150">
        <v>25861</v>
      </c>
      <c r="J150">
        <v>3316</v>
      </c>
      <c r="K150">
        <v>4698</v>
      </c>
    </row>
    <row r="151" spans="2:11" x14ac:dyDescent="0.25">
      <c r="B151">
        <v>-299</v>
      </c>
      <c r="C151">
        <v>-1922</v>
      </c>
      <c r="D151">
        <v>-760</v>
      </c>
      <c r="E151">
        <v>0</v>
      </c>
      <c r="F151">
        <v>1066</v>
      </c>
      <c r="G151">
        <v>0</v>
      </c>
      <c r="H151">
        <v>2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5971</v>
      </c>
      <c r="D152">
        <v>6958</v>
      </c>
      <c r="E152">
        <v>10184</v>
      </c>
      <c r="F152">
        <v>0</v>
      </c>
      <c r="G152">
        <v>-4713</v>
      </c>
      <c r="H152">
        <v>-1888</v>
      </c>
      <c r="I152">
        <v>-1636</v>
      </c>
      <c r="J152">
        <v>-2609</v>
      </c>
      <c r="K152">
        <v>0</v>
      </c>
    </row>
    <row r="153" spans="2:11" x14ac:dyDescent="0.25">
      <c r="B153">
        <v>5960</v>
      </c>
      <c r="C153">
        <v>3405</v>
      </c>
      <c r="D153">
        <v>10895</v>
      </c>
      <c r="E153">
        <v>-1742</v>
      </c>
      <c r="F153">
        <v>-697</v>
      </c>
      <c r="G153">
        <v>10820</v>
      </c>
      <c r="H153">
        <v>-3682</v>
      </c>
      <c r="I153">
        <v>1115</v>
      </c>
      <c r="J153">
        <v>-1406</v>
      </c>
      <c r="K153">
        <v>8832</v>
      </c>
    </row>
    <row r="154" spans="2:11" x14ac:dyDescent="0.25">
      <c r="B154">
        <v>12448</v>
      </c>
      <c r="C154">
        <v>-6177</v>
      </c>
      <c r="D154">
        <v>0</v>
      </c>
      <c r="E154">
        <v>-884</v>
      </c>
      <c r="F154">
        <v>-5497</v>
      </c>
      <c r="G154">
        <v>-55455</v>
      </c>
      <c r="H154">
        <v>1159</v>
      </c>
      <c r="I154">
        <v>-21048</v>
      </c>
      <c r="J154">
        <v>2160</v>
      </c>
      <c r="K154">
        <v>2951</v>
      </c>
    </row>
    <row r="155" spans="2:11" x14ac:dyDescent="0.25">
      <c r="B155">
        <v>10043</v>
      </c>
      <c r="C155">
        <v>0</v>
      </c>
      <c r="D155">
        <v>156</v>
      </c>
      <c r="E155">
        <v>0</v>
      </c>
      <c r="F155">
        <v>5012</v>
      </c>
      <c r="G155">
        <v>0</v>
      </c>
      <c r="H155">
        <v>0</v>
      </c>
      <c r="I155">
        <v>0</v>
      </c>
      <c r="J155">
        <v>0</v>
      </c>
      <c r="K155">
        <v>-46600</v>
      </c>
    </row>
    <row r="156" spans="2:11" x14ac:dyDescent="0.25">
      <c r="B156">
        <v>9385</v>
      </c>
      <c r="C156">
        <v>10491</v>
      </c>
      <c r="D156">
        <v>80301</v>
      </c>
      <c r="E156">
        <v>0</v>
      </c>
      <c r="F156">
        <v>-7825</v>
      </c>
      <c r="G156">
        <v>19407</v>
      </c>
      <c r="H156">
        <v>-2626</v>
      </c>
      <c r="I156">
        <v>-3274</v>
      </c>
      <c r="J156">
        <v>0</v>
      </c>
      <c r="K156">
        <v>9216</v>
      </c>
    </row>
    <row r="157" spans="2:11" x14ac:dyDescent="0.25">
      <c r="B157">
        <v>5778</v>
      </c>
      <c r="C157">
        <v>81526</v>
      </c>
      <c r="D157">
        <v>-3046</v>
      </c>
      <c r="E157">
        <v>-1340</v>
      </c>
      <c r="F157">
        <v>81039</v>
      </c>
      <c r="G157">
        <v>-4970</v>
      </c>
      <c r="H157">
        <v>2660</v>
      </c>
      <c r="I157">
        <v>-3397</v>
      </c>
      <c r="J157">
        <v>20499</v>
      </c>
      <c r="K157">
        <v>63896</v>
      </c>
    </row>
    <row r="158" spans="2:11" x14ac:dyDescent="0.25">
      <c r="B158">
        <v>-9355</v>
      </c>
      <c r="C158">
        <v>0</v>
      </c>
      <c r="D158">
        <v>-2670</v>
      </c>
      <c r="E158">
        <v>-8968</v>
      </c>
      <c r="F158">
        <v>31247</v>
      </c>
      <c r="G158">
        <v>1623</v>
      </c>
      <c r="H158">
        <v>6031</v>
      </c>
      <c r="I158">
        <v>-12830</v>
      </c>
      <c r="J158">
        <v>13211</v>
      </c>
      <c r="K158">
        <v>13759</v>
      </c>
    </row>
    <row r="159" spans="2:11" x14ac:dyDescent="0.25">
      <c r="B159">
        <v>0</v>
      </c>
      <c r="C159">
        <v>1562</v>
      </c>
      <c r="D159">
        <v>0</v>
      </c>
      <c r="E159">
        <v>9556</v>
      </c>
      <c r="F159">
        <v>0</v>
      </c>
      <c r="G159">
        <v>0</v>
      </c>
      <c r="H159">
        <v>0</v>
      </c>
      <c r="I159">
        <v>0</v>
      </c>
      <c r="J159">
        <v>936</v>
      </c>
      <c r="K159">
        <v>15543</v>
      </c>
    </row>
    <row r="160" spans="2:11" x14ac:dyDescent="0.25">
      <c r="B160">
        <v>-71926</v>
      </c>
      <c r="C160">
        <v>-82067</v>
      </c>
      <c r="D160">
        <v>9365</v>
      </c>
      <c r="E160">
        <v>0</v>
      </c>
      <c r="F160">
        <v>63439</v>
      </c>
      <c r="G160">
        <v>41003</v>
      </c>
      <c r="H160">
        <v>7400</v>
      </c>
      <c r="I160">
        <v>4257</v>
      </c>
      <c r="J160">
        <v>0</v>
      </c>
      <c r="K160">
        <v>-52777</v>
      </c>
    </row>
    <row r="161" spans="2:11" x14ac:dyDescent="0.25">
      <c r="B161">
        <v>-33991</v>
      </c>
      <c r="C161">
        <v>-668</v>
      </c>
      <c r="D161">
        <v>35795</v>
      </c>
      <c r="E161">
        <v>22954</v>
      </c>
      <c r="F161">
        <v>-52</v>
      </c>
      <c r="G161">
        <v>39007</v>
      </c>
      <c r="H161">
        <v>-6602</v>
      </c>
      <c r="I161">
        <v>17263</v>
      </c>
      <c r="J161">
        <v>-30573</v>
      </c>
      <c r="K161">
        <v>-42524</v>
      </c>
    </row>
    <row r="162" spans="2:11" x14ac:dyDescent="0.25">
      <c r="B162">
        <v>52939</v>
      </c>
      <c r="C162">
        <v>0</v>
      </c>
      <c r="D162">
        <v>-6668</v>
      </c>
      <c r="E162">
        <v>63181</v>
      </c>
      <c r="F162">
        <v>37708</v>
      </c>
      <c r="G162">
        <v>-9660</v>
      </c>
      <c r="H162">
        <v>-49519</v>
      </c>
      <c r="I162">
        <v>-58501</v>
      </c>
      <c r="J162">
        <v>21824</v>
      </c>
      <c r="K162">
        <v>-26186</v>
      </c>
    </row>
    <row r="163" spans="2:11" x14ac:dyDescent="0.25">
      <c r="B163">
        <v>0</v>
      </c>
      <c r="C163">
        <v>-1063</v>
      </c>
      <c r="D163">
        <v>0</v>
      </c>
      <c r="E163">
        <v>-48243</v>
      </c>
      <c r="F163">
        <v>0</v>
      </c>
      <c r="G163">
        <v>0</v>
      </c>
      <c r="H163">
        <v>0</v>
      </c>
      <c r="I163">
        <v>0</v>
      </c>
      <c r="J163">
        <v>1490</v>
      </c>
      <c r="K163">
        <v>-8597</v>
      </c>
    </row>
    <row r="164" spans="2:11" x14ac:dyDescent="0.25">
      <c r="B164">
        <v>-15228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FFFF00"/>
  </sheetPr>
  <dimension ref="A1:K41"/>
  <sheetViews>
    <sheetView workbookViewId="0">
      <selection activeCell="A8" sqref="A8:K41"/>
    </sheetView>
  </sheetViews>
  <sheetFormatPr defaultRowHeight="15" x14ac:dyDescent="0.25"/>
  <sheetData>
    <row r="1" spans="1:11" x14ac:dyDescent="0.25">
      <c r="A1" s="46" t="s">
        <v>211</v>
      </c>
      <c r="B1" s="42"/>
      <c r="C1" s="42"/>
      <c r="D1" s="42"/>
      <c r="E1" s="42"/>
      <c r="F1" s="42"/>
      <c r="G1" s="42"/>
      <c r="H1" s="42" t="s">
        <v>212</v>
      </c>
      <c r="I1" s="42"/>
      <c r="J1" s="42"/>
      <c r="K1" s="42"/>
    </row>
    <row r="2" spans="1:11" x14ac:dyDescent="0.25">
      <c r="A2" s="42">
        <v>1</v>
      </c>
      <c r="B2" s="42" t="s">
        <v>254</v>
      </c>
      <c r="C2" s="42"/>
      <c r="D2" s="42"/>
      <c r="E2" s="42"/>
      <c r="F2" s="42"/>
      <c r="G2" s="42"/>
      <c r="H2" s="42"/>
      <c r="I2" s="42"/>
      <c r="J2" s="42"/>
      <c r="K2" s="42"/>
    </row>
    <row r="3" spans="1:11" x14ac:dyDescent="0.25">
      <c r="A3" s="42">
        <v>2</v>
      </c>
      <c r="B3" s="42" t="s">
        <v>214</v>
      </c>
      <c r="C3" s="42"/>
      <c r="D3" s="42"/>
      <c r="E3" s="42"/>
      <c r="F3" s="42"/>
      <c r="G3" s="42"/>
      <c r="H3" s="42"/>
      <c r="I3" s="42"/>
      <c r="J3" s="42"/>
      <c r="K3" s="42"/>
    </row>
    <row r="4" spans="1:11" x14ac:dyDescent="0.25">
      <c r="A4" s="42">
        <v>3</v>
      </c>
      <c r="B4" s="42" t="s">
        <v>215</v>
      </c>
      <c r="C4" s="42"/>
      <c r="D4" s="42"/>
      <c r="E4" s="42"/>
      <c r="F4" s="42"/>
      <c r="G4" s="42"/>
      <c r="H4" s="42"/>
      <c r="I4" s="42"/>
      <c r="J4" s="42"/>
      <c r="K4" s="42"/>
    </row>
    <row r="5" spans="1:11" x14ac:dyDescent="0.25">
      <c r="A5" s="42">
        <v>4</v>
      </c>
      <c r="B5" s="42" t="s">
        <v>216</v>
      </c>
      <c r="C5" s="42"/>
      <c r="D5" s="42"/>
      <c r="E5" s="42"/>
      <c r="F5" s="42"/>
      <c r="G5" s="42"/>
      <c r="H5" s="42"/>
      <c r="I5" s="42"/>
      <c r="J5" s="42"/>
      <c r="K5" s="42"/>
    </row>
    <row r="6" spans="1:1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</row>
    <row r="8" spans="1:11" x14ac:dyDescent="0.25">
      <c r="A8" t="s">
        <v>255</v>
      </c>
      <c r="B8" t="s">
        <v>218</v>
      </c>
      <c r="C8" t="s">
        <v>219</v>
      </c>
      <c r="D8" t="s">
        <v>220</v>
      </c>
    </row>
    <row r="9" spans="1:11" x14ac:dyDescent="0.25">
      <c r="A9" t="s">
        <v>221</v>
      </c>
      <c r="B9" t="s">
        <v>222</v>
      </c>
      <c r="C9" t="s">
        <v>223</v>
      </c>
      <c r="D9" t="s">
        <v>224</v>
      </c>
      <c r="E9">
        <v>4</v>
      </c>
      <c r="F9" s="40">
        <v>0.55592592592592593</v>
      </c>
      <c r="G9" t="s">
        <v>225</v>
      </c>
      <c r="H9">
        <v>1</v>
      </c>
      <c r="I9" t="s">
        <v>256</v>
      </c>
      <c r="J9">
        <v>13</v>
      </c>
    </row>
    <row r="10" spans="1:11" x14ac:dyDescent="0.25">
      <c r="A10" t="s">
        <v>227</v>
      </c>
    </row>
    <row r="11" spans="1:11" x14ac:dyDescent="0.25">
      <c r="B11">
        <v>2</v>
      </c>
      <c r="C11" t="s">
        <v>74</v>
      </c>
      <c r="D11" t="s">
        <v>70</v>
      </c>
      <c r="E11">
        <v>2.5944321850000001</v>
      </c>
      <c r="F11">
        <v>0.121537711752</v>
      </c>
    </row>
    <row r="12" spans="1:11" x14ac:dyDescent="0.25">
      <c r="B12">
        <v>30</v>
      </c>
      <c r="C12" t="s">
        <v>84</v>
      </c>
      <c r="D12" t="s">
        <v>70</v>
      </c>
      <c r="E12">
        <v>-1.160280357</v>
      </c>
      <c r="F12">
        <v>0.31954551805600001</v>
      </c>
    </row>
    <row r="13" spans="1:11" x14ac:dyDescent="0.25">
      <c r="B13">
        <v>31</v>
      </c>
      <c r="C13" t="s">
        <v>88</v>
      </c>
      <c r="D13" t="s">
        <v>70</v>
      </c>
      <c r="E13">
        <v>1.335394824</v>
      </c>
      <c r="F13" s="29">
        <v>7.57384490262E-2</v>
      </c>
    </row>
    <row r="14" spans="1:11" x14ac:dyDescent="0.25">
      <c r="B14">
        <v>32</v>
      </c>
      <c r="C14" t="s">
        <v>94</v>
      </c>
      <c r="D14" t="s">
        <v>70</v>
      </c>
      <c r="E14">
        <v>0.52987540499999997</v>
      </c>
      <c r="F14" s="29">
        <v>4.1777237341099997E-2</v>
      </c>
    </row>
    <row r="15" spans="1:11" x14ac:dyDescent="0.25">
      <c r="B15">
        <v>33</v>
      </c>
      <c r="C15" t="s">
        <v>103</v>
      </c>
      <c r="D15" t="s">
        <v>70</v>
      </c>
      <c r="E15" s="29">
        <v>0.276830511</v>
      </c>
      <c r="F15">
        <v>0.106871305268</v>
      </c>
    </row>
    <row r="16" spans="1:11" x14ac:dyDescent="0.25">
      <c r="B16">
        <v>40</v>
      </c>
      <c r="C16" t="s">
        <v>107</v>
      </c>
      <c r="D16" t="s">
        <v>70</v>
      </c>
      <c r="E16">
        <v>-2.5111504E-2</v>
      </c>
      <c r="F16">
        <v>0.32242089310900002</v>
      </c>
    </row>
    <row r="17" spans="2:11" x14ac:dyDescent="0.25">
      <c r="B17">
        <v>41</v>
      </c>
      <c r="C17" t="s">
        <v>111</v>
      </c>
      <c r="D17" t="s">
        <v>97</v>
      </c>
      <c r="E17">
        <v>-5.9139999999999997</v>
      </c>
      <c r="F17">
        <v>0</v>
      </c>
    </row>
    <row r="18" spans="2:11" x14ac:dyDescent="0.25">
      <c r="B18">
        <v>42</v>
      </c>
      <c r="C18" t="s">
        <v>117</v>
      </c>
      <c r="D18" t="s">
        <v>70</v>
      </c>
      <c r="E18" s="29">
        <v>1.7160893999999999E-2</v>
      </c>
      <c r="F18">
        <v>0.102197155318</v>
      </c>
    </row>
    <row r="19" spans="2:11" x14ac:dyDescent="0.25">
      <c r="B19">
        <v>50</v>
      </c>
      <c r="C19" t="s">
        <v>123</v>
      </c>
      <c r="D19" t="s">
        <v>97</v>
      </c>
      <c r="E19">
        <v>-8.5658758939999995</v>
      </c>
      <c r="F19">
        <v>0</v>
      </c>
    </row>
    <row r="20" spans="2:11" x14ac:dyDescent="0.25">
      <c r="B20">
        <v>60</v>
      </c>
      <c r="C20" t="s">
        <v>129</v>
      </c>
      <c r="D20" t="s">
        <v>97</v>
      </c>
      <c r="E20">
        <v>-10.566358470000001</v>
      </c>
      <c r="F20">
        <v>0</v>
      </c>
    </row>
    <row r="21" spans="2:11" x14ac:dyDescent="0.25">
      <c r="B21">
        <v>73</v>
      </c>
      <c r="C21" t="s">
        <v>136</v>
      </c>
      <c r="D21" t="s">
        <v>70</v>
      </c>
      <c r="E21">
        <v>-2.002935812</v>
      </c>
      <c r="F21">
        <v>0.46528308622499998</v>
      </c>
    </row>
    <row r="22" spans="2:11" x14ac:dyDescent="0.25">
      <c r="B22">
        <v>76</v>
      </c>
      <c r="C22" t="s">
        <v>140</v>
      </c>
      <c r="D22" t="s">
        <v>97</v>
      </c>
      <c r="E22" s="29">
        <v>0</v>
      </c>
      <c r="F22" s="29">
        <v>0</v>
      </c>
    </row>
    <row r="23" spans="2:11" x14ac:dyDescent="0.25">
      <c r="B23">
        <v>81</v>
      </c>
      <c r="C23" t="s">
        <v>144</v>
      </c>
      <c r="D23" t="s">
        <v>70</v>
      </c>
      <c r="E23">
        <v>0.55040750800000005</v>
      </c>
      <c r="F23">
        <v>0.200151546352</v>
      </c>
    </row>
    <row r="24" spans="2:11" x14ac:dyDescent="0.25">
      <c r="B24">
        <v>82</v>
      </c>
      <c r="C24" t="s">
        <v>148</v>
      </c>
      <c r="D24" t="s">
        <v>70</v>
      </c>
      <c r="E24" s="29">
        <v>0.55327396100000004</v>
      </c>
      <c r="F24">
        <v>0.13971981922000001</v>
      </c>
    </row>
    <row r="25" spans="2:11" x14ac:dyDescent="0.25">
      <c r="B25">
        <v>83</v>
      </c>
      <c r="C25" t="s">
        <v>152</v>
      </c>
      <c r="D25" t="s">
        <v>70</v>
      </c>
      <c r="E25">
        <v>-3.0048826470000001</v>
      </c>
      <c r="F25">
        <v>0.93082185257600003</v>
      </c>
    </row>
    <row r="26" spans="2:11" x14ac:dyDescent="0.25">
      <c r="B26">
        <v>999</v>
      </c>
      <c r="C26" t="s">
        <v>257</v>
      </c>
      <c r="D26" t="s">
        <v>70</v>
      </c>
      <c r="E26">
        <v>0.541504192</v>
      </c>
      <c r="F26" s="29">
        <v>2.7348360382299999E-2</v>
      </c>
    </row>
    <row r="27" spans="2:11" x14ac:dyDescent="0.25">
      <c r="B27">
        <v>-1</v>
      </c>
      <c r="C27" s="29"/>
      <c r="D27" s="29"/>
      <c r="E27" s="29"/>
    </row>
    <row r="28" spans="2:11" x14ac:dyDescent="0.25">
      <c r="B28">
        <v>3459</v>
      </c>
      <c r="C28" s="29">
        <v>-3308.4146490799999</v>
      </c>
      <c r="D28" s="29">
        <v>-5262.7241615299999</v>
      </c>
      <c r="E28" s="29">
        <v>-2794.0832923600001</v>
      </c>
    </row>
    <row r="29" spans="2:11" x14ac:dyDescent="0.25">
      <c r="B29">
        <v>14</v>
      </c>
      <c r="C29" t="s">
        <v>258</v>
      </c>
      <c r="D29" t="s">
        <v>225</v>
      </c>
      <c r="E29">
        <v>1</v>
      </c>
      <c r="F29" t="s">
        <v>256</v>
      </c>
      <c r="G29">
        <v>13</v>
      </c>
    </row>
    <row r="30" spans="2:11" x14ac:dyDescent="0.25">
      <c r="B30">
        <v>11726</v>
      </c>
      <c r="C30">
        <v>4532</v>
      </c>
      <c r="D30">
        <v>-1929</v>
      </c>
      <c r="E30">
        <v>6014</v>
      </c>
      <c r="F30">
        <v>-3328</v>
      </c>
      <c r="G30">
        <v>18324</v>
      </c>
      <c r="H30">
        <v>1673</v>
      </c>
      <c r="I30">
        <v>-3560</v>
      </c>
      <c r="J30">
        <v>19405</v>
      </c>
      <c r="K30">
        <v>2150</v>
      </c>
    </row>
    <row r="31" spans="2:11" x14ac:dyDescent="0.25">
      <c r="B31">
        <v>13344</v>
      </c>
      <c r="C31">
        <v>97546</v>
      </c>
      <c r="D31">
        <v>8728</v>
      </c>
      <c r="E31">
        <v>11633</v>
      </c>
      <c r="F31">
        <v>1423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2:11" x14ac:dyDescent="0.25">
      <c r="B32">
        <v>0</v>
      </c>
      <c r="C32">
        <v>-931</v>
      </c>
      <c r="D32">
        <v>-125</v>
      </c>
      <c r="E32">
        <v>-6387</v>
      </c>
      <c r="F32">
        <v>-17532</v>
      </c>
      <c r="G32">
        <v>35540</v>
      </c>
      <c r="H32">
        <v>-7738</v>
      </c>
      <c r="I32">
        <v>0</v>
      </c>
      <c r="J32">
        <v>0</v>
      </c>
      <c r="K32">
        <v>0</v>
      </c>
    </row>
    <row r="33" spans="2:11" x14ac:dyDescent="0.25"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2:11" x14ac:dyDescent="0.25">
      <c r="B34">
        <v>0</v>
      </c>
      <c r="C34">
        <v>0</v>
      </c>
      <c r="D34">
        <v>0</v>
      </c>
      <c r="E34">
        <v>0</v>
      </c>
      <c r="F34">
        <v>0</v>
      </c>
      <c r="G34">
        <v>23808</v>
      </c>
      <c r="H34">
        <v>29041</v>
      </c>
      <c r="I34">
        <v>1513</v>
      </c>
      <c r="J34">
        <v>1574</v>
      </c>
      <c r="K34">
        <v>119</v>
      </c>
    </row>
    <row r="35" spans="2:11" x14ac:dyDescent="0.25">
      <c r="B35">
        <v>29336</v>
      </c>
      <c r="C35">
        <v>0</v>
      </c>
      <c r="D35">
        <v>-572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2:11" x14ac:dyDescent="0.25"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27308</v>
      </c>
      <c r="I36">
        <v>42087</v>
      </c>
      <c r="J36">
        <v>30683</v>
      </c>
      <c r="K36">
        <v>6687</v>
      </c>
    </row>
    <row r="37" spans="2:11" x14ac:dyDescent="0.25">
      <c r="B37">
        <v>3868</v>
      </c>
      <c r="C37">
        <v>44673</v>
      </c>
      <c r="D37">
        <v>0</v>
      </c>
      <c r="E37">
        <v>-2559</v>
      </c>
      <c r="F37">
        <v>0</v>
      </c>
      <c r="G37">
        <v>0</v>
      </c>
      <c r="H37">
        <v>23824</v>
      </c>
      <c r="I37">
        <v>0</v>
      </c>
      <c r="J37">
        <v>36859</v>
      </c>
      <c r="K37">
        <v>66991</v>
      </c>
    </row>
    <row r="38" spans="2:11" x14ac:dyDescent="0.25">
      <c r="B38">
        <v>5291</v>
      </c>
      <c r="C38">
        <v>21220</v>
      </c>
      <c r="D38">
        <v>-1131</v>
      </c>
      <c r="E38">
        <v>69629</v>
      </c>
      <c r="F38">
        <v>0</v>
      </c>
      <c r="G38">
        <v>-5818</v>
      </c>
      <c r="H38">
        <v>0</v>
      </c>
      <c r="I38">
        <v>0</v>
      </c>
      <c r="J38">
        <v>24833</v>
      </c>
      <c r="K38">
        <v>0</v>
      </c>
    </row>
    <row r="39" spans="2:11" x14ac:dyDescent="0.25">
      <c r="B39">
        <v>21394</v>
      </c>
      <c r="C39">
        <v>7921</v>
      </c>
      <c r="D39">
        <v>-1728</v>
      </c>
      <c r="E39">
        <v>424</v>
      </c>
      <c r="F39">
        <v>-1132</v>
      </c>
      <c r="G39">
        <v>5654</v>
      </c>
      <c r="H39">
        <v>-1706</v>
      </c>
      <c r="I39">
        <v>0</v>
      </c>
      <c r="J39">
        <v>3721</v>
      </c>
      <c r="K39">
        <v>0</v>
      </c>
    </row>
    <row r="40" spans="2:11" x14ac:dyDescent="0.25">
      <c r="B40">
        <v>0</v>
      </c>
      <c r="C40">
        <v>3387</v>
      </c>
      <c r="D40">
        <v>0</v>
      </c>
      <c r="E40">
        <v>7339</v>
      </c>
      <c r="F40">
        <v>-1268</v>
      </c>
      <c r="G40">
        <v>-7542</v>
      </c>
      <c r="H40">
        <v>-73284</v>
      </c>
      <c r="I40">
        <v>-5351</v>
      </c>
      <c r="J40">
        <v>-6321</v>
      </c>
      <c r="K40">
        <v>-2684</v>
      </c>
    </row>
    <row r="41" spans="2:11" x14ac:dyDescent="0.25">
      <c r="B41">
        <v>-73910</v>
      </c>
      <c r="C41">
        <v>0</v>
      </c>
      <c r="D41">
        <v>-60</v>
      </c>
      <c r="E41">
        <v>0</v>
      </c>
      <c r="F41">
        <v>0</v>
      </c>
      <c r="G41">
        <v>-6825</v>
      </c>
      <c r="H41">
        <v>0</v>
      </c>
      <c r="I41">
        <v>-18867</v>
      </c>
      <c r="J41">
        <v>-37193</v>
      </c>
      <c r="K41">
        <v>12812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FFFF00"/>
  </sheetPr>
  <dimension ref="A1:K180"/>
  <sheetViews>
    <sheetView workbookViewId="0">
      <selection activeCell="A8" sqref="A8:K180"/>
    </sheetView>
  </sheetViews>
  <sheetFormatPr defaultRowHeight="15" x14ac:dyDescent="0.25"/>
  <sheetData>
    <row r="1" spans="1:11" x14ac:dyDescent="0.25">
      <c r="A1" s="46" t="s">
        <v>211</v>
      </c>
      <c r="B1" s="42"/>
      <c r="C1" s="42"/>
      <c r="D1" s="42"/>
      <c r="E1" s="42"/>
      <c r="F1" s="42"/>
      <c r="G1" s="42"/>
      <c r="H1" s="42" t="s">
        <v>212</v>
      </c>
      <c r="I1" s="42"/>
      <c r="J1" s="42"/>
      <c r="K1" s="42"/>
    </row>
    <row r="2" spans="1:11" x14ac:dyDescent="0.25">
      <c r="A2" s="42">
        <v>1</v>
      </c>
      <c r="B2" s="42" t="s">
        <v>259</v>
      </c>
      <c r="C2" s="42"/>
      <c r="D2" s="42"/>
      <c r="E2" s="42"/>
      <c r="F2" s="42"/>
      <c r="G2" s="42"/>
      <c r="H2" s="42"/>
      <c r="I2" s="42"/>
      <c r="J2" s="42"/>
      <c r="K2" s="42"/>
    </row>
    <row r="3" spans="1:11" x14ac:dyDescent="0.25">
      <c r="A3" s="42">
        <v>2</v>
      </c>
      <c r="B3" s="42" t="s">
        <v>214</v>
      </c>
      <c r="C3" s="42"/>
      <c r="D3" s="42"/>
      <c r="E3" s="42"/>
      <c r="F3" s="42"/>
      <c r="G3" s="42"/>
      <c r="H3" s="42"/>
      <c r="I3" s="42"/>
      <c r="J3" s="42"/>
      <c r="K3" s="42"/>
    </row>
    <row r="4" spans="1:11" x14ac:dyDescent="0.25">
      <c r="A4" s="42">
        <v>3</v>
      </c>
      <c r="B4" s="42" t="s">
        <v>215</v>
      </c>
      <c r="C4" s="42"/>
      <c r="D4" s="42"/>
      <c r="E4" s="42"/>
      <c r="F4" s="42"/>
      <c r="G4" s="42"/>
      <c r="H4" s="42"/>
      <c r="I4" s="42"/>
      <c r="J4" s="42"/>
      <c r="K4" s="42"/>
    </row>
    <row r="5" spans="1:11" x14ac:dyDescent="0.25">
      <c r="A5" s="42">
        <v>4</v>
      </c>
      <c r="B5" s="42" t="s">
        <v>216</v>
      </c>
      <c r="C5" s="42"/>
      <c r="D5" s="42"/>
      <c r="E5" s="42"/>
      <c r="F5" s="42"/>
      <c r="G5" s="42"/>
      <c r="H5" s="42"/>
      <c r="I5" s="42"/>
      <c r="J5" s="42"/>
      <c r="K5" s="42"/>
    </row>
    <row r="6" spans="1:1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</row>
    <row r="8" spans="1:11" x14ac:dyDescent="0.25">
      <c r="A8" t="s">
        <v>260</v>
      </c>
      <c r="B8" t="s">
        <v>261</v>
      </c>
      <c r="C8" t="s">
        <v>218</v>
      </c>
      <c r="D8" t="s">
        <v>219</v>
      </c>
      <c r="E8" t="s">
        <v>220</v>
      </c>
    </row>
    <row r="9" spans="1:11" x14ac:dyDescent="0.25">
      <c r="A9" t="s">
        <v>221</v>
      </c>
      <c r="B9" t="s">
        <v>222</v>
      </c>
      <c r="C9" t="s">
        <v>223</v>
      </c>
      <c r="D9" t="s">
        <v>224</v>
      </c>
      <c r="E9">
        <v>4</v>
      </c>
      <c r="F9" s="40">
        <v>0.45232638888888888</v>
      </c>
      <c r="G9" t="s">
        <v>225</v>
      </c>
      <c r="H9">
        <v>6</v>
      </c>
      <c r="I9" t="s">
        <v>226</v>
      </c>
      <c r="J9">
        <v>17</v>
      </c>
    </row>
    <row r="10" spans="1:11" x14ac:dyDescent="0.25">
      <c r="A10" t="s">
        <v>227</v>
      </c>
    </row>
    <row r="11" spans="1:11" x14ac:dyDescent="0.25">
      <c r="B11">
        <v>1</v>
      </c>
      <c r="C11" t="s">
        <v>69</v>
      </c>
      <c r="D11" t="s">
        <v>70</v>
      </c>
      <c r="E11">
        <v>0.46184606099999997</v>
      </c>
      <c r="F11" s="29">
        <v>7.4326487376599998E-2</v>
      </c>
    </row>
    <row r="12" spans="1:11" x14ac:dyDescent="0.25">
      <c r="B12">
        <v>2</v>
      </c>
      <c r="C12" t="s">
        <v>74</v>
      </c>
      <c r="D12" t="s">
        <v>70</v>
      </c>
      <c r="E12">
        <v>0.65961163700000003</v>
      </c>
      <c r="F12" s="29">
        <v>3.57174532657E-2</v>
      </c>
    </row>
    <row r="13" spans="1:11" x14ac:dyDescent="0.25">
      <c r="B13">
        <v>20</v>
      </c>
      <c r="C13" t="s">
        <v>91</v>
      </c>
      <c r="D13" t="s">
        <v>70</v>
      </c>
      <c r="E13">
        <v>-3.2974451419999999</v>
      </c>
      <c r="F13">
        <v>0.36431753467099998</v>
      </c>
    </row>
    <row r="14" spans="1:11" x14ac:dyDescent="0.25">
      <c r="B14">
        <v>21</v>
      </c>
      <c r="C14" t="s">
        <v>100</v>
      </c>
      <c r="D14" t="s">
        <v>70</v>
      </c>
      <c r="E14">
        <v>1.591760566</v>
      </c>
      <c r="F14">
        <v>0.182769557926</v>
      </c>
    </row>
    <row r="15" spans="1:11" x14ac:dyDescent="0.25">
      <c r="B15">
        <v>30</v>
      </c>
      <c r="C15" t="s">
        <v>84</v>
      </c>
      <c r="D15" t="s">
        <v>70</v>
      </c>
      <c r="E15">
        <v>-1.911034796</v>
      </c>
      <c r="F15">
        <v>0.159066664518</v>
      </c>
    </row>
    <row r="16" spans="1:11" x14ac:dyDescent="0.25">
      <c r="B16">
        <v>31</v>
      </c>
      <c r="C16" t="s">
        <v>109</v>
      </c>
      <c r="D16" t="s">
        <v>70</v>
      </c>
      <c r="E16">
        <v>0.51412339799999995</v>
      </c>
      <c r="F16" s="29">
        <v>8.2478811738099997E-2</v>
      </c>
    </row>
    <row r="17" spans="2:6" x14ac:dyDescent="0.25">
      <c r="B17">
        <v>32</v>
      </c>
      <c r="C17" t="s">
        <v>112</v>
      </c>
      <c r="D17" t="s">
        <v>70</v>
      </c>
      <c r="E17">
        <v>0.22481870400000001</v>
      </c>
      <c r="F17" s="29">
        <v>6.4725020359900007E-2</v>
      </c>
    </row>
    <row r="18" spans="2:6" x14ac:dyDescent="0.25">
      <c r="B18">
        <v>34</v>
      </c>
      <c r="C18" t="s">
        <v>118</v>
      </c>
      <c r="D18" t="s">
        <v>70</v>
      </c>
      <c r="E18">
        <v>0.113320322</v>
      </c>
      <c r="F18" s="29">
        <v>4.5464323547000002E-2</v>
      </c>
    </row>
    <row r="19" spans="2:6" x14ac:dyDescent="0.25">
      <c r="B19">
        <v>35</v>
      </c>
      <c r="C19" t="s">
        <v>124</v>
      </c>
      <c r="D19" t="s">
        <v>70</v>
      </c>
      <c r="E19">
        <v>0.15232257399999999</v>
      </c>
      <c r="F19" s="29">
        <v>3.3780747199699999E-2</v>
      </c>
    </row>
    <row r="20" spans="2:6" x14ac:dyDescent="0.25">
      <c r="B20">
        <v>38</v>
      </c>
      <c r="C20" t="s">
        <v>130</v>
      </c>
      <c r="D20" t="s">
        <v>70</v>
      </c>
      <c r="E20">
        <v>-2.7924179320000002</v>
      </c>
      <c r="F20">
        <v>0.18268823407599999</v>
      </c>
    </row>
    <row r="21" spans="2:6" x14ac:dyDescent="0.25">
      <c r="B21">
        <v>39</v>
      </c>
      <c r="C21" t="s">
        <v>138</v>
      </c>
      <c r="D21" t="s">
        <v>70</v>
      </c>
      <c r="E21">
        <v>-2.8161782519999998</v>
      </c>
      <c r="F21">
        <v>0.130705252962</v>
      </c>
    </row>
    <row r="22" spans="2:6" x14ac:dyDescent="0.25">
      <c r="B22">
        <v>40</v>
      </c>
      <c r="C22" t="s">
        <v>107</v>
      </c>
      <c r="D22" t="s">
        <v>70</v>
      </c>
      <c r="E22">
        <v>-2.144795593</v>
      </c>
      <c r="F22">
        <v>0.15878498310399999</v>
      </c>
    </row>
    <row r="23" spans="2:6" x14ac:dyDescent="0.25">
      <c r="B23">
        <v>41</v>
      </c>
      <c r="C23" t="s">
        <v>111</v>
      </c>
      <c r="D23" t="s">
        <v>70</v>
      </c>
      <c r="E23">
        <v>-1.480121056</v>
      </c>
      <c r="F23">
        <v>0.20632039414700001</v>
      </c>
    </row>
    <row r="24" spans="2:6" x14ac:dyDescent="0.25">
      <c r="B24">
        <v>43</v>
      </c>
      <c r="C24" t="s">
        <v>149</v>
      </c>
      <c r="D24" t="s">
        <v>70</v>
      </c>
      <c r="E24" s="29">
        <v>-8.9289955000000004E-2</v>
      </c>
      <c r="F24">
        <v>0.137321579832</v>
      </c>
    </row>
    <row r="25" spans="2:6" x14ac:dyDescent="0.25">
      <c r="B25">
        <v>48</v>
      </c>
      <c r="C25" t="s">
        <v>147</v>
      </c>
      <c r="D25" t="s">
        <v>70</v>
      </c>
      <c r="E25">
        <v>-1.4328025129999999</v>
      </c>
      <c r="F25">
        <v>0.133715087486</v>
      </c>
    </row>
    <row r="26" spans="2:6" x14ac:dyDescent="0.25">
      <c r="B26">
        <v>50</v>
      </c>
      <c r="C26" t="s">
        <v>110</v>
      </c>
      <c r="D26" t="s">
        <v>70</v>
      </c>
      <c r="E26">
        <v>-0.40342066599999998</v>
      </c>
      <c r="F26">
        <v>0.112940823683</v>
      </c>
    </row>
    <row r="27" spans="2:6" x14ac:dyDescent="0.25">
      <c r="B27">
        <v>52</v>
      </c>
      <c r="C27" t="s">
        <v>156</v>
      </c>
      <c r="D27" t="s">
        <v>70</v>
      </c>
      <c r="E27">
        <v>-0.79057828100000005</v>
      </c>
      <c r="F27" s="29">
        <v>9.1545835750600005E-2</v>
      </c>
    </row>
    <row r="28" spans="2:6" x14ac:dyDescent="0.25">
      <c r="B28">
        <v>54</v>
      </c>
      <c r="C28" t="s">
        <v>160</v>
      </c>
      <c r="D28" t="s">
        <v>70</v>
      </c>
      <c r="E28" s="29">
        <v>7.424277E-3</v>
      </c>
      <c r="F28">
        <v>0.123737072552</v>
      </c>
    </row>
    <row r="29" spans="2:6" x14ac:dyDescent="0.25">
      <c r="B29">
        <v>60</v>
      </c>
      <c r="C29" t="s">
        <v>129</v>
      </c>
      <c r="D29" t="s">
        <v>70</v>
      </c>
      <c r="E29">
        <v>-4.5539641590000004</v>
      </c>
      <c r="F29">
        <v>0.360616471386</v>
      </c>
    </row>
    <row r="30" spans="2:6" x14ac:dyDescent="0.25">
      <c r="B30">
        <v>61</v>
      </c>
      <c r="C30" t="s">
        <v>142</v>
      </c>
      <c r="D30" t="s">
        <v>70</v>
      </c>
      <c r="E30">
        <v>0.61466384799999996</v>
      </c>
      <c r="F30">
        <v>0.19703563410200001</v>
      </c>
    </row>
    <row r="31" spans="2:6" x14ac:dyDescent="0.25">
      <c r="B31">
        <v>63</v>
      </c>
      <c r="C31" t="s">
        <v>162</v>
      </c>
      <c r="D31" t="s">
        <v>70</v>
      </c>
      <c r="E31">
        <v>-0.87809104500000001</v>
      </c>
      <c r="F31">
        <v>0.25115235263000002</v>
      </c>
    </row>
    <row r="32" spans="2:6" x14ac:dyDescent="0.25">
      <c r="B32">
        <v>73</v>
      </c>
      <c r="C32" t="s">
        <v>136</v>
      </c>
      <c r="D32" t="s">
        <v>70</v>
      </c>
      <c r="E32" s="29">
        <v>-8.2669199999999998E-2</v>
      </c>
      <c r="F32" s="29">
        <v>9.2527875377600002E-2</v>
      </c>
    </row>
    <row r="33" spans="2:6" x14ac:dyDescent="0.25">
      <c r="B33">
        <v>120</v>
      </c>
      <c r="C33" t="s">
        <v>166</v>
      </c>
      <c r="D33" t="s">
        <v>70</v>
      </c>
      <c r="E33">
        <v>-0.40759393700000002</v>
      </c>
      <c r="F33">
        <v>0.16284307180900001</v>
      </c>
    </row>
    <row r="34" spans="2:6" x14ac:dyDescent="0.25">
      <c r="B34">
        <v>124</v>
      </c>
      <c r="C34" t="s">
        <v>169</v>
      </c>
      <c r="D34" t="s">
        <v>70</v>
      </c>
      <c r="E34">
        <v>0.22849027299999999</v>
      </c>
      <c r="F34">
        <v>0.34013272862600002</v>
      </c>
    </row>
    <row r="35" spans="2:6" x14ac:dyDescent="0.25">
      <c r="B35">
        <v>128</v>
      </c>
      <c r="C35" t="s">
        <v>172</v>
      </c>
      <c r="D35" t="s">
        <v>70</v>
      </c>
      <c r="E35" s="29">
        <v>4.0664499999999997E-5</v>
      </c>
      <c r="F35" s="29">
        <v>5.8556062497599999E-6</v>
      </c>
    </row>
    <row r="36" spans="2:6" x14ac:dyDescent="0.25">
      <c r="B36">
        <v>131</v>
      </c>
      <c r="C36" t="s">
        <v>174</v>
      </c>
      <c r="D36" t="s">
        <v>97</v>
      </c>
      <c r="E36">
        <v>0</v>
      </c>
      <c r="F36">
        <v>0</v>
      </c>
    </row>
    <row r="37" spans="2:6" x14ac:dyDescent="0.25">
      <c r="B37">
        <v>132</v>
      </c>
      <c r="C37" t="s">
        <v>177</v>
      </c>
      <c r="D37" t="s">
        <v>70</v>
      </c>
      <c r="E37">
        <v>0.20969220399999999</v>
      </c>
      <c r="F37" s="29">
        <v>4.9885146709800002E-2</v>
      </c>
    </row>
    <row r="38" spans="2:6" x14ac:dyDescent="0.25">
      <c r="B38">
        <v>133</v>
      </c>
      <c r="C38" t="s">
        <v>180</v>
      </c>
      <c r="D38" t="s">
        <v>97</v>
      </c>
      <c r="E38">
        <v>0</v>
      </c>
      <c r="F38">
        <v>0</v>
      </c>
    </row>
    <row r="39" spans="2:6" x14ac:dyDescent="0.25">
      <c r="B39">
        <v>134</v>
      </c>
      <c r="C39" t="s">
        <v>183</v>
      </c>
      <c r="D39" t="s">
        <v>70</v>
      </c>
      <c r="E39">
        <v>0.296367824</v>
      </c>
      <c r="F39" s="29">
        <v>5.10788332025E-2</v>
      </c>
    </row>
    <row r="40" spans="2:6" x14ac:dyDescent="0.25">
      <c r="B40">
        <v>136</v>
      </c>
      <c r="C40" t="s">
        <v>186</v>
      </c>
      <c r="D40" t="s">
        <v>70</v>
      </c>
      <c r="E40" s="29">
        <v>-4.3232317999999999E-2</v>
      </c>
      <c r="F40" s="29">
        <v>9.22378391051E-2</v>
      </c>
    </row>
    <row r="41" spans="2:6" x14ac:dyDescent="0.25">
      <c r="B41">
        <v>137</v>
      </c>
      <c r="C41" t="s">
        <v>190</v>
      </c>
      <c r="D41" t="s">
        <v>70</v>
      </c>
      <c r="E41">
        <v>1.3197710739999999</v>
      </c>
      <c r="F41">
        <v>0.138120133182</v>
      </c>
    </row>
    <row r="42" spans="2:6" x14ac:dyDescent="0.25">
      <c r="B42">
        <v>138</v>
      </c>
      <c r="C42" t="s">
        <v>194</v>
      </c>
      <c r="D42" t="s">
        <v>70</v>
      </c>
      <c r="E42">
        <v>0.46798410400000001</v>
      </c>
      <c r="F42" s="29">
        <v>9.1582777661300005E-2</v>
      </c>
    </row>
    <row r="43" spans="2:6" x14ac:dyDescent="0.25">
      <c r="B43">
        <v>160</v>
      </c>
      <c r="C43" t="s">
        <v>197</v>
      </c>
      <c r="D43" t="s">
        <v>70</v>
      </c>
      <c r="E43">
        <v>1.5982044369999999</v>
      </c>
      <c r="F43">
        <v>0.213434357464</v>
      </c>
    </row>
    <row r="44" spans="2:6" x14ac:dyDescent="0.25">
      <c r="B44">
        <v>161</v>
      </c>
      <c r="C44" t="s">
        <v>200</v>
      </c>
      <c r="D44" t="s">
        <v>97</v>
      </c>
      <c r="E44">
        <v>0</v>
      </c>
      <c r="F44">
        <v>0</v>
      </c>
    </row>
    <row r="45" spans="2:6" x14ac:dyDescent="0.25">
      <c r="B45">
        <v>162</v>
      </c>
      <c r="C45" t="s">
        <v>187</v>
      </c>
      <c r="D45" t="s">
        <v>97</v>
      </c>
      <c r="E45">
        <v>0</v>
      </c>
      <c r="F45">
        <v>0</v>
      </c>
    </row>
    <row r="46" spans="2:6" x14ac:dyDescent="0.25">
      <c r="B46">
        <v>163</v>
      </c>
      <c r="C46" t="s">
        <v>202</v>
      </c>
      <c r="D46" t="s">
        <v>97</v>
      </c>
      <c r="E46">
        <v>0</v>
      </c>
      <c r="F46">
        <v>0</v>
      </c>
    </row>
    <row r="47" spans="2:6" x14ac:dyDescent="0.25">
      <c r="B47">
        <v>164</v>
      </c>
      <c r="C47" t="s">
        <v>192</v>
      </c>
      <c r="D47" t="s">
        <v>70</v>
      </c>
      <c r="E47">
        <v>0.120618224</v>
      </c>
      <c r="F47">
        <v>0.44489167615000003</v>
      </c>
    </row>
    <row r="48" spans="2:6" x14ac:dyDescent="0.25">
      <c r="B48">
        <v>165</v>
      </c>
      <c r="C48" t="s">
        <v>204</v>
      </c>
      <c r="D48" t="s">
        <v>70</v>
      </c>
      <c r="E48" s="29">
        <v>2.09633E-4</v>
      </c>
      <c r="F48" s="29">
        <v>7.62851190323E-5</v>
      </c>
    </row>
    <row r="49" spans="2:6" x14ac:dyDescent="0.25">
      <c r="B49">
        <v>168</v>
      </c>
      <c r="C49" t="s">
        <v>196</v>
      </c>
      <c r="D49" t="s">
        <v>70</v>
      </c>
      <c r="E49" s="29">
        <v>-2.9531000000000002E-6</v>
      </c>
      <c r="F49" s="29">
        <v>1.30015078683E-5</v>
      </c>
    </row>
    <row r="50" spans="2:6" x14ac:dyDescent="0.25">
      <c r="B50">
        <v>169</v>
      </c>
      <c r="C50" t="s">
        <v>198</v>
      </c>
      <c r="D50" t="s">
        <v>97</v>
      </c>
      <c r="E50">
        <v>0</v>
      </c>
      <c r="F50">
        <v>0</v>
      </c>
    </row>
    <row r="51" spans="2:6" x14ac:dyDescent="0.25">
      <c r="B51">
        <v>171</v>
      </c>
      <c r="C51" t="s">
        <v>206</v>
      </c>
      <c r="D51" t="s">
        <v>70</v>
      </c>
      <c r="E51">
        <v>1.108747989</v>
      </c>
      <c r="F51">
        <v>0.15703122009699999</v>
      </c>
    </row>
    <row r="52" spans="2:6" x14ac:dyDescent="0.25">
      <c r="B52">
        <v>172</v>
      </c>
      <c r="C52" t="s">
        <v>207</v>
      </c>
      <c r="D52" t="s">
        <v>70</v>
      </c>
      <c r="E52">
        <v>2.0996029740000002</v>
      </c>
      <c r="F52">
        <v>0.14331732884100001</v>
      </c>
    </row>
    <row r="53" spans="2:6" x14ac:dyDescent="0.25">
      <c r="B53">
        <v>175</v>
      </c>
      <c r="C53" t="s">
        <v>208</v>
      </c>
      <c r="D53" t="s">
        <v>70</v>
      </c>
      <c r="E53" s="29">
        <v>1.3793900000000001E-4</v>
      </c>
      <c r="F53" s="29">
        <v>4.8952507234399999E-5</v>
      </c>
    </row>
    <row r="54" spans="2:6" x14ac:dyDescent="0.25">
      <c r="B54">
        <v>178</v>
      </c>
      <c r="C54" t="s">
        <v>209</v>
      </c>
      <c r="D54" t="s">
        <v>70</v>
      </c>
      <c r="E54" s="29">
        <v>-6.1957300000000002E-6</v>
      </c>
      <c r="F54" s="29">
        <v>4.64771480534E-5</v>
      </c>
    </row>
    <row r="55" spans="2:6" x14ac:dyDescent="0.25">
      <c r="B55">
        <v>201</v>
      </c>
      <c r="C55" t="s">
        <v>228</v>
      </c>
      <c r="D55" t="s">
        <v>97</v>
      </c>
      <c r="E55">
        <v>-4.5</v>
      </c>
      <c r="F55" s="29">
        <v>0</v>
      </c>
    </row>
    <row r="56" spans="2:6" x14ac:dyDescent="0.25">
      <c r="B56">
        <v>202</v>
      </c>
      <c r="C56" t="s">
        <v>229</v>
      </c>
      <c r="D56" t="s">
        <v>97</v>
      </c>
      <c r="E56">
        <v>-4.5</v>
      </c>
      <c r="F56">
        <v>0</v>
      </c>
    </row>
    <row r="57" spans="2:6" x14ac:dyDescent="0.25">
      <c r="B57">
        <v>203</v>
      </c>
      <c r="C57" s="29" t="s">
        <v>230</v>
      </c>
      <c r="D57" s="29" t="s">
        <v>97</v>
      </c>
      <c r="E57" s="29">
        <v>0</v>
      </c>
      <c r="F57">
        <v>0</v>
      </c>
    </row>
    <row r="58" spans="2:6" x14ac:dyDescent="0.25">
      <c r="B58">
        <v>204</v>
      </c>
      <c r="C58" t="s">
        <v>231</v>
      </c>
      <c r="D58" t="s">
        <v>97</v>
      </c>
      <c r="E58">
        <v>0</v>
      </c>
      <c r="F58">
        <v>0</v>
      </c>
    </row>
    <row r="59" spans="2:6" x14ac:dyDescent="0.25">
      <c r="B59">
        <v>205</v>
      </c>
      <c r="C59" t="s">
        <v>232</v>
      </c>
      <c r="D59" t="s">
        <v>97</v>
      </c>
      <c r="E59">
        <v>0</v>
      </c>
      <c r="F59">
        <v>0</v>
      </c>
    </row>
    <row r="60" spans="2:6" x14ac:dyDescent="0.25">
      <c r="B60">
        <v>206</v>
      </c>
      <c r="C60" t="s">
        <v>233</v>
      </c>
      <c r="D60" t="s">
        <v>97</v>
      </c>
      <c r="E60">
        <v>-0.74473319999999998</v>
      </c>
      <c r="F60">
        <v>0</v>
      </c>
    </row>
    <row r="61" spans="2:6" x14ac:dyDescent="0.25">
      <c r="B61">
        <v>207</v>
      </c>
      <c r="C61" t="s">
        <v>234</v>
      </c>
      <c r="D61" t="s">
        <v>97</v>
      </c>
      <c r="E61">
        <v>0</v>
      </c>
      <c r="F61">
        <v>0</v>
      </c>
    </row>
    <row r="62" spans="2:6" x14ac:dyDescent="0.25">
      <c r="B62">
        <v>208</v>
      </c>
      <c r="C62" t="s">
        <v>235</v>
      </c>
      <c r="D62" t="s">
        <v>97</v>
      </c>
      <c r="E62">
        <v>0</v>
      </c>
      <c r="F62">
        <v>0</v>
      </c>
    </row>
    <row r="63" spans="2:6" x14ac:dyDescent="0.25">
      <c r="B63">
        <v>209</v>
      </c>
      <c r="C63" t="s">
        <v>236</v>
      </c>
      <c r="D63" t="s">
        <v>97</v>
      </c>
      <c r="E63">
        <v>0</v>
      </c>
      <c r="F63">
        <v>0</v>
      </c>
    </row>
    <row r="64" spans="2:6" x14ac:dyDescent="0.25">
      <c r="B64">
        <v>210</v>
      </c>
      <c r="C64" t="s">
        <v>237</v>
      </c>
      <c r="D64" t="s">
        <v>97</v>
      </c>
      <c r="E64">
        <v>0</v>
      </c>
      <c r="F64">
        <v>0</v>
      </c>
    </row>
    <row r="65" spans="2:6" x14ac:dyDescent="0.25">
      <c r="B65">
        <v>211</v>
      </c>
      <c r="C65" t="s">
        <v>238</v>
      </c>
      <c r="D65" t="s">
        <v>97</v>
      </c>
      <c r="E65">
        <v>0</v>
      </c>
      <c r="F65">
        <v>0</v>
      </c>
    </row>
    <row r="66" spans="2:6" x14ac:dyDescent="0.25">
      <c r="B66">
        <v>301</v>
      </c>
      <c r="C66" t="s">
        <v>239</v>
      </c>
      <c r="D66" t="s">
        <v>97</v>
      </c>
      <c r="E66">
        <v>0</v>
      </c>
      <c r="F66" s="29">
        <v>0</v>
      </c>
    </row>
    <row r="67" spans="2:6" x14ac:dyDescent="0.25">
      <c r="B67">
        <v>302</v>
      </c>
      <c r="C67" t="s">
        <v>240</v>
      </c>
      <c r="D67" t="s">
        <v>97</v>
      </c>
      <c r="E67">
        <v>0</v>
      </c>
      <c r="F67">
        <v>0</v>
      </c>
    </row>
    <row r="68" spans="2:6" x14ac:dyDescent="0.25">
      <c r="B68">
        <v>303</v>
      </c>
      <c r="C68" s="29" t="s">
        <v>241</v>
      </c>
      <c r="D68" s="29" t="s">
        <v>97</v>
      </c>
      <c r="E68" s="29">
        <v>0</v>
      </c>
      <c r="F68">
        <v>0</v>
      </c>
    </row>
    <row r="69" spans="2:6" x14ac:dyDescent="0.25">
      <c r="B69">
        <v>304</v>
      </c>
      <c r="C69" t="s">
        <v>242</v>
      </c>
      <c r="D69" t="s">
        <v>97</v>
      </c>
      <c r="E69">
        <v>0</v>
      </c>
      <c r="F69">
        <v>0</v>
      </c>
    </row>
    <row r="70" spans="2:6" x14ac:dyDescent="0.25">
      <c r="B70">
        <v>305</v>
      </c>
      <c r="C70" t="s">
        <v>243</v>
      </c>
      <c r="D70" t="s">
        <v>97</v>
      </c>
      <c r="E70">
        <v>0</v>
      </c>
      <c r="F70">
        <v>0</v>
      </c>
    </row>
    <row r="71" spans="2:6" x14ac:dyDescent="0.25">
      <c r="B71">
        <v>306</v>
      </c>
      <c r="C71" t="s">
        <v>244</v>
      </c>
      <c r="D71" t="s">
        <v>97</v>
      </c>
      <c r="E71">
        <v>-0.255216</v>
      </c>
      <c r="F71">
        <v>0</v>
      </c>
    </row>
    <row r="72" spans="2:6" x14ac:dyDescent="0.25">
      <c r="B72">
        <v>307</v>
      </c>
      <c r="C72" t="s">
        <v>245</v>
      </c>
      <c r="D72" t="s">
        <v>97</v>
      </c>
      <c r="E72">
        <v>0</v>
      </c>
      <c r="F72">
        <v>0</v>
      </c>
    </row>
    <row r="73" spans="2:6" x14ac:dyDescent="0.25">
      <c r="B73">
        <v>308</v>
      </c>
      <c r="C73" t="s">
        <v>246</v>
      </c>
      <c r="D73" t="s">
        <v>97</v>
      </c>
      <c r="E73">
        <v>0</v>
      </c>
      <c r="F73">
        <v>0</v>
      </c>
    </row>
    <row r="74" spans="2:6" x14ac:dyDescent="0.25">
      <c r="B74">
        <v>309</v>
      </c>
      <c r="C74" t="s">
        <v>247</v>
      </c>
      <c r="D74" t="s">
        <v>97</v>
      </c>
      <c r="E74">
        <v>0</v>
      </c>
      <c r="F74">
        <v>0</v>
      </c>
    </row>
    <row r="75" spans="2:6" x14ac:dyDescent="0.25">
      <c r="B75">
        <v>310</v>
      </c>
      <c r="C75" t="s">
        <v>248</v>
      </c>
      <c r="D75" t="s">
        <v>97</v>
      </c>
      <c r="E75">
        <v>0</v>
      </c>
      <c r="F75">
        <v>0</v>
      </c>
    </row>
    <row r="76" spans="2:6" x14ac:dyDescent="0.25">
      <c r="B76">
        <v>311</v>
      </c>
      <c r="C76" t="s">
        <v>249</v>
      </c>
      <c r="D76" t="s">
        <v>97</v>
      </c>
      <c r="E76">
        <v>0</v>
      </c>
      <c r="F76">
        <v>0</v>
      </c>
    </row>
    <row r="77" spans="2:6" x14ac:dyDescent="0.25">
      <c r="F77" s="29"/>
    </row>
    <row r="78" spans="2:6" x14ac:dyDescent="0.25">
      <c r="B78">
        <v>99</v>
      </c>
      <c r="C78" t="s">
        <v>157</v>
      </c>
      <c r="D78" t="s">
        <v>70</v>
      </c>
      <c r="E78">
        <v>0.87615014565899996</v>
      </c>
      <c r="F78" s="29">
        <v>4.6027559906999999E-2</v>
      </c>
    </row>
    <row r="79" spans="2:6" x14ac:dyDescent="0.25">
      <c r="B79">
        <v>-1</v>
      </c>
      <c r="C79" s="29"/>
      <c r="D79" s="29"/>
      <c r="E79" s="29"/>
    </row>
    <row r="80" spans="2:6" x14ac:dyDescent="0.25">
      <c r="B80">
        <v>8060</v>
      </c>
      <c r="C80" s="29">
        <v>-10930.082431500001</v>
      </c>
      <c r="D80" s="29">
        <v>-13318.5283795</v>
      </c>
      <c r="E80" s="29">
        <v>-7668.86425667</v>
      </c>
    </row>
    <row r="81" spans="2:11" x14ac:dyDescent="0.25">
      <c r="B81">
        <v>8</v>
      </c>
      <c r="C81" t="s">
        <v>262</v>
      </c>
      <c r="D81" t="s">
        <v>225</v>
      </c>
      <c r="E81">
        <v>6</v>
      </c>
      <c r="F81" t="s">
        <v>226</v>
      </c>
      <c r="G81">
        <v>17</v>
      </c>
    </row>
    <row r="82" spans="2:11" x14ac:dyDescent="0.25">
      <c r="B82">
        <v>28140</v>
      </c>
      <c r="C82">
        <v>-15227</v>
      </c>
      <c r="D82">
        <v>-40220</v>
      </c>
      <c r="E82">
        <v>21470</v>
      </c>
      <c r="F82">
        <v>36603</v>
      </c>
      <c r="G82">
        <v>-41982</v>
      </c>
      <c r="H82">
        <v>-21064</v>
      </c>
      <c r="I82">
        <v>-51250</v>
      </c>
      <c r="J82">
        <v>34768</v>
      </c>
      <c r="K82">
        <v>-25411</v>
      </c>
    </row>
    <row r="83" spans="2:11" x14ac:dyDescent="0.25">
      <c r="B83">
        <v>16035</v>
      </c>
      <c r="C83">
        <v>39482</v>
      </c>
      <c r="D83">
        <v>-23241</v>
      </c>
      <c r="E83">
        <v>22761</v>
      </c>
      <c r="F83">
        <v>-44693</v>
      </c>
      <c r="G83">
        <v>11356</v>
      </c>
      <c r="H83">
        <v>24776</v>
      </c>
      <c r="I83">
        <v>-15547</v>
      </c>
      <c r="J83">
        <v>15512</v>
      </c>
      <c r="K83">
        <v>-35264</v>
      </c>
    </row>
    <row r="84" spans="2:11" x14ac:dyDescent="0.25">
      <c r="B84">
        <v>7082</v>
      </c>
      <c r="C84">
        <v>4644</v>
      </c>
      <c r="D84">
        <v>7842</v>
      </c>
      <c r="E84">
        <v>-2919</v>
      </c>
      <c r="F84">
        <v>4071</v>
      </c>
      <c r="G84">
        <v>-32729</v>
      </c>
      <c r="H84">
        <v>11307</v>
      </c>
      <c r="I84">
        <v>12219</v>
      </c>
      <c r="J84">
        <v>10946</v>
      </c>
      <c r="K84">
        <v>11455</v>
      </c>
    </row>
    <row r="85" spans="2:11" x14ac:dyDescent="0.25">
      <c r="B85">
        <v>-10323</v>
      </c>
      <c r="C85">
        <v>13051</v>
      </c>
      <c r="D85">
        <v>-32039</v>
      </c>
      <c r="E85">
        <v>24641</v>
      </c>
      <c r="F85">
        <v>17909</v>
      </c>
      <c r="G85">
        <v>-5481</v>
      </c>
      <c r="H85">
        <v>-18684</v>
      </c>
      <c r="I85">
        <v>-37660</v>
      </c>
      <c r="J85">
        <v>22496</v>
      </c>
      <c r="K85">
        <v>-22084</v>
      </c>
    </row>
    <row r="86" spans="2:11" x14ac:dyDescent="0.25">
      <c r="B86">
        <v>8329</v>
      </c>
      <c r="C86">
        <v>-12534</v>
      </c>
      <c r="D86">
        <v>-5821</v>
      </c>
      <c r="E86">
        <v>10265</v>
      </c>
      <c r="F86">
        <v>-18346</v>
      </c>
      <c r="G86">
        <v>-5860</v>
      </c>
      <c r="H86">
        <v>-10265</v>
      </c>
      <c r="I86">
        <v>6084</v>
      </c>
      <c r="J86">
        <v>-6247</v>
      </c>
      <c r="K86">
        <v>-5135</v>
      </c>
    </row>
    <row r="87" spans="2:11" x14ac:dyDescent="0.25">
      <c r="B87">
        <v>2022</v>
      </c>
      <c r="C87">
        <v>2825</v>
      </c>
      <c r="D87">
        <v>-3200</v>
      </c>
      <c r="E87">
        <v>-4801</v>
      </c>
      <c r="F87">
        <v>17531</v>
      </c>
      <c r="G87">
        <v>-21978</v>
      </c>
      <c r="H87">
        <v>-55084</v>
      </c>
      <c r="I87">
        <v>37237</v>
      </c>
      <c r="J87">
        <v>-27836</v>
      </c>
      <c r="K87">
        <v>94896</v>
      </c>
    </row>
    <row r="88" spans="2:11" x14ac:dyDescent="0.25">
      <c r="B88">
        <v>-43186</v>
      </c>
      <c r="C88">
        <v>-33549</v>
      </c>
      <c r="D88">
        <v>-34207</v>
      </c>
      <c r="E88">
        <v>-34047</v>
      </c>
      <c r="F88">
        <v>17979</v>
      </c>
      <c r="G88">
        <v>6703</v>
      </c>
      <c r="H88">
        <v>-9746</v>
      </c>
      <c r="I88">
        <v>-31676</v>
      </c>
      <c r="J88">
        <v>12375</v>
      </c>
      <c r="K88">
        <v>12408</v>
      </c>
    </row>
    <row r="89" spans="2:11" x14ac:dyDescent="0.25">
      <c r="B89">
        <v>11695</v>
      </c>
      <c r="C89">
        <v>-14701</v>
      </c>
      <c r="D89">
        <v>-9163</v>
      </c>
      <c r="E89">
        <v>-4164</v>
      </c>
      <c r="F89">
        <v>-8763</v>
      </c>
      <c r="G89">
        <v>5694</v>
      </c>
      <c r="H89">
        <v>3813</v>
      </c>
      <c r="I89">
        <v>13185</v>
      </c>
      <c r="J89">
        <v>-4289</v>
      </c>
      <c r="K89">
        <v>-4538</v>
      </c>
    </row>
    <row r="90" spans="2:11" x14ac:dyDescent="0.25">
      <c r="B90">
        <v>2688</v>
      </c>
      <c r="C90">
        <v>-1920</v>
      </c>
      <c r="D90">
        <v>-15075</v>
      </c>
      <c r="E90">
        <v>967</v>
      </c>
      <c r="F90">
        <v>9930</v>
      </c>
      <c r="G90">
        <v>32107</v>
      </c>
      <c r="H90">
        <v>466</v>
      </c>
      <c r="I90">
        <v>11239</v>
      </c>
      <c r="J90">
        <v>-730</v>
      </c>
      <c r="K90">
        <v>-15544</v>
      </c>
    </row>
    <row r="91" spans="2:11" x14ac:dyDescent="0.25">
      <c r="B91">
        <v>7303</v>
      </c>
      <c r="C91">
        <v>-18427</v>
      </c>
      <c r="D91">
        <v>-43719</v>
      </c>
      <c r="E91">
        <v>26281</v>
      </c>
      <c r="F91">
        <v>-25384</v>
      </c>
      <c r="G91">
        <v>15408</v>
      </c>
      <c r="H91">
        <v>-17299</v>
      </c>
      <c r="I91">
        <v>-8898</v>
      </c>
      <c r="J91">
        <v>16090</v>
      </c>
      <c r="K91">
        <v>-21480</v>
      </c>
    </row>
    <row r="92" spans="2:11" x14ac:dyDescent="0.25">
      <c r="B92">
        <v>50073</v>
      </c>
      <c r="C92">
        <v>9352</v>
      </c>
      <c r="D92">
        <v>16330</v>
      </c>
      <c r="E92">
        <v>5156</v>
      </c>
      <c r="F92">
        <v>15543</v>
      </c>
      <c r="G92">
        <v>-4926</v>
      </c>
      <c r="H92">
        <v>-33805</v>
      </c>
      <c r="I92">
        <v>27088</v>
      </c>
      <c r="J92">
        <v>-10292</v>
      </c>
      <c r="K92">
        <v>56185</v>
      </c>
    </row>
    <row r="93" spans="2:11" x14ac:dyDescent="0.25">
      <c r="B93">
        <v>-12315</v>
      </c>
      <c r="C93">
        <v>-9995</v>
      </c>
      <c r="D93">
        <v>-585</v>
      </c>
      <c r="E93">
        <v>21735</v>
      </c>
      <c r="F93">
        <v>7915</v>
      </c>
      <c r="G93">
        <v>3018</v>
      </c>
      <c r="H93">
        <v>57397</v>
      </c>
      <c r="I93">
        <v>-668</v>
      </c>
      <c r="J93">
        <v>-5757</v>
      </c>
      <c r="K93">
        <v>8708</v>
      </c>
    </row>
    <row r="94" spans="2:11" x14ac:dyDescent="0.25">
      <c r="B94">
        <v>-17998</v>
      </c>
      <c r="C94">
        <v>-40901</v>
      </c>
      <c r="D94">
        <v>22721</v>
      </c>
      <c r="E94">
        <v>-24067</v>
      </c>
      <c r="F94">
        <v>24464</v>
      </c>
      <c r="G94">
        <v>-29170</v>
      </c>
      <c r="H94">
        <v>-14298</v>
      </c>
      <c r="I94">
        <v>-7</v>
      </c>
      <c r="J94">
        <v>-19261</v>
      </c>
      <c r="K94">
        <v>16018</v>
      </c>
    </row>
    <row r="95" spans="2:11" x14ac:dyDescent="0.25">
      <c r="B95">
        <v>3401</v>
      </c>
      <c r="C95">
        <v>25534</v>
      </c>
      <c r="D95">
        <v>21737</v>
      </c>
      <c r="E95">
        <v>24255</v>
      </c>
      <c r="F95">
        <v>18810</v>
      </c>
      <c r="G95">
        <v>-13556</v>
      </c>
      <c r="H95">
        <v>1682</v>
      </c>
      <c r="I95">
        <v>2020</v>
      </c>
      <c r="J95">
        <v>-968</v>
      </c>
      <c r="K95">
        <v>940</v>
      </c>
    </row>
    <row r="96" spans="2:11" x14ac:dyDescent="0.25">
      <c r="B96">
        <v>-3895</v>
      </c>
      <c r="C96">
        <v>436</v>
      </c>
      <c r="D96">
        <v>14</v>
      </c>
      <c r="E96">
        <v>5619</v>
      </c>
      <c r="F96">
        <v>-2105</v>
      </c>
      <c r="G96">
        <v>6832</v>
      </c>
      <c r="H96">
        <v>372</v>
      </c>
      <c r="I96">
        <v>-3704</v>
      </c>
      <c r="J96">
        <v>-2215</v>
      </c>
      <c r="K96">
        <v>3458</v>
      </c>
    </row>
    <row r="97" spans="2:11" x14ac:dyDescent="0.25">
      <c r="B97">
        <v>9230</v>
      </c>
      <c r="C97">
        <v>-9179</v>
      </c>
      <c r="D97">
        <v>-4211</v>
      </c>
      <c r="E97">
        <v>-11951</v>
      </c>
      <c r="F97">
        <v>-31767</v>
      </c>
      <c r="G97">
        <v>20592</v>
      </c>
      <c r="H97">
        <v>-16727</v>
      </c>
      <c r="I97">
        <v>26120</v>
      </c>
      <c r="J97">
        <v>-15875</v>
      </c>
      <c r="K97">
        <v>-8997</v>
      </c>
    </row>
    <row r="98" spans="2:11" x14ac:dyDescent="0.25">
      <c r="B98">
        <v>-3599</v>
      </c>
      <c r="C98">
        <v>-5920</v>
      </c>
      <c r="D98">
        <v>15169</v>
      </c>
      <c r="E98">
        <v>4190</v>
      </c>
      <c r="F98">
        <v>27758</v>
      </c>
      <c r="G98">
        <v>11452</v>
      </c>
      <c r="H98">
        <v>1333</v>
      </c>
      <c r="I98">
        <v>17590</v>
      </c>
      <c r="J98">
        <v>20481</v>
      </c>
      <c r="K98">
        <v>16902</v>
      </c>
    </row>
    <row r="99" spans="2:11" x14ac:dyDescent="0.25">
      <c r="B99">
        <v>-857</v>
      </c>
      <c r="C99">
        <v>167</v>
      </c>
      <c r="D99">
        <v>826</v>
      </c>
      <c r="E99">
        <v>57</v>
      </c>
      <c r="F99">
        <v>276</v>
      </c>
      <c r="G99">
        <v>-223</v>
      </c>
      <c r="H99">
        <v>335</v>
      </c>
      <c r="I99">
        <v>730</v>
      </c>
      <c r="J99">
        <v>264</v>
      </c>
      <c r="K99">
        <v>111</v>
      </c>
    </row>
    <row r="100" spans="2:11" x14ac:dyDescent="0.25">
      <c r="B100">
        <v>-418</v>
      </c>
      <c r="C100">
        <v>-72</v>
      </c>
      <c r="D100">
        <v>-249</v>
      </c>
      <c r="E100">
        <v>-70</v>
      </c>
      <c r="F100">
        <v>183</v>
      </c>
      <c r="G100">
        <v>-525</v>
      </c>
      <c r="H100">
        <v>220</v>
      </c>
      <c r="I100">
        <v>-290</v>
      </c>
      <c r="J100">
        <v>-551</v>
      </c>
      <c r="K100">
        <v>-32883</v>
      </c>
    </row>
    <row r="101" spans="2:11" x14ac:dyDescent="0.25">
      <c r="B101">
        <v>-4860</v>
      </c>
      <c r="C101">
        <v>-10950</v>
      </c>
      <c r="D101">
        <v>8201</v>
      </c>
      <c r="E101">
        <v>-7354</v>
      </c>
      <c r="F101">
        <v>9755</v>
      </c>
      <c r="G101">
        <v>-9735</v>
      </c>
      <c r="H101">
        <v>-7803</v>
      </c>
      <c r="I101">
        <v>2320</v>
      </c>
      <c r="J101">
        <v>-3940</v>
      </c>
      <c r="K101">
        <v>7380</v>
      </c>
    </row>
    <row r="102" spans="2:11" x14ac:dyDescent="0.25">
      <c r="B102">
        <v>2313</v>
      </c>
      <c r="C102">
        <v>10732</v>
      </c>
      <c r="D102">
        <v>3208</v>
      </c>
      <c r="E102">
        <v>-108</v>
      </c>
      <c r="F102">
        <v>8488</v>
      </c>
      <c r="G102">
        <v>8336</v>
      </c>
      <c r="H102">
        <v>5526</v>
      </c>
      <c r="I102">
        <v>859</v>
      </c>
      <c r="J102">
        <v>-17792</v>
      </c>
      <c r="K102">
        <v>317</v>
      </c>
    </row>
    <row r="103" spans="2:11" x14ac:dyDescent="0.25">
      <c r="B103">
        <v>-2271</v>
      </c>
      <c r="C103">
        <v>-835</v>
      </c>
      <c r="D103">
        <v>12860</v>
      </c>
      <c r="E103">
        <v>-4787</v>
      </c>
      <c r="F103">
        <v>23822</v>
      </c>
      <c r="G103">
        <v>-11169</v>
      </c>
      <c r="H103">
        <v>-9640</v>
      </c>
      <c r="I103">
        <v>8190</v>
      </c>
      <c r="J103">
        <v>1631</v>
      </c>
      <c r="K103">
        <v>4059</v>
      </c>
    </row>
    <row r="104" spans="2:11" x14ac:dyDescent="0.25">
      <c r="B104">
        <v>1878</v>
      </c>
      <c r="C104">
        <v>24732</v>
      </c>
      <c r="D104">
        <v>-3890</v>
      </c>
      <c r="E104">
        <v>-2739</v>
      </c>
      <c r="F104">
        <v>4429</v>
      </c>
      <c r="G104">
        <v>37966</v>
      </c>
      <c r="H104">
        <v>-2753</v>
      </c>
      <c r="I104">
        <v>3468</v>
      </c>
      <c r="J104">
        <v>7473</v>
      </c>
      <c r="K104">
        <v>-208</v>
      </c>
    </row>
    <row r="105" spans="2:11" x14ac:dyDescent="0.25">
      <c r="B105">
        <v>17023</v>
      </c>
      <c r="C105">
        <v>-2888</v>
      </c>
      <c r="D105">
        <v>-9803</v>
      </c>
      <c r="E105">
        <v>-8130</v>
      </c>
      <c r="F105">
        <v>-14617</v>
      </c>
      <c r="G105">
        <v>-317</v>
      </c>
      <c r="H105">
        <v>-6386</v>
      </c>
      <c r="I105">
        <v>-4567</v>
      </c>
      <c r="J105">
        <v>-792</v>
      </c>
      <c r="K105">
        <v>-5082</v>
      </c>
    </row>
    <row r="106" spans="2:11" x14ac:dyDescent="0.25">
      <c r="B106">
        <v>5620</v>
      </c>
      <c r="C106">
        <v>1621</v>
      </c>
      <c r="D106">
        <v>347</v>
      </c>
      <c r="E106">
        <v>3537</v>
      </c>
      <c r="F106">
        <v>952</v>
      </c>
      <c r="G106">
        <v>6550</v>
      </c>
      <c r="H106">
        <v>-5830</v>
      </c>
      <c r="I106">
        <v>7810</v>
      </c>
      <c r="J106">
        <v>1096</v>
      </c>
      <c r="K106">
        <v>3712</v>
      </c>
    </row>
    <row r="107" spans="2:11" x14ac:dyDescent="0.25">
      <c r="B107">
        <v>-79</v>
      </c>
      <c r="C107">
        <v>1939</v>
      </c>
      <c r="D107">
        <v>106</v>
      </c>
      <c r="E107">
        <v>-5508</v>
      </c>
      <c r="F107">
        <v>2392</v>
      </c>
      <c r="G107">
        <v>-81451</v>
      </c>
      <c r="H107">
        <v>11565</v>
      </c>
      <c r="I107">
        <v>-994</v>
      </c>
      <c r="J107">
        <v>2290</v>
      </c>
      <c r="K107">
        <v>1311</v>
      </c>
    </row>
    <row r="108" spans="2:11" x14ac:dyDescent="0.25">
      <c r="B108">
        <v>-485</v>
      </c>
      <c r="C108">
        <v>3489</v>
      </c>
      <c r="D108">
        <v>-2924</v>
      </c>
      <c r="E108">
        <v>-457</v>
      </c>
      <c r="F108">
        <v>-1324</v>
      </c>
      <c r="G108">
        <v>2099</v>
      </c>
      <c r="H108">
        <v>250</v>
      </c>
      <c r="I108">
        <v>-3878</v>
      </c>
      <c r="J108">
        <v>1306</v>
      </c>
      <c r="K108">
        <v>-2838</v>
      </c>
    </row>
    <row r="109" spans="2:11" x14ac:dyDescent="0.25">
      <c r="B109">
        <v>-173</v>
      </c>
      <c r="C109">
        <v>-2327</v>
      </c>
      <c r="D109">
        <v>-431</v>
      </c>
      <c r="E109">
        <v>-663</v>
      </c>
      <c r="F109">
        <v>-533</v>
      </c>
      <c r="G109">
        <v>-175</v>
      </c>
      <c r="H109">
        <v>-17843</v>
      </c>
      <c r="I109">
        <v>26977</v>
      </c>
      <c r="J109">
        <v>-38939</v>
      </c>
      <c r="K109">
        <v>11294</v>
      </c>
    </row>
    <row r="110" spans="2:11" x14ac:dyDescent="0.25">
      <c r="B110">
        <v>-10938</v>
      </c>
      <c r="C110">
        <v>16699</v>
      </c>
      <c r="D110">
        <v>9550</v>
      </c>
      <c r="E110">
        <v>2702</v>
      </c>
      <c r="F110">
        <v>13165</v>
      </c>
      <c r="G110">
        <v>-15347</v>
      </c>
      <c r="H110">
        <v>-3630</v>
      </c>
      <c r="I110">
        <v>-12929</v>
      </c>
      <c r="J110">
        <v>-20391</v>
      </c>
      <c r="K110">
        <v>-1147</v>
      </c>
    </row>
    <row r="111" spans="2:11" x14ac:dyDescent="0.25">
      <c r="B111">
        <v>-19380</v>
      </c>
      <c r="C111">
        <v>3297</v>
      </c>
      <c r="D111">
        <v>-19064</v>
      </c>
      <c r="E111">
        <v>-84</v>
      </c>
      <c r="F111">
        <v>-11000</v>
      </c>
      <c r="G111">
        <v>262</v>
      </c>
      <c r="H111">
        <v>-4164</v>
      </c>
      <c r="I111">
        <v>2791</v>
      </c>
      <c r="J111">
        <v>2402</v>
      </c>
      <c r="K111">
        <v>21747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10425</v>
      </c>
      <c r="H114">
        <v>18433</v>
      </c>
      <c r="I114">
        <v>-10139</v>
      </c>
      <c r="J114">
        <v>10228</v>
      </c>
      <c r="K114">
        <v>-22400</v>
      </c>
    </row>
    <row r="115" spans="2:11" x14ac:dyDescent="0.25">
      <c r="B115">
        <v>13085</v>
      </c>
      <c r="C115">
        <v>9111</v>
      </c>
      <c r="D115">
        <v>3263</v>
      </c>
      <c r="E115">
        <v>9178</v>
      </c>
      <c r="F115">
        <v>-10684</v>
      </c>
      <c r="G115">
        <v>-2705</v>
      </c>
      <c r="H115">
        <v>-23434</v>
      </c>
      <c r="I115">
        <v>-14300</v>
      </c>
      <c r="J115">
        <v>-1173</v>
      </c>
      <c r="K115">
        <v>-12392</v>
      </c>
    </row>
    <row r="116" spans="2:11" x14ac:dyDescent="0.25">
      <c r="B116">
        <v>-24960</v>
      </c>
      <c r="C116">
        <v>-9555</v>
      </c>
      <c r="D116">
        <v>-2146</v>
      </c>
      <c r="E116">
        <v>-7034</v>
      </c>
      <c r="F116">
        <v>-821</v>
      </c>
      <c r="G116">
        <v>-2229</v>
      </c>
      <c r="H116">
        <v>1230</v>
      </c>
      <c r="I116">
        <v>-2859</v>
      </c>
      <c r="J116">
        <v>2272</v>
      </c>
      <c r="K116">
        <v>10647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12405</v>
      </c>
      <c r="K119">
        <v>24713</v>
      </c>
    </row>
    <row r="120" spans="2:11" x14ac:dyDescent="0.25">
      <c r="B120">
        <v>-13750</v>
      </c>
      <c r="C120">
        <v>13796</v>
      </c>
      <c r="D120">
        <v>-29515</v>
      </c>
      <c r="E120">
        <v>18183</v>
      </c>
      <c r="F120">
        <v>12603</v>
      </c>
      <c r="G120">
        <v>3658</v>
      </c>
      <c r="H120">
        <v>5792</v>
      </c>
      <c r="I120">
        <v>-16536</v>
      </c>
      <c r="J120">
        <v>-4139</v>
      </c>
      <c r="K120">
        <v>-31170</v>
      </c>
    </row>
    <row r="121" spans="2:11" x14ac:dyDescent="0.25">
      <c r="B121">
        <v>-15814</v>
      </c>
      <c r="C121">
        <v>-1802</v>
      </c>
      <c r="D121">
        <v>-19445</v>
      </c>
      <c r="E121">
        <v>-19736</v>
      </c>
      <c r="F121">
        <v>-14332</v>
      </c>
      <c r="G121">
        <v>-595</v>
      </c>
      <c r="H121">
        <v>-9731</v>
      </c>
      <c r="I121">
        <v>-778</v>
      </c>
      <c r="J121">
        <v>-3190</v>
      </c>
      <c r="K121">
        <v>783</v>
      </c>
    </row>
    <row r="122" spans="2:11" x14ac:dyDescent="0.25">
      <c r="B122">
        <v>-3440</v>
      </c>
      <c r="C122">
        <v>2559</v>
      </c>
      <c r="D122">
        <v>13286</v>
      </c>
      <c r="E122">
        <v>0</v>
      </c>
      <c r="F122">
        <v>78489</v>
      </c>
      <c r="G122">
        <v>0</v>
      </c>
      <c r="H122">
        <v>759</v>
      </c>
      <c r="I122">
        <v>-2477</v>
      </c>
      <c r="J122">
        <v>-753</v>
      </c>
      <c r="K122">
        <v>-1215</v>
      </c>
    </row>
    <row r="123" spans="2:11" x14ac:dyDescent="0.25">
      <c r="B123">
        <v>-30539</v>
      </c>
      <c r="C123">
        <v>-1391</v>
      </c>
      <c r="D123">
        <v>1478</v>
      </c>
      <c r="E123">
        <v>463</v>
      </c>
      <c r="F123">
        <v>9135</v>
      </c>
      <c r="G123">
        <v>1957</v>
      </c>
      <c r="H123">
        <v>143</v>
      </c>
      <c r="I123">
        <v>-30564</v>
      </c>
      <c r="J123">
        <v>-1220</v>
      </c>
      <c r="K123">
        <v>-1179</v>
      </c>
    </row>
    <row r="124" spans="2:11" x14ac:dyDescent="0.25">
      <c r="B124">
        <v>2605</v>
      </c>
      <c r="C124">
        <v>-58</v>
      </c>
      <c r="D124">
        <v>-295</v>
      </c>
      <c r="E124">
        <v>933</v>
      </c>
      <c r="F124">
        <v>819</v>
      </c>
      <c r="G124">
        <v>70</v>
      </c>
      <c r="H124">
        <v>197</v>
      </c>
      <c r="I124">
        <v>-146</v>
      </c>
      <c r="J124">
        <v>13191</v>
      </c>
      <c r="K124">
        <v>-892</v>
      </c>
    </row>
    <row r="125" spans="2:11" x14ac:dyDescent="0.25">
      <c r="B125">
        <v>-1457</v>
      </c>
      <c r="C125">
        <v>0</v>
      </c>
      <c r="D125">
        <v>-548</v>
      </c>
      <c r="E125">
        <v>0</v>
      </c>
      <c r="F125">
        <v>-2401</v>
      </c>
      <c r="G125">
        <v>14199</v>
      </c>
      <c r="H125">
        <v>36859</v>
      </c>
      <c r="I125">
        <v>-19408</v>
      </c>
      <c r="J125">
        <v>22664</v>
      </c>
      <c r="K125">
        <v>-40784</v>
      </c>
    </row>
    <row r="126" spans="2:11" x14ac:dyDescent="0.25">
      <c r="B126">
        <v>26062</v>
      </c>
      <c r="C126">
        <v>17898</v>
      </c>
      <c r="D126">
        <v>10646</v>
      </c>
      <c r="E126">
        <v>21046</v>
      </c>
      <c r="F126">
        <v>-21913</v>
      </c>
      <c r="G126">
        <v>-6832</v>
      </c>
      <c r="H126">
        <v>-43664</v>
      </c>
      <c r="I126">
        <v>-16700</v>
      </c>
      <c r="J126">
        <v>-4242</v>
      </c>
      <c r="K126">
        <v>-25014</v>
      </c>
    </row>
    <row r="127" spans="2:11" x14ac:dyDescent="0.25">
      <c r="B127">
        <v>1029</v>
      </c>
      <c r="C127">
        <v>-27821</v>
      </c>
      <c r="D127">
        <v>-957</v>
      </c>
      <c r="E127">
        <v>-14270</v>
      </c>
      <c r="F127">
        <v>708</v>
      </c>
      <c r="G127">
        <v>-6410</v>
      </c>
      <c r="H127">
        <v>-630</v>
      </c>
      <c r="I127">
        <v>-8663</v>
      </c>
      <c r="J127">
        <v>2400</v>
      </c>
      <c r="K127">
        <v>18417</v>
      </c>
    </row>
    <row r="128" spans="2:11" x14ac:dyDescent="0.25">
      <c r="B128">
        <v>0</v>
      </c>
      <c r="C128">
        <v>9936</v>
      </c>
      <c r="D128">
        <v>0</v>
      </c>
      <c r="E128">
        <v>12910</v>
      </c>
      <c r="F128">
        <v>30423</v>
      </c>
      <c r="G128">
        <v>9225</v>
      </c>
      <c r="H128">
        <v>20932</v>
      </c>
      <c r="I128">
        <v>-9938</v>
      </c>
      <c r="J128">
        <v>12291</v>
      </c>
      <c r="K128">
        <v>-39154</v>
      </c>
    </row>
    <row r="129" spans="2:11" x14ac:dyDescent="0.25">
      <c r="B129">
        <v>12201</v>
      </c>
      <c r="C129">
        <v>6455</v>
      </c>
      <c r="D129">
        <v>12735</v>
      </c>
      <c r="E129">
        <v>10363</v>
      </c>
      <c r="F129">
        <v>-11448</v>
      </c>
      <c r="G129">
        <v>-3390</v>
      </c>
      <c r="H129">
        <v>-40574</v>
      </c>
      <c r="I129">
        <v>-7351</v>
      </c>
      <c r="J129">
        <v>-3026</v>
      </c>
      <c r="K129">
        <v>-13124</v>
      </c>
    </row>
    <row r="130" spans="2:11" x14ac:dyDescent="0.25">
      <c r="B130">
        <v>4972</v>
      </c>
      <c r="C130">
        <v>-17511</v>
      </c>
      <c r="D130">
        <v>-1630</v>
      </c>
      <c r="E130">
        <v>-8490</v>
      </c>
      <c r="F130">
        <v>468</v>
      </c>
      <c r="G130">
        <v>-3569</v>
      </c>
      <c r="H130">
        <v>-777</v>
      </c>
      <c r="I130">
        <v>-5066</v>
      </c>
      <c r="J130">
        <v>1179</v>
      </c>
      <c r="K130">
        <v>8467</v>
      </c>
    </row>
    <row r="131" spans="2:11" x14ac:dyDescent="0.25">
      <c r="B131">
        <v>0</v>
      </c>
      <c r="C131">
        <v>6314</v>
      </c>
      <c r="D131">
        <v>0</v>
      </c>
      <c r="E131">
        <v>7689</v>
      </c>
      <c r="F131">
        <v>46291</v>
      </c>
      <c r="G131">
        <v>45042</v>
      </c>
      <c r="H131">
        <v>9969</v>
      </c>
      <c r="I131">
        <v>23453</v>
      </c>
      <c r="J131">
        <v>-10623</v>
      </c>
      <c r="K131">
        <v>10147</v>
      </c>
    </row>
    <row r="132" spans="2:11" x14ac:dyDescent="0.25">
      <c r="B132">
        <v>-9194</v>
      </c>
      <c r="C132">
        <v>13386</v>
      </c>
      <c r="D132">
        <v>9183</v>
      </c>
      <c r="E132">
        <v>2620</v>
      </c>
      <c r="F132">
        <v>8761</v>
      </c>
      <c r="G132">
        <v>-13091</v>
      </c>
      <c r="H132">
        <v>-3565</v>
      </c>
      <c r="I132">
        <v>-10594</v>
      </c>
      <c r="J132">
        <v>-13368</v>
      </c>
      <c r="K132">
        <v>-2390</v>
      </c>
    </row>
    <row r="133" spans="2:11" x14ac:dyDescent="0.25">
      <c r="B133">
        <v>-15234</v>
      </c>
      <c r="C133">
        <v>5649</v>
      </c>
      <c r="D133">
        <v>-16129</v>
      </c>
      <c r="E133">
        <v>-1544</v>
      </c>
      <c r="F133">
        <v>-43393</v>
      </c>
      <c r="G133">
        <v>1483</v>
      </c>
      <c r="H133">
        <v>4426</v>
      </c>
      <c r="I133">
        <v>383</v>
      </c>
      <c r="J133">
        <v>-9523</v>
      </c>
      <c r="K133">
        <v>2557</v>
      </c>
    </row>
    <row r="134" spans="2:11" x14ac:dyDescent="0.25">
      <c r="B134">
        <v>10526</v>
      </c>
      <c r="C134">
        <v>0</v>
      </c>
      <c r="D134">
        <v>8109</v>
      </c>
      <c r="E134">
        <v>0</v>
      </c>
      <c r="F134">
        <v>9876</v>
      </c>
      <c r="G134">
        <v>-2167</v>
      </c>
      <c r="H134">
        <v>13254</v>
      </c>
      <c r="I134">
        <v>19174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2338</v>
      </c>
      <c r="C145">
        <v>6520</v>
      </c>
      <c r="D145">
        <v>-5236</v>
      </c>
      <c r="E145">
        <v>6099</v>
      </c>
      <c r="F145">
        <v>-5034</v>
      </c>
      <c r="G145">
        <v>3792</v>
      </c>
      <c r="H145">
        <v>882</v>
      </c>
      <c r="I145">
        <v>1115</v>
      </c>
      <c r="J145">
        <v>2200</v>
      </c>
      <c r="K145">
        <v>-3778</v>
      </c>
    </row>
    <row r="146" spans="2:11" x14ac:dyDescent="0.25">
      <c r="B146">
        <v>-1038</v>
      </c>
      <c r="C146">
        <v>-5461</v>
      </c>
      <c r="D146">
        <v>-1379</v>
      </c>
      <c r="E146">
        <v>402</v>
      </c>
      <c r="F146">
        <v>-4400</v>
      </c>
      <c r="G146">
        <v>-2233</v>
      </c>
      <c r="H146">
        <v>-4676</v>
      </c>
      <c r="I146">
        <v>454</v>
      </c>
      <c r="J146">
        <v>-70938</v>
      </c>
      <c r="K146">
        <v>749</v>
      </c>
    </row>
    <row r="147" spans="2:11" x14ac:dyDescent="0.25">
      <c r="B147">
        <v>5635</v>
      </c>
      <c r="C147">
        <v>-830</v>
      </c>
      <c r="D147">
        <v>-1159</v>
      </c>
      <c r="E147">
        <v>1465</v>
      </c>
      <c r="F147">
        <v>2742</v>
      </c>
      <c r="G147">
        <v>0</v>
      </c>
      <c r="H147">
        <v>1810</v>
      </c>
      <c r="I147">
        <v>0</v>
      </c>
      <c r="J147">
        <v>2562</v>
      </c>
      <c r="K147">
        <v>-104</v>
      </c>
    </row>
    <row r="148" spans="2:11" x14ac:dyDescent="0.25">
      <c r="B148">
        <v>4268</v>
      </c>
      <c r="C148">
        <v>2113</v>
      </c>
      <c r="D148">
        <v>7150</v>
      </c>
      <c r="E148">
        <v>0</v>
      </c>
      <c r="F148">
        <v>0</v>
      </c>
      <c r="G148">
        <v>0</v>
      </c>
      <c r="H148">
        <v>-1356</v>
      </c>
      <c r="I148">
        <v>14309</v>
      </c>
      <c r="J148">
        <v>-7673</v>
      </c>
      <c r="K148">
        <v>16076</v>
      </c>
    </row>
    <row r="149" spans="2:11" x14ac:dyDescent="0.25">
      <c r="B149">
        <v>-3262</v>
      </c>
      <c r="C149">
        <v>7816</v>
      </c>
      <c r="D149">
        <v>4256</v>
      </c>
      <c r="E149">
        <v>1370</v>
      </c>
      <c r="F149">
        <v>6597</v>
      </c>
      <c r="G149">
        <v>-7331</v>
      </c>
      <c r="H149">
        <v>-1834</v>
      </c>
      <c r="I149">
        <v>-4094</v>
      </c>
      <c r="J149">
        <v>-1065</v>
      </c>
      <c r="K149">
        <v>790</v>
      </c>
    </row>
    <row r="150" spans="2:11" x14ac:dyDescent="0.25">
      <c r="B150">
        <v>-8868</v>
      </c>
      <c r="C150">
        <v>5638</v>
      </c>
      <c r="D150">
        <v>-9107</v>
      </c>
      <c r="E150">
        <v>669</v>
      </c>
      <c r="F150">
        <v>1464</v>
      </c>
      <c r="G150">
        <v>-3008</v>
      </c>
      <c r="H150">
        <v>4556</v>
      </c>
      <c r="I150">
        <v>888</v>
      </c>
      <c r="J150">
        <v>-2676</v>
      </c>
      <c r="K150">
        <v>3741</v>
      </c>
    </row>
    <row r="151" spans="2:11" x14ac:dyDescent="0.25">
      <c r="B151">
        <v>11745</v>
      </c>
      <c r="C151">
        <v>0</v>
      </c>
      <c r="D151">
        <v>5532</v>
      </c>
      <c r="E151">
        <v>0</v>
      </c>
      <c r="F151">
        <v>6792</v>
      </c>
      <c r="G151">
        <v>-869</v>
      </c>
      <c r="H151">
        <v>8637</v>
      </c>
      <c r="I151">
        <v>4351</v>
      </c>
      <c r="J151">
        <v>5220</v>
      </c>
      <c r="K151">
        <v>0</v>
      </c>
    </row>
    <row r="152" spans="2:11" x14ac:dyDescent="0.25">
      <c r="B152">
        <v>0</v>
      </c>
      <c r="C152">
        <v>0</v>
      </c>
      <c r="D152">
        <v>-38461</v>
      </c>
      <c r="E152">
        <v>-11075</v>
      </c>
      <c r="F152">
        <v>-481</v>
      </c>
      <c r="G152">
        <v>319</v>
      </c>
      <c r="H152">
        <v>-1503</v>
      </c>
      <c r="I152">
        <v>2268</v>
      </c>
      <c r="J152">
        <v>-323</v>
      </c>
      <c r="K152">
        <v>-551</v>
      </c>
    </row>
    <row r="153" spans="2:11" x14ac:dyDescent="0.25">
      <c r="B153">
        <v>-494</v>
      </c>
      <c r="C153">
        <v>-67</v>
      </c>
      <c r="D153">
        <v>738</v>
      </c>
      <c r="E153">
        <v>341</v>
      </c>
      <c r="F153">
        <v>2213</v>
      </c>
      <c r="G153">
        <v>-980</v>
      </c>
      <c r="H153">
        <v>67</v>
      </c>
      <c r="I153">
        <v>321</v>
      </c>
      <c r="J153">
        <v>2254</v>
      </c>
      <c r="K153">
        <v>-5</v>
      </c>
    </row>
    <row r="154" spans="2:11" x14ac:dyDescent="0.25">
      <c r="B154">
        <v>-582</v>
      </c>
      <c r="C154">
        <v>-302</v>
      </c>
      <c r="D154">
        <v>1683</v>
      </c>
      <c r="E154">
        <v>-4897</v>
      </c>
      <c r="F154">
        <v>391</v>
      </c>
      <c r="G154">
        <v>325</v>
      </c>
      <c r="H154">
        <v>781</v>
      </c>
      <c r="I154">
        <v>10675</v>
      </c>
      <c r="J154">
        <v>0</v>
      </c>
      <c r="K154">
        <v>96</v>
      </c>
    </row>
    <row r="155" spans="2:11" x14ac:dyDescent="0.25">
      <c r="B155">
        <v>0</v>
      </c>
      <c r="C155">
        <v>40</v>
      </c>
      <c r="D155">
        <v>-352</v>
      </c>
      <c r="E155">
        <v>1102</v>
      </c>
      <c r="F155">
        <v>-141</v>
      </c>
      <c r="G155">
        <v>5454</v>
      </c>
      <c r="H155">
        <v>0</v>
      </c>
      <c r="I155">
        <v>0</v>
      </c>
      <c r="J155">
        <v>0</v>
      </c>
      <c r="K155">
        <v>-6368</v>
      </c>
    </row>
    <row r="156" spans="2:11" x14ac:dyDescent="0.25">
      <c r="B156">
        <v>-26948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6007</v>
      </c>
      <c r="C160">
        <v>24898</v>
      </c>
      <c r="D160">
        <v>-3816</v>
      </c>
      <c r="E160">
        <v>13113</v>
      </c>
      <c r="F160">
        <v>1809</v>
      </c>
      <c r="G160">
        <v>13020</v>
      </c>
      <c r="H160">
        <v>7565</v>
      </c>
      <c r="I160">
        <v>2273</v>
      </c>
      <c r="J160">
        <v>5975</v>
      </c>
      <c r="K160">
        <v>-12897</v>
      </c>
    </row>
    <row r="161" spans="2:11" x14ac:dyDescent="0.25">
      <c r="B161">
        <v>-3322</v>
      </c>
      <c r="C161">
        <v>486</v>
      </c>
      <c r="D161">
        <v>-10873</v>
      </c>
      <c r="E161">
        <v>-2817</v>
      </c>
      <c r="F161">
        <v>-15280</v>
      </c>
      <c r="G161">
        <v>19856</v>
      </c>
      <c r="H161">
        <v>-17786</v>
      </c>
      <c r="I161">
        <v>-1696</v>
      </c>
      <c r="J161">
        <v>-3523</v>
      </c>
      <c r="K161">
        <v>619</v>
      </c>
    </row>
    <row r="162" spans="2:11" x14ac:dyDescent="0.25">
      <c r="B162">
        <v>-3628</v>
      </c>
      <c r="C162">
        <v>5020</v>
      </c>
      <c r="D162">
        <v>-16145</v>
      </c>
      <c r="E162">
        <v>712</v>
      </c>
      <c r="F162">
        <v>11550</v>
      </c>
      <c r="G162">
        <v>0</v>
      </c>
      <c r="H162">
        <v>7318</v>
      </c>
      <c r="I162">
        <v>0</v>
      </c>
      <c r="J162">
        <v>9257</v>
      </c>
      <c r="K162">
        <v>-4065</v>
      </c>
    </row>
    <row r="163" spans="2:11" x14ac:dyDescent="0.25">
      <c r="B163">
        <v>38602</v>
      </c>
      <c r="C163">
        <v>11690</v>
      </c>
      <c r="D163">
        <v>10477</v>
      </c>
      <c r="E163">
        <v>0</v>
      </c>
      <c r="F163">
        <v>0</v>
      </c>
      <c r="G163">
        <v>0</v>
      </c>
      <c r="H163">
        <v>2319</v>
      </c>
      <c r="I163">
        <v>4769</v>
      </c>
      <c r="J163">
        <v>1545</v>
      </c>
      <c r="K163">
        <v>0</v>
      </c>
    </row>
    <row r="164" spans="2:11" x14ac:dyDescent="0.25">
      <c r="B164">
        <v>24182</v>
      </c>
      <c r="C164">
        <v>64555</v>
      </c>
      <c r="D164">
        <v>-22685</v>
      </c>
      <c r="E164">
        <v>29071</v>
      </c>
      <c r="F164">
        <v>-15404</v>
      </c>
      <c r="G164">
        <v>35007</v>
      </c>
      <c r="H164">
        <v>23528</v>
      </c>
      <c r="I164">
        <v>6748</v>
      </c>
      <c r="J164">
        <v>19896</v>
      </c>
      <c r="K164">
        <v>-33563</v>
      </c>
    </row>
    <row r="165" spans="2:11" x14ac:dyDescent="0.25">
      <c r="B165">
        <v>-9023</v>
      </c>
      <c r="C165">
        <v>-18915</v>
      </c>
      <c r="D165">
        <v>-30618</v>
      </c>
      <c r="E165">
        <v>-5520</v>
      </c>
      <c r="F165">
        <v>-39173</v>
      </c>
      <c r="G165">
        <v>21374</v>
      </c>
      <c r="H165">
        <v>-39705</v>
      </c>
      <c r="I165">
        <v>-2180</v>
      </c>
      <c r="J165">
        <v>-18208</v>
      </c>
      <c r="K165">
        <v>582</v>
      </c>
    </row>
    <row r="166" spans="2:11" x14ac:dyDescent="0.25">
      <c r="B166">
        <v>-9374</v>
      </c>
      <c r="C166">
        <v>4674</v>
      </c>
      <c r="D166">
        <v>-19141</v>
      </c>
      <c r="E166">
        <v>3967</v>
      </c>
      <c r="F166">
        <v>26444</v>
      </c>
      <c r="G166">
        <v>0</v>
      </c>
      <c r="H166">
        <v>19435</v>
      </c>
      <c r="I166">
        <v>0</v>
      </c>
      <c r="J166">
        <v>24074</v>
      </c>
      <c r="K166">
        <v>-4575</v>
      </c>
    </row>
    <row r="167" spans="2:11" x14ac:dyDescent="0.25">
      <c r="B167">
        <v>36453</v>
      </c>
      <c r="C167">
        <v>36244</v>
      </c>
      <c r="D167">
        <v>36427</v>
      </c>
      <c r="E167">
        <v>0</v>
      </c>
      <c r="F167">
        <v>0</v>
      </c>
      <c r="G167">
        <v>0</v>
      </c>
      <c r="H167">
        <v>5595</v>
      </c>
      <c r="I167">
        <v>13818</v>
      </c>
      <c r="J167">
        <v>812</v>
      </c>
      <c r="K167">
        <v>0</v>
      </c>
    </row>
    <row r="168" spans="2:11" x14ac:dyDescent="0.25">
      <c r="B168">
        <v>40470</v>
      </c>
      <c r="C168">
        <v>-7659</v>
      </c>
      <c r="D168">
        <v>16297</v>
      </c>
      <c r="E168">
        <v>-8561</v>
      </c>
      <c r="F168">
        <v>20403</v>
      </c>
      <c r="G168">
        <v>1877</v>
      </c>
      <c r="H168">
        <v>6386</v>
      </c>
      <c r="I168">
        <v>2766</v>
      </c>
      <c r="J168">
        <v>1541</v>
      </c>
      <c r="K168">
        <v>7864</v>
      </c>
    </row>
    <row r="169" spans="2:11" x14ac:dyDescent="0.25">
      <c r="B169">
        <v>-6125</v>
      </c>
      <c r="C169">
        <v>-1271</v>
      </c>
      <c r="D169">
        <v>1221</v>
      </c>
      <c r="E169">
        <v>2324</v>
      </c>
      <c r="F169">
        <v>2507</v>
      </c>
      <c r="G169">
        <v>-7776</v>
      </c>
      <c r="H169">
        <v>13309</v>
      </c>
      <c r="I169">
        <v>-8060</v>
      </c>
      <c r="J169">
        <v>884</v>
      </c>
      <c r="K169">
        <v>-4543</v>
      </c>
    </row>
    <row r="170" spans="2:11" x14ac:dyDescent="0.25">
      <c r="B170">
        <v>354</v>
      </c>
      <c r="C170">
        <v>-1708</v>
      </c>
      <c r="D170">
        <v>7365</v>
      </c>
      <c r="E170">
        <v>-1702</v>
      </c>
      <c r="F170">
        <v>8774</v>
      </c>
      <c r="G170">
        <v>18021</v>
      </c>
      <c r="H170">
        <v>0</v>
      </c>
      <c r="I170">
        <v>6268</v>
      </c>
      <c r="J170">
        <v>0</v>
      </c>
      <c r="K170">
        <v>7468</v>
      </c>
    </row>
    <row r="171" spans="2:11" x14ac:dyDescent="0.25">
      <c r="B171">
        <v>-1032</v>
      </c>
      <c r="C171">
        <v>8416</v>
      </c>
      <c r="D171">
        <v>3703</v>
      </c>
      <c r="E171">
        <v>6402</v>
      </c>
      <c r="F171">
        <v>0</v>
      </c>
      <c r="G171">
        <v>0</v>
      </c>
      <c r="H171">
        <v>0</v>
      </c>
      <c r="I171">
        <v>768</v>
      </c>
      <c r="J171">
        <v>25832</v>
      </c>
      <c r="K171">
        <v>-402</v>
      </c>
    </row>
    <row r="172" spans="2:11" x14ac:dyDescent="0.25">
      <c r="B172">
        <v>0</v>
      </c>
      <c r="C172">
        <v>5541</v>
      </c>
      <c r="D172">
        <v>11082</v>
      </c>
      <c r="E172">
        <v>-11949</v>
      </c>
      <c r="F172">
        <v>-8804</v>
      </c>
      <c r="G172">
        <v>10295</v>
      </c>
      <c r="H172">
        <v>-3095</v>
      </c>
      <c r="I172">
        <v>14183</v>
      </c>
      <c r="J172">
        <v>-2243</v>
      </c>
      <c r="K172">
        <v>-1926</v>
      </c>
    </row>
    <row r="173" spans="2:11" x14ac:dyDescent="0.25">
      <c r="B173">
        <v>-1336</v>
      </c>
      <c r="C173">
        <v>1123</v>
      </c>
      <c r="D173">
        <v>1656</v>
      </c>
      <c r="E173">
        <v>557</v>
      </c>
      <c r="F173">
        <v>14170</v>
      </c>
      <c r="G173">
        <v>191</v>
      </c>
      <c r="H173">
        <v>776</v>
      </c>
      <c r="I173">
        <v>1440</v>
      </c>
      <c r="J173">
        <v>18231</v>
      </c>
      <c r="K173">
        <v>1383</v>
      </c>
    </row>
    <row r="174" spans="2:11" x14ac:dyDescent="0.25">
      <c r="B174">
        <v>-800</v>
      </c>
      <c r="C174">
        <v>6729</v>
      </c>
      <c r="D174">
        <v>305</v>
      </c>
      <c r="E174">
        <v>698</v>
      </c>
      <c r="F174">
        <v>-2035</v>
      </c>
      <c r="G174">
        <v>1232</v>
      </c>
      <c r="H174">
        <v>-4847</v>
      </c>
      <c r="I174">
        <v>6803</v>
      </c>
      <c r="J174">
        <v>0</v>
      </c>
      <c r="K174">
        <v>-1116</v>
      </c>
    </row>
    <row r="175" spans="2:11" x14ac:dyDescent="0.25">
      <c r="B175">
        <v>0</v>
      </c>
      <c r="C175">
        <v>-1575</v>
      </c>
      <c r="D175">
        <v>849</v>
      </c>
      <c r="E175">
        <v>-1031</v>
      </c>
      <c r="F175">
        <v>-423</v>
      </c>
      <c r="G175">
        <v>-2550</v>
      </c>
      <c r="H175">
        <v>0</v>
      </c>
      <c r="I175">
        <v>0</v>
      </c>
      <c r="J175">
        <v>0</v>
      </c>
      <c r="K175">
        <v>212</v>
      </c>
    </row>
    <row r="176" spans="2:11" x14ac:dyDescent="0.25">
      <c r="B176">
        <v>-4535</v>
      </c>
      <c r="C176">
        <v>7193</v>
      </c>
      <c r="D176">
        <v>0</v>
      </c>
      <c r="E176">
        <v>-4162</v>
      </c>
      <c r="F176">
        <v>4609</v>
      </c>
      <c r="G176">
        <v>-67872</v>
      </c>
      <c r="H176">
        <v>-33844</v>
      </c>
      <c r="I176">
        <v>-80602</v>
      </c>
      <c r="J176">
        <v>46284</v>
      </c>
      <c r="K176">
        <v>-48229</v>
      </c>
    </row>
    <row r="177" spans="2:11" x14ac:dyDescent="0.25">
      <c r="B177">
        <v>46995</v>
      </c>
      <c r="C177">
        <v>-47720</v>
      </c>
      <c r="D177">
        <v>-31903</v>
      </c>
      <c r="E177">
        <v>-8740</v>
      </c>
      <c r="F177">
        <v>-32601</v>
      </c>
      <c r="G177">
        <v>46361</v>
      </c>
      <c r="H177">
        <v>12723</v>
      </c>
      <c r="I177">
        <v>52079</v>
      </c>
      <c r="J177">
        <v>35193</v>
      </c>
      <c r="K177">
        <v>5786</v>
      </c>
    </row>
    <row r="178" spans="2:11" x14ac:dyDescent="0.25">
      <c r="B178">
        <v>53957</v>
      </c>
      <c r="C178">
        <v>11049</v>
      </c>
      <c r="D178">
        <v>51534</v>
      </c>
      <c r="E178">
        <v>-1536</v>
      </c>
      <c r="F178">
        <v>33344</v>
      </c>
      <c r="G178">
        <v>-704</v>
      </c>
      <c r="H178">
        <v>13851</v>
      </c>
      <c r="I178">
        <v>3374</v>
      </c>
      <c r="J178">
        <v>13007</v>
      </c>
      <c r="K178">
        <v>-5635</v>
      </c>
    </row>
    <row r="179" spans="2:11" x14ac:dyDescent="0.25">
      <c r="B179">
        <v>-36657</v>
      </c>
      <c r="C179">
        <v>0</v>
      </c>
      <c r="D179">
        <v>-23150</v>
      </c>
      <c r="E179">
        <v>0</v>
      </c>
      <c r="F179">
        <v>-29906</v>
      </c>
      <c r="G179">
        <v>2081</v>
      </c>
      <c r="H179">
        <v>-46017</v>
      </c>
      <c r="I179">
        <v>-25909</v>
      </c>
      <c r="J179">
        <v>-28292</v>
      </c>
      <c r="K179">
        <v>0</v>
      </c>
    </row>
    <row r="180" spans="2:11" x14ac:dyDescent="0.25">
      <c r="B180">
        <v>0</v>
      </c>
      <c r="C180">
        <v>0</v>
      </c>
      <c r="D180">
        <v>-9155</v>
      </c>
      <c r="E180">
        <v>-18609</v>
      </c>
      <c r="F180">
        <v>398</v>
      </c>
      <c r="G180">
        <v>0</v>
      </c>
      <c r="H180">
        <v>-28733</v>
      </c>
      <c r="I180">
        <v>-72155</v>
      </c>
      <c r="J180">
        <v>-17712</v>
      </c>
      <c r="K180">
        <v>2817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FFFF00"/>
  </sheetPr>
  <dimension ref="A1:K44"/>
  <sheetViews>
    <sheetView workbookViewId="0">
      <selection activeCell="M13" sqref="M13"/>
    </sheetView>
  </sheetViews>
  <sheetFormatPr defaultRowHeight="15" x14ac:dyDescent="0.25"/>
  <sheetData>
    <row r="1" spans="1:11" x14ac:dyDescent="0.25">
      <c r="A1" s="46" t="s">
        <v>211</v>
      </c>
      <c r="B1" s="42"/>
      <c r="C1" s="42"/>
      <c r="D1" s="42"/>
      <c r="E1" s="42"/>
      <c r="F1" s="42"/>
      <c r="G1" s="42"/>
      <c r="H1" s="42" t="s">
        <v>212</v>
      </c>
      <c r="I1" s="42"/>
      <c r="J1" s="42"/>
      <c r="K1" s="42"/>
    </row>
    <row r="2" spans="1:11" x14ac:dyDescent="0.25">
      <c r="A2" s="42">
        <v>1</v>
      </c>
      <c r="B2" s="42" t="s">
        <v>263</v>
      </c>
      <c r="C2" s="42"/>
      <c r="D2" s="42"/>
      <c r="E2" s="42"/>
      <c r="F2" s="42"/>
      <c r="G2" s="42"/>
      <c r="H2" s="42"/>
      <c r="I2" s="42"/>
      <c r="J2" s="42"/>
      <c r="K2" s="42"/>
    </row>
    <row r="3" spans="1:11" x14ac:dyDescent="0.25">
      <c r="A3" s="42">
        <v>2</v>
      </c>
      <c r="B3" s="42" t="s">
        <v>214</v>
      </c>
      <c r="C3" s="42"/>
      <c r="D3" s="42"/>
      <c r="E3" s="42"/>
      <c r="F3" s="42"/>
      <c r="G3" s="42"/>
      <c r="H3" s="42"/>
      <c r="I3" s="42"/>
      <c r="J3" s="42"/>
      <c r="K3" s="42"/>
    </row>
    <row r="4" spans="1:11" x14ac:dyDescent="0.25">
      <c r="A4" s="42">
        <v>3</v>
      </c>
      <c r="B4" s="42" t="s">
        <v>215</v>
      </c>
      <c r="C4" s="42"/>
      <c r="D4" s="42"/>
      <c r="E4" s="42"/>
      <c r="F4" s="42"/>
      <c r="G4" s="42"/>
      <c r="H4" s="42"/>
      <c r="I4" s="42"/>
      <c r="J4" s="42"/>
      <c r="K4" s="42"/>
    </row>
    <row r="5" spans="1:11" x14ac:dyDescent="0.25">
      <c r="A5" s="42">
        <v>4</v>
      </c>
      <c r="B5" s="42" t="s">
        <v>216</v>
      </c>
      <c r="C5" s="42"/>
      <c r="D5" s="42"/>
      <c r="E5" s="42"/>
      <c r="F5" s="42"/>
      <c r="G5" s="42"/>
      <c r="H5" s="42"/>
      <c r="I5" s="42"/>
      <c r="J5" s="42"/>
      <c r="K5" s="42"/>
    </row>
    <row r="6" spans="1:1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</row>
    <row r="8" spans="1:11" x14ac:dyDescent="0.25">
      <c r="A8" t="s">
        <v>264</v>
      </c>
      <c r="B8" t="s">
        <v>265</v>
      </c>
      <c r="C8" t="s">
        <v>219</v>
      </c>
      <c r="D8" t="s">
        <v>220</v>
      </c>
    </row>
    <row r="9" spans="1:11" x14ac:dyDescent="0.25">
      <c r="A9" t="s">
        <v>221</v>
      </c>
      <c r="B9" t="s">
        <v>222</v>
      </c>
      <c r="C9" t="s">
        <v>223</v>
      </c>
      <c r="D9" t="s">
        <v>224</v>
      </c>
      <c r="E9">
        <v>4</v>
      </c>
      <c r="F9" s="40">
        <v>0.55491898148148144</v>
      </c>
      <c r="G9" t="s">
        <v>225</v>
      </c>
      <c r="H9">
        <v>25</v>
      </c>
      <c r="I9" t="s">
        <v>266</v>
      </c>
      <c r="J9">
        <v>16</v>
      </c>
    </row>
    <row r="10" spans="1:11" x14ac:dyDescent="0.25">
      <c r="A10" t="s">
        <v>227</v>
      </c>
    </row>
    <row r="11" spans="1:11" x14ac:dyDescent="0.25">
      <c r="B11">
        <v>1</v>
      </c>
      <c r="C11" t="s">
        <v>69</v>
      </c>
      <c r="D11" t="s">
        <v>70</v>
      </c>
      <c r="E11">
        <v>1.1237337000000001</v>
      </c>
      <c r="F11">
        <v>0.30334200688000001</v>
      </c>
    </row>
    <row r="12" spans="1:11" x14ac:dyDescent="0.25">
      <c r="B12">
        <v>2</v>
      </c>
      <c r="C12" t="s">
        <v>74</v>
      </c>
      <c r="D12" t="s">
        <v>70</v>
      </c>
      <c r="E12">
        <v>0.86183609999999999</v>
      </c>
      <c r="F12">
        <v>0.16474248438299999</v>
      </c>
    </row>
    <row r="13" spans="1:11" x14ac:dyDescent="0.25">
      <c r="B13">
        <v>20</v>
      </c>
      <c r="C13" t="s">
        <v>91</v>
      </c>
      <c r="D13" t="s">
        <v>70</v>
      </c>
      <c r="E13">
        <v>-5.6403108</v>
      </c>
      <c r="F13">
        <v>0.98002855584299997</v>
      </c>
    </row>
    <row r="14" spans="1:11" x14ac:dyDescent="0.25">
      <c r="B14">
        <v>30</v>
      </c>
      <c r="C14" t="s">
        <v>84</v>
      </c>
      <c r="D14" t="s">
        <v>70</v>
      </c>
      <c r="E14">
        <v>-5.9141281000000001</v>
      </c>
      <c r="F14">
        <v>0.78965735436999995</v>
      </c>
    </row>
    <row r="15" spans="1:11" x14ac:dyDescent="0.25">
      <c r="B15">
        <v>40</v>
      </c>
      <c r="C15" t="s">
        <v>107</v>
      </c>
      <c r="D15" t="s">
        <v>70</v>
      </c>
      <c r="E15">
        <v>-4.8747011999999996</v>
      </c>
      <c r="F15">
        <v>0.77119785792399997</v>
      </c>
    </row>
    <row r="16" spans="1:11" x14ac:dyDescent="0.25">
      <c r="B16">
        <v>50</v>
      </c>
      <c r="C16" t="s">
        <v>110</v>
      </c>
      <c r="D16" t="s">
        <v>70</v>
      </c>
      <c r="E16">
        <v>-4.1573700000000002</v>
      </c>
      <c r="F16">
        <v>0.771734676954</v>
      </c>
    </row>
    <row r="17" spans="2:11" x14ac:dyDescent="0.25">
      <c r="B17">
        <v>54</v>
      </c>
      <c r="C17" t="s">
        <v>113</v>
      </c>
      <c r="D17" t="s">
        <v>70</v>
      </c>
      <c r="E17">
        <v>0.97510620000000003</v>
      </c>
      <c r="F17">
        <v>0.89739255443099997</v>
      </c>
    </row>
    <row r="18" spans="2:11" x14ac:dyDescent="0.25">
      <c r="B18">
        <v>55</v>
      </c>
      <c r="C18" t="s">
        <v>120</v>
      </c>
      <c r="D18" t="s">
        <v>70</v>
      </c>
      <c r="E18">
        <v>0.1467164</v>
      </c>
      <c r="F18">
        <v>0.36361883445299997</v>
      </c>
    </row>
    <row r="19" spans="2:11" x14ac:dyDescent="0.25">
      <c r="B19">
        <v>58</v>
      </c>
      <c r="C19" t="s">
        <v>126</v>
      </c>
      <c r="D19" t="s">
        <v>70</v>
      </c>
      <c r="E19">
        <v>2.1275970000000002</v>
      </c>
      <c r="F19">
        <v>0.59092289655399999</v>
      </c>
    </row>
    <row r="20" spans="2:11" x14ac:dyDescent="0.25">
      <c r="B20">
        <v>59</v>
      </c>
      <c r="C20" t="s">
        <v>132</v>
      </c>
      <c r="D20" t="s">
        <v>70</v>
      </c>
      <c r="E20">
        <v>1.7497597</v>
      </c>
      <c r="F20">
        <v>0.61586796181699999</v>
      </c>
    </row>
    <row r="21" spans="2:11" x14ac:dyDescent="0.25">
      <c r="B21">
        <v>60</v>
      </c>
      <c r="C21" t="s">
        <v>129</v>
      </c>
      <c r="D21" t="s">
        <v>70</v>
      </c>
      <c r="E21">
        <v>-7.2848658999999998</v>
      </c>
      <c r="F21">
        <v>1.0399279453800001</v>
      </c>
    </row>
    <row r="22" spans="2:11" x14ac:dyDescent="0.25">
      <c r="B22">
        <v>61</v>
      </c>
      <c r="C22" t="s">
        <v>142</v>
      </c>
      <c r="D22" t="s">
        <v>70</v>
      </c>
      <c r="E22" s="29">
        <v>-0.40221770000000001</v>
      </c>
      <c r="F22">
        <v>0.98038106821600002</v>
      </c>
    </row>
    <row r="23" spans="2:11" x14ac:dyDescent="0.25">
      <c r="B23">
        <v>69</v>
      </c>
      <c r="C23" t="s">
        <v>145</v>
      </c>
      <c r="D23" t="s">
        <v>70</v>
      </c>
      <c r="E23">
        <v>2.9044382999999998</v>
      </c>
      <c r="F23">
        <v>1.00067132879</v>
      </c>
    </row>
    <row r="24" spans="2:11" x14ac:dyDescent="0.25">
      <c r="B24">
        <v>79</v>
      </c>
      <c r="C24" t="s">
        <v>150</v>
      </c>
      <c r="D24" t="s">
        <v>97</v>
      </c>
      <c r="E24">
        <v>5</v>
      </c>
      <c r="F24">
        <v>0</v>
      </c>
    </row>
    <row r="25" spans="2:11" x14ac:dyDescent="0.25">
      <c r="B25">
        <v>88</v>
      </c>
      <c r="C25" t="s">
        <v>153</v>
      </c>
      <c r="D25" t="s">
        <v>70</v>
      </c>
      <c r="E25">
        <v>0.53543289999999999</v>
      </c>
      <c r="F25">
        <v>0.40277430181399998</v>
      </c>
    </row>
    <row r="26" spans="2:11" x14ac:dyDescent="0.25">
      <c r="B26">
        <v>89</v>
      </c>
      <c r="C26" t="s">
        <v>154</v>
      </c>
      <c r="D26" t="s">
        <v>70</v>
      </c>
      <c r="E26">
        <v>1.1826209000000001</v>
      </c>
      <c r="F26">
        <v>0.54170029730799996</v>
      </c>
    </row>
    <row r="27" spans="2:11" x14ac:dyDescent="0.25">
      <c r="B27">
        <v>99</v>
      </c>
      <c r="C27" t="s">
        <v>157</v>
      </c>
      <c r="D27" t="s">
        <v>70</v>
      </c>
      <c r="E27">
        <v>0.88959319999999997</v>
      </c>
      <c r="F27">
        <v>0.177685142273</v>
      </c>
    </row>
    <row r="28" spans="2:11" x14ac:dyDescent="0.25">
      <c r="B28">
        <v>-1</v>
      </c>
    </row>
    <row r="29" spans="2:11" x14ac:dyDescent="0.25">
      <c r="B29">
        <v>685</v>
      </c>
      <c r="C29" s="29">
        <v>-726.70858824899994</v>
      </c>
      <c r="D29" s="29">
        <v>-1177.89730981</v>
      </c>
      <c r="E29" s="29">
        <v>-470.20109433499999</v>
      </c>
    </row>
    <row r="30" spans="2:11" x14ac:dyDescent="0.25">
      <c r="B30">
        <v>12</v>
      </c>
      <c r="C30" t="s">
        <v>267</v>
      </c>
      <c r="D30" t="s">
        <v>225</v>
      </c>
      <c r="E30">
        <v>25</v>
      </c>
      <c r="F30" t="s">
        <v>266</v>
      </c>
      <c r="G30">
        <v>16</v>
      </c>
    </row>
    <row r="31" spans="2:11" x14ac:dyDescent="0.25">
      <c r="B31">
        <v>60466</v>
      </c>
      <c r="C31">
        <v>-68272</v>
      </c>
      <c r="D31">
        <v>-87167</v>
      </c>
      <c r="E31">
        <v>-55289</v>
      </c>
      <c r="F31">
        <v>-87980</v>
      </c>
      <c r="G31">
        <v>86738</v>
      </c>
      <c r="H31">
        <v>-53835</v>
      </c>
      <c r="I31">
        <v>-88315</v>
      </c>
      <c r="J31">
        <v>86888</v>
      </c>
      <c r="K31">
        <v>95860</v>
      </c>
    </row>
    <row r="32" spans="2:11" x14ac:dyDescent="0.25">
      <c r="B32">
        <v>-50235</v>
      </c>
      <c r="C32">
        <v>-85098</v>
      </c>
      <c r="D32">
        <v>83444</v>
      </c>
      <c r="E32">
        <v>87632</v>
      </c>
      <c r="F32">
        <v>88445</v>
      </c>
      <c r="G32">
        <v>19745</v>
      </c>
      <c r="H32">
        <v>19431</v>
      </c>
      <c r="I32">
        <v>-20458</v>
      </c>
      <c r="J32">
        <v>-17770</v>
      </c>
      <c r="K32">
        <v>-17861</v>
      </c>
    </row>
    <row r="33" spans="2:11" x14ac:dyDescent="0.25">
      <c r="B33">
        <v>-20944</v>
      </c>
      <c r="C33">
        <v>9632</v>
      </c>
      <c r="D33">
        <v>6089</v>
      </c>
      <c r="E33">
        <v>-7979</v>
      </c>
      <c r="F33">
        <v>-6303</v>
      </c>
      <c r="G33">
        <v>-6311</v>
      </c>
      <c r="H33">
        <v>-9350</v>
      </c>
      <c r="I33">
        <v>7789</v>
      </c>
      <c r="J33">
        <v>47681</v>
      </c>
      <c r="K33">
        <v>66291</v>
      </c>
    </row>
    <row r="34" spans="2:11" x14ac:dyDescent="0.25">
      <c r="B34">
        <v>-69441</v>
      </c>
      <c r="C34">
        <v>-73897</v>
      </c>
      <c r="D34">
        <v>-74455</v>
      </c>
      <c r="E34">
        <v>-90292</v>
      </c>
      <c r="F34">
        <v>16415</v>
      </c>
      <c r="G34">
        <v>-1713</v>
      </c>
      <c r="H34">
        <v>32994</v>
      </c>
      <c r="I34">
        <v>53569</v>
      </c>
      <c r="J34">
        <v>-55282</v>
      </c>
      <c r="K34">
        <v>-60957</v>
      </c>
    </row>
    <row r="35" spans="2:11" x14ac:dyDescent="0.25">
      <c r="B35">
        <v>-61594</v>
      </c>
      <c r="C35">
        <v>-77357</v>
      </c>
      <c r="D35">
        <v>9672</v>
      </c>
      <c r="E35">
        <v>2885</v>
      </c>
      <c r="F35">
        <v>75985</v>
      </c>
      <c r="G35">
        <v>-41009</v>
      </c>
      <c r="H35">
        <v>-55703</v>
      </c>
      <c r="I35">
        <v>55534</v>
      </c>
      <c r="J35">
        <v>54030</v>
      </c>
      <c r="K35">
        <v>54146</v>
      </c>
    </row>
    <row r="36" spans="2:11" x14ac:dyDescent="0.25">
      <c r="B36">
        <v>51988</v>
      </c>
      <c r="C36">
        <v>-11751</v>
      </c>
      <c r="D36">
        <v>-4401</v>
      </c>
      <c r="E36">
        <v>-42013</v>
      </c>
      <c r="F36">
        <v>-33681</v>
      </c>
      <c r="G36">
        <v>-1031</v>
      </c>
      <c r="H36">
        <v>-3418</v>
      </c>
      <c r="I36">
        <v>2538</v>
      </c>
      <c r="J36">
        <v>2591</v>
      </c>
      <c r="K36">
        <v>2667</v>
      </c>
    </row>
    <row r="37" spans="2:11" x14ac:dyDescent="0.25">
      <c r="B37">
        <v>2955</v>
      </c>
      <c r="C37">
        <v>-1172</v>
      </c>
      <c r="D37">
        <v>-571</v>
      </c>
      <c r="E37">
        <v>-2262</v>
      </c>
      <c r="F37">
        <v>-1727</v>
      </c>
      <c r="G37">
        <v>-38807</v>
      </c>
      <c r="H37">
        <v>15036</v>
      </c>
      <c r="I37">
        <v>19760</v>
      </c>
      <c r="J37">
        <v>-20035</v>
      </c>
      <c r="K37">
        <v>-18442</v>
      </c>
    </row>
    <row r="38" spans="2:11" x14ac:dyDescent="0.25">
      <c r="B38">
        <v>-18482</v>
      </c>
      <c r="C38">
        <v>-17860</v>
      </c>
      <c r="D38">
        <v>4060</v>
      </c>
      <c r="E38">
        <v>1627</v>
      </c>
      <c r="F38">
        <v>13398</v>
      </c>
      <c r="G38">
        <v>10431</v>
      </c>
      <c r="H38">
        <v>-64054</v>
      </c>
      <c r="I38">
        <v>91</v>
      </c>
      <c r="J38">
        <v>0</v>
      </c>
      <c r="K38">
        <v>0</v>
      </c>
    </row>
    <row r="39" spans="2:11" x14ac:dyDescent="0.25"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2:11" x14ac:dyDescent="0.25">
      <c r="B40">
        <v>0</v>
      </c>
      <c r="C40">
        <v>12488</v>
      </c>
      <c r="D40">
        <v>28222</v>
      </c>
      <c r="E40">
        <v>-27666</v>
      </c>
      <c r="F40">
        <v>-52453</v>
      </c>
      <c r="G40">
        <v>-53667</v>
      </c>
      <c r="H40">
        <v>-38653</v>
      </c>
      <c r="I40">
        <v>4295</v>
      </c>
      <c r="J40">
        <v>1497</v>
      </c>
      <c r="K40">
        <v>49209</v>
      </c>
    </row>
    <row r="41" spans="2:11" x14ac:dyDescent="0.25">
      <c r="B41">
        <v>32609</v>
      </c>
      <c r="C41">
        <v>-16887</v>
      </c>
      <c r="D41">
        <v>-74</v>
      </c>
      <c r="E41">
        <v>2284</v>
      </c>
      <c r="F41">
        <v>0</v>
      </c>
      <c r="G41">
        <v>23817</v>
      </c>
      <c r="H41">
        <v>42192</v>
      </c>
      <c r="I41">
        <v>-42982</v>
      </c>
      <c r="J41">
        <v>-60247</v>
      </c>
      <c r="K41">
        <v>-61377</v>
      </c>
    </row>
    <row r="42" spans="2:11" x14ac:dyDescent="0.25">
      <c r="B42">
        <v>-49209</v>
      </c>
      <c r="C42">
        <v>3648</v>
      </c>
      <c r="D42">
        <v>1778</v>
      </c>
      <c r="E42">
        <v>44389</v>
      </c>
      <c r="F42">
        <v>65322</v>
      </c>
      <c r="G42">
        <v>-26357</v>
      </c>
      <c r="H42">
        <v>-687</v>
      </c>
      <c r="I42">
        <v>7052</v>
      </c>
      <c r="J42">
        <v>0</v>
      </c>
      <c r="K42">
        <v>51296</v>
      </c>
    </row>
    <row r="43" spans="2:11" x14ac:dyDescent="0.25">
      <c r="B43">
        <v>-72758</v>
      </c>
      <c r="C43">
        <v>-86036</v>
      </c>
      <c r="D43">
        <v>93479</v>
      </c>
      <c r="E43">
        <v>87082</v>
      </c>
      <c r="F43">
        <v>87170</v>
      </c>
      <c r="G43">
        <v>83834</v>
      </c>
      <c r="H43">
        <v>-21378</v>
      </c>
      <c r="I43">
        <v>-9329</v>
      </c>
      <c r="J43">
        <v>-71655</v>
      </c>
      <c r="K43">
        <v>-56223</v>
      </c>
    </row>
    <row r="44" spans="2:11" x14ac:dyDescent="0.25">
      <c r="B44">
        <v>56292</v>
      </c>
      <c r="C44">
        <v>3278</v>
      </c>
      <c r="D44">
        <v>-21409</v>
      </c>
      <c r="E44">
        <v>0</v>
      </c>
      <c r="F44">
        <v>-25667</v>
      </c>
      <c r="G44">
        <v>-42357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00B050"/>
  </sheetPr>
  <dimension ref="A1:BD130"/>
  <sheetViews>
    <sheetView topLeftCell="V40" workbookViewId="0">
      <selection activeCell="AK56" sqref="AK56"/>
    </sheetView>
  </sheetViews>
  <sheetFormatPr defaultRowHeight="15" x14ac:dyDescent="0.25"/>
  <cols>
    <col min="2" max="2" width="14.140625" bestFit="1" customWidth="1" collapsed="1"/>
    <col min="3" max="3" width="10.5703125" bestFit="1" customWidth="1" collapsed="1"/>
    <col min="18" max="18" width="13.85546875" customWidth="1" collapsed="1"/>
    <col min="19" max="19" width="11.7109375" customWidth="1" collapsed="1"/>
    <col min="20" max="20" width="10.140625" customWidth="1" collapsed="1"/>
    <col min="21" max="21" width="10.42578125" customWidth="1" collapsed="1"/>
    <col min="25" max="25" width="17" bestFit="1" customWidth="1" collapsed="1"/>
    <col min="26" max="28" width="10.28515625" bestFit="1" customWidth="1" collapsed="1"/>
    <col min="29" max="29" width="10.85546875" customWidth="1" collapsed="1"/>
    <col min="34" max="34" width="11" bestFit="1" customWidth="1" collapsed="1"/>
    <col min="36" max="36" width="10.28515625" bestFit="1" customWidth="1" collapsed="1"/>
    <col min="38" max="38" width="9.140625" customWidth="1" collapsed="1"/>
    <col min="39" max="39" width="11" bestFit="1" customWidth="1" collapsed="1"/>
    <col min="40" max="41" width="9.28515625" bestFit="1" customWidth="1" collapsed="1"/>
    <col min="43" max="43" width="9.140625" customWidth="1" collapsed="1"/>
    <col min="48" max="48" width="9.140625" customWidth="1" collapsed="1"/>
    <col min="49" max="49" width="11.7109375" bestFit="1" customWidth="1" collapsed="1"/>
    <col min="50" max="51" width="12.7109375" bestFit="1" customWidth="1" collapsed="1"/>
    <col min="53" max="53" width="9.140625" customWidth="1" collapsed="1"/>
  </cols>
  <sheetData>
    <row r="1" spans="2:56" x14ac:dyDescent="0.25">
      <c r="R1" s="30" t="s">
        <v>268</v>
      </c>
      <c r="S1" s="48"/>
      <c r="T1" s="48"/>
      <c r="U1" s="48"/>
      <c r="V1" s="48"/>
      <c r="AG1" s="30" t="s">
        <v>269</v>
      </c>
      <c r="AL1" s="30" t="s">
        <v>270</v>
      </c>
      <c r="AQ1" s="30" t="s">
        <v>271</v>
      </c>
      <c r="AV1" s="30" t="s">
        <v>272</v>
      </c>
      <c r="BA1" s="30" t="s">
        <v>273</v>
      </c>
    </row>
    <row r="2" spans="2:56" x14ac:dyDescent="0.25">
      <c r="B2" t="s">
        <v>274</v>
      </c>
      <c r="R2" s="48"/>
      <c r="S2" s="30" t="s">
        <v>275</v>
      </c>
      <c r="U2" s="48"/>
      <c r="V2" s="48"/>
      <c r="AI2" s="41" t="s">
        <v>276</v>
      </c>
      <c r="AJ2" s="41" t="s">
        <v>277</v>
      </c>
      <c r="AN2" s="41" t="s">
        <v>276</v>
      </c>
      <c r="AO2" s="41" t="s">
        <v>277</v>
      </c>
      <c r="AS2" s="41" t="s">
        <v>276</v>
      </c>
      <c r="AT2" s="41" t="s">
        <v>277</v>
      </c>
      <c r="AX2" s="41" t="s">
        <v>276</v>
      </c>
      <c r="AY2" s="41" t="s">
        <v>277</v>
      </c>
      <c r="BC2" s="41" t="s">
        <v>276</v>
      </c>
      <c r="BD2" s="41" t="s">
        <v>277</v>
      </c>
    </row>
    <row r="3" spans="2:56" ht="15.75" customHeight="1" thickBot="1" x14ac:dyDescent="0.3">
      <c r="R3">
        <v>1</v>
      </c>
      <c r="S3" s="49" t="s">
        <v>278</v>
      </c>
      <c r="U3" s="48"/>
      <c r="V3" s="48"/>
      <c r="AG3">
        <f>WorkCoefficients!B11</f>
        <v>1</v>
      </c>
      <c r="AH3" t="str">
        <f>WorkCoefficients!C11</f>
        <v>costutil</v>
      </c>
      <c r="AI3">
        <f>WorkCoefficients!E11</f>
        <v>0.98306756399999995</v>
      </c>
      <c r="AJ3" s="70">
        <f t="shared" ref="AJ3:AJ34" si="0">_xlfn.IFNA(VLOOKUP(AG3,$S$55:$AD$62,8,FALSE),_xlfn.IFNA(VLOOKUP(AG3, $Z$106:$AC$130,2,FALSE),AI3))</f>
        <v>0.98306756399999995</v>
      </c>
      <c r="AL3">
        <f>SchoolCoeffcients!B11</f>
        <v>1</v>
      </c>
      <c r="AM3" t="str">
        <f>SchoolCoeffcients!C11</f>
        <v>costutil</v>
      </c>
      <c r="AN3" s="43">
        <f>SchoolCoeffcients!E11</f>
        <v>1.6366214969999999</v>
      </c>
      <c r="AO3" s="47">
        <f t="shared" ref="AO3:AO34" si="1">_xlfn.IFNA(VLOOKUP(AL3,$T$55:$AD$62,8,FALSE),_xlfn.IFNA(VLOOKUP(AL3, $Z$106:$AC$130,3,FALSE),AN3))</f>
        <v>1.6366214969999999</v>
      </c>
      <c r="AQ3">
        <f>EscortCoefficients!B11</f>
        <v>2</v>
      </c>
      <c r="AR3" t="str">
        <f>EscortCoefficients!C11</f>
        <v>timeutil</v>
      </c>
      <c r="AS3">
        <f>EscortCoefficients!E11</f>
        <v>2.5944321850000001</v>
      </c>
      <c r="AT3" s="47">
        <f t="shared" ref="AT3:AT18" si="2">_xlfn.IFNA(VLOOKUP(AQ3,$U$55:$AD$62,8,FALSE),AS3)</f>
        <v>2.5944321850000001</v>
      </c>
      <c r="AV3">
        <f>OtherCoefficients!B11</f>
        <v>1</v>
      </c>
      <c r="AW3" t="str">
        <f>OtherCoefficients!C11</f>
        <v>costutil</v>
      </c>
      <c r="AX3">
        <f>OtherCoefficients!E11</f>
        <v>0.46184606099999997</v>
      </c>
      <c r="AY3" s="47">
        <f t="shared" ref="AY3:AY34" si="3">_xlfn.IFNA(VLOOKUP(AV3,$V$55:$AD$62,8,FALSE),_xlfn.IFNA(VLOOKUP(AV3, $Z$106:$AC$130,4,FALSE),AX3))</f>
        <v>0.46184606099999997</v>
      </c>
      <c r="BA3">
        <f>WorkBasedCoefficients!B11</f>
        <v>1</v>
      </c>
      <c r="BB3" t="str">
        <f>WorkBasedCoefficients!C11</f>
        <v>costutil</v>
      </c>
      <c r="BC3">
        <f>WorkBasedCoefficients!E11</f>
        <v>1.1237337000000001</v>
      </c>
      <c r="BD3" s="47">
        <f t="shared" ref="BD3:BD19" si="4">_xlfn.IFNA(VLOOKUP(BA3,$W$55:$AD$62,8,FALSE),BC3)</f>
        <v>1.1237337000000001</v>
      </c>
    </row>
    <row r="4" spans="2:56" x14ac:dyDescent="0.25">
      <c r="B4" s="2" t="s">
        <v>2</v>
      </c>
      <c r="C4" s="2" t="s">
        <v>279</v>
      </c>
      <c r="D4" s="2" t="s">
        <v>280</v>
      </c>
      <c r="E4" s="2" t="s">
        <v>255</v>
      </c>
      <c r="F4" s="2" t="s">
        <v>260</v>
      </c>
      <c r="G4" s="2" t="s">
        <v>281</v>
      </c>
      <c r="R4">
        <v>2</v>
      </c>
      <c r="S4" s="49" t="s">
        <v>282</v>
      </c>
      <c r="U4" s="48"/>
      <c r="V4" s="48"/>
      <c r="AG4">
        <f>WorkCoefficients!B12</f>
        <v>2</v>
      </c>
      <c r="AH4" t="str">
        <f>WorkCoefficients!C12</f>
        <v>timeutil</v>
      </c>
      <c r="AI4">
        <f>WorkCoefficients!E12</f>
        <v>0.51430888699999999</v>
      </c>
      <c r="AJ4" s="70">
        <f t="shared" si="0"/>
        <v>0.51430888699999999</v>
      </c>
      <c r="AL4">
        <f>SchoolCoeffcients!B12</f>
        <v>2</v>
      </c>
      <c r="AM4" t="str">
        <f>SchoolCoeffcients!C12</f>
        <v>timeutil</v>
      </c>
      <c r="AN4" s="43">
        <f>SchoolCoeffcients!E12</f>
        <v>0.91289459500000003</v>
      </c>
      <c r="AO4" s="47">
        <f t="shared" si="1"/>
        <v>0.91289459500000003</v>
      </c>
      <c r="AQ4">
        <f>EscortCoefficients!B12</f>
        <v>30</v>
      </c>
      <c r="AR4" s="42" t="str">
        <f>EscortCoefficients!C12</f>
        <v>s3-const</v>
      </c>
      <c r="AS4" s="42">
        <f>EscortCoefficients!E12</f>
        <v>-1.160280357</v>
      </c>
      <c r="AT4" s="47">
        <f t="shared" si="2"/>
        <v>-1.113584922304611</v>
      </c>
      <c r="AV4">
        <f>OtherCoefficients!B12</f>
        <v>2</v>
      </c>
      <c r="AW4" t="str">
        <f>OtherCoefficients!C12</f>
        <v>timeutil</v>
      </c>
      <c r="AX4">
        <f>OtherCoefficients!E12</f>
        <v>0.65961163700000003</v>
      </c>
      <c r="AY4" s="47">
        <f t="shared" si="3"/>
        <v>0.65961163700000003</v>
      </c>
      <c r="BA4">
        <f>WorkBasedCoefficients!B12</f>
        <v>2</v>
      </c>
      <c r="BB4" t="str">
        <f>WorkBasedCoefficients!C12</f>
        <v>timeutil</v>
      </c>
      <c r="BC4">
        <f>WorkBasedCoefficients!E12</f>
        <v>0.86183609999999999</v>
      </c>
      <c r="BD4" s="47">
        <f t="shared" si="4"/>
        <v>0.86183609999999999</v>
      </c>
    </row>
    <row r="5" spans="2:56" x14ac:dyDescent="0.25">
      <c r="B5" s="9" t="s">
        <v>4</v>
      </c>
      <c r="C5" t="s">
        <v>283</v>
      </c>
      <c r="D5" t="s">
        <v>283</v>
      </c>
      <c r="E5" s="32" t="s">
        <v>283</v>
      </c>
      <c r="F5" t="s">
        <v>283</v>
      </c>
      <c r="G5" t="s">
        <v>283</v>
      </c>
      <c r="R5">
        <v>3</v>
      </c>
      <c r="S5" s="48" t="s">
        <v>284</v>
      </c>
      <c r="T5" s="48"/>
      <c r="U5" s="48"/>
      <c r="V5" s="48"/>
      <c r="AG5">
        <f>WorkCoefficients!B13</f>
        <v>10</v>
      </c>
      <c r="AH5" s="42" t="str">
        <f>WorkCoefficients!C13</f>
        <v>dt-const</v>
      </c>
      <c r="AI5" s="42">
        <f>WorkCoefficients!E13</f>
        <v>-4.1251959730000003</v>
      </c>
      <c r="AJ5" s="70">
        <f t="shared" si="0"/>
        <v>-4.7461823576649875</v>
      </c>
      <c r="AL5">
        <f>SchoolCoeffcients!B13</f>
        <v>10</v>
      </c>
      <c r="AM5" s="42" t="str">
        <f>SchoolCoeffcients!C13</f>
        <v>sb-const</v>
      </c>
      <c r="AN5" s="44">
        <f>SchoolCoeffcients!E13</f>
        <v>-0.27978488299999998</v>
      </c>
      <c r="AO5" s="47">
        <f t="shared" si="1"/>
        <v>3.6832889638159401</v>
      </c>
      <c r="AQ5">
        <f>EscortCoefficients!B13</f>
        <v>31</v>
      </c>
      <c r="AR5" t="str">
        <f>EscortCoefficients!C13</f>
        <v>s3-hhcu5</v>
      </c>
      <c r="AS5">
        <f>EscortCoefficients!E13</f>
        <v>1.335394824</v>
      </c>
      <c r="AT5" s="47">
        <f t="shared" si="2"/>
        <v>1.335394824</v>
      </c>
      <c r="AV5">
        <f>OtherCoefficients!B13</f>
        <v>20</v>
      </c>
      <c r="AW5" s="42" t="str">
        <f>OtherCoefficients!C13</f>
        <v>wt-const</v>
      </c>
      <c r="AX5" s="42">
        <f>OtherCoefficients!E13</f>
        <v>-3.2974451419999999</v>
      </c>
      <c r="AY5" s="47">
        <f t="shared" si="3"/>
        <v>-2.950383942417989</v>
      </c>
      <c r="BA5">
        <f>WorkBasedCoefficients!B13</f>
        <v>20</v>
      </c>
      <c r="BB5" s="42" t="str">
        <f>WorkBasedCoefficients!C13</f>
        <v>wt-const</v>
      </c>
      <c r="BC5" s="42">
        <f>WorkBasedCoefficients!E13</f>
        <v>-5.6403108</v>
      </c>
      <c r="BD5" s="47">
        <f t="shared" si="4"/>
        <v>-6.696808093571077</v>
      </c>
    </row>
    <row r="6" spans="2:56" x14ac:dyDescent="0.25">
      <c r="B6" s="9" t="s">
        <v>5</v>
      </c>
      <c r="C6" t="s">
        <v>283</v>
      </c>
      <c r="D6" t="s">
        <v>283</v>
      </c>
      <c r="E6" t="s">
        <v>283</v>
      </c>
      <c r="F6" t="s">
        <v>283</v>
      </c>
      <c r="G6" t="s">
        <v>283</v>
      </c>
      <c r="R6">
        <v>4</v>
      </c>
      <c r="S6" s="48" t="s">
        <v>285</v>
      </c>
      <c r="T6" s="48"/>
      <c r="U6" s="48"/>
      <c r="V6" s="48"/>
      <c r="AG6">
        <f>WorkCoefficients!B14</f>
        <v>11</v>
      </c>
      <c r="AH6" t="str">
        <f>WorkCoefficients!C14</f>
        <v>dt-nocars</v>
      </c>
      <c r="AI6">
        <f>WorkCoefficients!E14</f>
        <v>-2.5630624740000001</v>
      </c>
      <c r="AJ6" s="70">
        <f t="shared" si="0"/>
        <v>-2.5630624740000001</v>
      </c>
      <c r="AL6">
        <f>SchoolCoeffcients!B14</f>
        <v>17</v>
      </c>
      <c r="AM6" t="str">
        <f>SchoolCoeffcients!C14</f>
        <v>sb-chun5</v>
      </c>
      <c r="AN6" s="43">
        <f>SchoolCoeffcients!E14</f>
        <v>-5.7474999999999996</v>
      </c>
      <c r="AO6" s="47">
        <f t="shared" si="1"/>
        <v>-5.7474999999999996</v>
      </c>
      <c r="AQ6">
        <f>EscortCoefficients!B14</f>
        <v>32</v>
      </c>
      <c r="AR6" t="str">
        <f>EscortCoefficients!C14</f>
        <v>s3-hh515</v>
      </c>
      <c r="AS6">
        <f>EscortCoefficients!E14</f>
        <v>0.52987540499999997</v>
      </c>
      <c r="AT6" s="47">
        <f t="shared" si="2"/>
        <v>0.52987540499999997</v>
      </c>
      <c r="AV6">
        <f>OtherCoefficients!B14</f>
        <v>21</v>
      </c>
      <c r="AW6" t="str">
        <f>OtherCoefficients!C14</f>
        <v>wt-nocars</v>
      </c>
      <c r="AX6">
        <f>OtherCoefficients!E14</f>
        <v>1.591760566</v>
      </c>
      <c r="AY6" s="47">
        <f t="shared" si="3"/>
        <v>1.591760566</v>
      </c>
      <c r="BA6">
        <f>WorkBasedCoefficients!B14</f>
        <v>30</v>
      </c>
      <c r="BB6" s="42" t="str">
        <f>WorkBasedCoefficients!C14</f>
        <v>s3-const</v>
      </c>
      <c r="BC6" s="42">
        <f>WorkBasedCoefficients!E14</f>
        <v>-5.9141281000000001</v>
      </c>
      <c r="BD6" s="47">
        <f t="shared" si="4"/>
        <v>-7.0395773851808574</v>
      </c>
    </row>
    <row r="7" spans="2:56" x14ac:dyDescent="0.25">
      <c r="B7" s="9" t="s">
        <v>6</v>
      </c>
      <c r="C7" t="s">
        <v>283</v>
      </c>
      <c r="D7" t="s">
        <v>283</v>
      </c>
      <c r="E7" t="s">
        <v>283</v>
      </c>
      <c r="F7" t="s">
        <v>283</v>
      </c>
      <c r="G7" t="s">
        <v>283</v>
      </c>
      <c r="R7" s="48">
        <v>5</v>
      </c>
      <c r="S7" s="48" t="s">
        <v>286</v>
      </c>
      <c r="T7" s="48"/>
      <c r="U7" s="48"/>
      <c r="V7" s="48"/>
      <c r="AG7">
        <f>WorkCoefficients!B15</f>
        <v>13</v>
      </c>
      <c r="AH7" t="str">
        <f>WorkCoefficients!C15</f>
        <v>dt-carsltw</v>
      </c>
      <c r="AI7">
        <f>WorkCoefficients!E15</f>
        <v>-1.185149333</v>
      </c>
      <c r="AJ7" s="70">
        <f t="shared" si="0"/>
        <v>-1.185149333</v>
      </c>
      <c r="AL7">
        <f>SchoolCoeffcients!B15</f>
        <v>18</v>
      </c>
      <c r="AM7" t="str">
        <f>SchoolCoeffcients!C15</f>
        <v>sb-univtr</v>
      </c>
      <c r="AN7" s="43">
        <f>SchoolCoeffcients!E15</f>
        <v>-5.2693623949999999</v>
      </c>
      <c r="AO7" s="47">
        <f t="shared" si="1"/>
        <v>-5.2693623949999999</v>
      </c>
      <c r="AQ7">
        <f>EscortCoefficients!B15</f>
        <v>33</v>
      </c>
      <c r="AR7" t="str">
        <f>EscortCoefficients!C15</f>
        <v>s3-hhdas</v>
      </c>
      <c r="AS7">
        <f>EscortCoefficients!E15</f>
        <v>0.276830511</v>
      </c>
      <c r="AT7" s="47">
        <f t="shared" si="2"/>
        <v>0.276830511</v>
      </c>
      <c r="AV7">
        <f>OtherCoefficients!B15</f>
        <v>30</v>
      </c>
      <c r="AW7" s="42" t="str">
        <f>OtherCoefficients!C15</f>
        <v>s3-const</v>
      </c>
      <c r="AX7" s="42">
        <f>OtherCoefficients!E15</f>
        <v>-1.911034796</v>
      </c>
      <c r="AY7" s="47">
        <f t="shared" si="3"/>
        <v>-2.0992494260758829</v>
      </c>
      <c r="BA7">
        <f>WorkBasedCoefficients!B15</f>
        <v>40</v>
      </c>
      <c r="BB7" s="42" t="str">
        <f>WorkBasedCoefficients!C15</f>
        <v>s2-const</v>
      </c>
      <c r="BC7" s="42">
        <f>WorkBasedCoefficients!E15</f>
        <v>-4.8747011999999996</v>
      </c>
      <c r="BD7" s="47">
        <f t="shared" si="4"/>
        <v>-6.0153158152275683</v>
      </c>
    </row>
    <row r="8" spans="2:56" x14ac:dyDescent="0.25">
      <c r="B8" s="9" t="s">
        <v>7</v>
      </c>
      <c r="C8" t="s">
        <v>283</v>
      </c>
      <c r="R8" s="48"/>
      <c r="S8" s="48"/>
      <c r="T8" s="48"/>
      <c r="U8" s="48"/>
      <c r="V8" s="48"/>
      <c r="AG8">
        <f>WorkCoefficients!B16</f>
        <v>20</v>
      </c>
      <c r="AH8" s="42" t="str">
        <f>WorkCoefficients!C16</f>
        <v>wt-const</v>
      </c>
      <c r="AI8" s="42">
        <f>WorkCoefficients!E16</f>
        <v>-3.0344243999999998</v>
      </c>
      <c r="AJ8" s="70">
        <f t="shared" si="0"/>
        <v>-3.0675662934353496</v>
      </c>
      <c r="AL8">
        <f>SchoolCoeffcients!B16</f>
        <v>20</v>
      </c>
      <c r="AM8" s="42" t="str">
        <f>SchoolCoeffcients!C16</f>
        <v>wt-const</v>
      </c>
      <c r="AN8" s="44">
        <f>SchoolCoeffcients!E16</f>
        <v>-4.4278629379999996</v>
      </c>
      <c r="AO8" s="47">
        <f t="shared" si="1"/>
        <v>-4.8859711811360489</v>
      </c>
      <c r="AQ8">
        <f>EscortCoefficients!B16</f>
        <v>40</v>
      </c>
      <c r="AR8" s="42" t="str">
        <f>EscortCoefficients!C16</f>
        <v>s2-const</v>
      </c>
      <c r="AS8" s="42">
        <f>EscortCoefficients!E16</f>
        <v>-2.5111504E-2</v>
      </c>
      <c r="AT8" s="47">
        <f t="shared" si="2"/>
        <v>-0.23318931041503982</v>
      </c>
      <c r="AV8">
        <f>OtherCoefficients!B16</f>
        <v>31</v>
      </c>
      <c r="AW8" t="str">
        <f>OtherCoefficients!C16</f>
        <v>sr-hhcu5</v>
      </c>
      <c r="AX8">
        <f>OtherCoefficients!E16</f>
        <v>0.51412339799999995</v>
      </c>
      <c r="AY8" s="47">
        <f t="shared" si="3"/>
        <v>0.51412339799999995</v>
      </c>
      <c r="BA8">
        <f>WorkBasedCoefficients!B16</f>
        <v>50</v>
      </c>
      <c r="BB8" s="42" t="str">
        <f>WorkBasedCoefficients!C16</f>
        <v>da-const</v>
      </c>
      <c r="BC8" s="42">
        <f>WorkBasedCoefficients!E16</f>
        <v>-4.1573700000000002</v>
      </c>
      <c r="BD8" s="47">
        <f t="shared" si="4"/>
        <v>-5.2223197736482785</v>
      </c>
    </row>
    <row r="9" spans="2:56" x14ac:dyDescent="0.25">
      <c r="B9" s="9" t="s">
        <v>8</v>
      </c>
      <c r="C9" t="s">
        <v>283</v>
      </c>
      <c r="D9" t="s">
        <v>283</v>
      </c>
      <c r="F9" t="s">
        <v>283</v>
      </c>
      <c r="G9" t="s">
        <v>283</v>
      </c>
      <c r="R9" s="48"/>
      <c r="S9" s="50" t="s">
        <v>287</v>
      </c>
      <c r="T9" s="48"/>
      <c r="U9" s="48"/>
      <c r="V9" s="48"/>
      <c r="AG9">
        <f>WorkCoefficients!B17</f>
        <v>30</v>
      </c>
      <c r="AH9" s="42" t="str">
        <f>WorkCoefficients!C17</f>
        <v>s3-const</v>
      </c>
      <c r="AI9" s="42">
        <f>WorkCoefficients!E17</f>
        <v>-2.6026901850000002</v>
      </c>
      <c r="AJ9" s="70">
        <f t="shared" si="0"/>
        <v>-2.74309028641084</v>
      </c>
      <c r="AL9">
        <f>SchoolCoeffcients!B17</f>
        <v>21</v>
      </c>
      <c r="AM9" t="str">
        <f>SchoolCoeffcients!C17</f>
        <v>wt-nocars</v>
      </c>
      <c r="AN9" s="43">
        <f>SchoolCoeffcients!E17</f>
        <v>-5.0045351000000002E-2</v>
      </c>
      <c r="AO9" s="47">
        <f t="shared" si="1"/>
        <v>-5.0045351000000002E-2</v>
      </c>
      <c r="AQ9">
        <f>EscortCoefficients!B17</f>
        <v>41</v>
      </c>
      <c r="AR9" t="str">
        <f>EscortCoefficients!C17</f>
        <v>sr-nocars</v>
      </c>
      <c r="AS9">
        <f>EscortCoefficients!E17</f>
        <v>-5.9139999999999997</v>
      </c>
      <c r="AT9" s="47">
        <f t="shared" si="2"/>
        <v>-5.9139999999999997</v>
      </c>
      <c r="AV9">
        <f>OtherCoefficients!B17</f>
        <v>32</v>
      </c>
      <c r="AW9" t="str">
        <f>OtherCoefficients!C17</f>
        <v>sr-hh515</v>
      </c>
      <c r="AX9">
        <f>OtherCoefficients!E17</f>
        <v>0.22481870400000001</v>
      </c>
      <c r="AY9" s="47">
        <f t="shared" si="3"/>
        <v>0.22481870400000001</v>
      </c>
      <c r="BA9">
        <f>WorkBasedCoefficients!B17</f>
        <v>54</v>
      </c>
      <c r="BB9" t="str">
        <f>WorkBasedCoefficients!C17</f>
        <v>da-incu25</v>
      </c>
      <c r="BC9">
        <f>WorkBasedCoefficients!E17</f>
        <v>0.97510620000000003</v>
      </c>
      <c r="BD9" s="47">
        <f t="shared" si="4"/>
        <v>0.97510620000000003</v>
      </c>
    </row>
    <row r="10" spans="2:56" x14ac:dyDescent="0.25">
      <c r="B10" s="9" t="s">
        <v>9</v>
      </c>
      <c r="C10" t="s">
        <v>283</v>
      </c>
      <c r="D10" t="s">
        <v>283</v>
      </c>
      <c r="E10" t="s">
        <v>283</v>
      </c>
      <c r="F10" t="s">
        <v>283</v>
      </c>
      <c r="G10" t="s">
        <v>283</v>
      </c>
      <c r="R10" s="48">
        <v>1</v>
      </c>
      <c r="S10" s="49" t="s">
        <v>278</v>
      </c>
      <c r="T10" s="48"/>
      <c r="U10" s="48"/>
      <c r="V10" s="48"/>
      <c r="AG10">
        <f>WorkCoefficients!B18</f>
        <v>31</v>
      </c>
      <c r="AH10" t="str">
        <f>WorkCoefficients!C18</f>
        <v>sr-hhcu5</v>
      </c>
      <c r="AI10">
        <f>WorkCoefficients!E18</f>
        <v>0</v>
      </c>
      <c r="AJ10" s="70">
        <f t="shared" si="0"/>
        <v>0</v>
      </c>
      <c r="AL10">
        <f>SchoolCoeffcients!B18</f>
        <v>22</v>
      </c>
      <c r="AM10" t="str">
        <f>SchoolCoeffcients!C18</f>
        <v>wt-carsltd</v>
      </c>
      <c r="AN10" s="43">
        <f>SchoolCoeffcients!E18</f>
        <v>-5.0746489999999998E-2</v>
      </c>
      <c r="AO10" s="47">
        <f t="shared" si="1"/>
        <v>-5.0746489999999998E-2</v>
      </c>
      <c r="AQ10">
        <f>EscortCoefficients!B18</f>
        <v>42</v>
      </c>
      <c r="AR10" t="str">
        <f>EscortCoefficients!C18</f>
        <v>sr-carsltd</v>
      </c>
      <c r="AS10">
        <f>EscortCoefficients!E18</f>
        <v>1.7160893999999999E-2</v>
      </c>
      <c r="AT10" s="47">
        <f t="shared" si="2"/>
        <v>1.7160893999999999E-2</v>
      </c>
      <c r="AV10">
        <f>OtherCoefficients!B18</f>
        <v>34</v>
      </c>
      <c r="AW10" t="str">
        <f>OtherCoefficients!C18</f>
        <v>sr-hhnwa</v>
      </c>
      <c r="AX10">
        <f>OtherCoefficients!E18</f>
        <v>0.113320322</v>
      </c>
      <c r="AY10" s="47">
        <f t="shared" si="3"/>
        <v>0.113320322</v>
      </c>
      <c r="BA10">
        <f>WorkBasedCoefficients!B18</f>
        <v>55</v>
      </c>
      <c r="BB10" t="str">
        <f>WorkBasedCoefficients!C18</f>
        <v>da-inc2550</v>
      </c>
      <c r="BC10">
        <f>WorkBasedCoefficients!E18</f>
        <v>0.1467164</v>
      </c>
      <c r="BD10" s="47">
        <f t="shared" si="4"/>
        <v>0.1467164</v>
      </c>
    </row>
    <row r="11" spans="2:56" x14ac:dyDescent="0.25">
      <c r="B11" s="9" t="s">
        <v>10</v>
      </c>
      <c r="R11" s="48">
        <v>2</v>
      </c>
      <c r="S11" s="48" t="s">
        <v>288</v>
      </c>
      <c r="T11" s="48"/>
      <c r="U11" s="48"/>
      <c r="V11" s="48"/>
      <c r="AG11">
        <f>WorkCoefficients!B19</f>
        <v>32</v>
      </c>
      <c r="AH11" t="str">
        <f>WorkCoefficients!C19</f>
        <v>sr-hh515</v>
      </c>
      <c r="AI11">
        <f>WorkCoefficients!E19</f>
        <v>0.44708751299999999</v>
      </c>
      <c r="AJ11" s="70">
        <f t="shared" si="0"/>
        <v>0.44708751299999999</v>
      </c>
      <c r="AL11">
        <f>SchoolCoeffcients!B19</f>
        <v>27</v>
      </c>
      <c r="AM11" t="str">
        <f>SchoolCoeffcients!C19</f>
        <v>wt-chun5</v>
      </c>
      <c r="AN11" s="43">
        <f>SchoolCoeffcients!E19</f>
        <v>-5</v>
      </c>
      <c r="AO11" s="47">
        <f t="shared" si="1"/>
        <v>-5</v>
      </c>
      <c r="AQ11">
        <f>EscortCoefficients!B19</f>
        <v>50</v>
      </c>
      <c r="AR11" t="str">
        <f>EscortCoefficients!C19</f>
        <v>hov-const</v>
      </c>
      <c r="AS11">
        <f>EscortCoefficients!E19</f>
        <v>-8.5658758939999995</v>
      </c>
      <c r="AT11" s="47">
        <f t="shared" si="2"/>
        <v>-3.5894690086711352</v>
      </c>
      <c r="AV11">
        <f>OtherCoefficients!B19</f>
        <v>35</v>
      </c>
      <c r="AW11" t="str">
        <f>OtherCoefficients!C19</f>
        <v>sr-lndist</v>
      </c>
      <c r="AX11">
        <f>OtherCoefficients!E19</f>
        <v>0.15232257399999999</v>
      </c>
      <c r="AY11" s="47">
        <f t="shared" si="3"/>
        <v>0.15232257399999999</v>
      </c>
      <c r="BA11">
        <f>WorkBasedCoefficients!B19</f>
        <v>58</v>
      </c>
      <c r="BB11" t="str">
        <f>WorkBasedCoefficients!C19</f>
        <v>da-dtowork</v>
      </c>
      <c r="BC11">
        <f>WorkBasedCoefficients!E19</f>
        <v>2.1275970000000002</v>
      </c>
      <c r="BD11" s="47">
        <f t="shared" si="4"/>
        <v>2.1275970000000002</v>
      </c>
    </row>
    <row r="12" spans="2:56" x14ac:dyDescent="0.25">
      <c r="B12" s="12" t="s">
        <v>11</v>
      </c>
      <c r="D12" t="s">
        <v>283</v>
      </c>
      <c r="R12" s="48">
        <v>3</v>
      </c>
      <c r="S12" s="48" t="s">
        <v>289</v>
      </c>
      <c r="T12" s="48"/>
      <c r="U12" s="48"/>
      <c r="V12" s="48"/>
      <c r="AG12">
        <f>WorkCoefficients!B20</f>
        <v>35</v>
      </c>
      <c r="AH12" t="str">
        <f>WorkCoefficients!C20</f>
        <v>sr-lndist</v>
      </c>
      <c r="AI12">
        <f>WorkCoefficients!E20</f>
        <v>-0.35387644200000001</v>
      </c>
      <c r="AJ12" s="70">
        <f t="shared" si="0"/>
        <v>-0.35387644200000001</v>
      </c>
      <c r="AL12">
        <f>SchoolCoeffcients!B20</f>
        <v>28</v>
      </c>
      <c r="AM12" t="str">
        <f>SchoolCoeffcients!C20</f>
        <v>wt-univtr</v>
      </c>
      <c r="AN12" s="43">
        <f>SchoolCoeffcients!E20</f>
        <v>5.2955199730000002</v>
      </c>
      <c r="AO12" s="47">
        <f t="shared" si="1"/>
        <v>5.2955199730000002</v>
      </c>
      <c r="AQ12">
        <f>EscortCoefficients!B20</f>
        <v>60</v>
      </c>
      <c r="AR12" s="42" t="str">
        <f>EscortCoefficients!C20</f>
        <v>bi-const</v>
      </c>
      <c r="AS12" s="42">
        <f>EscortCoefficients!E20</f>
        <v>-10.566358470000001</v>
      </c>
      <c r="AT12" s="47">
        <f t="shared" si="2"/>
        <v>-10.864898282537544</v>
      </c>
      <c r="AV12">
        <f>OtherCoefficients!B20</f>
        <v>38</v>
      </c>
      <c r="AW12" t="str">
        <f>OtherCoefficients!C20</f>
        <v>s3-onephh</v>
      </c>
      <c r="AX12">
        <f>OtherCoefficients!E20</f>
        <v>-2.7924179320000002</v>
      </c>
      <c r="AY12" s="47">
        <f t="shared" si="3"/>
        <v>-2.7924179320000002</v>
      </c>
      <c r="BA12">
        <f>WorkBasedCoefficients!B20</f>
        <v>59</v>
      </c>
      <c r="BB12" t="str">
        <f>WorkBasedCoefficients!C20</f>
        <v>da-stowork</v>
      </c>
      <c r="BC12">
        <f>WorkBasedCoefficients!E20</f>
        <v>1.7497597</v>
      </c>
      <c r="BD12" s="47">
        <f t="shared" si="4"/>
        <v>1.7497597</v>
      </c>
    </row>
    <row r="13" spans="2:56" x14ac:dyDescent="0.25">
      <c r="C13" s="32"/>
      <c r="D13" s="32"/>
      <c r="E13" s="32"/>
      <c r="F13" s="32"/>
      <c r="G13" s="32"/>
      <c r="R13" s="48">
        <v>4</v>
      </c>
      <c r="S13" s="48" t="s">
        <v>290</v>
      </c>
      <c r="T13" s="48"/>
      <c r="U13" s="48"/>
      <c r="V13" s="48"/>
      <c r="AG13">
        <f>WorkCoefficients!B21</f>
        <v>38</v>
      </c>
      <c r="AH13" t="str">
        <f>WorkCoefficients!C21</f>
        <v>s3-onephh</v>
      </c>
      <c r="AI13">
        <f>WorkCoefficients!E21</f>
        <v>-2.0693221340000001</v>
      </c>
      <c r="AJ13" s="70">
        <f t="shared" si="0"/>
        <v>-2.0693221340000001</v>
      </c>
      <c r="AL13">
        <f>SchoolCoeffcients!B21</f>
        <v>29</v>
      </c>
      <c r="AM13" t="str">
        <f>SchoolCoeffcients!C21</f>
        <v>wt-ch1617</v>
      </c>
      <c r="AN13" s="43">
        <f>SchoolCoeffcients!E21</f>
        <v>3.2469681079999999</v>
      </c>
      <c r="AO13" s="47">
        <f t="shared" si="1"/>
        <v>3.2469681079999999</v>
      </c>
      <c r="AQ13">
        <f>EscortCoefficients!B21</f>
        <v>73</v>
      </c>
      <c r="AR13" t="str">
        <f>EscortCoefficients!C21</f>
        <v>wk-ageo50</v>
      </c>
      <c r="AS13">
        <f>EscortCoefficients!E21</f>
        <v>-2.002935812</v>
      </c>
      <c r="AT13" s="47">
        <f t="shared" si="2"/>
        <v>-2.002935812</v>
      </c>
      <c r="AV13">
        <f>OtherCoefficients!B21</f>
        <v>39</v>
      </c>
      <c r="AW13" t="str">
        <f>OtherCoefficients!C21</f>
        <v>s3-twophh</v>
      </c>
      <c r="AX13">
        <f>OtherCoefficients!E21</f>
        <v>-2.8161782519999998</v>
      </c>
      <c r="AY13" s="47">
        <f t="shared" si="3"/>
        <v>-2.8161782519999998</v>
      </c>
      <c r="BA13">
        <f>WorkBasedCoefficients!B21</f>
        <v>60</v>
      </c>
      <c r="BB13" s="42" t="str">
        <f>WorkBasedCoefficients!C21</f>
        <v>bi-const</v>
      </c>
      <c r="BC13" s="42">
        <f>WorkBasedCoefficients!E21</f>
        <v>-7.2848658999999998</v>
      </c>
      <c r="BD13" s="47">
        <f t="shared" si="4"/>
        <v>-8.0983120533150466</v>
      </c>
    </row>
    <row r="14" spans="2:56" x14ac:dyDescent="0.25">
      <c r="R14" s="48">
        <v>5</v>
      </c>
      <c r="S14" s="49" t="s">
        <v>291</v>
      </c>
      <c r="T14" s="48"/>
      <c r="U14" s="48"/>
      <c r="V14" s="48"/>
      <c r="AG14">
        <f>WorkCoefficients!B22</f>
        <v>39</v>
      </c>
      <c r="AH14" t="str">
        <f>WorkCoefficients!C22</f>
        <v>s3-twophh</v>
      </c>
      <c r="AI14">
        <f>WorkCoefficients!E22</f>
        <v>-1.1541206639999999</v>
      </c>
      <c r="AJ14" s="70">
        <f t="shared" si="0"/>
        <v>-1.1541206639999999</v>
      </c>
      <c r="AL14">
        <f>SchoolCoeffcients!B22</f>
        <v>30</v>
      </c>
      <c r="AM14" s="42" t="str">
        <f>SchoolCoeffcients!C22</f>
        <v>s3-const</v>
      </c>
      <c r="AN14" s="44">
        <f>SchoolCoeffcients!E22</f>
        <v>-0.45676292000000002</v>
      </c>
      <c r="AO14" s="47">
        <f t="shared" si="1"/>
        <v>-0.79426437757071333</v>
      </c>
      <c r="AQ14">
        <f>EscortCoefficients!B22</f>
        <v>76</v>
      </c>
      <c r="AR14" t="str">
        <f>EscortCoefficients!C22</f>
        <v>wk-dintd</v>
      </c>
      <c r="AS14">
        <f>EscortCoefficients!E22</f>
        <v>0</v>
      </c>
      <c r="AT14" s="47">
        <f t="shared" si="2"/>
        <v>0</v>
      </c>
      <c r="AV14">
        <f>OtherCoefficients!B22</f>
        <v>40</v>
      </c>
      <c r="AW14" s="42" t="str">
        <f>OtherCoefficients!C22</f>
        <v>s2-const</v>
      </c>
      <c r="AX14" s="42">
        <f>OtherCoefficients!E22</f>
        <v>-2.144795593</v>
      </c>
      <c r="AY14" s="47">
        <f t="shared" si="3"/>
        <v>-2.1629402501705455</v>
      </c>
      <c r="BA14">
        <f>WorkBasedCoefficients!B22</f>
        <v>61</v>
      </c>
      <c r="BB14" t="str">
        <f>WorkBasedCoefficients!C22</f>
        <v>bi-male</v>
      </c>
      <c r="BC14">
        <f>WorkBasedCoefficients!E22</f>
        <v>-0.40221770000000001</v>
      </c>
      <c r="BD14" s="47">
        <f t="shared" si="4"/>
        <v>-0.40221770000000001</v>
      </c>
    </row>
    <row r="15" spans="2:56" x14ac:dyDescent="0.25">
      <c r="B15" s="45" t="s">
        <v>292</v>
      </c>
      <c r="J15" s="30" t="s">
        <v>23</v>
      </c>
      <c r="R15" s="48">
        <v>6</v>
      </c>
      <c r="S15" s="48" t="s">
        <v>293</v>
      </c>
      <c r="T15" s="48"/>
      <c r="U15" s="48"/>
      <c r="V15" s="48"/>
      <c r="AG15">
        <f>WorkCoefficients!B23</f>
        <v>40</v>
      </c>
      <c r="AH15" s="42" t="str">
        <f>WorkCoefficients!C23</f>
        <v>s2-const</v>
      </c>
      <c r="AI15" s="42">
        <f>WorkCoefficients!E23</f>
        <v>-2.14205632</v>
      </c>
      <c r="AJ15" s="70">
        <f t="shared" si="0"/>
        <v>-2.2375059908009196</v>
      </c>
      <c r="AL15">
        <f>SchoolCoeffcients!B23</f>
        <v>37</v>
      </c>
      <c r="AM15" t="str">
        <f>SchoolCoeffcients!C23</f>
        <v>s3-twophh</v>
      </c>
      <c r="AN15" s="43">
        <f>SchoolCoeffcients!E23</f>
        <v>-2.1066630989999999</v>
      </c>
      <c r="AO15" s="47">
        <f t="shared" si="1"/>
        <v>-2.1066630989999999</v>
      </c>
      <c r="AQ15">
        <f>EscortCoefficients!B23</f>
        <v>81</v>
      </c>
      <c r="AR15" t="str">
        <f>EscortCoefficients!C23</f>
        <v>wk-hhcu5</v>
      </c>
      <c r="AS15">
        <f>EscortCoefficients!E23</f>
        <v>0.55040750800000005</v>
      </c>
      <c r="AT15" s="47">
        <f t="shared" si="2"/>
        <v>0.55040750800000005</v>
      </c>
      <c r="AV15">
        <f>OtherCoefficients!B23</f>
        <v>41</v>
      </c>
      <c r="AW15" t="str">
        <f>OtherCoefficients!C23</f>
        <v>sr-nocars</v>
      </c>
      <c r="AX15">
        <f>OtherCoefficients!E23</f>
        <v>-1.480121056</v>
      </c>
      <c r="AY15" s="47">
        <f t="shared" si="3"/>
        <v>-1.480121056</v>
      </c>
      <c r="BA15">
        <f>WorkBasedCoefficients!B23</f>
        <v>69</v>
      </c>
      <c r="BB15" t="str">
        <f>WorkBasedCoefficients!C23</f>
        <v>bi-btowork</v>
      </c>
      <c r="BC15">
        <f>WorkBasedCoefficients!E23</f>
        <v>2.9044382999999998</v>
      </c>
      <c r="BD15" s="47">
        <f t="shared" si="4"/>
        <v>2.9044382999999998</v>
      </c>
    </row>
    <row r="16" spans="2:56" ht="15.75" customHeight="1" thickBot="1" x14ac:dyDescent="0.3">
      <c r="R16" s="48">
        <v>7</v>
      </c>
      <c r="S16" s="48" t="s">
        <v>285</v>
      </c>
      <c r="T16" s="48"/>
      <c r="U16" s="48"/>
      <c r="V16" s="48"/>
      <c r="Y16" t="s">
        <v>294</v>
      </c>
      <c r="AG16">
        <f>WorkCoefficients!B24</f>
        <v>41</v>
      </c>
      <c r="AH16" t="str">
        <f>WorkCoefficients!C24</f>
        <v>sr-nocars</v>
      </c>
      <c r="AI16">
        <f>WorkCoefficients!E24</f>
        <v>-3.5522207300000002</v>
      </c>
      <c r="AJ16" s="70">
        <f t="shared" si="0"/>
        <v>-3.5522207300000002</v>
      </c>
      <c r="AL16">
        <f>SchoolCoeffcients!B24</f>
        <v>38</v>
      </c>
      <c r="AM16" t="str">
        <f>SchoolCoeffcients!C24</f>
        <v>s2-onephh</v>
      </c>
      <c r="AN16" s="43">
        <f>SchoolCoeffcients!E24</f>
        <v>-1.023984556</v>
      </c>
      <c r="AO16" s="47">
        <f t="shared" si="1"/>
        <v>-1.023984556</v>
      </c>
      <c r="AQ16">
        <f>EscortCoefficients!B24</f>
        <v>82</v>
      </c>
      <c r="AR16" t="str">
        <f>EscortCoefficients!C24</f>
        <v>wk-hh515</v>
      </c>
      <c r="AS16">
        <f>EscortCoefficients!E24</f>
        <v>0.55327396100000004</v>
      </c>
      <c r="AT16" s="47">
        <f t="shared" si="2"/>
        <v>0.55327396100000004</v>
      </c>
      <c r="AV16">
        <f>OtherCoefficients!B24</f>
        <v>43</v>
      </c>
      <c r="AW16" t="str">
        <f>OtherCoefficients!C24</f>
        <v>sr-carsltw</v>
      </c>
      <c r="AX16">
        <f>OtherCoefficients!E24</f>
        <v>-8.9289955000000004E-2</v>
      </c>
      <c r="AY16" s="47">
        <f t="shared" si="3"/>
        <v>-8.9289955000000004E-2</v>
      </c>
      <c r="BA16">
        <f>WorkBasedCoefficients!B24</f>
        <v>79</v>
      </c>
      <c r="BB16" t="str">
        <f>WorkBasedCoefficients!C24</f>
        <v>wk-wtowork</v>
      </c>
      <c r="BC16">
        <f>WorkBasedCoefficients!E24</f>
        <v>5</v>
      </c>
      <c r="BD16" s="47">
        <f t="shared" si="4"/>
        <v>5</v>
      </c>
    </row>
    <row r="17" spans="2:56" x14ac:dyDescent="0.25">
      <c r="B17" s="2" t="s">
        <v>2</v>
      </c>
      <c r="C17" s="2" t="s">
        <v>279</v>
      </c>
      <c r="D17" s="2" t="s">
        <v>280</v>
      </c>
      <c r="E17" s="2" t="s">
        <v>255</v>
      </c>
      <c r="F17" s="2" t="s">
        <v>260</v>
      </c>
      <c r="G17" s="2" t="s">
        <v>281</v>
      </c>
      <c r="H17" s="2" t="s">
        <v>3</v>
      </c>
      <c r="J17" s="2" t="s">
        <v>2</v>
      </c>
      <c r="K17" s="2" t="s">
        <v>279</v>
      </c>
      <c r="L17" s="2" t="s">
        <v>280</v>
      </c>
      <c r="M17" s="2" t="s">
        <v>255</v>
      </c>
      <c r="N17" s="2" t="s">
        <v>260</v>
      </c>
      <c r="O17" s="2" t="s">
        <v>281</v>
      </c>
      <c r="P17" s="2" t="s">
        <v>3</v>
      </c>
      <c r="R17" s="48">
        <v>8</v>
      </c>
      <c r="S17" s="48" t="s">
        <v>295</v>
      </c>
      <c r="T17" s="48"/>
      <c r="U17" s="48"/>
      <c r="V17" s="48"/>
      <c r="Y17" s="2" t="s">
        <v>2</v>
      </c>
      <c r="Z17" s="2" t="s">
        <v>279</v>
      </c>
      <c r="AA17" s="2" t="s">
        <v>280</v>
      </c>
      <c r="AB17" s="2" t="s">
        <v>255</v>
      </c>
      <c r="AC17" s="2" t="s">
        <v>260</v>
      </c>
      <c r="AD17" s="2" t="s">
        <v>281</v>
      </c>
      <c r="AG17">
        <f>WorkCoefficients!B25</f>
        <v>42</v>
      </c>
      <c r="AH17" t="str">
        <f>WorkCoefficients!C25</f>
        <v>sr-carsltd</v>
      </c>
      <c r="AI17">
        <f>WorkCoefficients!E25</f>
        <v>0.417219746</v>
      </c>
      <c r="AJ17" s="70">
        <f t="shared" si="0"/>
        <v>0.417219746</v>
      </c>
      <c r="AL17">
        <f>SchoolCoeffcients!B25</f>
        <v>40</v>
      </c>
      <c r="AM17" s="42" t="str">
        <f>SchoolCoeffcients!C25</f>
        <v>s2-const</v>
      </c>
      <c r="AN17" s="44">
        <f>SchoolCoeffcients!E25</f>
        <v>-1.003425644</v>
      </c>
      <c r="AO17" s="47">
        <f t="shared" si="1"/>
        <v>-1.3417989892552638</v>
      </c>
      <c r="AQ17">
        <f>EscortCoefficients!B25</f>
        <v>83</v>
      </c>
      <c r="AR17" t="str">
        <f>EscortCoefficients!C25</f>
        <v>wk-hhdas</v>
      </c>
      <c r="AS17">
        <f>EscortCoefficients!E25</f>
        <v>-3.0048826470000001</v>
      </c>
      <c r="AT17" s="47">
        <f t="shared" si="2"/>
        <v>-3.0048826470000001</v>
      </c>
      <c r="AV17">
        <f>OtherCoefficients!B25</f>
        <v>48</v>
      </c>
      <c r="AW17" t="str">
        <f>OtherCoefficients!C25</f>
        <v>s2-onephh</v>
      </c>
      <c r="AX17">
        <f>OtherCoefficients!E25</f>
        <v>-1.4328025129999999</v>
      </c>
      <c r="AY17" s="47">
        <f t="shared" si="3"/>
        <v>-1.4328025129999999</v>
      </c>
      <c r="BA17">
        <f>WorkBasedCoefficients!B25</f>
        <v>88</v>
      </c>
      <c r="BB17" t="str">
        <f>WorkBasedCoefficients!C25</f>
        <v>sr-dtowork</v>
      </c>
      <c r="BC17">
        <f>WorkBasedCoefficients!E25</f>
        <v>0.53543289999999999</v>
      </c>
      <c r="BD17" s="47">
        <f t="shared" si="4"/>
        <v>0.53543289999999999</v>
      </c>
    </row>
    <row r="18" spans="2:56" x14ac:dyDescent="0.25">
      <c r="B18" s="9" t="s">
        <v>4</v>
      </c>
      <c r="C18" s="9">
        <v>1097010.337474193</v>
      </c>
      <c r="D18" s="9">
        <v>92516.718411654932</v>
      </c>
      <c r="E18" s="9">
        <v>19837.61624976225</v>
      </c>
      <c r="F18" s="9">
        <v>864775.33051215275</v>
      </c>
      <c r="G18" s="9">
        <v>74255.30671205261</v>
      </c>
      <c r="H18" s="9">
        <v>2148395.3093598159</v>
      </c>
      <c r="J18" s="9" t="s">
        <v>4</v>
      </c>
      <c r="K18" s="9">
        <f>Work!I4</f>
        <v>1216991</v>
      </c>
      <c r="L18" s="9">
        <f>School!I4</f>
        <v>73356</v>
      </c>
      <c r="M18" s="9">
        <f>Escort!I4</f>
        <v>147</v>
      </c>
      <c r="N18" s="9">
        <f>Shop!I4+Meal!I4+SocRec!I4+Personal_Business!I4</f>
        <v>718243</v>
      </c>
      <c r="O18" s="9">
        <f>Workbased!S5</f>
        <v>97249</v>
      </c>
      <c r="P18" s="9">
        <f t="shared" ref="P18:P26" si="5">SUM(K18:O18)</f>
        <v>2105986</v>
      </c>
      <c r="Q18" s="9"/>
      <c r="Y18" s="9" t="s">
        <v>4</v>
      </c>
      <c r="Z18">
        <v>50</v>
      </c>
      <c r="AA18">
        <v>50</v>
      </c>
      <c r="AB18">
        <v>50</v>
      </c>
      <c r="AC18">
        <v>50</v>
      </c>
      <c r="AD18">
        <v>50</v>
      </c>
      <c r="AG18">
        <f>WorkCoefficients!B26</f>
        <v>48</v>
      </c>
      <c r="AH18" t="str">
        <f>WorkCoefficients!C26</f>
        <v>s2-onephh</v>
      </c>
      <c r="AI18">
        <f>WorkCoefficients!E26</f>
        <v>-1.9493286999999999</v>
      </c>
      <c r="AJ18" s="70">
        <f t="shared" si="0"/>
        <v>-1.9493286999999999</v>
      </c>
      <c r="AL18">
        <f>SchoolCoeffcients!B26</f>
        <v>41</v>
      </c>
      <c r="AM18" t="str">
        <f>SchoolCoeffcients!C26</f>
        <v>sr-nocars</v>
      </c>
      <c r="AN18" s="43">
        <f>SchoolCoeffcients!E26</f>
        <v>-1.3307406129999999</v>
      </c>
      <c r="AO18" s="47">
        <f t="shared" si="1"/>
        <v>-1.3307406129999999</v>
      </c>
      <c r="AQ18">
        <f>EscortCoefficients!B26</f>
        <v>999</v>
      </c>
      <c r="AR18" t="str">
        <f>EscortCoefficients!C26</f>
        <v>Theta0999</v>
      </c>
      <c r="AS18">
        <f>EscortCoefficients!E26</f>
        <v>0.541504192</v>
      </c>
      <c r="AT18" s="47">
        <f t="shared" si="2"/>
        <v>0.541504192</v>
      </c>
      <c r="AV18">
        <f>OtherCoefficients!B26</f>
        <v>50</v>
      </c>
      <c r="AW18" s="42" t="str">
        <f>OtherCoefficients!C26</f>
        <v>da-const</v>
      </c>
      <c r="AX18" s="42">
        <f>OtherCoefficients!E26</f>
        <v>-0.40342066599999998</v>
      </c>
      <c r="AY18" s="47">
        <f t="shared" si="3"/>
        <v>-0.18530766178999755</v>
      </c>
      <c r="BA18">
        <f>WorkBasedCoefficients!B26</f>
        <v>89</v>
      </c>
      <c r="BB18" t="str">
        <f>WorkBasedCoefficients!C26</f>
        <v>sr-stowork</v>
      </c>
      <c r="BC18">
        <f>WorkBasedCoefficients!E26</f>
        <v>1.1826209000000001</v>
      </c>
      <c r="BD18" s="47">
        <f t="shared" si="4"/>
        <v>1.1826209000000001</v>
      </c>
    </row>
    <row r="19" spans="2:56" x14ac:dyDescent="0.25">
      <c r="B19" s="9" t="s">
        <v>5</v>
      </c>
      <c r="C19" s="9">
        <v>244860.50132019329</v>
      </c>
      <c r="D19" s="9">
        <v>138828.15988123129</v>
      </c>
      <c r="E19" s="9">
        <v>291491.55039383989</v>
      </c>
      <c r="F19" s="9">
        <v>685649.3694142201</v>
      </c>
      <c r="G19" s="9">
        <v>16337.98586722578</v>
      </c>
      <c r="H19" s="9">
        <v>1377167.5668767099</v>
      </c>
      <c r="J19" s="9" t="s">
        <v>5</v>
      </c>
      <c r="K19" s="9">
        <f>Work!I5</f>
        <v>319368</v>
      </c>
      <c r="L19" s="9">
        <f>School!I5</f>
        <v>119842</v>
      </c>
      <c r="M19" s="9">
        <f>Escort!I5</f>
        <v>385520</v>
      </c>
      <c r="N19" s="9">
        <f>Shop!I5+Meal!I5+SocRec!I5+Personal_Business!I5</f>
        <v>721233</v>
      </c>
      <c r="O19" s="9">
        <f>Workbased!S6</f>
        <v>23079</v>
      </c>
      <c r="P19" s="9">
        <f t="shared" si="5"/>
        <v>1569042</v>
      </c>
      <c r="Q19" s="9"/>
      <c r="Y19" s="9" t="s">
        <v>5</v>
      </c>
      <c r="Z19">
        <v>40</v>
      </c>
      <c r="AA19">
        <v>40</v>
      </c>
      <c r="AB19">
        <v>40</v>
      </c>
      <c r="AC19">
        <v>40</v>
      </c>
      <c r="AD19">
        <v>40</v>
      </c>
      <c r="AG19">
        <f>WorkCoefficients!B27</f>
        <v>50</v>
      </c>
      <c r="AH19" s="42" t="str">
        <f>WorkCoefficients!C27</f>
        <v>da-const</v>
      </c>
      <c r="AI19" s="42">
        <f>WorkCoefficients!E27</f>
        <v>1.577637277</v>
      </c>
      <c r="AJ19" s="70">
        <f t="shared" si="0"/>
        <v>1.6440501689989937</v>
      </c>
      <c r="AL19">
        <f>SchoolCoeffcients!B27</f>
        <v>44</v>
      </c>
      <c r="AM19" t="str">
        <f>SchoolCoeffcients!C27</f>
        <v>sr-incu25</v>
      </c>
      <c r="AN19" s="43">
        <f>SchoolCoeffcients!E27</f>
        <v>0.22708982699999999</v>
      </c>
      <c r="AO19" s="47">
        <f t="shared" si="1"/>
        <v>0.22708982699999999</v>
      </c>
      <c r="AV19">
        <f>OtherCoefficients!B27</f>
        <v>52</v>
      </c>
      <c r="AW19" t="str">
        <f>OtherCoefficients!C27</f>
        <v>da-carsltd</v>
      </c>
      <c r="AX19">
        <f>OtherCoefficients!E27</f>
        <v>-0.79057828100000005</v>
      </c>
      <c r="AY19" s="47">
        <f t="shared" si="3"/>
        <v>-0.79057828100000005</v>
      </c>
      <c r="BA19">
        <f>WorkBasedCoefficients!B27</f>
        <v>99</v>
      </c>
      <c r="BB19" t="str">
        <f>WorkBasedCoefficients!C27</f>
        <v>modenest</v>
      </c>
      <c r="BC19">
        <f>WorkBasedCoefficients!E27</f>
        <v>0.88959319999999997</v>
      </c>
      <c r="BD19" s="47">
        <f t="shared" si="4"/>
        <v>0.88959319999999997</v>
      </c>
    </row>
    <row r="20" spans="2:56" x14ac:dyDescent="0.25">
      <c r="B20" s="9" t="s">
        <v>6</v>
      </c>
      <c r="C20" s="9">
        <v>128760.7313748283</v>
      </c>
      <c r="D20" s="9">
        <v>233976.71603744381</v>
      </c>
      <c r="E20" s="9">
        <v>299459.83492080419</v>
      </c>
      <c r="F20" s="9">
        <v>557878.94835178298</v>
      </c>
      <c r="G20" s="9">
        <v>6360.7894297017428</v>
      </c>
      <c r="H20" s="9">
        <v>1226437.0201145611</v>
      </c>
      <c r="J20" s="9" t="s">
        <v>6</v>
      </c>
      <c r="K20" s="9">
        <f>Work!I6</f>
        <v>175662</v>
      </c>
      <c r="L20" s="9">
        <f>School!I6</f>
        <v>201802</v>
      </c>
      <c r="M20" s="9">
        <f>Escort!I6</f>
        <v>306982</v>
      </c>
      <c r="N20" s="9">
        <f>Shop!I6+Meal!I6+SocRec!I6+Personal_Business!I6</f>
        <v>695623</v>
      </c>
      <c r="O20" s="9">
        <f>Workbased!S7</f>
        <v>8850</v>
      </c>
      <c r="P20" s="9">
        <f t="shared" si="5"/>
        <v>1388919</v>
      </c>
      <c r="Q20" s="9"/>
      <c r="Y20" s="9" t="s">
        <v>6</v>
      </c>
      <c r="Z20">
        <v>30</v>
      </c>
      <c r="AA20">
        <v>30</v>
      </c>
      <c r="AB20">
        <v>30</v>
      </c>
      <c r="AC20">
        <v>30</v>
      </c>
      <c r="AD20">
        <v>30</v>
      </c>
      <c r="AG20">
        <f>WorkCoefficients!B28</f>
        <v>53</v>
      </c>
      <c r="AH20" t="str">
        <f>WorkCoefficients!C28</f>
        <v>da-carsltw</v>
      </c>
      <c r="AI20">
        <f>WorkCoefficients!E28</f>
        <v>-2.5141990239999998</v>
      </c>
      <c r="AJ20" s="70">
        <f t="shared" si="0"/>
        <v>-2.5141990239999998</v>
      </c>
      <c r="AL20">
        <f>SchoolCoeffcients!B28</f>
        <v>45</v>
      </c>
      <c r="AM20" t="str">
        <f>SchoolCoeffcients!C28</f>
        <v>sr-inc2550</v>
      </c>
      <c r="AN20" s="43">
        <f>SchoolCoeffcients!E28</f>
        <v>-0.52505228900000001</v>
      </c>
      <c r="AO20" s="47">
        <f t="shared" si="1"/>
        <v>-0.52505228900000001</v>
      </c>
      <c r="AV20">
        <f>OtherCoefficients!B28</f>
        <v>54</v>
      </c>
      <c r="AW20" t="str">
        <f>OtherCoefficients!C28</f>
        <v>inc0to25k</v>
      </c>
      <c r="AX20">
        <f>OtherCoefficients!E28</f>
        <v>7.424277E-3</v>
      </c>
      <c r="AY20" s="47">
        <f t="shared" si="3"/>
        <v>7.424277E-3</v>
      </c>
    </row>
    <row r="21" spans="2:56" x14ac:dyDescent="0.25">
      <c r="B21" s="9" t="s">
        <v>7</v>
      </c>
      <c r="C21" s="9">
        <v>36959.695954903167</v>
      </c>
      <c r="D21" s="9">
        <v>0</v>
      </c>
      <c r="E21" s="9">
        <v>0</v>
      </c>
      <c r="F21" s="9">
        <v>0</v>
      </c>
      <c r="G21" s="9">
        <v>0</v>
      </c>
      <c r="H21" s="9">
        <v>36959.695954903167</v>
      </c>
      <c r="J21" s="9" t="s">
        <v>7</v>
      </c>
      <c r="K21" s="9">
        <f>Work!I7</f>
        <v>81534</v>
      </c>
      <c r="L21" s="9">
        <f>School!I7</f>
        <v>0</v>
      </c>
      <c r="M21" s="9">
        <f>Escort!I7</f>
        <v>0</v>
      </c>
      <c r="N21" s="9">
        <f>Shop!I7+Meal!I7+SocRec!I7+Personal_Business!I7</f>
        <v>0</v>
      </c>
      <c r="O21" s="9">
        <f>Workbased!S8</f>
        <v>0</v>
      </c>
      <c r="P21" s="9">
        <f t="shared" si="5"/>
        <v>81534</v>
      </c>
      <c r="Q21" s="9"/>
      <c r="Y21" s="9" t="s">
        <v>7</v>
      </c>
      <c r="Z21">
        <v>10</v>
      </c>
      <c r="AG21">
        <f>WorkCoefficients!B29</f>
        <v>54</v>
      </c>
      <c r="AH21" t="str">
        <f>WorkCoefficients!C29</f>
        <v>da-incu25</v>
      </c>
      <c r="AI21">
        <f>WorkCoefficients!E29</f>
        <v>0.761602102</v>
      </c>
      <c r="AJ21" s="70">
        <f t="shared" si="0"/>
        <v>0.761602102</v>
      </c>
      <c r="AL21">
        <f>SchoolCoeffcients!B29</f>
        <v>47</v>
      </c>
      <c r="AM21" t="str">
        <f>SchoolCoeffcients!C29</f>
        <v>sr-chun5</v>
      </c>
      <c r="AN21" s="43">
        <f>SchoolCoeffcients!E29</f>
        <v>1.564023495</v>
      </c>
      <c r="AO21" s="47">
        <f t="shared" si="1"/>
        <v>1.564023495</v>
      </c>
      <c r="AV21">
        <f>OtherCoefficients!B29</f>
        <v>60</v>
      </c>
      <c r="AW21" s="42" t="str">
        <f>OtherCoefficients!C29</f>
        <v>bi-const</v>
      </c>
      <c r="AX21" s="42">
        <f>OtherCoefficients!E29</f>
        <v>-4.5539641590000004</v>
      </c>
      <c r="AY21" s="47">
        <f t="shared" si="3"/>
        <v>-4.9882611829945231</v>
      </c>
    </row>
    <row r="22" spans="2:56" x14ac:dyDescent="0.25">
      <c r="B22" s="9" t="s">
        <v>8</v>
      </c>
      <c r="C22" s="9">
        <v>115668.043854531</v>
      </c>
      <c r="D22" s="9">
        <v>30548.520163722918</v>
      </c>
      <c r="E22" s="9">
        <v>0</v>
      </c>
      <c r="F22" s="9">
        <v>43124.421614928091</v>
      </c>
      <c r="G22" s="9">
        <v>1346.7997496808521</v>
      </c>
      <c r="H22" s="9">
        <v>190687.7853828629</v>
      </c>
      <c r="J22" s="9" t="s">
        <v>8</v>
      </c>
      <c r="K22" s="9">
        <f>Work!I8</f>
        <v>141751</v>
      </c>
      <c r="L22" s="9">
        <f>School!I8</f>
        <v>29725</v>
      </c>
      <c r="M22" s="9">
        <f>Escort!I8</f>
        <v>0</v>
      </c>
      <c r="N22" s="9">
        <f>Shop!I8+Meal!I8+SocRec!I8+Personal_Business!I8</f>
        <v>31484</v>
      </c>
      <c r="O22" s="9">
        <f>Workbased!S9</f>
        <v>1749</v>
      </c>
      <c r="P22" s="9">
        <f t="shared" si="5"/>
        <v>204709</v>
      </c>
      <c r="Q22" s="9"/>
      <c r="Y22" s="9" t="s">
        <v>8</v>
      </c>
      <c r="Z22">
        <v>20</v>
      </c>
      <c r="AA22">
        <v>20</v>
      </c>
      <c r="AC22">
        <v>20</v>
      </c>
      <c r="AD22">
        <v>20</v>
      </c>
      <c r="AG22">
        <f>WorkCoefficients!B30</f>
        <v>60</v>
      </c>
      <c r="AH22" s="42" t="str">
        <f>WorkCoefficients!C30</f>
        <v>bi-const</v>
      </c>
      <c r="AI22" s="42">
        <f>WorkCoefficients!E30</f>
        <v>-3.7193614820000001</v>
      </c>
      <c r="AJ22" s="70">
        <f t="shared" si="0"/>
        <v>-3.4230651198797415</v>
      </c>
      <c r="AL22">
        <f>SchoolCoeffcients!B30</f>
        <v>50</v>
      </c>
      <c r="AM22" s="42" t="str">
        <f>SchoolCoeffcients!C30</f>
        <v>da-const</v>
      </c>
      <c r="AN22" s="44">
        <f>SchoolCoeffcients!E30</f>
        <v>2.3671031779999998</v>
      </c>
      <c r="AO22" s="47">
        <f t="shared" si="1"/>
        <v>2.1137321997469263</v>
      </c>
      <c r="AV22">
        <f>OtherCoefficients!B30</f>
        <v>61</v>
      </c>
      <c r="AW22" t="str">
        <f>OtherCoefficients!C30</f>
        <v>bi-male</v>
      </c>
      <c r="AX22">
        <f>OtherCoefficients!E30</f>
        <v>0.61466384799999996</v>
      </c>
      <c r="AY22" s="47">
        <f t="shared" si="3"/>
        <v>0.61466384799999996</v>
      </c>
    </row>
    <row r="23" spans="2:56" x14ac:dyDescent="0.25">
      <c r="B23" s="9" t="s">
        <v>9</v>
      </c>
      <c r="C23" s="9">
        <v>43165.618113707358</v>
      </c>
      <c r="D23" s="9">
        <v>9904.1070635849646</v>
      </c>
      <c r="E23" s="9">
        <v>2741.403770139184</v>
      </c>
      <c r="F23" s="9">
        <v>28959.119913708411</v>
      </c>
      <c r="G23" s="9">
        <v>500.77099079562731</v>
      </c>
      <c r="H23" s="9">
        <v>85271.019851935547</v>
      </c>
      <c r="J23" s="9" t="s">
        <v>9</v>
      </c>
      <c r="K23" s="9">
        <f>Work!I9</f>
        <v>38052</v>
      </c>
      <c r="L23" s="9">
        <f>School!I9</f>
        <v>8717</v>
      </c>
      <c r="M23" s="9">
        <f>Escort!I9</f>
        <v>3969</v>
      </c>
      <c r="N23" s="9">
        <f>Shop!I9+Meal!I9+SocRec!I9+Personal_Business!I9</f>
        <v>46184</v>
      </c>
      <c r="O23" s="9">
        <f>Workbased!S10</f>
        <v>510</v>
      </c>
      <c r="P23" s="9">
        <f t="shared" si="5"/>
        <v>97432</v>
      </c>
      <c r="Q23" s="9"/>
      <c r="Y23" s="9" t="s">
        <v>9</v>
      </c>
      <c r="Z23">
        <v>60</v>
      </c>
      <c r="AA23">
        <v>60</v>
      </c>
      <c r="AB23">
        <v>60</v>
      </c>
      <c r="AC23">
        <v>60</v>
      </c>
      <c r="AD23">
        <v>60</v>
      </c>
      <c r="AG23">
        <f>WorkCoefficients!B31</f>
        <v>61</v>
      </c>
      <c r="AH23" t="str">
        <f>WorkCoefficients!C31</f>
        <v>bi-male</v>
      </c>
      <c r="AI23">
        <f>WorkCoefficients!E31</f>
        <v>1.7828694030000001</v>
      </c>
      <c r="AJ23" s="70">
        <f t="shared" si="0"/>
        <v>1.7828694030000001</v>
      </c>
      <c r="AL23">
        <f>SchoolCoeffcients!B31</f>
        <v>52</v>
      </c>
      <c r="AM23" t="str">
        <f>SchoolCoeffcients!C31</f>
        <v>da-carsltd</v>
      </c>
      <c r="AN23" s="43">
        <f>SchoolCoeffcients!E31</f>
        <v>-2.1575125929999999</v>
      </c>
      <c r="AO23" s="47">
        <f t="shared" si="1"/>
        <v>-2.1575125929999999</v>
      </c>
      <c r="AV23">
        <f>OtherCoefficients!B31</f>
        <v>63</v>
      </c>
      <c r="AW23" t="str">
        <f>OtherCoefficients!C31</f>
        <v>bi-ageo50</v>
      </c>
      <c r="AX23">
        <f>OtherCoefficients!E31</f>
        <v>-0.87809104500000001</v>
      </c>
      <c r="AY23" s="47">
        <f t="shared" si="3"/>
        <v>-0.87809104500000001</v>
      </c>
    </row>
    <row r="24" spans="2:56" x14ac:dyDescent="0.25">
      <c r="B24" s="9" t="s">
        <v>10</v>
      </c>
      <c r="C24" s="9">
        <v>43208.640417496121</v>
      </c>
      <c r="D24" s="9">
        <v>59127.544922423513</v>
      </c>
      <c r="E24" s="9">
        <v>34377.186248158992</v>
      </c>
      <c r="F24" s="9">
        <v>539041.57748971123</v>
      </c>
      <c r="G24" s="9">
        <v>78769.452173129204</v>
      </c>
      <c r="H24" s="9">
        <v>754524.40125091909</v>
      </c>
      <c r="J24" s="9" t="s">
        <v>10</v>
      </c>
      <c r="K24" s="9">
        <f>Work!I10</f>
        <v>18600</v>
      </c>
      <c r="L24" s="9">
        <f>School!I10</f>
        <v>43107</v>
      </c>
      <c r="M24" s="9">
        <f>Escort!I10</f>
        <v>26</v>
      </c>
      <c r="N24" s="9">
        <f>Shop!I10+Meal!I10+SocRec!I10+Personal_Business!I10</f>
        <v>587700</v>
      </c>
      <c r="O24" s="9">
        <f>Workbased!S12</f>
        <v>28909</v>
      </c>
      <c r="P24" s="9">
        <f t="shared" si="5"/>
        <v>678342</v>
      </c>
      <c r="Q24" s="9"/>
      <c r="Y24" s="9" t="s">
        <v>10</v>
      </c>
      <c r="AG24">
        <f>WorkCoefficients!B32</f>
        <v>63</v>
      </c>
      <c r="AH24" t="str">
        <f>WorkCoefficients!C32</f>
        <v>bi-ageo50</v>
      </c>
      <c r="AI24">
        <f>WorkCoefficients!E32</f>
        <v>-1.1592853190000001</v>
      </c>
      <c r="AJ24" s="70">
        <f t="shared" si="0"/>
        <v>-1.1592853190000001</v>
      </c>
      <c r="AL24">
        <f>SchoolCoeffcients!B32</f>
        <v>54</v>
      </c>
      <c r="AM24" t="str">
        <f>SchoolCoeffcients!C32</f>
        <v>da-incu25</v>
      </c>
      <c r="AN24" s="43">
        <f>SchoolCoeffcients!E32</f>
        <v>0</v>
      </c>
      <c r="AO24" s="47">
        <f t="shared" si="1"/>
        <v>0</v>
      </c>
      <c r="AV24">
        <f>OtherCoefficients!B32</f>
        <v>73</v>
      </c>
      <c r="AW24" t="str">
        <f>OtherCoefficients!C32</f>
        <v>wk-ageo50</v>
      </c>
      <c r="AX24">
        <f>OtherCoefficients!E32</f>
        <v>-8.2669199999999998E-2</v>
      </c>
      <c r="AY24" s="47">
        <f t="shared" si="3"/>
        <v>-8.2669199999999998E-2</v>
      </c>
    </row>
    <row r="25" spans="2:56" x14ac:dyDescent="0.25">
      <c r="B25" s="12" t="s">
        <v>11</v>
      </c>
      <c r="C25" s="9">
        <v>988.69322067762539</v>
      </c>
      <c r="D25" s="9">
        <v>213492.11572632249</v>
      </c>
      <c r="E25" s="9">
        <v>662.62462016674374</v>
      </c>
      <c r="F25" s="9">
        <v>3704.7599405584451</v>
      </c>
      <c r="G25" s="9">
        <v>177571.1049225858</v>
      </c>
      <c r="H25" s="9">
        <v>396419.29843031109</v>
      </c>
      <c r="J25" s="12" t="s">
        <v>11</v>
      </c>
      <c r="K25" s="9">
        <f>Work!I12</f>
        <v>36068</v>
      </c>
      <c r="L25" s="9">
        <f>School!I12</f>
        <v>2497</v>
      </c>
      <c r="M25" s="9">
        <f>Escort!I12</f>
        <v>0</v>
      </c>
      <c r="N25" s="9">
        <f>Shop!I12+Meal!I12+SocRec!I12+Personal_Business!I12</f>
        <v>12485</v>
      </c>
      <c r="O25" s="33">
        <v>0</v>
      </c>
      <c r="P25" s="9">
        <f t="shared" si="5"/>
        <v>51050</v>
      </c>
      <c r="Q25" s="9"/>
      <c r="Y25" s="12" t="s">
        <v>11</v>
      </c>
      <c r="Z25" s="6"/>
      <c r="AA25" s="6">
        <v>10</v>
      </c>
      <c r="AB25" s="6"/>
      <c r="AC25" s="6"/>
      <c r="AD25" s="6"/>
      <c r="AG25">
        <f>WorkCoefficients!B33</f>
        <v>71</v>
      </c>
      <c r="AH25" t="str">
        <f>WorkCoefficients!C33</f>
        <v>wk-male</v>
      </c>
      <c r="AI25">
        <f>WorkCoefficients!E33</f>
        <v>0.93477131499999999</v>
      </c>
      <c r="AJ25" s="70">
        <f t="shared" si="0"/>
        <v>0.93477131499999999</v>
      </c>
      <c r="AL25">
        <f>SchoolCoeffcients!B33</f>
        <v>56</v>
      </c>
      <c r="AM25" t="str">
        <f>SchoolCoeffcients!C33</f>
        <v>da-inco75</v>
      </c>
      <c r="AN25" s="43">
        <f>SchoolCoeffcients!E33</f>
        <v>0.30919284200000002</v>
      </c>
      <c r="AO25" s="47">
        <f t="shared" si="1"/>
        <v>0.30919284200000002</v>
      </c>
      <c r="AV25">
        <f>OtherCoefficients!B33</f>
        <v>120</v>
      </c>
      <c r="AW25" t="str">
        <f>OtherCoefficients!C33</f>
        <v>tr-shop</v>
      </c>
      <c r="AX25">
        <f>OtherCoefficients!E33</f>
        <v>-0.40759393700000002</v>
      </c>
      <c r="AY25" s="47">
        <f t="shared" si="3"/>
        <v>-0.40759393700000002</v>
      </c>
    </row>
    <row r="26" spans="2:56" ht="15.75" customHeight="1" thickBot="1" x14ac:dyDescent="0.3">
      <c r="B26" s="17" t="s">
        <v>3</v>
      </c>
      <c r="C26" s="17">
        <f t="shared" ref="C26:H26" si="6">SUM(C18:C25)</f>
        <v>1710622.2617305298</v>
      </c>
      <c r="D26" s="17">
        <f t="shared" si="6"/>
        <v>778393.88220638398</v>
      </c>
      <c r="E26" s="17">
        <f t="shared" si="6"/>
        <v>648570.21620287129</v>
      </c>
      <c r="F26" s="17">
        <f t="shared" si="6"/>
        <v>2723133.5272370623</v>
      </c>
      <c r="G26" s="17">
        <f t="shared" si="6"/>
        <v>355142.20984517166</v>
      </c>
      <c r="H26" s="17">
        <f t="shared" si="6"/>
        <v>6215862.097222019</v>
      </c>
      <c r="J26" s="17" t="s">
        <v>3</v>
      </c>
      <c r="K26" s="17">
        <f>SUM(K18:K25)</f>
        <v>2028026</v>
      </c>
      <c r="L26" s="17">
        <f>SUM(L18:L25)</f>
        <v>479046</v>
      </c>
      <c r="M26" s="17">
        <f>SUM(M18:M25)</f>
        <v>696644</v>
      </c>
      <c r="N26" s="17">
        <f>SUM(N18:N25)</f>
        <v>2812952</v>
      </c>
      <c r="O26" s="17">
        <f>SUM(O18:O25)</f>
        <v>160346</v>
      </c>
      <c r="P26" s="17">
        <f t="shared" si="5"/>
        <v>6177014</v>
      </c>
      <c r="Q26" s="9"/>
      <c r="AG26">
        <f>WorkCoefficients!B34</f>
        <v>124</v>
      </c>
      <c r="AH26" t="str">
        <f>WorkCoefficients!C34</f>
        <v>tr-omixed</v>
      </c>
      <c r="AI26">
        <f>WorkCoefficients!E34</f>
        <v>1.3254575719999999</v>
      </c>
      <c r="AJ26" s="70">
        <f t="shared" si="0"/>
        <v>1.3254575719999999</v>
      </c>
      <c r="AL26">
        <f>SchoolCoeffcients!B34</f>
        <v>59</v>
      </c>
      <c r="AM26" t="str">
        <f>SchoolCoeffcients!C34</f>
        <v>da-ch1617</v>
      </c>
      <c r="AN26" s="43">
        <f>SchoolCoeffcients!E34</f>
        <v>-3.2597140630000001</v>
      </c>
      <c r="AO26" s="47">
        <f t="shared" si="1"/>
        <v>-3.2597140630000001</v>
      </c>
      <c r="AV26">
        <f>OtherCoefficients!B34</f>
        <v>124</v>
      </c>
      <c r="AW26" t="str">
        <f>OtherCoefficients!C34</f>
        <v>tr-omixed</v>
      </c>
      <c r="AX26">
        <f>OtherCoefficients!E34</f>
        <v>0.22849027299999999</v>
      </c>
      <c r="AY26" s="47">
        <f t="shared" si="3"/>
        <v>0.22849027299999999</v>
      </c>
    </row>
    <row r="27" spans="2:56" x14ac:dyDescent="0.25">
      <c r="AG27">
        <f>WorkCoefficients!B35</f>
        <v>127</v>
      </c>
      <c r="AH27" t="str">
        <f>WorkCoefficients!C35</f>
        <v>tr-dintdn</v>
      </c>
      <c r="AI27">
        <f>WorkCoefficients!E35</f>
        <v>9.2856180000000007E-3</v>
      </c>
      <c r="AJ27" s="70">
        <f t="shared" si="0"/>
        <v>9.2856180000000007E-3</v>
      </c>
      <c r="AL27">
        <f>SchoolCoeffcients!B35</f>
        <v>60</v>
      </c>
      <c r="AM27" s="42" t="str">
        <f>SchoolCoeffcients!C35</f>
        <v>bi-const</v>
      </c>
      <c r="AN27" s="44">
        <f>SchoolCoeffcients!E35</f>
        <v>-3.8530967860000001</v>
      </c>
      <c r="AO27" s="47">
        <f t="shared" si="1"/>
        <v>-4.21085844720072</v>
      </c>
      <c r="AV27">
        <f>OtherCoefficients!B35</f>
        <v>128</v>
      </c>
      <c r="AW27" t="str">
        <f>OtherCoefficients!C35</f>
        <v>tr-dempdn</v>
      </c>
      <c r="AX27">
        <f>OtherCoefficients!E35</f>
        <v>4.0664499999999997E-5</v>
      </c>
      <c r="AY27" s="47">
        <f t="shared" si="3"/>
        <v>4.0664499999999997E-5</v>
      </c>
    </row>
    <row r="28" spans="2:56" x14ac:dyDescent="0.25">
      <c r="G28" s="9"/>
      <c r="H28" s="9"/>
      <c r="Y28" t="s">
        <v>296</v>
      </c>
      <c r="AA28" t="s">
        <v>297</v>
      </c>
      <c r="AB28">
        <v>1</v>
      </c>
      <c r="AG28">
        <f>WorkCoefficients!B36</f>
        <v>128</v>
      </c>
      <c r="AH28" t="str">
        <f>WorkCoefficients!C36</f>
        <v>tr-dempdn</v>
      </c>
      <c r="AI28">
        <f>WorkCoefficients!E36</f>
        <v>4.4706600000000003E-5</v>
      </c>
      <c r="AJ28" s="70">
        <f t="shared" si="0"/>
        <v>4.4706600000000003E-5</v>
      </c>
      <c r="AL28">
        <f>SchoolCoeffcients!B36</f>
        <v>61</v>
      </c>
      <c r="AM28" t="str">
        <f>SchoolCoeffcients!C36</f>
        <v>bi-male</v>
      </c>
      <c r="AN28" s="43">
        <f>SchoolCoeffcients!E36</f>
        <v>1.044595197</v>
      </c>
      <c r="AO28" s="47">
        <f t="shared" si="1"/>
        <v>1.044595197</v>
      </c>
      <c r="AV28">
        <f>OtherCoefficients!B36</f>
        <v>131</v>
      </c>
      <c r="AW28" t="str">
        <f>OtherCoefficients!C36</f>
        <v>da-escsptr</v>
      </c>
      <c r="AX28">
        <f>OtherCoefficients!E36</f>
        <v>0</v>
      </c>
      <c r="AY28" s="47">
        <f t="shared" si="3"/>
        <v>0</v>
      </c>
    </row>
    <row r="29" spans="2:56" ht="15.75" customHeight="1" thickBot="1" x14ac:dyDescent="0.3">
      <c r="B29" s="9" t="s">
        <v>298</v>
      </c>
      <c r="R29" t="s">
        <v>299</v>
      </c>
      <c r="AG29">
        <f>WorkCoefficients!B37</f>
        <v>131</v>
      </c>
      <c r="AH29" t="str">
        <f>WorkCoefficients!C37</f>
        <v>da-escsptr</v>
      </c>
      <c r="AI29">
        <f>WorkCoefficients!E37</f>
        <v>-4.5175524459999998</v>
      </c>
      <c r="AJ29" s="70">
        <f t="shared" si="0"/>
        <v>-4.5175524459999998</v>
      </c>
      <c r="AL29">
        <f>SchoolCoeffcients!B37</f>
        <v>69</v>
      </c>
      <c r="AM29" t="str">
        <f>SchoolCoeffcients!C37</f>
        <v>bi-univtr</v>
      </c>
      <c r="AN29" s="43">
        <f>SchoolCoeffcients!E37</f>
        <v>2.655798109</v>
      </c>
      <c r="AO29" s="47">
        <f t="shared" si="1"/>
        <v>2.655798109</v>
      </c>
      <c r="AV29">
        <f>OtherCoefficients!B37</f>
        <v>132</v>
      </c>
      <c r="AW29" t="str">
        <f>OtherCoefficients!C37</f>
        <v>da-othsptr</v>
      </c>
      <c r="AX29">
        <f>OtherCoefficients!E37</f>
        <v>0.20969220399999999</v>
      </c>
      <c r="AY29" s="47">
        <f t="shared" si="3"/>
        <v>0.20969220399999999</v>
      </c>
    </row>
    <row r="30" spans="2:56" x14ac:dyDescent="0.25">
      <c r="B30" s="2" t="s">
        <v>2</v>
      </c>
      <c r="C30" s="2" t="s">
        <v>279</v>
      </c>
      <c r="D30" s="2" t="s">
        <v>280</v>
      </c>
      <c r="E30" s="2" t="s">
        <v>255</v>
      </c>
      <c r="F30" s="2" t="s">
        <v>260</v>
      </c>
      <c r="G30" s="2" t="s">
        <v>281</v>
      </c>
      <c r="J30" s="2" t="s">
        <v>2</v>
      </c>
      <c r="K30" s="2" t="s">
        <v>279</v>
      </c>
      <c r="L30" s="2" t="s">
        <v>280</v>
      </c>
      <c r="M30" s="2" t="s">
        <v>255</v>
      </c>
      <c r="N30" s="2" t="s">
        <v>260</v>
      </c>
      <c r="O30" s="2" t="s">
        <v>281</v>
      </c>
      <c r="R30" s="2" t="s">
        <v>2</v>
      </c>
      <c r="S30" s="2" t="s">
        <v>279</v>
      </c>
      <c r="T30" s="2" t="s">
        <v>280</v>
      </c>
      <c r="U30" s="2" t="s">
        <v>255</v>
      </c>
      <c r="V30" s="2" t="s">
        <v>260</v>
      </c>
      <c r="W30" s="2" t="s">
        <v>281</v>
      </c>
      <c r="Y30" s="2" t="s">
        <v>2</v>
      </c>
      <c r="Z30" s="2" t="s">
        <v>279</v>
      </c>
      <c r="AA30" s="2" t="s">
        <v>280</v>
      </c>
      <c r="AB30" s="2" t="s">
        <v>255</v>
      </c>
      <c r="AC30" s="2" t="s">
        <v>260</v>
      </c>
      <c r="AD30" s="2" t="s">
        <v>281</v>
      </c>
      <c r="AG30">
        <f>WorkCoefficients!B38</f>
        <v>132</v>
      </c>
      <c r="AH30" t="str">
        <f>WorkCoefficients!C38</f>
        <v>da-othsptr</v>
      </c>
      <c r="AI30">
        <f>WorkCoefficients!E38</f>
        <v>0.19300757900000001</v>
      </c>
      <c r="AJ30" s="70">
        <f t="shared" si="0"/>
        <v>0.19300757900000001</v>
      </c>
      <c r="AL30">
        <f>SchoolCoeffcients!B38</f>
        <v>79</v>
      </c>
      <c r="AM30" t="str">
        <f>SchoolCoeffcients!C38</f>
        <v>wk-univtr</v>
      </c>
      <c r="AN30" s="43">
        <f>SchoolCoeffcients!E38</f>
        <v>3.1769310329999998</v>
      </c>
      <c r="AO30" s="47">
        <f t="shared" si="1"/>
        <v>3.1769310329999998</v>
      </c>
      <c r="AV30">
        <f>OtherCoefficients!B38</f>
        <v>133</v>
      </c>
      <c r="AW30" t="str">
        <f>OtherCoefficients!C38</f>
        <v>sr-escsptr</v>
      </c>
      <c r="AX30">
        <f>OtherCoefficients!E38</f>
        <v>0</v>
      </c>
      <c r="AY30" s="47">
        <f t="shared" si="3"/>
        <v>0</v>
      </c>
    </row>
    <row r="31" spans="2:56" x14ac:dyDescent="0.25">
      <c r="B31" s="9" t="s">
        <v>4</v>
      </c>
      <c r="C31" s="34">
        <f t="shared" ref="C31:C38" si="7">$C18/C$26</f>
        <v>0.64129314929201031</v>
      </c>
      <c r="D31" s="34">
        <f t="shared" ref="D31:D38" si="8">$D18/D$26</f>
        <v>0.11885591668502474</v>
      </c>
      <c r="E31" s="34">
        <f t="shared" ref="E31:E38" si="9">$E18/E$26</f>
        <v>3.0586690159631211E-2</v>
      </c>
      <c r="F31" s="34">
        <f t="shared" ref="F31:F38" si="10">$F18/F$26</f>
        <v>0.31756626028895785</v>
      </c>
      <c r="G31" s="34">
        <f t="shared" ref="G31:G38" si="11">$G18/G$26</f>
        <v>0.20908612002055477</v>
      </c>
      <c r="H31" s="34"/>
      <c r="J31" s="9" t="s">
        <v>4</v>
      </c>
      <c r="K31" s="34">
        <f t="shared" ref="K31:K38" si="12">$K18/K$26</f>
        <v>0.60008648804305276</v>
      </c>
      <c r="L31" s="34">
        <f t="shared" ref="L31:L38" si="13">$L18/L$26</f>
        <v>0.15312934457233751</v>
      </c>
      <c r="M31" s="34">
        <f t="shared" ref="M31:M38" si="14">$M18/M$26</f>
        <v>2.1101165013981315E-4</v>
      </c>
      <c r="N31" s="34">
        <f t="shared" ref="N31:N38" si="15">$N18/N$26</f>
        <v>0.25533425383725</v>
      </c>
      <c r="O31" s="34">
        <f t="shared" ref="O31:O38" si="16">$O18/O$26</f>
        <v>0.60649470520000504</v>
      </c>
      <c r="R31" s="9" t="s">
        <v>4</v>
      </c>
      <c r="S31" s="36">
        <f t="shared" ref="S31:W33" si="17">C31/K31</f>
        <v>1.0686678704986958</v>
      </c>
      <c r="T31" s="36">
        <f t="shared" si="17"/>
        <v>0.77617988254940784</v>
      </c>
      <c r="U31" s="36">
        <f t="shared" si="17"/>
        <v>144.95261346643625</v>
      </c>
      <c r="V31" s="36">
        <f t="shared" si="17"/>
        <v>1.2437276061337799</v>
      </c>
      <c r="W31" s="36">
        <f t="shared" si="17"/>
        <v>0.3447451696245295</v>
      </c>
      <c r="Y31" s="9" t="s">
        <v>4</v>
      </c>
      <c r="Z31" s="36">
        <f t="shared" ref="Z31:AD33" si="18">IF(S31&gt;0,$AB$28*LN(S31),0)</f>
        <v>6.6412891998993667E-2</v>
      </c>
      <c r="AA31" s="36">
        <f t="shared" si="18"/>
        <v>-0.2533709782530737</v>
      </c>
      <c r="AB31" s="36">
        <f t="shared" si="18"/>
        <v>4.9764068853288643</v>
      </c>
      <c r="AC31" s="36">
        <f t="shared" si="18"/>
        <v>0.21811300421000243</v>
      </c>
      <c r="AD31" s="36">
        <f t="shared" si="18"/>
        <v>-1.064949773648278</v>
      </c>
      <c r="AG31">
        <f>WorkCoefficients!B39</f>
        <v>133</v>
      </c>
      <c r="AH31" t="str">
        <f>WorkCoefficients!C39</f>
        <v>sr-escsptr</v>
      </c>
      <c r="AI31">
        <f>WorkCoefficients!E39</f>
        <v>5.5028395569999997</v>
      </c>
      <c r="AJ31" s="70">
        <f t="shared" si="0"/>
        <v>5.5028395569999997</v>
      </c>
      <c r="AL31">
        <f>SchoolCoeffcients!B39</f>
        <v>122</v>
      </c>
      <c r="AM31" t="str">
        <f>SchoolCoeffcients!C39</f>
        <v>tr-ologts</v>
      </c>
      <c r="AN31" s="43">
        <f>SchoolCoeffcients!E39</f>
        <v>-0.24379659300000001</v>
      </c>
      <c r="AO31" s="47">
        <f t="shared" si="1"/>
        <v>-0.24379659300000001</v>
      </c>
      <c r="AV31">
        <f>OtherCoefficients!B39</f>
        <v>134</v>
      </c>
      <c r="AW31" t="str">
        <f>OtherCoefficients!C39</f>
        <v>sr-othsptr</v>
      </c>
      <c r="AX31">
        <f>OtherCoefficients!E39</f>
        <v>0.296367824</v>
      </c>
      <c r="AY31" s="47">
        <f t="shared" si="3"/>
        <v>0.296367824</v>
      </c>
    </row>
    <row r="32" spans="2:56" x14ac:dyDescent="0.25">
      <c r="B32" s="9" t="s">
        <v>5</v>
      </c>
      <c r="C32" s="34">
        <f t="shared" si="7"/>
        <v>0.14314118715635279</v>
      </c>
      <c r="D32" s="34">
        <f t="shared" si="8"/>
        <v>0.17835206963307335</v>
      </c>
      <c r="E32" s="34">
        <f t="shared" si="9"/>
        <v>0.44943715130862871</v>
      </c>
      <c r="F32" s="34">
        <f t="shared" si="10"/>
        <v>0.25178690745653287</v>
      </c>
      <c r="G32" s="34">
        <f t="shared" si="11"/>
        <v>4.6004066580394687E-2</v>
      </c>
      <c r="H32" s="34"/>
      <c r="J32" s="9" t="s">
        <v>5</v>
      </c>
      <c r="K32" s="34">
        <f t="shared" si="12"/>
        <v>0.15747727100145659</v>
      </c>
      <c r="L32" s="34">
        <f t="shared" si="13"/>
        <v>0.25016804231743922</v>
      </c>
      <c r="M32" s="34">
        <f t="shared" si="14"/>
        <v>0.55339599565918896</v>
      </c>
      <c r="N32" s="34">
        <f t="shared" si="15"/>
        <v>0.25639719412204687</v>
      </c>
      <c r="O32" s="34">
        <f t="shared" si="16"/>
        <v>0.14393249597744875</v>
      </c>
      <c r="R32" s="9" t="s">
        <v>5</v>
      </c>
      <c r="S32" s="36">
        <f t="shared" si="17"/>
        <v>0.90896410793801985</v>
      </c>
      <c r="T32" s="36">
        <f t="shared" si="17"/>
        <v>0.71292906952024548</v>
      </c>
      <c r="U32" s="36">
        <f t="shared" si="17"/>
        <v>0.81214384425256358</v>
      </c>
      <c r="V32" s="36">
        <f t="shared" si="17"/>
        <v>0.9820189659980465</v>
      </c>
      <c r="W32" s="36">
        <f t="shared" si="17"/>
        <v>0.31962251656917401</v>
      </c>
      <c r="Y32" s="9" t="s">
        <v>5</v>
      </c>
      <c r="Z32" s="36">
        <f t="shared" si="18"/>
        <v>-9.5449670800919748E-2</v>
      </c>
      <c r="AA32" s="36">
        <f t="shared" si="18"/>
        <v>-0.33837334525526364</v>
      </c>
      <c r="AB32" s="36">
        <f t="shared" si="18"/>
        <v>-0.20807780641503981</v>
      </c>
      <c r="AC32" s="36">
        <f t="shared" si="18"/>
        <v>-1.8144657170545305E-2</v>
      </c>
      <c r="AD32" s="36">
        <f t="shared" si="18"/>
        <v>-1.1406146152275685</v>
      </c>
      <c r="AG32">
        <f>WorkCoefficients!B40</f>
        <v>134</v>
      </c>
      <c r="AH32" t="str">
        <f>WorkCoefficients!C40</f>
        <v>sr-othsptr</v>
      </c>
      <c r="AI32">
        <f>WorkCoefficients!E40</f>
        <v>0.42372318599999997</v>
      </c>
      <c r="AJ32" s="70">
        <f t="shared" si="0"/>
        <v>0.42372318599999997</v>
      </c>
      <c r="AL32">
        <f>SchoolCoeffcients!B40</f>
        <v>129</v>
      </c>
      <c r="AM32" t="str">
        <f>SchoolCoeffcients!C40</f>
        <v>tr-dmixed</v>
      </c>
      <c r="AN32" s="43">
        <f>SchoolCoeffcients!E40</f>
        <v>0.77462376499999996</v>
      </c>
      <c r="AO32" s="47">
        <f t="shared" si="1"/>
        <v>0.77462376499999996</v>
      </c>
      <c r="AV32">
        <f>OtherCoefficients!B40</f>
        <v>136</v>
      </c>
      <c r="AW32" t="str">
        <f>OtherCoefficients!C40</f>
        <v>sr-shop</v>
      </c>
      <c r="AX32">
        <f>OtherCoefficients!E40</f>
        <v>-4.3232317999999999E-2</v>
      </c>
      <c r="AY32" s="47">
        <f t="shared" si="3"/>
        <v>-4.3232317999999999E-2</v>
      </c>
    </row>
    <row r="33" spans="1:51" x14ac:dyDescent="0.25">
      <c r="B33" s="9" t="s">
        <v>6</v>
      </c>
      <c r="C33" s="34">
        <f t="shared" si="7"/>
        <v>7.5271282418930469E-2</v>
      </c>
      <c r="D33" s="34">
        <f t="shared" si="8"/>
        <v>0.30058909940842399</v>
      </c>
      <c r="E33" s="34">
        <f t="shared" si="9"/>
        <v>0.46172307552762154</v>
      </c>
      <c r="F33" s="34">
        <f t="shared" si="10"/>
        <v>0.20486654171446983</v>
      </c>
      <c r="G33" s="34">
        <f t="shared" si="11"/>
        <v>1.7910541899468391E-2</v>
      </c>
      <c r="H33" s="34"/>
      <c r="J33" s="9" t="s">
        <v>6</v>
      </c>
      <c r="K33" s="34">
        <f t="shared" si="12"/>
        <v>8.6617232717923737E-2</v>
      </c>
      <c r="L33" s="34">
        <f t="shared" si="13"/>
        <v>0.42125808377483581</v>
      </c>
      <c r="M33" s="34">
        <f t="shared" si="14"/>
        <v>0.4406583563484362</v>
      </c>
      <c r="N33" s="34">
        <f t="shared" si="15"/>
        <v>0.24729287950878651</v>
      </c>
      <c r="O33" s="34">
        <f t="shared" si="16"/>
        <v>5.5193144824317412E-2</v>
      </c>
      <c r="R33" s="9" t="s">
        <v>6</v>
      </c>
      <c r="S33" s="36">
        <f t="shared" si="17"/>
        <v>0.8690104735169466</v>
      </c>
      <c r="T33" s="36">
        <f t="shared" si="17"/>
        <v>0.71355093465479968</v>
      </c>
      <c r="U33" s="36">
        <f t="shared" si="17"/>
        <v>1.0478028360876677</v>
      </c>
      <c r="V33" s="36">
        <f t="shared" si="17"/>
        <v>0.82843688067933541</v>
      </c>
      <c r="W33" s="36">
        <f t="shared" si="17"/>
        <v>0.32450663857764506</v>
      </c>
      <c r="Y33" s="9" t="s">
        <v>6</v>
      </c>
      <c r="Z33" s="36">
        <f t="shared" si="18"/>
        <v>-0.14040010141083969</v>
      </c>
      <c r="AA33" s="36">
        <f t="shared" si="18"/>
        <v>-0.33750145757071331</v>
      </c>
      <c r="AB33" s="36">
        <f t="shared" si="18"/>
        <v>4.66954346953889E-2</v>
      </c>
      <c r="AC33" s="36">
        <f t="shared" si="18"/>
        <v>-0.1882146300758831</v>
      </c>
      <c r="AD33" s="36">
        <f t="shared" si="18"/>
        <v>-1.1254492851808571</v>
      </c>
      <c r="AG33">
        <f>WorkCoefficients!B41</f>
        <v>162</v>
      </c>
      <c r="AH33" t="str">
        <f>WorkCoefficients!C41</f>
        <v>bi-class2</v>
      </c>
      <c r="AI33">
        <f>WorkCoefficients!E41</f>
        <v>0</v>
      </c>
      <c r="AJ33" s="70">
        <f t="shared" si="0"/>
        <v>0</v>
      </c>
      <c r="AL33">
        <f>SchoolCoeffcients!B41</f>
        <v>131</v>
      </c>
      <c r="AM33" t="str">
        <f>SchoolCoeffcients!C41</f>
        <v>da-escsptr</v>
      </c>
      <c r="AN33" s="43">
        <f>SchoolCoeffcients!E41</f>
        <v>0</v>
      </c>
      <c r="AO33" s="47">
        <f t="shared" si="1"/>
        <v>0</v>
      </c>
      <c r="AV33">
        <f>OtherCoefficients!B41</f>
        <v>137</v>
      </c>
      <c r="AW33" t="str">
        <f>OtherCoefficients!C41</f>
        <v>sr-meal</v>
      </c>
      <c r="AX33">
        <f>OtherCoefficients!E41</f>
        <v>1.3197710739999999</v>
      </c>
      <c r="AY33" s="47">
        <f t="shared" si="3"/>
        <v>1.3197710739999999</v>
      </c>
    </row>
    <row r="34" spans="1:51" x14ac:dyDescent="0.25">
      <c r="B34" s="9" t="s">
        <v>7</v>
      </c>
      <c r="C34" s="34">
        <f t="shared" si="7"/>
        <v>2.1605994953855769E-2</v>
      </c>
      <c r="D34" s="34">
        <f t="shared" si="8"/>
        <v>0</v>
      </c>
      <c r="E34" s="34">
        <f t="shared" si="9"/>
        <v>0</v>
      </c>
      <c r="F34" s="34">
        <f t="shared" si="10"/>
        <v>0</v>
      </c>
      <c r="G34" s="34">
        <f t="shared" si="11"/>
        <v>0</v>
      </c>
      <c r="H34" s="34"/>
      <c r="J34" s="9" t="s">
        <v>7</v>
      </c>
      <c r="K34" s="34">
        <f t="shared" si="12"/>
        <v>4.0203626580724308E-2</v>
      </c>
      <c r="L34" s="34">
        <f t="shared" si="13"/>
        <v>0</v>
      </c>
      <c r="M34" s="34">
        <f t="shared" si="14"/>
        <v>0</v>
      </c>
      <c r="N34" s="34">
        <f t="shared" si="15"/>
        <v>0</v>
      </c>
      <c r="O34" s="34">
        <f t="shared" si="16"/>
        <v>0</v>
      </c>
      <c r="R34" s="9" t="s">
        <v>7</v>
      </c>
      <c r="S34" s="36">
        <f>C34/K34</f>
        <v>0.53741407906257876</v>
      </c>
      <c r="T34" s="36"/>
      <c r="U34" s="36"/>
      <c r="V34" s="36"/>
      <c r="W34" s="36"/>
      <c r="Y34" s="9" t="s">
        <v>7</v>
      </c>
      <c r="Z34" s="36">
        <f>IF(S34&gt;0,$AB$28*LN(S34),0)</f>
        <v>-0.62098638466498701</v>
      </c>
      <c r="AA34" s="36"/>
      <c r="AB34" s="36"/>
      <c r="AC34" s="36"/>
      <c r="AD34" s="36"/>
      <c r="AG34">
        <f>WorkCoefficients!B42</f>
        <v>164</v>
      </c>
      <c r="AH34" t="str">
        <f>WorkCoefficients!C42</f>
        <v>bi-omixed</v>
      </c>
      <c r="AI34">
        <f>WorkCoefficients!E42</f>
        <v>1.336185706</v>
      </c>
      <c r="AJ34" s="70">
        <f t="shared" si="0"/>
        <v>1.336185706</v>
      </c>
      <c r="AL34">
        <f>SchoolCoeffcients!B42</f>
        <v>132</v>
      </c>
      <c r="AM34" t="str">
        <f>SchoolCoeffcients!C42</f>
        <v>da-othsptr</v>
      </c>
      <c r="AN34" s="43">
        <f>SchoolCoeffcients!E42</f>
        <v>1.337907E-2</v>
      </c>
      <c r="AO34" s="47">
        <f t="shared" si="1"/>
        <v>1.337907E-2</v>
      </c>
      <c r="AV34">
        <f>OtherCoefficients!B42</f>
        <v>138</v>
      </c>
      <c r="AW34" t="str">
        <f>OtherCoefficients!C42</f>
        <v>sr-socrec</v>
      </c>
      <c r="AX34">
        <f>OtherCoefficients!E42</f>
        <v>0.46798410400000001</v>
      </c>
      <c r="AY34" s="47">
        <f t="shared" si="3"/>
        <v>0.46798410400000001</v>
      </c>
    </row>
    <row r="35" spans="1:51" x14ac:dyDescent="0.25">
      <c r="B35" s="9" t="s">
        <v>8</v>
      </c>
      <c r="C35" s="34">
        <f t="shared" si="7"/>
        <v>6.7617525179122159E-2</v>
      </c>
      <c r="D35" s="34">
        <f t="shared" si="8"/>
        <v>3.9245581012445907E-2</v>
      </c>
      <c r="E35" s="34">
        <f t="shared" si="9"/>
        <v>0</v>
      </c>
      <c r="F35" s="34">
        <f t="shared" si="10"/>
        <v>1.5836322818397693E-2</v>
      </c>
      <c r="G35" s="34">
        <f t="shared" si="11"/>
        <v>3.7922829569259171E-3</v>
      </c>
      <c r="H35" s="34"/>
      <c r="J35" s="9" t="s">
        <v>8</v>
      </c>
      <c r="K35" s="34">
        <f t="shared" si="12"/>
        <v>6.9896046697626169E-2</v>
      </c>
      <c r="L35" s="34">
        <f t="shared" si="13"/>
        <v>6.2050408520267365E-2</v>
      </c>
      <c r="M35" s="34">
        <f t="shared" si="14"/>
        <v>0</v>
      </c>
      <c r="N35" s="34">
        <f t="shared" si="15"/>
        <v>1.1192512350015215E-2</v>
      </c>
      <c r="O35" s="34">
        <f t="shared" si="16"/>
        <v>1.0907662180534594E-2</v>
      </c>
      <c r="R35" s="9" t="s">
        <v>8</v>
      </c>
      <c r="S35" s="36">
        <f>C35/K35</f>
        <v>0.9674012819586062</v>
      </c>
      <c r="T35" s="36">
        <f>IF(L35=0,1,D35/L35)</f>
        <v>0.63247901099035031</v>
      </c>
      <c r="U35" s="36"/>
      <c r="V35" s="36">
        <f>IF(N35=0,1,F35/N35)</f>
        <v>1.4149033142122167</v>
      </c>
      <c r="W35" s="36">
        <f>IF(O35=0,1,G35/O35)</f>
        <v>0.34767147113278618</v>
      </c>
      <c r="Y35" s="9" t="s">
        <v>8</v>
      </c>
      <c r="Z35" s="36">
        <f>IF(S35&gt;0,$AB$28*LN(S35),0)</f>
        <v>-3.3141893435349741E-2</v>
      </c>
      <c r="AA35" s="36">
        <f>IF(T35&gt;0,$AB$28*LN(T35),0)</f>
        <v>-0.45810824313604942</v>
      </c>
      <c r="AB35" s="36"/>
      <c r="AC35" s="36">
        <f>IF(V35&gt;0,$AB$28*LN(V35),0)</f>
        <v>0.34706119958201082</v>
      </c>
      <c r="AD35" s="36">
        <f>IF(W35&gt;0,$AB$28*LN(W35),0)</f>
        <v>-1.0564972935710766</v>
      </c>
      <c r="AG35">
        <f>WorkCoefficients!B43</f>
        <v>168</v>
      </c>
      <c r="AH35" t="str">
        <f>WorkCoefficients!C43</f>
        <v>bi-dempdn</v>
      </c>
      <c r="AI35">
        <f>WorkCoefficients!E43</f>
        <v>-6.5359500000000005E-7</v>
      </c>
      <c r="AJ35" s="70">
        <f t="shared" ref="AJ35:AJ66" si="19">_xlfn.IFNA(VLOOKUP(AG35,$S$55:$AD$62,8,FALSE),_xlfn.IFNA(VLOOKUP(AG35, $Z$106:$AC$130,2,FALSE),AI35))</f>
        <v>-6.5359500000000005E-7</v>
      </c>
      <c r="AL35">
        <f>SchoolCoeffcients!B43</f>
        <v>133</v>
      </c>
      <c r="AM35" t="str">
        <f>SchoolCoeffcients!C43</f>
        <v>sr-escsptr</v>
      </c>
      <c r="AN35" s="43">
        <f>SchoolCoeffcients!E43</f>
        <v>0</v>
      </c>
      <c r="AO35" s="47">
        <f t="shared" ref="AO35:AO66" si="20">_xlfn.IFNA(VLOOKUP(AL35,$T$55:$AD$62,8,FALSE),_xlfn.IFNA(VLOOKUP(AL35, $Z$106:$AC$130,3,FALSE),AN35))</f>
        <v>0</v>
      </c>
      <c r="AV35">
        <f>OtherCoefficients!B43</f>
        <v>160</v>
      </c>
      <c r="AW35" t="str">
        <f>OtherCoefficients!C43</f>
        <v>bi-socrec</v>
      </c>
      <c r="AX35">
        <f>OtherCoefficients!E43</f>
        <v>1.5982044369999999</v>
      </c>
      <c r="AY35" s="47">
        <f t="shared" ref="AY35:AY66" si="21">_xlfn.IFNA(VLOOKUP(AV35,$V$55:$AD$62,8,FALSE),_xlfn.IFNA(VLOOKUP(AV35, $Z$106:$AC$130,4,FALSE),AX35))</f>
        <v>1.5982044369999999</v>
      </c>
    </row>
    <row r="36" spans="1:51" x14ac:dyDescent="0.25">
      <c r="B36" s="9" t="s">
        <v>9</v>
      </c>
      <c r="C36" s="34">
        <f t="shared" si="7"/>
        <v>2.5233869030816536E-2</v>
      </c>
      <c r="D36" s="34">
        <f t="shared" si="8"/>
        <v>1.2723773002315275E-2</v>
      </c>
      <c r="E36" s="34">
        <f t="shared" si="9"/>
        <v>4.2268419080189138E-3</v>
      </c>
      <c r="F36" s="34">
        <f t="shared" si="10"/>
        <v>1.0634483995755738E-2</v>
      </c>
      <c r="G36" s="34">
        <f t="shared" si="11"/>
        <v>1.4100576527187353E-3</v>
      </c>
      <c r="H36" s="34"/>
      <c r="J36" s="9" t="s">
        <v>9</v>
      </c>
      <c r="K36" s="34">
        <f t="shared" si="12"/>
        <v>1.8763073057248773E-2</v>
      </c>
      <c r="L36" s="34">
        <f t="shared" si="13"/>
        <v>1.819658237413526E-2</v>
      </c>
      <c r="M36" s="34">
        <f t="shared" si="14"/>
        <v>5.6973145537749558E-3</v>
      </c>
      <c r="N36" s="34">
        <f t="shared" si="15"/>
        <v>1.6418339168247451E-2</v>
      </c>
      <c r="O36" s="34">
        <f t="shared" si="16"/>
        <v>3.180621905130156E-3</v>
      </c>
      <c r="R36" s="9" t="s">
        <v>9</v>
      </c>
      <c r="S36" s="36">
        <f>C36/K36</f>
        <v>1.3448686659069362</v>
      </c>
      <c r="T36" s="36">
        <f>D36/L36</f>
        <v>0.69923971110096628</v>
      </c>
      <c r="U36" s="36">
        <f>IF(M36=0,1,E36/M36)</f>
        <v>0.74190074431089137</v>
      </c>
      <c r="V36" s="36">
        <f>F36/N36</f>
        <v>0.64771983857676019</v>
      </c>
      <c r="W36" s="36">
        <f>G36/O36</f>
        <v>0.44332765565262422</v>
      </c>
      <c r="Y36" s="9" t="s">
        <v>9</v>
      </c>
      <c r="Z36" s="36">
        <f>IF(S36&gt;0,$AB$28*LN(S36),0)</f>
        <v>0.29629636212025851</v>
      </c>
      <c r="AA36" s="36">
        <f>IF(T36&gt;0,$AB$28*LN(T36),0)</f>
        <v>-0.35776166120071989</v>
      </c>
      <c r="AB36" s="36">
        <f>IF(U36&gt;0,$AB$28*LN(U36),0)</f>
        <v>-0.29853981253754241</v>
      </c>
      <c r="AC36" s="36">
        <f>IF(V36&gt;0,$AB$28*LN(V36),0)</f>
        <v>-0.43429702399452269</v>
      </c>
      <c r="AD36" s="36">
        <f>IF(W36&gt;0,$AB$28*LN(W36),0)</f>
        <v>-0.81344615331504699</v>
      </c>
      <c r="AG36">
        <f>WorkCoefficients!B44</f>
        <v>169</v>
      </c>
      <c r="AH36" t="str">
        <f>WorkCoefficients!C44</f>
        <v>bi-dmixed</v>
      </c>
      <c r="AI36">
        <f>WorkCoefficients!E44</f>
        <v>1.3874495019999999</v>
      </c>
      <c r="AJ36" s="70">
        <f t="shared" si="19"/>
        <v>1.3874495019999999</v>
      </c>
      <c r="AL36">
        <f>SchoolCoeffcients!B44</f>
        <v>134</v>
      </c>
      <c r="AM36" t="str">
        <f>SchoolCoeffcients!C44</f>
        <v>sr-othsptr</v>
      </c>
      <c r="AN36" s="43">
        <f>SchoolCoeffcients!E44</f>
        <v>0.433890995</v>
      </c>
      <c r="AO36" s="47">
        <f t="shared" si="20"/>
        <v>0.433890995</v>
      </c>
      <c r="AV36">
        <f>OtherCoefficients!B44</f>
        <v>161</v>
      </c>
      <c r="AW36" t="str">
        <f>OtherCoefficients!C44</f>
        <v>bi-class1</v>
      </c>
      <c r="AX36">
        <f>OtherCoefficients!E44</f>
        <v>0</v>
      </c>
      <c r="AY36" s="47">
        <f t="shared" si="21"/>
        <v>0</v>
      </c>
    </row>
    <row r="37" spans="1:51" x14ac:dyDescent="0.25">
      <c r="B37" s="9" t="s">
        <v>10</v>
      </c>
      <c r="C37" s="34">
        <f t="shared" si="7"/>
        <v>2.5259019120787447E-2</v>
      </c>
      <c r="D37" s="34">
        <f t="shared" si="8"/>
        <v>7.5960957908384988E-2</v>
      </c>
      <c r="E37" s="34">
        <f t="shared" si="9"/>
        <v>5.3004571269744963E-2</v>
      </c>
      <c r="F37" s="34">
        <f t="shared" si="10"/>
        <v>0.19794900694298012</v>
      </c>
      <c r="G37" s="34">
        <f t="shared" si="11"/>
        <v>0.22179693088993746</v>
      </c>
      <c r="H37" s="34"/>
      <c r="J37" s="9" t="s">
        <v>10</v>
      </c>
      <c r="K37" s="34">
        <f t="shared" si="12"/>
        <v>9.1714800500585295E-3</v>
      </c>
      <c r="L37" s="34">
        <f t="shared" si="13"/>
        <v>8.9985095377061911E-2</v>
      </c>
      <c r="M37" s="34">
        <f t="shared" si="14"/>
        <v>3.7321788460103011E-5</v>
      </c>
      <c r="N37" s="34">
        <f t="shared" si="15"/>
        <v>0.20892642320238666</v>
      </c>
      <c r="O37" s="34">
        <f t="shared" si="16"/>
        <v>0.18029136991256409</v>
      </c>
      <c r="R37" s="9" t="s">
        <v>10</v>
      </c>
      <c r="S37" s="36"/>
      <c r="T37" s="36"/>
      <c r="U37" s="36"/>
      <c r="V37" s="36"/>
      <c r="W37" s="36"/>
      <c r="Y37" s="9" t="s">
        <v>10</v>
      </c>
      <c r="Z37" s="36"/>
      <c r="AA37" s="36"/>
      <c r="AB37" s="36"/>
      <c r="AC37" s="36"/>
      <c r="AD37" s="36"/>
      <c r="AG37">
        <f>WorkCoefficients!B45</f>
        <v>179</v>
      </c>
      <c r="AH37" t="str">
        <f>WorkCoefficients!C45</f>
        <v>wk-dmixed</v>
      </c>
      <c r="AI37">
        <f>WorkCoefficients!E45</f>
        <v>1.736096511</v>
      </c>
      <c r="AJ37" s="70">
        <f t="shared" si="19"/>
        <v>1.736096511</v>
      </c>
      <c r="AL37">
        <f>SchoolCoeffcients!B45</f>
        <v>161</v>
      </c>
      <c r="AM37" t="str">
        <f>SchoolCoeffcients!C45</f>
        <v>bi-class1</v>
      </c>
      <c r="AN37" s="43">
        <f>SchoolCoeffcients!E45</f>
        <v>0</v>
      </c>
      <c r="AO37" s="47">
        <f t="shared" si="20"/>
        <v>0</v>
      </c>
      <c r="AV37">
        <f>OtherCoefficients!B45</f>
        <v>162</v>
      </c>
      <c r="AW37" t="str">
        <f>OtherCoefficients!C45</f>
        <v>bi-class2</v>
      </c>
      <c r="AX37">
        <f>OtherCoefficients!E45</f>
        <v>0</v>
      </c>
      <c r="AY37" s="47">
        <f t="shared" si="21"/>
        <v>0</v>
      </c>
    </row>
    <row r="38" spans="1:51" x14ac:dyDescent="0.25">
      <c r="B38" s="12" t="s">
        <v>11</v>
      </c>
      <c r="C38" s="34">
        <f t="shared" si="7"/>
        <v>5.7797284812453344E-4</v>
      </c>
      <c r="D38" s="34">
        <f t="shared" si="8"/>
        <v>0.27427260235033168</v>
      </c>
      <c r="E38" s="34">
        <f t="shared" si="9"/>
        <v>1.0216698263545859E-3</v>
      </c>
      <c r="F38" s="34">
        <f t="shared" si="10"/>
        <v>1.3604767829058157E-3</v>
      </c>
      <c r="G38" s="34">
        <f t="shared" si="11"/>
        <v>0.49999999999999994</v>
      </c>
      <c r="H38" s="34"/>
      <c r="J38" s="12" t="s">
        <v>11</v>
      </c>
      <c r="K38" s="34">
        <f t="shared" si="12"/>
        <v>1.7784781851909195E-2</v>
      </c>
      <c r="L38" s="34">
        <f t="shared" si="13"/>
        <v>5.2124430639228798E-3</v>
      </c>
      <c r="M38" s="34">
        <f t="shared" si="14"/>
        <v>0</v>
      </c>
      <c r="N38" s="34">
        <f t="shared" si="15"/>
        <v>4.4383978112673096E-3</v>
      </c>
      <c r="O38" s="34">
        <f t="shared" si="16"/>
        <v>0</v>
      </c>
      <c r="R38" s="12" t="s">
        <v>11</v>
      </c>
      <c r="S38" s="36"/>
      <c r="T38" s="36">
        <f>D38/L38</f>
        <v>52.618819809978774</v>
      </c>
      <c r="U38" s="36"/>
      <c r="V38" s="36"/>
      <c r="W38" s="36">
        <f>IF(O38=0,1,G38/O38)</f>
        <v>1</v>
      </c>
      <c r="Y38" s="12" t="s">
        <v>11</v>
      </c>
      <c r="Z38" s="36"/>
      <c r="AA38" s="36">
        <f>IF(T38&gt;0,$AB$28*LN(T38),0)</f>
        <v>3.9630738468159401</v>
      </c>
      <c r="AB38" s="36"/>
      <c r="AC38" s="36"/>
      <c r="AD38" s="36">
        <f>IF(W38&gt;0,$AB$28*LN(W38),0)</f>
        <v>0</v>
      </c>
      <c r="AG38">
        <f>WorkCoefficients!B46</f>
        <v>201</v>
      </c>
      <c r="AH38" t="str">
        <f>WorkCoefficients!C46</f>
        <v>odistcont1-tr</v>
      </c>
      <c r="AI38">
        <f>WorkCoefficients!E46</f>
        <v>-0.8</v>
      </c>
      <c r="AJ38" s="70">
        <f t="shared" si="19"/>
        <v>-0.8</v>
      </c>
      <c r="AL38">
        <f>SchoolCoeffcients!B46</f>
        <v>162</v>
      </c>
      <c r="AM38" t="str">
        <f>SchoolCoeffcients!C46</f>
        <v>bi-class2</v>
      </c>
      <c r="AN38" s="43">
        <f>SchoolCoeffcients!E46</f>
        <v>0</v>
      </c>
      <c r="AO38" s="47">
        <f t="shared" si="20"/>
        <v>0</v>
      </c>
      <c r="AV38">
        <f>OtherCoefficients!B46</f>
        <v>163</v>
      </c>
      <c r="AW38" t="str">
        <f>OtherCoefficients!C46</f>
        <v>bi-gauntl</v>
      </c>
      <c r="AX38">
        <f>OtherCoefficients!E46</f>
        <v>0</v>
      </c>
      <c r="AY38" s="47">
        <f t="shared" si="21"/>
        <v>0</v>
      </c>
    </row>
    <row r="39" spans="1:51" ht="15.75" customHeight="1" thickBot="1" x14ac:dyDescent="0.3">
      <c r="B39" s="17" t="s">
        <v>3</v>
      </c>
      <c r="C39" s="35">
        <f>SUM(C31:C38)</f>
        <v>0.99999999999999989</v>
      </c>
      <c r="D39" s="35">
        <f>SUM(D31:D38)</f>
        <v>0.99999999999999989</v>
      </c>
      <c r="E39" s="35">
        <f>SUM(E31:E38)</f>
        <v>0.99999999999999989</v>
      </c>
      <c r="F39" s="35">
        <f>SUM(F31:F38)</f>
        <v>0.99999999999999989</v>
      </c>
      <c r="G39" s="35">
        <f>SUM(G31:G38)</f>
        <v>0.99999999999999989</v>
      </c>
      <c r="H39" s="34"/>
      <c r="J39" s="17" t="s">
        <v>3</v>
      </c>
      <c r="K39" s="35">
        <f>SUM(K31:K38)</f>
        <v>1</v>
      </c>
      <c r="L39" s="35">
        <f>SUM(L31:L38)</f>
        <v>0.99999999999999989</v>
      </c>
      <c r="M39" s="35">
        <f>SUM(M31:M38)</f>
        <v>1</v>
      </c>
      <c r="N39" s="35">
        <f>SUM(N31:N38)</f>
        <v>1</v>
      </c>
      <c r="O39" s="35">
        <f>SUM(O31:O38)</f>
        <v>1</v>
      </c>
      <c r="R39" s="38"/>
      <c r="S39" s="39"/>
      <c r="T39" s="39"/>
      <c r="U39" s="39"/>
      <c r="V39" s="39"/>
      <c r="W39" s="39"/>
      <c r="Z39" s="32"/>
      <c r="AA39" s="32"/>
      <c r="AB39" s="32"/>
      <c r="AC39" s="32"/>
      <c r="AD39" s="32"/>
      <c r="AG39">
        <f>WorkCoefficients!B47</f>
        <v>202</v>
      </c>
      <c r="AH39" t="str">
        <f>WorkCoefficients!C47</f>
        <v>odistcont2-tr</v>
      </c>
      <c r="AI39">
        <f>WorkCoefficients!E47</f>
        <v>-0.8</v>
      </c>
      <c r="AJ39" s="70">
        <f t="shared" si="19"/>
        <v>-0.8</v>
      </c>
      <c r="AL39">
        <f>SchoolCoeffcients!B47</f>
        <v>163</v>
      </c>
      <c r="AM39" t="str">
        <f>SchoolCoeffcients!C47</f>
        <v>bi-gauntl</v>
      </c>
      <c r="AN39" s="43">
        <f>SchoolCoeffcients!E47</f>
        <v>0</v>
      </c>
      <c r="AO39" s="47">
        <f t="shared" si="20"/>
        <v>0</v>
      </c>
      <c r="AV39">
        <f>OtherCoefficients!B47</f>
        <v>164</v>
      </c>
      <c r="AW39" t="str">
        <f>OtherCoefficients!C47</f>
        <v>bi-omixed</v>
      </c>
      <c r="AX39">
        <f>OtherCoefficients!E47</f>
        <v>0.120618224</v>
      </c>
      <c r="AY39" s="47">
        <f t="shared" si="21"/>
        <v>0.120618224</v>
      </c>
    </row>
    <row r="40" spans="1:51" x14ac:dyDescent="0.25">
      <c r="AG40">
        <f>WorkCoefficients!B48</f>
        <v>203</v>
      </c>
      <c r="AH40" t="str">
        <f>WorkCoefficients!C48</f>
        <v>odistcont3-tr</v>
      </c>
      <c r="AI40">
        <f>WorkCoefficients!E48</f>
        <v>0</v>
      </c>
      <c r="AJ40" s="70">
        <f t="shared" si="19"/>
        <v>0</v>
      </c>
      <c r="AL40">
        <f>SchoolCoeffcients!B48</f>
        <v>164</v>
      </c>
      <c r="AM40" t="str">
        <f>SchoolCoeffcients!C48</f>
        <v>bi-omixed</v>
      </c>
      <c r="AN40" s="43">
        <f>SchoolCoeffcients!E48</f>
        <v>0</v>
      </c>
      <c r="AO40" s="47">
        <f t="shared" si="20"/>
        <v>0</v>
      </c>
      <c r="AV40">
        <f>OtherCoefficients!B48</f>
        <v>165</v>
      </c>
      <c r="AW40" t="str">
        <f>OtherCoefficients!C48</f>
        <v>bi-ohhddn</v>
      </c>
      <c r="AX40">
        <f>OtherCoefficients!E48</f>
        <v>2.09633E-4</v>
      </c>
      <c r="AY40" s="47">
        <f t="shared" si="21"/>
        <v>2.09633E-4</v>
      </c>
    </row>
    <row r="41" spans="1:51" ht="15.75" customHeight="1" thickBot="1" x14ac:dyDescent="0.3">
      <c r="R41" s="9" t="s">
        <v>300</v>
      </c>
      <c r="Y41" s="9"/>
      <c r="AG41">
        <f>WorkCoefficients!B49</f>
        <v>204</v>
      </c>
      <c r="AH41" t="str">
        <f>WorkCoefficients!C49</f>
        <v>odistcont4-tr</v>
      </c>
      <c r="AI41">
        <f>WorkCoefficients!E49</f>
        <v>0</v>
      </c>
      <c r="AJ41" s="70">
        <f t="shared" si="19"/>
        <v>0</v>
      </c>
      <c r="AL41">
        <f>SchoolCoeffcients!B49</f>
        <v>168</v>
      </c>
      <c r="AM41" t="str">
        <f>SchoolCoeffcients!C49</f>
        <v>bi-dempdn</v>
      </c>
      <c r="AN41" s="43">
        <f>SchoolCoeffcients!E49</f>
        <v>1.1363600000000001E-5</v>
      </c>
      <c r="AO41" s="47">
        <f t="shared" si="20"/>
        <v>1.1363600000000001E-5</v>
      </c>
      <c r="AV41">
        <f>OtherCoefficients!B49</f>
        <v>168</v>
      </c>
      <c r="AW41" t="str">
        <f>OtherCoefficients!C49</f>
        <v>bi-dempdn</v>
      </c>
      <c r="AX41">
        <f>OtherCoefficients!E49</f>
        <v>-2.9531000000000002E-6</v>
      </c>
      <c r="AY41" s="47">
        <f t="shared" si="21"/>
        <v>-2.9531000000000002E-6</v>
      </c>
    </row>
    <row r="42" spans="1:51" x14ac:dyDescent="0.25">
      <c r="B42" s="30" t="s">
        <v>301</v>
      </c>
      <c r="R42" s="2" t="s">
        <v>2</v>
      </c>
      <c r="S42" s="2" t="s">
        <v>279</v>
      </c>
      <c r="T42" s="2" t="s">
        <v>280</v>
      </c>
      <c r="U42" s="2" t="s">
        <v>255</v>
      </c>
      <c r="V42" s="2" t="s">
        <v>260</v>
      </c>
      <c r="W42" s="2" t="s">
        <v>281</v>
      </c>
      <c r="AG42">
        <f>WorkCoefficients!B50</f>
        <v>205</v>
      </c>
      <c r="AH42" t="str">
        <f>WorkCoefficients!C50</f>
        <v>odistcont5-tr</v>
      </c>
      <c r="AI42">
        <f>WorkCoefficients!E50</f>
        <v>0</v>
      </c>
      <c r="AJ42" s="70">
        <f t="shared" si="19"/>
        <v>0</v>
      </c>
      <c r="AL42">
        <f>SchoolCoeffcients!B50</f>
        <v>169</v>
      </c>
      <c r="AM42" t="str">
        <f>SchoolCoeffcients!C50</f>
        <v>bi-dmixed</v>
      </c>
      <c r="AN42" s="43">
        <f>SchoolCoeffcients!E50</f>
        <v>-0.36651267700000001</v>
      </c>
      <c r="AO42" s="47">
        <f t="shared" si="20"/>
        <v>-0.36651267700000001</v>
      </c>
      <c r="AV42">
        <f>OtherCoefficients!B50</f>
        <v>169</v>
      </c>
      <c r="AW42" t="str">
        <f>OtherCoefficients!C50</f>
        <v>bi-dmixed</v>
      </c>
      <c r="AX42">
        <f>OtherCoefficients!E50</f>
        <v>0</v>
      </c>
      <c r="AY42" s="47">
        <f t="shared" si="21"/>
        <v>0</v>
      </c>
    </row>
    <row r="43" spans="1:51" ht="15.75" customHeight="1" thickBot="1" x14ac:dyDescent="0.3">
      <c r="B43" t="s">
        <v>22</v>
      </c>
      <c r="C43">
        <v>1</v>
      </c>
      <c r="D43">
        <v>2</v>
      </c>
      <c r="E43">
        <v>3</v>
      </c>
      <c r="F43" t="s">
        <v>302</v>
      </c>
      <c r="K43" t="s">
        <v>23</v>
      </c>
      <c r="L43">
        <v>1</v>
      </c>
      <c r="M43">
        <v>2</v>
      </c>
      <c r="N43">
        <v>3</v>
      </c>
      <c r="O43" t="s">
        <v>302</v>
      </c>
      <c r="R43" s="9" t="s">
        <v>4</v>
      </c>
      <c r="S43" s="36">
        <f t="shared" ref="S43:S48" si="22">VLOOKUP(Z18,$AG$3:$AI$38,3,FALSE)</f>
        <v>1.577637277</v>
      </c>
      <c r="T43" s="36">
        <f>VLOOKUP(AA18,$AL$3:$AN$44,3,FALSE)</f>
        <v>2.3671031779999998</v>
      </c>
      <c r="U43" s="36">
        <f>VLOOKUP(AB18,$AQ$3:$AS$17,3,FALSE)</f>
        <v>-8.5658758939999995</v>
      </c>
      <c r="V43" s="36">
        <f>VLOOKUP(AC18,$AV$3:$AX$47,3,FALSE)</f>
        <v>-0.40342066599999998</v>
      </c>
      <c r="W43" s="36">
        <f>VLOOKUP(AD18,$BA$3:$BC$19,3,FALSE)</f>
        <v>-4.1573700000000002</v>
      </c>
      <c r="Y43" s="9"/>
      <c r="Z43" s="36"/>
      <c r="AA43" s="36"/>
      <c r="AB43" s="36"/>
      <c r="AC43" s="36"/>
      <c r="AD43" s="36"/>
      <c r="AG43" s="42">
        <f>WorkCoefficients!B51</f>
        <v>206</v>
      </c>
      <c r="AH43" s="42" t="str">
        <f>WorkCoefficients!C51</f>
        <v>odistcont6-tr</v>
      </c>
      <c r="AI43" s="42">
        <f>WorkCoefficients!E51</f>
        <v>-1.2715533000000001</v>
      </c>
      <c r="AJ43" s="70">
        <f t="shared" si="19"/>
        <v>-1.2715533000000001</v>
      </c>
      <c r="AL43">
        <f>SchoolCoeffcients!B51</f>
        <v>179</v>
      </c>
      <c r="AM43" t="str">
        <f>SchoolCoeffcients!C51</f>
        <v>wk-dmixed</v>
      </c>
      <c r="AN43" s="43">
        <f>SchoolCoeffcients!E51</f>
        <v>0.502373344</v>
      </c>
      <c r="AO43" s="47">
        <f t="shared" si="20"/>
        <v>0.502373344</v>
      </c>
      <c r="AV43">
        <f>OtherCoefficients!B51</f>
        <v>171</v>
      </c>
      <c r="AW43" t="str">
        <f>OtherCoefficients!C51</f>
        <v>wk-meal</v>
      </c>
      <c r="AX43">
        <f>OtherCoefficients!E51</f>
        <v>1.108747989</v>
      </c>
      <c r="AY43" s="47">
        <f t="shared" si="21"/>
        <v>1.108747989</v>
      </c>
    </row>
    <row r="44" spans="1:51" x14ac:dyDescent="0.25">
      <c r="B44" s="2" t="s">
        <v>303</v>
      </c>
      <c r="C44" s="2" t="s">
        <v>217</v>
      </c>
      <c r="D44" s="2" t="s">
        <v>280</v>
      </c>
      <c r="E44" s="2" t="s">
        <v>255</v>
      </c>
      <c r="F44" s="2" t="s">
        <v>260</v>
      </c>
      <c r="G44" s="2" t="s">
        <v>3</v>
      </c>
      <c r="K44" s="2" t="s">
        <v>303</v>
      </c>
      <c r="L44" s="2" t="s">
        <v>217</v>
      </c>
      <c r="M44" s="2" t="s">
        <v>280</v>
      </c>
      <c r="N44" s="2" t="s">
        <v>255</v>
      </c>
      <c r="O44" s="2" t="s">
        <v>260</v>
      </c>
      <c r="P44" s="2" t="s">
        <v>3</v>
      </c>
      <c r="R44" s="9" t="s">
        <v>5</v>
      </c>
      <c r="S44" s="36">
        <f t="shared" si="22"/>
        <v>-2.14205632</v>
      </c>
      <c r="T44" s="36">
        <f>VLOOKUP(AA19,$AL$3:$AN$44,3,FALSE)</f>
        <v>-1.003425644</v>
      </c>
      <c r="U44" s="36">
        <f>VLOOKUP(AB19,$AQ$3:$AS$17,3,FALSE)</f>
        <v>-2.5111504E-2</v>
      </c>
      <c r="V44" s="36">
        <f>VLOOKUP(AC19,$AV$3:$AX$47,3,FALSE)</f>
        <v>-2.144795593</v>
      </c>
      <c r="W44" s="36">
        <f>VLOOKUP(AD19,$BA$3:$BC$19,3,FALSE)</f>
        <v>-4.8747011999999996</v>
      </c>
      <c r="Y44" s="9"/>
      <c r="Z44" s="36"/>
      <c r="AA44" s="36"/>
      <c r="AB44" s="36"/>
      <c r="AC44" s="36"/>
      <c r="AD44" s="36"/>
      <c r="AG44">
        <f>WorkCoefficients!B52</f>
        <v>207</v>
      </c>
      <c r="AH44" t="str">
        <f>WorkCoefficients!C52</f>
        <v>odistcont7-tr</v>
      </c>
      <c r="AI44">
        <f>WorkCoefficients!E52</f>
        <v>0</v>
      </c>
      <c r="AJ44" s="70">
        <f t="shared" si="19"/>
        <v>0</v>
      </c>
      <c r="AL44">
        <f>SchoolCoeffcients!B52</f>
        <v>201</v>
      </c>
      <c r="AM44" t="str">
        <f>SchoolCoeffcients!C52</f>
        <v>odistcont1-tr</v>
      </c>
      <c r="AN44" s="43">
        <f>SchoolCoeffcients!E52</f>
        <v>0</v>
      </c>
      <c r="AO44" s="47">
        <f t="shared" si="20"/>
        <v>0</v>
      </c>
      <c r="AV44">
        <f>OtherCoefficients!B52</f>
        <v>172</v>
      </c>
      <c r="AW44" t="str">
        <f>OtherCoefficients!C52</f>
        <v>wk-socrec</v>
      </c>
      <c r="AX44">
        <f>OtherCoefficients!E52</f>
        <v>2.0996029740000002</v>
      </c>
      <c r="AY44" s="47">
        <f t="shared" si="21"/>
        <v>2.0996029740000002</v>
      </c>
    </row>
    <row r="45" spans="1:51" x14ac:dyDescent="0.25">
      <c r="A45">
        <v>1</v>
      </c>
      <c r="C45" s="51">
        <f>SUMIFS(input_districts!$C$1:$C$63,input_districts!$A$1:$A$63,$A45,input_districts!$B$1:$B$63,C$43)</f>
        <v>16557.145128</v>
      </c>
      <c r="D45" s="51">
        <f>SUMIFS(input_districts!$C$1:$C$63,input_districts!$A$1:$A$63,$A45,input_districts!$B$1:$B$63,D$43)</f>
        <v>5480.2495798999998</v>
      </c>
      <c r="E45" s="51">
        <f>SUMIFS(input_districts!$C$1:$C$63,input_districts!$A$1:$A$63,$A45,input_districts!$B$1:$B$63,E$43)</f>
        <v>0</v>
      </c>
      <c r="F45" s="51">
        <f>SUMIFS(input_districts!$C$1:$C$63,input_districts!$A$1:$A$63,$A45,input_districts!$B$1:$B$63,F$43)</f>
        <v>1656.1317055720001</v>
      </c>
      <c r="G45" s="52">
        <f t="shared" ref="G45:G55" si="23">SUM(C45:F45)</f>
        <v>23693.526413471998</v>
      </c>
      <c r="J45">
        <v>1</v>
      </c>
      <c r="L45" s="51">
        <f>SUMIFS(input_districts!$C$124:$C$193,input_districts!$A$124:$A$193,$A45,input_districts!$B$124:$B$193,L$43)</f>
        <v>10045.6515332</v>
      </c>
      <c r="M45" s="51">
        <f>SUMIFS(input_districts!$C$124:$C$193,input_districts!$A$124:$A$193,$A45,input_districts!$B$124:$B$193,M$43)</f>
        <v>2339.1578290100001</v>
      </c>
      <c r="N45" s="51">
        <f>SUMIFS(input_districts!$C$124:$C$193,input_districts!$A$124:$A$193,$A45,input_districts!$B$124:$B$193,N$43)</f>
        <v>0</v>
      </c>
      <c r="O45" s="51">
        <f>SUMIFS(input_districts!$C$124:$C$193,input_districts!$A$124:$A$193,$A45,input_districts!$B$124:$B$193,O$43)</f>
        <v>125.66939618830001</v>
      </c>
      <c r="P45" s="52">
        <f t="shared" ref="P45:P55" si="24">SUM(L45:O45)</f>
        <v>12510.4787583983</v>
      </c>
      <c r="Q45" s="52"/>
      <c r="R45" s="9" t="s">
        <v>6</v>
      </c>
      <c r="S45" s="36">
        <f t="shared" si="22"/>
        <v>-2.6026901850000002</v>
      </c>
      <c r="T45" s="36">
        <f>VLOOKUP(AA20,$AL$3:$AN$44,3,FALSE)</f>
        <v>-0.45676292000000002</v>
      </c>
      <c r="U45" s="36">
        <f>VLOOKUP(AB20,$AQ$3:$AS$17,3,FALSE)</f>
        <v>-1.160280357</v>
      </c>
      <c r="V45" s="36">
        <f>VLOOKUP(AC20,$AV$3:$AX$47,3,FALSE)</f>
        <v>-1.911034796</v>
      </c>
      <c r="W45" s="36">
        <f>VLOOKUP(AD20,$BA$3:$BC$19,3,FALSE)</f>
        <v>-5.9141281000000001</v>
      </c>
      <c r="Y45" s="9"/>
      <c r="Z45" s="36"/>
      <c r="AA45" s="36"/>
      <c r="AB45" s="36"/>
      <c r="AC45" s="36"/>
      <c r="AD45" s="36"/>
      <c r="AG45">
        <f>WorkCoefficients!B53</f>
        <v>208</v>
      </c>
      <c r="AH45" t="str">
        <f>WorkCoefficients!C53</f>
        <v>odistcont8-tr</v>
      </c>
      <c r="AI45">
        <f>WorkCoefficients!E53</f>
        <v>-2</v>
      </c>
      <c r="AJ45" s="70">
        <f t="shared" si="19"/>
        <v>-2</v>
      </c>
      <c r="AL45">
        <f>SchoolCoeffcients!B53</f>
        <v>202</v>
      </c>
      <c r="AM45" t="str">
        <f>SchoolCoeffcients!C53</f>
        <v>odistcont2-tr</v>
      </c>
      <c r="AN45" s="43">
        <f>SchoolCoeffcients!E53</f>
        <v>0</v>
      </c>
      <c r="AO45" s="47">
        <f t="shared" si="20"/>
        <v>0</v>
      </c>
      <c r="AV45">
        <f>OtherCoefficients!B53</f>
        <v>175</v>
      </c>
      <c r="AW45" t="str">
        <f>OtherCoefficients!C53</f>
        <v>wk-ohhddn</v>
      </c>
      <c r="AX45">
        <f>OtherCoefficients!E53</f>
        <v>1.3793900000000001E-4</v>
      </c>
      <c r="AY45" s="47">
        <f t="shared" si="21"/>
        <v>1.3793900000000001E-4</v>
      </c>
    </row>
    <row r="46" spans="1:51" x14ac:dyDescent="0.25">
      <c r="A46">
        <v>2</v>
      </c>
      <c r="C46" s="51">
        <f>SUMIFS(input_districts!$C$1:$C$63,input_districts!$A$1:$A$63,$A46,input_districts!$B$1:$B$63,C$43)</f>
        <v>11810.610632</v>
      </c>
      <c r="D46" s="51">
        <f>SUMIFS(input_districts!$C$1:$C$63,input_districts!$A$1:$A$63,$A46,input_districts!$B$1:$B$63,D$43)</f>
        <v>3130.50245442</v>
      </c>
      <c r="E46" s="51">
        <f>SUMIFS(input_districts!$C$1:$C$63,input_districts!$A$1:$A$63,$A46,input_districts!$B$1:$B$63,E$43)</f>
        <v>0</v>
      </c>
      <c r="F46" s="51">
        <f>SUMIFS(input_districts!$C$1:$C$63,input_districts!$A$1:$A$63,$A46,input_districts!$B$1:$B$63,F$43)</f>
        <v>9998.3733069400005</v>
      </c>
      <c r="G46" s="52">
        <f t="shared" si="23"/>
        <v>24939.486393359999</v>
      </c>
      <c r="J46">
        <v>2</v>
      </c>
      <c r="L46" s="51">
        <f>SUMIFS(input_districts!$C$124:$C$193,input_districts!$A$124:$A$193,$A46,input_districts!$B$124:$B$193,L$43)</f>
        <v>8237.8627684700004</v>
      </c>
      <c r="M46" s="51">
        <f>SUMIFS(input_districts!$C$124:$C$193,input_districts!$A$124:$A$193,$A46,input_districts!$B$124:$B$193,M$43)</f>
        <v>1359.8293462300001</v>
      </c>
      <c r="N46" s="51">
        <f>SUMIFS(input_districts!$C$124:$C$193,input_districts!$A$124:$A$193,$A46,input_districts!$B$124:$B$193,N$43)</f>
        <v>0</v>
      </c>
      <c r="O46" s="51">
        <f>SUMIFS(input_districts!$C$124:$C$193,input_districts!$A$124:$A$193,$A46,input_districts!$B$124:$B$193,O$43)</f>
        <v>141.98457434919999</v>
      </c>
      <c r="P46" s="52">
        <f t="shared" si="24"/>
        <v>9739.6766890492017</v>
      </c>
      <c r="Q46" s="52"/>
      <c r="R46" s="9" t="s">
        <v>7</v>
      </c>
      <c r="S46" s="36">
        <f t="shared" si="22"/>
        <v>-4.1251959730000003</v>
      </c>
      <c r="T46" s="36"/>
      <c r="U46" s="36"/>
      <c r="V46" s="36"/>
      <c r="W46" s="36"/>
      <c r="Y46" s="9"/>
      <c r="Z46" s="36"/>
      <c r="AA46" s="36"/>
      <c r="AB46" s="36"/>
      <c r="AC46" s="36"/>
      <c r="AD46" s="36"/>
      <c r="AG46">
        <f>WorkCoefficients!B54</f>
        <v>209</v>
      </c>
      <c r="AH46" t="str">
        <f>WorkCoefficients!C54</f>
        <v>odistcont9-tr</v>
      </c>
      <c r="AI46">
        <f>WorkCoefficients!E54</f>
        <v>-1</v>
      </c>
      <c r="AJ46" s="70">
        <f t="shared" si="19"/>
        <v>-1</v>
      </c>
      <c r="AL46">
        <f>SchoolCoeffcients!B54</f>
        <v>203</v>
      </c>
      <c r="AM46" t="str">
        <f>SchoolCoeffcients!C54</f>
        <v>odistcont3-tr</v>
      </c>
      <c r="AN46" s="43">
        <f>SchoolCoeffcients!E54</f>
        <v>0</v>
      </c>
      <c r="AO46" s="47">
        <f t="shared" si="20"/>
        <v>0</v>
      </c>
      <c r="AV46">
        <f>OtherCoefficients!B54</f>
        <v>178</v>
      </c>
      <c r="AW46" t="str">
        <f>OtherCoefficients!C54</f>
        <v>wk-dempdn</v>
      </c>
      <c r="AX46">
        <f>OtherCoefficients!E54</f>
        <v>-6.1957300000000002E-6</v>
      </c>
      <c r="AY46" s="47">
        <f t="shared" si="21"/>
        <v>-6.1957300000000002E-6</v>
      </c>
    </row>
    <row r="47" spans="1:51" x14ac:dyDescent="0.25">
      <c r="A47">
        <v>3</v>
      </c>
      <c r="C47" s="51">
        <f>SUMIFS(input_districts!$C$1:$C$63,input_districts!$A$1:$A$63,$A47,input_districts!$B$1:$B$63,C$43)</f>
        <v>44736.176008199996</v>
      </c>
      <c r="D47" s="51">
        <f>SUMIFS(input_districts!$C$1:$C$63,input_districts!$A$1:$A$63,$A47,input_districts!$B$1:$B$63,D$43)</f>
        <v>11191.9942933</v>
      </c>
      <c r="E47" s="51">
        <f>SUMIFS(input_districts!$C$1:$C$63,input_districts!$A$1:$A$63,$A47,input_districts!$B$1:$B$63,E$43)</f>
        <v>180.394379313</v>
      </c>
      <c r="F47" s="51">
        <f>SUMIFS(input_districts!$C$1:$C$63,input_districts!$A$1:$A$63,$A47,input_districts!$B$1:$B$63,F$43)</f>
        <v>16502.50919922</v>
      </c>
      <c r="G47" s="52">
        <f t="shared" si="23"/>
        <v>72611.073880033</v>
      </c>
      <c r="J47">
        <v>3</v>
      </c>
      <c r="L47" s="51">
        <f>SUMIFS(input_districts!$C$124:$C$193,input_districts!$A$124:$A$193,$A47,input_districts!$B$124:$B$193,L$43)</f>
        <v>36698.312102199998</v>
      </c>
      <c r="M47" s="51">
        <f>SUMIFS(input_districts!$C$124:$C$193,input_districts!$A$124:$A$193,$A47,input_districts!$B$124:$B$193,M$43)</f>
        <v>7022.9334504400003</v>
      </c>
      <c r="N47" s="51">
        <f>SUMIFS(input_districts!$C$124:$C$193,input_districts!$A$124:$A$193,$A47,input_districts!$B$124:$B$193,N$43)</f>
        <v>2.5</v>
      </c>
      <c r="O47" s="51">
        <f>SUMIFS(input_districts!$C$124:$C$193,input_districts!$A$124:$A$193,$A47,input_districts!$B$124:$B$193,O$43)</f>
        <v>9578.5738737499996</v>
      </c>
      <c r="P47" s="52">
        <f t="shared" si="24"/>
        <v>53302.31942639</v>
      </c>
      <c r="Q47" s="52"/>
      <c r="R47" s="9" t="s">
        <v>8</v>
      </c>
      <c r="S47" s="36">
        <f t="shared" si="22"/>
        <v>-3.0344243999999998</v>
      </c>
      <c r="T47" s="36">
        <f>VLOOKUP(AA22,$AL$3:$AN$44,3,FALSE)</f>
        <v>-4.4278629379999996</v>
      </c>
      <c r="U47" s="36"/>
      <c r="V47" s="36">
        <f>VLOOKUP(AC22,$AV$3:$AX$47,3,FALSE)</f>
        <v>-3.2974451419999999</v>
      </c>
      <c r="W47" s="36">
        <f>VLOOKUP(AD22,$BA$3:$BC$19,3,FALSE)</f>
        <v>-5.6403108</v>
      </c>
      <c r="Y47" s="9"/>
      <c r="Z47" s="36"/>
      <c r="AA47" s="36"/>
      <c r="AB47" s="36"/>
      <c r="AC47" s="36"/>
      <c r="AD47" s="36"/>
      <c r="AG47">
        <f>WorkCoefficients!B55</f>
        <v>210</v>
      </c>
      <c r="AH47" t="str">
        <f>WorkCoefficients!C55</f>
        <v>odistcon10-tr</v>
      </c>
      <c r="AI47">
        <f>WorkCoefficients!E55</f>
        <v>-2</v>
      </c>
      <c r="AJ47" s="70">
        <f t="shared" si="19"/>
        <v>-2</v>
      </c>
      <c r="AL47">
        <f>SchoolCoeffcients!B55</f>
        <v>204</v>
      </c>
      <c r="AM47" t="str">
        <f>SchoolCoeffcients!C55</f>
        <v>odistcont4-tr</v>
      </c>
      <c r="AN47" s="43">
        <f>SchoolCoeffcients!E55</f>
        <v>0</v>
      </c>
      <c r="AO47" s="47">
        <f t="shared" si="20"/>
        <v>0</v>
      </c>
      <c r="AV47">
        <f>OtherCoefficients!B55</f>
        <v>201</v>
      </c>
      <c r="AW47" t="str">
        <f>OtherCoefficients!C55</f>
        <v>odistcont1-tr</v>
      </c>
      <c r="AX47">
        <f>OtherCoefficients!E55</f>
        <v>-4.5</v>
      </c>
      <c r="AY47" s="47">
        <f t="shared" si="21"/>
        <v>-4.5</v>
      </c>
    </row>
    <row r="48" spans="1:51" x14ac:dyDescent="0.25">
      <c r="A48">
        <v>4</v>
      </c>
      <c r="C48" s="51">
        <f>SUMIFS(input_districts!$C$1:$C$63,input_districts!$A$1:$A$63,$A48,input_districts!$B$1:$B$63,C$43)</f>
        <v>32174.416863400002</v>
      </c>
      <c r="D48" s="51">
        <f>SUMIFS(input_districts!$C$1:$C$63,input_districts!$A$1:$A$63,$A48,input_districts!$B$1:$B$63,D$43)</f>
        <v>4795.1704180799998</v>
      </c>
      <c r="E48" s="51">
        <f>SUMIFS(input_districts!$C$1:$C$63,input_districts!$A$1:$A$63,$A48,input_districts!$B$1:$B$63,E$43)</f>
        <v>201.681665009</v>
      </c>
      <c r="F48" s="51">
        <f>SUMIFS(input_districts!$C$1:$C$63,input_districts!$A$1:$A$63,$A48,input_districts!$B$1:$B$63,F$43)</f>
        <v>22413.444286260001</v>
      </c>
      <c r="G48" s="52">
        <f t="shared" si="23"/>
        <v>59584.713232748996</v>
      </c>
      <c r="J48">
        <v>4</v>
      </c>
      <c r="L48" s="51">
        <f>SUMIFS(input_districts!$C$124:$C$193,input_districts!$A$124:$A$193,$A48,input_districts!$B$124:$B$193,L$43)</f>
        <v>25483.242793099998</v>
      </c>
      <c r="M48" s="51">
        <f>SUMIFS(input_districts!$C$124:$C$193,input_districts!$A$124:$A$193,$A48,input_districts!$B$124:$B$193,M$43)</f>
        <v>3360.9737871900002</v>
      </c>
      <c r="N48" s="51">
        <f>SUMIFS(input_districts!$C$124:$C$193,input_districts!$A$124:$A$193,$A48,input_districts!$B$124:$B$193,N$43)</f>
        <v>5.4957586427700003</v>
      </c>
      <c r="O48" s="51">
        <f>SUMIFS(input_districts!$C$124:$C$193,input_districts!$A$124:$A$193,$A48,input_districts!$B$124:$B$193,O$43)</f>
        <v>10658.285572703</v>
      </c>
      <c r="P48" s="52">
        <f t="shared" si="24"/>
        <v>39507.997911635772</v>
      </c>
      <c r="Q48" s="52"/>
      <c r="R48" s="9" t="s">
        <v>9</v>
      </c>
      <c r="S48" s="36">
        <f t="shared" si="22"/>
        <v>-3.7193614820000001</v>
      </c>
      <c r="T48" s="36">
        <f>VLOOKUP(AA23,$AL$3:$AN$44,3,FALSE)</f>
        <v>-3.8530967860000001</v>
      </c>
      <c r="U48" s="36">
        <f>VLOOKUP(AB23,$AQ$3:$AS$17,3,FALSE)</f>
        <v>-10.566358470000001</v>
      </c>
      <c r="V48" s="36">
        <f>VLOOKUP(AC23,$AV$3:$AX$47,3,FALSE)</f>
        <v>-4.5539641590000004</v>
      </c>
      <c r="W48" s="36">
        <f>VLOOKUP(AD23,$BA$3:$BC$19,3,FALSE)</f>
        <v>-7.2848658999999998</v>
      </c>
      <c r="Y48" s="9"/>
      <c r="Z48" s="36"/>
      <c r="AA48" s="36"/>
      <c r="AB48" s="36"/>
      <c r="AC48" s="36"/>
      <c r="AD48" s="36"/>
      <c r="AG48">
        <f>WorkCoefficients!B56</f>
        <v>211</v>
      </c>
      <c r="AH48" t="str">
        <f>WorkCoefficients!C56</f>
        <v>odistcon11-tr</v>
      </c>
      <c r="AI48">
        <f>WorkCoefficients!E56</f>
        <v>0</v>
      </c>
      <c r="AJ48" s="70">
        <f t="shared" si="19"/>
        <v>0</v>
      </c>
      <c r="AL48">
        <f>SchoolCoeffcients!B56</f>
        <v>205</v>
      </c>
      <c r="AM48" t="str">
        <f>SchoolCoeffcients!C56</f>
        <v>odistcont5-tr</v>
      </c>
      <c r="AN48" s="43">
        <f>SchoolCoeffcients!E56</f>
        <v>0</v>
      </c>
      <c r="AO48" s="47">
        <f t="shared" si="20"/>
        <v>0</v>
      </c>
      <c r="AV48">
        <f>OtherCoefficients!B56</f>
        <v>202</v>
      </c>
      <c r="AW48" t="str">
        <f>OtherCoefficients!C56</f>
        <v>odistcont2-tr</v>
      </c>
      <c r="AX48">
        <f>OtherCoefficients!E56</f>
        <v>-4.5</v>
      </c>
      <c r="AY48" s="47">
        <f t="shared" si="21"/>
        <v>-4.5</v>
      </c>
    </row>
    <row r="49" spans="1:51" x14ac:dyDescent="0.25">
      <c r="A49">
        <v>5</v>
      </c>
      <c r="C49" s="51">
        <f>SUMIFS(input_districts!$C$1:$C$63,input_districts!$A$1:$A$63,$A49,input_districts!$B$1:$B$63,C$43)</f>
        <v>33189.342943800002</v>
      </c>
      <c r="D49" s="51">
        <f>SUMIFS(input_districts!$C$1:$C$63,input_districts!$A$1:$A$63,$A49,input_districts!$B$1:$B$63,D$43)</f>
        <v>4867.4797089599997</v>
      </c>
      <c r="E49" s="51">
        <f>SUMIFS(input_districts!$C$1:$C$63,input_districts!$A$1:$A$63,$A49,input_districts!$B$1:$B$63,E$43)</f>
        <v>186.53392827799999</v>
      </c>
      <c r="F49" s="51">
        <f>SUMIFS(input_districts!$C$1:$C$63,input_districts!$A$1:$A$63,$A49,input_districts!$B$1:$B$63,F$43)</f>
        <v>13289.053137669001</v>
      </c>
      <c r="G49" s="52">
        <f t="shared" si="23"/>
        <v>51532.409718707</v>
      </c>
      <c r="J49">
        <v>5</v>
      </c>
      <c r="L49" s="51">
        <f>SUMIFS(input_districts!$C$124:$C$193,input_districts!$A$124:$A$193,$A49,input_districts!$B$124:$B$193,L$43)</f>
        <v>22599.042759600001</v>
      </c>
      <c r="M49" s="51">
        <f>SUMIFS(input_districts!$C$124:$C$193,input_districts!$A$124:$A$193,$A49,input_districts!$B$124:$B$193,M$43)</f>
        <v>3417.4375741700001</v>
      </c>
      <c r="N49" s="51">
        <f>SUMIFS(input_districts!$C$124:$C$193,input_districts!$A$124:$A$193,$A49,input_districts!$B$124:$B$193,N$43)</f>
        <v>0</v>
      </c>
      <c r="O49" s="51">
        <f>SUMIFS(input_districts!$C$124:$C$193,input_districts!$A$124:$A$193,$A49,input_districts!$B$124:$B$193,O$43)</f>
        <v>8469.80280924</v>
      </c>
      <c r="P49" s="52">
        <f t="shared" si="24"/>
        <v>34486.283143009998</v>
      </c>
      <c r="Q49" s="52"/>
      <c r="R49" s="9" t="s">
        <v>10</v>
      </c>
      <c r="S49" s="36"/>
      <c r="T49" s="36"/>
      <c r="U49" s="36"/>
      <c r="V49" s="36"/>
      <c r="W49" s="36"/>
      <c r="Y49" s="9"/>
      <c r="Z49" s="36"/>
      <c r="AA49" s="36"/>
      <c r="AB49" s="36"/>
      <c r="AC49" s="36"/>
      <c r="AD49" s="36"/>
      <c r="AG49">
        <f>WorkCoefficients!B57</f>
        <v>301</v>
      </c>
      <c r="AH49" t="str">
        <f>WorkCoefficients!C57</f>
        <v>ddistcont1-tr</v>
      </c>
      <c r="AI49">
        <f>WorkCoefficients!E57</f>
        <v>0</v>
      </c>
      <c r="AJ49" s="70">
        <f t="shared" si="19"/>
        <v>0</v>
      </c>
      <c r="AL49">
        <f>SchoolCoeffcients!B57</f>
        <v>206</v>
      </c>
      <c r="AM49" t="str">
        <f>SchoolCoeffcients!C57</f>
        <v>odistcont6-tr</v>
      </c>
      <c r="AN49" s="43">
        <f>SchoolCoeffcients!E57</f>
        <v>0</v>
      </c>
      <c r="AO49" s="47">
        <f t="shared" si="20"/>
        <v>0</v>
      </c>
      <c r="AV49">
        <f>OtherCoefficients!B57</f>
        <v>203</v>
      </c>
      <c r="AW49" t="str">
        <f>OtherCoefficients!C57</f>
        <v>odistcont3-tr</v>
      </c>
      <c r="AX49">
        <f>OtherCoefficients!E57</f>
        <v>0</v>
      </c>
      <c r="AY49" s="47">
        <f t="shared" si="21"/>
        <v>0</v>
      </c>
    </row>
    <row r="50" spans="1:51" x14ac:dyDescent="0.25">
      <c r="A50">
        <v>6</v>
      </c>
      <c r="C50" s="51">
        <f>SUMIFS(input_districts!$C$1:$C$63,input_districts!$A$1:$A$63,$A50,input_districts!$B$1:$B$63,C$43)</f>
        <v>40607.1357059</v>
      </c>
      <c r="D50" s="51">
        <f>SUMIFS(input_districts!$C$1:$C$63,input_districts!$A$1:$A$63,$A50,input_districts!$B$1:$B$63,D$43)</f>
        <v>9582.5688740000005</v>
      </c>
      <c r="E50" s="51">
        <f>SUMIFS(input_districts!$C$1:$C$63,input_districts!$A$1:$A$63,$A50,input_districts!$B$1:$B$63,E$43)</f>
        <v>224.93159591400001</v>
      </c>
      <c r="F50" s="51">
        <f>SUMIFS(input_districts!$C$1:$C$63,input_districts!$A$1:$A$63,$A50,input_districts!$B$1:$B$63,F$43)</f>
        <v>15024.742136270001</v>
      </c>
      <c r="G50" s="52">
        <f t="shared" si="23"/>
        <v>65439.378312084009</v>
      </c>
      <c r="J50">
        <v>6</v>
      </c>
      <c r="L50" s="51">
        <f>SUMIFS(input_districts!$C$124:$C$193,input_districts!$A$124:$A$193,$A50,input_districts!$B$124:$B$193,L$43)</f>
        <v>19453.3351798</v>
      </c>
      <c r="M50" s="51">
        <f>SUMIFS(input_districts!$C$124:$C$193,input_districts!$A$124:$A$193,$A50,input_districts!$B$124:$B$193,M$43)</f>
        <v>2678.9584780999999</v>
      </c>
      <c r="N50" s="51">
        <f>SUMIFS(input_districts!$C$124:$C$193,input_districts!$A$124:$A$193,$A50,input_districts!$B$124:$B$193,N$43)</f>
        <v>6.5</v>
      </c>
      <c r="O50" s="51">
        <f>SUMIFS(input_districts!$C$124:$C$193,input_districts!$A$124:$A$193,$A50,input_districts!$B$124:$B$193,O$43)</f>
        <v>5131.0179329759994</v>
      </c>
      <c r="P50" s="52">
        <f t="shared" si="24"/>
        <v>27269.811590876001</v>
      </c>
      <c r="Q50" s="52"/>
      <c r="R50" s="12" t="s">
        <v>11</v>
      </c>
      <c r="S50" s="37"/>
      <c r="T50" s="37">
        <f>VLOOKUP(AA25,$AL$3:$AN$44,3,FALSE)</f>
        <v>-0.27978488299999998</v>
      </c>
      <c r="U50" s="37"/>
      <c r="V50" s="37"/>
      <c r="W50" s="37"/>
      <c r="Y50" s="9"/>
      <c r="Z50" s="36"/>
      <c r="AA50" s="36"/>
      <c r="AB50" s="36"/>
      <c r="AC50" s="36"/>
      <c r="AD50" s="36"/>
      <c r="AG50">
        <f>WorkCoefficients!B58</f>
        <v>302</v>
      </c>
      <c r="AH50" t="str">
        <f>WorkCoefficients!C58</f>
        <v>ddistcont2-tr</v>
      </c>
      <c r="AI50">
        <f>WorkCoefficients!E58</f>
        <v>0</v>
      </c>
      <c r="AJ50" s="70">
        <f t="shared" si="19"/>
        <v>0</v>
      </c>
      <c r="AL50">
        <f>SchoolCoeffcients!B58</f>
        <v>207</v>
      </c>
      <c r="AM50" t="str">
        <f>SchoolCoeffcients!C58</f>
        <v>odistcont7-tr</v>
      </c>
      <c r="AN50" s="43">
        <f>SchoolCoeffcients!E58</f>
        <v>0</v>
      </c>
      <c r="AO50" s="47">
        <f t="shared" si="20"/>
        <v>0</v>
      </c>
      <c r="AV50">
        <f>OtherCoefficients!B58</f>
        <v>204</v>
      </c>
      <c r="AW50" t="str">
        <f>OtherCoefficients!C58</f>
        <v>odistcont4-tr</v>
      </c>
      <c r="AX50">
        <f>OtherCoefficients!E58</f>
        <v>0</v>
      </c>
      <c r="AY50" s="47">
        <f t="shared" si="21"/>
        <v>0</v>
      </c>
    </row>
    <row r="51" spans="1:51" x14ac:dyDescent="0.25">
      <c r="A51">
        <v>7</v>
      </c>
      <c r="C51" s="51">
        <f>SUMIFS(input_districts!$C$1:$C$63,input_districts!$A$1:$A$63,$A51,input_districts!$B$1:$B$63,C$43)</f>
        <v>20117.007764400001</v>
      </c>
      <c r="D51" s="51">
        <f>SUMIFS(input_districts!$C$1:$C$63,input_districts!$A$1:$A$63,$A51,input_districts!$B$1:$B$63,D$43)</f>
        <v>7745.5075523200003</v>
      </c>
      <c r="E51" s="51">
        <f>SUMIFS(input_districts!$C$1:$C$63,input_districts!$A$1:$A$63,$A51,input_districts!$B$1:$B$63,E$43)</f>
        <v>2136.0939062100001</v>
      </c>
      <c r="F51" s="51">
        <f>SUMIFS(input_districts!$C$1:$C$63,input_districts!$A$1:$A$63,$A51,input_districts!$B$1:$B$63,F$43)</f>
        <v>16275.10507215</v>
      </c>
      <c r="G51" s="52">
        <f t="shared" si="23"/>
        <v>46273.714295080004</v>
      </c>
      <c r="J51">
        <v>7</v>
      </c>
      <c r="L51" s="51">
        <f>SUMIFS(input_districts!$C$124:$C$193,input_districts!$A$124:$A$193,$A51,input_districts!$B$124:$B$193,L$43)</f>
        <v>19462.981760999999</v>
      </c>
      <c r="M51" s="51">
        <f>SUMIFS(input_districts!$C$124:$C$193,input_districts!$A$124:$A$193,$A51,input_districts!$B$124:$B$193,M$43)</f>
        <v>3723.6588247700001</v>
      </c>
      <c r="N51" s="51">
        <f>SUMIFS(input_districts!$C$124:$C$193,input_districts!$A$124:$A$193,$A51,input_districts!$B$124:$B$193,N$43)</f>
        <v>3.9987531172100002</v>
      </c>
      <c r="O51" s="51">
        <f>SUMIFS(input_districts!$C$124:$C$193,input_districts!$A$124:$A$193,$A51,input_districts!$B$124:$B$193,O$43)</f>
        <v>6722.9009890880006</v>
      </c>
      <c r="P51" s="52">
        <f t="shared" si="24"/>
        <v>29913.54032797521</v>
      </c>
      <c r="Q51" s="52"/>
      <c r="AG51">
        <f>WorkCoefficients!B59</f>
        <v>303</v>
      </c>
      <c r="AH51" t="str">
        <f>WorkCoefficients!C59</f>
        <v>ddistcont3-tr</v>
      </c>
      <c r="AI51">
        <f>WorkCoefficients!E59</f>
        <v>0</v>
      </c>
      <c r="AJ51" s="70">
        <f t="shared" si="19"/>
        <v>1.0448111037377017</v>
      </c>
      <c r="AL51">
        <f>SchoolCoeffcients!B59</f>
        <v>208</v>
      </c>
      <c r="AM51" t="str">
        <f>SchoolCoeffcients!C59</f>
        <v>odistcont8-tr</v>
      </c>
      <c r="AN51" s="43">
        <f>SchoolCoeffcients!E59</f>
        <v>0</v>
      </c>
      <c r="AO51" s="47">
        <f t="shared" si="20"/>
        <v>0</v>
      </c>
      <c r="AV51">
        <f>OtherCoefficients!B59</f>
        <v>205</v>
      </c>
      <c r="AW51" t="str">
        <f>OtherCoefficients!C59</f>
        <v>odistcont5-tr</v>
      </c>
      <c r="AX51">
        <f>OtherCoefficients!E59</f>
        <v>0</v>
      </c>
      <c r="AY51" s="47">
        <f t="shared" si="21"/>
        <v>0</v>
      </c>
    </row>
    <row r="52" spans="1:51" x14ac:dyDescent="0.25">
      <c r="A52">
        <v>8</v>
      </c>
      <c r="C52" s="51">
        <f>SUMIFS(input_districts!$C$1:$C$63,input_districts!$A$1:$A$63,$A52,input_districts!$B$1:$B$63,C$43)</f>
        <v>8561.3824606599992</v>
      </c>
      <c r="D52" s="51">
        <f>SUMIFS(input_districts!$C$1:$C$63,input_districts!$A$1:$A$63,$A52,input_districts!$B$1:$B$63,D$43)</f>
        <v>2601.8531054499999</v>
      </c>
      <c r="E52" s="51">
        <f>SUMIFS(input_districts!$C$1:$C$63,input_districts!$A$1:$A$63,$A52,input_districts!$B$1:$B$63,E$43)</f>
        <v>0</v>
      </c>
      <c r="F52" s="51">
        <f>SUMIFS(input_districts!$C$1:$C$63,input_districts!$A$1:$A$63,$A52,input_districts!$B$1:$B$63,F$43)</f>
        <v>5491.8836875269999</v>
      </c>
      <c r="G52" s="52">
        <f t="shared" si="23"/>
        <v>16655.119253637</v>
      </c>
      <c r="J52">
        <v>8</v>
      </c>
      <c r="L52" s="51">
        <f>SUMIFS(input_districts!$C$124:$C$193,input_districts!$A$124:$A$193,$A52,input_districts!$B$124:$B$193,L$43)</f>
        <v>2664.4649429800002</v>
      </c>
      <c r="M52" s="51">
        <f>SUMIFS(input_districts!$C$124:$C$193,input_districts!$A$124:$A$193,$A52,input_districts!$B$124:$B$193,M$43)</f>
        <v>1049.3107092400001</v>
      </c>
      <c r="N52" s="51">
        <f>SUMIFS(input_districts!$C$124:$C$193,input_districts!$A$124:$A$193,$A52,input_districts!$B$124:$B$193,N$43)</f>
        <v>0.25</v>
      </c>
      <c r="O52" s="51">
        <f>SUMIFS(input_districts!$C$124:$C$193,input_districts!$A$124:$A$193,$A52,input_districts!$B$124:$B$193,O$43)</f>
        <v>2221.3229650439998</v>
      </c>
      <c r="P52" s="52">
        <f t="shared" si="24"/>
        <v>5935.3486172640005</v>
      </c>
      <c r="Q52" s="52"/>
      <c r="AG52">
        <f>WorkCoefficients!B60</f>
        <v>304</v>
      </c>
      <c r="AH52" t="str">
        <f>WorkCoefficients!C60</f>
        <v>ddistcont4-tr</v>
      </c>
      <c r="AI52">
        <f>WorkCoefficients!E60</f>
        <v>0</v>
      </c>
      <c r="AJ52" s="70">
        <f t="shared" si="19"/>
        <v>8.714288799859482E-2</v>
      </c>
      <c r="AL52">
        <f>SchoolCoeffcients!B60</f>
        <v>209</v>
      </c>
      <c r="AM52" t="str">
        <f>SchoolCoeffcients!C60</f>
        <v>odistcont9-tr</v>
      </c>
      <c r="AN52" s="43">
        <f>SchoolCoeffcients!E60</f>
        <v>0</v>
      </c>
      <c r="AO52" s="47">
        <f t="shared" si="20"/>
        <v>0</v>
      </c>
      <c r="AV52" s="42">
        <f>OtherCoefficients!B60</f>
        <v>206</v>
      </c>
      <c r="AW52" s="42" t="str">
        <f>OtherCoefficients!C60</f>
        <v>odistcont6-tr</v>
      </c>
      <c r="AX52" s="42">
        <f>OtherCoefficients!E60</f>
        <v>-0.74473319999999998</v>
      </c>
      <c r="AY52" s="47">
        <f t="shared" si="21"/>
        <v>-0.74473319999999998</v>
      </c>
    </row>
    <row r="53" spans="1:51" ht="15.75" customHeight="1" thickBot="1" x14ac:dyDescent="0.3">
      <c r="A53">
        <v>9</v>
      </c>
      <c r="C53" s="51">
        <f>SUMIFS(input_districts!$C$1:$C$63,input_districts!$A$1:$A$63,$A53,input_districts!$B$1:$B$63,C$43)</f>
        <v>14555.650593</v>
      </c>
      <c r="D53" s="51">
        <f>SUMIFS(input_districts!$C$1:$C$63,input_districts!$A$1:$A$63,$A53,input_districts!$B$1:$B$63,D$43)</f>
        <v>930.40771095100001</v>
      </c>
      <c r="E53" s="51">
        <f>SUMIFS(input_districts!$C$1:$C$63,input_districts!$A$1:$A$63,$A53,input_districts!$B$1:$B$63,E$43)</f>
        <v>0</v>
      </c>
      <c r="F53" s="51">
        <f>SUMIFS(input_districts!$C$1:$C$63,input_districts!$A$1:$A$63,$A53,input_districts!$B$1:$B$63,F$43)</f>
        <v>7248.2863306449999</v>
      </c>
      <c r="G53" s="52">
        <f t="shared" si="23"/>
        <v>22734.344634596</v>
      </c>
      <c r="J53">
        <v>9</v>
      </c>
      <c r="L53" s="51">
        <f>SUMIFS(input_districts!$C$124:$C$193,input_districts!$A$124:$A$193,$A53,input_districts!$B$124:$B$193,L$43)</f>
        <v>4279.6509991599996</v>
      </c>
      <c r="M53" s="51">
        <f>SUMIFS(input_districts!$C$124:$C$193,input_districts!$A$124:$A$193,$A53,input_districts!$B$124:$B$193,M$43)</f>
        <v>349.58644166800002</v>
      </c>
      <c r="N53" s="51">
        <f>SUMIFS(input_districts!$C$124:$C$193,input_districts!$A$124:$A$193,$A53,input_districts!$B$124:$B$193,N$43)</f>
        <v>0</v>
      </c>
      <c r="O53" s="51">
        <f>SUMIFS(input_districts!$C$124:$C$193,input_districts!$A$124:$A$193,$A53,input_districts!$B$124:$B$193,O$43)</f>
        <v>719.816688043</v>
      </c>
      <c r="P53" s="52">
        <f t="shared" si="24"/>
        <v>5349.0541288709992</v>
      </c>
      <c r="Q53" s="52"/>
      <c r="R53" t="s">
        <v>294</v>
      </c>
      <c r="Y53" s="9" t="s">
        <v>304</v>
      </c>
      <c r="AG53">
        <f>WorkCoefficients!B61</f>
        <v>305</v>
      </c>
      <c r="AH53" t="str">
        <f>WorkCoefficients!C61</f>
        <v>ddistcont5-tr</v>
      </c>
      <c r="AI53">
        <f>WorkCoefficients!E61</f>
        <v>0</v>
      </c>
      <c r="AJ53" s="70">
        <f t="shared" si="19"/>
        <v>0.76667653723253992</v>
      </c>
      <c r="AL53">
        <f>SchoolCoeffcients!B61</f>
        <v>210</v>
      </c>
      <c r="AM53" t="str">
        <f>SchoolCoeffcients!C61</f>
        <v>odistcon10-tr</v>
      </c>
      <c r="AN53" s="43">
        <f>SchoolCoeffcients!E61</f>
        <v>0</v>
      </c>
      <c r="AO53" s="47">
        <f t="shared" si="20"/>
        <v>0</v>
      </c>
      <c r="AV53">
        <f>OtherCoefficients!B61</f>
        <v>207</v>
      </c>
      <c r="AW53" t="str">
        <f>OtherCoefficients!C61</f>
        <v>odistcont7-tr</v>
      </c>
      <c r="AX53">
        <f>OtherCoefficients!E61</f>
        <v>0</v>
      </c>
      <c r="AY53" s="47">
        <f t="shared" si="21"/>
        <v>0</v>
      </c>
    </row>
    <row r="54" spans="1:51" x14ac:dyDescent="0.25">
      <c r="A54">
        <v>10</v>
      </c>
      <c r="C54" s="51">
        <f>SUMIFS(input_districts!$C$1:$C$63,input_districts!$A$1:$A$63,$A54,input_districts!$B$1:$B$63,C$43)</f>
        <v>18678.826978699999</v>
      </c>
      <c r="D54" s="51">
        <f>SUMIFS(input_districts!$C$1:$C$63,input_districts!$A$1:$A$63,$A54,input_districts!$B$1:$B$63,D$43)</f>
        <v>2267.3765274500001</v>
      </c>
      <c r="E54" s="51">
        <f>SUMIFS(input_districts!$C$1:$C$63,input_districts!$A$1:$A$63,$A54,input_districts!$B$1:$B$63,E$43)</f>
        <v>0</v>
      </c>
      <c r="F54" s="51">
        <f>SUMIFS(input_districts!$C$1:$C$63,input_districts!$A$1:$A$63,$A54,input_districts!$B$1:$B$63,F$43)</f>
        <v>2823.488865239</v>
      </c>
      <c r="G54" s="52">
        <f t="shared" si="23"/>
        <v>23769.692371388999</v>
      </c>
      <c r="J54">
        <v>10</v>
      </c>
      <c r="L54" s="51">
        <f>SUMIFS(input_districts!$C$124:$C$193,input_districts!$A$124:$A$193,$A54,input_districts!$B$124:$B$193,L$43)</f>
        <v>6359.39924531</v>
      </c>
      <c r="M54" s="51">
        <f>SUMIFS(input_districts!$C$124:$C$193,input_districts!$A$124:$A$193,$A54,input_districts!$B$124:$B$193,M$43)</f>
        <v>1630.58235012</v>
      </c>
      <c r="N54" s="51">
        <f>SUMIFS(input_districts!$C$124:$C$193,input_districts!$A$124:$A$193,$A54,input_districts!$B$124:$B$193,N$43)</f>
        <v>0</v>
      </c>
      <c r="O54" s="51">
        <f>SUMIFS(input_districts!$C$124:$C$193,input_districts!$A$124:$A$193,$A54,input_districts!$B$124:$B$193,O$43)</f>
        <v>3716.7012120211998</v>
      </c>
      <c r="P54" s="52">
        <f t="shared" si="24"/>
        <v>11706.6828074512</v>
      </c>
      <c r="Q54" s="52"/>
      <c r="R54" s="2" t="s">
        <v>2</v>
      </c>
      <c r="S54" s="2" t="s">
        <v>279</v>
      </c>
      <c r="T54" s="2" t="s">
        <v>280</v>
      </c>
      <c r="U54" s="2" t="s">
        <v>255</v>
      </c>
      <c r="V54" s="2" t="s">
        <v>260</v>
      </c>
      <c r="W54" s="2" t="s">
        <v>281</v>
      </c>
      <c r="Y54" s="2" t="s">
        <v>2</v>
      </c>
      <c r="Z54" s="67" t="s">
        <v>279</v>
      </c>
      <c r="AA54" s="67" t="s">
        <v>280</v>
      </c>
      <c r="AB54" s="67" t="s">
        <v>255</v>
      </c>
      <c r="AC54" s="67" t="s">
        <v>260</v>
      </c>
      <c r="AD54" s="67" t="s">
        <v>281</v>
      </c>
      <c r="AG54" s="42">
        <f>WorkCoefficients!B62</f>
        <v>306</v>
      </c>
      <c r="AH54" s="42" t="str">
        <f>WorkCoefficients!C62</f>
        <v>ddistcont6-tr</v>
      </c>
      <c r="AI54" s="42">
        <f>WorkCoefficients!E62</f>
        <v>-1.4978495999999999</v>
      </c>
      <c r="AJ54" s="71">
        <f t="shared" si="19"/>
        <v>-1.3968886705967776</v>
      </c>
      <c r="AL54">
        <f>SchoolCoeffcients!B62</f>
        <v>211</v>
      </c>
      <c r="AM54" t="str">
        <f>SchoolCoeffcients!C62</f>
        <v>odistcon11-tr</v>
      </c>
      <c r="AN54" s="43">
        <f>SchoolCoeffcients!E62</f>
        <v>0</v>
      </c>
      <c r="AO54" s="47">
        <f t="shared" si="20"/>
        <v>0</v>
      </c>
      <c r="AV54">
        <f>OtherCoefficients!B62</f>
        <v>208</v>
      </c>
      <c r="AW54" t="str">
        <f>OtherCoefficients!C62</f>
        <v>odistcont8-tr</v>
      </c>
      <c r="AX54">
        <f>OtherCoefficients!E62</f>
        <v>0</v>
      </c>
      <c r="AY54" s="47">
        <f t="shared" si="21"/>
        <v>0</v>
      </c>
    </row>
    <row r="55" spans="1:51" x14ac:dyDescent="0.25">
      <c r="A55">
        <v>11</v>
      </c>
      <c r="B55" s="6"/>
      <c r="C55" s="54">
        <f>SUMIFS(input_districts!$C$1:$C$63,input_districts!$A$1:$A$63,$A55,input_districts!$B$1:$B$63,C$43)</f>
        <v>0</v>
      </c>
      <c r="D55" s="54">
        <f>SUMIFS(input_districts!$C$1:$C$63,input_districts!$A$1:$A$63,$A55,input_districts!$B$1:$B$63,D$43)</f>
        <v>2926.54498509</v>
      </c>
      <c r="E55" s="54">
        <f>SUMIFS(input_districts!$C$1:$C$63,input_districts!$A$1:$A$63,$A55,input_districts!$B$1:$B$63,E$43)</f>
        <v>0</v>
      </c>
      <c r="F55" s="54">
        <f>SUMIFS(input_districts!$C$1:$C$63,input_districts!$A$1:$A$63,$A55,input_districts!$B$1:$B$63,F$43)</f>
        <v>0</v>
      </c>
      <c r="G55" s="55">
        <f t="shared" si="23"/>
        <v>2926.54498509</v>
      </c>
      <c r="J55">
        <v>11</v>
      </c>
      <c r="K55" s="6"/>
      <c r="L55" s="54">
        <f>SUMIFS(input_districts!$C$124:$C$193,input_districts!$A$124:$A$193,$A55,input_districts!$B$124:$B$193,L$43)</f>
        <v>5672.0980216799999</v>
      </c>
      <c r="M55" s="54">
        <f>SUMIFS(input_districts!$C$124:$C$193,input_districts!$A$124:$A$193,$A55,input_districts!$B$124:$B$193,M$43)</f>
        <v>540.55358688700005</v>
      </c>
      <c r="N55" s="54">
        <f>SUMIFS(input_districts!$C$124:$C$193,input_districts!$A$124:$A$193,$A55,input_districts!$B$124:$B$193,N$43)</f>
        <v>0</v>
      </c>
      <c r="O55" s="54">
        <f>SUMIFS(input_districts!$C$124:$C$193,input_districts!$A$124:$A$193,$A55,input_districts!$B$124:$B$193,O$43)</f>
        <v>1066.495052196</v>
      </c>
      <c r="P55" s="55">
        <f t="shared" si="24"/>
        <v>7279.146660763</v>
      </c>
      <c r="Q55" s="52"/>
      <c r="R55" s="9" t="s">
        <v>4</v>
      </c>
      <c r="S55">
        <f t="shared" ref="S55:W57" si="25">Z18</f>
        <v>50</v>
      </c>
      <c r="T55">
        <f t="shared" si="25"/>
        <v>50</v>
      </c>
      <c r="U55">
        <f t="shared" si="25"/>
        <v>50</v>
      </c>
      <c r="V55">
        <f t="shared" si="25"/>
        <v>50</v>
      </c>
      <c r="W55">
        <f t="shared" si="25"/>
        <v>50</v>
      </c>
      <c r="Y55" s="9" t="s">
        <v>4</v>
      </c>
      <c r="Z55" s="64">
        <f t="shared" ref="Z55:AD62" si="26">IF(S55&gt;0,(S43+Z31),"-")</f>
        <v>1.6440501689989937</v>
      </c>
      <c r="AA55" s="64">
        <f t="shared" si="26"/>
        <v>2.1137321997469263</v>
      </c>
      <c r="AB55" s="64">
        <f t="shared" si="26"/>
        <v>-3.5894690086711352</v>
      </c>
      <c r="AC55" s="64">
        <f t="shared" si="26"/>
        <v>-0.18530766178999755</v>
      </c>
      <c r="AD55" s="64">
        <f t="shared" si="26"/>
        <v>-5.2223197736482785</v>
      </c>
      <c r="AG55">
        <f>WorkCoefficients!B63</f>
        <v>307</v>
      </c>
      <c r="AH55" t="str">
        <f>WorkCoefficients!C63</f>
        <v>ddistcont7-tr</v>
      </c>
      <c r="AI55">
        <f>WorkCoefficients!E63</f>
        <v>0</v>
      </c>
      <c r="AJ55" s="70">
        <f t="shared" si="19"/>
        <v>0</v>
      </c>
      <c r="AL55">
        <f>SchoolCoeffcients!B63</f>
        <v>301</v>
      </c>
      <c r="AM55" t="str">
        <f>SchoolCoeffcients!C63</f>
        <v>ddistcont1-tr</v>
      </c>
      <c r="AN55" s="43">
        <f>SchoolCoeffcients!E63</f>
        <v>0</v>
      </c>
      <c r="AO55" s="47">
        <f t="shared" si="20"/>
        <v>0</v>
      </c>
      <c r="AV55">
        <f>OtherCoefficients!B63</f>
        <v>209</v>
      </c>
      <c r="AW55" t="str">
        <f>OtherCoefficients!C63</f>
        <v>odistcont9-tr</v>
      </c>
      <c r="AX55">
        <f>OtherCoefficients!E63</f>
        <v>0</v>
      </c>
      <c r="AY55" s="47">
        <f t="shared" si="21"/>
        <v>0</v>
      </c>
    </row>
    <row r="56" spans="1:51" ht="15.75" customHeight="1" thickBot="1" x14ac:dyDescent="0.3">
      <c r="B56" s="1" t="s">
        <v>3</v>
      </c>
      <c r="C56" s="53">
        <f>SUM(C45:C55)</f>
        <v>240987.69507806003</v>
      </c>
      <c r="D56" s="53">
        <f>SUM(D45:D55)</f>
        <v>55519.655209921002</v>
      </c>
      <c r="E56" s="53">
        <f>SUM(E45:E55)</f>
        <v>2929.6354747240002</v>
      </c>
      <c r="F56" s="53">
        <f>SUM(F45:F55)</f>
        <v>110723.017727492</v>
      </c>
      <c r="G56" s="53">
        <f>SUM(G45:G55)</f>
        <v>410160.00349019695</v>
      </c>
      <c r="K56" s="1" t="s">
        <v>3</v>
      </c>
      <c r="L56" s="53">
        <f>SUM(L45:L55)</f>
        <v>160956.04210649998</v>
      </c>
      <c r="M56" s="53">
        <f>SUM(M45:M55)</f>
        <v>27472.982377824999</v>
      </c>
      <c r="N56" s="53">
        <f>SUM(N45:N55)</f>
        <v>18.74451175998</v>
      </c>
      <c r="O56" s="53">
        <f>SUM(O45:O55)</f>
        <v>48552.571065598691</v>
      </c>
      <c r="P56" s="53">
        <f>SUM(P45:P55)</f>
        <v>237000.3400616837</v>
      </c>
      <c r="Q56" s="52"/>
      <c r="R56" s="9" t="s">
        <v>5</v>
      </c>
      <c r="S56">
        <f t="shared" si="25"/>
        <v>40</v>
      </c>
      <c r="T56">
        <f t="shared" si="25"/>
        <v>40</v>
      </c>
      <c r="U56">
        <f t="shared" si="25"/>
        <v>40</v>
      </c>
      <c r="V56">
        <f t="shared" si="25"/>
        <v>40</v>
      </c>
      <c r="W56">
        <f t="shared" si="25"/>
        <v>40</v>
      </c>
      <c r="Y56" s="9" t="s">
        <v>5</v>
      </c>
      <c r="Z56" s="65">
        <f t="shared" si="26"/>
        <v>-2.2375059908009196</v>
      </c>
      <c r="AA56" s="65">
        <f t="shared" si="26"/>
        <v>-1.3417989892552638</v>
      </c>
      <c r="AB56" s="65">
        <f t="shared" si="26"/>
        <v>-0.23318931041503982</v>
      </c>
      <c r="AC56" s="65">
        <f t="shared" si="26"/>
        <v>-2.1629402501705455</v>
      </c>
      <c r="AD56" s="65">
        <f t="shared" si="26"/>
        <v>-6.0153158152275683</v>
      </c>
      <c r="AG56">
        <f>WorkCoefficients!B64</f>
        <v>308</v>
      </c>
      <c r="AH56" t="str">
        <f>WorkCoefficients!C64</f>
        <v>ddistcont8-tr</v>
      </c>
      <c r="AI56">
        <f>WorkCoefficients!E64</f>
        <v>0</v>
      </c>
      <c r="AJ56" s="70">
        <f t="shared" si="19"/>
        <v>0</v>
      </c>
      <c r="AL56">
        <f>SchoolCoeffcients!B64</f>
        <v>302</v>
      </c>
      <c r="AM56" t="str">
        <f>SchoolCoeffcients!C64</f>
        <v>ddistcont2-tr</v>
      </c>
      <c r="AN56" s="43">
        <f>SchoolCoeffcients!E64</f>
        <v>0</v>
      </c>
      <c r="AO56" s="47">
        <f t="shared" si="20"/>
        <v>0</v>
      </c>
      <c r="AV56">
        <f>OtherCoefficients!B64</f>
        <v>210</v>
      </c>
      <c r="AW56" t="str">
        <f>OtherCoefficients!C64</f>
        <v>odistcon10-tr</v>
      </c>
      <c r="AX56">
        <f>OtherCoefficients!E64</f>
        <v>0</v>
      </c>
      <c r="AY56" s="47">
        <f t="shared" si="21"/>
        <v>0</v>
      </c>
    </row>
    <row r="57" spans="1:51" x14ac:dyDescent="0.25">
      <c r="R57" s="9" t="s">
        <v>6</v>
      </c>
      <c r="S57">
        <f t="shared" si="25"/>
        <v>30</v>
      </c>
      <c r="T57">
        <f t="shared" si="25"/>
        <v>30</v>
      </c>
      <c r="U57">
        <f t="shared" si="25"/>
        <v>30</v>
      </c>
      <c r="V57">
        <f t="shared" si="25"/>
        <v>30</v>
      </c>
      <c r="W57">
        <f t="shared" si="25"/>
        <v>30</v>
      </c>
      <c r="Y57" s="9" t="s">
        <v>6</v>
      </c>
      <c r="Z57" s="65">
        <f t="shared" si="26"/>
        <v>-2.74309028641084</v>
      </c>
      <c r="AA57" s="65">
        <f t="shared" si="26"/>
        <v>-0.79426437757071333</v>
      </c>
      <c r="AB57" s="65">
        <f t="shared" si="26"/>
        <v>-1.113584922304611</v>
      </c>
      <c r="AC57" s="65">
        <f t="shared" si="26"/>
        <v>-2.0992494260758829</v>
      </c>
      <c r="AD57" s="65">
        <f t="shared" si="26"/>
        <v>-7.0395773851808574</v>
      </c>
      <c r="AG57">
        <f>WorkCoefficients!B65</f>
        <v>309</v>
      </c>
      <c r="AH57" t="str">
        <f>WorkCoefficients!C65</f>
        <v>ddistcont9-tr</v>
      </c>
      <c r="AI57">
        <f>WorkCoefficients!E65</f>
        <v>0</v>
      </c>
      <c r="AJ57" s="70">
        <f t="shared" si="19"/>
        <v>0</v>
      </c>
      <c r="AL57">
        <f>SchoolCoeffcients!B65</f>
        <v>303</v>
      </c>
      <c r="AM57" t="str">
        <f>SchoolCoeffcients!C65</f>
        <v>ddistcont3-tr</v>
      </c>
      <c r="AN57" s="43">
        <f>SchoolCoeffcients!E65</f>
        <v>0</v>
      </c>
      <c r="AO57" s="47">
        <f t="shared" si="20"/>
        <v>0</v>
      </c>
      <c r="AV57">
        <f>OtherCoefficients!B65</f>
        <v>211</v>
      </c>
      <c r="AW57" t="str">
        <f>OtherCoefficients!C65</f>
        <v>odistcon11-tr</v>
      </c>
      <c r="AX57">
        <f>OtherCoefficients!E65</f>
        <v>0</v>
      </c>
      <c r="AY57" s="47">
        <f t="shared" si="21"/>
        <v>0</v>
      </c>
    </row>
    <row r="58" spans="1:51" ht="15.75" customHeight="1" thickBot="1" x14ac:dyDescent="0.3">
      <c r="B58" t="s">
        <v>298</v>
      </c>
      <c r="K58" t="s">
        <v>305</v>
      </c>
      <c r="R58" s="9" t="s">
        <v>7</v>
      </c>
      <c r="S58">
        <f>Z21</f>
        <v>10</v>
      </c>
      <c r="Y58" s="9" t="s">
        <v>7</v>
      </c>
      <c r="Z58" s="65">
        <f t="shared" si="26"/>
        <v>-4.7461823576649875</v>
      </c>
      <c r="AA58" s="65" t="str">
        <f t="shared" si="26"/>
        <v>-</v>
      </c>
      <c r="AB58" s="65" t="str">
        <f t="shared" si="26"/>
        <v>-</v>
      </c>
      <c r="AC58" s="65" t="str">
        <f t="shared" si="26"/>
        <v>-</v>
      </c>
      <c r="AD58" s="65" t="str">
        <f t="shared" si="26"/>
        <v>-</v>
      </c>
      <c r="AG58">
        <f>WorkCoefficients!B66</f>
        <v>310</v>
      </c>
      <c r="AH58" t="str">
        <f>WorkCoefficients!C66</f>
        <v>ddistcon10-tr</v>
      </c>
      <c r="AI58">
        <f>WorkCoefficients!E66</f>
        <v>0</v>
      </c>
      <c r="AJ58" s="70">
        <f t="shared" si="19"/>
        <v>0</v>
      </c>
      <c r="AL58">
        <f>SchoolCoeffcients!B66</f>
        <v>304</v>
      </c>
      <c r="AM58" t="str">
        <f>SchoolCoeffcients!C66</f>
        <v>ddistcont4-tr</v>
      </c>
      <c r="AN58" s="43">
        <f>SchoolCoeffcients!E66</f>
        <v>0</v>
      </c>
      <c r="AO58" s="47">
        <f t="shared" si="20"/>
        <v>0</v>
      </c>
      <c r="AV58">
        <f>OtherCoefficients!B66</f>
        <v>301</v>
      </c>
      <c r="AW58" t="str">
        <f>OtherCoefficients!C66</f>
        <v>ddistcont1-tr</v>
      </c>
      <c r="AX58">
        <f>OtherCoefficients!E66</f>
        <v>0</v>
      </c>
      <c r="AY58" s="47">
        <f t="shared" si="21"/>
        <v>0</v>
      </c>
    </row>
    <row r="59" spans="1:51" x14ac:dyDescent="0.25">
      <c r="B59" s="2" t="s">
        <v>303</v>
      </c>
      <c r="C59" s="2" t="s">
        <v>217</v>
      </c>
      <c r="D59" s="2" t="s">
        <v>280</v>
      </c>
      <c r="E59" s="2" t="s">
        <v>255</v>
      </c>
      <c r="F59" s="2" t="s">
        <v>260</v>
      </c>
      <c r="G59" s="2" t="s">
        <v>3</v>
      </c>
      <c r="K59" s="2" t="s">
        <v>303</v>
      </c>
      <c r="L59" s="2" t="s">
        <v>217</v>
      </c>
      <c r="M59" s="2" t="s">
        <v>280</v>
      </c>
      <c r="N59" s="2" t="s">
        <v>255</v>
      </c>
      <c r="O59" s="2" t="s">
        <v>260</v>
      </c>
      <c r="P59" s="2" t="s">
        <v>3</v>
      </c>
      <c r="R59" s="9" t="s">
        <v>8</v>
      </c>
      <c r="S59">
        <f>Z22</f>
        <v>20</v>
      </c>
      <c r="T59">
        <f>AA22</f>
        <v>20</v>
      </c>
      <c r="V59">
        <f>AC22</f>
        <v>20</v>
      </c>
      <c r="W59">
        <f>AD22</f>
        <v>20</v>
      </c>
      <c r="Y59" s="9" t="s">
        <v>8</v>
      </c>
      <c r="Z59" s="65">
        <f t="shared" si="26"/>
        <v>-3.0675662934353496</v>
      </c>
      <c r="AA59" s="65">
        <f t="shared" si="26"/>
        <v>-4.8859711811360489</v>
      </c>
      <c r="AB59" s="65" t="str">
        <f t="shared" si="26"/>
        <v>-</v>
      </c>
      <c r="AC59" s="65">
        <f t="shared" si="26"/>
        <v>-2.950383942417989</v>
      </c>
      <c r="AD59" s="65">
        <f t="shared" si="26"/>
        <v>-6.696808093571077</v>
      </c>
      <c r="AG59">
        <f>WorkCoefficients!B67</f>
        <v>311</v>
      </c>
      <c r="AH59" t="str">
        <f>WorkCoefficients!C67</f>
        <v>ddistcon11-tr</v>
      </c>
      <c r="AI59">
        <f>WorkCoefficients!E67</f>
        <v>0</v>
      </c>
      <c r="AJ59" s="70">
        <f t="shared" si="19"/>
        <v>0</v>
      </c>
      <c r="AL59">
        <f>SchoolCoeffcients!B67</f>
        <v>305</v>
      </c>
      <c r="AM59" t="str">
        <f>SchoolCoeffcients!C67</f>
        <v>ddistcont5-tr</v>
      </c>
      <c r="AN59" s="43">
        <f>SchoolCoeffcients!E67</f>
        <v>0</v>
      </c>
      <c r="AO59" s="47">
        <f t="shared" si="20"/>
        <v>0</v>
      </c>
      <c r="AV59">
        <f>OtherCoefficients!B67</f>
        <v>302</v>
      </c>
      <c r="AW59" t="str">
        <f>OtherCoefficients!C67</f>
        <v>ddistcont2-tr</v>
      </c>
      <c r="AX59">
        <f>OtherCoefficients!E67</f>
        <v>0</v>
      </c>
      <c r="AY59" s="47">
        <f t="shared" si="21"/>
        <v>0</v>
      </c>
    </row>
    <row r="60" spans="1:51" x14ac:dyDescent="0.25">
      <c r="A60">
        <f t="shared" ref="A60:A70" si="27">A45</f>
        <v>1</v>
      </c>
      <c r="C60" s="56">
        <f t="shared" ref="C60:G71" si="28">C45/C$56</f>
        <v>6.870535494618038E-2</v>
      </c>
      <c r="D60" s="56">
        <f t="shared" si="28"/>
        <v>9.8708278341770303E-2</v>
      </c>
      <c r="E60" s="56">
        <f t="shared" si="28"/>
        <v>0</v>
      </c>
      <c r="F60" s="56">
        <f t="shared" si="28"/>
        <v>1.4957429264148302E-2</v>
      </c>
      <c r="G60" s="56">
        <f t="shared" si="28"/>
        <v>5.7766545279538173E-2</v>
      </c>
      <c r="J60">
        <v>1</v>
      </c>
      <c r="L60" s="56">
        <f t="shared" ref="L60:P71" si="29">L45/L$56</f>
        <v>6.241239161778768E-2</v>
      </c>
      <c r="M60" s="56">
        <f t="shared" si="29"/>
        <v>8.5143935115616243E-2</v>
      </c>
      <c r="N60" s="56">
        <f t="shared" si="29"/>
        <v>0</v>
      </c>
      <c r="O60" s="56">
        <f t="shared" si="29"/>
        <v>2.5883159929576101E-3</v>
      </c>
      <c r="P60" s="56">
        <f t="shared" si="29"/>
        <v>5.2786754462640084E-2</v>
      </c>
      <c r="R60" s="9" t="s">
        <v>9</v>
      </c>
      <c r="S60">
        <f>Z23</f>
        <v>60</v>
      </c>
      <c r="T60">
        <f>AA23</f>
        <v>60</v>
      </c>
      <c r="U60">
        <f>AB23</f>
        <v>60</v>
      </c>
      <c r="V60">
        <f>AC23</f>
        <v>60</v>
      </c>
      <c r="W60">
        <f>AD23</f>
        <v>60</v>
      </c>
      <c r="Y60" s="9" t="s">
        <v>9</v>
      </c>
      <c r="Z60" s="65">
        <f t="shared" si="26"/>
        <v>-3.4230651198797415</v>
      </c>
      <c r="AA60" s="65">
        <f t="shared" si="26"/>
        <v>-4.21085844720072</v>
      </c>
      <c r="AB60" s="65">
        <f t="shared" si="26"/>
        <v>-10.864898282537544</v>
      </c>
      <c r="AC60" s="65">
        <f t="shared" si="26"/>
        <v>-4.9882611829945231</v>
      </c>
      <c r="AD60" s="65">
        <f t="shared" si="26"/>
        <v>-8.0983120533150466</v>
      </c>
      <c r="AG60">
        <f>WorkCoefficients!B68</f>
        <v>99</v>
      </c>
      <c r="AH60" t="str">
        <f>WorkCoefficients!C68</f>
        <v>modenest</v>
      </c>
      <c r="AI60">
        <f>WorkCoefficients!E68</f>
        <v>0.53642515987899997</v>
      </c>
      <c r="AJ60" s="70">
        <f t="shared" si="19"/>
        <v>0.53642515987899997</v>
      </c>
      <c r="AL60" s="42">
        <f>SchoolCoeffcients!B68</f>
        <v>306</v>
      </c>
      <c r="AM60" s="42" t="str">
        <f>SchoolCoeffcients!C68</f>
        <v>ddistcont6-tr</v>
      </c>
      <c r="AN60" s="44">
        <f>SchoolCoeffcients!E68</f>
        <v>-1.063796</v>
      </c>
      <c r="AO60" s="44">
        <f t="shared" si="20"/>
        <v>-1.063796</v>
      </c>
      <c r="AV60">
        <f>OtherCoefficients!B68</f>
        <v>303</v>
      </c>
      <c r="AW60" t="str">
        <f>OtherCoefficients!C68</f>
        <v>ddistcont3-tr</v>
      </c>
      <c r="AX60">
        <f>OtherCoefficients!E68</f>
        <v>0</v>
      </c>
      <c r="AY60" s="47">
        <f t="shared" si="21"/>
        <v>0</v>
      </c>
    </row>
    <row r="61" spans="1:51" x14ac:dyDescent="0.25">
      <c r="A61">
        <f t="shared" si="27"/>
        <v>2</v>
      </c>
      <c r="C61" s="56">
        <f t="shared" si="28"/>
        <v>4.9009185419920887E-2</v>
      </c>
      <c r="D61" s="56">
        <f t="shared" si="28"/>
        <v>5.6385480828068969E-2</v>
      </c>
      <c r="E61" s="56">
        <f t="shared" si="28"/>
        <v>0</v>
      </c>
      <c r="F61" s="56">
        <f t="shared" si="28"/>
        <v>9.0300765930600643E-2</v>
      </c>
      <c r="G61" s="56">
        <f t="shared" si="28"/>
        <v>6.0804286573876203E-2</v>
      </c>
      <c r="J61">
        <v>2</v>
      </c>
      <c r="L61" s="56">
        <f t="shared" si="29"/>
        <v>5.1180823414005441E-2</v>
      </c>
      <c r="M61" s="56">
        <f t="shared" si="29"/>
        <v>4.949696860460244E-2</v>
      </c>
      <c r="N61" s="56">
        <f t="shared" si="29"/>
        <v>0</v>
      </c>
      <c r="O61" s="56">
        <f t="shared" si="29"/>
        <v>2.9243471814781267E-3</v>
      </c>
      <c r="P61" s="56">
        <f t="shared" si="29"/>
        <v>4.1095623265832749E-2</v>
      </c>
      <c r="R61" s="9" t="s">
        <v>10</v>
      </c>
      <c r="Y61" s="9" t="s">
        <v>10</v>
      </c>
      <c r="Z61" s="65" t="str">
        <f t="shared" si="26"/>
        <v>-</v>
      </c>
      <c r="AA61" s="65" t="str">
        <f t="shared" si="26"/>
        <v>-</v>
      </c>
      <c r="AB61" s="65" t="str">
        <f t="shared" si="26"/>
        <v>-</v>
      </c>
      <c r="AC61" s="65" t="str">
        <f t="shared" si="26"/>
        <v>-</v>
      </c>
      <c r="AD61" s="65" t="str">
        <f t="shared" si="26"/>
        <v>-</v>
      </c>
      <c r="AL61">
        <f>SchoolCoeffcients!B69</f>
        <v>307</v>
      </c>
      <c r="AM61" t="str">
        <f>SchoolCoeffcients!C69</f>
        <v>ddistcont7-tr</v>
      </c>
      <c r="AN61" s="43">
        <f>SchoolCoeffcients!E69</f>
        <v>0</v>
      </c>
      <c r="AO61" s="47">
        <f t="shared" si="20"/>
        <v>0</v>
      </c>
      <c r="AV61">
        <f>OtherCoefficients!B69</f>
        <v>304</v>
      </c>
      <c r="AW61" t="str">
        <f>OtherCoefficients!C69</f>
        <v>ddistcont4-tr</v>
      </c>
      <c r="AX61">
        <f>OtherCoefficients!E69</f>
        <v>0</v>
      </c>
      <c r="AY61" s="47">
        <f t="shared" si="21"/>
        <v>0</v>
      </c>
    </row>
    <row r="62" spans="1:51" x14ac:dyDescent="0.25">
      <c r="A62">
        <f t="shared" si="27"/>
        <v>3</v>
      </c>
      <c r="C62" s="56">
        <f t="shared" si="28"/>
        <v>0.18563676453982095</v>
      </c>
      <c r="D62" s="56">
        <f t="shared" si="28"/>
        <v>0.20158616351241432</v>
      </c>
      <c r="E62" s="56">
        <f t="shared" si="28"/>
        <v>6.1575708264522189E-2</v>
      </c>
      <c r="F62" s="56">
        <f t="shared" si="28"/>
        <v>0.14904316679514151</v>
      </c>
      <c r="G62" s="56">
        <f t="shared" si="28"/>
        <v>0.17703109338345918</v>
      </c>
      <c r="J62">
        <v>3</v>
      </c>
      <c r="L62" s="56">
        <f t="shared" si="29"/>
        <v>0.22800207821908158</v>
      </c>
      <c r="M62" s="56">
        <f t="shared" si="29"/>
        <v>0.25563054472413627</v>
      </c>
      <c r="N62" s="56">
        <f t="shared" si="29"/>
        <v>0.13337237224484888</v>
      </c>
      <c r="O62" s="56">
        <f t="shared" si="29"/>
        <v>0.19728252620872588</v>
      </c>
      <c r="P62" s="56">
        <f t="shared" si="29"/>
        <v>0.22490397867157949</v>
      </c>
      <c r="R62" s="12" t="s">
        <v>11</v>
      </c>
      <c r="S62" s="6"/>
      <c r="T62" s="6">
        <f>AA25</f>
        <v>10</v>
      </c>
      <c r="U62" s="6"/>
      <c r="V62" s="6"/>
      <c r="W62" s="6"/>
      <c r="Y62" s="12" t="s">
        <v>11</v>
      </c>
      <c r="Z62" s="66" t="str">
        <f t="shared" si="26"/>
        <v>-</v>
      </c>
      <c r="AA62" s="66">
        <f t="shared" si="26"/>
        <v>3.6832889638159401</v>
      </c>
      <c r="AB62" s="66" t="str">
        <f t="shared" si="26"/>
        <v>-</v>
      </c>
      <c r="AC62" s="66" t="str">
        <f t="shared" si="26"/>
        <v>-</v>
      </c>
      <c r="AD62" s="66" t="str">
        <f t="shared" si="26"/>
        <v>-</v>
      </c>
      <c r="AL62">
        <f>SchoolCoeffcients!B70</f>
        <v>308</v>
      </c>
      <c r="AM62" t="str">
        <f>SchoolCoeffcients!C70</f>
        <v>ddistcont8-tr</v>
      </c>
      <c r="AN62" s="43">
        <f>SchoolCoeffcients!E70</f>
        <v>0</v>
      </c>
      <c r="AO62" s="47">
        <f t="shared" si="20"/>
        <v>0</v>
      </c>
      <c r="AV62">
        <f>OtherCoefficients!B70</f>
        <v>305</v>
      </c>
      <c r="AW62" t="str">
        <f>OtherCoefficients!C70</f>
        <v>ddistcont5-tr</v>
      </c>
      <c r="AX62">
        <f>OtherCoefficients!E70</f>
        <v>0</v>
      </c>
      <c r="AY62" s="47">
        <f t="shared" si="21"/>
        <v>0</v>
      </c>
    </row>
    <row r="63" spans="1:51" x14ac:dyDescent="0.25">
      <c r="A63">
        <f t="shared" si="27"/>
        <v>4</v>
      </c>
      <c r="C63" s="56">
        <f t="shared" si="28"/>
        <v>0.13351062116668719</v>
      </c>
      <c r="D63" s="56">
        <f t="shared" si="28"/>
        <v>8.636887963279595E-2</v>
      </c>
      <c r="E63" s="56">
        <f t="shared" si="28"/>
        <v>6.8841897481460676E-2</v>
      </c>
      <c r="F63" s="56">
        <f t="shared" si="28"/>
        <v>0.20242804744920576</v>
      </c>
      <c r="G63" s="56">
        <f t="shared" si="28"/>
        <v>0.1452718761598438</v>
      </c>
      <c r="J63">
        <v>4</v>
      </c>
      <c r="L63" s="56">
        <f t="shared" si="29"/>
        <v>0.15832423846654026</v>
      </c>
      <c r="M63" s="56">
        <f t="shared" si="29"/>
        <v>0.12233742012308181</v>
      </c>
      <c r="N63" s="56">
        <f t="shared" si="29"/>
        <v>0.29319294698854637</v>
      </c>
      <c r="O63" s="56">
        <f t="shared" si="29"/>
        <v>0.21952051845622636</v>
      </c>
      <c r="P63" s="56">
        <f t="shared" si="29"/>
        <v>0.16670017393794914</v>
      </c>
      <c r="AL63">
        <f>SchoolCoeffcients!B71</f>
        <v>309</v>
      </c>
      <c r="AM63" t="str">
        <f>SchoolCoeffcients!C71</f>
        <v>ddistcont9-tr</v>
      </c>
      <c r="AN63" s="43">
        <f>SchoolCoeffcients!E71</f>
        <v>0</v>
      </c>
      <c r="AO63" s="47">
        <f t="shared" si="20"/>
        <v>0</v>
      </c>
      <c r="AV63" s="42">
        <f>OtherCoefficients!B71</f>
        <v>306</v>
      </c>
      <c r="AW63" s="42" t="str">
        <f>OtherCoefficients!C71</f>
        <v>ddistcont6-tr</v>
      </c>
      <c r="AX63" s="42">
        <f>OtherCoefficients!E71</f>
        <v>-0.255216</v>
      </c>
      <c r="AY63" s="44">
        <f t="shared" si="21"/>
        <v>-0.255216</v>
      </c>
    </row>
    <row r="64" spans="1:51" x14ac:dyDescent="0.25">
      <c r="A64">
        <f t="shared" si="27"/>
        <v>5</v>
      </c>
      <c r="C64" s="56">
        <f t="shared" si="28"/>
        <v>0.13772214773476052</v>
      </c>
      <c r="D64" s="56">
        <f t="shared" si="28"/>
        <v>8.7671288493344476E-2</v>
      </c>
      <c r="E64" s="56">
        <f t="shared" si="28"/>
        <v>6.3671378192733441E-2</v>
      </c>
      <c r="F64" s="56">
        <f t="shared" si="28"/>
        <v>0.12002069136496622</v>
      </c>
      <c r="G64" s="56">
        <f t="shared" si="28"/>
        <v>0.12563977296713344</v>
      </c>
      <c r="J64">
        <v>5</v>
      </c>
      <c r="L64" s="56">
        <f t="shared" si="29"/>
        <v>0.14040506006383324</v>
      </c>
      <c r="M64" s="56">
        <f t="shared" si="29"/>
        <v>0.1243926679372243</v>
      </c>
      <c r="N64" s="56">
        <f t="shared" si="29"/>
        <v>0</v>
      </c>
      <c r="O64" s="56">
        <f t="shared" si="29"/>
        <v>0.17444602053713221</v>
      </c>
      <c r="P64" s="56">
        <f t="shared" si="29"/>
        <v>0.14551153443085485</v>
      </c>
      <c r="AL64">
        <f>SchoolCoeffcients!B72</f>
        <v>310</v>
      </c>
      <c r="AM64" t="str">
        <f>SchoolCoeffcients!C72</f>
        <v>ddistcon10-tr</v>
      </c>
      <c r="AN64" s="43">
        <f>SchoolCoeffcients!E72</f>
        <v>0</v>
      </c>
      <c r="AO64" s="47">
        <f t="shared" si="20"/>
        <v>0</v>
      </c>
      <c r="AV64">
        <f>OtherCoefficients!B72</f>
        <v>307</v>
      </c>
      <c r="AW64" t="str">
        <f>OtherCoefficients!C72</f>
        <v>ddistcont7-tr</v>
      </c>
      <c r="AX64">
        <f>OtherCoefficients!E72</f>
        <v>0</v>
      </c>
      <c r="AY64" s="47">
        <f t="shared" si="21"/>
        <v>0</v>
      </c>
    </row>
    <row r="65" spans="1:51" x14ac:dyDescent="0.25">
      <c r="A65">
        <f t="shared" si="27"/>
        <v>6</v>
      </c>
      <c r="C65" s="56">
        <f t="shared" si="28"/>
        <v>0.16850294241266822</v>
      </c>
      <c r="D65" s="56">
        <f t="shared" si="28"/>
        <v>0.1725977734870309</v>
      </c>
      <c r="E65" s="56">
        <f t="shared" si="28"/>
        <v>7.6778014826295315E-2</v>
      </c>
      <c r="F65" s="56">
        <f t="shared" si="28"/>
        <v>0.13569664596071995</v>
      </c>
      <c r="G65" s="56">
        <f t="shared" si="28"/>
        <v>0.15954597658288747</v>
      </c>
      <c r="J65">
        <v>6</v>
      </c>
      <c r="L65" s="56">
        <f t="shared" si="29"/>
        <v>0.12086116759088975</v>
      </c>
      <c r="M65" s="56">
        <f t="shared" si="29"/>
        <v>9.7512473937388724E-2</v>
      </c>
      <c r="N65" s="56">
        <f t="shared" si="29"/>
        <v>0.34676816783660708</v>
      </c>
      <c r="O65" s="56">
        <f t="shared" si="29"/>
        <v>0.10567963385591989</v>
      </c>
      <c r="P65" s="56">
        <f t="shared" si="29"/>
        <v>0.11506233106576358</v>
      </c>
      <c r="AL65">
        <f>SchoolCoeffcients!B73</f>
        <v>311</v>
      </c>
      <c r="AM65" t="str">
        <f>SchoolCoeffcients!C73</f>
        <v>ddistcon11-tr</v>
      </c>
      <c r="AN65" s="43">
        <f>SchoolCoeffcients!E73</f>
        <v>0</v>
      </c>
      <c r="AO65" s="47">
        <f t="shared" si="20"/>
        <v>0</v>
      </c>
      <c r="AV65">
        <f>OtherCoefficients!B73</f>
        <v>308</v>
      </c>
      <c r="AW65" t="str">
        <f>OtherCoefficients!C73</f>
        <v>ddistcont8-tr</v>
      </c>
      <c r="AX65">
        <f>OtherCoefficients!E73</f>
        <v>0</v>
      </c>
      <c r="AY65" s="47">
        <f t="shared" si="21"/>
        <v>0</v>
      </c>
    </row>
    <row r="66" spans="1:51" x14ac:dyDescent="0.25">
      <c r="A66">
        <f t="shared" si="27"/>
        <v>7</v>
      </c>
      <c r="C66" s="56">
        <f t="shared" si="28"/>
        <v>8.3477323428832156E-2</v>
      </c>
      <c r="D66" s="56">
        <f t="shared" si="28"/>
        <v>0.13950928771142526</v>
      </c>
      <c r="E66" s="56">
        <f t="shared" si="28"/>
        <v>0.72913300123498836</v>
      </c>
      <c r="F66" s="56">
        <f t="shared" si="28"/>
        <v>0.14698935601814769</v>
      </c>
      <c r="G66" s="56">
        <f t="shared" si="28"/>
        <v>0.11281869002662512</v>
      </c>
      <c r="J66">
        <v>7</v>
      </c>
      <c r="L66" s="56">
        <f t="shared" si="29"/>
        <v>0.12092110060784114</v>
      </c>
      <c r="M66" s="56">
        <f t="shared" si="29"/>
        <v>0.13553893689298094</v>
      </c>
      <c r="N66" s="56">
        <f t="shared" si="29"/>
        <v>0.2133292757055128</v>
      </c>
      <c r="O66" s="56">
        <f t="shared" si="29"/>
        <v>0.13846642601078291</v>
      </c>
      <c r="P66" s="56">
        <f t="shared" si="29"/>
        <v>0.12621728863422585</v>
      </c>
      <c r="AL66">
        <f>SchoolCoeffcients!B74</f>
        <v>99</v>
      </c>
      <c r="AM66" t="str">
        <f>SchoolCoeffcients!C74</f>
        <v>modenest</v>
      </c>
      <c r="AN66" s="43">
        <f>SchoolCoeffcients!E74</f>
        <v>0.78311080353600004</v>
      </c>
      <c r="AO66" s="47">
        <f t="shared" si="20"/>
        <v>0.78311080353600004</v>
      </c>
      <c r="AV66">
        <f>OtherCoefficients!B74</f>
        <v>309</v>
      </c>
      <c r="AW66" t="str">
        <f>OtherCoefficients!C74</f>
        <v>ddistcont9-tr</v>
      </c>
      <c r="AX66">
        <f>OtherCoefficients!E74</f>
        <v>0</v>
      </c>
      <c r="AY66" s="47">
        <f t="shared" si="21"/>
        <v>0</v>
      </c>
    </row>
    <row r="67" spans="1:51" x14ac:dyDescent="0.25">
      <c r="A67">
        <f t="shared" si="27"/>
        <v>8</v>
      </c>
      <c r="C67" s="56">
        <f t="shared" si="28"/>
        <v>3.5526222440057868E-2</v>
      </c>
      <c r="D67" s="56">
        <f t="shared" si="28"/>
        <v>4.6863639473486242E-2</v>
      </c>
      <c r="E67" s="56">
        <f t="shared" si="28"/>
        <v>0</v>
      </c>
      <c r="F67" s="56">
        <f t="shared" si="28"/>
        <v>4.9600198768457081E-2</v>
      </c>
      <c r="G67" s="56">
        <f t="shared" si="28"/>
        <v>4.0606395338191638E-2</v>
      </c>
      <c r="J67">
        <v>8</v>
      </c>
      <c r="L67" s="56">
        <f t="shared" si="29"/>
        <v>1.6553991438339421E-2</v>
      </c>
      <c r="M67" s="56">
        <f t="shared" si="29"/>
        <v>3.8194277374376293E-2</v>
      </c>
      <c r="N67" s="56">
        <f t="shared" si="29"/>
        <v>1.3337237224484887E-2</v>
      </c>
      <c r="O67" s="56">
        <f t="shared" si="29"/>
        <v>4.5750882317700574E-2</v>
      </c>
      <c r="P67" s="56">
        <f t="shared" si="29"/>
        <v>2.5043629117659564E-2</v>
      </c>
      <c r="AV67">
        <f>OtherCoefficients!B75</f>
        <v>310</v>
      </c>
      <c r="AW67" t="str">
        <f>OtherCoefficients!C75</f>
        <v>ddistcon10-tr</v>
      </c>
      <c r="AX67">
        <f>OtherCoefficients!E75</f>
        <v>0</v>
      </c>
      <c r="AY67" s="47">
        <f t="shared" ref="AY67:AY98" si="30">_xlfn.IFNA(VLOOKUP(AV67,$V$55:$AD$62,8,FALSE),_xlfn.IFNA(VLOOKUP(AV67, $Z$106:$AC$130,4,FALSE),AX67))</f>
        <v>0</v>
      </c>
    </row>
    <row r="68" spans="1:51" x14ac:dyDescent="0.25">
      <c r="A68">
        <f t="shared" si="27"/>
        <v>9</v>
      </c>
      <c r="C68" s="56">
        <f t="shared" si="28"/>
        <v>6.0399974315224585E-2</v>
      </c>
      <c r="D68" s="56">
        <f t="shared" si="28"/>
        <v>1.6758168029558335E-2</v>
      </c>
      <c r="E68" s="56">
        <f t="shared" si="28"/>
        <v>0</v>
      </c>
      <c r="F68" s="56">
        <f t="shared" si="28"/>
        <v>6.546322959228093E-2</v>
      </c>
      <c r="G68" s="56">
        <f t="shared" si="28"/>
        <v>5.5427990152968107E-2</v>
      </c>
      <c r="J68">
        <v>9</v>
      </c>
      <c r="L68" s="56">
        <f t="shared" si="29"/>
        <v>2.6588942814139763E-2</v>
      </c>
      <c r="M68" s="56">
        <f t="shared" si="29"/>
        <v>1.2724735773505648E-2</v>
      </c>
      <c r="N68" s="56">
        <f t="shared" si="29"/>
        <v>0</v>
      </c>
      <c r="O68" s="56">
        <f t="shared" si="29"/>
        <v>1.4825511239568876E-2</v>
      </c>
      <c r="P68" s="56">
        <f t="shared" si="29"/>
        <v>2.2569816260511733E-2</v>
      </c>
      <c r="AV68">
        <f>OtherCoefficients!B76</f>
        <v>311</v>
      </c>
      <c r="AW68" t="str">
        <f>OtherCoefficients!C76</f>
        <v>ddistcon11-tr</v>
      </c>
      <c r="AX68">
        <f>OtherCoefficients!E76</f>
        <v>0</v>
      </c>
      <c r="AY68" s="47">
        <f t="shared" si="30"/>
        <v>0</v>
      </c>
    </row>
    <row r="69" spans="1:51" x14ac:dyDescent="0.25">
      <c r="A69">
        <f t="shared" si="27"/>
        <v>10</v>
      </c>
      <c r="C69" s="56">
        <f t="shared" si="28"/>
        <v>7.7509463595847108E-2</v>
      </c>
      <c r="D69" s="56">
        <f t="shared" si="28"/>
        <v>4.0839168018551288E-2</v>
      </c>
      <c r="E69" s="56">
        <f t="shared" si="28"/>
        <v>0</v>
      </c>
      <c r="F69" s="56">
        <f t="shared" si="28"/>
        <v>2.5500468856331948E-2</v>
      </c>
      <c r="G69" s="56">
        <f t="shared" si="28"/>
        <v>5.7952243439448645E-2</v>
      </c>
      <c r="J69">
        <v>10</v>
      </c>
      <c r="L69" s="56">
        <f t="shared" si="29"/>
        <v>3.9510161669495877E-2</v>
      </c>
      <c r="M69" s="56">
        <f t="shared" si="29"/>
        <v>5.9352214757584364E-2</v>
      </c>
      <c r="N69" s="56">
        <f t="shared" si="29"/>
        <v>0</v>
      </c>
      <c r="O69" s="56">
        <f t="shared" si="29"/>
        <v>7.6550039070013773E-2</v>
      </c>
      <c r="P69" s="56">
        <f t="shared" si="29"/>
        <v>4.9395215232198905E-2</v>
      </c>
      <c r="AV69">
        <f>OtherCoefficients!B77</f>
        <v>0</v>
      </c>
      <c r="AW69">
        <f>OtherCoefficients!C77</f>
        <v>0</v>
      </c>
      <c r="AX69">
        <f>OtherCoefficients!E77</f>
        <v>0</v>
      </c>
      <c r="AY69" s="47">
        <f t="shared" si="30"/>
        <v>0</v>
      </c>
    </row>
    <row r="70" spans="1:51" x14ac:dyDescent="0.25">
      <c r="A70">
        <f t="shared" si="27"/>
        <v>11</v>
      </c>
      <c r="B70" s="6"/>
      <c r="C70" s="57">
        <f t="shared" si="28"/>
        <v>0</v>
      </c>
      <c r="D70" s="57">
        <f t="shared" si="28"/>
        <v>5.2711872471553921E-2</v>
      </c>
      <c r="E70" s="57">
        <f t="shared" si="28"/>
        <v>0</v>
      </c>
      <c r="F70" s="57">
        <f t="shared" si="28"/>
        <v>0</v>
      </c>
      <c r="G70" s="57">
        <f t="shared" si="28"/>
        <v>7.1351300960283562E-3</v>
      </c>
      <c r="J70">
        <v>11</v>
      </c>
      <c r="K70" s="6"/>
      <c r="L70" s="56">
        <f t="shared" si="29"/>
        <v>3.5240044098045951E-2</v>
      </c>
      <c r="M70" s="56">
        <f t="shared" si="29"/>
        <v>1.9675824759503049E-2</v>
      </c>
      <c r="N70" s="56">
        <f t="shared" si="29"/>
        <v>0</v>
      </c>
      <c r="O70" s="56">
        <f t="shared" si="29"/>
        <v>2.1965779129493958E-2</v>
      </c>
      <c r="P70" s="56">
        <f t="shared" si="29"/>
        <v>3.0713654920783946E-2</v>
      </c>
    </row>
    <row r="71" spans="1:51" ht="15.75" customHeight="1" thickBot="1" x14ac:dyDescent="0.3">
      <c r="B71" s="58" t="s">
        <v>3</v>
      </c>
      <c r="C71" s="59">
        <f t="shared" si="28"/>
        <v>1</v>
      </c>
      <c r="D71" s="59">
        <f t="shared" si="28"/>
        <v>1</v>
      </c>
      <c r="E71" s="59">
        <f t="shared" si="28"/>
        <v>1</v>
      </c>
      <c r="F71" s="59">
        <f t="shared" si="28"/>
        <v>1</v>
      </c>
      <c r="G71" s="59">
        <f t="shared" si="28"/>
        <v>1</v>
      </c>
      <c r="K71" s="58" t="s">
        <v>3</v>
      </c>
      <c r="L71" s="59">
        <f t="shared" si="29"/>
        <v>1</v>
      </c>
      <c r="M71" s="59">
        <f t="shared" si="29"/>
        <v>1</v>
      </c>
      <c r="N71" s="59">
        <f t="shared" si="29"/>
        <v>1</v>
      </c>
      <c r="O71" s="59">
        <f t="shared" si="29"/>
        <v>1</v>
      </c>
      <c r="P71" s="59">
        <f t="shared" si="29"/>
        <v>1</v>
      </c>
    </row>
    <row r="73" spans="1:51" x14ac:dyDescent="0.25">
      <c r="B73" s="30" t="s">
        <v>306</v>
      </c>
    </row>
    <row r="74" spans="1:51" ht="15.75" customHeight="1" thickBot="1" x14ac:dyDescent="0.3">
      <c r="B74" t="s">
        <v>22</v>
      </c>
      <c r="C74">
        <v>1</v>
      </c>
      <c r="D74">
        <v>2</v>
      </c>
      <c r="E74">
        <v>3</v>
      </c>
      <c r="F74" t="s">
        <v>302</v>
      </c>
      <c r="K74" t="s">
        <v>23</v>
      </c>
      <c r="L74">
        <v>1</v>
      </c>
      <c r="M74">
        <v>2</v>
      </c>
      <c r="N74">
        <v>3</v>
      </c>
      <c r="O74" t="s">
        <v>302</v>
      </c>
    </row>
    <row r="75" spans="1:51" x14ac:dyDescent="0.25">
      <c r="B75" s="2" t="s">
        <v>307</v>
      </c>
      <c r="C75" s="2" t="s">
        <v>217</v>
      </c>
      <c r="D75" s="2" t="s">
        <v>280</v>
      </c>
      <c r="E75" s="2" t="s">
        <v>255</v>
      </c>
      <c r="F75" s="2" t="s">
        <v>260</v>
      </c>
      <c r="G75" s="2" t="s">
        <v>3</v>
      </c>
      <c r="K75" s="2" t="s">
        <v>307</v>
      </c>
      <c r="L75" s="2" t="s">
        <v>217</v>
      </c>
      <c r="M75" s="2" t="s">
        <v>280</v>
      </c>
      <c r="N75" s="2" t="s">
        <v>255</v>
      </c>
      <c r="O75" s="2" t="s">
        <v>260</v>
      </c>
      <c r="P75" s="2" t="s">
        <v>3</v>
      </c>
    </row>
    <row r="76" spans="1:51" x14ac:dyDescent="0.25">
      <c r="A76">
        <v>1</v>
      </c>
      <c r="C76" s="51">
        <f>SUMIFS(input_districts!$C$64:$C$123,input_districts!$A$64:$A$123,$A76,input_districts!$B$64:$B$123,C$43)</f>
        <v>3022.4558590199999</v>
      </c>
      <c r="D76" s="51">
        <f>SUMIFS(input_districts!$C$64:$C$123,input_districts!$A$64:$A$123,$A76,input_districts!$B$64:$B$123,D$43)</f>
        <v>666.65062499999999</v>
      </c>
      <c r="E76" s="51">
        <f>SUMIFS(input_districts!$C$64:$C$123,input_districts!$A$64:$A$123,$A76,input_districts!$B$64:$B$123,E$43)</f>
        <v>0</v>
      </c>
      <c r="F76" s="51">
        <f>SUMIFS(input_districts!$C$64:$C$123,input_districts!$A$64:$A$123,$A76,input_districts!$B$64:$B$123,F$43)</f>
        <v>2104.8525547149998</v>
      </c>
      <c r="G76" s="52">
        <f t="shared" ref="G76:G86" si="31">SUM(C76:F76)</f>
        <v>5793.9590387349999</v>
      </c>
      <c r="J76">
        <v>1</v>
      </c>
      <c r="L76" s="51">
        <f>SUMIFS(input_districts!$C$194:$C$263,input_districts!$A$194:$A$263,$A76,input_districts!$B$194:$B$263,L$43)</f>
        <v>2964.8853006300001</v>
      </c>
      <c r="M76" s="51">
        <f>SUMIFS(input_districts!$C$194:$C$263,input_districts!$A$194:$A$263,$A76,input_districts!$B$194:$B$263,M$43)</f>
        <v>116.562266855</v>
      </c>
      <c r="N76" s="51">
        <f>SUMIFS(input_districts!$C$194:$C$263,input_districts!$A$194:$A$263,$A76,input_districts!$B$194:$B$263,N$43)</f>
        <v>0</v>
      </c>
      <c r="O76" s="51">
        <f>SUMIFS(input_districts!$C$194:$C$263,input_districts!$A$194:$A$263,$A76,input_districts!$B$194:$B$263,O$43)</f>
        <v>546.58107412050003</v>
      </c>
      <c r="P76" s="52">
        <f t="shared" ref="P76:P86" si="32">SUM(L76:O76)</f>
        <v>3628.0286416055001</v>
      </c>
    </row>
    <row r="77" spans="1:51" x14ac:dyDescent="0.25">
      <c r="A77">
        <v>2</v>
      </c>
      <c r="C77" s="51">
        <f>SUMIFS(input_districts!$C$64:$C$123,input_districts!$A$64:$A$123,$A77,input_districts!$B$64:$B$123,C$43)</f>
        <v>3641.9021312</v>
      </c>
      <c r="D77" s="51">
        <f>SUMIFS(input_districts!$C$64:$C$123,input_districts!$A$64:$A$123,$A77,input_districts!$B$64:$B$123,D$43)</f>
        <v>4921.6077376100002</v>
      </c>
      <c r="E77" s="51">
        <f>SUMIFS(input_districts!$C$64:$C$123,input_districts!$A$64:$A$123,$A77,input_districts!$B$64:$B$123,E$43)</f>
        <v>0</v>
      </c>
      <c r="F77" s="51">
        <f>SUMIFS(input_districts!$C$64:$C$123,input_districts!$A$64:$A$123,$A77,input_districts!$B$64:$B$123,F$43)</f>
        <v>8142.7112350999996</v>
      </c>
      <c r="G77" s="52">
        <f t="shared" si="31"/>
        <v>16706.22110391</v>
      </c>
      <c r="J77">
        <v>2</v>
      </c>
      <c r="L77" s="51">
        <f>SUMIFS(input_districts!$C$194:$C$263,input_districts!$A$194:$A$263,$A77,input_districts!$B$194:$B$263,L$43)</f>
        <v>7107.2075447200004</v>
      </c>
      <c r="M77" s="51">
        <f>SUMIFS(input_districts!$C$194:$C$263,input_districts!$A$194:$A$263,$A77,input_districts!$B$194:$B$263,M$43)</f>
        <v>4109.3702739</v>
      </c>
      <c r="N77" s="51">
        <f>SUMIFS(input_districts!$C$194:$C$263,input_districts!$A$194:$A$263,$A77,input_districts!$B$194:$B$263,N$43)</f>
        <v>0</v>
      </c>
      <c r="O77" s="51">
        <f>SUMIFS(input_districts!$C$194:$C$263,input_districts!$A$194:$A$263,$A77,input_districts!$B$194:$B$263,O$43)</f>
        <v>717.50397505160004</v>
      </c>
      <c r="P77" s="52">
        <f t="shared" si="32"/>
        <v>11934.081793671601</v>
      </c>
    </row>
    <row r="78" spans="1:51" x14ac:dyDescent="0.25">
      <c r="A78">
        <v>3</v>
      </c>
      <c r="C78" s="51">
        <f>SUMIFS(input_districts!$C$64:$C$123,input_districts!$A$64:$A$123,$A78,input_districts!$B$64:$B$123,C$43)</f>
        <v>35267.829458100001</v>
      </c>
      <c r="D78" s="51">
        <f>SUMIFS(input_districts!$C$64:$C$123,input_districts!$A$64:$A$123,$A78,input_districts!$B$64:$B$123,D$43)</f>
        <v>19593.196648500001</v>
      </c>
      <c r="E78" s="51">
        <f>SUMIFS(input_districts!$C$64:$C$123,input_districts!$A$64:$A$123,$A78,input_districts!$B$64:$B$123,E$43)</f>
        <v>180.394379313</v>
      </c>
      <c r="F78" s="51">
        <f>SUMIFS(input_districts!$C$64:$C$123,input_districts!$A$64:$A$123,$A78,input_districts!$B$64:$B$123,F$43)</f>
        <v>16352.9212095</v>
      </c>
      <c r="G78" s="52">
        <f t="shared" si="31"/>
        <v>71394.341695413008</v>
      </c>
      <c r="J78">
        <v>3</v>
      </c>
      <c r="L78" s="51">
        <f>SUMIFS(input_districts!$C$194:$C$263,input_districts!$A$194:$A$263,$A78,input_districts!$B$194:$B$263,L$43)</f>
        <v>13970.543434699999</v>
      </c>
      <c r="M78" s="51">
        <f>SUMIFS(input_districts!$C$194:$C$263,input_districts!$A$194:$A$263,$A78,input_districts!$B$194:$B$263,M$43)</f>
        <v>8234.3613654000001</v>
      </c>
      <c r="N78" s="51">
        <f>SUMIFS(input_districts!$C$194:$C$263,input_districts!$A$194:$A$263,$A78,input_districts!$B$194:$B$263,N$43)</f>
        <v>3</v>
      </c>
      <c r="O78" s="51">
        <f>SUMIFS(input_districts!$C$194:$C$263,input_districts!$A$194:$A$263,$A78,input_districts!$B$194:$B$263,O$43)</f>
        <v>6057.561083261</v>
      </c>
      <c r="P78" s="52">
        <f t="shared" si="32"/>
        <v>28265.465883360997</v>
      </c>
    </row>
    <row r="79" spans="1:51" x14ac:dyDescent="0.25">
      <c r="A79">
        <v>4</v>
      </c>
      <c r="C79" s="51">
        <f>SUMIFS(input_districts!$C$64:$C$123,input_districts!$A$64:$A$123,$A79,input_districts!$B$64:$B$123,C$43)</f>
        <v>115408.967137</v>
      </c>
      <c r="D79" s="51">
        <f>SUMIFS(input_districts!$C$64:$C$123,input_districts!$A$64:$A$123,$A79,input_districts!$B$64:$B$123,D$43)</f>
        <v>7879.54351056</v>
      </c>
      <c r="E79" s="51">
        <f>SUMIFS(input_districts!$C$64:$C$123,input_districts!$A$64:$A$123,$A79,input_districts!$B$64:$B$123,E$43)</f>
        <v>0</v>
      </c>
      <c r="F79" s="51">
        <f>SUMIFS(input_districts!$C$64:$C$123,input_districts!$A$64:$A$123,$A79,input_districts!$B$64:$B$123,F$43)</f>
        <v>35918.575729960001</v>
      </c>
      <c r="G79" s="52">
        <f t="shared" si="31"/>
        <v>159207.08637752</v>
      </c>
      <c r="J79">
        <v>4</v>
      </c>
      <c r="L79" s="51">
        <f>SUMIFS(input_districts!$C$194:$C$263,input_districts!$A$194:$A$263,$A79,input_districts!$B$194:$B$263,L$43)</f>
        <v>73795.373118599993</v>
      </c>
      <c r="M79" s="51">
        <f>SUMIFS(input_districts!$C$194:$C$263,input_districts!$A$194:$A$263,$A79,input_districts!$B$194:$B$263,M$43)</f>
        <v>4412.0528975200004</v>
      </c>
      <c r="N79" s="51">
        <f>SUMIFS(input_districts!$C$194:$C$263,input_districts!$A$194:$A$263,$A79,input_districts!$B$194:$B$263,N$43)</f>
        <v>4.7476525821599997</v>
      </c>
      <c r="O79" s="51">
        <f>SUMIFS(input_districts!$C$194:$C$263,input_districts!$A$194:$A$263,$A79,input_districts!$B$194:$B$263,O$43)</f>
        <v>17922.761106009999</v>
      </c>
      <c r="P79" s="52">
        <f t="shared" si="32"/>
        <v>96134.93477471215</v>
      </c>
    </row>
    <row r="80" spans="1:51" x14ac:dyDescent="0.25">
      <c r="A80">
        <v>5</v>
      </c>
      <c r="C80" s="51">
        <f>SUMIFS(input_districts!$C$64:$C$123,input_districts!$A$64:$A$123,$A80,input_districts!$B$64:$B$123,C$43)</f>
        <v>22411.700393200001</v>
      </c>
      <c r="D80" s="51">
        <f>SUMIFS(input_districts!$C$64:$C$123,input_districts!$A$64:$A$123,$A80,input_districts!$B$64:$B$123,D$43)</f>
        <v>2273.2592833799999</v>
      </c>
      <c r="E80" s="51">
        <f>SUMIFS(input_districts!$C$64:$C$123,input_districts!$A$64:$A$123,$A80,input_districts!$B$64:$B$123,E$43)</f>
        <v>2414.6046225499999</v>
      </c>
      <c r="F80" s="51">
        <f>SUMIFS(input_districts!$C$64:$C$123,input_districts!$A$64:$A$123,$A80,input_districts!$B$64:$B$123,F$43)</f>
        <v>10800.589925709999</v>
      </c>
      <c r="G80" s="52">
        <f t="shared" si="31"/>
        <v>37900.15422484</v>
      </c>
      <c r="J80">
        <v>5</v>
      </c>
      <c r="L80" s="51">
        <f>SUMIFS(input_districts!$C$194:$C$263,input_districts!$A$194:$A$263,$A80,input_districts!$B$194:$B$263,L$43)</f>
        <v>10202.474773800001</v>
      </c>
      <c r="M80" s="51">
        <f>SUMIFS(input_districts!$C$194:$C$263,input_districts!$A$194:$A$263,$A80,input_districts!$B$194:$B$263,M$43)</f>
        <v>887.72582548699995</v>
      </c>
      <c r="N80" s="51">
        <f>SUMIFS(input_districts!$C$194:$C$263,input_districts!$A$194:$A$263,$A80,input_districts!$B$194:$B$263,N$43)</f>
        <v>4.4981060606099996</v>
      </c>
      <c r="O80" s="51">
        <f>SUMIFS(input_districts!$C$194:$C$263,input_districts!$A$194:$A$263,$A80,input_districts!$B$194:$B$263,O$43)</f>
        <v>4596.8184432560001</v>
      </c>
      <c r="P80" s="52">
        <f t="shared" si="32"/>
        <v>15691.517148603609</v>
      </c>
    </row>
    <row r="81" spans="1:32" x14ac:dyDescent="0.25">
      <c r="A81">
        <v>6</v>
      </c>
      <c r="C81" s="51">
        <f>SUMIFS(input_districts!$C$64:$C$123,input_districts!$A$64:$A$123,$A81,input_districts!$B$64:$B$123,C$43)</f>
        <v>34386.837718499999</v>
      </c>
      <c r="D81" s="51">
        <f>SUMIFS(input_districts!$C$64:$C$123,input_districts!$A$64:$A$123,$A81,input_districts!$B$64:$B$123,D$43)</f>
        <v>5679.9718636199996</v>
      </c>
      <c r="E81" s="51">
        <f>SUMIFS(input_districts!$C$64:$C$123,input_districts!$A$64:$A$123,$A81,input_districts!$B$64:$B$123,E$43)</f>
        <v>224.93159591400001</v>
      </c>
      <c r="F81" s="51">
        <f>SUMIFS(input_districts!$C$64:$C$123,input_districts!$A$64:$A$123,$A81,input_districts!$B$64:$B$123,F$43)</f>
        <v>11339.397291331999</v>
      </c>
      <c r="G81" s="52">
        <f t="shared" si="31"/>
        <v>51631.138469365993</v>
      </c>
      <c r="J81">
        <v>6</v>
      </c>
      <c r="L81" s="51">
        <f>SUMIFS(input_districts!$C$194:$C$263,input_districts!$A$194:$A$263,$A81,input_districts!$B$194:$B$263,L$43)</f>
        <v>22507.9167686</v>
      </c>
      <c r="M81" s="51">
        <f>SUMIFS(input_districts!$C$194:$C$263,input_districts!$A$194:$A$263,$A81,input_districts!$B$194:$B$263,M$43)</f>
        <v>3072.2479792099998</v>
      </c>
      <c r="N81" s="51">
        <f>SUMIFS(input_districts!$C$194:$C$263,input_districts!$A$194:$A$263,$A81,input_districts!$B$194:$B$263,N$43)</f>
        <v>2.25</v>
      </c>
      <c r="O81" s="51">
        <f>SUMIFS(input_districts!$C$194:$C$263,input_districts!$A$194:$A$263,$A81,input_districts!$B$194:$B$263,O$43)</f>
        <v>4908.6629169939997</v>
      </c>
      <c r="P81" s="52">
        <f t="shared" si="32"/>
        <v>30491.077664803997</v>
      </c>
    </row>
    <row r="82" spans="1:32" x14ac:dyDescent="0.25">
      <c r="A82">
        <v>7</v>
      </c>
      <c r="C82" s="51">
        <f>SUMIFS(input_districts!$C$64:$C$123,input_districts!$A$64:$A$123,$A82,input_districts!$B$64:$B$123,C$43)</f>
        <v>14148.001643400001</v>
      </c>
      <c r="D82" s="51">
        <f>SUMIFS(input_districts!$C$64:$C$123,input_districts!$A$64:$A$123,$A82,input_districts!$B$64:$B$123,D$43)</f>
        <v>7375.1267244999999</v>
      </c>
      <c r="E82" s="51">
        <f>SUMIFS(input_districts!$C$64:$C$123,input_districts!$A$64:$A$123,$A82,input_districts!$B$64:$B$123,E$43)</f>
        <v>109.70487695</v>
      </c>
      <c r="F82" s="51">
        <f>SUMIFS(input_districts!$C$64:$C$123,input_districts!$A$64:$A$123,$A82,input_districts!$B$64:$B$123,F$43)</f>
        <v>11903.540527924</v>
      </c>
      <c r="G82" s="52">
        <f t="shared" si="31"/>
        <v>33536.373772774001</v>
      </c>
      <c r="J82">
        <v>7</v>
      </c>
      <c r="L82" s="51">
        <f>SUMIFS(input_districts!$C$194:$C$263,input_districts!$A$194:$A$263,$A82,input_districts!$B$194:$B$263,L$43)</f>
        <v>15784.0795602</v>
      </c>
      <c r="M82" s="51">
        <f>SUMIFS(input_districts!$C$194:$C$263,input_districts!$A$194:$A$263,$A82,input_districts!$B$194:$B$263,M$43)</f>
        <v>2219.9521363899999</v>
      </c>
      <c r="N82" s="51">
        <f>SUMIFS(input_districts!$C$194:$C$263,input_districts!$A$194:$A$263,$A82,input_districts!$B$194:$B$263,N$43)</f>
        <v>3.9987531172100002</v>
      </c>
      <c r="O82" s="51">
        <f>SUMIFS(input_districts!$C$194:$C$263,input_districts!$A$194:$A$263,$A82,input_districts!$B$194:$B$263,O$43)</f>
        <v>5643.9529973230001</v>
      </c>
      <c r="P82" s="52">
        <f t="shared" si="32"/>
        <v>23651.983447030208</v>
      </c>
    </row>
    <row r="83" spans="1:32" x14ac:dyDescent="0.25">
      <c r="A83">
        <v>8</v>
      </c>
      <c r="C83" s="51">
        <f>SUMIFS(input_districts!$C$64:$C$123,input_districts!$A$64:$A$123,$A83,input_districts!$B$64:$B$123,C$43)</f>
        <v>4441.6721790000001</v>
      </c>
      <c r="D83" s="51">
        <f>SUMIFS(input_districts!$C$64:$C$123,input_districts!$A$64:$A$123,$A83,input_districts!$B$64:$B$123,D$43)</f>
        <v>4337.4319655400004</v>
      </c>
      <c r="E83" s="51">
        <f>SUMIFS(input_districts!$C$64:$C$123,input_districts!$A$64:$A$123,$A83,input_districts!$B$64:$B$123,E$43)</f>
        <v>0</v>
      </c>
      <c r="F83" s="51">
        <f>SUMIFS(input_districts!$C$64:$C$123,input_districts!$A$64:$A$123,$A83,input_districts!$B$64:$B$123,F$43)</f>
        <v>3561.2565511409998</v>
      </c>
      <c r="G83" s="52">
        <f t="shared" si="31"/>
        <v>12340.360695681</v>
      </c>
      <c r="J83">
        <v>8</v>
      </c>
      <c r="L83" s="51">
        <f>SUMIFS(input_districts!$C$194:$C$263,input_districts!$A$194:$A$263,$A83,input_districts!$B$194:$B$263,L$43)</f>
        <v>4472.6855118100002</v>
      </c>
      <c r="M83" s="51">
        <f>SUMIFS(input_districts!$C$194:$C$263,input_districts!$A$194:$A$263,$A83,input_districts!$B$194:$B$263,M$43)</f>
        <v>2452.4660772100001</v>
      </c>
      <c r="N83" s="51">
        <f>SUMIFS(input_districts!$C$194:$C$263,input_districts!$A$194:$A$263,$A83,input_districts!$B$194:$B$263,N$43)</f>
        <v>0.25</v>
      </c>
      <c r="O83" s="51">
        <f>SUMIFS(input_districts!$C$194:$C$263,input_districts!$A$194:$A$263,$A83,input_districts!$B$194:$B$263,O$43)</f>
        <v>2448.0126140560001</v>
      </c>
      <c r="P83" s="52">
        <f t="shared" si="32"/>
        <v>9373.4142030760013</v>
      </c>
    </row>
    <row r="84" spans="1:32" x14ac:dyDescent="0.25">
      <c r="A84">
        <v>9</v>
      </c>
      <c r="C84" s="51">
        <f>SUMIFS(input_districts!$C$64:$C$123,input_districts!$A$64:$A$123,$A84,input_districts!$B$64:$B$123,C$43)</f>
        <v>5661.3926351199998</v>
      </c>
      <c r="D84" s="51">
        <f>SUMIFS(input_districts!$C$64:$C$123,input_districts!$A$64:$A$123,$A84,input_districts!$B$64:$B$123,D$43)</f>
        <v>441.02087499999999</v>
      </c>
      <c r="E84" s="51">
        <f>SUMIFS(input_districts!$C$64:$C$123,input_districts!$A$64:$A$123,$A84,input_districts!$B$64:$B$123,E$43)</f>
        <v>0</v>
      </c>
      <c r="F84" s="51">
        <f>SUMIFS(input_districts!$C$64:$C$123,input_districts!$A$64:$A$123,$A84,input_districts!$B$64:$B$123,F$43)</f>
        <v>6422.8295302770002</v>
      </c>
      <c r="G84" s="52">
        <f t="shared" si="31"/>
        <v>12525.243040396999</v>
      </c>
      <c r="J84">
        <v>9</v>
      </c>
      <c r="L84" s="51">
        <f>SUMIFS(input_districts!$C$194:$C$263,input_districts!$A$194:$A$263,$A84,input_districts!$B$194:$B$263,L$43)</f>
        <v>4285.8611361100002</v>
      </c>
      <c r="M84" s="51">
        <f>SUMIFS(input_districts!$C$194:$C$263,input_districts!$A$194:$A$263,$A84,input_districts!$B$194:$B$263,M$43)</f>
        <v>79.735493621200007</v>
      </c>
      <c r="N84" s="51">
        <f>SUMIFS(input_districts!$C$194:$C$263,input_districts!$A$194:$A$263,$A84,input_districts!$B$194:$B$263,N$43)</f>
        <v>0</v>
      </c>
      <c r="O84" s="51">
        <f>SUMIFS(input_districts!$C$194:$C$263,input_districts!$A$194:$A$263,$A84,input_districts!$B$194:$B$263,O$43)</f>
        <v>840.42960019387999</v>
      </c>
      <c r="P84" s="52">
        <f t="shared" si="32"/>
        <v>5206.0262299250799</v>
      </c>
    </row>
    <row r="85" spans="1:32" x14ac:dyDescent="0.25">
      <c r="A85">
        <v>10</v>
      </c>
      <c r="C85" s="51">
        <f>SUMIFS(input_districts!$C$64:$C$123,input_districts!$A$64:$A$123,$A85,input_districts!$B$64:$B$123,C$43)</f>
        <v>2596.9359239599999</v>
      </c>
      <c r="D85" s="51">
        <f>SUMIFS(input_districts!$C$64:$C$123,input_districts!$A$64:$A$123,$A85,input_districts!$B$64:$B$123,D$43)</f>
        <v>2351.8459761899999</v>
      </c>
      <c r="E85" s="51">
        <f>SUMIFS(input_districts!$C$64:$C$123,input_districts!$A$64:$A$123,$A85,input_districts!$B$64:$B$123,E$43)</f>
        <v>0</v>
      </c>
      <c r="F85" s="51">
        <f>SUMIFS(input_districts!$C$64:$C$123,input_districts!$A$64:$A$123,$A85,input_districts!$B$64:$B$123,F$43)</f>
        <v>4176.3431718299998</v>
      </c>
      <c r="G85" s="52">
        <f t="shared" si="31"/>
        <v>9125.1250719799991</v>
      </c>
      <c r="J85">
        <v>10</v>
      </c>
      <c r="L85" s="51">
        <f>SUMIFS(input_districts!$C$194:$C$263,input_districts!$A$194:$A$263,$A85,input_districts!$B$194:$B$263,L$43)</f>
        <v>5069.5348162500004</v>
      </c>
      <c r="M85" s="51">
        <f>SUMIFS(input_districts!$C$194:$C$263,input_districts!$A$194:$A$263,$A85,input_districts!$B$194:$B$263,M$43)</f>
        <v>1888.5080622400001</v>
      </c>
      <c r="N85" s="51">
        <f>SUMIFS(input_districts!$C$194:$C$263,input_districts!$A$194:$A$263,$A85,input_districts!$B$194:$B$263,N$43)</f>
        <v>0</v>
      </c>
      <c r="O85" s="51">
        <f>SUMIFS(input_districts!$C$194:$C$263,input_districts!$A$194:$A$263,$A85,input_districts!$B$194:$B$263,O$43)</f>
        <v>4085.240657288</v>
      </c>
      <c r="P85" s="52">
        <f t="shared" si="32"/>
        <v>11043.283535778</v>
      </c>
    </row>
    <row r="86" spans="1:32" x14ac:dyDescent="0.25">
      <c r="A86">
        <v>11</v>
      </c>
      <c r="B86" s="6"/>
      <c r="C86" s="54">
        <f>SUMIFS(input_districts!$C$64:$C$123,input_districts!$A$64:$A$123,$A86,input_districts!$B$64:$B$123,C$43)</f>
        <v>0</v>
      </c>
      <c r="D86" s="54">
        <f>SUMIFS(input_districts!$C$64:$C$123,input_districts!$A$64:$A$123,$A86,input_districts!$B$64:$B$123,D$43)</f>
        <v>0</v>
      </c>
      <c r="E86" s="54">
        <f>SUMIFS(input_districts!$C$64:$C$123,input_districts!$A$64:$A$123,$A86,input_districts!$B$64:$B$123,E$43)</f>
        <v>0</v>
      </c>
      <c r="F86" s="54">
        <f>SUMIFS(input_districts!$C$64:$C$123,input_districts!$A$64:$A$123,$A86,input_districts!$B$64:$B$123,F$43)</f>
        <v>0</v>
      </c>
      <c r="G86" s="55">
        <f t="shared" si="31"/>
        <v>0</v>
      </c>
      <c r="J86">
        <v>11</v>
      </c>
      <c r="K86" s="6"/>
      <c r="L86" s="54">
        <f>SUMIFS(input_districts!$C$194:$C$263,input_districts!$A$194:$A$263,$A86,input_districts!$B$194:$B$263,L$43)</f>
        <v>795.480141033</v>
      </c>
      <c r="M86" s="54">
        <f>SUMIFS(input_districts!$C$194:$C$263,input_districts!$A$194:$A$263,$A86,input_districts!$B$194:$B$263,M$43)</f>
        <v>0</v>
      </c>
      <c r="N86" s="54">
        <f>SUMIFS(input_districts!$C$194:$C$263,input_districts!$A$194:$A$263,$A86,input_districts!$B$194:$B$263,N$43)</f>
        <v>0</v>
      </c>
      <c r="O86" s="54">
        <f>SUMIFS(input_districts!$C$194:$C$263,input_districts!$A$194:$A$263,$A86,input_districts!$B$194:$B$263,O$43)</f>
        <v>247.22442020809999</v>
      </c>
      <c r="P86" s="55">
        <f t="shared" si="32"/>
        <v>1042.7045612411</v>
      </c>
    </row>
    <row r="87" spans="1:32" ht="15.75" customHeight="1" thickBot="1" x14ac:dyDescent="0.3">
      <c r="B87" s="1" t="s">
        <v>3</v>
      </c>
      <c r="C87" s="53">
        <f>SUM(C76:C86)</f>
        <v>240987.69507849999</v>
      </c>
      <c r="D87" s="53">
        <f>SUM(D76:D86)</f>
        <v>55519.655209900004</v>
      </c>
      <c r="E87" s="53">
        <f>SUM(E76:E86)</f>
        <v>2929.6354747270002</v>
      </c>
      <c r="F87" s="53">
        <f>SUM(F76:F86)</f>
        <v>110723.017727489</v>
      </c>
      <c r="G87" s="53">
        <f>SUM(G76:G86)</f>
        <v>410160.00349061604</v>
      </c>
      <c r="K87" s="1" t="s">
        <v>3</v>
      </c>
      <c r="L87" s="53">
        <f>SUM(L76:L86)</f>
        <v>160956.04210645304</v>
      </c>
      <c r="M87" s="53">
        <f>SUM(M76:M86)</f>
        <v>27472.982377833199</v>
      </c>
      <c r="N87" s="53">
        <f>SUM(N76:N86)</f>
        <v>18.74451175998</v>
      </c>
      <c r="O87" s="53">
        <f>SUM(O76:O86)</f>
        <v>48014.748887762078</v>
      </c>
      <c r="P87" s="53">
        <f>SUM(P76:P86)</f>
        <v>236462.51788380824</v>
      </c>
    </row>
    <row r="88" spans="1:32" x14ac:dyDescent="0.25">
      <c r="Z88" t="s">
        <v>308</v>
      </c>
      <c r="AA88" s="63">
        <v>0</v>
      </c>
      <c r="AD88" s="63">
        <v>1</v>
      </c>
      <c r="AE88" s="63">
        <v>0</v>
      </c>
      <c r="AF88" s="63">
        <v>0</v>
      </c>
    </row>
    <row r="89" spans="1:32" ht="15.75" customHeight="1" thickBot="1" x14ac:dyDescent="0.3">
      <c r="B89" t="s">
        <v>298</v>
      </c>
      <c r="K89" t="s">
        <v>305</v>
      </c>
      <c r="R89" s="30" t="s">
        <v>299</v>
      </c>
      <c r="S89" s="11" t="s">
        <v>309</v>
      </c>
      <c r="T89" s="11"/>
      <c r="V89" s="11" t="s">
        <v>310</v>
      </c>
      <c r="W89" s="11"/>
      <c r="Z89" t="s">
        <v>296</v>
      </c>
      <c r="AA89" s="11" t="s">
        <v>303</v>
      </c>
      <c r="AB89" s="11"/>
      <c r="AD89" s="11" t="s">
        <v>307</v>
      </c>
      <c r="AE89" s="11"/>
    </row>
    <row r="90" spans="1:32" x14ac:dyDescent="0.25">
      <c r="B90" s="2" t="s">
        <v>307</v>
      </c>
      <c r="C90" s="2" t="s">
        <v>217</v>
      </c>
      <c r="D90" s="2" t="s">
        <v>280</v>
      </c>
      <c r="E90" s="2" t="s">
        <v>255</v>
      </c>
      <c r="F90" s="2" t="s">
        <v>260</v>
      </c>
      <c r="G90" s="2" t="s">
        <v>3</v>
      </c>
      <c r="K90" s="2" t="str">
        <f>B90</f>
        <v>Destination District</v>
      </c>
      <c r="L90" s="2" t="s">
        <v>217</v>
      </c>
      <c r="M90" s="2" t="s">
        <v>280</v>
      </c>
      <c r="N90" s="2" t="s">
        <v>255</v>
      </c>
      <c r="O90" s="2" t="s">
        <v>260</v>
      </c>
      <c r="P90" s="2" t="s">
        <v>3</v>
      </c>
      <c r="R90" s="6" t="s">
        <v>311</v>
      </c>
      <c r="S90" s="6" t="s">
        <v>279</v>
      </c>
      <c r="T90" s="62" t="s">
        <v>280</v>
      </c>
      <c r="U90" s="6" t="s">
        <v>312</v>
      </c>
      <c r="V90" s="6" t="s">
        <v>279</v>
      </c>
      <c r="W90" s="62" t="s">
        <v>280</v>
      </c>
      <c r="X90" s="6" t="s">
        <v>312</v>
      </c>
      <c r="Z90" s="6" t="s">
        <v>311</v>
      </c>
      <c r="AA90" s="62" t="s">
        <v>279</v>
      </c>
      <c r="AB90" s="62" t="s">
        <v>280</v>
      </c>
      <c r="AC90" s="62" t="s">
        <v>312</v>
      </c>
      <c r="AD90" s="62" t="s">
        <v>279</v>
      </c>
      <c r="AE90" s="62" t="s">
        <v>280</v>
      </c>
      <c r="AF90" s="62" t="s">
        <v>312</v>
      </c>
    </row>
    <row r="91" spans="1:32" x14ac:dyDescent="0.25">
      <c r="A91">
        <f t="shared" ref="A91:A101" si="33">A76</f>
        <v>1</v>
      </c>
      <c r="C91" s="56">
        <f t="shared" ref="C91:G102" si="34">C76/C$87</f>
        <v>1.2541950982333173E-2</v>
      </c>
      <c r="D91" s="56">
        <f t="shared" si="34"/>
        <v>1.2007470552178897E-2</v>
      </c>
      <c r="E91" s="56">
        <f t="shared" si="34"/>
        <v>0</v>
      </c>
      <c r="F91" s="56">
        <f t="shared" si="34"/>
        <v>1.9010072141417367E-2</v>
      </c>
      <c r="G91" s="56">
        <f t="shared" si="34"/>
        <v>1.4126094668973637E-2</v>
      </c>
      <c r="J91">
        <v>1</v>
      </c>
      <c r="L91" s="56">
        <f t="shared" ref="L91:P102" si="35">L76/L$87</f>
        <v>1.8420465996977518E-2</v>
      </c>
      <c r="M91" s="56">
        <f t="shared" si="35"/>
        <v>4.2427962589547327E-3</v>
      </c>
      <c r="N91" s="56">
        <f t="shared" si="35"/>
        <v>0</v>
      </c>
      <c r="O91" s="56">
        <f t="shared" si="35"/>
        <v>1.1383607886780217E-2</v>
      </c>
      <c r="P91" s="56">
        <f t="shared" si="35"/>
        <v>1.5342933307460688E-2</v>
      </c>
      <c r="R91">
        <v>1</v>
      </c>
      <c r="S91" s="36">
        <f t="shared" ref="S91:S101" si="36">C60/L60</f>
        <v>1.1008287483506591</v>
      </c>
      <c r="T91" s="36">
        <f t="shared" ref="T91:T101" si="37">D60/M60</f>
        <v>1.159310739017819</v>
      </c>
      <c r="U91" s="36">
        <f t="shared" ref="U91:U101" si="38">F60/O60</f>
        <v>5.7788265825521501</v>
      </c>
      <c r="V91" s="36">
        <f t="shared" ref="V91:V101" si="39">C91/L91</f>
        <v>0.68087045052992101</v>
      </c>
      <c r="W91" s="36">
        <f t="shared" ref="W91:W101" si="40">D91/M91</f>
        <v>2.8300841754624089</v>
      </c>
      <c r="X91" s="36">
        <f t="shared" ref="X91:X101" si="41">F91/O91</f>
        <v>1.6699514187847038</v>
      </c>
      <c r="Z91">
        <f t="shared" ref="Z91:Z101" si="42">R91</f>
        <v>1</v>
      </c>
      <c r="AA91" s="60">
        <f t="shared" ref="AA91:AA101" si="43">$AA$88*IF(S91&gt;0,LN(S91),0)</f>
        <v>0</v>
      </c>
      <c r="AB91" s="60">
        <f t="shared" ref="AB91:AB101" si="44">$AA$88*IF(T91&gt;0,LN(T91),0)</f>
        <v>0</v>
      </c>
      <c r="AC91" s="60">
        <f t="shared" ref="AC91:AC101" si="45">$AA$88*IF(U91&gt;0,LN(U91),0)</f>
        <v>0</v>
      </c>
      <c r="AD91" s="43">
        <f t="shared" ref="AD91:AD101" si="46">$AD$88*IF(V91&gt;0,LN(V91),0)</f>
        <v>-0.38438322509989337</v>
      </c>
      <c r="AE91" s="43">
        <f t="shared" ref="AE91:AE101" si="47">$AD$88*IF(W91&gt;0,LN(W91),0)</f>
        <v>1.0403064551924526</v>
      </c>
      <c r="AF91" s="43">
        <f t="shared" ref="AF91:AF101" si="48">$AD$88*IF(X91&gt;0,LN(X91),0)</f>
        <v>0.51279453545744391</v>
      </c>
    </row>
    <row r="92" spans="1:32" x14ac:dyDescent="0.25">
      <c r="A92">
        <f t="shared" si="33"/>
        <v>2</v>
      </c>
      <c r="C92" s="56">
        <f t="shared" si="34"/>
        <v>1.5112398705725106E-2</v>
      </c>
      <c r="D92" s="56">
        <f t="shared" si="34"/>
        <v>8.8646223017833189E-2</v>
      </c>
      <c r="E92" s="56">
        <f t="shared" si="34"/>
        <v>0</v>
      </c>
      <c r="F92" s="56">
        <f t="shared" si="34"/>
        <v>7.3541269035322029E-2</v>
      </c>
      <c r="G92" s="56">
        <f t="shared" si="34"/>
        <v>4.0730985375789376E-2</v>
      </c>
      <c r="J92">
        <v>2</v>
      </c>
      <c r="L92" s="56">
        <f t="shared" si="35"/>
        <v>4.415620222581914E-2</v>
      </c>
      <c r="M92" s="56">
        <f t="shared" si="35"/>
        <v>0.14957860116474572</v>
      </c>
      <c r="N92" s="56">
        <f t="shared" si="35"/>
        <v>0</v>
      </c>
      <c r="O92" s="56">
        <f t="shared" si="35"/>
        <v>1.4943407841803298E-2</v>
      </c>
      <c r="P92" s="56">
        <f t="shared" si="35"/>
        <v>5.0469232504475443E-2</v>
      </c>
      <c r="R92">
        <v>2</v>
      </c>
      <c r="S92" s="36">
        <f t="shared" si="36"/>
        <v>0.95756930332054224</v>
      </c>
      <c r="T92" s="36">
        <f t="shared" si="37"/>
        <v>1.1391703859380593</v>
      </c>
      <c r="U92" s="36">
        <f t="shared" si="38"/>
        <v>30.878948471828725</v>
      </c>
      <c r="V92" s="36">
        <f t="shared" si="39"/>
        <v>0.34224860707990284</v>
      </c>
      <c r="W92" s="36">
        <f t="shared" si="40"/>
        <v>0.59263973808792558</v>
      </c>
      <c r="X92" s="36">
        <f t="shared" si="41"/>
        <v>4.9213184712522322</v>
      </c>
      <c r="Z92">
        <f t="shared" si="42"/>
        <v>2</v>
      </c>
      <c r="AA92" s="60">
        <f t="shared" si="43"/>
        <v>0</v>
      </c>
      <c r="AB92" s="60">
        <f t="shared" si="44"/>
        <v>0</v>
      </c>
      <c r="AC92" s="60">
        <f t="shared" si="45"/>
        <v>0</v>
      </c>
      <c r="AD92" s="43">
        <f t="shared" si="46"/>
        <v>-1.0722178847125756</v>
      </c>
      <c r="AE92" s="43">
        <f t="shared" si="47"/>
        <v>-0.52316858890574514</v>
      </c>
      <c r="AF92" s="43">
        <f t="shared" si="48"/>
        <v>1.5935764765653002</v>
      </c>
    </row>
    <row r="93" spans="1:32" x14ac:dyDescent="0.25">
      <c r="A93">
        <f t="shared" si="33"/>
        <v>3</v>
      </c>
      <c r="C93" s="56">
        <f t="shared" si="34"/>
        <v>0.14634701347142126</v>
      </c>
      <c r="D93" s="56">
        <f t="shared" si="34"/>
        <v>0.35290558946061745</v>
      </c>
      <c r="E93" s="56">
        <f t="shared" si="34"/>
        <v>6.1575708264459135E-2</v>
      </c>
      <c r="F93" s="56">
        <f t="shared" si="34"/>
        <v>0.14769215602258726</v>
      </c>
      <c r="G93" s="56">
        <f t="shared" si="34"/>
        <v>0.17406461158528447</v>
      </c>
      <c r="J93">
        <v>3</v>
      </c>
      <c r="L93" s="56">
        <f t="shared" si="35"/>
        <v>8.6797259996367004E-2</v>
      </c>
      <c r="M93" s="56">
        <f t="shared" si="35"/>
        <v>0.29972579067513117</v>
      </c>
      <c r="N93" s="56">
        <f t="shared" si="35"/>
        <v>0.16004684669381866</v>
      </c>
      <c r="O93" s="56">
        <f t="shared" si="35"/>
        <v>0.12616042411095357</v>
      </c>
      <c r="P93" s="56">
        <f t="shared" si="35"/>
        <v>0.11953465663953532</v>
      </c>
      <c r="R93">
        <v>3</v>
      </c>
      <c r="S93" s="36">
        <f t="shared" si="36"/>
        <v>0.81418891437229424</v>
      </c>
      <c r="T93" s="36">
        <f t="shared" si="37"/>
        <v>0.7885840235952869</v>
      </c>
      <c r="U93" s="36">
        <f t="shared" si="38"/>
        <v>0.75548083076274641</v>
      </c>
      <c r="V93" s="36">
        <f t="shared" si="39"/>
        <v>1.6860787250374814</v>
      </c>
      <c r="W93" s="36">
        <f t="shared" si="40"/>
        <v>1.1774281708147269</v>
      </c>
      <c r="X93" s="36">
        <f t="shared" si="41"/>
        <v>1.1706694636084711</v>
      </c>
      <c r="Z93">
        <f t="shared" si="42"/>
        <v>3</v>
      </c>
      <c r="AA93" s="60">
        <f t="shared" si="43"/>
        <v>0</v>
      </c>
      <c r="AB93" s="60">
        <f t="shared" si="44"/>
        <v>0</v>
      </c>
      <c r="AC93" s="60">
        <f t="shared" si="45"/>
        <v>0</v>
      </c>
      <c r="AD93" s="43">
        <f t="shared" si="46"/>
        <v>0.52240555186885085</v>
      </c>
      <c r="AE93" s="43">
        <f t="shared" si="47"/>
        <v>0.16333254361654301</v>
      </c>
      <c r="AF93" s="43">
        <f t="shared" si="48"/>
        <v>0.15757577628909702</v>
      </c>
    </row>
    <row r="94" spans="1:32" x14ac:dyDescent="0.25">
      <c r="A94">
        <f t="shared" si="33"/>
        <v>4</v>
      </c>
      <c r="C94" s="56">
        <f t="shared" si="34"/>
        <v>0.4788998338666477</v>
      </c>
      <c r="D94" s="56">
        <f t="shared" si="34"/>
        <v>0.1419234950355916</v>
      </c>
      <c r="E94" s="56">
        <f t="shared" si="34"/>
        <v>0</v>
      </c>
      <c r="F94" s="56">
        <f t="shared" si="34"/>
        <v>0.32440025992032334</v>
      </c>
      <c r="G94" s="56">
        <f t="shared" si="34"/>
        <v>0.38815848698704836</v>
      </c>
      <c r="J94">
        <v>4</v>
      </c>
      <c r="L94" s="56">
        <f t="shared" si="35"/>
        <v>0.45848153416815035</v>
      </c>
      <c r="M94" s="56">
        <f t="shared" si="35"/>
        <v>0.1605960662312331</v>
      </c>
      <c r="N94" s="56">
        <f t="shared" si="35"/>
        <v>0.25328227499082456</v>
      </c>
      <c r="O94" s="56">
        <f t="shared" si="35"/>
        <v>0.3732761603711755</v>
      </c>
      <c r="P94" s="56">
        <f t="shared" si="35"/>
        <v>0.40655464398780722</v>
      </c>
      <c r="R94">
        <v>4</v>
      </c>
      <c r="S94" s="36">
        <f t="shared" si="36"/>
        <v>0.84327341448039173</v>
      </c>
      <c r="T94" s="36">
        <f t="shared" si="37"/>
        <v>0.70598905507326815</v>
      </c>
      <c r="U94" s="36">
        <f t="shared" si="38"/>
        <v>0.92213725109970102</v>
      </c>
      <c r="V94" s="36">
        <f t="shared" si="39"/>
        <v>1.0445346173767793</v>
      </c>
      <c r="W94" s="36">
        <f t="shared" si="40"/>
        <v>0.88372958545101643</v>
      </c>
      <c r="X94" s="36">
        <f t="shared" si="41"/>
        <v>0.86906235747214255</v>
      </c>
      <c r="Z94">
        <f t="shared" si="42"/>
        <v>4</v>
      </c>
      <c r="AA94" s="60">
        <f t="shared" si="43"/>
        <v>0</v>
      </c>
      <c r="AB94" s="60">
        <f t="shared" si="44"/>
        <v>0</v>
      </c>
      <c r="AC94" s="60">
        <f t="shared" si="45"/>
        <v>0</v>
      </c>
      <c r="AD94" s="43">
        <f t="shared" si="46"/>
        <v>4.357144399929741E-2</v>
      </c>
      <c r="AE94" s="43">
        <f t="shared" si="47"/>
        <v>-0.12360416195214589</v>
      </c>
      <c r="AF94" s="43">
        <f t="shared" si="48"/>
        <v>-0.14034039855571614</v>
      </c>
    </row>
    <row r="95" spans="1:32" x14ac:dyDescent="0.25">
      <c r="A95">
        <f t="shared" si="33"/>
        <v>5</v>
      </c>
      <c r="C95" s="56">
        <f t="shared" si="34"/>
        <v>9.2999355779968568E-2</v>
      </c>
      <c r="D95" s="56">
        <f t="shared" si="34"/>
        <v>4.0945126096075667E-2</v>
      </c>
      <c r="E95" s="56">
        <f t="shared" si="34"/>
        <v>0.82419968060190363</v>
      </c>
      <c r="F95" s="56">
        <f t="shared" si="34"/>
        <v>9.7546022023102391E-2</v>
      </c>
      <c r="G95" s="56">
        <f t="shared" si="34"/>
        <v>9.2403339921726696E-2</v>
      </c>
      <c r="J95">
        <v>5</v>
      </c>
      <c r="L95" s="56">
        <f t="shared" si="35"/>
        <v>6.3386715032743485E-2</v>
      </c>
      <c r="M95" s="56">
        <f t="shared" si="35"/>
        <v>3.2312684996415562E-2</v>
      </c>
      <c r="N95" s="56">
        <f t="shared" si="35"/>
        <v>0.23996923036499507</v>
      </c>
      <c r="O95" s="56">
        <f t="shared" si="35"/>
        <v>9.5737633742527598E-2</v>
      </c>
      <c r="P95" s="56">
        <f t="shared" si="35"/>
        <v>6.6359426809089586E-2</v>
      </c>
      <c r="R95">
        <v>5</v>
      </c>
      <c r="S95" s="36">
        <f t="shared" si="36"/>
        <v>0.98089162649940842</v>
      </c>
      <c r="T95" s="36">
        <f t="shared" si="37"/>
        <v>0.70479466311944095</v>
      </c>
      <c r="U95" s="36">
        <f t="shared" si="38"/>
        <v>0.68801048596817305</v>
      </c>
      <c r="V95" s="36">
        <f t="shared" si="39"/>
        <v>1.4671742451384042</v>
      </c>
      <c r="W95" s="36">
        <f t="shared" si="40"/>
        <v>1.2671533207660612</v>
      </c>
      <c r="X95" s="36">
        <f t="shared" si="41"/>
        <v>1.0188890012201282</v>
      </c>
      <c r="Z95">
        <f t="shared" si="42"/>
        <v>5</v>
      </c>
      <c r="AA95" s="60">
        <f t="shared" si="43"/>
        <v>0</v>
      </c>
      <c r="AB95" s="60">
        <f t="shared" si="44"/>
        <v>0</v>
      </c>
      <c r="AC95" s="60">
        <f t="shared" si="45"/>
        <v>0</v>
      </c>
      <c r="AD95" s="43">
        <f t="shared" si="46"/>
        <v>0.38333826861626996</v>
      </c>
      <c r="AE95" s="43">
        <f t="shared" si="47"/>
        <v>0.23677290488286173</v>
      </c>
      <c r="AF95" s="43">
        <f t="shared" si="48"/>
        <v>1.871281918091066E-2</v>
      </c>
    </row>
    <row r="96" spans="1:32" x14ac:dyDescent="0.25">
      <c r="A96">
        <f t="shared" si="33"/>
        <v>6</v>
      </c>
      <c r="C96" s="56">
        <f t="shared" si="34"/>
        <v>0.14269125943255623</v>
      </c>
      <c r="D96" s="56">
        <f t="shared" si="34"/>
        <v>0.10230560406303052</v>
      </c>
      <c r="E96" s="56">
        <f t="shared" si="34"/>
        <v>7.6778014826216698E-2</v>
      </c>
      <c r="F96" s="56">
        <f t="shared" si="34"/>
        <v>0.10241228539525966</v>
      </c>
      <c r="G96" s="56">
        <f t="shared" si="34"/>
        <v>0.12588048086104342</v>
      </c>
      <c r="J96">
        <v>6</v>
      </c>
      <c r="L96" s="56">
        <f t="shared" si="35"/>
        <v>0.13983890554238235</v>
      </c>
      <c r="M96" s="56">
        <f t="shared" si="35"/>
        <v>0.11182797473378311</v>
      </c>
      <c r="N96" s="56">
        <f t="shared" si="35"/>
        <v>0.12003513502036399</v>
      </c>
      <c r="O96" s="56">
        <f t="shared" si="35"/>
        <v>0.10223239797563768</v>
      </c>
      <c r="P96" s="56">
        <f t="shared" si="35"/>
        <v>0.12894676897497365</v>
      </c>
      <c r="R96">
        <v>6</v>
      </c>
      <c r="S96" s="36">
        <f t="shared" si="36"/>
        <v>1.3941859554347844</v>
      </c>
      <c r="T96" s="36">
        <f t="shared" si="37"/>
        <v>1.7700071233743213</v>
      </c>
      <c r="U96" s="36">
        <f t="shared" si="38"/>
        <v>1.2840378132434134</v>
      </c>
      <c r="V96" s="36">
        <f t="shared" si="39"/>
        <v>1.0203974271617093</v>
      </c>
      <c r="W96" s="36">
        <f t="shared" si="40"/>
        <v>0.91484804501358907</v>
      </c>
      <c r="X96" s="36">
        <f t="shared" si="41"/>
        <v>1.0017595930760115</v>
      </c>
      <c r="Z96">
        <f t="shared" si="42"/>
        <v>6</v>
      </c>
      <c r="AA96" s="60">
        <f t="shared" si="43"/>
        <v>0</v>
      </c>
      <c r="AB96" s="60">
        <f t="shared" si="44"/>
        <v>0</v>
      </c>
      <c r="AC96" s="60">
        <f t="shared" si="45"/>
        <v>0</v>
      </c>
      <c r="AD96" s="43">
        <f t="shared" si="46"/>
        <v>2.0192185880644475E-2</v>
      </c>
      <c r="AE96" s="43">
        <f t="shared" si="47"/>
        <v>-8.8997298521334978E-2</v>
      </c>
      <c r="AF96" s="43">
        <f t="shared" si="48"/>
        <v>1.7580468057201801E-3</v>
      </c>
    </row>
    <row r="97" spans="1:32" x14ac:dyDescent="0.25">
      <c r="A97">
        <f t="shared" si="33"/>
        <v>7</v>
      </c>
      <c r="C97" s="56">
        <f t="shared" si="34"/>
        <v>5.8708398529607048E-2</v>
      </c>
      <c r="D97" s="56">
        <f t="shared" si="34"/>
        <v>0.13283812186183933</v>
      </c>
      <c r="E97" s="56">
        <f t="shared" si="34"/>
        <v>3.7446596307420435E-2</v>
      </c>
      <c r="F97" s="56">
        <f t="shared" si="34"/>
        <v>0.10750737084515653</v>
      </c>
      <c r="G97" s="56">
        <f t="shared" si="34"/>
        <v>8.1764124944818689E-2</v>
      </c>
      <c r="J97">
        <v>7</v>
      </c>
      <c r="L97" s="56">
        <f t="shared" si="35"/>
        <v>9.8064535842405542E-2</v>
      </c>
      <c r="M97" s="56">
        <f t="shared" si="35"/>
        <v>8.0804919752039239E-2</v>
      </c>
      <c r="N97" s="56">
        <f t="shared" si="35"/>
        <v>0.2133292757055128</v>
      </c>
      <c r="O97" s="56">
        <f t="shared" si="35"/>
        <v>0.11754623585590639</v>
      </c>
      <c r="P97" s="56">
        <f t="shared" si="35"/>
        <v>0.10002423918471595</v>
      </c>
      <c r="R97">
        <v>7</v>
      </c>
      <c r="S97" s="36">
        <f t="shared" si="36"/>
        <v>0.69034538231302756</v>
      </c>
      <c r="T97" s="36">
        <f t="shared" si="37"/>
        <v>1.0292930644835974</v>
      </c>
      <c r="U97" s="36">
        <f t="shared" si="38"/>
        <v>1.0615523217642744</v>
      </c>
      <c r="V97" s="36">
        <f t="shared" si="39"/>
        <v>0.59867104886882128</v>
      </c>
      <c r="W97" s="36">
        <f t="shared" si="40"/>
        <v>1.6439360656439108</v>
      </c>
      <c r="X97" s="36">
        <f t="shared" si="41"/>
        <v>0.91459645698007752</v>
      </c>
      <c r="Z97">
        <f t="shared" si="42"/>
        <v>7</v>
      </c>
      <c r="AA97" s="60">
        <f t="shared" si="43"/>
        <v>0</v>
      </c>
      <c r="AB97" s="60">
        <f t="shared" si="44"/>
        <v>0</v>
      </c>
      <c r="AC97" s="60">
        <f t="shared" si="45"/>
        <v>0</v>
      </c>
      <c r="AD97" s="43">
        <f t="shared" si="46"/>
        <v>-0.51304299887810856</v>
      </c>
      <c r="AE97" s="43">
        <f t="shared" si="47"/>
        <v>0.49709340636676835</v>
      </c>
      <c r="AF97" s="43">
        <f t="shared" si="48"/>
        <v>-8.9272341612091105E-2</v>
      </c>
    </row>
    <row r="98" spans="1:32" x14ac:dyDescent="0.25">
      <c r="A98">
        <f t="shared" si="33"/>
        <v>8</v>
      </c>
      <c r="C98" s="56">
        <f t="shared" si="34"/>
        <v>1.8431116068200734E-2</v>
      </c>
      <c r="D98" s="56">
        <f t="shared" si="34"/>
        <v>7.812425976245202E-2</v>
      </c>
      <c r="E98" s="56">
        <f t="shared" si="34"/>
        <v>0</v>
      </c>
      <c r="F98" s="56">
        <f t="shared" si="34"/>
        <v>3.216365146320297E-2</v>
      </c>
      <c r="G98" s="56">
        <f t="shared" si="34"/>
        <v>3.0086699314072277E-2</v>
      </c>
      <c r="J98">
        <v>8</v>
      </c>
      <c r="L98" s="56">
        <f t="shared" si="35"/>
        <v>2.7788242387644307E-2</v>
      </c>
      <c r="M98" s="56">
        <f t="shared" si="35"/>
        <v>8.926828705677009E-2</v>
      </c>
      <c r="N98" s="56">
        <f t="shared" si="35"/>
        <v>1.3337237224484887E-2</v>
      </c>
      <c r="O98" s="56">
        <f t="shared" si="35"/>
        <v>5.0984596832494226E-2</v>
      </c>
      <c r="P98" s="56">
        <f t="shared" si="35"/>
        <v>3.9640169135312438E-2</v>
      </c>
      <c r="R98">
        <v>8</v>
      </c>
      <c r="S98" s="36">
        <f t="shared" si="36"/>
        <v>2.1460819629142933</v>
      </c>
      <c r="T98" s="36">
        <f t="shared" si="37"/>
        <v>1.2269806550896034</v>
      </c>
      <c r="U98" s="36">
        <f t="shared" si="38"/>
        <v>1.0841364418728869</v>
      </c>
      <c r="V98" s="36">
        <f t="shared" si="39"/>
        <v>0.66327030731515058</v>
      </c>
      <c r="W98" s="36">
        <f t="shared" si="40"/>
        <v>0.87516252790611926</v>
      </c>
      <c r="X98" s="36">
        <f t="shared" si="41"/>
        <v>0.63085036386330662</v>
      </c>
      <c r="Z98">
        <f t="shared" si="42"/>
        <v>8</v>
      </c>
      <c r="AA98" s="60">
        <f t="shared" si="43"/>
        <v>0</v>
      </c>
      <c r="AB98" s="60">
        <f t="shared" si="44"/>
        <v>0</v>
      </c>
      <c r="AC98" s="60">
        <f t="shared" si="45"/>
        <v>0</v>
      </c>
      <c r="AD98" s="43">
        <f t="shared" si="46"/>
        <v>-0.41057266854359692</v>
      </c>
      <c r="AE98" s="43">
        <f t="shared" si="47"/>
        <v>-0.13334566369478612</v>
      </c>
      <c r="AF98" s="43">
        <f t="shared" si="48"/>
        <v>-0.46068658582594774</v>
      </c>
    </row>
    <row r="99" spans="1:32" x14ac:dyDescent="0.25">
      <c r="A99">
        <f t="shared" si="33"/>
        <v>9</v>
      </c>
      <c r="C99" s="56">
        <f t="shared" si="34"/>
        <v>2.349245521965693E-2</v>
      </c>
      <c r="D99" s="56">
        <f t="shared" si="34"/>
        <v>7.9435088948707887E-3</v>
      </c>
      <c r="E99" s="56">
        <f t="shared" si="34"/>
        <v>0</v>
      </c>
      <c r="F99" s="56">
        <f t="shared" si="34"/>
        <v>5.8008078736481332E-2</v>
      </c>
      <c r="G99" s="56">
        <f t="shared" si="34"/>
        <v>3.0537455953292533E-2</v>
      </c>
      <c r="J99">
        <v>9</v>
      </c>
      <c r="L99" s="56">
        <f t="shared" si="35"/>
        <v>2.6627525627620857E-2</v>
      </c>
      <c r="M99" s="56">
        <f t="shared" si="35"/>
        <v>2.9023239095270284E-3</v>
      </c>
      <c r="N99" s="56">
        <f t="shared" si="35"/>
        <v>0</v>
      </c>
      <c r="O99" s="56">
        <f t="shared" si="35"/>
        <v>1.7503571707902597E-2</v>
      </c>
      <c r="P99" s="56">
        <f t="shared" si="35"/>
        <v>2.2016285187672707E-2</v>
      </c>
      <c r="R99">
        <v>9</v>
      </c>
      <c r="S99" s="36">
        <f t="shared" si="36"/>
        <v>2.2716200014956751</v>
      </c>
      <c r="T99" s="36">
        <f t="shared" si="37"/>
        <v>1.3169757178338237</v>
      </c>
      <c r="U99" s="36">
        <f t="shared" si="38"/>
        <v>4.4155799104965361</v>
      </c>
      <c r="V99" s="36">
        <f t="shared" si="39"/>
        <v>0.88226204523067275</v>
      </c>
      <c r="W99" s="36">
        <f t="shared" si="40"/>
        <v>2.7369477503168445</v>
      </c>
      <c r="X99" s="36">
        <f t="shared" si="41"/>
        <v>3.31407096245914</v>
      </c>
      <c r="Z99">
        <f t="shared" si="42"/>
        <v>9</v>
      </c>
      <c r="AA99" s="60">
        <f t="shared" si="43"/>
        <v>0</v>
      </c>
      <c r="AB99" s="60">
        <f t="shared" si="44"/>
        <v>0</v>
      </c>
      <c r="AC99" s="60">
        <f t="shared" si="45"/>
        <v>0</v>
      </c>
      <c r="AD99" s="43">
        <f t="shared" si="46"/>
        <v>-0.12526616366569485</v>
      </c>
      <c r="AE99" s="43">
        <f t="shared" si="47"/>
        <v>1.0068433397472931</v>
      </c>
      <c r="AF99" s="43">
        <f t="shared" si="48"/>
        <v>1.1981773317078697</v>
      </c>
    </row>
    <row r="100" spans="1:32" x14ac:dyDescent="0.25">
      <c r="A100">
        <f t="shared" si="33"/>
        <v>10</v>
      </c>
      <c r="C100" s="56">
        <f t="shared" si="34"/>
        <v>1.0776217943883263E-2</v>
      </c>
      <c r="D100" s="56">
        <f t="shared" si="34"/>
        <v>4.2360601255510492E-2</v>
      </c>
      <c r="E100" s="56">
        <f t="shared" si="34"/>
        <v>0</v>
      </c>
      <c r="F100" s="56">
        <f t="shared" si="34"/>
        <v>3.7718834417147094E-2</v>
      </c>
      <c r="G100" s="56">
        <f t="shared" si="34"/>
        <v>2.2247720387950431E-2</v>
      </c>
      <c r="J100">
        <v>10</v>
      </c>
      <c r="L100" s="56">
        <f t="shared" si="35"/>
        <v>3.1496393362462988E-2</v>
      </c>
      <c r="M100" s="56">
        <f t="shared" si="35"/>
        <v>6.8740555221400296E-2</v>
      </c>
      <c r="N100" s="56">
        <f t="shared" si="35"/>
        <v>0</v>
      </c>
      <c r="O100" s="56">
        <f t="shared" si="35"/>
        <v>8.5083037023426761E-2</v>
      </c>
      <c r="P100" s="56">
        <f t="shared" si="35"/>
        <v>4.6702046627129269E-2</v>
      </c>
      <c r="R100">
        <v>10</v>
      </c>
      <c r="S100" s="36">
        <f t="shared" si="36"/>
        <v>1.9617602237170515</v>
      </c>
      <c r="T100" s="36">
        <f t="shared" si="37"/>
        <v>0.68808161894805497</v>
      </c>
      <c r="U100" s="36">
        <f t="shared" si="38"/>
        <v>0.33312156552929845</v>
      </c>
      <c r="V100" s="36">
        <f t="shared" si="39"/>
        <v>0.34214133090953286</v>
      </c>
      <c r="W100" s="36">
        <f t="shared" si="40"/>
        <v>0.61623885811039825</v>
      </c>
      <c r="X100" s="36">
        <f t="shared" si="41"/>
        <v>0.44331791314362218</v>
      </c>
      <c r="Z100">
        <f t="shared" si="42"/>
        <v>10</v>
      </c>
      <c r="AA100" s="60">
        <f t="shared" si="43"/>
        <v>0</v>
      </c>
      <c r="AB100" s="60">
        <f t="shared" si="44"/>
        <v>0</v>
      </c>
      <c r="AC100" s="60">
        <f t="shared" si="45"/>
        <v>0</v>
      </c>
      <c r="AD100" s="43">
        <f t="shared" si="46"/>
        <v>-1.0725313790095949</v>
      </c>
      <c r="AE100" s="43">
        <f t="shared" si="47"/>
        <v>-0.48412063393408339</v>
      </c>
      <c r="AF100" s="43">
        <f t="shared" si="48"/>
        <v>-0.8134681294221755</v>
      </c>
    </row>
    <row r="101" spans="1:32" x14ac:dyDescent="0.25">
      <c r="A101">
        <f t="shared" si="33"/>
        <v>11</v>
      </c>
      <c r="B101" s="6"/>
      <c r="C101" s="57">
        <f t="shared" si="34"/>
        <v>0</v>
      </c>
      <c r="D101" s="57">
        <f t="shared" si="34"/>
        <v>0</v>
      </c>
      <c r="E101" s="57">
        <f t="shared" si="34"/>
        <v>0</v>
      </c>
      <c r="F101" s="57">
        <f t="shared" si="34"/>
        <v>0</v>
      </c>
      <c r="G101" s="57">
        <f t="shared" si="34"/>
        <v>0</v>
      </c>
      <c r="J101">
        <v>11</v>
      </c>
      <c r="K101" s="6"/>
      <c r="L101" s="57">
        <f t="shared" si="35"/>
        <v>4.9422198174262121E-3</v>
      </c>
      <c r="M101" s="57">
        <f t="shared" si="35"/>
        <v>0</v>
      </c>
      <c r="N101" s="57">
        <f t="shared" si="35"/>
        <v>0</v>
      </c>
      <c r="O101" s="57">
        <f t="shared" si="35"/>
        <v>5.1489266513921545E-3</v>
      </c>
      <c r="P101" s="57">
        <f t="shared" si="35"/>
        <v>4.4095976418277796E-3</v>
      </c>
      <c r="R101" s="6">
        <v>11</v>
      </c>
      <c r="S101" s="37">
        <f t="shared" si="36"/>
        <v>0</v>
      </c>
      <c r="T101" s="37">
        <f t="shared" si="37"/>
        <v>2.6790171754347978</v>
      </c>
      <c r="U101" s="37">
        <f t="shared" si="38"/>
        <v>0</v>
      </c>
      <c r="V101" s="37">
        <f t="shared" si="39"/>
        <v>0</v>
      </c>
      <c r="W101" s="37" t="e">
        <f t="shared" si="40"/>
        <v>#DIV/0!</v>
      </c>
      <c r="X101" s="37">
        <f t="shared" si="41"/>
        <v>0</v>
      </c>
      <c r="Z101" s="6">
        <f t="shared" si="42"/>
        <v>11</v>
      </c>
      <c r="AA101" s="61">
        <f t="shared" si="43"/>
        <v>0</v>
      </c>
      <c r="AB101" s="61">
        <f t="shared" si="44"/>
        <v>0</v>
      </c>
      <c r="AC101" s="61">
        <f t="shared" si="45"/>
        <v>0</v>
      </c>
      <c r="AD101" s="68">
        <f t="shared" si="46"/>
        <v>0</v>
      </c>
      <c r="AE101" s="68" t="e">
        <f t="shared" si="47"/>
        <v>#DIV/0!</v>
      </c>
      <c r="AF101" s="68">
        <f t="shared" si="48"/>
        <v>0</v>
      </c>
    </row>
    <row r="102" spans="1:32" ht="15.75" customHeight="1" thickBot="1" x14ac:dyDescent="0.3">
      <c r="B102" s="58" t="s">
        <v>3</v>
      </c>
      <c r="C102" s="59">
        <f t="shared" si="34"/>
        <v>1</v>
      </c>
      <c r="D102" s="59">
        <f t="shared" si="34"/>
        <v>1</v>
      </c>
      <c r="E102" s="59">
        <f t="shared" si="34"/>
        <v>1</v>
      </c>
      <c r="F102" s="59">
        <f t="shared" si="34"/>
        <v>1</v>
      </c>
      <c r="G102" s="59">
        <f t="shared" si="34"/>
        <v>1</v>
      </c>
      <c r="K102" s="58" t="s">
        <v>3</v>
      </c>
      <c r="L102" s="59">
        <f t="shared" si="35"/>
        <v>1</v>
      </c>
      <c r="M102" s="59">
        <f t="shared" si="35"/>
        <v>1</v>
      </c>
      <c r="N102" s="59">
        <f t="shared" si="35"/>
        <v>1</v>
      </c>
      <c r="O102" s="59">
        <f t="shared" si="35"/>
        <v>1</v>
      </c>
      <c r="P102" s="59">
        <f t="shared" si="35"/>
        <v>1</v>
      </c>
    </row>
    <row r="104" spans="1:32" x14ac:dyDescent="0.25">
      <c r="R104" t="s">
        <v>300</v>
      </c>
      <c r="S104" t="s">
        <v>313</v>
      </c>
      <c r="Z104" t="s">
        <v>304</v>
      </c>
    </row>
    <row r="105" spans="1:32" x14ac:dyDescent="0.25">
      <c r="R105" s="6" t="s">
        <v>311</v>
      </c>
      <c r="S105" s="62" t="s">
        <v>279</v>
      </c>
      <c r="T105" s="62" t="s">
        <v>280</v>
      </c>
      <c r="U105" s="62" t="s">
        <v>312</v>
      </c>
      <c r="V105" s="6" t="s">
        <v>314</v>
      </c>
      <c r="Z105" s="6" t="s">
        <v>311</v>
      </c>
      <c r="AA105" s="62" t="s">
        <v>279</v>
      </c>
      <c r="AB105" s="62" t="s">
        <v>280</v>
      </c>
      <c r="AC105" s="62" t="s">
        <v>312</v>
      </c>
    </row>
    <row r="106" spans="1:32" x14ac:dyDescent="0.25">
      <c r="R106">
        <v>201</v>
      </c>
      <c r="S106" s="43">
        <f>VLOOKUP($R106,$AG:$AJ, 3, FALSE)</f>
        <v>-0.8</v>
      </c>
      <c r="T106" s="69">
        <f t="shared" ref="T106:T116" si="49">VLOOKUP($R106,$AL:$AO, 3, FALSE)</f>
        <v>0</v>
      </c>
      <c r="U106" s="69">
        <f t="shared" ref="U106:U116" si="50">VLOOKUP($R106,$AV:$AY, 3, FALSE)</f>
        <v>-4.5</v>
      </c>
      <c r="V106">
        <v>0</v>
      </c>
      <c r="Z106">
        <f t="shared" ref="Z106:Z116" si="51">R106</f>
        <v>201</v>
      </c>
      <c r="AA106" s="60">
        <f t="shared" ref="AA106:AA116" si="52">IF(V106=1,S106+AA91,S106)</f>
        <v>-0.8</v>
      </c>
      <c r="AB106" s="60">
        <f t="shared" ref="AB106:AB116" si="53">IF(V106=1,T106+AB91,T106)</f>
        <v>0</v>
      </c>
      <c r="AC106" s="60">
        <f t="shared" ref="AC106:AC116" si="54">IF(V106=1,U106+AC91,U106)</f>
        <v>-4.5</v>
      </c>
    </row>
    <row r="107" spans="1:32" x14ac:dyDescent="0.25">
      <c r="R107">
        <v>202</v>
      </c>
      <c r="S107" s="43">
        <f t="shared" ref="S107:S116" si="55">VLOOKUP($R107,$AG$3:$AJ$49, 3, FALSE)</f>
        <v>-0.8</v>
      </c>
      <c r="T107" s="43">
        <f t="shared" si="49"/>
        <v>0</v>
      </c>
      <c r="U107" s="43">
        <f t="shared" si="50"/>
        <v>-4.5</v>
      </c>
      <c r="V107">
        <v>0</v>
      </c>
      <c r="Z107">
        <f t="shared" si="51"/>
        <v>202</v>
      </c>
      <c r="AA107" s="60">
        <f t="shared" si="52"/>
        <v>-0.8</v>
      </c>
      <c r="AB107" s="60">
        <f t="shared" si="53"/>
        <v>0</v>
      </c>
      <c r="AC107" s="60">
        <f t="shared" si="54"/>
        <v>-4.5</v>
      </c>
    </row>
    <row r="108" spans="1:32" x14ac:dyDescent="0.25">
      <c r="R108">
        <v>203</v>
      </c>
      <c r="S108" s="43">
        <f t="shared" si="55"/>
        <v>0</v>
      </c>
      <c r="T108" s="43">
        <f t="shared" si="49"/>
        <v>0</v>
      </c>
      <c r="U108" s="43">
        <f t="shared" si="50"/>
        <v>0</v>
      </c>
      <c r="V108">
        <v>0</v>
      </c>
      <c r="Z108">
        <f t="shared" si="51"/>
        <v>203</v>
      </c>
      <c r="AA108" s="60">
        <f t="shared" si="52"/>
        <v>0</v>
      </c>
      <c r="AB108" s="60">
        <f t="shared" si="53"/>
        <v>0</v>
      </c>
      <c r="AC108" s="60">
        <f t="shared" si="54"/>
        <v>0</v>
      </c>
    </row>
    <row r="109" spans="1:32" x14ac:dyDescent="0.25">
      <c r="R109">
        <v>204</v>
      </c>
      <c r="S109" s="43">
        <f t="shared" si="55"/>
        <v>0</v>
      </c>
      <c r="T109" s="43">
        <f t="shared" si="49"/>
        <v>0</v>
      </c>
      <c r="U109" s="43">
        <f t="shared" si="50"/>
        <v>0</v>
      </c>
      <c r="V109">
        <v>0</v>
      </c>
      <c r="Z109">
        <f t="shared" si="51"/>
        <v>204</v>
      </c>
      <c r="AA109" s="60">
        <f t="shared" si="52"/>
        <v>0</v>
      </c>
      <c r="AB109" s="60">
        <f t="shared" si="53"/>
        <v>0</v>
      </c>
      <c r="AC109" s="60">
        <f t="shared" si="54"/>
        <v>0</v>
      </c>
    </row>
    <row r="110" spans="1:32" x14ac:dyDescent="0.25">
      <c r="R110">
        <v>205</v>
      </c>
      <c r="S110" s="43">
        <f t="shared" si="55"/>
        <v>0</v>
      </c>
      <c r="T110" s="43">
        <f t="shared" si="49"/>
        <v>0</v>
      </c>
      <c r="U110" s="43">
        <f t="shared" si="50"/>
        <v>0</v>
      </c>
      <c r="V110">
        <v>0</v>
      </c>
      <c r="Z110">
        <f t="shared" si="51"/>
        <v>205</v>
      </c>
      <c r="AA110" s="60">
        <f t="shared" si="52"/>
        <v>0</v>
      </c>
      <c r="AB110" s="60">
        <f t="shared" si="53"/>
        <v>0</v>
      </c>
      <c r="AC110" s="60">
        <f t="shared" si="54"/>
        <v>0</v>
      </c>
    </row>
    <row r="111" spans="1:32" x14ac:dyDescent="0.25">
      <c r="Q111" t="s">
        <v>315</v>
      </c>
      <c r="R111">
        <v>206</v>
      </c>
      <c r="S111" s="43">
        <f t="shared" si="55"/>
        <v>-1.2715533000000001</v>
      </c>
      <c r="T111" s="43">
        <f t="shared" si="49"/>
        <v>0</v>
      </c>
      <c r="U111" s="43">
        <f t="shared" si="50"/>
        <v>-0.74473319999999998</v>
      </c>
      <c r="V111">
        <v>1</v>
      </c>
      <c r="Z111">
        <f t="shared" si="51"/>
        <v>206</v>
      </c>
      <c r="AA111" s="60">
        <f t="shared" si="52"/>
        <v>-1.2715533000000001</v>
      </c>
      <c r="AB111" s="60">
        <f t="shared" si="53"/>
        <v>0</v>
      </c>
      <c r="AC111" s="60">
        <f t="shared" si="54"/>
        <v>-0.74473319999999998</v>
      </c>
    </row>
    <row r="112" spans="1:32" x14ac:dyDescent="0.25">
      <c r="R112">
        <v>207</v>
      </c>
      <c r="S112" s="43">
        <f t="shared" si="55"/>
        <v>0</v>
      </c>
      <c r="T112" s="43">
        <f t="shared" si="49"/>
        <v>0</v>
      </c>
      <c r="U112" s="43">
        <f t="shared" si="50"/>
        <v>0</v>
      </c>
      <c r="V112">
        <v>0</v>
      </c>
      <c r="Z112">
        <f t="shared" si="51"/>
        <v>207</v>
      </c>
      <c r="AA112" s="60">
        <f t="shared" si="52"/>
        <v>0</v>
      </c>
      <c r="AB112" s="60">
        <f t="shared" si="53"/>
        <v>0</v>
      </c>
      <c r="AC112" s="60">
        <f t="shared" si="54"/>
        <v>0</v>
      </c>
    </row>
    <row r="113" spans="18:29" x14ac:dyDescent="0.25">
      <c r="R113">
        <v>208</v>
      </c>
      <c r="S113" s="43">
        <f t="shared" si="55"/>
        <v>-2</v>
      </c>
      <c r="T113" s="43">
        <f t="shared" si="49"/>
        <v>0</v>
      </c>
      <c r="U113" s="43">
        <f t="shared" si="50"/>
        <v>0</v>
      </c>
      <c r="V113">
        <v>0</v>
      </c>
      <c r="Z113">
        <f t="shared" si="51"/>
        <v>208</v>
      </c>
      <c r="AA113" s="60">
        <f t="shared" si="52"/>
        <v>-2</v>
      </c>
      <c r="AB113" s="60">
        <f t="shared" si="53"/>
        <v>0</v>
      </c>
      <c r="AC113" s="60">
        <f t="shared" si="54"/>
        <v>0</v>
      </c>
    </row>
    <row r="114" spans="18:29" x14ac:dyDescent="0.25">
      <c r="R114">
        <v>209</v>
      </c>
      <c r="S114" s="43">
        <f t="shared" si="55"/>
        <v>-1</v>
      </c>
      <c r="T114" s="43">
        <f t="shared" si="49"/>
        <v>0</v>
      </c>
      <c r="U114" s="43">
        <f t="shared" si="50"/>
        <v>0</v>
      </c>
      <c r="V114">
        <v>0</v>
      </c>
      <c r="Z114">
        <f t="shared" si="51"/>
        <v>209</v>
      </c>
      <c r="AA114" s="60">
        <f t="shared" si="52"/>
        <v>-1</v>
      </c>
      <c r="AB114" s="60">
        <f t="shared" si="53"/>
        <v>0</v>
      </c>
      <c r="AC114" s="60">
        <f t="shared" si="54"/>
        <v>0</v>
      </c>
    </row>
    <row r="115" spans="18:29" x14ac:dyDescent="0.25">
      <c r="R115">
        <v>210</v>
      </c>
      <c r="S115" s="43">
        <f t="shared" si="55"/>
        <v>-2</v>
      </c>
      <c r="T115" s="43">
        <f t="shared" si="49"/>
        <v>0</v>
      </c>
      <c r="U115" s="43">
        <f t="shared" si="50"/>
        <v>0</v>
      </c>
      <c r="V115">
        <v>0</v>
      </c>
      <c r="Z115">
        <f t="shared" si="51"/>
        <v>210</v>
      </c>
      <c r="AA115" s="60">
        <f t="shared" si="52"/>
        <v>-2</v>
      </c>
      <c r="AB115" s="60">
        <f t="shared" si="53"/>
        <v>0</v>
      </c>
      <c r="AC115" s="60">
        <f t="shared" si="54"/>
        <v>0</v>
      </c>
    </row>
    <row r="116" spans="18:29" x14ac:dyDescent="0.25">
      <c r="R116" s="6">
        <v>211</v>
      </c>
      <c r="S116" s="68">
        <f t="shared" si="55"/>
        <v>0</v>
      </c>
      <c r="T116" s="68">
        <f t="shared" si="49"/>
        <v>0</v>
      </c>
      <c r="U116" s="68">
        <f t="shared" si="50"/>
        <v>0</v>
      </c>
      <c r="V116" s="6">
        <v>0</v>
      </c>
      <c r="Z116" s="6">
        <f t="shared" si="51"/>
        <v>211</v>
      </c>
      <c r="AA116" s="61">
        <f t="shared" si="52"/>
        <v>0</v>
      </c>
      <c r="AB116" s="61">
        <f t="shared" si="53"/>
        <v>0</v>
      </c>
      <c r="AC116" s="61">
        <f t="shared" si="54"/>
        <v>0</v>
      </c>
    </row>
    <row r="118" spans="18:29" x14ac:dyDescent="0.25">
      <c r="R118" t="s">
        <v>300</v>
      </c>
      <c r="S118" t="s">
        <v>316</v>
      </c>
      <c r="Z118" t="s">
        <v>304</v>
      </c>
    </row>
    <row r="119" spans="18:29" x14ac:dyDescent="0.25">
      <c r="R119" s="6" t="s">
        <v>311</v>
      </c>
      <c r="S119" s="62" t="s">
        <v>279</v>
      </c>
      <c r="T119" s="62" t="str">
        <f>T105</f>
        <v>school</v>
      </c>
      <c r="U119" s="62" t="s">
        <v>312</v>
      </c>
      <c r="V119" s="6" t="s">
        <v>314</v>
      </c>
      <c r="Z119" s="6" t="s">
        <v>311</v>
      </c>
      <c r="AA119" s="62" t="s">
        <v>279</v>
      </c>
      <c r="AB119" s="62" t="str">
        <f>AB105</f>
        <v>school</v>
      </c>
      <c r="AC119" s="62" t="s">
        <v>312</v>
      </c>
    </row>
    <row r="120" spans="18:29" x14ac:dyDescent="0.25">
      <c r="R120">
        <v>301</v>
      </c>
      <c r="S120" s="60">
        <f t="shared" ref="S120:S130" si="56">VLOOKUP($R120,$AG:$AJ, 3, FALSE)</f>
        <v>0</v>
      </c>
      <c r="T120" s="60">
        <f t="shared" ref="T120:T130" si="57">VLOOKUP($R120,$AL:$AO, 3, FALSE)</f>
        <v>0</v>
      </c>
      <c r="U120" s="60">
        <f t="shared" ref="U120:U130" si="58">VLOOKUP($R120,$AV:$AY, 3, FALSE)</f>
        <v>0</v>
      </c>
      <c r="V120">
        <v>0</v>
      </c>
      <c r="Z120">
        <f t="shared" ref="Z120:Z130" si="59">R120</f>
        <v>301</v>
      </c>
      <c r="AA120" s="60">
        <f t="shared" ref="AA120:AA130" si="60">IF(AND($V120&gt;0,AD$88&gt;0),S120+($V120*AD91),S120)</f>
        <v>0</v>
      </c>
      <c r="AB120" s="60">
        <f t="shared" ref="AB120:AB130" si="61">IF(AND($V120&gt;0,AE$88&gt;0),T120+($V120*AE91),T120)</f>
        <v>0</v>
      </c>
      <c r="AC120" s="60">
        <f t="shared" ref="AC120:AC130" si="62">IF(AND($V120&gt;0,AF$88&gt;0),U120+($V120*AF91),U120)</f>
        <v>0</v>
      </c>
    </row>
    <row r="121" spans="18:29" x14ac:dyDescent="0.25">
      <c r="R121">
        <v>302</v>
      </c>
      <c r="S121" s="60">
        <f t="shared" si="56"/>
        <v>0</v>
      </c>
      <c r="T121" s="60">
        <f t="shared" si="57"/>
        <v>0</v>
      </c>
      <c r="U121" s="60">
        <f t="shared" si="58"/>
        <v>0</v>
      </c>
      <c r="V121">
        <v>0</v>
      </c>
      <c r="Z121">
        <f t="shared" si="59"/>
        <v>302</v>
      </c>
      <c r="AA121" s="60">
        <f t="shared" si="60"/>
        <v>0</v>
      </c>
      <c r="AB121" s="60">
        <f t="shared" si="61"/>
        <v>0</v>
      </c>
      <c r="AC121" s="60">
        <f t="shared" si="62"/>
        <v>0</v>
      </c>
    </row>
    <row r="122" spans="18:29" x14ac:dyDescent="0.25">
      <c r="R122">
        <v>303</v>
      </c>
      <c r="S122" s="60">
        <f t="shared" si="56"/>
        <v>0</v>
      </c>
      <c r="T122" s="60">
        <f t="shared" si="57"/>
        <v>0</v>
      </c>
      <c r="U122" s="60">
        <f t="shared" si="58"/>
        <v>0</v>
      </c>
      <c r="V122">
        <v>2</v>
      </c>
      <c r="Z122">
        <f t="shared" si="59"/>
        <v>303</v>
      </c>
      <c r="AA122" s="60">
        <f t="shared" si="60"/>
        <v>1.0448111037377017</v>
      </c>
      <c r="AB122" s="60">
        <f t="shared" si="61"/>
        <v>0</v>
      </c>
      <c r="AC122" s="60">
        <f t="shared" si="62"/>
        <v>0</v>
      </c>
    </row>
    <row r="123" spans="18:29" x14ac:dyDescent="0.25">
      <c r="R123">
        <v>304</v>
      </c>
      <c r="S123" s="60">
        <f t="shared" si="56"/>
        <v>0</v>
      </c>
      <c r="T123" s="60">
        <f t="shared" si="57"/>
        <v>0</v>
      </c>
      <c r="U123" s="60">
        <f t="shared" si="58"/>
        <v>0</v>
      </c>
      <c r="V123">
        <v>2</v>
      </c>
      <c r="Z123">
        <f t="shared" si="59"/>
        <v>304</v>
      </c>
      <c r="AA123" s="60">
        <f t="shared" si="60"/>
        <v>8.714288799859482E-2</v>
      </c>
      <c r="AB123" s="60">
        <f t="shared" si="61"/>
        <v>0</v>
      </c>
      <c r="AC123" s="60">
        <f t="shared" si="62"/>
        <v>0</v>
      </c>
    </row>
    <row r="124" spans="18:29" x14ac:dyDescent="0.25">
      <c r="R124">
        <v>305</v>
      </c>
      <c r="S124" s="60">
        <f t="shared" si="56"/>
        <v>0</v>
      </c>
      <c r="T124" s="60">
        <f t="shared" si="57"/>
        <v>0</v>
      </c>
      <c r="U124" s="60">
        <f t="shared" si="58"/>
        <v>0</v>
      </c>
      <c r="V124">
        <v>2</v>
      </c>
      <c r="Z124">
        <f t="shared" si="59"/>
        <v>305</v>
      </c>
      <c r="AA124" s="60">
        <f t="shared" si="60"/>
        <v>0.76667653723253992</v>
      </c>
      <c r="AB124" s="60">
        <f t="shared" si="61"/>
        <v>0</v>
      </c>
      <c r="AC124" s="60">
        <f t="shared" si="62"/>
        <v>0</v>
      </c>
    </row>
    <row r="125" spans="18:29" x14ac:dyDescent="0.25">
      <c r="R125">
        <v>306</v>
      </c>
      <c r="S125" s="60">
        <f t="shared" si="56"/>
        <v>-1.4978495999999999</v>
      </c>
      <c r="T125" s="60">
        <f t="shared" si="57"/>
        <v>-1.063796</v>
      </c>
      <c r="U125" s="60">
        <f t="shared" si="58"/>
        <v>-0.255216</v>
      </c>
      <c r="V125">
        <v>5</v>
      </c>
      <c r="Z125">
        <f t="shared" si="59"/>
        <v>306</v>
      </c>
      <c r="AA125" s="60">
        <f t="shared" si="60"/>
        <v>-1.3968886705967776</v>
      </c>
      <c r="AB125" s="60">
        <f t="shared" si="61"/>
        <v>-1.063796</v>
      </c>
      <c r="AC125" s="60">
        <f t="shared" si="62"/>
        <v>-0.255216</v>
      </c>
    </row>
    <row r="126" spans="18:29" x14ac:dyDescent="0.25">
      <c r="R126">
        <v>307</v>
      </c>
      <c r="S126" s="60">
        <f t="shared" si="56"/>
        <v>0</v>
      </c>
      <c r="T126" s="60">
        <f t="shared" si="57"/>
        <v>0</v>
      </c>
      <c r="U126" s="60">
        <f t="shared" si="58"/>
        <v>0</v>
      </c>
      <c r="V126">
        <v>0</v>
      </c>
      <c r="Z126">
        <f t="shared" si="59"/>
        <v>307</v>
      </c>
      <c r="AA126" s="60">
        <f t="shared" si="60"/>
        <v>0</v>
      </c>
      <c r="AB126" s="60">
        <f t="shared" si="61"/>
        <v>0</v>
      </c>
      <c r="AC126" s="60">
        <f t="shared" si="62"/>
        <v>0</v>
      </c>
    </row>
    <row r="127" spans="18:29" x14ac:dyDescent="0.25">
      <c r="R127">
        <v>308</v>
      </c>
      <c r="S127" s="60">
        <f t="shared" si="56"/>
        <v>0</v>
      </c>
      <c r="T127" s="60">
        <f t="shared" si="57"/>
        <v>0</v>
      </c>
      <c r="U127" s="60">
        <f t="shared" si="58"/>
        <v>0</v>
      </c>
      <c r="V127">
        <v>0</v>
      </c>
      <c r="Z127">
        <f t="shared" si="59"/>
        <v>308</v>
      </c>
      <c r="AA127" s="60">
        <f t="shared" si="60"/>
        <v>0</v>
      </c>
      <c r="AB127" s="60">
        <f t="shared" si="61"/>
        <v>0</v>
      </c>
      <c r="AC127" s="60">
        <f t="shared" si="62"/>
        <v>0</v>
      </c>
    </row>
    <row r="128" spans="18:29" x14ac:dyDescent="0.25">
      <c r="R128">
        <v>309</v>
      </c>
      <c r="S128" s="60">
        <f t="shared" si="56"/>
        <v>0</v>
      </c>
      <c r="T128" s="60">
        <f t="shared" si="57"/>
        <v>0</v>
      </c>
      <c r="U128" s="60">
        <f t="shared" si="58"/>
        <v>0</v>
      </c>
      <c r="V128">
        <v>0</v>
      </c>
      <c r="Z128">
        <f t="shared" si="59"/>
        <v>309</v>
      </c>
      <c r="AA128" s="60">
        <f t="shared" si="60"/>
        <v>0</v>
      </c>
      <c r="AB128" s="60">
        <f t="shared" si="61"/>
        <v>0</v>
      </c>
      <c r="AC128" s="60">
        <f t="shared" si="62"/>
        <v>0</v>
      </c>
    </row>
    <row r="129" spans="18:29" x14ac:dyDescent="0.25">
      <c r="R129">
        <v>310</v>
      </c>
      <c r="S129" s="60">
        <f t="shared" si="56"/>
        <v>0</v>
      </c>
      <c r="T129" s="60">
        <f t="shared" si="57"/>
        <v>0</v>
      </c>
      <c r="U129" s="60">
        <f t="shared" si="58"/>
        <v>0</v>
      </c>
      <c r="V129">
        <v>0</v>
      </c>
      <c r="Z129">
        <f t="shared" si="59"/>
        <v>310</v>
      </c>
      <c r="AA129" s="60">
        <f t="shared" si="60"/>
        <v>0</v>
      </c>
      <c r="AB129" s="60">
        <f t="shared" si="61"/>
        <v>0</v>
      </c>
      <c r="AC129" s="60">
        <f t="shared" si="62"/>
        <v>0</v>
      </c>
    </row>
    <row r="130" spans="18:29" x14ac:dyDescent="0.25">
      <c r="R130" s="6">
        <v>311</v>
      </c>
      <c r="S130" s="61">
        <f t="shared" si="56"/>
        <v>0</v>
      </c>
      <c r="T130" s="61">
        <f t="shared" si="57"/>
        <v>0</v>
      </c>
      <c r="U130" s="61">
        <f t="shared" si="58"/>
        <v>0</v>
      </c>
      <c r="V130" s="6">
        <v>0</v>
      </c>
      <c r="Z130" s="6">
        <f t="shared" si="59"/>
        <v>311</v>
      </c>
      <c r="AA130" s="61">
        <f t="shared" si="60"/>
        <v>0</v>
      </c>
      <c r="AB130" s="61">
        <f t="shared" si="61"/>
        <v>0</v>
      </c>
      <c r="AC130" s="61">
        <f t="shared" si="62"/>
        <v>0</v>
      </c>
    </row>
  </sheetData>
  <pageMargins left="0.7" right="0.7" top="0.75" bottom="0.75" header="0.3" footer="0.3"/>
  <pageSetup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C268"/>
  <sheetViews>
    <sheetView workbookViewId="0">
      <selection sqref="A1:C264"/>
    </sheetView>
  </sheetViews>
  <sheetFormatPr defaultRowHeight="15" x14ac:dyDescent="0.25"/>
  <sheetData>
    <row r="1" spans="1:3" x14ac:dyDescent="0.25">
      <c r="A1" t="s">
        <v>317</v>
      </c>
      <c r="B1" t="s">
        <v>318</v>
      </c>
      <c r="C1" t="s">
        <v>319</v>
      </c>
    </row>
    <row r="2" spans="1:3" x14ac:dyDescent="0.25">
      <c r="A2">
        <v>1</v>
      </c>
      <c r="B2">
        <v>1</v>
      </c>
      <c r="C2">
        <v>16557.145128</v>
      </c>
    </row>
    <row r="3" spans="1:3" x14ac:dyDescent="0.25">
      <c r="A3">
        <v>1</v>
      </c>
      <c r="B3">
        <v>2</v>
      </c>
      <c r="C3">
        <v>5480.2495798999998</v>
      </c>
    </row>
    <row r="4" spans="1:3" x14ac:dyDescent="0.25">
      <c r="A4">
        <v>1</v>
      </c>
      <c r="B4">
        <v>4</v>
      </c>
      <c r="C4">
        <v>417.88560630199999</v>
      </c>
    </row>
    <row r="5" spans="1:3" x14ac:dyDescent="0.25">
      <c r="A5">
        <v>1</v>
      </c>
      <c r="B5">
        <v>5</v>
      </c>
      <c r="C5">
        <v>1238.2460992700001</v>
      </c>
    </row>
    <row r="6" spans="1:3" x14ac:dyDescent="0.25">
      <c r="A6">
        <v>2</v>
      </c>
      <c r="B6">
        <v>1</v>
      </c>
      <c r="C6">
        <v>11810.610632</v>
      </c>
    </row>
    <row r="7" spans="1:3" x14ac:dyDescent="0.25">
      <c r="A7">
        <v>2</v>
      </c>
      <c r="B7">
        <v>2</v>
      </c>
      <c r="C7">
        <v>3130.50245442</v>
      </c>
    </row>
    <row r="8" spans="1:3" x14ac:dyDescent="0.25">
      <c r="A8">
        <v>2</v>
      </c>
      <c r="B8">
        <v>4</v>
      </c>
      <c r="C8">
        <v>3761.8637986399999</v>
      </c>
    </row>
    <row r="9" spans="1:3" x14ac:dyDescent="0.25">
      <c r="A9">
        <v>2</v>
      </c>
      <c r="B9">
        <v>5</v>
      </c>
      <c r="C9">
        <v>4992.9004586499996</v>
      </c>
    </row>
    <row r="10" spans="1:3" x14ac:dyDescent="0.25">
      <c r="A10">
        <v>2</v>
      </c>
      <c r="B10">
        <v>7</v>
      </c>
      <c r="C10">
        <v>1243.6090496500001</v>
      </c>
    </row>
    <row r="11" spans="1:3" x14ac:dyDescent="0.25">
      <c r="A11">
        <v>3</v>
      </c>
      <c r="B11">
        <v>1</v>
      </c>
      <c r="C11">
        <v>44736.176008199996</v>
      </c>
    </row>
    <row r="12" spans="1:3" x14ac:dyDescent="0.25">
      <c r="A12">
        <v>3</v>
      </c>
      <c r="B12">
        <v>2</v>
      </c>
      <c r="C12">
        <v>11191.9942933</v>
      </c>
    </row>
    <row r="13" spans="1:3" x14ac:dyDescent="0.25">
      <c r="A13">
        <v>3</v>
      </c>
      <c r="B13">
        <v>3</v>
      </c>
      <c r="C13">
        <v>180.394379313</v>
      </c>
    </row>
    <row r="14" spans="1:3" x14ac:dyDescent="0.25">
      <c r="A14">
        <v>3</v>
      </c>
      <c r="B14">
        <v>4</v>
      </c>
      <c r="C14">
        <v>4201.5848950500003</v>
      </c>
    </row>
    <row r="15" spans="1:3" x14ac:dyDescent="0.25">
      <c r="A15">
        <v>3</v>
      </c>
      <c r="B15">
        <v>5</v>
      </c>
      <c r="C15">
        <v>5997.5984329100002</v>
      </c>
    </row>
    <row r="16" spans="1:3" x14ac:dyDescent="0.25">
      <c r="A16">
        <v>3</v>
      </c>
      <c r="B16">
        <v>6</v>
      </c>
      <c r="C16">
        <v>1631.92095073</v>
      </c>
    </row>
    <row r="17" spans="1:3" x14ac:dyDescent="0.25">
      <c r="A17">
        <v>3</v>
      </c>
      <c r="B17">
        <v>7</v>
      </c>
      <c r="C17">
        <v>4671.4049205299998</v>
      </c>
    </row>
    <row r="18" spans="1:3" x14ac:dyDescent="0.25">
      <c r="A18">
        <v>4</v>
      </c>
      <c r="B18">
        <v>1</v>
      </c>
      <c r="C18">
        <v>32174.416863400002</v>
      </c>
    </row>
    <row r="19" spans="1:3" x14ac:dyDescent="0.25">
      <c r="A19">
        <v>4</v>
      </c>
      <c r="B19">
        <v>2</v>
      </c>
      <c r="C19">
        <v>4795.1704180799998</v>
      </c>
    </row>
    <row r="20" spans="1:3" x14ac:dyDescent="0.25">
      <c r="A20">
        <v>4</v>
      </c>
      <c r="B20">
        <v>3</v>
      </c>
      <c r="C20">
        <v>201.681665009</v>
      </c>
    </row>
    <row r="21" spans="1:3" x14ac:dyDescent="0.25">
      <c r="A21">
        <v>4</v>
      </c>
      <c r="B21">
        <v>4</v>
      </c>
      <c r="C21">
        <v>7895.7021125600004</v>
      </c>
    </row>
    <row r="22" spans="1:3" x14ac:dyDescent="0.25">
      <c r="A22">
        <v>4</v>
      </c>
      <c r="B22">
        <v>5</v>
      </c>
      <c r="C22">
        <v>7445.1637251800003</v>
      </c>
    </row>
    <row r="23" spans="1:3" x14ac:dyDescent="0.25">
      <c r="A23">
        <v>4</v>
      </c>
      <c r="B23">
        <v>6</v>
      </c>
      <c r="C23">
        <v>1699.2824902899999</v>
      </c>
    </row>
    <row r="24" spans="1:3" x14ac:dyDescent="0.25">
      <c r="A24">
        <v>4</v>
      </c>
      <c r="B24">
        <v>7</v>
      </c>
      <c r="C24">
        <v>5373.29595823</v>
      </c>
    </row>
    <row r="25" spans="1:3" x14ac:dyDescent="0.25">
      <c r="A25">
        <v>5</v>
      </c>
      <c r="B25">
        <v>1</v>
      </c>
      <c r="C25">
        <v>33189.342943800002</v>
      </c>
    </row>
    <row r="26" spans="1:3" x14ac:dyDescent="0.25">
      <c r="A26">
        <v>5</v>
      </c>
      <c r="B26">
        <v>2</v>
      </c>
      <c r="C26">
        <v>4867.4797089599997</v>
      </c>
    </row>
    <row r="27" spans="1:3" x14ac:dyDescent="0.25">
      <c r="A27">
        <v>5</v>
      </c>
      <c r="B27">
        <v>3</v>
      </c>
      <c r="C27">
        <v>186.53392827799999</v>
      </c>
    </row>
    <row r="28" spans="1:3" x14ac:dyDescent="0.25">
      <c r="A28">
        <v>5</v>
      </c>
      <c r="B28">
        <v>4</v>
      </c>
      <c r="C28">
        <v>4548.1805617099999</v>
      </c>
    </row>
    <row r="29" spans="1:3" x14ac:dyDescent="0.25">
      <c r="A29">
        <v>5</v>
      </c>
      <c r="B29">
        <v>5</v>
      </c>
      <c r="C29">
        <v>3559.2662937199998</v>
      </c>
    </row>
    <row r="30" spans="1:3" x14ac:dyDescent="0.25">
      <c r="A30">
        <v>5</v>
      </c>
      <c r="B30">
        <v>6</v>
      </c>
      <c r="C30">
        <v>992.167416839</v>
      </c>
    </row>
    <row r="31" spans="1:3" x14ac:dyDescent="0.25">
      <c r="A31">
        <v>5</v>
      </c>
      <c r="B31">
        <v>7</v>
      </c>
      <c r="C31">
        <v>4189.4388654000004</v>
      </c>
    </row>
    <row r="32" spans="1:3" x14ac:dyDescent="0.25">
      <c r="A32">
        <v>6</v>
      </c>
      <c r="B32">
        <v>1</v>
      </c>
      <c r="C32">
        <v>40607.1357059</v>
      </c>
    </row>
    <row r="33" spans="1:3" x14ac:dyDescent="0.25">
      <c r="A33">
        <v>6</v>
      </c>
      <c r="B33">
        <v>2</v>
      </c>
      <c r="C33">
        <v>9582.5688740000005</v>
      </c>
    </row>
    <row r="34" spans="1:3" x14ac:dyDescent="0.25">
      <c r="A34">
        <v>6</v>
      </c>
      <c r="B34">
        <v>3</v>
      </c>
      <c r="C34">
        <v>224.93159591400001</v>
      </c>
    </row>
    <row r="35" spans="1:3" x14ac:dyDescent="0.25">
      <c r="A35">
        <v>6</v>
      </c>
      <c r="B35">
        <v>4</v>
      </c>
      <c r="C35">
        <v>6948.0275984199998</v>
      </c>
    </row>
    <row r="36" spans="1:3" x14ac:dyDescent="0.25">
      <c r="A36">
        <v>6</v>
      </c>
      <c r="B36">
        <v>5</v>
      </c>
      <c r="C36">
        <v>2780.32007505</v>
      </c>
    </row>
    <row r="37" spans="1:3" x14ac:dyDescent="0.25">
      <c r="A37">
        <v>6</v>
      </c>
      <c r="B37">
        <v>6</v>
      </c>
      <c r="C37">
        <v>1442.86910057</v>
      </c>
    </row>
    <row r="38" spans="1:3" x14ac:dyDescent="0.25">
      <c r="A38">
        <v>6</v>
      </c>
      <c r="B38">
        <v>7</v>
      </c>
      <c r="C38">
        <v>3853.5253622300002</v>
      </c>
    </row>
    <row r="39" spans="1:3" x14ac:dyDescent="0.25">
      <c r="A39">
        <v>7</v>
      </c>
      <c r="B39">
        <v>1</v>
      </c>
      <c r="C39">
        <v>20117.007764400001</v>
      </c>
    </row>
    <row r="40" spans="1:3" x14ac:dyDescent="0.25">
      <c r="A40">
        <v>7</v>
      </c>
      <c r="B40">
        <v>2</v>
      </c>
      <c r="C40">
        <v>7745.5075523200003</v>
      </c>
    </row>
    <row r="41" spans="1:3" x14ac:dyDescent="0.25">
      <c r="A41">
        <v>7</v>
      </c>
      <c r="B41">
        <v>3</v>
      </c>
      <c r="C41">
        <v>2136.0939062100001</v>
      </c>
    </row>
    <row r="42" spans="1:3" x14ac:dyDescent="0.25">
      <c r="A42">
        <v>7</v>
      </c>
      <c r="B42">
        <v>4</v>
      </c>
      <c r="C42">
        <v>3179.7895838300001</v>
      </c>
    </row>
    <row r="43" spans="1:3" x14ac:dyDescent="0.25">
      <c r="A43">
        <v>7</v>
      </c>
      <c r="B43">
        <v>5</v>
      </c>
      <c r="C43">
        <v>6036.0100867900001</v>
      </c>
    </row>
    <row r="44" spans="1:3" x14ac:dyDescent="0.25">
      <c r="A44">
        <v>7</v>
      </c>
      <c r="B44">
        <v>6</v>
      </c>
      <c r="C44">
        <v>6050.2574726399998</v>
      </c>
    </row>
    <row r="45" spans="1:3" x14ac:dyDescent="0.25">
      <c r="A45">
        <v>7</v>
      </c>
      <c r="B45">
        <v>7</v>
      </c>
      <c r="C45">
        <v>1009.04792889</v>
      </c>
    </row>
    <row r="46" spans="1:3" x14ac:dyDescent="0.25">
      <c r="A46">
        <v>8</v>
      </c>
      <c r="B46">
        <v>1</v>
      </c>
      <c r="C46">
        <v>8561.3824606599992</v>
      </c>
    </row>
    <row r="47" spans="1:3" x14ac:dyDescent="0.25">
      <c r="A47">
        <v>8</v>
      </c>
      <c r="B47">
        <v>2</v>
      </c>
      <c r="C47">
        <v>2601.8531054499999</v>
      </c>
    </row>
    <row r="48" spans="1:3" x14ac:dyDescent="0.25">
      <c r="A48">
        <v>8</v>
      </c>
      <c r="B48">
        <v>4</v>
      </c>
      <c r="C48">
        <v>3449.6271854800002</v>
      </c>
    </row>
    <row r="49" spans="1:3" x14ac:dyDescent="0.25">
      <c r="A49">
        <v>8</v>
      </c>
      <c r="B49">
        <v>5</v>
      </c>
      <c r="C49">
        <v>835.83004737600004</v>
      </c>
    </row>
    <row r="50" spans="1:3" x14ac:dyDescent="0.25">
      <c r="A50">
        <v>8</v>
      </c>
      <c r="B50">
        <v>6</v>
      </c>
      <c r="C50">
        <v>285.65569834399997</v>
      </c>
    </row>
    <row r="51" spans="1:3" x14ac:dyDescent="0.25">
      <c r="A51">
        <v>8</v>
      </c>
      <c r="B51">
        <v>7</v>
      </c>
      <c r="C51">
        <v>920.77075632699996</v>
      </c>
    </row>
    <row r="52" spans="1:3" x14ac:dyDescent="0.25">
      <c r="A52">
        <v>9</v>
      </c>
      <c r="B52">
        <v>1</v>
      </c>
      <c r="C52">
        <v>14555.650593</v>
      </c>
    </row>
    <row r="53" spans="1:3" x14ac:dyDescent="0.25">
      <c r="A53">
        <v>9</v>
      </c>
      <c r="B53">
        <v>2</v>
      </c>
      <c r="C53">
        <v>930.40771095100001</v>
      </c>
    </row>
    <row r="54" spans="1:3" x14ac:dyDescent="0.25">
      <c r="A54">
        <v>9</v>
      </c>
      <c r="B54">
        <v>4</v>
      </c>
      <c r="C54">
        <v>3973.70734859</v>
      </c>
    </row>
    <row r="55" spans="1:3" x14ac:dyDescent="0.25">
      <c r="A55">
        <v>9</v>
      </c>
      <c r="B55">
        <v>5</v>
      </c>
      <c r="C55">
        <v>1993.38890584</v>
      </c>
    </row>
    <row r="56" spans="1:3" x14ac:dyDescent="0.25">
      <c r="A56">
        <v>9</v>
      </c>
      <c r="B56">
        <v>6</v>
      </c>
      <c r="C56">
        <v>559.62606084799995</v>
      </c>
    </row>
    <row r="57" spans="1:3" x14ac:dyDescent="0.25">
      <c r="A57">
        <v>9</v>
      </c>
      <c r="B57">
        <v>7</v>
      </c>
      <c r="C57">
        <v>721.56401536700002</v>
      </c>
    </row>
    <row r="58" spans="1:3" x14ac:dyDescent="0.25">
      <c r="A58">
        <v>10</v>
      </c>
      <c r="B58">
        <v>1</v>
      </c>
      <c r="C58">
        <v>18678.826978699999</v>
      </c>
    </row>
    <row r="59" spans="1:3" x14ac:dyDescent="0.25">
      <c r="A59">
        <v>10</v>
      </c>
      <c r="B59">
        <v>2</v>
      </c>
      <c r="C59">
        <v>2267.3765274500001</v>
      </c>
    </row>
    <row r="60" spans="1:3" x14ac:dyDescent="0.25">
      <c r="A60">
        <v>10</v>
      </c>
      <c r="B60">
        <v>4</v>
      </c>
      <c r="C60">
        <v>1383.71176937</v>
      </c>
    </row>
    <row r="61" spans="1:3" x14ac:dyDescent="0.25">
      <c r="A61">
        <v>10</v>
      </c>
      <c r="B61">
        <v>5</v>
      </c>
      <c r="C61">
        <v>701.68286118799995</v>
      </c>
    </row>
    <row r="62" spans="1:3" x14ac:dyDescent="0.25">
      <c r="A62">
        <v>10</v>
      </c>
      <c r="B62">
        <v>7</v>
      </c>
      <c r="C62">
        <v>738.09423468099999</v>
      </c>
    </row>
    <row r="63" spans="1:3" x14ac:dyDescent="0.25">
      <c r="A63">
        <v>11</v>
      </c>
      <c r="B63">
        <v>2</v>
      </c>
      <c r="C63">
        <v>2926.54498509</v>
      </c>
    </row>
    <row r="64" spans="1:3" x14ac:dyDescent="0.25">
      <c r="A64" t="s">
        <v>320</v>
      </c>
      <c r="B64" t="s">
        <v>318</v>
      </c>
      <c r="C64" t="s">
        <v>319</v>
      </c>
    </row>
    <row r="65" spans="1:3" x14ac:dyDescent="0.25">
      <c r="A65">
        <v>1</v>
      </c>
      <c r="B65">
        <v>1</v>
      </c>
      <c r="C65">
        <v>3022.4558590199999</v>
      </c>
    </row>
    <row r="66" spans="1:3" x14ac:dyDescent="0.25">
      <c r="A66">
        <v>1</v>
      </c>
      <c r="B66">
        <v>2</v>
      </c>
      <c r="C66">
        <v>666.65062499999999</v>
      </c>
    </row>
    <row r="67" spans="1:3" x14ac:dyDescent="0.25">
      <c r="A67">
        <v>1</v>
      </c>
      <c r="B67">
        <v>4</v>
      </c>
      <c r="C67">
        <v>155.36355851499999</v>
      </c>
    </row>
    <row r="68" spans="1:3" x14ac:dyDescent="0.25">
      <c r="A68">
        <v>1</v>
      </c>
      <c r="B68">
        <v>5</v>
      </c>
      <c r="C68">
        <v>1949.4889962</v>
      </c>
    </row>
    <row r="69" spans="1:3" x14ac:dyDescent="0.25">
      <c r="A69">
        <v>2</v>
      </c>
      <c r="B69">
        <v>1</v>
      </c>
      <c r="C69">
        <v>3641.9021312</v>
      </c>
    </row>
    <row r="70" spans="1:3" x14ac:dyDescent="0.25">
      <c r="A70">
        <v>2</v>
      </c>
      <c r="B70">
        <v>2</v>
      </c>
      <c r="C70">
        <v>4921.6077376100002</v>
      </c>
    </row>
    <row r="71" spans="1:3" x14ac:dyDescent="0.25">
      <c r="A71">
        <v>2</v>
      </c>
      <c r="B71">
        <v>4</v>
      </c>
      <c r="C71">
        <v>2830.09579992</v>
      </c>
    </row>
    <row r="72" spans="1:3" x14ac:dyDescent="0.25">
      <c r="A72">
        <v>2</v>
      </c>
      <c r="B72">
        <v>5</v>
      </c>
      <c r="C72">
        <v>4069.00638553</v>
      </c>
    </row>
    <row r="73" spans="1:3" x14ac:dyDescent="0.25">
      <c r="A73">
        <v>2</v>
      </c>
      <c r="B73">
        <v>7</v>
      </c>
      <c r="C73">
        <v>1243.6090496500001</v>
      </c>
    </row>
    <row r="74" spans="1:3" x14ac:dyDescent="0.25">
      <c r="A74">
        <v>3</v>
      </c>
      <c r="B74">
        <v>1</v>
      </c>
      <c r="C74">
        <v>35267.829458100001</v>
      </c>
    </row>
    <row r="75" spans="1:3" x14ac:dyDescent="0.25">
      <c r="A75">
        <v>3</v>
      </c>
      <c r="B75">
        <v>2</v>
      </c>
      <c r="C75">
        <v>19593.196648500001</v>
      </c>
    </row>
    <row r="76" spans="1:3" x14ac:dyDescent="0.25">
      <c r="A76">
        <v>3</v>
      </c>
      <c r="B76">
        <v>3</v>
      </c>
      <c r="C76">
        <v>180.394379313</v>
      </c>
    </row>
    <row r="77" spans="1:3" x14ac:dyDescent="0.25">
      <c r="A77">
        <v>3</v>
      </c>
      <c r="B77">
        <v>4</v>
      </c>
      <c r="C77">
        <v>4654.8753290900004</v>
      </c>
    </row>
    <row r="78" spans="1:3" x14ac:dyDescent="0.25">
      <c r="A78">
        <v>3</v>
      </c>
      <c r="B78">
        <v>5</v>
      </c>
      <c r="C78">
        <v>7293.5425144600003</v>
      </c>
    </row>
    <row r="79" spans="1:3" x14ac:dyDescent="0.25">
      <c r="A79">
        <v>3</v>
      </c>
      <c r="B79">
        <v>6</v>
      </c>
      <c r="C79">
        <v>1067.2654803800001</v>
      </c>
    </row>
    <row r="80" spans="1:3" x14ac:dyDescent="0.25">
      <c r="A80">
        <v>3</v>
      </c>
      <c r="B80">
        <v>7</v>
      </c>
      <c r="C80">
        <v>3337.2378855699999</v>
      </c>
    </row>
    <row r="81" spans="1:3" x14ac:dyDescent="0.25">
      <c r="A81">
        <v>4</v>
      </c>
      <c r="B81">
        <v>1</v>
      </c>
      <c r="C81">
        <v>115408.967137</v>
      </c>
    </row>
    <row r="82" spans="1:3" x14ac:dyDescent="0.25">
      <c r="A82">
        <v>4</v>
      </c>
      <c r="B82">
        <v>2</v>
      </c>
      <c r="C82">
        <v>7879.54351056</v>
      </c>
    </row>
    <row r="83" spans="1:3" x14ac:dyDescent="0.25">
      <c r="A83">
        <v>4</v>
      </c>
      <c r="B83">
        <v>4</v>
      </c>
      <c r="C83">
        <v>15219.7602207</v>
      </c>
    </row>
    <row r="84" spans="1:3" x14ac:dyDescent="0.25">
      <c r="A84">
        <v>4</v>
      </c>
      <c r="B84">
        <v>5</v>
      </c>
      <c r="C84">
        <v>7280.2242347900001</v>
      </c>
    </row>
    <row r="85" spans="1:3" x14ac:dyDescent="0.25">
      <c r="A85">
        <v>4</v>
      </c>
      <c r="B85">
        <v>6</v>
      </c>
      <c r="C85">
        <v>3844.4493261600001</v>
      </c>
    </row>
    <row r="86" spans="1:3" x14ac:dyDescent="0.25">
      <c r="A86">
        <v>4</v>
      </c>
      <c r="B86">
        <v>7</v>
      </c>
      <c r="C86">
        <v>9574.1419483099999</v>
      </c>
    </row>
    <row r="87" spans="1:3" x14ac:dyDescent="0.25">
      <c r="A87">
        <v>5</v>
      </c>
      <c r="B87">
        <v>1</v>
      </c>
      <c r="C87">
        <v>22411.700393200001</v>
      </c>
    </row>
    <row r="88" spans="1:3" x14ac:dyDescent="0.25">
      <c r="A88">
        <v>5</v>
      </c>
      <c r="B88">
        <v>2</v>
      </c>
      <c r="C88">
        <v>2273.2592833799999</v>
      </c>
    </row>
    <row r="89" spans="1:3" x14ac:dyDescent="0.25">
      <c r="A89">
        <v>5</v>
      </c>
      <c r="B89">
        <v>3</v>
      </c>
      <c r="C89">
        <v>2414.6046225499999</v>
      </c>
    </row>
    <row r="90" spans="1:3" x14ac:dyDescent="0.25">
      <c r="A90">
        <v>5</v>
      </c>
      <c r="B90">
        <v>4</v>
      </c>
      <c r="C90">
        <v>1314.8713863600001</v>
      </c>
    </row>
    <row r="91" spans="1:3" x14ac:dyDescent="0.25">
      <c r="A91">
        <v>5</v>
      </c>
      <c r="B91">
        <v>5</v>
      </c>
      <c r="C91">
        <v>4126.3879117500001</v>
      </c>
    </row>
    <row r="92" spans="1:3" x14ac:dyDescent="0.25">
      <c r="A92">
        <v>5</v>
      </c>
      <c r="B92">
        <v>6</v>
      </c>
      <c r="C92">
        <v>610.68973916000004</v>
      </c>
    </row>
    <row r="93" spans="1:3" x14ac:dyDescent="0.25">
      <c r="A93">
        <v>5</v>
      </c>
      <c r="B93">
        <v>7</v>
      </c>
      <c r="C93">
        <v>4748.6408884399998</v>
      </c>
    </row>
    <row r="94" spans="1:3" x14ac:dyDescent="0.25">
      <c r="A94">
        <v>6</v>
      </c>
      <c r="B94">
        <v>1</v>
      </c>
      <c r="C94">
        <v>34386.837718499999</v>
      </c>
    </row>
    <row r="95" spans="1:3" x14ac:dyDescent="0.25">
      <c r="A95">
        <v>6</v>
      </c>
      <c r="B95">
        <v>2</v>
      </c>
      <c r="C95">
        <v>5679.9718636199996</v>
      </c>
    </row>
    <row r="96" spans="1:3" x14ac:dyDescent="0.25">
      <c r="A96">
        <v>6</v>
      </c>
      <c r="B96">
        <v>3</v>
      </c>
      <c r="C96">
        <v>224.93159591400001</v>
      </c>
    </row>
    <row r="97" spans="1:3" x14ac:dyDescent="0.25">
      <c r="A97">
        <v>6</v>
      </c>
      <c r="B97">
        <v>4</v>
      </c>
      <c r="C97">
        <v>6875.9137513200003</v>
      </c>
    </row>
    <row r="98" spans="1:3" x14ac:dyDescent="0.25">
      <c r="A98">
        <v>6</v>
      </c>
      <c r="B98">
        <v>5</v>
      </c>
      <c r="C98">
        <v>2879.7810934700001</v>
      </c>
    </row>
    <row r="99" spans="1:3" x14ac:dyDescent="0.25">
      <c r="A99">
        <v>6</v>
      </c>
      <c r="B99">
        <v>6</v>
      </c>
      <c r="C99">
        <v>532.15952512199999</v>
      </c>
    </row>
    <row r="100" spans="1:3" x14ac:dyDescent="0.25">
      <c r="A100">
        <v>6</v>
      </c>
      <c r="B100">
        <v>7</v>
      </c>
      <c r="C100">
        <v>1051.5429214200001</v>
      </c>
    </row>
    <row r="101" spans="1:3" x14ac:dyDescent="0.25">
      <c r="A101">
        <v>7</v>
      </c>
      <c r="B101">
        <v>1</v>
      </c>
      <c r="C101">
        <v>14148.001643400001</v>
      </c>
    </row>
    <row r="102" spans="1:3" x14ac:dyDescent="0.25">
      <c r="A102">
        <v>7</v>
      </c>
      <c r="B102">
        <v>2</v>
      </c>
      <c r="C102">
        <v>7375.1267244999999</v>
      </c>
    </row>
    <row r="103" spans="1:3" x14ac:dyDescent="0.25">
      <c r="A103">
        <v>7</v>
      </c>
      <c r="B103">
        <v>3</v>
      </c>
      <c r="C103">
        <v>109.70487695</v>
      </c>
    </row>
    <row r="104" spans="1:3" x14ac:dyDescent="0.25">
      <c r="A104">
        <v>7</v>
      </c>
      <c r="B104">
        <v>4</v>
      </c>
      <c r="C104">
        <v>171.38612221299999</v>
      </c>
    </row>
    <row r="105" spans="1:3" x14ac:dyDescent="0.25">
      <c r="A105">
        <v>7</v>
      </c>
      <c r="B105">
        <v>5</v>
      </c>
      <c r="C105">
        <v>4804.1161705499999</v>
      </c>
    </row>
    <row r="106" spans="1:3" x14ac:dyDescent="0.25">
      <c r="A106">
        <v>7</v>
      </c>
      <c r="B106">
        <v>6</v>
      </c>
      <c r="C106">
        <v>6050.2574726399998</v>
      </c>
    </row>
    <row r="107" spans="1:3" x14ac:dyDescent="0.25">
      <c r="A107">
        <v>7</v>
      </c>
      <c r="B107">
        <v>7</v>
      </c>
      <c r="C107">
        <v>877.78076252100004</v>
      </c>
    </row>
    <row r="108" spans="1:3" x14ac:dyDescent="0.25">
      <c r="A108">
        <v>8</v>
      </c>
      <c r="B108">
        <v>1</v>
      </c>
      <c r="C108">
        <v>4441.6721790000001</v>
      </c>
    </row>
    <row r="109" spans="1:3" x14ac:dyDescent="0.25">
      <c r="A109">
        <v>8</v>
      </c>
      <c r="B109">
        <v>2</v>
      </c>
      <c r="C109">
        <v>4337.4319655400004</v>
      </c>
    </row>
    <row r="110" spans="1:3" x14ac:dyDescent="0.25">
      <c r="A110">
        <v>8</v>
      </c>
      <c r="B110">
        <v>4</v>
      </c>
      <c r="C110">
        <v>2967.4393336799999</v>
      </c>
    </row>
    <row r="111" spans="1:3" x14ac:dyDescent="0.25">
      <c r="A111">
        <v>8</v>
      </c>
      <c r="B111">
        <v>6</v>
      </c>
      <c r="C111">
        <v>285.65569834399997</v>
      </c>
    </row>
    <row r="112" spans="1:3" x14ac:dyDescent="0.25">
      <c r="A112">
        <v>8</v>
      </c>
      <c r="B112">
        <v>7</v>
      </c>
      <c r="C112">
        <v>308.16151911700001</v>
      </c>
    </row>
    <row r="113" spans="1:3" x14ac:dyDescent="0.25">
      <c r="A113">
        <v>9</v>
      </c>
      <c r="B113">
        <v>1</v>
      </c>
      <c r="C113">
        <v>5661.3926351199998</v>
      </c>
    </row>
    <row r="114" spans="1:3" x14ac:dyDescent="0.25">
      <c r="A114">
        <v>9</v>
      </c>
      <c r="B114">
        <v>2</v>
      </c>
      <c r="C114">
        <v>441.02087499999999</v>
      </c>
    </row>
    <row r="115" spans="1:3" x14ac:dyDescent="0.25">
      <c r="A115">
        <v>9</v>
      </c>
      <c r="B115">
        <v>4</v>
      </c>
      <c r="C115">
        <v>4344.3742223199997</v>
      </c>
    </row>
    <row r="116" spans="1:3" x14ac:dyDescent="0.25">
      <c r="A116">
        <v>9</v>
      </c>
      <c r="B116">
        <v>5</v>
      </c>
      <c r="C116">
        <v>1640.3467706700001</v>
      </c>
    </row>
    <row r="117" spans="1:3" x14ac:dyDescent="0.25">
      <c r="A117">
        <v>9</v>
      </c>
      <c r="B117">
        <v>6</v>
      </c>
      <c r="C117">
        <v>271.30194845900002</v>
      </c>
    </row>
    <row r="118" spans="1:3" x14ac:dyDescent="0.25">
      <c r="A118">
        <v>9</v>
      </c>
      <c r="B118">
        <v>7</v>
      </c>
      <c r="C118">
        <v>166.806588828</v>
      </c>
    </row>
    <row r="119" spans="1:3" x14ac:dyDescent="0.25">
      <c r="A119">
        <v>10</v>
      </c>
      <c r="B119">
        <v>1</v>
      </c>
      <c r="C119">
        <v>2596.9359239599999</v>
      </c>
    </row>
    <row r="120" spans="1:3" x14ac:dyDescent="0.25">
      <c r="A120">
        <v>10</v>
      </c>
      <c r="B120">
        <v>2</v>
      </c>
      <c r="C120">
        <v>2351.8459761899999</v>
      </c>
    </row>
    <row r="121" spans="1:3" x14ac:dyDescent="0.25">
      <c r="A121">
        <v>10</v>
      </c>
      <c r="B121">
        <v>4</v>
      </c>
      <c r="C121">
        <v>1226.00073582</v>
      </c>
    </row>
    <row r="122" spans="1:3" x14ac:dyDescent="0.25">
      <c r="A122">
        <v>10</v>
      </c>
      <c r="B122">
        <v>5</v>
      </c>
      <c r="C122">
        <v>1537.5129085599999</v>
      </c>
    </row>
    <row r="123" spans="1:3" x14ac:dyDescent="0.25">
      <c r="A123">
        <v>10</v>
      </c>
      <c r="B123">
        <v>7</v>
      </c>
      <c r="C123">
        <v>1412.8295274499999</v>
      </c>
    </row>
    <row r="124" spans="1:3" x14ac:dyDescent="0.25">
      <c r="A124" t="s">
        <v>317</v>
      </c>
      <c r="B124" t="s">
        <v>318</v>
      </c>
      <c r="C124" t="s">
        <v>319</v>
      </c>
    </row>
    <row r="125" spans="1:3" x14ac:dyDescent="0.25">
      <c r="A125">
        <v>1</v>
      </c>
      <c r="B125">
        <v>1</v>
      </c>
      <c r="C125">
        <v>10045.6515332</v>
      </c>
    </row>
    <row r="126" spans="1:3" x14ac:dyDescent="0.25">
      <c r="A126">
        <v>1</v>
      </c>
      <c r="B126">
        <v>2</v>
      </c>
      <c r="C126">
        <v>2339.1578290100001</v>
      </c>
    </row>
    <row r="127" spans="1:3" x14ac:dyDescent="0.25">
      <c r="A127">
        <v>1</v>
      </c>
      <c r="B127">
        <v>4</v>
      </c>
      <c r="C127">
        <v>70.449129073700007</v>
      </c>
    </row>
    <row r="128" spans="1:3" x14ac:dyDescent="0.25">
      <c r="A128">
        <v>1</v>
      </c>
      <c r="B128">
        <v>5</v>
      </c>
      <c r="C128">
        <v>19.991803278700001</v>
      </c>
    </row>
    <row r="129" spans="1:3" x14ac:dyDescent="0.25">
      <c r="A129">
        <v>1</v>
      </c>
      <c r="B129">
        <v>6</v>
      </c>
      <c r="C129">
        <v>35.228463835900001</v>
      </c>
    </row>
    <row r="130" spans="1:3" x14ac:dyDescent="0.25">
      <c r="A130">
        <v>2</v>
      </c>
      <c r="B130">
        <v>1</v>
      </c>
      <c r="C130">
        <v>8237.8627684700004</v>
      </c>
    </row>
    <row r="131" spans="1:3" x14ac:dyDescent="0.25">
      <c r="A131">
        <v>2</v>
      </c>
      <c r="B131">
        <v>2</v>
      </c>
      <c r="C131">
        <v>1359.8293462300001</v>
      </c>
    </row>
    <row r="132" spans="1:3" x14ac:dyDescent="0.25">
      <c r="A132">
        <v>2</v>
      </c>
      <c r="B132">
        <v>4</v>
      </c>
      <c r="C132">
        <v>30.227374275700001</v>
      </c>
    </row>
    <row r="133" spans="1:3" x14ac:dyDescent="0.25">
      <c r="A133">
        <v>2</v>
      </c>
      <c r="B133">
        <v>5</v>
      </c>
      <c r="C133">
        <v>20.234434865899999</v>
      </c>
    </row>
    <row r="134" spans="1:3" x14ac:dyDescent="0.25">
      <c r="A134">
        <v>2</v>
      </c>
      <c r="B134">
        <v>6</v>
      </c>
      <c r="C134">
        <v>30.4675697865</v>
      </c>
    </row>
    <row r="135" spans="1:3" x14ac:dyDescent="0.25">
      <c r="A135">
        <v>2</v>
      </c>
      <c r="B135">
        <v>7</v>
      </c>
      <c r="C135">
        <v>61.055195421100002</v>
      </c>
    </row>
    <row r="136" spans="1:3" x14ac:dyDescent="0.25">
      <c r="A136">
        <v>3</v>
      </c>
      <c r="B136">
        <v>1</v>
      </c>
      <c r="C136">
        <v>36698.312102199998</v>
      </c>
    </row>
    <row r="137" spans="1:3" x14ac:dyDescent="0.25">
      <c r="A137">
        <v>3</v>
      </c>
      <c r="B137">
        <v>2</v>
      </c>
      <c r="C137">
        <v>7022.9334504400003</v>
      </c>
    </row>
    <row r="138" spans="1:3" x14ac:dyDescent="0.25">
      <c r="A138">
        <v>3</v>
      </c>
      <c r="B138">
        <v>3</v>
      </c>
      <c r="C138">
        <v>2.5</v>
      </c>
    </row>
    <row r="139" spans="1:3" x14ac:dyDescent="0.25">
      <c r="A139">
        <v>3</v>
      </c>
      <c r="B139">
        <v>4</v>
      </c>
      <c r="C139">
        <v>3664.7697418600001</v>
      </c>
    </row>
    <row r="140" spans="1:3" x14ac:dyDescent="0.25">
      <c r="A140">
        <v>3</v>
      </c>
      <c r="B140">
        <v>5</v>
      </c>
      <c r="C140">
        <v>1702.4995722599999</v>
      </c>
    </row>
    <row r="141" spans="1:3" x14ac:dyDescent="0.25">
      <c r="A141">
        <v>3</v>
      </c>
      <c r="B141">
        <v>6</v>
      </c>
      <c r="C141">
        <v>1031.53005003</v>
      </c>
    </row>
    <row r="142" spans="1:3" x14ac:dyDescent="0.25">
      <c r="A142">
        <v>3</v>
      </c>
      <c r="B142">
        <v>7</v>
      </c>
      <c r="C142">
        <v>3179.7745095999999</v>
      </c>
    </row>
    <row r="143" spans="1:3" x14ac:dyDescent="0.25">
      <c r="A143">
        <v>4</v>
      </c>
      <c r="B143">
        <v>1</v>
      </c>
      <c r="C143">
        <v>25483.242793099998</v>
      </c>
    </row>
    <row r="144" spans="1:3" x14ac:dyDescent="0.25">
      <c r="A144">
        <v>4</v>
      </c>
      <c r="B144">
        <v>2</v>
      </c>
      <c r="C144">
        <v>3360.9737871900002</v>
      </c>
    </row>
    <row r="145" spans="1:3" x14ac:dyDescent="0.25">
      <c r="A145">
        <v>4</v>
      </c>
      <c r="B145">
        <v>3</v>
      </c>
      <c r="C145">
        <v>5.4957586427700003</v>
      </c>
    </row>
    <row r="146" spans="1:3" x14ac:dyDescent="0.25">
      <c r="A146">
        <v>4</v>
      </c>
      <c r="B146">
        <v>4</v>
      </c>
      <c r="C146">
        <v>3668.93017766</v>
      </c>
    </row>
    <row r="147" spans="1:3" x14ac:dyDescent="0.25">
      <c r="A147">
        <v>4</v>
      </c>
      <c r="B147">
        <v>5</v>
      </c>
      <c r="C147">
        <v>2369.7495174000001</v>
      </c>
    </row>
    <row r="148" spans="1:3" x14ac:dyDescent="0.25">
      <c r="A148">
        <v>4</v>
      </c>
      <c r="B148">
        <v>6</v>
      </c>
      <c r="C148">
        <v>813.53740123299997</v>
      </c>
    </row>
    <row r="149" spans="1:3" x14ac:dyDescent="0.25">
      <c r="A149">
        <v>4</v>
      </c>
      <c r="B149">
        <v>7</v>
      </c>
      <c r="C149">
        <v>3806.0684764100001</v>
      </c>
    </row>
    <row r="150" spans="1:3" x14ac:dyDescent="0.25">
      <c r="A150">
        <v>5</v>
      </c>
      <c r="B150">
        <v>1</v>
      </c>
      <c r="C150">
        <v>22599.042759600001</v>
      </c>
    </row>
    <row r="151" spans="1:3" x14ac:dyDescent="0.25">
      <c r="A151">
        <v>5</v>
      </c>
      <c r="B151">
        <v>2</v>
      </c>
      <c r="C151">
        <v>3417.4375741700001</v>
      </c>
    </row>
    <row r="152" spans="1:3" x14ac:dyDescent="0.25">
      <c r="A152">
        <v>5</v>
      </c>
      <c r="B152">
        <v>4</v>
      </c>
      <c r="C152">
        <v>3423.9921131199999</v>
      </c>
    </row>
    <row r="153" spans="1:3" x14ac:dyDescent="0.25">
      <c r="A153">
        <v>5</v>
      </c>
      <c r="B153">
        <v>5</v>
      </c>
      <c r="C153">
        <v>2182.9741585000002</v>
      </c>
    </row>
    <row r="154" spans="1:3" x14ac:dyDescent="0.25">
      <c r="A154">
        <v>5</v>
      </c>
      <c r="B154">
        <v>6</v>
      </c>
      <c r="C154">
        <v>1232.55608026</v>
      </c>
    </row>
    <row r="155" spans="1:3" x14ac:dyDescent="0.25">
      <c r="A155">
        <v>5</v>
      </c>
      <c r="B155">
        <v>7</v>
      </c>
      <c r="C155">
        <v>1630.2804573599999</v>
      </c>
    </row>
    <row r="156" spans="1:3" x14ac:dyDescent="0.25">
      <c r="A156">
        <v>6</v>
      </c>
      <c r="B156">
        <v>1</v>
      </c>
      <c r="C156">
        <v>19453.3351798</v>
      </c>
    </row>
    <row r="157" spans="1:3" x14ac:dyDescent="0.25">
      <c r="A157">
        <v>6</v>
      </c>
      <c r="B157">
        <v>2</v>
      </c>
      <c r="C157">
        <v>2678.9584780999999</v>
      </c>
    </row>
    <row r="158" spans="1:3" x14ac:dyDescent="0.25">
      <c r="A158">
        <v>6</v>
      </c>
      <c r="B158">
        <v>3</v>
      </c>
      <c r="C158">
        <v>6.5</v>
      </c>
    </row>
    <row r="159" spans="1:3" x14ac:dyDescent="0.25">
      <c r="A159">
        <v>6</v>
      </c>
      <c r="B159">
        <v>4</v>
      </c>
      <c r="C159">
        <v>2145.51208701</v>
      </c>
    </row>
    <row r="160" spans="1:3" x14ac:dyDescent="0.25">
      <c r="A160">
        <v>6</v>
      </c>
      <c r="B160">
        <v>5</v>
      </c>
      <c r="C160">
        <v>1019.8126853</v>
      </c>
    </row>
    <row r="161" spans="1:3" x14ac:dyDescent="0.25">
      <c r="A161">
        <v>6</v>
      </c>
      <c r="B161">
        <v>6</v>
      </c>
      <c r="C161">
        <v>538.45549845599999</v>
      </c>
    </row>
    <row r="162" spans="1:3" x14ac:dyDescent="0.25">
      <c r="A162">
        <v>6</v>
      </c>
      <c r="B162">
        <v>7</v>
      </c>
      <c r="C162">
        <v>1427.2376622100001</v>
      </c>
    </row>
    <row r="163" spans="1:3" x14ac:dyDescent="0.25">
      <c r="A163">
        <v>7</v>
      </c>
      <c r="B163">
        <v>1</v>
      </c>
      <c r="C163">
        <v>19462.981760999999</v>
      </c>
    </row>
    <row r="164" spans="1:3" x14ac:dyDescent="0.25">
      <c r="A164">
        <v>7</v>
      </c>
      <c r="B164">
        <v>2</v>
      </c>
      <c r="C164">
        <v>3723.6588247700001</v>
      </c>
    </row>
    <row r="165" spans="1:3" x14ac:dyDescent="0.25">
      <c r="A165">
        <v>7</v>
      </c>
      <c r="B165">
        <v>3</v>
      </c>
      <c r="C165">
        <v>3.9987531172100002</v>
      </c>
    </row>
    <row r="166" spans="1:3" x14ac:dyDescent="0.25">
      <c r="A166">
        <v>7</v>
      </c>
      <c r="B166">
        <v>4</v>
      </c>
      <c r="C166">
        <v>2854.26490771</v>
      </c>
    </row>
    <row r="167" spans="1:3" x14ac:dyDescent="0.25">
      <c r="A167">
        <v>7</v>
      </c>
      <c r="B167">
        <v>5</v>
      </c>
      <c r="C167">
        <v>1342.6030734799999</v>
      </c>
    </row>
    <row r="168" spans="1:3" x14ac:dyDescent="0.25">
      <c r="A168">
        <v>7</v>
      </c>
      <c r="B168">
        <v>6</v>
      </c>
      <c r="C168">
        <v>662.55413949800004</v>
      </c>
    </row>
    <row r="169" spans="1:3" x14ac:dyDescent="0.25">
      <c r="A169">
        <v>7</v>
      </c>
      <c r="B169">
        <v>7</v>
      </c>
      <c r="C169">
        <v>1863.4788684</v>
      </c>
    </row>
    <row r="170" spans="1:3" x14ac:dyDescent="0.25">
      <c r="A170">
        <v>8</v>
      </c>
      <c r="B170">
        <v>1</v>
      </c>
      <c r="C170">
        <v>2664.4649429800002</v>
      </c>
    </row>
    <row r="171" spans="1:3" x14ac:dyDescent="0.25">
      <c r="A171">
        <v>8</v>
      </c>
      <c r="B171">
        <v>2</v>
      </c>
      <c r="C171">
        <v>1049.3107092400001</v>
      </c>
    </row>
    <row r="172" spans="1:3" x14ac:dyDescent="0.25">
      <c r="A172">
        <v>8</v>
      </c>
      <c r="B172">
        <v>3</v>
      </c>
      <c r="C172">
        <v>0.25</v>
      </c>
    </row>
    <row r="173" spans="1:3" x14ac:dyDescent="0.25">
      <c r="A173">
        <v>8</v>
      </c>
      <c r="B173">
        <v>4</v>
      </c>
      <c r="C173">
        <v>859.69495888699998</v>
      </c>
    </row>
    <row r="174" spans="1:3" x14ac:dyDescent="0.25">
      <c r="A174">
        <v>8</v>
      </c>
      <c r="B174">
        <v>5</v>
      </c>
      <c r="C174">
        <v>609.90433783000003</v>
      </c>
    </row>
    <row r="175" spans="1:3" x14ac:dyDescent="0.25">
      <c r="A175">
        <v>8</v>
      </c>
      <c r="B175">
        <v>6</v>
      </c>
      <c r="C175">
        <v>112.031773646</v>
      </c>
    </row>
    <row r="176" spans="1:3" x14ac:dyDescent="0.25">
      <c r="A176">
        <v>8</v>
      </c>
      <c r="B176">
        <v>7</v>
      </c>
      <c r="C176">
        <v>639.69189468100001</v>
      </c>
    </row>
    <row r="177" spans="1:3" x14ac:dyDescent="0.25">
      <c r="A177">
        <v>9</v>
      </c>
      <c r="B177">
        <v>1</v>
      </c>
      <c r="C177">
        <v>4279.6509991599996</v>
      </c>
    </row>
    <row r="178" spans="1:3" x14ac:dyDescent="0.25">
      <c r="A178">
        <v>9</v>
      </c>
      <c r="B178">
        <v>2</v>
      </c>
      <c r="C178">
        <v>349.58644166800002</v>
      </c>
    </row>
    <row r="179" spans="1:3" x14ac:dyDescent="0.25">
      <c r="A179">
        <v>9</v>
      </c>
      <c r="B179">
        <v>4</v>
      </c>
      <c r="C179">
        <v>329.85070585400001</v>
      </c>
    </row>
    <row r="180" spans="1:3" x14ac:dyDescent="0.25">
      <c r="A180">
        <v>9</v>
      </c>
      <c r="B180">
        <v>5</v>
      </c>
      <c r="C180">
        <v>350.013928921</v>
      </c>
    </row>
    <row r="181" spans="1:3" x14ac:dyDescent="0.25">
      <c r="A181">
        <v>9</v>
      </c>
      <c r="B181">
        <v>7</v>
      </c>
      <c r="C181">
        <v>39.952053268</v>
      </c>
    </row>
    <row r="182" spans="1:3" x14ac:dyDescent="0.25">
      <c r="A182">
        <v>10</v>
      </c>
      <c r="B182">
        <v>1</v>
      </c>
      <c r="C182">
        <v>6359.39924531</v>
      </c>
    </row>
    <row r="183" spans="1:3" x14ac:dyDescent="0.25">
      <c r="A183">
        <v>10</v>
      </c>
      <c r="B183">
        <v>2</v>
      </c>
      <c r="C183">
        <v>1630.58235012</v>
      </c>
    </row>
    <row r="184" spans="1:3" x14ac:dyDescent="0.25">
      <c r="A184">
        <v>10</v>
      </c>
      <c r="B184">
        <v>4</v>
      </c>
      <c r="C184">
        <v>1499.7401477599999</v>
      </c>
    </row>
    <row r="185" spans="1:3" x14ac:dyDescent="0.25">
      <c r="A185">
        <v>10</v>
      </c>
      <c r="B185">
        <v>5</v>
      </c>
      <c r="C185">
        <v>1499.7424182300001</v>
      </c>
    </row>
    <row r="186" spans="1:3" x14ac:dyDescent="0.25">
      <c r="A186">
        <v>10</v>
      </c>
      <c r="B186">
        <v>6</v>
      </c>
      <c r="C186">
        <v>90.2694705742</v>
      </c>
    </row>
    <row r="187" spans="1:3" x14ac:dyDescent="0.25">
      <c r="A187">
        <v>10</v>
      </c>
      <c r="B187">
        <v>7</v>
      </c>
      <c r="C187">
        <v>626.94917545700002</v>
      </c>
    </row>
    <row r="188" spans="1:3" x14ac:dyDescent="0.25">
      <c r="A188">
        <v>11</v>
      </c>
      <c r="B188">
        <v>1</v>
      </c>
      <c r="C188">
        <v>5672.0980216799999</v>
      </c>
    </row>
    <row r="189" spans="1:3" x14ac:dyDescent="0.25">
      <c r="A189">
        <v>11</v>
      </c>
      <c r="B189">
        <v>2</v>
      </c>
      <c r="C189">
        <v>540.55358688700005</v>
      </c>
    </row>
    <row r="190" spans="1:3" x14ac:dyDescent="0.25">
      <c r="A190">
        <v>11</v>
      </c>
      <c r="B190">
        <v>4</v>
      </c>
      <c r="C190">
        <v>440.229180998</v>
      </c>
    </row>
    <row r="191" spans="1:3" x14ac:dyDescent="0.25">
      <c r="A191">
        <v>11</v>
      </c>
      <c r="B191">
        <v>5</v>
      </c>
      <c r="C191">
        <v>395.291425366</v>
      </c>
    </row>
    <row r="192" spans="1:3" x14ac:dyDescent="0.25">
      <c r="A192">
        <v>11</v>
      </c>
      <c r="B192">
        <v>6</v>
      </c>
      <c r="C192">
        <v>110.85310067499999</v>
      </c>
    </row>
    <row r="193" spans="1:3" x14ac:dyDescent="0.25">
      <c r="A193">
        <v>11</v>
      </c>
      <c r="B193">
        <v>7</v>
      </c>
      <c r="C193">
        <v>120.12134515699999</v>
      </c>
    </row>
    <row r="194" spans="1:3" x14ac:dyDescent="0.25">
      <c r="A194" t="s">
        <v>320</v>
      </c>
      <c r="B194" t="s">
        <v>318</v>
      </c>
      <c r="C194" t="s">
        <v>319</v>
      </c>
    </row>
    <row r="195" spans="1:3" x14ac:dyDescent="0.25">
      <c r="A195">
        <v>1</v>
      </c>
      <c r="B195">
        <v>1</v>
      </c>
      <c r="C195">
        <v>2964.8853006300001</v>
      </c>
    </row>
    <row r="196" spans="1:3" x14ac:dyDescent="0.25">
      <c r="A196">
        <v>1</v>
      </c>
      <c r="B196">
        <v>2</v>
      </c>
      <c r="C196">
        <v>116.562266855</v>
      </c>
    </row>
    <row r="197" spans="1:3" x14ac:dyDescent="0.25">
      <c r="A197">
        <v>1</v>
      </c>
      <c r="B197">
        <v>4</v>
      </c>
      <c r="C197">
        <v>140.23294442400001</v>
      </c>
    </row>
    <row r="198" spans="1:3" x14ac:dyDescent="0.25">
      <c r="A198">
        <v>1</v>
      </c>
      <c r="B198">
        <v>5</v>
      </c>
      <c r="C198">
        <v>40.739563866499999</v>
      </c>
    </row>
    <row r="199" spans="1:3" x14ac:dyDescent="0.25">
      <c r="A199">
        <v>1</v>
      </c>
      <c r="B199">
        <v>6</v>
      </c>
      <c r="C199">
        <v>1</v>
      </c>
    </row>
    <row r="200" spans="1:3" x14ac:dyDescent="0.25">
      <c r="A200">
        <v>1</v>
      </c>
      <c r="B200">
        <v>7</v>
      </c>
      <c r="C200">
        <v>364.60856582999997</v>
      </c>
    </row>
    <row r="201" spans="1:3" x14ac:dyDescent="0.25">
      <c r="A201">
        <v>2</v>
      </c>
      <c r="B201">
        <v>1</v>
      </c>
      <c r="C201">
        <v>7107.2075447200004</v>
      </c>
    </row>
    <row r="202" spans="1:3" x14ac:dyDescent="0.25">
      <c r="A202">
        <v>2</v>
      </c>
      <c r="B202">
        <v>2</v>
      </c>
      <c r="C202">
        <v>4109.3702739</v>
      </c>
    </row>
    <row r="203" spans="1:3" x14ac:dyDescent="0.25">
      <c r="A203">
        <v>2</v>
      </c>
      <c r="B203">
        <v>4</v>
      </c>
      <c r="C203">
        <v>282.92236443500002</v>
      </c>
    </row>
    <row r="204" spans="1:3" x14ac:dyDescent="0.25">
      <c r="A204">
        <v>2</v>
      </c>
      <c r="B204">
        <v>5</v>
      </c>
      <c r="C204">
        <v>104.207272207</v>
      </c>
    </row>
    <row r="205" spans="1:3" x14ac:dyDescent="0.25">
      <c r="A205">
        <v>2</v>
      </c>
      <c r="B205">
        <v>6</v>
      </c>
      <c r="C205">
        <v>52.698733302599997</v>
      </c>
    </row>
    <row r="206" spans="1:3" x14ac:dyDescent="0.25">
      <c r="A206">
        <v>2</v>
      </c>
      <c r="B206">
        <v>7</v>
      </c>
      <c r="C206">
        <v>277.67560510700002</v>
      </c>
    </row>
    <row r="207" spans="1:3" x14ac:dyDescent="0.25">
      <c r="A207">
        <v>3</v>
      </c>
      <c r="B207">
        <v>1</v>
      </c>
      <c r="C207">
        <v>13970.543434699999</v>
      </c>
    </row>
    <row r="208" spans="1:3" x14ac:dyDescent="0.25">
      <c r="A208">
        <v>3</v>
      </c>
      <c r="B208">
        <v>2</v>
      </c>
      <c r="C208">
        <v>8234.3613654000001</v>
      </c>
    </row>
    <row r="209" spans="1:3" x14ac:dyDescent="0.25">
      <c r="A209">
        <v>3</v>
      </c>
      <c r="B209">
        <v>3</v>
      </c>
      <c r="C209">
        <v>3</v>
      </c>
    </row>
    <row r="210" spans="1:3" x14ac:dyDescent="0.25">
      <c r="A210">
        <v>3</v>
      </c>
      <c r="B210">
        <v>4</v>
      </c>
      <c r="C210">
        <v>2751.0723610199998</v>
      </c>
    </row>
    <row r="211" spans="1:3" x14ac:dyDescent="0.25">
      <c r="A211">
        <v>3</v>
      </c>
      <c r="B211">
        <v>5</v>
      </c>
      <c r="C211">
        <v>1253.95218553</v>
      </c>
    </row>
    <row r="212" spans="1:3" x14ac:dyDescent="0.25">
      <c r="A212">
        <v>3</v>
      </c>
      <c r="B212">
        <v>6</v>
      </c>
      <c r="C212">
        <v>295.83641556100002</v>
      </c>
    </row>
    <row r="213" spans="1:3" x14ac:dyDescent="0.25">
      <c r="A213">
        <v>3</v>
      </c>
      <c r="B213">
        <v>7</v>
      </c>
      <c r="C213">
        <v>1756.7001211500001</v>
      </c>
    </row>
    <row r="214" spans="1:3" x14ac:dyDescent="0.25">
      <c r="A214">
        <v>4</v>
      </c>
      <c r="B214">
        <v>1</v>
      </c>
      <c r="C214">
        <v>73795.373118599993</v>
      </c>
    </row>
    <row r="215" spans="1:3" x14ac:dyDescent="0.25">
      <c r="A215">
        <v>4</v>
      </c>
      <c r="B215">
        <v>2</v>
      </c>
      <c r="C215">
        <v>4412.0528975200004</v>
      </c>
    </row>
    <row r="216" spans="1:3" x14ac:dyDescent="0.25">
      <c r="A216">
        <v>4</v>
      </c>
      <c r="B216">
        <v>3</v>
      </c>
      <c r="C216">
        <v>4.7476525821599997</v>
      </c>
    </row>
    <row r="217" spans="1:3" x14ac:dyDescent="0.25">
      <c r="A217">
        <v>4</v>
      </c>
      <c r="B217">
        <v>4</v>
      </c>
      <c r="C217">
        <v>6907.4476024400001</v>
      </c>
    </row>
    <row r="218" spans="1:3" x14ac:dyDescent="0.25">
      <c r="A218">
        <v>4</v>
      </c>
      <c r="B218">
        <v>5</v>
      </c>
      <c r="C218">
        <v>3919.53049624</v>
      </c>
    </row>
    <row r="219" spans="1:3" x14ac:dyDescent="0.25">
      <c r="A219">
        <v>4</v>
      </c>
      <c r="B219">
        <v>6</v>
      </c>
      <c r="C219">
        <v>3158.1506303400001</v>
      </c>
    </row>
    <row r="220" spans="1:3" x14ac:dyDescent="0.25">
      <c r="A220">
        <v>4</v>
      </c>
      <c r="B220">
        <v>7</v>
      </c>
      <c r="C220">
        <v>3937.63237699</v>
      </c>
    </row>
    <row r="221" spans="1:3" x14ac:dyDescent="0.25">
      <c r="A221">
        <v>5</v>
      </c>
      <c r="B221">
        <v>1</v>
      </c>
      <c r="C221">
        <v>10202.474773800001</v>
      </c>
    </row>
    <row r="222" spans="1:3" x14ac:dyDescent="0.25">
      <c r="A222">
        <v>5</v>
      </c>
      <c r="B222">
        <v>2</v>
      </c>
      <c r="C222">
        <v>887.72582548699995</v>
      </c>
    </row>
    <row r="223" spans="1:3" x14ac:dyDescent="0.25">
      <c r="A223">
        <v>5</v>
      </c>
      <c r="B223">
        <v>3</v>
      </c>
      <c r="C223">
        <v>4.4981060606099996</v>
      </c>
    </row>
    <row r="224" spans="1:3" x14ac:dyDescent="0.25">
      <c r="A224">
        <v>5</v>
      </c>
      <c r="B224">
        <v>4</v>
      </c>
      <c r="C224">
        <v>1676.1235016000001</v>
      </c>
    </row>
    <row r="225" spans="1:3" x14ac:dyDescent="0.25">
      <c r="A225">
        <v>5</v>
      </c>
      <c r="B225">
        <v>5</v>
      </c>
      <c r="C225">
        <v>767.74337380400004</v>
      </c>
    </row>
    <row r="226" spans="1:3" x14ac:dyDescent="0.25">
      <c r="A226">
        <v>5</v>
      </c>
      <c r="B226">
        <v>6</v>
      </c>
      <c r="C226">
        <v>149.90895008199999</v>
      </c>
    </row>
    <row r="227" spans="1:3" x14ac:dyDescent="0.25">
      <c r="A227">
        <v>5</v>
      </c>
      <c r="B227">
        <v>7</v>
      </c>
      <c r="C227">
        <v>2003.0426177700001</v>
      </c>
    </row>
    <row r="228" spans="1:3" x14ac:dyDescent="0.25">
      <c r="A228">
        <v>6</v>
      </c>
      <c r="B228">
        <v>1</v>
      </c>
      <c r="C228">
        <v>22507.9167686</v>
      </c>
    </row>
    <row r="229" spans="1:3" x14ac:dyDescent="0.25">
      <c r="A229">
        <v>6</v>
      </c>
      <c r="B229">
        <v>2</v>
      </c>
      <c r="C229">
        <v>3072.2479792099998</v>
      </c>
    </row>
    <row r="230" spans="1:3" x14ac:dyDescent="0.25">
      <c r="A230">
        <v>6</v>
      </c>
      <c r="B230">
        <v>3</v>
      </c>
      <c r="C230">
        <v>2.25</v>
      </c>
    </row>
    <row r="231" spans="1:3" x14ac:dyDescent="0.25">
      <c r="A231">
        <v>6</v>
      </c>
      <c r="B231">
        <v>4</v>
      </c>
      <c r="C231">
        <v>1925.7229207299999</v>
      </c>
    </row>
    <row r="232" spans="1:3" x14ac:dyDescent="0.25">
      <c r="A232">
        <v>6</v>
      </c>
      <c r="B232">
        <v>5</v>
      </c>
      <c r="C232">
        <v>994.02940993200002</v>
      </c>
    </row>
    <row r="233" spans="1:3" x14ac:dyDescent="0.25">
      <c r="A233">
        <v>6</v>
      </c>
      <c r="B233">
        <v>6</v>
      </c>
      <c r="C233">
        <v>400.38861022200001</v>
      </c>
    </row>
    <row r="234" spans="1:3" x14ac:dyDescent="0.25">
      <c r="A234">
        <v>6</v>
      </c>
      <c r="B234">
        <v>7</v>
      </c>
      <c r="C234">
        <v>1588.52197611</v>
      </c>
    </row>
    <row r="235" spans="1:3" x14ac:dyDescent="0.25">
      <c r="A235">
        <v>7</v>
      </c>
      <c r="B235">
        <v>1</v>
      </c>
      <c r="C235">
        <v>15784.0795602</v>
      </c>
    </row>
    <row r="236" spans="1:3" x14ac:dyDescent="0.25">
      <c r="A236">
        <v>7</v>
      </c>
      <c r="B236">
        <v>2</v>
      </c>
      <c r="C236">
        <v>2219.9521363899999</v>
      </c>
    </row>
    <row r="237" spans="1:3" x14ac:dyDescent="0.25">
      <c r="A237">
        <v>7</v>
      </c>
      <c r="B237">
        <v>3</v>
      </c>
      <c r="C237">
        <v>3.9987531172100002</v>
      </c>
    </row>
    <row r="238" spans="1:3" x14ac:dyDescent="0.25">
      <c r="A238">
        <v>7</v>
      </c>
      <c r="B238">
        <v>4</v>
      </c>
      <c r="C238">
        <v>2253.9594944</v>
      </c>
    </row>
    <row r="239" spans="1:3" x14ac:dyDescent="0.25">
      <c r="A239">
        <v>7</v>
      </c>
      <c r="B239">
        <v>5</v>
      </c>
      <c r="C239">
        <v>1522.35037698</v>
      </c>
    </row>
    <row r="240" spans="1:3" x14ac:dyDescent="0.25">
      <c r="A240">
        <v>7</v>
      </c>
      <c r="B240">
        <v>6</v>
      </c>
      <c r="C240">
        <v>261.410378933</v>
      </c>
    </row>
    <row r="241" spans="1:3" x14ac:dyDescent="0.25">
      <c r="A241">
        <v>7</v>
      </c>
      <c r="B241">
        <v>7</v>
      </c>
      <c r="C241">
        <v>1606.2327470099999</v>
      </c>
    </row>
    <row r="242" spans="1:3" x14ac:dyDescent="0.25">
      <c r="A242">
        <v>8</v>
      </c>
      <c r="B242">
        <v>1</v>
      </c>
      <c r="C242">
        <v>4472.6855118100002</v>
      </c>
    </row>
    <row r="243" spans="1:3" x14ac:dyDescent="0.25">
      <c r="A243">
        <v>8</v>
      </c>
      <c r="B243">
        <v>2</v>
      </c>
      <c r="C243">
        <v>2452.4660772100001</v>
      </c>
    </row>
    <row r="244" spans="1:3" x14ac:dyDescent="0.25">
      <c r="A244">
        <v>8</v>
      </c>
      <c r="B244">
        <v>3</v>
      </c>
      <c r="C244">
        <v>0.25</v>
      </c>
    </row>
    <row r="245" spans="1:3" x14ac:dyDescent="0.25">
      <c r="A245">
        <v>8</v>
      </c>
      <c r="B245">
        <v>4</v>
      </c>
      <c r="C245">
        <v>1181.4309745099999</v>
      </c>
    </row>
    <row r="246" spans="1:3" x14ac:dyDescent="0.25">
      <c r="A246">
        <v>8</v>
      </c>
      <c r="B246">
        <v>5</v>
      </c>
      <c r="C246">
        <v>644.05508407299999</v>
      </c>
    </row>
    <row r="247" spans="1:3" x14ac:dyDescent="0.25">
      <c r="A247">
        <v>8</v>
      </c>
      <c r="B247">
        <v>6</v>
      </c>
      <c r="C247">
        <v>150.41219582100001</v>
      </c>
    </row>
    <row r="248" spans="1:3" x14ac:dyDescent="0.25">
      <c r="A248">
        <v>8</v>
      </c>
      <c r="B248">
        <v>7</v>
      </c>
      <c r="C248">
        <v>472.11435965200002</v>
      </c>
    </row>
    <row r="249" spans="1:3" x14ac:dyDescent="0.25">
      <c r="A249">
        <v>9</v>
      </c>
      <c r="B249">
        <v>1</v>
      </c>
      <c r="C249">
        <v>4285.8611361100002</v>
      </c>
    </row>
    <row r="250" spans="1:3" x14ac:dyDescent="0.25">
      <c r="A250">
        <v>9</v>
      </c>
      <c r="B250">
        <v>2</v>
      </c>
      <c r="C250">
        <v>79.735493621200007</v>
      </c>
    </row>
    <row r="251" spans="1:3" x14ac:dyDescent="0.25">
      <c r="A251">
        <v>9</v>
      </c>
      <c r="B251">
        <v>4</v>
      </c>
      <c r="C251">
        <v>309.81525907700001</v>
      </c>
    </row>
    <row r="252" spans="1:3" x14ac:dyDescent="0.25">
      <c r="A252">
        <v>9</v>
      </c>
      <c r="B252">
        <v>5</v>
      </c>
      <c r="C252">
        <v>345.13197452700001</v>
      </c>
    </row>
    <row r="253" spans="1:3" x14ac:dyDescent="0.25">
      <c r="A253">
        <v>9</v>
      </c>
      <c r="B253">
        <v>6</v>
      </c>
      <c r="C253">
        <v>5.0117647058800001</v>
      </c>
    </row>
    <row r="254" spans="1:3" x14ac:dyDescent="0.25">
      <c r="A254">
        <v>9</v>
      </c>
      <c r="B254">
        <v>7</v>
      </c>
      <c r="C254">
        <v>180.47060188399999</v>
      </c>
    </row>
    <row r="255" spans="1:3" x14ac:dyDescent="0.25">
      <c r="A255">
        <v>10</v>
      </c>
      <c r="B255">
        <v>1</v>
      </c>
      <c r="C255">
        <v>5069.5348162500004</v>
      </c>
    </row>
    <row r="256" spans="1:3" x14ac:dyDescent="0.25">
      <c r="A256">
        <v>10</v>
      </c>
      <c r="B256">
        <v>2</v>
      </c>
      <c r="C256">
        <v>1888.5080622400001</v>
      </c>
    </row>
    <row r="257" spans="1:3" x14ac:dyDescent="0.25">
      <c r="A257">
        <v>10</v>
      </c>
      <c r="B257">
        <v>4</v>
      </c>
      <c r="C257">
        <v>1381.9378024</v>
      </c>
    </row>
    <row r="258" spans="1:3" x14ac:dyDescent="0.25">
      <c r="A258">
        <v>10</v>
      </c>
      <c r="B258">
        <v>5</v>
      </c>
      <c r="C258">
        <v>1850.84849723</v>
      </c>
    </row>
    <row r="259" spans="1:3" x14ac:dyDescent="0.25">
      <c r="A259">
        <v>10</v>
      </c>
      <c r="B259">
        <v>6</v>
      </c>
      <c r="C259">
        <v>182.66586902399999</v>
      </c>
    </row>
    <row r="260" spans="1:3" x14ac:dyDescent="0.25">
      <c r="A260">
        <v>10</v>
      </c>
      <c r="B260">
        <v>7</v>
      </c>
      <c r="C260">
        <v>669.78848863400003</v>
      </c>
    </row>
    <row r="261" spans="1:3" x14ac:dyDescent="0.25">
      <c r="A261">
        <v>11</v>
      </c>
      <c r="B261">
        <v>1</v>
      </c>
      <c r="C261">
        <v>795.480141033</v>
      </c>
    </row>
    <row r="262" spans="1:3" x14ac:dyDescent="0.25">
      <c r="A262">
        <v>11</v>
      </c>
      <c r="B262">
        <v>4</v>
      </c>
      <c r="C262">
        <v>176.99529916899999</v>
      </c>
    </row>
    <row r="263" spans="1:3" x14ac:dyDescent="0.25">
      <c r="A263">
        <v>11</v>
      </c>
      <c r="B263">
        <v>5</v>
      </c>
      <c r="C263">
        <v>70.229121039099994</v>
      </c>
    </row>
    <row r="264" spans="1:3" x14ac:dyDescent="0.25">
      <c r="A264">
        <v>11</v>
      </c>
      <c r="B264">
        <v>7</v>
      </c>
      <c r="C264">
        <v>537.82217784099998</v>
      </c>
    </row>
    <row r="265" spans="1:3" x14ac:dyDescent="0.25">
      <c r="A265">
        <v>11</v>
      </c>
      <c r="B265">
        <v>1</v>
      </c>
      <c r="C265">
        <v>920.01587820300006</v>
      </c>
    </row>
    <row r="266" spans="1:3" x14ac:dyDescent="0.25">
      <c r="A266">
        <v>11</v>
      </c>
      <c r="B266">
        <v>4</v>
      </c>
      <c r="C266">
        <v>176.982881733</v>
      </c>
    </row>
    <row r="267" spans="1:3" x14ac:dyDescent="0.25">
      <c r="A267">
        <v>11</v>
      </c>
      <c r="B267">
        <v>5</v>
      </c>
      <c r="C267">
        <v>55.241414679199998</v>
      </c>
    </row>
    <row r="268" spans="1:3" x14ac:dyDescent="0.25">
      <c r="A268">
        <v>11</v>
      </c>
      <c r="B268">
        <v>7</v>
      </c>
      <c r="C268">
        <v>537.35265324600005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40</vt:i4>
      </vt:variant>
    </vt:vector>
  </HeadingPairs>
  <TitlesOfParts>
    <vt:vector size="58" baseType="lpstr">
      <vt:lpstr>AllPurposes</vt:lpstr>
      <vt:lpstr>Work</vt:lpstr>
      <vt:lpstr>School</vt:lpstr>
      <vt:lpstr>Escort</vt:lpstr>
      <vt:lpstr>Personal_Business</vt:lpstr>
      <vt:lpstr>Shop</vt:lpstr>
      <vt:lpstr>Meal</vt:lpstr>
      <vt:lpstr>SocRec</vt:lpstr>
      <vt:lpstr>Workbased</vt:lpstr>
      <vt:lpstr>Documentation</vt:lpstr>
      <vt:lpstr>CoeffDef</vt:lpstr>
      <vt:lpstr>WorkCoefficients</vt:lpstr>
      <vt:lpstr>SchoolCoeffcients</vt:lpstr>
      <vt:lpstr>EscortCoefficients</vt:lpstr>
      <vt:lpstr>OtherCoefficients</vt:lpstr>
      <vt:lpstr>WorkBasedCoefficients</vt:lpstr>
      <vt:lpstr>Calibration</vt:lpstr>
      <vt:lpstr>input_districts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wb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Angah, Ohay</cp:lastModifiedBy>
  <dcterms:created xsi:type="dcterms:W3CDTF">2011-03-29T15:31:17Z</dcterms:created>
  <dcterms:modified xsi:type="dcterms:W3CDTF">2025-09-03T00:55:24Z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3b60dade-a1b9-434c-9b15-743422aea5ab</vt:lpwstr>
  </property>
</Properties>
</file>