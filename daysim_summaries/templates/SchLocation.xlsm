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BKRCast\BKRCast\daysim_summaries\output\"/>
    </mc:Choice>
  </mc:AlternateContent>
  <xr:revisionPtr revIDLastSave="0" documentId="13_ncr:1_{FBBDCB21-66AA-477B-B081-5730C560B21E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7" i="1" l="1"/>
  <c r="I27" i="1"/>
  <c r="H27" i="1"/>
  <c r="G27" i="1"/>
  <c r="F27" i="1"/>
  <c r="E27" i="1"/>
  <c r="D27" i="1"/>
  <c r="C27" i="1"/>
  <c r="B27" i="1"/>
  <c r="T4" i="15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4" i="1" l="1"/>
  <c r="H23" i="1"/>
  <c r="H25" i="1"/>
  <c r="Q33" i="12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B26" i="1" s="1"/>
  <c r="U9" i="1"/>
  <c r="H22" i="1" s="1"/>
  <c r="U8" i="1"/>
  <c r="H21" i="1" s="1"/>
  <c r="U7" i="1"/>
  <c r="J7" i="1"/>
  <c r="I26" i="1" l="1"/>
  <c r="G26" i="1"/>
  <c r="E26" i="1"/>
  <c r="D26" i="1"/>
  <c r="C26" i="1"/>
  <c r="H26" i="1"/>
  <c r="F26" i="1"/>
  <c r="H20" i="1"/>
  <c r="J26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Q39" i="1" l="1"/>
  <c r="S33" i="1"/>
  <c r="N39" i="1"/>
  <c r="P39" i="1"/>
  <c r="R39" i="1"/>
  <c r="S37" i="1"/>
  <c r="S36" i="1"/>
  <c r="S39" i="1"/>
  <c r="S35" i="1"/>
  <c r="S38" i="1"/>
  <c r="M39" i="1"/>
  <c r="O39" i="1"/>
  <c r="S34" i="1"/>
  <c r="G39" i="1"/>
  <c r="G17" i="15"/>
  <c r="H28" i="1"/>
  <c r="T40" i="1"/>
  <c r="N40" i="1"/>
  <c r="Q40" i="1"/>
  <c r="U40" i="1"/>
  <c r="T39" i="1"/>
  <c r="P40" i="1"/>
  <c r="M40" i="1"/>
  <c r="R40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H33" i="1" s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D39" i="1" l="1"/>
  <c r="E39" i="1"/>
  <c r="C39" i="1"/>
  <c r="I39" i="1"/>
  <c r="Z39" i="1"/>
  <c r="H39" i="1"/>
  <c r="AD39" i="1" s="1"/>
  <c r="AC39" i="1"/>
  <c r="B39" i="1"/>
  <c r="X39" i="1" s="1"/>
  <c r="H38" i="1"/>
  <c r="AD38" i="1" s="1"/>
  <c r="H35" i="1"/>
  <c r="AD35" i="1" s="1"/>
  <c r="H37" i="1"/>
  <c r="AD37" i="1" s="1"/>
  <c r="H34" i="1"/>
  <c r="AD34" i="1" s="1"/>
  <c r="H36" i="1"/>
  <c r="AD36" i="1" s="1"/>
  <c r="AA39" i="1"/>
  <c r="Y39" i="1"/>
  <c r="AD33" i="1"/>
  <c r="F39" i="1"/>
  <c r="AB39" i="1" s="1"/>
  <c r="F35" i="1"/>
  <c r="AB35" i="1" s="1"/>
  <c r="H40" i="1"/>
  <c r="AD40" i="1" s="1"/>
  <c r="J39" i="1"/>
  <c r="AF39" i="1" s="1"/>
  <c r="H41" i="1"/>
  <c r="AD41" i="1" s="1"/>
  <c r="AE39" i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<sst xmlns="http://schemas.openxmlformats.org/spreadsheetml/2006/main" count="673" uniqueCount="260">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</sst>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</cellStyleXfs>
  <cellXfs count="7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0" fillId="0" borderId="0" xfId="0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0" fontId="0" fillId="0" borderId="0" xfId="0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Border="1"/>
    <xf numFmtId="0" fontId="0" fillId="0" borderId="5" xfId="0" applyBorder="1"/>
    <xf numFmtId="2" fontId="0" fillId="0" borderId="5" xfId="0" applyNumberForma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/>
    <xf numFmtId="168" fontId="0" fillId="0" borderId="5" xfId="8" applyNumberFormat="1" applyFont="1" applyBorder="1"/>
    <xf numFmtId="168" fontId="0" fillId="0" borderId="4" xfId="8" applyNumberFormat="1" applyFont="1" applyBorder="1"/>
    <xf numFmtId="168" fontId="0" fillId="0" borderId="0" xfId="8" applyNumberFormat="1" applyFont="1"/>
    <xf numFmtId="168" fontId="0" fillId="0" borderId="1" xfId="8" applyNumberFormat="1" applyFont="1" applyBorder="1"/>
    <xf numFmtId="168" fontId="2" fillId="0" borderId="0" xfId="8" applyNumberFormat="1" applyFont="1" applyAlignment="1"/>
    <xf numFmtId="168" fontId="0" fillId="0" borderId="3" xfId="8" applyNumberFormat="1" applyFont="1" applyBorder="1"/>
    <xf numFmtId="168" fontId="0" fillId="0" borderId="0" xfId="8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28283.803500000002</c:v>
                </c:pt>
                <c:pt idx="1">
                  <c:v>37057.117700000003</c:v>
                </c:pt>
                <c:pt idx="2">
                  <c:v>41808.894600000007</c:v>
                </c:pt>
                <c:pt idx="3">
                  <c:v>61176.952599999997</c:v>
                </c:pt>
                <c:pt idx="4">
                  <c:v>124119.2781</c:v>
                </c:pt>
                <c:pt idx="5">
                  <c:v>55653.2886</c:v>
                </c:pt>
                <c:pt idx="6">
                  <c:v>93708.412800000006</c:v>
                </c:pt>
                <c:pt idx="7">
                  <c:v>28200.5867</c:v>
                </c:pt>
                <c:pt idx="8">
                  <c:v>23643.332900000001</c:v>
                </c:pt>
                <c:pt idx="9">
                  <c:v>13889.3331</c:v>
                </c:pt>
                <c:pt idx="10">
                  <c:v>28697.0995</c:v>
                </c:pt>
                <c:pt idx="11">
                  <c:v>11390.559899999998</c:v>
                </c:pt>
                <c:pt idx="12">
                  <c:v>6652.1427999999996</c:v>
                </c:pt>
                <c:pt idx="13">
                  <c:v>2205.5441999999998</c:v>
                </c:pt>
                <c:pt idx="14">
                  <c:v>3804.7914999999998</c:v>
                </c:pt>
                <c:pt idx="15">
                  <c:v>3020.4777000000004</c:v>
                </c:pt>
                <c:pt idx="16">
                  <c:v>6187.3109999999997</c:v>
                </c:pt>
                <c:pt idx="17">
                  <c:v>1403.6229999999998</c:v>
                </c:pt>
                <c:pt idx="18">
                  <c:v>3288.2235000000001</c:v>
                </c:pt>
                <c:pt idx="19">
                  <c:v>1865.4735000000001</c:v>
                </c:pt>
                <c:pt idx="20">
                  <c:v>326.2987</c:v>
                </c:pt>
                <c:pt idx="21">
                  <c:v>6190.7829000000002</c:v>
                </c:pt>
                <c:pt idx="22">
                  <c:v>266.13509999999997</c:v>
                </c:pt>
                <c:pt idx="23">
                  <c:v>3070.7799</c:v>
                </c:pt>
                <c:pt idx="24">
                  <c:v>458.12399999999997</c:v>
                </c:pt>
                <c:pt idx="25">
                  <c:v>87.069000000000003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163830.47078967516</c:v>
                </c:pt>
                <c:pt idx="1">
                  <c:v>113548.07363800435</c:v>
                </c:pt>
                <c:pt idx="2">
                  <c:v>64128.371992895482</c:v>
                </c:pt>
                <c:pt idx="3">
                  <c:v>38837.146452371955</c:v>
                </c:pt>
                <c:pt idx="4">
                  <c:v>137506.48787905835</c:v>
                </c:pt>
                <c:pt idx="5">
                  <c:v>64049.992062268982</c:v>
                </c:pt>
                <c:pt idx="6">
                  <c:v>61344.63691718773</c:v>
                </c:pt>
                <c:pt idx="7">
                  <c:v>29182.697166208876</c:v>
                </c:pt>
                <c:pt idx="8">
                  <c:v>36835.462166997815</c:v>
                </c:pt>
                <c:pt idx="9">
                  <c:v>22861.810644088691</c:v>
                </c:pt>
                <c:pt idx="10">
                  <c:v>10835.926381693338</c:v>
                </c:pt>
                <c:pt idx="11">
                  <c:v>11994.261166321518</c:v>
                </c:pt>
                <c:pt idx="12">
                  <c:v>10656.927167452615</c:v>
                </c:pt>
                <c:pt idx="13">
                  <c:v>6841.869355358851</c:v>
                </c:pt>
                <c:pt idx="14">
                  <c:v>6508.9627894740643</c:v>
                </c:pt>
                <c:pt idx="15">
                  <c:v>4357.5329558026397</c:v>
                </c:pt>
                <c:pt idx="16">
                  <c:v>4223.4330881861242</c:v>
                </c:pt>
                <c:pt idx="17">
                  <c:v>3455.4880921844433</c:v>
                </c:pt>
                <c:pt idx="18">
                  <c:v>2635.1106575621334</c:v>
                </c:pt>
                <c:pt idx="19">
                  <c:v>1850.6590679901765</c:v>
                </c:pt>
                <c:pt idx="20">
                  <c:v>1096.6375108112334</c:v>
                </c:pt>
                <c:pt idx="21">
                  <c:v>1514.714400669171</c:v>
                </c:pt>
                <c:pt idx="22">
                  <c:v>725.76698881613527</c:v>
                </c:pt>
                <c:pt idx="23">
                  <c:v>1214.1531127641506</c:v>
                </c:pt>
                <c:pt idx="24">
                  <c:v>688.38108058613739</c:v>
                </c:pt>
                <c:pt idx="25">
                  <c:v>602.81456287912863</c:v>
                </c:pt>
                <c:pt idx="26">
                  <c:v>432.22471118666778</c:v>
                </c:pt>
                <c:pt idx="27">
                  <c:v>476.57143986288872</c:v>
                </c:pt>
                <c:pt idx="28">
                  <c:v>368.00290449715772</c:v>
                </c:pt>
                <c:pt idx="29">
                  <c:v>338.80916534157024</c:v>
                </c:pt>
                <c:pt idx="30">
                  <c:v>166.27141046069497</c:v>
                </c:pt>
                <c:pt idx="31">
                  <c:v>256.79939052456973</c:v>
                </c:pt>
                <c:pt idx="32">
                  <c:v>112.41869690914478</c:v>
                </c:pt>
                <c:pt idx="33">
                  <c:v>693.77630122367259</c:v>
                </c:pt>
                <c:pt idx="34">
                  <c:v>577.42670348243291</c:v>
                </c:pt>
                <c:pt idx="35">
                  <c:v>45.452183834747814</c:v>
                </c:pt>
                <c:pt idx="36">
                  <c:v>69.589580420526445</c:v>
                </c:pt>
                <c:pt idx="37">
                  <c:v>67.709319746114218</c:v>
                </c:pt>
                <c:pt idx="38">
                  <c:v>162.36740183578098</c:v>
                </c:pt>
                <c:pt idx="39">
                  <c:v>50.140223743423178</c:v>
                </c:pt>
                <c:pt idx="40">
                  <c:v>28.304037249213451</c:v>
                </c:pt>
                <c:pt idx="41">
                  <c:v>40.562191735593743</c:v>
                </c:pt>
                <c:pt idx="42">
                  <c:v>15.656750302982974</c:v>
                </c:pt>
                <c:pt idx="43">
                  <c:v>117.71193268739268</c:v>
                </c:pt>
                <c:pt idx="44">
                  <c:v>39.852333675095586</c:v>
                </c:pt>
                <c:pt idx="45">
                  <c:v>145.83837056210155</c:v>
                </c:pt>
                <c:pt idx="46">
                  <c:v>62.400537542026534</c:v>
                </c:pt>
                <c:pt idx="47">
                  <c:v>66.853316539889988</c:v>
                </c:pt>
                <c:pt idx="48">
                  <c:v>24.536551264978453</c:v>
                </c:pt>
                <c:pt idx="49">
                  <c:v>92.711895250772287</c:v>
                </c:pt>
                <c:pt idx="50">
                  <c:v>14.95</c:v>
                </c:pt>
                <c:pt idx="51">
                  <c:v>30.498027315176344</c:v>
                </c:pt>
                <c:pt idx="52">
                  <c:v>5.0477585441630755</c:v>
                </c:pt>
                <c:pt idx="53">
                  <c:v>20.350994390616055</c:v>
                </c:pt>
                <c:pt idx="54">
                  <c:v>2.2999999999999998</c:v>
                </c:pt>
                <c:pt idx="55">
                  <c:v>5.4955170883261513</c:v>
                </c:pt>
                <c:pt idx="56">
                  <c:v>9.1999999999999993</c:v>
                </c:pt>
                <c:pt idx="57">
                  <c:v>4.5999999999999996</c:v>
                </c:pt>
                <c:pt idx="58">
                  <c:v>3.8504971953080278</c:v>
                </c:pt>
                <c:pt idx="59">
                  <c:v>5.0496747967480076</c:v>
                </c:pt>
                <c:pt idx="60">
                  <c:v>5.75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8226.0259000000005</c:v>
                </c:pt>
                <c:pt idx="4">
                  <c:v>11133.814400000001</c:v>
                </c:pt>
                <c:pt idx="5">
                  <c:v>13429.1803</c:v>
                </c:pt>
                <c:pt idx="6">
                  <c:v>7461.1718000000001</c:v>
                </c:pt>
                <c:pt idx="7">
                  <c:v>10962.8501</c:v>
                </c:pt>
                <c:pt idx="8">
                  <c:v>3418.5214999999998</c:v>
                </c:pt>
                <c:pt idx="9">
                  <c:v>11882.283399999998</c:v>
                </c:pt>
                <c:pt idx="10">
                  <c:v>5144.3666000000003</c:v>
                </c:pt>
                <c:pt idx="11">
                  <c:v>9585.0202000000008</c:v>
                </c:pt>
                <c:pt idx="12">
                  <c:v>22760.1551</c:v>
                </c:pt>
                <c:pt idx="13">
                  <c:v>8704.3775999999998</c:v>
                </c:pt>
                <c:pt idx="14">
                  <c:v>13748.096600000001</c:v>
                </c:pt>
                <c:pt idx="15">
                  <c:v>1540.0192</c:v>
                </c:pt>
                <c:pt idx="16">
                  <c:v>29645.162799999998</c:v>
                </c:pt>
                <c:pt idx="17">
                  <c:v>11738.621099999998</c:v>
                </c:pt>
                <c:pt idx="18">
                  <c:v>48306.394099999998</c:v>
                </c:pt>
                <c:pt idx="19">
                  <c:v>29028.595399999998</c:v>
                </c:pt>
                <c:pt idx="20">
                  <c:v>46657.832900000009</c:v>
                </c:pt>
                <c:pt idx="21">
                  <c:v>26928.785100000001</c:v>
                </c:pt>
                <c:pt idx="22">
                  <c:v>27811.2425</c:v>
                </c:pt>
                <c:pt idx="23">
                  <c:v>6255.8771999999999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41901.392099999997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19811.379900000004</c:v>
                </c:pt>
                <c:pt idx="31">
                  <c:v>8290.7476000000006</c:v>
                </c:pt>
                <c:pt idx="32">
                  <c:v>5669.9252000000006</c:v>
                </c:pt>
                <c:pt idx="33">
                  <c:v>5997.2613999999994</c:v>
                </c:pt>
                <c:pt idx="34">
                  <c:v>14736.835499999999</c:v>
                </c:pt>
                <c:pt idx="35">
                  <c:v>826.43970000000002</c:v>
                </c:pt>
                <c:pt idx="36">
                  <c:v>1609.7055</c:v>
                </c:pt>
                <c:pt idx="37">
                  <c:v>6643.0817999999999</c:v>
                </c:pt>
                <c:pt idx="38">
                  <c:v>6114.2946999999995</c:v>
                </c:pt>
                <c:pt idx="39">
                  <c:v>2063.2050999999997</c:v>
                </c:pt>
                <c:pt idx="40">
                  <c:v>201.06739999999999</c:v>
                </c:pt>
                <c:pt idx="41">
                  <c:v>5718.7871999999998</c:v>
                </c:pt>
                <c:pt idx="42">
                  <c:v>214.2046</c:v>
                </c:pt>
                <c:pt idx="43">
                  <c:v>1068.8702000000001</c:v>
                </c:pt>
                <c:pt idx="44">
                  <c:v>1276.2198000000001</c:v>
                </c:pt>
                <c:pt idx="45">
                  <c:v>21000.450500000003</c:v>
                </c:pt>
                <c:pt idx="46">
                  <c:v>1472.4092000000001</c:v>
                </c:pt>
                <c:pt idx="47">
                  <c:v>988.41480000000001</c:v>
                </c:pt>
                <c:pt idx="48">
                  <c:v>82.013999999999996</c:v>
                </c:pt>
                <c:pt idx="49">
                  <c:v>1436.174</c:v>
                </c:pt>
                <c:pt idx="50">
                  <c:v>742.70370000000003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56061.602787068077</c:v>
                </c:pt>
                <c:pt idx="1">
                  <c:v>23805.445236624975</c:v>
                </c:pt>
                <c:pt idx="2">
                  <c:v>30828.673685114652</c:v>
                </c:pt>
                <c:pt idx="3">
                  <c:v>33604.470435329291</c:v>
                </c:pt>
                <c:pt idx="4">
                  <c:v>33763.383806222671</c:v>
                </c:pt>
                <c:pt idx="5">
                  <c:v>32732.924089601154</c:v>
                </c:pt>
                <c:pt idx="6">
                  <c:v>30986.436845356311</c:v>
                </c:pt>
                <c:pt idx="7">
                  <c:v>27638.987615095153</c:v>
                </c:pt>
                <c:pt idx="8">
                  <c:v>23973.53580572654</c:v>
                </c:pt>
                <c:pt idx="9">
                  <c:v>21313.771019194279</c:v>
                </c:pt>
                <c:pt idx="10">
                  <c:v>18041.893286800059</c:v>
                </c:pt>
                <c:pt idx="11">
                  <c:v>15413.014047854993</c:v>
                </c:pt>
                <c:pt idx="12">
                  <c:v>14100.374771490018</c:v>
                </c:pt>
                <c:pt idx="13">
                  <c:v>11023.763695597449</c:v>
                </c:pt>
                <c:pt idx="14">
                  <c:v>9923.9568793153503</c:v>
                </c:pt>
                <c:pt idx="15">
                  <c:v>9085.290752487319</c:v>
                </c:pt>
                <c:pt idx="16">
                  <c:v>7926.2473316601363</c:v>
                </c:pt>
                <c:pt idx="17">
                  <c:v>8290.5491188030246</c:v>
                </c:pt>
                <c:pt idx="18">
                  <c:v>98788.569210066969</c:v>
                </c:pt>
                <c:pt idx="19">
                  <c:v>24674.781852489934</c:v>
                </c:pt>
                <c:pt idx="20">
                  <c:v>17898.797110324682</c:v>
                </c:pt>
                <c:pt idx="21">
                  <c:v>30396.922190802434</c:v>
                </c:pt>
                <c:pt idx="22">
                  <c:v>32892.103330697639</c:v>
                </c:pt>
                <c:pt idx="23">
                  <c:v>25810.281721945194</c:v>
                </c:pt>
                <c:pt idx="24">
                  <c:v>24649.30598677673</c:v>
                </c:pt>
                <c:pt idx="25">
                  <c:v>12807.815677235387</c:v>
                </c:pt>
                <c:pt idx="26">
                  <c:v>22485.210572125172</c:v>
                </c:pt>
                <c:pt idx="27">
                  <c:v>17304.42145582143</c:v>
                </c:pt>
                <c:pt idx="28">
                  <c:v>9601.3651452591694</c:v>
                </c:pt>
                <c:pt idx="29">
                  <c:v>8514.6170371499647</c:v>
                </c:pt>
                <c:pt idx="30">
                  <c:v>6346.6648314778431</c:v>
                </c:pt>
                <c:pt idx="31">
                  <c:v>14495.292881594753</c:v>
                </c:pt>
                <c:pt idx="32">
                  <c:v>5815.3317120823949</c:v>
                </c:pt>
                <c:pt idx="33">
                  <c:v>7452.8524268836563</c:v>
                </c:pt>
                <c:pt idx="34">
                  <c:v>5625.0439372236051</c:v>
                </c:pt>
                <c:pt idx="35">
                  <c:v>4074.8479508142486</c:v>
                </c:pt>
                <c:pt idx="36">
                  <c:v>4403.0570300723666</c:v>
                </c:pt>
                <c:pt idx="37">
                  <c:v>3385.7961744678896</c:v>
                </c:pt>
                <c:pt idx="38">
                  <c:v>1958.1880824436048</c:v>
                </c:pt>
                <c:pt idx="39">
                  <c:v>1463.9393857760615</c:v>
                </c:pt>
                <c:pt idx="40">
                  <c:v>3828.1628755749553</c:v>
                </c:pt>
                <c:pt idx="41">
                  <c:v>2542.5916723394048</c:v>
                </c:pt>
                <c:pt idx="42">
                  <c:v>759.65992210030709</c:v>
                </c:pt>
                <c:pt idx="43">
                  <c:v>965.66672532946291</c:v>
                </c:pt>
                <c:pt idx="44">
                  <c:v>676.17405416024314</c:v>
                </c:pt>
                <c:pt idx="45">
                  <c:v>773.37577848230944</c:v>
                </c:pt>
                <c:pt idx="46">
                  <c:v>573.18164920610411</c:v>
                </c:pt>
                <c:pt idx="47">
                  <c:v>668.20106478519142</c:v>
                </c:pt>
                <c:pt idx="48">
                  <c:v>630.24133273057214</c:v>
                </c:pt>
                <c:pt idx="49">
                  <c:v>368.68940524851632</c:v>
                </c:pt>
                <c:pt idx="50">
                  <c:v>349.0968940280074</c:v>
                </c:pt>
                <c:pt idx="51">
                  <c:v>1002.5686795781035</c:v>
                </c:pt>
                <c:pt idx="52">
                  <c:v>677.48454471063462</c:v>
                </c:pt>
                <c:pt idx="53">
                  <c:v>424.41738856451582</c:v>
                </c:pt>
                <c:pt idx="54">
                  <c:v>280.26226444834822</c:v>
                </c:pt>
                <c:pt idx="55">
                  <c:v>129.99602283090348</c:v>
                </c:pt>
                <c:pt idx="56">
                  <c:v>118.14201108142777</c:v>
                </c:pt>
                <c:pt idx="57">
                  <c:v>251.04856608274696</c:v>
                </c:pt>
                <c:pt idx="58">
                  <c:v>161.63150793681075</c:v>
                </c:pt>
                <c:pt idx="59">
                  <c:v>68.181381495242107</c:v>
                </c:pt>
                <c:pt idx="60">
                  <c:v>100.91777187868969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workbookViewId="0">
      <selection activeCell="L21" sqref="L21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3" max="4" width="9.5703125" bestFit="1" customWidth="1" collapsed="1"/>
    <col min="5" max="5" width="10.5703125" bestFit="1" customWidth="1" collapsed="1"/>
    <col min="7" max="7" width="13.140625" customWidth="1" collapsed="1"/>
    <col min="8" max="8" width="10.5703125" bestFit="1" customWidth="1" collapsed="1"/>
    <col min="9" max="10" width="9.5703125" bestFit="1" customWidth="1" collapsed="1"/>
    <col min="11" max="11" width="15.85546875" bestFit="1" customWidth="1" collapsed="1"/>
    <col min="15" max="15" width="15.7109375" bestFit="1" customWidth="1" collapsed="1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r="9" spans="1:19" ht="15.75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M9" s="9" t="s">
        <v>34</v>
      </c>
      <c r="Q9" s="9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3"/>
      <c r="R10" s="27" t="s">
        <v>200</v>
      </c>
      <c r="S10" s="27" t="s">
        <v>35</v>
      </c>
    </row>
    <row r="11" spans="1:19" ht="15.75" thickBot="1" x14ac:dyDescent="0.3">
      <c r="A11">
        <v>0</v>
      </c>
      <c r="B11" s="65">
        <v>20622.883600000001</v>
      </c>
      <c r="C11" s="65">
        <v>0</v>
      </c>
      <c r="D11" s="65">
        <v>7660.9198999999999</v>
      </c>
      <c r="E11" s="65">
        <f t="shared" ref="E11:E42" si="0">SUM(B11:D11)</f>
        <v>28283.803500000002</v>
      </c>
      <c r="G11">
        <v>0</v>
      </c>
      <c r="H11" s="65">
        <v>123954.79206395964</v>
      </c>
      <c r="I11" s="65">
        <v>20296.354961541681</v>
      </c>
      <c r="J11" s="67">
        <v>19579.323764173845</v>
      </c>
      <c r="K11" s="65">
        <f t="shared" ref="K11:K42" si="1">SUM(H11:J11)</f>
        <v>163830.47078967516</v>
      </c>
      <c r="M11" t="s">
        <v>41</v>
      </c>
      <c r="N11" s="7">
        <v>5.2955866607631821</v>
      </c>
      <c r="O11" s="7">
        <v>3.6937641135557548</v>
      </c>
      <c r="Q11" s="1" t="s">
        <v>3</v>
      </c>
      <c r="R11" s="8"/>
      <c r="S11" s="8"/>
    </row>
    <row r="12" spans="1:19" x14ac:dyDescent="0.25">
      <c r="A12">
        <v>1</v>
      </c>
      <c r="B12" s="65">
        <v>32911.2192</v>
      </c>
      <c r="C12" s="65">
        <v>3301.3162000000002</v>
      </c>
      <c r="D12" s="65">
        <v>844.58230000000003</v>
      </c>
      <c r="E12" s="65">
        <f t="shared" si="0"/>
        <v>37057.117700000003</v>
      </c>
      <c r="G12">
        <v>1</v>
      </c>
      <c r="H12" s="65">
        <v>90243.183225931934</v>
      </c>
      <c r="I12" s="65">
        <v>13377.461033416541</v>
      </c>
      <c r="J12" s="67">
        <v>9927.4293786558719</v>
      </c>
      <c r="K12" s="65">
        <f t="shared" si="1"/>
        <v>113548.07363800435</v>
      </c>
      <c r="M12" t="s">
        <v>42</v>
      </c>
      <c r="N12" s="7">
        <v>6.415557529988825</v>
      </c>
      <c r="O12" s="7">
        <v>5.2908471664900976</v>
      </c>
      <c r="R12" s="7"/>
      <c r="S12" s="7"/>
    </row>
    <row r="13" spans="1:19" x14ac:dyDescent="0.25">
      <c r="A13">
        <v>2</v>
      </c>
      <c r="B13" s="65">
        <v>37425.110800000002</v>
      </c>
      <c r="C13" s="65">
        <v>2652.9</v>
      </c>
      <c r="D13" s="65">
        <v>1730.8838000000001</v>
      </c>
      <c r="E13" s="65">
        <f t="shared" si="0"/>
        <v>41808.894600000007</v>
      </c>
      <c r="G13">
        <v>2</v>
      </c>
      <c r="H13" s="65">
        <v>49752.276986648503</v>
      </c>
      <c r="I13" s="65">
        <v>8984.6187804285819</v>
      </c>
      <c r="J13" s="67">
        <v>5391.4762258183955</v>
      </c>
      <c r="K13" s="65">
        <f t="shared" si="1"/>
        <v>64128.371992895482</v>
      </c>
      <c r="M13" s="6" t="s">
        <v>43</v>
      </c>
      <c r="N13" s="15">
        <v>8.1078064875959495</v>
      </c>
      <c r="O13" s="15">
        <v>7.3604628168344286</v>
      </c>
      <c r="R13" s="7"/>
      <c r="S13" s="7"/>
    </row>
    <row r="14" spans="1:19" ht="15.75" thickBot="1" x14ac:dyDescent="0.3">
      <c r="A14">
        <v>3</v>
      </c>
      <c r="B14" s="65">
        <v>52295.974499999997</v>
      </c>
      <c r="C14" s="65">
        <v>5458.6975000000002</v>
      </c>
      <c r="D14" s="65">
        <v>3422.2806</v>
      </c>
      <c r="E14" s="65">
        <f t="shared" si="0"/>
        <v>61176.952599999997</v>
      </c>
      <c r="G14">
        <v>3</v>
      </c>
      <c r="H14" s="65">
        <v>27818.373178532391</v>
      </c>
      <c r="I14" s="65">
        <v>6334.1098931992374</v>
      </c>
      <c r="J14" s="67">
        <v>4684.6633806403261</v>
      </c>
      <c r="K14" s="65">
        <f t="shared" si="1"/>
        <v>38837.146452371955</v>
      </c>
      <c r="M14" s="1" t="s">
        <v>3</v>
      </c>
      <c r="N14" s="8">
        <v>5.7395096200868521</v>
      </c>
      <c r="O14" s="8">
        <v>4.6521335542049602</v>
      </c>
    </row>
    <row r="15" spans="1:19" x14ac:dyDescent="0.25">
      <c r="A15">
        <v>4</v>
      </c>
      <c r="B15" s="65">
        <v>99648.912899999996</v>
      </c>
      <c r="C15" s="65">
        <v>12602.233</v>
      </c>
      <c r="D15" s="65">
        <v>11868.1322</v>
      </c>
      <c r="E15" s="65">
        <f t="shared" si="0"/>
        <v>124119.2781</v>
      </c>
      <c r="G15">
        <v>4</v>
      </c>
      <c r="H15" s="65">
        <v>92919.522707392258</v>
      </c>
      <c r="I15" s="65">
        <v>23884.914128020988</v>
      </c>
      <c r="J15" s="67">
        <v>20702.051043645104</v>
      </c>
      <c r="K15" s="65">
        <f t="shared" si="1"/>
        <v>137506.48787905835</v>
      </c>
    </row>
    <row r="16" spans="1:19" x14ac:dyDescent="0.25">
      <c r="A16">
        <v>5</v>
      </c>
      <c r="B16" s="65">
        <v>41873.711199999998</v>
      </c>
      <c r="C16" s="65">
        <v>8814.9107000000004</v>
      </c>
      <c r="D16" s="65">
        <v>4964.6666999999998</v>
      </c>
      <c r="E16" s="65">
        <f t="shared" si="0"/>
        <v>55653.2886</v>
      </c>
      <c r="G16">
        <v>5</v>
      </c>
      <c r="H16" s="65">
        <v>33858.474032503196</v>
      </c>
      <c r="I16" s="65">
        <v>11992.741661976715</v>
      </c>
      <c r="J16" s="67">
        <v>18198.776367789069</v>
      </c>
      <c r="K16" s="65">
        <f t="shared" si="1"/>
        <v>64049.992062268982</v>
      </c>
    </row>
    <row r="17" spans="1:11" x14ac:dyDescent="0.25">
      <c r="A17">
        <v>6</v>
      </c>
      <c r="B17" s="65">
        <v>72254.489000000001</v>
      </c>
      <c r="C17" s="65">
        <v>13808.623900000001</v>
      </c>
      <c r="D17" s="65">
        <v>7645.2999</v>
      </c>
      <c r="E17" s="65">
        <f t="shared" si="0"/>
        <v>93708.412800000006</v>
      </c>
      <c r="G17">
        <v>6</v>
      </c>
      <c r="H17" s="65">
        <v>35185.141694039376</v>
      </c>
      <c r="I17" s="65">
        <v>11973.018256319006</v>
      </c>
      <c r="J17" s="67">
        <v>14186.476966829341</v>
      </c>
      <c r="K17" s="65">
        <f t="shared" si="1"/>
        <v>61344.63691718773</v>
      </c>
    </row>
    <row r="18" spans="1:11" x14ac:dyDescent="0.25">
      <c r="A18">
        <v>7</v>
      </c>
      <c r="B18" s="65">
        <v>20062.444500000001</v>
      </c>
      <c r="C18" s="65">
        <v>2110.6226000000001</v>
      </c>
      <c r="D18" s="65">
        <v>6027.5195999999996</v>
      </c>
      <c r="E18" s="65">
        <f t="shared" si="0"/>
        <v>28200.5867</v>
      </c>
      <c r="G18">
        <v>7</v>
      </c>
      <c r="H18" s="65">
        <v>14191.160188870763</v>
      </c>
      <c r="I18" s="65">
        <v>5314.1515478016618</v>
      </c>
      <c r="J18" s="67">
        <v>9677.3854295364526</v>
      </c>
      <c r="K18" s="65">
        <f t="shared" si="1"/>
        <v>29182.697166208876</v>
      </c>
    </row>
    <row r="19" spans="1:11" x14ac:dyDescent="0.25">
      <c r="A19">
        <v>8</v>
      </c>
      <c r="B19" s="65">
        <v>16886.608100000001</v>
      </c>
      <c r="C19" s="65">
        <v>5540.8172000000004</v>
      </c>
      <c r="D19" s="65">
        <v>1215.9076</v>
      </c>
      <c r="E19" s="65">
        <f t="shared" si="0"/>
        <v>23643.332900000001</v>
      </c>
      <c r="G19">
        <v>8</v>
      </c>
      <c r="H19" s="65">
        <v>19230.725385995436</v>
      </c>
      <c r="I19" s="65">
        <v>6467.7588921777769</v>
      </c>
      <c r="J19" s="67">
        <v>11136.977888824602</v>
      </c>
      <c r="K19" s="65">
        <f t="shared" si="1"/>
        <v>36835.462166997815</v>
      </c>
    </row>
    <row r="20" spans="1:11" x14ac:dyDescent="0.25">
      <c r="A20">
        <v>9</v>
      </c>
      <c r="B20" s="65">
        <v>9186.5568000000003</v>
      </c>
      <c r="C20" s="65">
        <v>3760.0686000000001</v>
      </c>
      <c r="D20" s="65">
        <v>942.70769999999993</v>
      </c>
      <c r="E20" s="65">
        <f t="shared" si="0"/>
        <v>13889.3331</v>
      </c>
      <c r="G20">
        <v>9</v>
      </c>
      <c r="H20" s="65">
        <v>10342.149149174522</v>
      </c>
      <c r="I20" s="65">
        <v>3957.7777945669577</v>
      </c>
      <c r="J20" s="67">
        <v>8561.883700347209</v>
      </c>
      <c r="K20" s="65">
        <f t="shared" si="1"/>
        <v>22861.810644088691</v>
      </c>
    </row>
    <row r="21" spans="1:11" x14ac:dyDescent="0.25">
      <c r="A21">
        <v>10</v>
      </c>
      <c r="B21" s="65">
        <v>20560.6374</v>
      </c>
      <c r="C21" s="65">
        <v>3606.0437999999999</v>
      </c>
      <c r="D21" s="65">
        <v>4530.4183000000003</v>
      </c>
      <c r="E21" s="65">
        <f t="shared" si="0"/>
        <v>28697.0995</v>
      </c>
      <c r="G21">
        <v>10</v>
      </c>
      <c r="H21" s="65">
        <v>5856.6733313731465</v>
      </c>
      <c r="I21" s="65">
        <v>2237.45137405377</v>
      </c>
      <c r="J21" s="67">
        <v>2741.8016762664206</v>
      </c>
      <c r="K21" s="65">
        <f t="shared" si="1"/>
        <v>10835.926381693338</v>
      </c>
    </row>
    <row r="22" spans="1:11" x14ac:dyDescent="0.25">
      <c r="A22">
        <v>11</v>
      </c>
      <c r="B22" s="65">
        <v>9027.6643999999997</v>
      </c>
      <c r="C22" s="65">
        <v>1609.5451</v>
      </c>
      <c r="D22" s="65">
        <v>753.35039999999992</v>
      </c>
      <c r="E22" s="65">
        <f t="shared" si="0"/>
        <v>11390.559899999998</v>
      </c>
      <c r="G22">
        <v>11</v>
      </c>
      <c r="H22" s="65">
        <v>4832.1837306517164</v>
      </c>
      <c r="I22" s="65">
        <v>2080.8473778232842</v>
      </c>
      <c r="J22" s="67">
        <v>5081.2300578465165</v>
      </c>
      <c r="K22" s="65">
        <f t="shared" si="1"/>
        <v>11994.261166321518</v>
      </c>
    </row>
    <row r="23" spans="1:11" x14ac:dyDescent="0.25">
      <c r="A23">
        <v>12</v>
      </c>
      <c r="B23" s="65">
        <v>2878.1041</v>
      </c>
      <c r="C23" s="65">
        <v>1171.1099999999999</v>
      </c>
      <c r="D23" s="65">
        <v>2602.9286999999999</v>
      </c>
      <c r="E23" s="65">
        <f t="shared" si="0"/>
        <v>6652.1427999999996</v>
      </c>
      <c r="G23">
        <v>12</v>
      </c>
      <c r="H23" s="65">
        <v>4733.7054929126734</v>
      </c>
      <c r="I23" s="65">
        <v>1929.0219848491722</v>
      </c>
      <c r="J23" s="67">
        <v>3994.1996896907699</v>
      </c>
      <c r="K23" s="65">
        <f t="shared" si="1"/>
        <v>10656.927167452615</v>
      </c>
    </row>
    <row r="24" spans="1:11" x14ac:dyDescent="0.25">
      <c r="A24">
        <v>13</v>
      </c>
      <c r="B24" s="65">
        <v>1833.3625</v>
      </c>
      <c r="C24" s="65">
        <v>0</v>
      </c>
      <c r="D24" s="65">
        <v>372.18169999999998</v>
      </c>
      <c r="E24" s="65">
        <f t="shared" si="0"/>
        <v>2205.5441999999998</v>
      </c>
      <c r="G24">
        <v>13</v>
      </c>
      <c r="H24" s="65">
        <v>2366.9952217108716</v>
      </c>
      <c r="I24" s="65">
        <v>1372.895918620683</v>
      </c>
      <c r="J24" s="67">
        <v>3101.9782150272968</v>
      </c>
      <c r="K24" s="65">
        <f t="shared" si="1"/>
        <v>6841.869355358851</v>
      </c>
    </row>
    <row r="25" spans="1:11" x14ac:dyDescent="0.25">
      <c r="A25">
        <v>14</v>
      </c>
      <c r="B25" s="65">
        <v>1492.6572999999999</v>
      </c>
      <c r="C25" s="65">
        <v>0</v>
      </c>
      <c r="D25" s="65">
        <v>2312.1342</v>
      </c>
      <c r="E25" s="65">
        <f t="shared" si="0"/>
        <v>3804.7914999999998</v>
      </c>
      <c r="G25">
        <v>14</v>
      </c>
      <c r="H25" s="65">
        <v>2168.6518264679407</v>
      </c>
      <c r="I25" s="65">
        <v>1178.5791365809466</v>
      </c>
      <c r="J25" s="67">
        <v>3161.7318264251767</v>
      </c>
      <c r="K25" s="65">
        <f t="shared" si="1"/>
        <v>6508.9627894740643</v>
      </c>
    </row>
    <row r="26" spans="1:11" x14ac:dyDescent="0.25">
      <c r="A26">
        <v>15</v>
      </c>
      <c r="B26" s="65">
        <v>1031.4047</v>
      </c>
      <c r="C26" s="65">
        <v>0</v>
      </c>
      <c r="D26" s="65">
        <v>1989.0730000000001</v>
      </c>
      <c r="E26" s="65">
        <f t="shared" si="0"/>
        <v>3020.4777000000004</v>
      </c>
      <c r="G26">
        <v>15</v>
      </c>
      <c r="H26" s="65">
        <v>1340.3832321563568</v>
      </c>
      <c r="I26" s="65">
        <v>969.14925114652215</v>
      </c>
      <c r="J26" s="67">
        <v>2048.0004724997607</v>
      </c>
      <c r="K26" s="65">
        <f t="shared" si="1"/>
        <v>4357.5329558026397</v>
      </c>
    </row>
    <row r="27" spans="1:11" x14ac:dyDescent="0.25">
      <c r="A27">
        <v>16</v>
      </c>
      <c r="B27" s="65">
        <v>4675.1828999999998</v>
      </c>
      <c r="C27" s="65">
        <v>644.34169999999995</v>
      </c>
      <c r="D27" s="65">
        <v>867.78639999999996</v>
      </c>
      <c r="E27" s="65">
        <f t="shared" si="0"/>
        <v>6187.3109999999997</v>
      </c>
      <c r="G27">
        <v>16</v>
      </c>
      <c r="H27" s="65">
        <v>1375.5565426299252</v>
      </c>
      <c r="I27" s="65">
        <v>987.48714233500141</v>
      </c>
      <c r="J27" s="67">
        <v>1860.3894032211977</v>
      </c>
      <c r="K27" s="65">
        <f t="shared" si="1"/>
        <v>4223.4330881861242</v>
      </c>
    </row>
    <row r="28" spans="1:11" x14ac:dyDescent="0.25">
      <c r="A28">
        <v>17</v>
      </c>
      <c r="B28" s="65">
        <v>476.72499999999997</v>
      </c>
      <c r="C28" s="65">
        <v>542.72389999999996</v>
      </c>
      <c r="D28" s="65">
        <v>384.17410000000001</v>
      </c>
      <c r="E28" s="65">
        <f t="shared" si="0"/>
        <v>1403.6229999999998</v>
      </c>
      <c r="G28">
        <v>17</v>
      </c>
      <c r="H28" s="65">
        <v>902.60393625469726</v>
      </c>
      <c r="I28" s="65">
        <v>696.7947507328829</v>
      </c>
      <c r="J28" s="67">
        <v>1856.0894051968628</v>
      </c>
      <c r="K28" s="65">
        <f t="shared" si="1"/>
        <v>3455.4880921844433</v>
      </c>
    </row>
    <row r="29" spans="1:11" x14ac:dyDescent="0.25">
      <c r="A29">
        <v>18</v>
      </c>
      <c r="B29" s="65">
        <v>1154.3296</v>
      </c>
      <c r="C29" s="65">
        <v>522.32510000000002</v>
      </c>
      <c r="D29" s="65">
        <v>1611.5688</v>
      </c>
      <c r="E29" s="65">
        <f t="shared" si="0"/>
        <v>3288.2235000000001</v>
      </c>
      <c r="G29">
        <v>18</v>
      </c>
      <c r="H29" s="65">
        <v>604.46841430668076</v>
      </c>
      <c r="I29" s="65">
        <v>507.93165321834783</v>
      </c>
      <c r="J29" s="67">
        <v>1522.7105900371048</v>
      </c>
      <c r="K29" s="65">
        <f t="shared" si="1"/>
        <v>2635.1106575621334</v>
      </c>
    </row>
    <row r="30" spans="1:11" x14ac:dyDescent="0.25">
      <c r="A30">
        <v>19</v>
      </c>
      <c r="B30" s="65">
        <v>279.85169999999999</v>
      </c>
      <c r="C30" s="65">
        <v>438.06880000000001</v>
      </c>
      <c r="D30" s="65">
        <v>1147.5530000000001</v>
      </c>
      <c r="E30" s="65">
        <f t="shared" si="0"/>
        <v>1865.4735000000001</v>
      </c>
      <c r="G30">
        <v>19</v>
      </c>
      <c r="H30" s="65">
        <v>623.46902162169908</v>
      </c>
      <c r="I30" s="65">
        <v>449.44580246274688</v>
      </c>
      <c r="J30" s="67">
        <v>777.74424390573051</v>
      </c>
      <c r="K30" s="65">
        <f t="shared" si="1"/>
        <v>1850.6590679901765</v>
      </c>
    </row>
    <row r="31" spans="1:11" x14ac:dyDescent="0.25">
      <c r="A31">
        <v>20</v>
      </c>
      <c r="B31" s="65">
        <v>0</v>
      </c>
      <c r="C31" s="65">
        <v>262.79070000000002</v>
      </c>
      <c r="D31" s="65">
        <v>63.507999999999996</v>
      </c>
      <c r="E31" s="65">
        <f t="shared" si="0"/>
        <v>326.2987</v>
      </c>
      <c r="G31">
        <v>20</v>
      </c>
      <c r="H31" s="65">
        <v>247.98754483096707</v>
      </c>
      <c r="I31" s="65">
        <v>299.08557398708047</v>
      </c>
      <c r="J31" s="67">
        <v>549.56439199318595</v>
      </c>
      <c r="K31" s="65">
        <f t="shared" si="1"/>
        <v>1096.6375108112334</v>
      </c>
    </row>
    <row r="32" spans="1:11" x14ac:dyDescent="0.25">
      <c r="A32">
        <v>21</v>
      </c>
      <c r="B32" s="65">
        <v>5789.6122999999998</v>
      </c>
      <c r="C32" s="65">
        <v>309.84730000000002</v>
      </c>
      <c r="D32" s="65">
        <v>91.323299999999989</v>
      </c>
      <c r="E32" s="65">
        <f t="shared" si="0"/>
        <v>6190.7829000000002</v>
      </c>
      <c r="G32">
        <v>21</v>
      </c>
      <c r="H32" s="65">
        <v>200.26916911643619</v>
      </c>
      <c r="I32" s="65">
        <v>233.68437357648699</v>
      </c>
      <c r="J32" s="67">
        <v>1080.7608579762477</v>
      </c>
      <c r="K32" s="65">
        <f t="shared" si="1"/>
        <v>1514.714400669171</v>
      </c>
    </row>
    <row r="33" spans="1:11" x14ac:dyDescent="0.25">
      <c r="A33">
        <v>22</v>
      </c>
      <c r="B33" s="65">
        <v>212.62309999999999</v>
      </c>
      <c r="C33" s="65">
        <v>0</v>
      </c>
      <c r="D33" s="65">
        <v>53.512</v>
      </c>
      <c r="E33" s="65">
        <f t="shared" si="0"/>
        <v>266.13509999999997</v>
      </c>
      <c r="G33">
        <v>22</v>
      </c>
      <c r="H33" s="65">
        <v>124.0613933841865</v>
      </c>
      <c r="I33" s="65">
        <v>215.26942478741995</v>
      </c>
      <c r="J33" s="67">
        <v>386.43617064452883</v>
      </c>
      <c r="K33" s="65">
        <f t="shared" si="1"/>
        <v>725.76698881613527</v>
      </c>
    </row>
    <row r="34" spans="1:11" x14ac:dyDescent="0.25">
      <c r="A34">
        <v>23</v>
      </c>
      <c r="B34" s="65">
        <v>2931.9002999999998</v>
      </c>
      <c r="C34" s="65">
        <v>0</v>
      </c>
      <c r="D34" s="65">
        <v>138.87960000000001</v>
      </c>
      <c r="E34" s="65">
        <f t="shared" si="0"/>
        <v>3070.7799</v>
      </c>
      <c r="G34">
        <v>23</v>
      </c>
      <c r="H34" s="65">
        <v>100.03868344659269</v>
      </c>
      <c r="I34" s="65">
        <v>207.46575135031864</v>
      </c>
      <c r="J34" s="67">
        <v>906.64867796723922</v>
      </c>
      <c r="K34" s="65">
        <f t="shared" si="1"/>
        <v>1214.1531127641506</v>
      </c>
    </row>
    <row r="35" spans="1:11" x14ac:dyDescent="0.25">
      <c r="A35">
        <v>24</v>
      </c>
      <c r="B35" s="65">
        <v>0</v>
      </c>
      <c r="C35" s="65">
        <v>0</v>
      </c>
      <c r="D35" s="65">
        <v>458.12399999999997</v>
      </c>
      <c r="E35" s="65">
        <f t="shared" si="0"/>
        <v>458.12399999999997</v>
      </c>
      <c r="G35">
        <v>24</v>
      </c>
      <c r="H35" s="65">
        <v>69.197999775255568</v>
      </c>
      <c r="I35" s="65">
        <v>209.70751478047012</v>
      </c>
      <c r="J35" s="67">
        <v>409.47556603041176</v>
      </c>
      <c r="K35" s="65">
        <f t="shared" si="1"/>
        <v>688.38108058613739</v>
      </c>
    </row>
    <row r="36" spans="1:11" x14ac:dyDescent="0.25">
      <c r="A36">
        <v>25</v>
      </c>
      <c r="B36" s="65">
        <v>0</v>
      </c>
      <c r="C36" s="65">
        <v>0</v>
      </c>
      <c r="D36" s="65">
        <v>87.069000000000003</v>
      </c>
      <c r="E36" s="65">
        <f t="shared" si="0"/>
        <v>87.069000000000003</v>
      </c>
      <c r="G36">
        <v>25</v>
      </c>
      <c r="H36" s="65">
        <v>111.01953074591431</v>
      </c>
      <c r="I36" s="65">
        <v>126.53671310964683</v>
      </c>
      <c r="J36" s="67">
        <v>365.25831902356748</v>
      </c>
      <c r="K36" s="65">
        <f t="shared" si="1"/>
        <v>602.81456287912863</v>
      </c>
    </row>
    <row r="37" spans="1:11" x14ac:dyDescent="0.25">
      <c r="A37">
        <v>26</v>
      </c>
      <c r="B37" s="65">
        <v>775.44090000000006</v>
      </c>
      <c r="C37" s="65">
        <v>846.03430000000003</v>
      </c>
      <c r="D37" s="65">
        <v>0</v>
      </c>
      <c r="E37" s="65">
        <f t="shared" si="0"/>
        <v>1621.4752000000001</v>
      </c>
      <c r="G37">
        <v>26</v>
      </c>
      <c r="H37" s="65">
        <v>87.08430980914153</v>
      </c>
      <c r="I37" s="65">
        <v>106.24822460911847</v>
      </c>
      <c r="J37" s="67">
        <v>238.89217676840778</v>
      </c>
      <c r="K37" s="65">
        <f t="shared" si="1"/>
        <v>432.22471118666778</v>
      </c>
    </row>
    <row r="38" spans="1:11" x14ac:dyDescent="0.25">
      <c r="A38">
        <v>27</v>
      </c>
      <c r="B38" s="65">
        <v>0</v>
      </c>
      <c r="C38" s="65">
        <v>0</v>
      </c>
      <c r="D38" s="65">
        <v>569.28390000000002</v>
      </c>
      <c r="E38" s="65">
        <f t="shared" si="0"/>
        <v>569.28390000000002</v>
      </c>
      <c r="G38">
        <v>27</v>
      </c>
      <c r="H38" s="65">
        <v>36.339953911570092</v>
      </c>
      <c r="I38" s="65">
        <v>83.561519291958234</v>
      </c>
      <c r="J38" s="67">
        <v>356.6699666593604</v>
      </c>
      <c r="K38" s="65">
        <f t="shared" si="1"/>
        <v>476.57143986288872</v>
      </c>
    </row>
    <row r="39" spans="1:11" x14ac:dyDescent="0.25">
      <c r="A39">
        <v>28</v>
      </c>
      <c r="B39" s="65">
        <v>1297.2364</v>
      </c>
      <c r="C39" s="65">
        <v>0</v>
      </c>
      <c r="D39" s="65">
        <v>0</v>
      </c>
      <c r="E39" s="65">
        <f t="shared" si="0"/>
        <v>1297.2364</v>
      </c>
      <c r="G39">
        <v>28</v>
      </c>
      <c r="H39" s="65">
        <v>10.734706959706925</v>
      </c>
      <c r="I39" s="65">
        <v>67.849999999999994</v>
      </c>
      <c r="J39" s="67">
        <v>289.41819753745079</v>
      </c>
      <c r="K39" s="65">
        <f t="shared" si="1"/>
        <v>368.00290449715772</v>
      </c>
    </row>
    <row r="40" spans="1:11" x14ac:dyDescent="0.25">
      <c r="A40">
        <v>29</v>
      </c>
      <c r="B40" s="65">
        <v>0</v>
      </c>
      <c r="C40" s="65">
        <v>0</v>
      </c>
      <c r="D40" s="65">
        <v>31.814</v>
      </c>
      <c r="E40" s="65">
        <f t="shared" si="0"/>
        <v>31.814</v>
      </c>
      <c r="G40">
        <v>29</v>
      </c>
      <c r="H40" s="65">
        <v>51.483894891912733</v>
      </c>
      <c r="I40" s="65">
        <v>75.178352631052377</v>
      </c>
      <c r="J40" s="67">
        <v>212.14691781860512</v>
      </c>
      <c r="K40" s="65">
        <f t="shared" si="1"/>
        <v>338.80916534157024</v>
      </c>
    </row>
    <row r="41" spans="1:11" x14ac:dyDescent="0.25">
      <c r="A41">
        <v>30</v>
      </c>
      <c r="B41" s="65">
        <v>0</v>
      </c>
      <c r="C41" s="65">
        <v>0</v>
      </c>
      <c r="D41" s="65">
        <v>13.398999999999999</v>
      </c>
      <c r="E41" s="65">
        <f t="shared" si="0"/>
        <v>13.398999999999999</v>
      </c>
      <c r="G41">
        <v>30</v>
      </c>
      <c r="H41" s="65">
        <v>14.695517088326151</v>
      </c>
      <c r="I41" s="65">
        <v>42.649795869499854</v>
      </c>
      <c r="J41" s="67">
        <v>108.92609750286897</v>
      </c>
      <c r="K41" s="65">
        <f t="shared" si="1"/>
        <v>166.27141046069497</v>
      </c>
    </row>
    <row r="42" spans="1:11" x14ac:dyDescent="0.25">
      <c r="A42">
        <v>31</v>
      </c>
      <c r="B42" s="65">
        <v>0</v>
      </c>
      <c r="C42" s="65">
        <v>0</v>
      </c>
      <c r="D42" s="65">
        <v>0</v>
      </c>
      <c r="E42" s="65">
        <f t="shared" si="0"/>
        <v>0</v>
      </c>
      <c r="G42">
        <v>31</v>
      </c>
      <c r="H42" s="65">
        <v>45.565052993410411</v>
      </c>
      <c r="I42" s="65">
        <v>71.153609281007434</v>
      </c>
      <c r="J42" s="67">
        <v>140.08072825015185</v>
      </c>
      <c r="K42" s="65">
        <f t="shared" si="1"/>
        <v>256.79939052456973</v>
      </c>
    </row>
    <row r="43" spans="1:11" x14ac:dyDescent="0.25">
      <c r="A43">
        <v>32</v>
      </c>
      <c r="B43" s="65">
        <v>0</v>
      </c>
      <c r="C43" s="65">
        <v>0</v>
      </c>
      <c r="D43" s="65">
        <v>12.739000000000001</v>
      </c>
      <c r="E43" s="65">
        <f t="shared" ref="E43:E74" si="2">SUM(B43:D43)</f>
        <v>12.739000000000001</v>
      </c>
      <c r="G43">
        <v>32</v>
      </c>
      <c r="H43" s="65">
        <v>16.526255113425094</v>
      </c>
      <c r="I43" s="65">
        <v>43.138395475492352</v>
      </c>
      <c r="J43" s="67">
        <v>52.754046320227339</v>
      </c>
      <c r="K43" s="65">
        <f t="shared" ref="K43:K74" si="3">SUM(H43:J43)</f>
        <v>112.41869690914478</v>
      </c>
    </row>
    <row r="44" spans="1:11" x14ac:dyDescent="0.25">
      <c r="A44">
        <v>33</v>
      </c>
      <c r="B44" s="65">
        <v>0</v>
      </c>
      <c r="C44" s="65">
        <v>0</v>
      </c>
      <c r="D44" s="65">
        <v>10.791</v>
      </c>
      <c r="E44" s="65">
        <f t="shared" si="2"/>
        <v>10.791</v>
      </c>
      <c r="G44">
        <v>33</v>
      </c>
      <c r="H44" s="65">
        <v>53.446511478942206</v>
      </c>
      <c r="I44" s="65">
        <v>40.760088331008568</v>
      </c>
      <c r="J44" s="67">
        <v>599.56970141372176</v>
      </c>
      <c r="K44" s="65">
        <f t="shared" si="3"/>
        <v>693.77630122367259</v>
      </c>
    </row>
    <row r="45" spans="1:11" x14ac:dyDescent="0.25">
      <c r="A45">
        <v>34</v>
      </c>
      <c r="B45" s="65">
        <v>0</v>
      </c>
      <c r="C45" s="65">
        <v>78.963099999999997</v>
      </c>
      <c r="D45" s="65">
        <v>0</v>
      </c>
      <c r="E45" s="65">
        <f t="shared" si="2"/>
        <v>78.963099999999997</v>
      </c>
      <c r="G45">
        <v>34</v>
      </c>
      <c r="H45" s="65">
        <v>25.299999999999997</v>
      </c>
      <c r="I45" s="65">
        <v>41.714784633294506</v>
      </c>
      <c r="J45" s="67">
        <v>510.41191884913843</v>
      </c>
      <c r="K45" s="65">
        <f t="shared" si="3"/>
        <v>577.42670348243291</v>
      </c>
    </row>
    <row r="46" spans="1:11" x14ac:dyDescent="0.25">
      <c r="A46">
        <v>35</v>
      </c>
      <c r="B46" s="65">
        <v>0</v>
      </c>
      <c r="C46" s="65">
        <v>0</v>
      </c>
      <c r="D46" s="65">
        <v>25.786000000000001</v>
      </c>
      <c r="E46" s="65">
        <f t="shared" si="2"/>
        <v>25.786000000000001</v>
      </c>
      <c r="G46">
        <v>35</v>
      </c>
      <c r="H46" s="65">
        <v>1.1499999999999999</v>
      </c>
      <c r="I46" s="65">
        <v>12.649999999999999</v>
      </c>
      <c r="J46" s="67">
        <v>31.652183834747813</v>
      </c>
      <c r="K46" s="65">
        <f t="shared" si="3"/>
        <v>45.452183834747814</v>
      </c>
    </row>
    <row r="47" spans="1:11" x14ac:dyDescent="0.25">
      <c r="A47">
        <v>36</v>
      </c>
      <c r="B47" s="65">
        <v>0</v>
      </c>
      <c r="C47" s="65">
        <v>0</v>
      </c>
      <c r="D47" s="65">
        <v>0</v>
      </c>
      <c r="E47" s="65">
        <f t="shared" si="2"/>
        <v>0</v>
      </c>
      <c r="G47">
        <v>36</v>
      </c>
      <c r="H47" s="65">
        <v>5.75</v>
      </c>
      <c r="I47" s="65">
        <v>22.728480400364564</v>
      </c>
      <c r="J47" s="67">
        <v>41.111100020161878</v>
      </c>
      <c r="K47" s="65">
        <f t="shared" si="3"/>
        <v>69.589580420526445</v>
      </c>
    </row>
    <row r="48" spans="1:11" x14ac:dyDescent="0.25">
      <c r="A48">
        <v>37</v>
      </c>
      <c r="B48" s="65">
        <v>0</v>
      </c>
      <c r="C48" s="65">
        <v>0</v>
      </c>
      <c r="D48" s="65">
        <v>0</v>
      </c>
      <c r="E48" s="65">
        <f t="shared" si="2"/>
        <v>0</v>
      </c>
      <c r="G48">
        <v>37</v>
      </c>
      <c r="H48" s="65">
        <v>10.35</v>
      </c>
      <c r="I48" s="65">
        <v>10.780721856201486</v>
      </c>
      <c r="J48" s="67">
        <v>46.578597889912736</v>
      </c>
      <c r="K48" s="65">
        <f t="shared" si="3"/>
        <v>67.709319746114218</v>
      </c>
    </row>
    <row r="49" spans="1:11" x14ac:dyDescent="0.25">
      <c r="A49">
        <v>38</v>
      </c>
      <c r="B49" s="65">
        <v>0</v>
      </c>
      <c r="C49" s="65">
        <v>0</v>
      </c>
      <c r="D49" s="65">
        <v>0</v>
      </c>
      <c r="E49" s="65">
        <f t="shared" si="2"/>
        <v>0</v>
      </c>
      <c r="G49">
        <v>38</v>
      </c>
      <c r="H49" s="65">
        <v>13.799999999999999</v>
      </c>
      <c r="I49" s="65">
        <v>16.099999999999998</v>
      </c>
      <c r="J49" s="67">
        <v>132.46740183578098</v>
      </c>
      <c r="K49" s="65">
        <f t="shared" si="3"/>
        <v>162.36740183578098</v>
      </c>
    </row>
    <row r="50" spans="1:11" x14ac:dyDescent="0.25">
      <c r="A50">
        <v>39</v>
      </c>
      <c r="B50" s="65">
        <v>0</v>
      </c>
      <c r="C50" s="65">
        <v>0</v>
      </c>
      <c r="D50" s="65">
        <v>4.1280000000000001</v>
      </c>
      <c r="E50" s="65">
        <f t="shared" si="2"/>
        <v>4.1280000000000001</v>
      </c>
      <c r="G50">
        <v>39</v>
      </c>
      <c r="H50" s="65">
        <v>2.2999999999999998</v>
      </c>
      <c r="I50" s="65">
        <v>11.5</v>
      </c>
      <c r="J50" s="67">
        <v>36.340223743423174</v>
      </c>
      <c r="K50" s="65">
        <f t="shared" si="3"/>
        <v>50.140223743423178</v>
      </c>
    </row>
    <row r="51" spans="1:11" x14ac:dyDescent="0.25">
      <c r="A51">
        <v>40</v>
      </c>
      <c r="B51" s="65">
        <v>0</v>
      </c>
      <c r="C51" s="65">
        <v>0</v>
      </c>
      <c r="D51" s="65">
        <v>860.37009999999998</v>
      </c>
      <c r="E51" s="65">
        <f t="shared" si="2"/>
        <v>860.37009999999998</v>
      </c>
      <c r="G51">
        <v>40</v>
      </c>
      <c r="H51" s="65">
        <v>1.550497195308028</v>
      </c>
      <c r="I51" s="65">
        <v>11.5</v>
      </c>
      <c r="J51" s="67">
        <v>15.253540053905422</v>
      </c>
      <c r="K51" s="65">
        <f t="shared" si="3"/>
        <v>28.304037249213451</v>
      </c>
    </row>
    <row r="52" spans="1:11" x14ac:dyDescent="0.25">
      <c r="A52">
        <v>41</v>
      </c>
      <c r="B52" s="65">
        <v>0</v>
      </c>
      <c r="C52" s="65">
        <v>0</v>
      </c>
      <c r="D52" s="65">
        <v>0</v>
      </c>
      <c r="E52" s="65">
        <f t="shared" si="2"/>
        <v>0</v>
      </c>
      <c r="G52">
        <v>41</v>
      </c>
      <c r="H52" s="65">
        <v>3.4499999999999997</v>
      </c>
      <c r="I52" s="65">
        <v>4.5999999999999996</v>
      </c>
      <c r="J52" s="67">
        <v>32.512191735593746</v>
      </c>
      <c r="K52" s="65">
        <f t="shared" si="3"/>
        <v>40.562191735593743</v>
      </c>
    </row>
    <row r="53" spans="1:11" x14ac:dyDescent="0.25">
      <c r="A53">
        <v>42</v>
      </c>
      <c r="B53" s="65">
        <v>0</v>
      </c>
      <c r="C53" s="65">
        <v>0</v>
      </c>
      <c r="D53" s="65">
        <v>286.72039999999998</v>
      </c>
      <c r="E53" s="65">
        <f t="shared" si="2"/>
        <v>286.72039999999998</v>
      </c>
      <c r="G53">
        <v>42</v>
      </c>
      <c r="H53" s="65">
        <v>1.1499999999999999</v>
      </c>
      <c r="I53" s="65">
        <v>3.4499999999999997</v>
      </c>
      <c r="J53" s="67">
        <v>11.056750302982975</v>
      </c>
      <c r="K53" s="65">
        <f t="shared" si="3"/>
        <v>15.656750302982974</v>
      </c>
    </row>
    <row r="54" spans="1:11" x14ac:dyDescent="0.25">
      <c r="A54">
        <v>43</v>
      </c>
      <c r="B54" s="65">
        <v>0</v>
      </c>
      <c r="C54" s="65">
        <v>0</v>
      </c>
      <c r="D54" s="65">
        <v>0</v>
      </c>
      <c r="E54" s="65">
        <f t="shared" si="2"/>
        <v>0</v>
      </c>
      <c r="G54">
        <v>43</v>
      </c>
      <c r="H54" s="65">
        <v>4.5999999999999996</v>
      </c>
      <c r="I54" s="65">
        <v>9.6004971953080265</v>
      </c>
      <c r="J54" s="67">
        <v>103.51143549208464</v>
      </c>
      <c r="K54" s="65">
        <f t="shared" si="3"/>
        <v>117.71193268739268</v>
      </c>
    </row>
    <row r="55" spans="1:11" x14ac:dyDescent="0.25">
      <c r="A55">
        <v>44</v>
      </c>
      <c r="B55" s="65">
        <v>0</v>
      </c>
      <c r="C55" s="65">
        <v>0</v>
      </c>
      <c r="D55" s="65">
        <v>0</v>
      </c>
      <c r="E55" s="65">
        <f t="shared" si="2"/>
        <v>0</v>
      </c>
      <c r="G55">
        <v>44</v>
      </c>
      <c r="H55" s="65">
        <v>1.5977585441630759</v>
      </c>
      <c r="I55" s="65">
        <v>10.799674796748008</v>
      </c>
      <c r="J55" s="67">
        <v>27.454900334184504</v>
      </c>
      <c r="K55" s="65">
        <f t="shared" si="3"/>
        <v>39.852333675095586</v>
      </c>
    </row>
    <row r="56" spans="1:11" x14ac:dyDescent="0.25">
      <c r="A56">
        <v>45</v>
      </c>
      <c r="B56" s="65">
        <v>0</v>
      </c>
      <c r="C56" s="65">
        <v>0</v>
      </c>
      <c r="D56" s="65">
        <v>0</v>
      </c>
      <c r="E56" s="65">
        <f t="shared" si="2"/>
        <v>0</v>
      </c>
      <c r="G56">
        <v>45</v>
      </c>
      <c r="H56" s="65">
        <v>1.580721856201488</v>
      </c>
      <c r="I56" s="65">
        <v>18.098255739471103</v>
      </c>
      <c r="J56" s="67">
        <v>126.15939296642895</v>
      </c>
      <c r="K56" s="65">
        <f t="shared" si="3"/>
        <v>145.83837056210155</v>
      </c>
    </row>
    <row r="57" spans="1:11" x14ac:dyDescent="0.25">
      <c r="A57">
        <v>46</v>
      </c>
      <c r="B57" s="65">
        <v>0</v>
      </c>
      <c r="C57" s="65">
        <v>0</v>
      </c>
      <c r="D57" s="65">
        <v>0</v>
      </c>
      <c r="E57" s="65">
        <f t="shared" si="2"/>
        <v>0</v>
      </c>
      <c r="G57">
        <v>46</v>
      </c>
      <c r="H57" s="65">
        <v>4.5999999999999996</v>
      </c>
      <c r="I57" s="65">
        <v>18.399999999999999</v>
      </c>
      <c r="J57" s="67">
        <v>39.400537542026534</v>
      </c>
      <c r="K57" s="65">
        <f t="shared" si="3"/>
        <v>62.400537542026534</v>
      </c>
    </row>
    <row r="58" spans="1:11" x14ac:dyDescent="0.25">
      <c r="A58">
        <v>47</v>
      </c>
      <c r="B58" s="65">
        <v>0</v>
      </c>
      <c r="C58" s="65">
        <v>0</v>
      </c>
      <c r="D58" s="65">
        <v>0</v>
      </c>
      <c r="E58" s="65">
        <f t="shared" si="2"/>
        <v>0</v>
      </c>
      <c r="G58">
        <v>47</v>
      </c>
      <c r="H58" s="65">
        <v>0</v>
      </c>
      <c r="I58" s="65">
        <v>8.0499999999999989</v>
      </c>
      <c r="J58" s="67">
        <v>58.803316539889991</v>
      </c>
      <c r="K58" s="65">
        <f t="shared" si="3"/>
        <v>66.853316539889988</v>
      </c>
    </row>
    <row r="59" spans="1:11" x14ac:dyDescent="0.25">
      <c r="A59">
        <v>48</v>
      </c>
      <c r="B59" s="65">
        <v>0</v>
      </c>
      <c r="C59" s="65">
        <v>0</v>
      </c>
      <c r="D59" s="65">
        <v>468.98939999999999</v>
      </c>
      <c r="E59" s="65">
        <f t="shared" si="2"/>
        <v>468.98939999999999</v>
      </c>
      <c r="G59">
        <v>48</v>
      </c>
      <c r="H59" s="65">
        <v>0</v>
      </c>
      <c r="I59" s="65">
        <v>1.1499999999999999</v>
      </c>
      <c r="J59" s="67">
        <v>23.386551264978454</v>
      </c>
      <c r="K59" s="65">
        <f t="shared" si="3"/>
        <v>24.536551264978453</v>
      </c>
    </row>
    <row r="60" spans="1:11" x14ac:dyDescent="0.25">
      <c r="A60">
        <v>49</v>
      </c>
      <c r="B60" s="65">
        <v>0</v>
      </c>
      <c r="C60" s="65">
        <v>0</v>
      </c>
      <c r="D60" s="65">
        <v>0</v>
      </c>
      <c r="E60" s="65">
        <f t="shared" si="2"/>
        <v>0</v>
      </c>
      <c r="G60">
        <v>49</v>
      </c>
      <c r="H60" s="65">
        <v>0</v>
      </c>
      <c r="I60" s="65">
        <v>6.8999999999999995</v>
      </c>
      <c r="J60" s="67">
        <v>85.811895250772281</v>
      </c>
      <c r="K60" s="65">
        <f t="shared" si="3"/>
        <v>92.711895250772287</v>
      </c>
    </row>
    <row r="61" spans="1:11" x14ac:dyDescent="0.25">
      <c r="A61">
        <v>50</v>
      </c>
      <c r="B61" s="65">
        <v>0</v>
      </c>
      <c r="C61" s="65">
        <v>0</v>
      </c>
      <c r="D61" s="65">
        <v>249.3058</v>
      </c>
      <c r="E61" s="65">
        <f t="shared" si="2"/>
        <v>249.3058</v>
      </c>
      <c r="G61">
        <v>50</v>
      </c>
      <c r="H61" s="65">
        <v>1.1499999999999999</v>
      </c>
      <c r="I61" s="65">
        <v>6.8999999999999995</v>
      </c>
      <c r="J61" s="67">
        <v>6.8999999999999995</v>
      </c>
      <c r="K61" s="65">
        <f t="shared" si="3"/>
        <v>14.95</v>
      </c>
    </row>
    <row r="62" spans="1:11" x14ac:dyDescent="0.25">
      <c r="A62">
        <v>51</v>
      </c>
      <c r="B62" s="65">
        <v>0</v>
      </c>
      <c r="C62" s="65">
        <v>0</v>
      </c>
      <c r="D62" s="65">
        <v>0</v>
      </c>
      <c r="E62" s="65">
        <f t="shared" si="2"/>
        <v>0</v>
      </c>
      <c r="G62">
        <v>51</v>
      </c>
      <c r="H62" s="65">
        <v>1.1499999999999999</v>
      </c>
      <c r="I62" s="65">
        <v>5.75</v>
      </c>
      <c r="J62" s="67">
        <v>23.598027315176342</v>
      </c>
      <c r="K62" s="65">
        <f t="shared" si="3"/>
        <v>30.498027315176344</v>
      </c>
    </row>
    <row r="63" spans="1:11" x14ac:dyDescent="0.25">
      <c r="A63">
        <v>52</v>
      </c>
      <c r="B63" s="65">
        <v>0</v>
      </c>
      <c r="C63" s="65">
        <v>0</v>
      </c>
      <c r="D63" s="65">
        <v>0</v>
      </c>
      <c r="E63" s="65">
        <f t="shared" si="2"/>
        <v>0</v>
      </c>
      <c r="G63">
        <v>52</v>
      </c>
      <c r="H63" s="65">
        <v>0</v>
      </c>
      <c r="I63" s="65">
        <v>0</v>
      </c>
      <c r="J63" s="67">
        <v>5.0477585441630755</v>
      </c>
      <c r="K63" s="65">
        <f t="shared" si="3"/>
        <v>5.0477585441630755</v>
      </c>
    </row>
    <row r="64" spans="1:11" x14ac:dyDescent="0.25">
      <c r="A64">
        <v>53</v>
      </c>
      <c r="B64" s="65">
        <v>0</v>
      </c>
      <c r="C64" s="65">
        <v>0</v>
      </c>
      <c r="D64" s="65">
        <v>13.487</v>
      </c>
      <c r="E64" s="65">
        <f t="shared" si="2"/>
        <v>13.487</v>
      </c>
      <c r="G64">
        <v>53</v>
      </c>
      <c r="H64" s="65">
        <v>0</v>
      </c>
      <c r="I64" s="65">
        <v>3.4499999999999997</v>
      </c>
      <c r="J64" s="67">
        <v>16.900994390616056</v>
      </c>
      <c r="K64" s="65">
        <f t="shared" si="3"/>
        <v>20.350994390616055</v>
      </c>
    </row>
    <row r="65" spans="1:11" x14ac:dyDescent="0.25">
      <c r="A65">
        <v>54</v>
      </c>
      <c r="B65" s="65">
        <v>0</v>
      </c>
      <c r="C65" s="65">
        <v>0</v>
      </c>
      <c r="D65" s="65">
        <v>0</v>
      </c>
      <c r="E65" s="65">
        <f t="shared" si="2"/>
        <v>0</v>
      </c>
      <c r="G65">
        <v>54</v>
      </c>
      <c r="H65" s="65">
        <v>0</v>
      </c>
      <c r="I65" s="65">
        <v>2.2999999999999998</v>
      </c>
      <c r="J65" s="67">
        <v>0</v>
      </c>
      <c r="K65" s="65">
        <f t="shared" si="3"/>
        <v>2.2999999999999998</v>
      </c>
    </row>
    <row r="66" spans="1:11" x14ac:dyDescent="0.25">
      <c r="A66">
        <v>55</v>
      </c>
      <c r="B66" s="65">
        <v>0</v>
      </c>
      <c r="C66" s="65">
        <v>0</v>
      </c>
      <c r="D66" s="65">
        <v>3.6749999999999998</v>
      </c>
      <c r="E66" s="65">
        <f t="shared" si="2"/>
        <v>3.6749999999999998</v>
      </c>
      <c r="G66">
        <v>55</v>
      </c>
      <c r="H66" s="65">
        <v>0</v>
      </c>
      <c r="I66" s="65">
        <v>1.1499999999999999</v>
      </c>
      <c r="J66" s="67">
        <v>4.3455170883261518</v>
      </c>
      <c r="K66" s="65">
        <f t="shared" si="3"/>
        <v>5.4955170883261513</v>
      </c>
    </row>
    <row r="67" spans="1:11" x14ac:dyDescent="0.25">
      <c r="A67">
        <v>56</v>
      </c>
      <c r="B67" s="65">
        <v>0</v>
      </c>
      <c r="C67" s="65">
        <v>0</v>
      </c>
      <c r="D67" s="65">
        <v>0</v>
      </c>
      <c r="E67" s="65">
        <f t="shared" si="2"/>
        <v>0</v>
      </c>
      <c r="G67">
        <v>56</v>
      </c>
      <c r="H67" s="65">
        <v>0</v>
      </c>
      <c r="I67" s="65">
        <v>2.2999999999999998</v>
      </c>
      <c r="J67" s="67">
        <v>6.8999999999999995</v>
      </c>
      <c r="K67" s="65">
        <f t="shared" si="3"/>
        <v>9.1999999999999993</v>
      </c>
    </row>
    <row r="68" spans="1:11" x14ac:dyDescent="0.25">
      <c r="A68">
        <v>57</v>
      </c>
      <c r="B68" s="65">
        <v>0</v>
      </c>
      <c r="C68" s="65">
        <v>0</v>
      </c>
      <c r="D68" s="65">
        <v>0</v>
      </c>
      <c r="E68" s="65">
        <f t="shared" si="2"/>
        <v>0</v>
      </c>
      <c r="G68">
        <v>57</v>
      </c>
      <c r="H68" s="65">
        <v>0</v>
      </c>
      <c r="I68" s="65">
        <v>3.4499999999999997</v>
      </c>
      <c r="J68" s="67">
        <v>1.1499999999999999</v>
      </c>
      <c r="K68" s="65">
        <f t="shared" si="3"/>
        <v>4.5999999999999996</v>
      </c>
    </row>
    <row r="69" spans="1:11" x14ac:dyDescent="0.25">
      <c r="A69">
        <v>58</v>
      </c>
      <c r="B69" s="65">
        <v>0</v>
      </c>
      <c r="C69" s="65">
        <v>0</v>
      </c>
      <c r="D69" s="65">
        <v>0</v>
      </c>
      <c r="E69" s="65">
        <f t="shared" si="2"/>
        <v>0</v>
      </c>
      <c r="G69">
        <v>58</v>
      </c>
      <c r="H69" s="65">
        <v>0</v>
      </c>
      <c r="I69" s="65">
        <v>2.7004971953080279</v>
      </c>
      <c r="J69" s="67">
        <v>1.1499999999999999</v>
      </c>
      <c r="K69" s="65">
        <f t="shared" si="3"/>
        <v>3.8504971953080278</v>
      </c>
    </row>
    <row r="70" spans="1:11" x14ac:dyDescent="0.25">
      <c r="A70">
        <v>59</v>
      </c>
      <c r="B70" s="65">
        <v>0</v>
      </c>
      <c r="C70" s="65">
        <v>0</v>
      </c>
      <c r="D70" s="65">
        <v>0</v>
      </c>
      <c r="E70" s="65">
        <f t="shared" si="2"/>
        <v>0</v>
      </c>
      <c r="G70">
        <v>59</v>
      </c>
      <c r="H70" s="65">
        <v>0</v>
      </c>
      <c r="I70" s="65">
        <v>5.0496747967480076</v>
      </c>
      <c r="J70" s="67">
        <v>0</v>
      </c>
      <c r="K70" s="65">
        <f t="shared" si="3"/>
        <v>5.0496747967480076</v>
      </c>
    </row>
    <row r="71" spans="1:11" x14ac:dyDescent="0.25">
      <c r="A71">
        <v>60</v>
      </c>
      <c r="B71" s="65">
        <v>0</v>
      </c>
      <c r="C71" s="65">
        <v>0</v>
      </c>
      <c r="D71" s="65">
        <v>0</v>
      </c>
      <c r="E71" s="65">
        <f t="shared" si="2"/>
        <v>0</v>
      </c>
      <c r="G71">
        <v>60</v>
      </c>
      <c r="H71" s="65">
        <v>0</v>
      </c>
      <c r="I71" s="65">
        <v>0</v>
      </c>
      <c r="J71" s="67">
        <v>5.75</v>
      </c>
      <c r="K71" s="65">
        <f t="shared" si="3"/>
        <v>5.75</v>
      </c>
    </row>
    <row r="72" spans="1:11" x14ac:dyDescent="0.25">
      <c r="A72">
        <v>61</v>
      </c>
      <c r="B72" s="65">
        <v>0</v>
      </c>
      <c r="C72" s="65">
        <v>0</v>
      </c>
      <c r="D72" s="65">
        <v>0</v>
      </c>
      <c r="E72" s="65">
        <f t="shared" si="2"/>
        <v>0</v>
      </c>
      <c r="G72">
        <v>61</v>
      </c>
      <c r="H72" s="65">
        <v>0</v>
      </c>
      <c r="I72" s="65">
        <v>0.44775854416307598</v>
      </c>
      <c r="J72" s="67">
        <v>0</v>
      </c>
      <c r="K72" s="65">
        <f t="shared" si="3"/>
        <v>0.44775854416307598</v>
      </c>
    </row>
    <row r="73" spans="1:11" x14ac:dyDescent="0.25">
      <c r="A73">
        <v>62</v>
      </c>
      <c r="B73" s="65">
        <v>0</v>
      </c>
      <c r="C73" s="65">
        <v>0</v>
      </c>
      <c r="D73" s="65">
        <v>0</v>
      </c>
      <c r="E73" s="65">
        <f t="shared" si="2"/>
        <v>0</v>
      </c>
      <c r="G73">
        <v>62</v>
      </c>
      <c r="H73" s="65">
        <v>0</v>
      </c>
      <c r="I73" s="65">
        <v>0</v>
      </c>
      <c r="J73" s="67">
        <v>1.1499999999999999</v>
      </c>
      <c r="K73" s="65">
        <f t="shared" si="3"/>
        <v>1.1499999999999999</v>
      </c>
    </row>
    <row r="74" spans="1:11" x14ac:dyDescent="0.25">
      <c r="A74">
        <v>63</v>
      </c>
      <c r="B74" s="65">
        <v>0</v>
      </c>
      <c r="C74" s="65">
        <v>0</v>
      </c>
      <c r="D74" s="65">
        <v>0</v>
      </c>
      <c r="E74" s="65">
        <f t="shared" si="2"/>
        <v>0</v>
      </c>
      <c r="G74">
        <v>63</v>
      </c>
      <c r="H74" s="65">
        <v>0</v>
      </c>
      <c r="I74" s="65">
        <v>0</v>
      </c>
      <c r="J74" s="67">
        <v>0</v>
      </c>
      <c r="K74" s="65">
        <f t="shared" si="3"/>
        <v>0</v>
      </c>
    </row>
    <row r="75" spans="1:11" x14ac:dyDescent="0.25">
      <c r="A75">
        <v>64</v>
      </c>
      <c r="B75" s="65">
        <v>0</v>
      </c>
      <c r="C75" s="65">
        <v>0</v>
      </c>
      <c r="D75" s="65">
        <v>0</v>
      </c>
      <c r="E75" s="65">
        <f t="shared" ref="E75:E101" si="4">SUM(B75:D75)</f>
        <v>0</v>
      </c>
      <c r="G75">
        <v>64</v>
      </c>
      <c r="H75" s="65">
        <v>0</v>
      </c>
      <c r="I75" s="65">
        <v>0</v>
      </c>
      <c r="J75" s="67">
        <v>3.4499999999999997</v>
      </c>
      <c r="K75" s="65">
        <f t="shared" ref="K75:K101" si="5">SUM(H75:J75)</f>
        <v>3.4499999999999997</v>
      </c>
    </row>
    <row r="76" spans="1:11" x14ac:dyDescent="0.25">
      <c r="A76">
        <v>65</v>
      </c>
      <c r="B76" s="65">
        <v>0</v>
      </c>
      <c r="C76" s="65">
        <v>0</v>
      </c>
      <c r="D76" s="65">
        <v>0</v>
      </c>
      <c r="E76" s="65">
        <f t="shared" si="4"/>
        <v>0</v>
      </c>
      <c r="G76">
        <v>65</v>
      </c>
      <c r="H76" s="65">
        <v>0</v>
      </c>
      <c r="I76" s="65">
        <v>0</v>
      </c>
      <c r="J76" s="67">
        <v>2.2999999999999998</v>
      </c>
      <c r="K76" s="65">
        <f t="shared" si="5"/>
        <v>2.2999999999999998</v>
      </c>
    </row>
    <row r="77" spans="1:11" x14ac:dyDescent="0.25">
      <c r="A77">
        <v>66</v>
      </c>
      <c r="B77" s="65">
        <v>0</v>
      </c>
      <c r="C77" s="65">
        <v>0</v>
      </c>
      <c r="D77" s="65">
        <v>0</v>
      </c>
      <c r="E77" s="65">
        <f t="shared" si="4"/>
        <v>0</v>
      </c>
      <c r="G77">
        <v>66</v>
      </c>
      <c r="H77" s="65">
        <v>0</v>
      </c>
      <c r="I77" s="65">
        <v>2.2999999999999998</v>
      </c>
      <c r="J77" s="65">
        <v>0</v>
      </c>
      <c r="K77" s="65">
        <f t="shared" si="5"/>
        <v>2.2999999999999998</v>
      </c>
    </row>
    <row r="78" spans="1:11" x14ac:dyDescent="0.25">
      <c r="A78">
        <v>67</v>
      </c>
      <c r="B78" s="65">
        <v>0</v>
      </c>
      <c r="C78" s="65">
        <v>0</v>
      </c>
      <c r="D78" s="65">
        <v>0</v>
      </c>
      <c r="E78" s="65">
        <f t="shared" si="4"/>
        <v>0</v>
      </c>
      <c r="G78">
        <v>67</v>
      </c>
      <c r="H78" s="65">
        <v>0</v>
      </c>
      <c r="I78" s="65">
        <v>1.1499999999999999</v>
      </c>
      <c r="J78" s="65">
        <v>0</v>
      </c>
      <c r="K78" s="65">
        <f t="shared" si="5"/>
        <v>1.1499999999999999</v>
      </c>
    </row>
    <row r="79" spans="1:11" x14ac:dyDescent="0.25">
      <c r="A79">
        <v>68</v>
      </c>
      <c r="B79" s="65">
        <v>0</v>
      </c>
      <c r="C79" s="65">
        <v>0</v>
      </c>
      <c r="D79" s="65">
        <v>0</v>
      </c>
      <c r="E79" s="65">
        <f t="shared" si="4"/>
        <v>0</v>
      </c>
      <c r="G79">
        <v>68</v>
      </c>
      <c r="H79" s="65">
        <v>0</v>
      </c>
      <c r="I79" s="65">
        <v>0</v>
      </c>
      <c r="J79" s="67">
        <v>2.7307218562014879</v>
      </c>
      <c r="K79" s="65">
        <f t="shared" si="5"/>
        <v>2.7307218562014879</v>
      </c>
    </row>
    <row r="80" spans="1:11" x14ac:dyDescent="0.25">
      <c r="A80">
        <v>69</v>
      </c>
      <c r="B80" s="65">
        <v>0</v>
      </c>
      <c r="C80" s="65">
        <v>0</v>
      </c>
      <c r="D80" s="65">
        <v>0</v>
      </c>
      <c r="E80" s="65">
        <f t="shared" si="4"/>
        <v>0</v>
      </c>
      <c r="G80">
        <v>69</v>
      </c>
      <c r="H80" s="65">
        <v>0</v>
      </c>
      <c r="I80" s="65">
        <v>0</v>
      </c>
      <c r="J80" s="65">
        <v>0</v>
      </c>
      <c r="K80" s="65">
        <f t="shared" si="5"/>
        <v>0</v>
      </c>
    </row>
    <row r="81" spans="1:11" x14ac:dyDescent="0.25">
      <c r="A81">
        <v>70</v>
      </c>
      <c r="B81" s="65">
        <v>0</v>
      </c>
      <c r="C81" s="65">
        <v>0</v>
      </c>
      <c r="D81" s="65">
        <v>0</v>
      </c>
      <c r="E81" s="65">
        <f t="shared" si="4"/>
        <v>0</v>
      </c>
      <c r="G81">
        <v>70</v>
      </c>
      <c r="H81" s="65">
        <v>0</v>
      </c>
      <c r="I81" s="65">
        <v>0</v>
      </c>
      <c r="J81" s="67">
        <v>3.4499999999999997</v>
      </c>
      <c r="K81" s="65">
        <f t="shared" si="5"/>
        <v>3.4499999999999997</v>
      </c>
    </row>
    <row r="82" spans="1:11" x14ac:dyDescent="0.25">
      <c r="A82">
        <v>71</v>
      </c>
      <c r="B82" s="65">
        <v>0</v>
      </c>
      <c r="C82" s="65">
        <v>0</v>
      </c>
      <c r="D82" s="65">
        <v>0</v>
      </c>
      <c r="E82" s="65">
        <f t="shared" si="4"/>
        <v>0</v>
      </c>
      <c r="G82">
        <v>71</v>
      </c>
      <c r="H82" s="65">
        <v>0</v>
      </c>
      <c r="I82" s="65">
        <v>0</v>
      </c>
      <c r="J82" s="67">
        <v>0</v>
      </c>
      <c r="K82" s="65">
        <f t="shared" si="5"/>
        <v>0</v>
      </c>
    </row>
    <row r="83" spans="1:11" x14ac:dyDescent="0.25">
      <c r="A83">
        <v>72</v>
      </c>
      <c r="B83" s="65">
        <v>0</v>
      </c>
      <c r="C83" s="65">
        <v>0</v>
      </c>
      <c r="D83" s="65">
        <v>0</v>
      </c>
      <c r="E83" s="65">
        <f t="shared" si="4"/>
        <v>0</v>
      </c>
      <c r="G83">
        <v>72</v>
      </c>
      <c r="H83" s="65">
        <v>0</v>
      </c>
      <c r="I83" s="65">
        <v>0</v>
      </c>
      <c r="J83" s="65">
        <v>0</v>
      </c>
      <c r="K83" s="65">
        <f t="shared" si="5"/>
        <v>0</v>
      </c>
    </row>
    <row r="84" spans="1:11" x14ac:dyDescent="0.25">
      <c r="A84">
        <v>73</v>
      </c>
      <c r="B84" s="65">
        <v>0</v>
      </c>
      <c r="C84" s="65">
        <v>0</v>
      </c>
      <c r="D84" s="65">
        <v>0</v>
      </c>
      <c r="E84" s="65">
        <f t="shared" si="4"/>
        <v>0</v>
      </c>
      <c r="G84">
        <v>73</v>
      </c>
      <c r="H84" s="65">
        <v>0</v>
      </c>
      <c r="I84" s="65">
        <v>0</v>
      </c>
      <c r="J84" s="65">
        <v>1.1499999999999999</v>
      </c>
      <c r="K84" s="65">
        <f t="shared" si="5"/>
        <v>1.1499999999999999</v>
      </c>
    </row>
    <row r="85" spans="1:11" x14ac:dyDescent="0.25">
      <c r="A85">
        <v>74</v>
      </c>
      <c r="B85" s="65">
        <v>0</v>
      </c>
      <c r="C85" s="65">
        <v>0</v>
      </c>
      <c r="D85" s="65">
        <v>0</v>
      </c>
      <c r="E85" s="65">
        <f t="shared" si="4"/>
        <v>0</v>
      </c>
      <c r="G85">
        <v>74</v>
      </c>
      <c r="H85" s="65">
        <v>0</v>
      </c>
      <c r="I85" s="65">
        <v>0</v>
      </c>
      <c r="J85" s="65">
        <v>1.1499999999999999</v>
      </c>
      <c r="K85" s="65">
        <f t="shared" si="5"/>
        <v>1.1499999999999999</v>
      </c>
    </row>
    <row r="86" spans="1:11" x14ac:dyDescent="0.25">
      <c r="A86">
        <v>75</v>
      </c>
      <c r="B86" s="65">
        <v>0</v>
      </c>
      <c r="C86" s="65">
        <v>0</v>
      </c>
      <c r="D86" s="65">
        <v>0</v>
      </c>
      <c r="E86" s="65">
        <f t="shared" si="4"/>
        <v>0</v>
      </c>
      <c r="G86">
        <v>75</v>
      </c>
      <c r="H86" s="65">
        <v>0</v>
      </c>
      <c r="I86" s="65">
        <v>0</v>
      </c>
      <c r="J86" s="65">
        <v>0</v>
      </c>
      <c r="K86" s="65">
        <f t="shared" si="5"/>
        <v>0</v>
      </c>
    </row>
    <row r="87" spans="1:11" x14ac:dyDescent="0.25">
      <c r="A87">
        <v>76</v>
      </c>
      <c r="B87" s="65">
        <v>0</v>
      </c>
      <c r="C87" s="65">
        <v>0</v>
      </c>
      <c r="D87" s="65">
        <v>0</v>
      </c>
      <c r="E87" s="65">
        <f t="shared" si="4"/>
        <v>0</v>
      </c>
      <c r="G87">
        <v>76</v>
      </c>
      <c r="H87" s="65">
        <v>0</v>
      </c>
      <c r="I87" s="65">
        <v>0</v>
      </c>
      <c r="J87" s="67">
        <v>0</v>
      </c>
      <c r="K87" s="65">
        <f t="shared" si="5"/>
        <v>0</v>
      </c>
    </row>
    <row r="88" spans="1:11" x14ac:dyDescent="0.25">
      <c r="A88">
        <v>77</v>
      </c>
      <c r="B88" s="65">
        <v>0</v>
      </c>
      <c r="C88" s="65">
        <v>0</v>
      </c>
      <c r="D88" s="65">
        <v>0</v>
      </c>
      <c r="E88" s="65">
        <f t="shared" si="4"/>
        <v>0</v>
      </c>
      <c r="G88">
        <v>77</v>
      </c>
      <c r="H88" s="65">
        <v>0</v>
      </c>
      <c r="I88" s="65">
        <v>0</v>
      </c>
      <c r="J88" s="65">
        <v>0</v>
      </c>
      <c r="K88" s="65">
        <f t="shared" si="5"/>
        <v>0</v>
      </c>
    </row>
    <row r="89" spans="1:11" x14ac:dyDescent="0.25">
      <c r="A89">
        <v>78</v>
      </c>
      <c r="B89" s="65">
        <v>0</v>
      </c>
      <c r="C89" s="65">
        <v>0</v>
      </c>
      <c r="D89" s="65">
        <v>0</v>
      </c>
      <c r="E89" s="65">
        <f t="shared" si="4"/>
        <v>0</v>
      </c>
      <c r="G89">
        <v>78</v>
      </c>
      <c r="H89" s="65">
        <v>0</v>
      </c>
      <c r="I89" s="65">
        <v>0</v>
      </c>
      <c r="J89" s="67">
        <v>0</v>
      </c>
      <c r="K89" s="65">
        <f t="shared" si="5"/>
        <v>0</v>
      </c>
    </row>
    <row r="90" spans="1:11" x14ac:dyDescent="0.25">
      <c r="A90">
        <v>79</v>
      </c>
      <c r="B90" s="65">
        <v>0</v>
      </c>
      <c r="C90" s="65">
        <v>0</v>
      </c>
      <c r="D90" s="65">
        <v>0</v>
      </c>
      <c r="E90" s="65">
        <f t="shared" si="4"/>
        <v>0</v>
      </c>
      <c r="G90">
        <v>79</v>
      </c>
      <c r="H90" s="65">
        <v>0</v>
      </c>
      <c r="I90" s="65">
        <v>0</v>
      </c>
      <c r="J90" s="65">
        <v>0</v>
      </c>
      <c r="K90" s="65">
        <f t="shared" si="5"/>
        <v>0</v>
      </c>
    </row>
    <row r="91" spans="1:11" x14ac:dyDescent="0.25">
      <c r="A91">
        <v>80</v>
      </c>
      <c r="B91" s="65">
        <v>0</v>
      </c>
      <c r="C91" s="65">
        <v>0</v>
      </c>
      <c r="D91" s="65">
        <v>0</v>
      </c>
      <c r="E91" s="65">
        <f t="shared" si="4"/>
        <v>0</v>
      </c>
      <c r="G91">
        <v>80</v>
      </c>
      <c r="H91" s="65">
        <v>0</v>
      </c>
      <c r="I91" s="65">
        <v>0</v>
      </c>
      <c r="J91" s="65">
        <v>0</v>
      </c>
      <c r="K91" s="65">
        <f t="shared" si="5"/>
        <v>0</v>
      </c>
    </row>
    <row r="92" spans="1:11" x14ac:dyDescent="0.25">
      <c r="A92">
        <v>81</v>
      </c>
      <c r="B92" s="65">
        <v>0</v>
      </c>
      <c r="C92" s="65">
        <v>0</v>
      </c>
      <c r="D92" s="65">
        <v>0</v>
      </c>
      <c r="E92" s="65">
        <f t="shared" si="4"/>
        <v>0</v>
      </c>
      <c r="G92">
        <v>81</v>
      </c>
      <c r="H92" s="65">
        <v>0</v>
      </c>
      <c r="I92" s="65">
        <v>0</v>
      </c>
      <c r="J92" s="67">
        <v>0</v>
      </c>
      <c r="K92" s="65">
        <f t="shared" si="5"/>
        <v>0</v>
      </c>
    </row>
    <row r="93" spans="1:11" x14ac:dyDescent="0.25">
      <c r="A93">
        <v>82</v>
      </c>
      <c r="B93" s="65">
        <v>0</v>
      </c>
      <c r="C93" s="65">
        <v>0</v>
      </c>
      <c r="D93" s="65">
        <v>0</v>
      </c>
      <c r="E93" s="65">
        <f t="shared" si="4"/>
        <v>0</v>
      </c>
      <c r="G93">
        <v>82</v>
      </c>
      <c r="H93" s="65">
        <v>0</v>
      </c>
      <c r="I93" s="65">
        <v>0</v>
      </c>
      <c r="J93" s="65">
        <v>0</v>
      </c>
      <c r="K93" s="65">
        <f t="shared" si="5"/>
        <v>0</v>
      </c>
    </row>
    <row r="94" spans="1:11" x14ac:dyDescent="0.25">
      <c r="A94">
        <v>83</v>
      </c>
      <c r="B94" s="65">
        <v>0</v>
      </c>
      <c r="C94" s="65">
        <v>0</v>
      </c>
      <c r="D94" s="65">
        <v>0</v>
      </c>
      <c r="E94" s="65">
        <f t="shared" si="4"/>
        <v>0</v>
      </c>
      <c r="G94">
        <v>83</v>
      </c>
      <c r="H94" s="65">
        <v>0</v>
      </c>
      <c r="I94" s="65">
        <v>0</v>
      </c>
      <c r="J94" s="65">
        <v>0</v>
      </c>
      <c r="K94" s="65">
        <f t="shared" si="5"/>
        <v>0</v>
      </c>
    </row>
    <row r="95" spans="1:11" x14ac:dyDescent="0.25">
      <c r="A95">
        <v>84</v>
      </c>
      <c r="B95" s="65">
        <v>0</v>
      </c>
      <c r="C95" s="65">
        <v>0</v>
      </c>
      <c r="D95" s="65">
        <v>0</v>
      </c>
      <c r="E95" s="65">
        <f t="shared" si="4"/>
        <v>0</v>
      </c>
      <c r="G95">
        <v>84</v>
      </c>
      <c r="H95" s="65">
        <v>0</v>
      </c>
      <c r="I95" s="65">
        <v>0</v>
      </c>
      <c r="J95" s="65">
        <v>0</v>
      </c>
      <c r="K95" s="65">
        <f t="shared" si="5"/>
        <v>0</v>
      </c>
    </row>
    <row r="96" spans="1:11" x14ac:dyDescent="0.25">
      <c r="A96">
        <v>85</v>
      </c>
      <c r="B96" s="65">
        <v>0</v>
      </c>
      <c r="C96" s="65">
        <v>0</v>
      </c>
      <c r="D96" s="65">
        <v>0</v>
      </c>
      <c r="E96" s="65">
        <f t="shared" si="4"/>
        <v>0</v>
      </c>
      <c r="G96">
        <v>85</v>
      </c>
      <c r="H96" s="65">
        <v>0</v>
      </c>
      <c r="I96" s="65">
        <v>0</v>
      </c>
      <c r="J96" s="65">
        <v>0</v>
      </c>
      <c r="K96" s="65">
        <f t="shared" si="5"/>
        <v>0</v>
      </c>
    </row>
    <row r="97" spans="1:11" x14ac:dyDescent="0.25">
      <c r="A97">
        <v>86</v>
      </c>
      <c r="B97" s="65">
        <v>0</v>
      </c>
      <c r="C97" s="65">
        <v>0</v>
      </c>
      <c r="D97" s="65">
        <v>0</v>
      </c>
      <c r="E97" s="65">
        <f t="shared" si="4"/>
        <v>0</v>
      </c>
      <c r="G97">
        <v>86</v>
      </c>
      <c r="H97" s="65">
        <v>0</v>
      </c>
      <c r="I97" s="65">
        <v>0</v>
      </c>
      <c r="J97" s="65">
        <v>0</v>
      </c>
      <c r="K97" s="65">
        <f t="shared" si="5"/>
        <v>0</v>
      </c>
    </row>
    <row r="98" spans="1:11" x14ac:dyDescent="0.25">
      <c r="A98">
        <v>87</v>
      </c>
      <c r="B98" s="65">
        <v>0</v>
      </c>
      <c r="C98" s="65">
        <v>0</v>
      </c>
      <c r="D98" s="65">
        <v>0</v>
      </c>
      <c r="E98" s="65">
        <f t="shared" si="4"/>
        <v>0</v>
      </c>
      <c r="G98">
        <v>87</v>
      </c>
      <c r="H98" s="65">
        <v>0</v>
      </c>
      <c r="I98" s="65">
        <v>0</v>
      </c>
      <c r="J98" s="65">
        <v>0</v>
      </c>
      <c r="K98" s="65">
        <f t="shared" si="5"/>
        <v>0</v>
      </c>
    </row>
    <row r="99" spans="1:11" x14ac:dyDescent="0.25">
      <c r="A99">
        <v>88</v>
      </c>
      <c r="B99" s="65">
        <v>0</v>
      </c>
      <c r="C99" s="65">
        <v>0</v>
      </c>
      <c r="D99" s="65">
        <v>0</v>
      </c>
      <c r="E99" s="65">
        <f t="shared" si="4"/>
        <v>0</v>
      </c>
      <c r="G99">
        <v>88</v>
      </c>
      <c r="H99" s="65">
        <v>0</v>
      </c>
      <c r="I99" s="65">
        <v>0</v>
      </c>
      <c r="J99" s="65">
        <v>0</v>
      </c>
      <c r="K99" s="65">
        <f t="shared" si="5"/>
        <v>0</v>
      </c>
    </row>
    <row r="100" spans="1:11" x14ac:dyDescent="0.25">
      <c r="A100">
        <v>89</v>
      </c>
      <c r="B100" s="65">
        <v>0</v>
      </c>
      <c r="C100" s="65">
        <v>0</v>
      </c>
      <c r="D100" s="65">
        <v>0</v>
      </c>
      <c r="E100" s="65">
        <f t="shared" si="4"/>
        <v>0</v>
      </c>
      <c r="G100">
        <v>89</v>
      </c>
      <c r="H100" s="65">
        <v>0</v>
      </c>
      <c r="I100" s="65">
        <v>0</v>
      </c>
      <c r="J100" s="65">
        <v>0</v>
      </c>
      <c r="K100" s="65">
        <f t="shared" si="5"/>
        <v>0</v>
      </c>
    </row>
    <row r="101" spans="1:11" ht="15.75" thickBot="1" x14ac:dyDescent="0.3">
      <c r="A101" s="1">
        <v>90</v>
      </c>
      <c r="B101" s="66">
        <v>56177.107199999999</v>
      </c>
      <c r="C101" s="66">
        <v>10417.5607</v>
      </c>
      <c r="D101" s="66">
        <v>42483.839500000002</v>
      </c>
      <c r="E101" s="66">
        <f t="shared" si="4"/>
        <v>109078.5074</v>
      </c>
      <c r="G101" s="1">
        <v>90</v>
      </c>
      <c r="H101" s="66">
        <v>22965.932292305723</v>
      </c>
      <c r="I101" s="66">
        <v>0</v>
      </c>
      <c r="J101" s="66">
        <v>0</v>
      </c>
      <c r="K101" s="66">
        <f t="shared" si="5"/>
        <v>22965.932292305723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1"/>
  <sheetViews>
    <sheetView workbookViewId="0">
      <selection activeCell="P12" sqref="P12"/>
    </sheetView>
  </sheetViews>
  <sheetFormatPr defaultRowHeight="15" x14ac:dyDescent="0.25"/>
  <cols>
    <col min="2" max="2" width="10.5703125" bestFit="1" customWidth="1" collapsed="1"/>
    <col min="3" max="4" width="9.5703125" bestFit="1" customWidth="1" collapsed="1"/>
    <col min="5" max="5" width="10.5703125" bestFit="1" customWidth="1" collapsed="1"/>
    <col min="8" max="8" width="10.5703125" bestFit="1" customWidth="1" collapsed="1"/>
    <col min="9" max="10" width="9.5703125" bestFit="1" customWidth="1" collapsed="1"/>
    <col min="11" max="11" width="15.85546875" bestFit="1" customWidth="1" collapsed="1"/>
    <col min="15" max="15" width="15.7109375" bestFit="1" customWidth="1" collapsed="1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r="9" spans="1:15" ht="15.7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9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65">
        <v>0</v>
      </c>
      <c r="C11" s="65">
        <v>0</v>
      </c>
      <c r="D11" s="65">
        <v>0</v>
      </c>
      <c r="E11" s="65">
        <f t="shared" ref="E11:E42" si="0">SUM(B11:D11)</f>
        <v>0</v>
      </c>
      <c r="G11">
        <v>0</v>
      </c>
      <c r="H11" s="65">
        <v>36185.227955731141</v>
      </c>
      <c r="I11" s="65">
        <v>8882.8124780475428</v>
      </c>
      <c r="J11" s="67">
        <v>10993.562353289393</v>
      </c>
      <c r="K11" s="65">
        <f t="shared" ref="K11:K42" si="1">SUM(H11:J11)</f>
        <v>56061.602787068077</v>
      </c>
      <c r="M11" t="s">
        <v>41</v>
      </c>
      <c r="N11" s="7">
        <v>21.087312209213582</v>
      </c>
      <c r="O11" s="7">
        <v>13.362288394611001</v>
      </c>
    </row>
    <row r="12" spans="1:15" x14ac:dyDescent="0.25">
      <c r="A12">
        <v>1</v>
      </c>
      <c r="B12" s="65">
        <v>6745.1783000000005</v>
      </c>
      <c r="C12" s="65">
        <v>0</v>
      </c>
      <c r="D12" s="65">
        <v>0</v>
      </c>
      <c r="E12" s="65">
        <f t="shared" si="0"/>
        <v>6745.1783000000005</v>
      </c>
      <c r="G12">
        <v>1</v>
      </c>
      <c r="H12" s="65">
        <v>20194.821737788934</v>
      </c>
      <c r="I12" s="65">
        <v>2568.490029170282</v>
      </c>
      <c r="J12" s="67">
        <v>1042.1334696657589</v>
      </c>
      <c r="K12" s="65">
        <f t="shared" si="1"/>
        <v>23805.445236624975</v>
      </c>
      <c r="M12" t="s">
        <v>42</v>
      </c>
      <c r="N12" s="7">
        <v>24.505741344918366</v>
      </c>
      <c r="O12" s="7">
        <v>17.183297194252528</v>
      </c>
    </row>
    <row r="13" spans="1:15" x14ac:dyDescent="0.25">
      <c r="A13">
        <v>2</v>
      </c>
      <c r="B13" s="65">
        <v>6033.2902999999997</v>
      </c>
      <c r="C13" s="65">
        <v>0</v>
      </c>
      <c r="D13" s="65">
        <v>0</v>
      </c>
      <c r="E13" s="65">
        <f t="shared" si="0"/>
        <v>6033.2902999999997</v>
      </c>
      <c r="G13">
        <v>2</v>
      </c>
      <c r="H13" s="65">
        <v>25657.412096269749</v>
      </c>
      <c r="I13" s="65">
        <v>3298.6695344300188</v>
      </c>
      <c r="J13" s="67">
        <v>1872.5920544148876</v>
      </c>
      <c r="K13" s="65">
        <f t="shared" si="1"/>
        <v>30828.673685114652</v>
      </c>
      <c r="M13" s="6" t="s">
        <v>43</v>
      </c>
      <c r="N13" s="15">
        <v>25.487335023638565</v>
      </c>
      <c r="O13" s="15">
        <v>20.937595504484367</v>
      </c>
    </row>
    <row r="14" spans="1:15" ht="15.75" thickBot="1" x14ac:dyDescent="0.3">
      <c r="A14">
        <v>3</v>
      </c>
      <c r="B14" s="65">
        <v>7285.3036000000002</v>
      </c>
      <c r="C14" s="65">
        <v>827.74030000000005</v>
      </c>
      <c r="D14" s="65">
        <v>112.982</v>
      </c>
      <c r="E14" s="65">
        <f t="shared" si="0"/>
        <v>8226.0259000000005</v>
      </c>
      <c r="G14">
        <v>3</v>
      </c>
      <c r="H14" s="65">
        <v>27485.17531029032</v>
      </c>
      <c r="I14" s="65">
        <v>3766.4771815164308</v>
      </c>
      <c r="J14" s="67">
        <v>2352.8179435225402</v>
      </c>
      <c r="K14" s="65">
        <f t="shared" si="1"/>
        <v>33604.470435329291</v>
      </c>
      <c r="M14" s="1" t="s">
        <v>3</v>
      </c>
      <c r="N14" s="16">
        <v>21.973485253303615</v>
      </c>
      <c r="O14" s="16">
        <v>15.424471720335546</v>
      </c>
    </row>
    <row r="15" spans="1:15" x14ac:dyDescent="0.25">
      <c r="A15">
        <v>4</v>
      </c>
      <c r="B15" s="65">
        <v>10392.525900000001</v>
      </c>
      <c r="C15" s="65">
        <v>728.3605</v>
      </c>
      <c r="D15" s="65">
        <v>12.928000000000001</v>
      </c>
      <c r="E15" s="65">
        <f t="shared" si="0"/>
        <v>11133.814400000001</v>
      </c>
      <c r="G15">
        <v>4</v>
      </c>
      <c r="H15" s="65">
        <v>27201.746023844898</v>
      </c>
      <c r="I15" s="65">
        <v>3856.4016690851126</v>
      </c>
      <c r="J15" s="67">
        <v>2705.2361132926585</v>
      </c>
      <c r="K15" s="65">
        <f t="shared" si="1"/>
        <v>33763.383806222671</v>
      </c>
    </row>
    <row r="16" spans="1:15" x14ac:dyDescent="0.25">
      <c r="A16">
        <v>5</v>
      </c>
      <c r="B16" s="65">
        <v>5646.9799000000003</v>
      </c>
      <c r="C16" s="65">
        <v>329.50459999999998</v>
      </c>
      <c r="D16" s="65">
        <v>7452.6958000000004</v>
      </c>
      <c r="E16" s="65">
        <f t="shared" si="0"/>
        <v>13429.1803</v>
      </c>
      <c r="G16">
        <v>5</v>
      </c>
      <c r="H16" s="65">
        <v>25672.247609508278</v>
      </c>
      <c r="I16" s="65">
        <v>3836.9000217544321</v>
      </c>
      <c r="J16" s="67">
        <v>3223.7764583384451</v>
      </c>
      <c r="K16" s="65">
        <f t="shared" si="1"/>
        <v>32732.924089601154</v>
      </c>
    </row>
    <row r="17" spans="1:11" x14ac:dyDescent="0.25">
      <c r="A17">
        <v>6</v>
      </c>
      <c r="B17" s="65">
        <v>5830.5564999999997</v>
      </c>
      <c r="C17" s="65">
        <v>1405.8462999999999</v>
      </c>
      <c r="D17" s="65">
        <v>224.76899999999998</v>
      </c>
      <c r="E17" s="65">
        <f t="shared" si="0"/>
        <v>7461.1718000000001</v>
      </c>
      <c r="G17">
        <v>6</v>
      </c>
      <c r="H17" s="65">
        <v>23531.474128647009</v>
      </c>
      <c r="I17" s="65">
        <v>3672.221681855814</v>
      </c>
      <c r="J17" s="67">
        <v>3782.7410348534868</v>
      </c>
      <c r="K17" s="65">
        <f t="shared" si="1"/>
        <v>30986.436845356311</v>
      </c>
    </row>
    <row r="18" spans="1:11" x14ac:dyDescent="0.25">
      <c r="A18">
        <v>7</v>
      </c>
      <c r="B18" s="65">
        <v>9951.9981000000007</v>
      </c>
      <c r="C18" s="65">
        <v>795.16</v>
      </c>
      <c r="D18" s="65">
        <v>215.69199999999998</v>
      </c>
      <c r="E18" s="65">
        <f t="shared" si="0"/>
        <v>10962.8501</v>
      </c>
      <c r="G18">
        <v>7</v>
      </c>
      <c r="H18" s="65">
        <v>21165.2218577901</v>
      </c>
      <c r="I18" s="65">
        <v>3517.0197580730328</v>
      </c>
      <c r="J18" s="67">
        <v>2956.7459992320223</v>
      </c>
      <c r="K18" s="65">
        <f t="shared" si="1"/>
        <v>27638.987615095153</v>
      </c>
    </row>
    <row r="19" spans="1:11" x14ac:dyDescent="0.25">
      <c r="A19">
        <v>8</v>
      </c>
      <c r="B19" s="65">
        <v>2651.7325000000001</v>
      </c>
      <c r="C19" s="65">
        <v>0</v>
      </c>
      <c r="D19" s="65">
        <v>766.78899999999999</v>
      </c>
      <c r="E19" s="65">
        <f t="shared" si="0"/>
        <v>3418.5214999999998</v>
      </c>
      <c r="G19">
        <v>8</v>
      </c>
      <c r="H19" s="65">
        <v>18089.988637929575</v>
      </c>
      <c r="I19" s="65">
        <v>3114.7741288329071</v>
      </c>
      <c r="J19" s="67">
        <v>2768.773038964056</v>
      </c>
      <c r="K19" s="65">
        <f t="shared" si="1"/>
        <v>23973.53580572654</v>
      </c>
    </row>
    <row r="20" spans="1:11" x14ac:dyDescent="0.25">
      <c r="A20">
        <v>9</v>
      </c>
      <c r="B20" s="65">
        <v>10667.088099999999</v>
      </c>
      <c r="C20" s="65">
        <v>1134.9395999999999</v>
      </c>
      <c r="D20" s="65">
        <v>80.25569999999999</v>
      </c>
      <c r="E20" s="65">
        <f t="shared" si="0"/>
        <v>11882.283399999998</v>
      </c>
      <c r="G20">
        <v>9</v>
      </c>
      <c r="H20" s="65">
        <v>15895.300579436858</v>
      </c>
      <c r="I20" s="65">
        <v>2958.562510727525</v>
      </c>
      <c r="J20" s="67">
        <v>2459.9079290298946</v>
      </c>
      <c r="K20" s="65">
        <f t="shared" si="1"/>
        <v>21313.771019194279</v>
      </c>
    </row>
    <row r="21" spans="1:11" x14ac:dyDescent="0.25">
      <c r="A21">
        <v>10</v>
      </c>
      <c r="B21" s="65">
        <v>4602.3874000000005</v>
      </c>
      <c r="C21" s="65">
        <v>541.97919999999999</v>
      </c>
      <c r="D21" s="65">
        <v>0</v>
      </c>
      <c r="E21" s="65">
        <f t="shared" si="0"/>
        <v>5144.3666000000003</v>
      </c>
      <c r="G21">
        <v>10</v>
      </c>
      <c r="H21" s="65">
        <v>13037.480776184382</v>
      </c>
      <c r="I21" s="65">
        <v>2524.6024611212179</v>
      </c>
      <c r="J21" s="67">
        <v>2479.8100494944606</v>
      </c>
      <c r="K21" s="65">
        <f t="shared" si="1"/>
        <v>18041.893286800059</v>
      </c>
    </row>
    <row r="22" spans="1:11" x14ac:dyDescent="0.25">
      <c r="A22">
        <v>11</v>
      </c>
      <c r="B22" s="65">
        <v>8116.9630999999999</v>
      </c>
      <c r="C22" s="65">
        <v>1022.1395</v>
      </c>
      <c r="D22" s="65">
        <v>445.91759999999999</v>
      </c>
      <c r="E22" s="65">
        <f t="shared" si="0"/>
        <v>9585.0202000000008</v>
      </c>
      <c r="G22">
        <v>11</v>
      </c>
      <c r="H22" s="65">
        <v>11162.351977798253</v>
      </c>
      <c r="I22" s="65">
        <v>2356.0425390134355</v>
      </c>
      <c r="J22" s="67">
        <v>1894.6195310433045</v>
      </c>
      <c r="K22" s="65">
        <f t="shared" si="1"/>
        <v>15413.014047854993</v>
      </c>
    </row>
    <row r="23" spans="1:11" x14ac:dyDescent="0.25">
      <c r="A23">
        <v>12</v>
      </c>
      <c r="B23" s="65">
        <v>20061.9584</v>
      </c>
      <c r="C23" s="65">
        <v>2444.9375999999997</v>
      </c>
      <c r="D23" s="65">
        <v>253.25909999999999</v>
      </c>
      <c r="E23" s="65">
        <f t="shared" si="0"/>
        <v>22760.1551</v>
      </c>
      <c r="G23">
        <v>12</v>
      </c>
      <c r="H23" s="65">
        <v>9807.9368801178007</v>
      </c>
      <c r="I23" s="65">
        <v>2187.5513912178271</v>
      </c>
      <c r="J23" s="67">
        <v>2104.8865001543913</v>
      </c>
      <c r="K23" s="65">
        <f t="shared" si="1"/>
        <v>14100.374771490018</v>
      </c>
    </row>
    <row r="24" spans="1:11" x14ac:dyDescent="0.25">
      <c r="A24">
        <v>13</v>
      </c>
      <c r="B24" s="65">
        <v>7538.7794000000004</v>
      </c>
      <c r="C24" s="65">
        <v>241.2413</v>
      </c>
      <c r="D24" s="65">
        <v>924.3569</v>
      </c>
      <c r="E24" s="65">
        <f t="shared" si="0"/>
        <v>8704.3775999999998</v>
      </c>
      <c r="G24">
        <v>13</v>
      </c>
      <c r="H24" s="65">
        <v>8055.2359142964651</v>
      </c>
      <c r="I24" s="65">
        <v>1715.7781105681524</v>
      </c>
      <c r="J24" s="67">
        <v>1252.7496707328316</v>
      </c>
      <c r="K24" s="65">
        <f t="shared" si="1"/>
        <v>11023.763695597449</v>
      </c>
    </row>
    <row r="25" spans="1:11" x14ac:dyDescent="0.25">
      <c r="A25">
        <v>14</v>
      </c>
      <c r="B25" s="65">
        <v>11279.2145</v>
      </c>
      <c r="C25" s="65">
        <v>834.17840000000001</v>
      </c>
      <c r="D25" s="65">
        <v>1634.7037</v>
      </c>
      <c r="E25" s="65">
        <f t="shared" si="0"/>
        <v>13748.096600000001</v>
      </c>
      <c r="G25">
        <v>14</v>
      </c>
      <c r="H25" s="65">
        <v>6924.9444831343917</v>
      </c>
      <c r="I25" s="65">
        <v>1689.1633061603857</v>
      </c>
      <c r="J25" s="67">
        <v>1309.8490900205718</v>
      </c>
      <c r="K25" s="65">
        <f t="shared" si="1"/>
        <v>9923.9568793153503</v>
      </c>
    </row>
    <row r="26" spans="1:11" x14ac:dyDescent="0.25">
      <c r="A26">
        <v>15</v>
      </c>
      <c r="B26" s="65">
        <v>1343.0691999999999</v>
      </c>
      <c r="C26" s="65">
        <v>0</v>
      </c>
      <c r="D26" s="65">
        <v>196.95</v>
      </c>
      <c r="E26" s="65">
        <f t="shared" si="0"/>
        <v>1540.0192</v>
      </c>
      <c r="G26">
        <v>15</v>
      </c>
      <c r="H26" s="65">
        <v>6667.0001124311266</v>
      </c>
      <c r="I26" s="65">
        <v>1494.4875915445696</v>
      </c>
      <c r="J26" s="67">
        <v>923.80304851162339</v>
      </c>
      <c r="K26" s="65">
        <f t="shared" si="1"/>
        <v>9085.290752487319</v>
      </c>
    </row>
    <row r="27" spans="1:11" x14ac:dyDescent="0.25">
      <c r="A27">
        <v>16</v>
      </c>
      <c r="B27" s="65">
        <v>25742.307499999999</v>
      </c>
      <c r="C27" s="65">
        <v>2312.2284</v>
      </c>
      <c r="D27" s="65">
        <v>1590.6269</v>
      </c>
      <c r="E27" s="65">
        <f t="shared" si="0"/>
        <v>29645.162799999998</v>
      </c>
      <c r="G27">
        <v>16</v>
      </c>
      <c r="H27" s="65">
        <v>5785.3838599921664</v>
      </c>
      <c r="I27" s="65">
        <v>1345.9015017593024</v>
      </c>
      <c r="J27" s="67">
        <v>794.9619699086677</v>
      </c>
      <c r="K27" s="65">
        <f t="shared" si="1"/>
        <v>7926.2473316601363</v>
      </c>
    </row>
    <row r="28" spans="1:11" x14ac:dyDescent="0.25">
      <c r="A28">
        <v>17</v>
      </c>
      <c r="B28" s="65">
        <v>11071.697899999999</v>
      </c>
      <c r="C28" s="65">
        <v>666.92319999999995</v>
      </c>
      <c r="D28" s="65">
        <v>0</v>
      </c>
      <c r="E28" s="65">
        <f t="shared" si="0"/>
        <v>11738.621099999998</v>
      </c>
      <c r="G28">
        <v>17</v>
      </c>
      <c r="H28" s="65">
        <v>5034.763479042027</v>
      </c>
      <c r="I28" s="65">
        <v>1507.3371947532783</v>
      </c>
      <c r="J28" s="67">
        <v>1748.4484450077198</v>
      </c>
      <c r="K28" s="65">
        <f t="shared" si="1"/>
        <v>8290.5491188030246</v>
      </c>
    </row>
    <row r="29" spans="1:11" x14ac:dyDescent="0.25">
      <c r="A29">
        <v>18</v>
      </c>
      <c r="B29" s="65">
        <v>37230.789199999999</v>
      </c>
      <c r="C29" s="65">
        <v>5722.6716999999999</v>
      </c>
      <c r="D29" s="65">
        <v>5352.9331999999995</v>
      </c>
      <c r="E29" s="65">
        <f t="shared" si="0"/>
        <v>48306.394099999998</v>
      </c>
      <c r="G29">
        <v>18</v>
      </c>
      <c r="H29" s="65">
        <v>68263.509684146789</v>
      </c>
      <c r="I29" s="65">
        <v>16938.5879051913</v>
      </c>
      <c r="J29" s="67">
        <v>13586.471620728891</v>
      </c>
      <c r="K29" s="65">
        <f t="shared" si="1"/>
        <v>98788.569210066969</v>
      </c>
    </row>
    <row r="30" spans="1:11" x14ac:dyDescent="0.25">
      <c r="A30">
        <v>19</v>
      </c>
      <c r="B30" s="65">
        <v>19208.2896</v>
      </c>
      <c r="C30" s="65">
        <v>5036.6940000000004</v>
      </c>
      <c r="D30" s="65">
        <v>4783.6117999999997</v>
      </c>
      <c r="E30" s="65">
        <f t="shared" si="0"/>
        <v>29028.595399999998</v>
      </c>
      <c r="G30">
        <v>19</v>
      </c>
      <c r="H30" s="65">
        <v>14422.967336345742</v>
      </c>
      <c r="I30" s="65">
        <v>4240.2015758202187</v>
      </c>
      <c r="J30" s="67">
        <v>6011.6129403239702</v>
      </c>
      <c r="K30" s="65">
        <f t="shared" si="1"/>
        <v>24674.781852489934</v>
      </c>
    </row>
    <row r="31" spans="1:11" x14ac:dyDescent="0.25">
      <c r="A31">
        <v>20</v>
      </c>
      <c r="B31" s="65">
        <v>41266.024400000002</v>
      </c>
      <c r="C31" s="65">
        <v>2008.2398000000001</v>
      </c>
      <c r="D31" s="65">
        <v>3383.5686999999998</v>
      </c>
      <c r="E31" s="65">
        <f t="shared" si="0"/>
        <v>46657.832900000009</v>
      </c>
      <c r="G31">
        <v>20</v>
      </c>
      <c r="H31" s="65">
        <v>10113.69068641477</v>
      </c>
      <c r="I31" s="65">
        <v>3389.6180040396562</v>
      </c>
      <c r="J31" s="67">
        <v>4395.4884198702548</v>
      </c>
      <c r="K31" s="65">
        <f t="shared" si="1"/>
        <v>17898.797110324682</v>
      </c>
    </row>
    <row r="32" spans="1:11" x14ac:dyDescent="0.25">
      <c r="A32">
        <v>21</v>
      </c>
      <c r="B32" s="65">
        <v>20348.698100000001</v>
      </c>
      <c r="C32" s="65">
        <v>3177.5144</v>
      </c>
      <c r="D32" s="65">
        <v>3402.5726</v>
      </c>
      <c r="E32" s="65">
        <f t="shared" si="0"/>
        <v>26928.785100000001</v>
      </c>
      <c r="G32">
        <v>21</v>
      </c>
      <c r="H32" s="65">
        <v>15767.768068366846</v>
      </c>
      <c r="I32" s="65">
        <v>5756.2938627826225</v>
      </c>
      <c r="J32" s="67">
        <v>8872.8602596529654</v>
      </c>
      <c r="K32" s="65">
        <f t="shared" si="1"/>
        <v>30396.922190802434</v>
      </c>
    </row>
    <row r="33" spans="1:11" x14ac:dyDescent="0.25">
      <c r="A33">
        <v>22</v>
      </c>
      <c r="B33" s="65">
        <v>21622.0733</v>
      </c>
      <c r="C33" s="65">
        <v>2015.7887000000001</v>
      </c>
      <c r="D33" s="65">
        <v>4173.3805000000002</v>
      </c>
      <c r="E33" s="65">
        <f t="shared" si="0"/>
        <v>27811.2425</v>
      </c>
      <c r="G33">
        <v>22</v>
      </c>
      <c r="H33" s="65">
        <v>18955.846381503801</v>
      </c>
      <c r="I33" s="65">
        <v>6803.3622081356016</v>
      </c>
      <c r="J33" s="67">
        <v>7132.8947410582359</v>
      </c>
      <c r="K33" s="65">
        <f t="shared" si="1"/>
        <v>32892.103330697639</v>
      </c>
    </row>
    <row r="34" spans="1:11" x14ac:dyDescent="0.25">
      <c r="A34">
        <v>23</v>
      </c>
      <c r="B34" s="65">
        <v>3476.5962</v>
      </c>
      <c r="C34" s="65">
        <v>87.1083</v>
      </c>
      <c r="D34" s="65">
        <v>2692.1727000000001</v>
      </c>
      <c r="E34" s="65">
        <f t="shared" si="0"/>
        <v>6255.8771999999999</v>
      </c>
      <c r="G34">
        <v>23</v>
      </c>
      <c r="H34" s="65">
        <v>15566.124300388403</v>
      </c>
      <c r="I34" s="65">
        <v>4536.8699422137388</v>
      </c>
      <c r="J34" s="67">
        <v>5707.2874793430519</v>
      </c>
      <c r="K34" s="65">
        <f t="shared" si="1"/>
        <v>25810.281721945194</v>
      </c>
    </row>
    <row r="35" spans="1:11" x14ac:dyDescent="0.25">
      <c r="A35">
        <v>24</v>
      </c>
      <c r="B35" s="65">
        <v>14231.0566</v>
      </c>
      <c r="C35" s="65">
        <v>5333.9229000000005</v>
      </c>
      <c r="D35" s="65">
        <v>1554.6602</v>
      </c>
      <c r="E35" s="65">
        <f t="shared" si="0"/>
        <v>21119.6397</v>
      </c>
      <c r="G35">
        <v>24</v>
      </c>
      <c r="H35" s="65">
        <v>11464.16801928419</v>
      </c>
      <c r="I35" s="65">
        <v>4397.9127588330412</v>
      </c>
      <c r="J35" s="67">
        <v>8787.2252086594999</v>
      </c>
      <c r="K35" s="65">
        <f t="shared" si="1"/>
        <v>24649.30598677673</v>
      </c>
    </row>
    <row r="36" spans="1:11" x14ac:dyDescent="0.25">
      <c r="A36">
        <v>25</v>
      </c>
      <c r="B36" s="65">
        <v>14298.2394</v>
      </c>
      <c r="C36" s="65">
        <v>294.77409999999998</v>
      </c>
      <c r="D36" s="65">
        <v>1148.9579000000001</v>
      </c>
      <c r="E36" s="65">
        <f t="shared" si="0"/>
        <v>15741.9714</v>
      </c>
      <c r="G36">
        <v>25</v>
      </c>
      <c r="H36" s="65">
        <v>6811.0689291695571</v>
      </c>
      <c r="I36" s="65">
        <v>2439.025322234897</v>
      </c>
      <c r="J36" s="67">
        <v>3557.7214258309314</v>
      </c>
      <c r="K36" s="65">
        <f t="shared" si="1"/>
        <v>12807.815677235387</v>
      </c>
    </row>
    <row r="37" spans="1:11" x14ac:dyDescent="0.25">
      <c r="A37">
        <v>26</v>
      </c>
      <c r="B37" s="65">
        <v>33839.313099999999</v>
      </c>
      <c r="C37" s="65">
        <v>7174.6509999999998</v>
      </c>
      <c r="D37" s="65">
        <v>887.428</v>
      </c>
      <c r="E37" s="65">
        <f t="shared" si="0"/>
        <v>41901.392099999997</v>
      </c>
      <c r="G37">
        <v>26</v>
      </c>
      <c r="H37" s="65">
        <v>9498.865049270973</v>
      </c>
      <c r="I37" s="65">
        <v>3701.6165433290889</v>
      </c>
      <c r="J37" s="67">
        <v>9284.7289795251108</v>
      </c>
      <c r="K37" s="65">
        <f t="shared" si="1"/>
        <v>22485.210572125172</v>
      </c>
    </row>
    <row r="38" spans="1:11" x14ac:dyDescent="0.25">
      <c r="A38">
        <v>27</v>
      </c>
      <c r="B38" s="65">
        <v>3780.4168</v>
      </c>
      <c r="C38" s="65">
        <v>2004.8523</v>
      </c>
      <c r="D38" s="65">
        <v>451.75979999999998</v>
      </c>
      <c r="E38" s="65">
        <f t="shared" si="0"/>
        <v>6237.0288999999993</v>
      </c>
      <c r="G38">
        <v>27</v>
      </c>
      <c r="H38" s="65">
        <v>7545.5865826920235</v>
      </c>
      <c r="I38" s="65">
        <v>2928.3812547621928</v>
      </c>
      <c r="J38" s="67">
        <v>6830.4536183672144</v>
      </c>
      <c r="K38" s="65">
        <f t="shared" si="1"/>
        <v>17304.42145582143</v>
      </c>
    </row>
    <row r="39" spans="1:11" x14ac:dyDescent="0.25">
      <c r="A39">
        <v>28</v>
      </c>
      <c r="B39" s="65">
        <v>11328.2202</v>
      </c>
      <c r="C39" s="65">
        <v>1681.9155000000001</v>
      </c>
      <c r="D39" s="65">
        <v>1986.3262</v>
      </c>
      <c r="E39" s="65">
        <f t="shared" si="0"/>
        <v>14996.461899999998</v>
      </c>
      <c r="G39">
        <v>28</v>
      </c>
      <c r="H39" s="65">
        <v>4195.6799231291179</v>
      </c>
      <c r="I39" s="65">
        <v>1700.7001204660487</v>
      </c>
      <c r="J39" s="67">
        <v>3704.9851016640014</v>
      </c>
      <c r="K39" s="65">
        <f t="shared" si="1"/>
        <v>9601.3651452591694</v>
      </c>
    </row>
    <row r="40" spans="1:11" x14ac:dyDescent="0.25">
      <c r="A40">
        <v>29</v>
      </c>
      <c r="B40" s="65">
        <v>4032.5270000000005</v>
      </c>
      <c r="C40" s="65">
        <v>2926.6144000000004</v>
      </c>
      <c r="D40" s="65">
        <v>1539.4123</v>
      </c>
      <c r="E40" s="65">
        <f t="shared" si="0"/>
        <v>8498.5537000000004</v>
      </c>
      <c r="G40">
        <v>29</v>
      </c>
      <c r="H40" s="65">
        <v>4087.943294991243</v>
      </c>
      <c r="I40" s="65">
        <v>1858.5680005695283</v>
      </c>
      <c r="J40" s="67">
        <v>2568.1057415891928</v>
      </c>
      <c r="K40" s="65">
        <f t="shared" si="1"/>
        <v>8514.6170371499647</v>
      </c>
    </row>
    <row r="41" spans="1:11" x14ac:dyDescent="0.25">
      <c r="A41">
        <v>30</v>
      </c>
      <c r="B41" s="65">
        <v>14496.886</v>
      </c>
      <c r="C41" s="65">
        <v>3870.1862000000001</v>
      </c>
      <c r="D41" s="65">
        <v>1444.3077000000001</v>
      </c>
      <c r="E41" s="65">
        <f t="shared" si="0"/>
        <v>19811.379900000004</v>
      </c>
      <c r="G41">
        <v>30</v>
      </c>
      <c r="H41" s="65">
        <v>2567.9068425504629</v>
      </c>
      <c r="I41" s="65">
        <v>1298.4556758771412</v>
      </c>
      <c r="J41" s="67">
        <v>2480.3023130502393</v>
      </c>
      <c r="K41" s="65">
        <f t="shared" si="1"/>
        <v>6346.6648314778431</v>
      </c>
    </row>
    <row r="42" spans="1:11" x14ac:dyDescent="0.25">
      <c r="A42">
        <v>31</v>
      </c>
      <c r="B42" s="65">
        <v>4371.8630999999996</v>
      </c>
      <c r="C42" s="65">
        <v>2765.5990999999999</v>
      </c>
      <c r="D42" s="65">
        <v>1153.2854</v>
      </c>
      <c r="E42" s="65">
        <f t="shared" si="0"/>
        <v>8290.7476000000006</v>
      </c>
      <c r="G42">
        <v>31</v>
      </c>
      <c r="H42" s="65">
        <v>8670.3234101585185</v>
      </c>
      <c r="I42" s="65">
        <v>2863.630648742424</v>
      </c>
      <c r="J42" s="67">
        <v>2961.3388226938091</v>
      </c>
      <c r="K42" s="65">
        <f t="shared" si="1"/>
        <v>14495.292881594753</v>
      </c>
    </row>
    <row r="43" spans="1:11" x14ac:dyDescent="0.25">
      <c r="A43">
        <v>32</v>
      </c>
      <c r="B43" s="65">
        <v>4797.0135</v>
      </c>
      <c r="C43" s="65">
        <v>679.53390000000002</v>
      </c>
      <c r="D43" s="65">
        <v>193.37780000000001</v>
      </c>
      <c r="E43" s="65">
        <f t="shared" ref="E43:E74" si="2">SUM(B43:D43)</f>
        <v>5669.9252000000006</v>
      </c>
      <c r="G43">
        <v>32</v>
      </c>
      <c r="H43" s="65">
        <v>2160.2546399069661</v>
      </c>
      <c r="I43" s="65">
        <v>1068.9676413063635</v>
      </c>
      <c r="J43" s="67">
        <v>2586.1094308690654</v>
      </c>
      <c r="K43" s="65">
        <f t="shared" ref="K43:K74" si="3">SUM(H43:J43)</f>
        <v>5815.3317120823949</v>
      </c>
    </row>
    <row r="44" spans="1:11" x14ac:dyDescent="0.25">
      <c r="A44">
        <v>33</v>
      </c>
      <c r="B44" s="65">
        <v>3526.8323</v>
      </c>
      <c r="C44" s="65">
        <v>0</v>
      </c>
      <c r="D44" s="65">
        <v>2470.4290999999998</v>
      </c>
      <c r="E44" s="65">
        <f t="shared" si="2"/>
        <v>5997.2613999999994</v>
      </c>
      <c r="G44">
        <v>33</v>
      </c>
      <c r="H44" s="65">
        <v>3077.312074686392</v>
      </c>
      <c r="I44" s="65">
        <v>1148.1235051301312</v>
      </c>
      <c r="J44" s="67">
        <v>3227.4168470671329</v>
      </c>
      <c r="K44" s="65">
        <f t="shared" si="3"/>
        <v>7452.8524268836563</v>
      </c>
    </row>
    <row r="45" spans="1:11" x14ac:dyDescent="0.25">
      <c r="A45">
        <v>34</v>
      </c>
      <c r="B45" s="65">
        <v>12890.1114</v>
      </c>
      <c r="C45" s="65">
        <v>645.07359999999994</v>
      </c>
      <c r="D45" s="65">
        <v>1201.6505</v>
      </c>
      <c r="E45" s="65">
        <f t="shared" si="2"/>
        <v>14736.835499999999</v>
      </c>
      <c r="G45">
        <v>34</v>
      </c>
      <c r="H45" s="65">
        <v>1908.3512878771314</v>
      </c>
      <c r="I45" s="65">
        <v>990.13586137224513</v>
      </c>
      <c r="J45" s="67">
        <v>2726.5567879742284</v>
      </c>
      <c r="K45" s="65">
        <f t="shared" si="3"/>
        <v>5625.0439372236051</v>
      </c>
    </row>
    <row r="46" spans="1:11" x14ac:dyDescent="0.25">
      <c r="A46">
        <v>35</v>
      </c>
      <c r="B46" s="65">
        <v>0</v>
      </c>
      <c r="C46" s="65">
        <v>438.06880000000001</v>
      </c>
      <c r="D46" s="65">
        <v>388.37090000000001</v>
      </c>
      <c r="E46" s="65">
        <f t="shared" si="2"/>
        <v>826.43970000000002</v>
      </c>
      <c r="G46">
        <v>35</v>
      </c>
      <c r="H46" s="65">
        <v>1962.3956432515042</v>
      </c>
      <c r="I46" s="65">
        <v>822.61574411064987</v>
      </c>
      <c r="J46" s="67">
        <v>1289.8365634520947</v>
      </c>
      <c r="K46" s="65">
        <f t="shared" si="3"/>
        <v>4074.8479508142486</v>
      </c>
    </row>
    <row r="47" spans="1:11" x14ac:dyDescent="0.25">
      <c r="A47">
        <v>36</v>
      </c>
      <c r="B47" s="65">
        <v>264.50869999999998</v>
      </c>
      <c r="C47" s="65">
        <v>0</v>
      </c>
      <c r="D47" s="65">
        <v>1345.1967999999999</v>
      </c>
      <c r="E47" s="65">
        <f t="shared" si="2"/>
        <v>1609.7055</v>
      </c>
      <c r="G47">
        <v>36</v>
      </c>
      <c r="H47" s="65">
        <v>2121.6617189140457</v>
      </c>
      <c r="I47" s="65">
        <v>791.84332053436856</v>
      </c>
      <c r="J47" s="67">
        <v>1489.5519906239522</v>
      </c>
      <c r="K47" s="65">
        <f t="shared" si="3"/>
        <v>4403.0570300723666</v>
      </c>
    </row>
    <row r="48" spans="1:11" x14ac:dyDescent="0.25">
      <c r="A48">
        <v>37</v>
      </c>
      <c r="B48" s="65">
        <v>4936.4268000000002</v>
      </c>
      <c r="C48" s="65">
        <v>1379.2523000000001</v>
      </c>
      <c r="D48" s="65">
        <v>327.40269999999998</v>
      </c>
      <c r="E48" s="65">
        <f t="shared" si="2"/>
        <v>6643.0817999999999</v>
      </c>
      <c r="G48">
        <v>37</v>
      </c>
      <c r="H48" s="65">
        <v>1621.1117194671024</v>
      </c>
      <c r="I48" s="65">
        <v>917.78931970415704</v>
      </c>
      <c r="J48" s="67">
        <v>846.89513529663009</v>
      </c>
      <c r="K48" s="65">
        <f t="shared" si="3"/>
        <v>3385.7961744678896</v>
      </c>
    </row>
    <row r="49" spans="1:11" x14ac:dyDescent="0.25">
      <c r="A49">
        <v>38</v>
      </c>
      <c r="B49" s="65">
        <v>3535.002</v>
      </c>
      <c r="C49" s="65">
        <v>1625.885</v>
      </c>
      <c r="D49" s="65">
        <v>953.40769999999998</v>
      </c>
      <c r="E49" s="65">
        <f t="shared" si="2"/>
        <v>6114.2946999999995</v>
      </c>
      <c r="G49">
        <v>38</v>
      </c>
      <c r="H49" s="65">
        <v>479.91636959913637</v>
      </c>
      <c r="I49" s="65">
        <v>430.10202382052745</v>
      </c>
      <c r="J49" s="67">
        <v>1048.1696890239409</v>
      </c>
      <c r="K49" s="65">
        <f t="shared" si="3"/>
        <v>1958.1880824436048</v>
      </c>
    </row>
    <row r="50" spans="1:11" x14ac:dyDescent="0.25">
      <c r="A50">
        <v>39</v>
      </c>
      <c r="B50" s="65">
        <v>551.82499999999993</v>
      </c>
      <c r="C50" s="65">
        <v>0</v>
      </c>
      <c r="D50" s="65">
        <v>1511.3800999999999</v>
      </c>
      <c r="E50" s="65">
        <f t="shared" si="2"/>
        <v>2063.2050999999997</v>
      </c>
      <c r="G50">
        <v>39</v>
      </c>
      <c r="H50" s="65">
        <v>406.3866391397442</v>
      </c>
      <c r="I50" s="65">
        <v>394.700189988597</v>
      </c>
      <c r="J50" s="67">
        <v>662.85255664772023</v>
      </c>
      <c r="K50" s="65">
        <f t="shared" si="3"/>
        <v>1463.9393857760615</v>
      </c>
    </row>
    <row r="51" spans="1:11" x14ac:dyDescent="0.25">
      <c r="A51">
        <v>40</v>
      </c>
      <c r="B51" s="65">
        <v>0</v>
      </c>
      <c r="C51" s="65">
        <v>55.733899999999998</v>
      </c>
      <c r="D51" s="65">
        <v>145.33349999999999</v>
      </c>
      <c r="E51" s="65">
        <f t="shared" si="2"/>
        <v>201.06739999999999</v>
      </c>
      <c r="G51">
        <v>40</v>
      </c>
      <c r="H51" s="65">
        <v>1669.2998323660374</v>
      </c>
      <c r="I51" s="65">
        <v>799.45352206734015</v>
      </c>
      <c r="J51" s="67">
        <v>1359.4095211415779</v>
      </c>
      <c r="K51" s="65">
        <f t="shared" si="3"/>
        <v>3828.1628755749553</v>
      </c>
    </row>
    <row r="52" spans="1:11" x14ac:dyDescent="0.25">
      <c r="A52">
        <v>41</v>
      </c>
      <c r="B52" s="65">
        <v>5402.1253999999999</v>
      </c>
      <c r="C52" s="65">
        <v>0</v>
      </c>
      <c r="D52" s="65">
        <v>316.66180000000003</v>
      </c>
      <c r="E52" s="65">
        <f t="shared" si="2"/>
        <v>5718.7871999999998</v>
      </c>
      <c r="G52">
        <v>41</v>
      </c>
      <c r="H52" s="65">
        <v>970.49065096494314</v>
      </c>
      <c r="I52" s="65">
        <v>486.5027081799368</v>
      </c>
      <c r="J52" s="67">
        <v>1085.5983131945247</v>
      </c>
      <c r="K52" s="65">
        <f t="shared" si="3"/>
        <v>2542.5916723394048</v>
      </c>
    </row>
    <row r="53" spans="1:11" x14ac:dyDescent="0.25">
      <c r="A53">
        <v>42</v>
      </c>
      <c r="B53" s="65">
        <v>0</v>
      </c>
      <c r="C53" s="65">
        <v>0</v>
      </c>
      <c r="D53" s="65">
        <v>214.2046</v>
      </c>
      <c r="E53" s="65">
        <f t="shared" si="2"/>
        <v>214.2046</v>
      </c>
      <c r="G53">
        <v>42</v>
      </c>
      <c r="H53" s="65">
        <v>221.81986650335787</v>
      </c>
      <c r="I53" s="65">
        <v>200.73205187912606</v>
      </c>
      <c r="J53" s="67">
        <v>337.10800371782312</v>
      </c>
      <c r="K53" s="65">
        <f t="shared" si="3"/>
        <v>759.65992210030709</v>
      </c>
    </row>
    <row r="54" spans="1:11" x14ac:dyDescent="0.25">
      <c r="A54">
        <v>43</v>
      </c>
      <c r="B54" s="65">
        <v>353.84660000000002</v>
      </c>
      <c r="C54" s="65">
        <v>254.11340000000001</v>
      </c>
      <c r="D54" s="65">
        <v>460.91019999999997</v>
      </c>
      <c r="E54" s="65">
        <f t="shared" si="2"/>
        <v>1068.8702000000001</v>
      </c>
      <c r="G54">
        <v>43</v>
      </c>
      <c r="H54" s="65">
        <v>177.82554411800399</v>
      </c>
      <c r="I54" s="65">
        <v>180.54143215057618</v>
      </c>
      <c r="J54" s="67">
        <v>607.29974906088273</v>
      </c>
      <c r="K54" s="65">
        <f t="shared" si="3"/>
        <v>965.66672532946291</v>
      </c>
    </row>
    <row r="55" spans="1:11" x14ac:dyDescent="0.25">
      <c r="A55">
        <v>44</v>
      </c>
      <c r="B55" s="65">
        <v>0</v>
      </c>
      <c r="C55" s="65">
        <v>262.79070000000002</v>
      </c>
      <c r="D55" s="65">
        <v>1013.4291000000001</v>
      </c>
      <c r="E55" s="65">
        <f t="shared" si="2"/>
        <v>1276.2198000000001</v>
      </c>
      <c r="G55">
        <v>44</v>
      </c>
      <c r="H55" s="65">
        <v>159.95962875266076</v>
      </c>
      <c r="I55" s="65">
        <v>166.7864811949552</v>
      </c>
      <c r="J55" s="67">
        <v>349.42794421262715</v>
      </c>
      <c r="K55" s="65">
        <f t="shared" si="3"/>
        <v>676.17405416024314</v>
      </c>
    </row>
    <row r="56" spans="1:11" x14ac:dyDescent="0.25">
      <c r="A56">
        <v>45</v>
      </c>
      <c r="B56" s="65">
        <v>14075.8714</v>
      </c>
      <c r="C56" s="65">
        <v>3017.0855000000001</v>
      </c>
      <c r="D56" s="65">
        <v>3907.4936000000002</v>
      </c>
      <c r="E56" s="65">
        <f t="shared" si="2"/>
        <v>21000.450500000003</v>
      </c>
      <c r="G56">
        <v>45</v>
      </c>
      <c r="H56" s="65">
        <v>177.68256492256663</v>
      </c>
      <c r="I56" s="65">
        <v>155.98904463973602</v>
      </c>
      <c r="J56" s="67">
        <v>439.70416892000685</v>
      </c>
      <c r="K56" s="65">
        <f t="shared" si="3"/>
        <v>773.37577848230944</v>
      </c>
    </row>
    <row r="57" spans="1:11" x14ac:dyDescent="0.25">
      <c r="A57">
        <v>46</v>
      </c>
      <c r="B57" s="65">
        <v>522.32510000000002</v>
      </c>
      <c r="C57" s="65">
        <v>522.32510000000002</v>
      </c>
      <c r="D57" s="65">
        <v>427.75900000000001</v>
      </c>
      <c r="E57" s="65">
        <f t="shared" si="2"/>
        <v>1472.4092000000001</v>
      </c>
      <c r="G57">
        <v>46</v>
      </c>
      <c r="H57" s="65">
        <v>157.62238710532822</v>
      </c>
      <c r="I57" s="65">
        <v>152.09309490373275</v>
      </c>
      <c r="J57" s="67">
        <v>263.46616719704309</v>
      </c>
      <c r="K57" s="65">
        <f t="shared" si="3"/>
        <v>573.18164920610411</v>
      </c>
    </row>
    <row r="58" spans="1:11" x14ac:dyDescent="0.25">
      <c r="A58">
        <v>47</v>
      </c>
      <c r="B58" s="65">
        <v>321.005</v>
      </c>
      <c r="C58" s="65">
        <v>0</v>
      </c>
      <c r="D58" s="65">
        <v>667.40980000000002</v>
      </c>
      <c r="E58" s="65">
        <f t="shared" si="2"/>
        <v>988.41480000000001</v>
      </c>
      <c r="G58">
        <v>47</v>
      </c>
      <c r="H58" s="65">
        <v>153.90190301829207</v>
      </c>
      <c r="I58" s="65">
        <v>179.95420534466294</v>
      </c>
      <c r="J58" s="67">
        <v>334.34495642223646</v>
      </c>
      <c r="K58" s="65">
        <f t="shared" si="3"/>
        <v>668.20106478519142</v>
      </c>
    </row>
    <row r="59" spans="1:11" x14ac:dyDescent="0.25">
      <c r="A59">
        <v>48</v>
      </c>
      <c r="B59" s="65">
        <v>0</v>
      </c>
      <c r="C59" s="65">
        <v>0</v>
      </c>
      <c r="D59" s="65">
        <v>82.013999999999996</v>
      </c>
      <c r="E59" s="65">
        <f t="shared" si="2"/>
        <v>82.013999999999996</v>
      </c>
      <c r="G59">
        <v>48</v>
      </c>
      <c r="H59" s="65">
        <v>75.766907530967117</v>
      </c>
      <c r="I59" s="65">
        <v>81.515634469658792</v>
      </c>
      <c r="J59" s="67">
        <v>472.9587907299462</v>
      </c>
      <c r="K59" s="65">
        <f t="shared" si="3"/>
        <v>630.24133273057214</v>
      </c>
    </row>
    <row r="60" spans="1:11" x14ac:dyDescent="0.25">
      <c r="A60">
        <v>49</v>
      </c>
      <c r="B60" s="65">
        <v>1297.2364</v>
      </c>
      <c r="C60" s="65">
        <v>0</v>
      </c>
      <c r="D60" s="65">
        <v>138.9376</v>
      </c>
      <c r="E60" s="65">
        <f t="shared" si="2"/>
        <v>1436.174</v>
      </c>
      <c r="G60">
        <v>49</v>
      </c>
      <c r="H60" s="65">
        <v>87.763960417675818</v>
      </c>
      <c r="I60" s="65">
        <v>109.2206125522346</v>
      </c>
      <c r="J60" s="67">
        <v>171.70483227860592</v>
      </c>
      <c r="K60" s="65">
        <f t="shared" si="3"/>
        <v>368.68940524851632</v>
      </c>
    </row>
    <row r="61" spans="1:11" x14ac:dyDescent="0.25">
      <c r="A61">
        <v>50</v>
      </c>
      <c r="B61" s="65">
        <v>279.85169999999999</v>
      </c>
      <c r="C61" s="65">
        <v>0</v>
      </c>
      <c r="D61" s="65">
        <v>462.85199999999998</v>
      </c>
      <c r="E61" s="65">
        <f t="shared" si="2"/>
        <v>742.70370000000003</v>
      </c>
      <c r="G61">
        <v>50</v>
      </c>
      <c r="H61" s="65">
        <v>49.397226555717324</v>
      </c>
      <c r="I61" s="65">
        <v>92.855442070694494</v>
      </c>
      <c r="J61" s="67">
        <v>206.84422540159557</v>
      </c>
      <c r="K61" s="65">
        <f t="shared" si="3"/>
        <v>349.0968940280074</v>
      </c>
    </row>
    <row r="62" spans="1:11" x14ac:dyDescent="0.25">
      <c r="A62">
        <v>51</v>
      </c>
      <c r="B62" s="65">
        <v>0</v>
      </c>
      <c r="C62" s="65">
        <v>0</v>
      </c>
      <c r="D62" s="65">
        <v>27.320999999999998</v>
      </c>
      <c r="E62" s="65">
        <f t="shared" si="2"/>
        <v>27.320999999999998</v>
      </c>
      <c r="G62">
        <v>51</v>
      </c>
      <c r="H62" s="65">
        <v>84.743220909232349</v>
      </c>
      <c r="I62" s="65">
        <v>98.546496745819169</v>
      </c>
      <c r="J62" s="67">
        <v>819.27896192305195</v>
      </c>
      <c r="K62" s="65">
        <f t="shared" si="3"/>
        <v>1002.5686795781035</v>
      </c>
    </row>
    <row r="63" spans="1:11" x14ac:dyDescent="0.25">
      <c r="A63">
        <v>52</v>
      </c>
      <c r="B63" s="65">
        <v>775.44090000000006</v>
      </c>
      <c r="C63" s="65">
        <v>0</v>
      </c>
      <c r="D63" s="65">
        <v>0</v>
      </c>
      <c r="E63" s="65">
        <f t="shared" si="2"/>
        <v>775.44090000000006</v>
      </c>
      <c r="G63">
        <v>52</v>
      </c>
      <c r="H63" s="65">
        <v>68.043275632489227</v>
      </c>
      <c r="I63" s="65">
        <v>90.731393570930663</v>
      </c>
      <c r="J63" s="67">
        <v>518.70987550721475</v>
      </c>
      <c r="K63" s="65">
        <f t="shared" si="3"/>
        <v>677.48454471063462</v>
      </c>
    </row>
    <row r="64" spans="1:11" x14ac:dyDescent="0.25">
      <c r="A64">
        <v>53</v>
      </c>
      <c r="B64" s="65">
        <v>0</v>
      </c>
      <c r="C64" s="65">
        <v>0</v>
      </c>
      <c r="D64" s="65">
        <v>227.03720000000001</v>
      </c>
      <c r="E64" s="65">
        <f t="shared" si="2"/>
        <v>227.03720000000001</v>
      </c>
      <c r="G64">
        <v>53</v>
      </c>
      <c r="H64" s="65">
        <v>25.533787413661081</v>
      </c>
      <c r="I64" s="65">
        <v>42.55</v>
      </c>
      <c r="J64" s="67">
        <v>356.33360115085475</v>
      </c>
      <c r="K64" s="65">
        <f t="shared" si="3"/>
        <v>424.41738856451582</v>
      </c>
    </row>
    <row r="65" spans="1:11" x14ac:dyDescent="0.25">
      <c r="A65">
        <v>54</v>
      </c>
      <c r="B65" s="65">
        <v>0</v>
      </c>
      <c r="C65" s="65">
        <v>0</v>
      </c>
      <c r="D65" s="65">
        <v>0</v>
      </c>
      <c r="E65" s="65">
        <f t="shared" si="2"/>
        <v>0</v>
      </c>
      <c r="G65">
        <v>54</v>
      </c>
      <c r="H65" s="65">
        <v>30.808473679076833</v>
      </c>
      <c r="I65" s="65">
        <v>57.50698599562385</v>
      </c>
      <c r="J65" s="67">
        <v>191.94680477364756</v>
      </c>
      <c r="K65" s="65">
        <f t="shared" si="3"/>
        <v>280.26226444834822</v>
      </c>
    </row>
    <row r="66" spans="1:11" x14ac:dyDescent="0.25">
      <c r="A66">
        <v>55</v>
      </c>
      <c r="B66" s="65">
        <v>1287.2831999999999</v>
      </c>
      <c r="C66" s="65">
        <v>1194.723</v>
      </c>
      <c r="D66" s="65">
        <v>31.814</v>
      </c>
      <c r="E66" s="65">
        <f t="shared" si="2"/>
        <v>2513.8201999999997</v>
      </c>
      <c r="G66">
        <v>55</v>
      </c>
      <c r="H66" s="65">
        <v>28.749999999999996</v>
      </c>
      <c r="I66" s="65">
        <v>33.643286788017036</v>
      </c>
      <c r="J66" s="67">
        <v>67.602736042886448</v>
      </c>
      <c r="K66" s="65">
        <f t="shared" si="3"/>
        <v>129.99602283090348</v>
      </c>
    </row>
    <row r="67" spans="1:11" x14ac:dyDescent="0.25">
      <c r="A67">
        <v>56</v>
      </c>
      <c r="B67" s="65">
        <v>0</v>
      </c>
      <c r="C67" s="65">
        <v>0</v>
      </c>
      <c r="D67" s="65">
        <v>0</v>
      </c>
      <c r="E67" s="65">
        <f t="shared" si="2"/>
        <v>0</v>
      </c>
      <c r="G67">
        <v>56</v>
      </c>
      <c r="H67" s="65">
        <v>16.547758544163074</v>
      </c>
      <c r="I67" s="65">
        <v>47.597758544163071</v>
      </c>
      <c r="J67" s="67">
        <v>53.996493993101623</v>
      </c>
      <c r="K67" s="65">
        <f t="shared" si="3"/>
        <v>118.14201108142777</v>
      </c>
    </row>
    <row r="68" spans="1:11" x14ac:dyDescent="0.25">
      <c r="A68">
        <v>57</v>
      </c>
      <c r="B68" s="65">
        <v>0</v>
      </c>
      <c r="C68" s="65">
        <v>0</v>
      </c>
      <c r="D68" s="65">
        <v>16.64</v>
      </c>
      <c r="E68" s="65">
        <f t="shared" si="2"/>
        <v>16.64</v>
      </c>
      <c r="G68">
        <v>57</v>
      </c>
      <c r="H68" s="65">
        <v>25.920907980455976</v>
      </c>
      <c r="I68" s="65">
        <v>44.362192829575591</v>
      </c>
      <c r="J68" s="67">
        <v>180.7654652727154</v>
      </c>
      <c r="K68" s="65">
        <f t="shared" si="3"/>
        <v>251.04856608274696</v>
      </c>
    </row>
    <row r="69" spans="1:11" x14ac:dyDescent="0.25">
      <c r="A69">
        <v>58</v>
      </c>
      <c r="B69" s="65">
        <v>0</v>
      </c>
      <c r="C69" s="65">
        <v>0</v>
      </c>
      <c r="D69" s="65">
        <v>16.385000000000002</v>
      </c>
      <c r="E69" s="65">
        <f t="shared" si="2"/>
        <v>16.385000000000002</v>
      </c>
      <c r="G69">
        <v>58</v>
      </c>
      <c r="H69" s="65">
        <v>10.35</v>
      </c>
      <c r="I69" s="65">
        <v>29.495506489495998</v>
      </c>
      <c r="J69" s="67">
        <v>121.78600144731476</v>
      </c>
      <c r="K69" s="65">
        <f t="shared" si="3"/>
        <v>161.63150793681075</v>
      </c>
    </row>
    <row r="70" spans="1:11" x14ac:dyDescent="0.25">
      <c r="A70">
        <v>59</v>
      </c>
      <c r="B70" s="65">
        <v>0</v>
      </c>
      <c r="C70" s="65">
        <v>0</v>
      </c>
      <c r="D70" s="65">
        <v>0</v>
      </c>
      <c r="E70" s="65">
        <f t="shared" si="2"/>
        <v>0</v>
      </c>
      <c r="G70">
        <v>59</v>
      </c>
      <c r="H70" s="65">
        <v>17.414335937499967</v>
      </c>
      <c r="I70" s="65">
        <v>25.299999999999997</v>
      </c>
      <c r="J70" s="67">
        <v>25.467045557742143</v>
      </c>
      <c r="K70" s="65">
        <f t="shared" si="3"/>
        <v>68.181381495242107</v>
      </c>
    </row>
    <row r="71" spans="1:11" x14ac:dyDescent="0.25">
      <c r="A71">
        <v>60</v>
      </c>
      <c r="B71" s="65">
        <v>0</v>
      </c>
      <c r="C71" s="65">
        <v>0</v>
      </c>
      <c r="D71" s="65">
        <v>0</v>
      </c>
      <c r="E71" s="65">
        <f t="shared" si="2"/>
        <v>0</v>
      </c>
      <c r="G71">
        <v>60</v>
      </c>
      <c r="H71" s="65">
        <v>2.7004971953080279</v>
      </c>
      <c r="I71" s="65">
        <v>23</v>
      </c>
      <c r="J71" s="67">
        <v>75.21727468338166</v>
      </c>
      <c r="K71" s="65">
        <f t="shared" si="3"/>
        <v>100.91777187868969</v>
      </c>
    </row>
    <row r="72" spans="1:11" x14ac:dyDescent="0.25">
      <c r="A72">
        <v>61</v>
      </c>
      <c r="B72" s="65">
        <v>0</v>
      </c>
      <c r="C72" s="65">
        <v>0</v>
      </c>
      <c r="D72" s="65">
        <v>0</v>
      </c>
      <c r="E72" s="65">
        <f t="shared" si="2"/>
        <v>0</v>
      </c>
      <c r="G72">
        <v>61</v>
      </c>
      <c r="H72" s="65">
        <v>13.799999999999999</v>
      </c>
      <c r="I72" s="65">
        <v>21.149674796748005</v>
      </c>
      <c r="J72" s="67">
        <v>39.333787413661078</v>
      </c>
      <c r="K72" s="65">
        <f t="shared" si="3"/>
        <v>74.283462210409084</v>
      </c>
    </row>
    <row r="73" spans="1:11" x14ac:dyDescent="0.25">
      <c r="A73">
        <v>62</v>
      </c>
      <c r="B73" s="65">
        <v>0</v>
      </c>
      <c r="C73" s="65">
        <v>0</v>
      </c>
      <c r="D73" s="65">
        <v>21.709000000000003</v>
      </c>
      <c r="E73" s="65">
        <f t="shared" si="2"/>
        <v>21.709000000000003</v>
      </c>
      <c r="G73">
        <v>62</v>
      </c>
      <c r="H73" s="65">
        <v>5.0477585441630755</v>
      </c>
      <c r="I73" s="65">
        <v>46.447758544163072</v>
      </c>
      <c r="J73" s="67">
        <v>16.500497195308025</v>
      </c>
      <c r="K73" s="65">
        <f t="shared" si="3"/>
        <v>67.996014283634167</v>
      </c>
    </row>
    <row r="74" spans="1:11" x14ac:dyDescent="0.25">
      <c r="A74">
        <v>63</v>
      </c>
      <c r="B74" s="65">
        <v>0</v>
      </c>
      <c r="C74" s="65">
        <v>0</v>
      </c>
      <c r="D74" s="65">
        <v>4.1280000000000001</v>
      </c>
      <c r="E74" s="65">
        <f t="shared" si="2"/>
        <v>4.1280000000000001</v>
      </c>
      <c r="G74">
        <v>63</v>
      </c>
      <c r="H74" s="65">
        <v>10.037854624563096</v>
      </c>
      <c r="I74" s="65">
        <v>30.300497195308026</v>
      </c>
      <c r="J74" s="67">
        <v>193.68268567800592</v>
      </c>
      <c r="K74" s="65">
        <f t="shared" si="3"/>
        <v>234.02103749787705</v>
      </c>
    </row>
    <row r="75" spans="1:11" x14ac:dyDescent="0.25">
      <c r="A75">
        <v>64</v>
      </c>
      <c r="B75" s="65">
        <v>0</v>
      </c>
      <c r="C75" s="65">
        <v>78.963099999999997</v>
      </c>
      <c r="D75" s="65">
        <v>10.791</v>
      </c>
      <c r="E75" s="65">
        <f t="shared" ref="E75:E101" si="4">SUM(B75:D75)</f>
        <v>89.754099999999994</v>
      </c>
      <c r="G75">
        <v>64</v>
      </c>
      <c r="H75" s="65">
        <v>2.2999999999999998</v>
      </c>
      <c r="I75" s="65">
        <v>30.300497195308026</v>
      </c>
      <c r="J75" s="67">
        <v>193.18654026380764</v>
      </c>
      <c r="K75" s="65">
        <f t="shared" ref="K75:K101" si="5">SUM(H75:J75)</f>
        <v>225.78703745911565</v>
      </c>
    </row>
    <row r="76" spans="1:11" x14ac:dyDescent="0.25">
      <c r="A76">
        <v>65</v>
      </c>
      <c r="B76" s="65">
        <v>0</v>
      </c>
      <c r="C76" s="65">
        <v>0</v>
      </c>
      <c r="D76" s="65">
        <v>0</v>
      </c>
      <c r="E76" s="65">
        <f t="shared" si="4"/>
        <v>0</v>
      </c>
      <c r="G76">
        <v>65</v>
      </c>
      <c r="H76" s="65">
        <v>3.4499999999999997</v>
      </c>
      <c r="I76" s="65">
        <v>16.099999999999998</v>
      </c>
      <c r="J76" s="67">
        <v>20.452082563152803</v>
      </c>
      <c r="K76" s="65">
        <f t="shared" si="5"/>
        <v>40.002082563152797</v>
      </c>
    </row>
    <row r="77" spans="1:11" x14ac:dyDescent="0.25">
      <c r="A77">
        <v>66</v>
      </c>
      <c r="B77" s="65">
        <v>0</v>
      </c>
      <c r="C77" s="65">
        <v>0</v>
      </c>
      <c r="D77" s="65">
        <v>275.56139999999999</v>
      </c>
      <c r="E77" s="65">
        <f t="shared" si="4"/>
        <v>275.56139999999999</v>
      </c>
      <c r="G77">
        <v>66</v>
      </c>
      <c r="H77" s="65">
        <v>0</v>
      </c>
      <c r="I77" s="65">
        <v>8.0499999999999989</v>
      </c>
      <c r="J77" s="67">
        <v>99.481209193058348</v>
      </c>
      <c r="K77" s="65">
        <f t="shared" si="5"/>
        <v>107.53120919305834</v>
      </c>
    </row>
    <row r="78" spans="1:11" x14ac:dyDescent="0.25">
      <c r="A78">
        <v>67</v>
      </c>
      <c r="B78" s="65">
        <v>0</v>
      </c>
      <c r="C78" s="65">
        <v>0</v>
      </c>
      <c r="D78" s="65">
        <v>495.27499999999998</v>
      </c>
      <c r="E78" s="65">
        <f t="shared" si="4"/>
        <v>495.27499999999998</v>
      </c>
      <c r="G78">
        <v>67</v>
      </c>
      <c r="H78" s="65">
        <v>6.937658227848039</v>
      </c>
      <c r="I78" s="65">
        <v>9.1999999999999993</v>
      </c>
      <c r="J78" s="67">
        <v>43.584946760812791</v>
      </c>
      <c r="K78" s="65">
        <f t="shared" si="5"/>
        <v>59.722604988660834</v>
      </c>
    </row>
    <row r="79" spans="1:11" x14ac:dyDescent="0.25">
      <c r="A79">
        <v>68</v>
      </c>
      <c r="B79" s="65">
        <v>0</v>
      </c>
      <c r="C79" s="65">
        <v>0</v>
      </c>
      <c r="D79" s="65">
        <v>0</v>
      </c>
      <c r="E79" s="65">
        <f t="shared" si="4"/>
        <v>0</v>
      </c>
      <c r="G79">
        <v>68</v>
      </c>
      <c r="H79" s="65">
        <v>1.1499999999999999</v>
      </c>
      <c r="I79" s="65">
        <v>4.5999999999999996</v>
      </c>
      <c r="J79" s="67">
        <v>34.531405880683323</v>
      </c>
      <c r="K79" s="65">
        <f t="shared" si="5"/>
        <v>40.281405880683323</v>
      </c>
    </row>
    <row r="80" spans="1:11" x14ac:dyDescent="0.25">
      <c r="A80">
        <v>69</v>
      </c>
      <c r="B80" s="65">
        <v>0</v>
      </c>
      <c r="C80" s="65">
        <v>0</v>
      </c>
      <c r="D80" s="65">
        <v>8.4849999999999994</v>
      </c>
      <c r="E80" s="65">
        <f t="shared" si="4"/>
        <v>8.4849999999999994</v>
      </c>
      <c r="G80">
        <v>69</v>
      </c>
      <c r="H80" s="65">
        <v>0</v>
      </c>
      <c r="I80" s="65">
        <v>12.649999999999999</v>
      </c>
      <c r="J80" s="67">
        <v>49.167496940083872</v>
      </c>
      <c r="K80" s="65">
        <f t="shared" si="5"/>
        <v>61.817496940083871</v>
      </c>
    </row>
    <row r="81" spans="1:11" x14ac:dyDescent="0.25">
      <c r="A81">
        <v>70</v>
      </c>
      <c r="B81" s="65">
        <v>0</v>
      </c>
      <c r="C81" s="65">
        <v>0</v>
      </c>
      <c r="D81" s="65">
        <v>0</v>
      </c>
      <c r="E81" s="65">
        <f t="shared" si="4"/>
        <v>0</v>
      </c>
      <c r="G81">
        <v>70</v>
      </c>
      <c r="H81" s="65">
        <v>10.760989355040691</v>
      </c>
      <c r="I81" s="65">
        <v>12.649999999999999</v>
      </c>
      <c r="J81" s="67">
        <v>25.177997527811279</v>
      </c>
      <c r="K81" s="65">
        <f t="shared" si="5"/>
        <v>48.58898688285197</v>
      </c>
    </row>
    <row r="82" spans="1:11" x14ac:dyDescent="0.25">
      <c r="A82">
        <v>71</v>
      </c>
      <c r="B82" s="65">
        <v>0</v>
      </c>
      <c r="C82" s="65">
        <v>0</v>
      </c>
      <c r="D82" s="65">
        <v>0</v>
      </c>
      <c r="E82" s="65">
        <f t="shared" si="4"/>
        <v>0</v>
      </c>
      <c r="G82">
        <v>71</v>
      </c>
      <c r="H82" s="65">
        <v>2.2999999999999998</v>
      </c>
      <c r="I82" s="65">
        <v>1.1499999999999999</v>
      </c>
      <c r="J82" s="67">
        <v>14.859245906063599</v>
      </c>
      <c r="K82" s="65">
        <f t="shared" si="5"/>
        <v>18.309245906063598</v>
      </c>
    </row>
    <row r="83" spans="1:11" x14ac:dyDescent="0.25">
      <c r="A83">
        <v>72</v>
      </c>
      <c r="B83" s="65">
        <v>99.986099999999993</v>
      </c>
      <c r="C83" s="65">
        <v>542.72389999999996</v>
      </c>
      <c r="D83" s="65">
        <v>11.159000000000001</v>
      </c>
      <c r="E83" s="65">
        <f t="shared" si="4"/>
        <v>653.86899999999991</v>
      </c>
      <c r="G83">
        <v>72</v>
      </c>
      <c r="H83" s="65">
        <v>1.1499999999999999</v>
      </c>
      <c r="I83" s="65">
        <v>6.8999999999999995</v>
      </c>
      <c r="J83" s="67">
        <v>10.000994390616055</v>
      </c>
      <c r="K83" s="65">
        <f t="shared" si="5"/>
        <v>18.050994390616054</v>
      </c>
    </row>
    <row r="84" spans="1:11" x14ac:dyDescent="0.25">
      <c r="A84">
        <v>73</v>
      </c>
      <c r="B84" s="65">
        <v>0</v>
      </c>
      <c r="C84" s="65">
        <v>0</v>
      </c>
      <c r="D84" s="65">
        <v>0</v>
      </c>
      <c r="E84" s="65">
        <f t="shared" si="4"/>
        <v>0</v>
      </c>
      <c r="G84">
        <v>73</v>
      </c>
      <c r="H84" s="65">
        <v>14.226255113425095</v>
      </c>
      <c r="I84" s="65">
        <v>5.75</v>
      </c>
      <c r="J84" s="67">
        <v>14.257660994108422</v>
      </c>
      <c r="K84" s="65">
        <f t="shared" si="5"/>
        <v>34.233916107533517</v>
      </c>
    </row>
    <row r="85" spans="1:11" x14ac:dyDescent="0.25">
      <c r="A85">
        <v>74</v>
      </c>
      <c r="B85" s="65">
        <v>0</v>
      </c>
      <c r="C85" s="65">
        <v>0</v>
      </c>
      <c r="D85" s="65">
        <v>0</v>
      </c>
      <c r="E85" s="65">
        <f t="shared" si="4"/>
        <v>0</v>
      </c>
      <c r="G85">
        <v>74</v>
      </c>
      <c r="H85" s="65">
        <v>0</v>
      </c>
      <c r="I85" s="65">
        <v>2.2999999999999998</v>
      </c>
      <c r="J85" s="67">
        <v>12.945846197088686</v>
      </c>
      <c r="K85" s="65">
        <f t="shared" si="5"/>
        <v>15.245846197088685</v>
      </c>
    </row>
    <row r="86" spans="1:11" x14ac:dyDescent="0.25">
      <c r="A86">
        <v>75</v>
      </c>
      <c r="B86" s="65">
        <v>0</v>
      </c>
      <c r="C86" s="65">
        <v>0</v>
      </c>
      <c r="D86" s="65">
        <v>0</v>
      </c>
      <c r="E86" s="65">
        <f t="shared" si="4"/>
        <v>0</v>
      </c>
      <c r="G86">
        <v>75</v>
      </c>
      <c r="H86" s="65">
        <v>2.2999999999999998</v>
      </c>
      <c r="I86" s="65">
        <v>5.75</v>
      </c>
      <c r="J86" s="67">
        <v>1.1499999999999999</v>
      </c>
      <c r="K86" s="65">
        <f t="shared" si="5"/>
        <v>9.2000000000000011</v>
      </c>
    </row>
    <row r="87" spans="1:11" x14ac:dyDescent="0.25">
      <c r="A87">
        <v>76</v>
      </c>
      <c r="B87" s="65">
        <v>0</v>
      </c>
      <c r="C87" s="65">
        <v>0</v>
      </c>
      <c r="D87" s="65">
        <v>598.72389999999996</v>
      </c>
      <c r="E87" s="65">
        <f t="shared" si="4"/>
        <v>598.72389999999996</v>
      </c>
      <c r="G87">
        <v>76</v>
      </c>
      <c r="H87" s="65">
        <v>1.1499999999999999</v>
      </c>
      <c r="I87" s="65">
        <v>5.75</v>
      </c>
      <c r="J87" s="67">
        <v>10.779470748629679</v>
      </c>
      <c r="K87" s="65">
        <f t="shared" si="5"/>
        <v>17.679470748629679</v>
      </c>
    </row>
    <row r="88" spans="1:11" x14ac:dyDescent="0.25">
      <c r="A88">
        <v>77</v>
      </c>
      <c r="B88" s="65">
        <v>1031.4047</v>
      </c>
      <c r="C88" s="65">
        <v>0</v>
      </c>
      <c r="D88" s="65">
        <v>0</v>
      </c>
      <c r="E88" s="65">
        <f t="shared" si="4"/>
        <v>1031.4047</v>
      </c>
      <c r="G88">
        <v>77</v>
      </c>
      <c r="H88" s="65">
        <v>10.776255113425096</v>
      </c>
      <c r="I88" s="65">
        <v>0</v>
      </c>
      <c r="J88" s="67">
        <v>5.0071327683616076</v>
      </c>
      <c r="K88" s="65">
        <f t="shared" si="5"/>
        <v>15.783387881786703</v>
      </c>
    </row>
    <row r="89" spans="1:11" x14ac:dyDescent="0.25">
      <c r="A89">
        <v>78</v>
      </c>
      <c r="B89" s="65">
        <v>212.62309999999999</v>
      </c>
      <c r="C89" s="65">
        <v>0</v>
      </c>
      <c r="D89" s="65">
        <v>0</v>
      </c>
      <c r="E89" s="65">
        <f t="shared" si="4"/>
        <v>212.62309999999999</v>
      </c>
      <c r="G89">
        <v>78</v>
      </c>
      <c r="H89" s="65">
        <v>2.2999999999999998</v>
      </c>
      <c r="I89" s="65">
        <v>3.1482557394711037</v>
      </c>
      <c r="J89" s="67">
        <v>9.4896667950693647</v>
      </c>
      <c r="K89" s="65">
        <f t="shared" si="5"/>
        <v>14.937922534540469</v>
      </c>
    </row>
    <row r="90" spans="1:11" x14ac:dyDescent="0.25">
      <c r="A90">
        <v>79</v>
      </c>
      <c r="B90" s="65">
        <v>0</v>
      </c>
      <c r="C90" s="65">
        <v>0</v>
      </c>
      <c r="D90" s="65">
        <v>0</v>
      </c>
      <c r="E90" s="65">
        <f t="shared" si="4"/>
        <v>0</v>
      </c>
      <c r="G90">
        <v>79</v>
      </c>
      <c r="H90" s="65">
        <v>0</v>
      </c>
      <c r="I90" s="65">
        <v>3.4499999999999997</v>
      </c>
      <c r="J90" s="67">
        <v>0</v>
      </c>
      <c r="K90" s="65">
        <f t="shared" si="5"/>
        <v>3.4499999999999997</v>
      </c>
    </row>
    <row r="91" spans="1:11" x14ac:dyDescent="0.25">
      <c r="A91">
        <v>80</v>
      </c>
      <c r="B91" s="65">
        <v>0</v>
      </c>
      <c r="C91" s="65">
        <v>0</v>
      </c>
      <c r="D91" s="65">
        <v>0</v>
      </c>
      <c r="E91" s="65">
        <f t="shared" si="4"/>
        <v>0</v>
      </c>
      <c r="G91">
        <v>80</v>
      </c>
      <c r="H91" s="65">
        <v>5.75</v>
      </c>
      <c r="I91" s="65">
        <v>5.75</v>
      </c>
      <c r="J91" s="67">
        <v>8.4571327683616069</v>
      </c>
      <c r="K91" s="65">
        <f t="shared" si="5"/>
        <v>19.957132768361607</v>
      </c>
    </row>
    <row r="92" spans="1:11" x14ac:dyDescent="0.25">
      <c r="A92">
        <v>81</v>
      </c>
      <c r="B92" s="65">
        <v>0</v>
      </c>
      <c r="C92" s="65">
        <v>0</v>
      </c>
      <c r="D92" s="65">
        <v>0</v>
      </c>
      <c r="E92" s="65">
        <f t="shared" si="4"/>
        <v>0</v>
      </c>
      <c r="G92">
        <v>81</v>
      </c>
      <c r="H92" s="65">
        <v>9.1999999999999993</v>
      </c>
      <c r="I92" s="65">
        <v>2.2999999999999998</v>
      </c>
      <c r="J92" s="67">
        <v>1.4786718749999379</v>
      </c>
      <c r="K92" s="65">
        <f t="shared" si="5"/>
        <v>12.978671874999938</v>
      </c>
    </row>
    <row r="93" spans="1:11" x14ac:dyDescent="0.25">
      <c r="A93">
        <v>82</v>
      </c>
      <c r="B93" s="65">
        <v>0</v>
      </c>
      <c r="C93" s="65">
        <v>0</v>
      </c>
      <c r="D93" s="65">
        <v>0</v>
      </c>
      <c r="E93" s="65">
        <f t="shared" si="4"/>
        <v>0</v>
      </c>
      <c r="G93">
        <v>82</v>
      </c>
      <c r="H93" s="65">
        <v>0</v>
      </c>
      <c r="I93" s="65">
        <v>1.1499999999999999</v>
      </c>
      <c r="J93" s="67">
        <v>5.0307218562014873</v>
      </c>
      <c r="K93" s="65">
        <f t="shared" si="5"/>
        <v>6.1807218562014867</v>
      </c>
    </row>
    <row r="94" spans="1:11" x14ac:dyDescent="0.25">
      <c r="A94">
        <v>83</v>
      </c>
      <c r="B94" s="65">
        <v>0</v>
      </c>
      <c r="C94" s="65">
        <v>0</v>
      </c>
      <c r="D94" s="65">
        <v>0</v>
      </c>
      <c r="E94" s="65">
        <f t="shared" si="4"/>
        <v>0</v>
      </c>
      <c r="G94">
        <v>83</v>
      </c>
      <c r="H94" s="65">
        <v>2.2999999999999998</v>
      </c>
      <c r="I94" s="65">
        <v>2.2999999999999998</v>
      </c>
      <c r="J94" s="67">
        <v>2.2999999999999998</v>
      </c>
      <c r="K94" s="65">
        <f t="shared" si="5"/>
        <v>6.8999999999999995</v>
      </c>
    </row>
    <row r="95" spans="1:11" x14ac:dyDescent="0.25">
      <c r="A95">
        <v>84</v>
      </c>
      <c r="B95" s="65">
        <v>0</v>
      </c>
      <c r="C95" s="65">
        <v>0</v>
      </c>
      <c r="D95" s="65">
        <v>11.269</v>
      </c>
      <c r="E95" s="65">
        <f t="shared" si="4"/>
        <v>11.269</v>
      </c>
      <c r="G95">
        <v>84</v>
      </c>
      <c r="H95" s="65">
        <v>0</v>
      </c>
      <c r="I95" s="65">
        <v>1.1499999999999999</v>
      </c>
      <c r="J95" s="67">
        <v>9.1999999999999993</v>
      </c>
      <c r="K95" s="65">
        <f t="shared" si="5"/>
        <v>10.35</v>
      </c>
    </row>
    <row r="96" spans="1:11" x14ac:dyDescent="0.25">
      <c r="A96">
        <v>85</v>
      </c>
      <c r="B96" s="65">
        <v>0</v>
      </c>
      <c r="C96" s="65">
        <v>0</v>
      </c>
      <c r="D96" s="65">
        <v>0</v>
      </c>
      <c r="E96" s="65">
        <f t="shared" si="4"/>
        <v>0</v>
      </c>
      <c r="G96">
        <v>85</v>
      </c>
      <c r="H96" s="65">
        <v>4.5999999999999996</v>
      </c>
      <c r="I96" s="65">
        <v>2.2999999999999998</v>
      </c>
      <c r="J96" s="67">
        <v>0</v>
      </c>
      <c r="K96" s="65">
        <f t="shared" si="5"/>
        <v>6.8999999999999995</v>
      </c>
    </row>
    <row r="97" spans="1:11" x14ac:dyDescent="0.25">
      <c r="A97">
        <v>86</v>
      </c>
      <c r="B97" s="65">
        <v>0</v>
      </c>
      <c r="C97" s="65">
        <v>0</v>
      </c>
      <c r="D97" s="65">
        <v>468.98939999999999</v>
      </c>
      <c r="E97" s="65">
        <f t="shared" si="4"/>
        <v>468.98939999999999</v>
      </c>
      <c r="G97">
        <v>86</v>
      </c>
      <c r="H97" s="65">
        <v>0</v>
      </c>
      <c r="I97" s="65">
        <v>3.4499999999999997</v>
      </c>
      <c r="J97" s="67">
        <v>3.4499999999999997</v>
      </c>
      <c r="K97" s="65">
        <f t="shared" si="5"/>
        <v>6.8999999999999995</v>
      </c>
    </row>
    <row r="98" spans="1:11" x14ac:dyDescent="0.25">
      <c r="A98">
        <v>87</v>
      </c>
      <c r="B98" s="65">
        <v>0</v>
      </c>
      <c r="C98" s="65">
        <v>0</v>
      </c>
      <c r="D98" s="65">
        <v>13.487</v>
      </c>
      <c r="E98" s="65">
        <f t="shared" si="4"/>
        <v>13.487</v>
      </c>
      <c r="G98">
        <v>87</v>
      </c>
      <c r="H98" s="65">
        <v>0</v>
      </c>
      <c r="I98" s="65">
        <v>0.44967479674800798</v>
      </c>
      <c r="J98" s="67">
        <v>0</v>
      </c>
      <c r="K98" s="65">
        <f t="shared" si="5"/>
        <v>0.44967479674800798</v>
      </c>
    </row>
    <row r="99" spans="1:11" x14ac:dyDescent="0.25">
      <c r="A99">
        <v>88</v>
      </c>
      <c r="B99" s="65">
        <v>0</v>
      </c>
      <c r="C99" s="65">
        <v>0</v>
      </c>
      <c r="D99" s="65">
        <v>0</v>
      </c>
      <c r="E99" s="65">
        <f t="shared" si="4"/>
        <v>0</v>
      </c>
      <c r="G99">
        <v>88</v>
      </c>
      <c r="H99" s="65">
        <v>0.25452111838195401</v>
      </c>
      <c r="I99" s="65">
        <v>0</v>
      </c>
      <c r="J99" s="67">
        <v>0</v>
      </c>
      <c r="K99" s="65">
        <f t="shared" si="5"/>
        <v>0.25452111838195401</v>
      </c>
    </row>
    <row r="100" spans="1:11" x14ac:dyDescent="0.25">
      <c r="A100">
        <v>89</v>
      </c>
      <c r="B100" s="65">
        <v>2931.9002999999998</v>
      </c>
      <c r="C100" s="65">
        <v>0</v>
      </c>
      <c r="D100" s="65">
        <v>3.6749999999999998</v>
      </c>
      <c r="E100" s="65">
        <f t="shared" si="4"/>
        <v>2935.5753</v>
      </c>
      <c r="G100">
        <v>89</v>
      </c>
      <c r="H100" s="65">
        <v>3.7328211432084868</v>
      </c>
      <c r="I100" s="65">
        <v>6.2022962308266631</v>
      </c>
      <c r="J100" s="67">
        <v>9.1999999999999993</v>
      </c>
      <c r="K100" s="65">
        <f t="shared" si="5"/>
        <v>19.135117374035147</v>
      </c>
    </row>
    <row r="101" spans="1:11" ht="15.75" thickBot="1" x14ac:dyDescent="0.3">
      <c r="A101" s="1">
        <v>90</v>
      </c>
      <c r="B101" s="66">
        <v>56177.107199999999</v>
      </c>
      <c r="C101" s="66">
        <v>10417.5607</v>
      </c>
      <c r="D101" s="66">
        <v>42483.839500000002</v>
      </c>
      <c r="E101" s="66">
        <f t="shared" si="4"/>
        <v>109078.5074</v>
      </c>
      <c r="G101" s="1">
        <v>90</v>
      </c>
      <c r="H101" s="66">
        <v>22965.932292305723</v>
      </c>
      <c r="I101" s="66">
        <v>0</v>
      </c>
      <c r="J101" s="66">
        <v>0</v>
      </c>
      <c r="K101" s="66">
        <f t="shared" si="5"/>
        <v>22965.932292305723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width="12.140625" customWidth="1" collapsed="1"/>
    <col min="5" max="5" width="9.5703125" bestFit="1" customWidth="1" collapsed="1"/>
    <col min="8" max="8" width="10.85546875" customWidth="1" collapsed="1"/>
    <col min="12" max="12" width="9.5703125" bestFit="1" customWidth="1" collapsed="1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r="9" spans="1:12" ht="15.75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1">
        <f>SUM(TDFD!B11:B15)</f>
        <v>30456.2981</v>
      </c>
      <c r="C11" s="11">
        <f>SUM(TDFD!C11:C15)</f>
        <v>1556.1008000000002</v>
      </c>
      <c r="D11" s="11">
        <f>SUM(TDFD!D11:D15)</f>
        <v>125.91</v>
      </c>
      <c r="E11" s="11">
        <f>SUM(TDFD!E11:E15)</f>
        <v>32138.308900000004</v>
      </c>
      <c r="H11" t="s">
        <v>15</v>
      </c>
      <c r="I11" s="11">
        <f>SUM(TDFD!H11:H15)</f>
        <v>136724.38312392504</v>
      </c>
      <c r="J11" s="11">
        <f>SUM(TDFD!I11:I15)</f>
        <v>22372.850892249386</v>
      </c>
      <c r="K11" s="11">
        <f>SUM(TDFD!J11:J15)</f>
        <v>18966.341934185239</v>
      </c>
      <c r="L11" s="11">
        <f>SUM(TDFD!K11:K15)</f>
        <v>178063.57595035966</v>
      </c>
    </row>
    <row r="12" spans="1:12" x14ac:dyDescent="0.25">
      <c r="A12" t="s">
        <v>16</v>
      </c>
      <c r="B12" s="11">
        <f>SUM(TDFD!B16:B20)</f>
        <v>34748.355100000001</v>
      </c>
      <c r="C12" s="11">
        <f>SUM(TDFD!C16:C20)</f>
        <v>3665.4504999999999</v>
      </c>
      <c r="D12" s="11">
        <f>SUM(TDFD!D16:D20)</f>
        <v>8740.201500000001</v>
      </c>
      <c r="E12" s="11">
        <f>SUM(TDFD!E16:E20)</f>
        <v>47154.007100000003</v>
      </c>
      <c r="H12" t="s">
        <v>16</v>
      </c>
      <c r="I12" s="11">
        <f>SUM(TDFD!H16:H20)</f>
        <v>104354.23281331183</v>
      </c>
      <c r="J12" s="11">
        <f>SUM(TDFD!I16:I20)</f>
        <v>17099.478101243712</v>
      </c>
      <c r="K12" s="11">
        <f>SUM(TDFD!J16:J20)</f>
        <v>15191.944460417904</v>
      </c>
      <c r="L12" s="11">
        <f>SUM(TDFD!K16:K20)</f>
        <v>136645.65537497343</v>
      </c>
    </row>
    <row r="13" spans="1:12" x14ac:dyDescent="0.25">
      <c r="A13" t="s">
        <v>17</v>
      </c>
      <c r="B13" s="11">
        <f>SUM(TDFD!B21:B25)</f>
        <v>51599.302800000005</v>
      </c>
      <c r="C13" s="11">
        <f>SUM(TDFD!C21:C25)</f>
        <v>5084.4759999999997</v>
      </c>
      <c r="D13" s="11">
        <f>SUM(TDFD!D21:D25)</f>
        <v>3258.2372999999998</v>
      </c>
      <c r="E13" s="11">
        <f>SUM(TDFD!E21:E25)</f>
        <v>59942.016099999993</v>
      </c>
      <c r="H13" t="s">
        <v>17</v>
      </c>
      <c r="I13" s="11">
        <f>SUM(TDFD!H21:H25)</f>
        <v>48987.950031531291</v>
      </c>
      <c r="J13" s="11">
        <f>SUM(TDFD!I21:I25)</f>
        <v>10473.137808081017</v>
      </c>
      <c r="K13" s="11">
        <f>SUM(TDFD!J21:J25)</f>
        <v>9041.9148414455613</v>
      </c>
      <c r="L13" s="11">
        <f>SUM(TDFD!K21:K25)</f>
        <v>68503.002681057857</v>
      </c>
    </row>
    <row r="14" spans="1:12" x14ac:dyDescent="0.25">
      <c r="A14" t="s">
        <v>18</v>
      </c>
      <c r="B14" s="11">
        <f>SUM(TDFD!B26:B30)</f>
        <v>94596.153399999996</v>
      </c>
      <c r="C14" s="11">
        <f>SUM(TDFD!C26:C30)</f>
        <v>13738.5173</v>
      </c>
      <c r="D14" s="11">
        <f>SUM(TDFD!D26:D30)</f>
        <v>11924.121899999998</v>
      </c>
      <c r="E14" s="11">
        <f>SUM(TDFD!E26:E30)</f>
        <v>120258.79259999999</v>
      </c>
      <c r="H14" t="s">
        <v>18</v>
      </c>
      <c r="I14" s="11">
        <f>SUM(TDFD!H26:H30)</f>
        <v>100173.62447195785</v>
      </c>
      <c r="J14" s="11">
        <f>SUM(TDFD!I26:I30)</f>
        <v>25526.515769068668</v>
      </c>
      <c r="K14" s="11">
        <f>SUM(TDFD!J26:J30)</f>
        <v>23065.298024480871</v>
      </c>
      <c r="L14" s="11">
        <f>SUM(TDFD!K26:K30)</f>
        <v>148765.4382655074</v>
      </c>
    </row>
    <row r="15" spans="1:12" x14ac:dyDescent="0.25">
      <c r="A15" t="s">
        <v>19</v>
      </c>
      <c r="B15" s="11">
        <f>SUM(TDFD!B31:B35)</f>
        <v>100944.4486</v>
      </c>
      <c r="C15" s="11">
        <f>SUM(TDFD!C31:C35)</f>
        <v>12622.574100000002</v>
      </c>
      <c r="D15" s="11">
        <f>SUM(TDFD!D31:D35)</f>
        <v>15206.354699999998</v>
      </c>
      <c r="E15" s="11">
        <f>SUM(TDFD!E31:E35)</f>
        <v>128773.37740000001</v>
      </c>
      <c r="H15" t="s">
        <v>19</v>
      </c>
      <c r="I15" s="11">
        <f>SUM(TDFD!H31:H35)</f>
        <v>71867.597455958006</v>
      </c>
      <c r="J15" s="11">
        <f>SUM(TDFD!I31:I35)</f>
        <v>24884.056776004662</v>
      </c>
      <c r="K15" s="11">
        <f>SUM(TDFD!J31:J35)</f>
        <v>34895.756108584013</v>
      </c>
      <c r="L15" s="11">
        <f>SUM(TDFD!K31:K35)</f>
        <v>131647.41034054669</v>
      </c>
    </row>
    <row r="16" spans="1:12" x14ac:dyDescent="0.25">
      <c r="A16" t="s">
        <v>20</v>
      </c>
      <c r="B16" s="11">
        <f>SUM(TDFD!B36:B40)</f>
        <v>67278.716499999995</v>
      </c>
      <c r="C16" s="11">
        <f>SUM(TDFD!C36:C40)</f>
        <v>14082.807299999999</v>
      </c>
      <c r="D16" s="11">
        <f>SUM(TDFD!D36:D40)</f>
        <v>6013.8842000000004</v>
      </c>
      <c r="E16" s="11">
        <f>SUM(TDFD!E36:E40)</f>
        <v>87375.407999999996</v>
      </c>
      <c r="H16" t="s">
        <v>20</v>
      </c>
      <c r="I16" s="11">
        <f>SUM(TDFD!H36:H40)</f>
        <v>32139.143779252918</v>
      </c>
      <c r="J16" s="11">
        <f>SUM(TDFD!I36:I40)</f>
        <v>12628.291241361756</v>
      </c>
      <c r="K16" s="11">
        <f>SUM(TDFD!J36:J40)</f>
        <v>25945.994866976449</v>
      </c>
      <c r="L16" s="11">
        <f>SUM(TDFD!K36:K40)</f>
        <v>70713.429887591119</v>
      </c>
    </row>
    <row r="17" spans="1:12" x14ac:dyDescent="0.25">
      <c r="A17" t="s">
        <v>21</v>
      </c>
      <c r="B17" s="11">
        <f>SUM(TDFD!B41:B45)</f>
        <v>40082.706300000005</v>
      </c>
      <c r="C17" s="11">
        <f>SUM(TDFD!C41:C45)</f>
        <v>7960.3927999999996</v>
      </c>
      <c r="D17" s="11">
        <f>SUM(TDFD!D41:D45)</f>
        <v>6463.0504999999994</v>
      </c>
      <c r="E17" s="11">
        <f>SUM(TDFD!E41:E45)</f>
        <v>54506.149600000004</v>
      </c>
      <c r="H17" t="s">
        <v>21</v>
      </c>
      <c r="I17" s="11">
        <f>SUM(TDFD!H41:H45)</f>
        <v>18384.148255179472</v>
      </c>
      <c r="J17" s="11">
        <f>SUM(TDFD!I41:I45)</f>
        <v>7369.3133324283044</v>
      </c>
      <c r="K17" s="11">
        <f>SUM(TDFD!J41:J45)</f>
        <v>13981.724201654475</v>
      </c>
      <c r="L17" s="11">
        <f>SUM(TDFD!K41:K45)</f>
        <v>39735.185789262257</v>
      </c>
    </row>
    <row r="18" spans="1:12" x14ac:dyDescent="0.25">
      <c r="A18" t="s">
        <v>22</v>
      </c>
      <c r="B18" s="11">
        <f>SUM(TDFD!B46:B50)</f>
        <v>9287.7625000000007</v>
      </c>
      <c r="C18" s="11">
        <f>SUM(TDFD!C46:C50)</f>
        <v>3443.2061000000003</v>
      </c>
      <c r="D18" s="11">
        <f>SUM(TDFD!D46:D50)</f>
        <v>4525.7582000000002</v>
      </c>
      <c r="E18" s="11">
        <f>SUM(TDFD!E46:E50)</f>
        <v>17256.726799999997</v>
      </c>
      <c r="H18" t="s">
        <v>22</v>
      </c>
      <c r="I18" s="11">
        <f>SUM(TDFD!H46:H50)</f>
        <v>6591.4720903715324</v>
      </c>
      <c r="J18" s="11">
        <f>SUM(TDFD!I46:I50)</f>
        <v>3357.0505981583001</v>
      </c>
      <c r="K18" s="11">
        <f>SUM(TDFD!J46:J50)</f>
        <v>5337.3059350443382</v>
      </c>
      <c r="L18" s="11">
        <f>SUM(TDFD!K46:K50)</f>
        <v>15285.828623574173</v>
      </c>
    </row>
    <row r="19" spans="1:12" x14ac:dyDescent="0.25">
      <c r="A19" t="s">
        <v>23</v>
      </c>
      <c r="B19" s="11">
        <f>SUM(TDFD!B51:B55)</f>
        <v>5755.9719999999998</v>
      </c>
      <c r="C19" s="11">
        <f>SUM(TDFD!C51:C55)</f>
        <v>572.63800000000003</v>
      </c>
      <c r="D19" s="11">
        <f>SUM(TDFD!D51:D55)</f>
        <v>2150.5392000000002</v>
      </c>
      <c r="E19" s="11">
        <f>SUM(TDFD!E51:E55)</f>
        <v>8479.1491999999998</v>
      </c>
      <c r="H19" t="s">
        <v>23</v>
      </c>
      <c r="I19" s="11">
        <f>SUM(TDFD!H51:H55)</f>
        <v>3199.3955227050028</v>
      </c>
      <c r="J19" s="11">
        <f>SUM(TDFD!I51:I55)</f>
        <v>1834.0161954719345</v>
      </c>
      <c r="K19" s="11">
        <f>SUM(TDFD!J51:J55)</f>
        <v>3738.8435313274358</v>
      </c>
      <c r="L19" s="11">
        <f>SUM(TDFD!K51:K55)</f>
        <v>8772.2552495043728</v>
      </c>
    </row>
    <row r="20" spans="1:12" x14ac:dyDescent="0.25">
      <c r="A20" t="s">
        <v>24</v>
      </c>
      <c r="B20" s="11">
        <f>SUM(TDFD!B56:B70)</f>
        <v>18559.013700000003</v>
      </c>
      <c r="C20" s="11">
        <f>SUM(TDFD!C56:C70)</f>
        <v>4734.1336000000001</v>
      </c>
      <c r="D20" s="11">
        <f>SUM(TDFD!D56:D70)</f>
        <v>6005.6632000000009</v>
      </c>
      <c r="E20" s="11">
        <f>SUM(TDFD!E56:E70)</f>
        <v>29298.810499999996</v>
      </c>
      <c r="H20" t="s">
        <v>24</v>
      </c>
      <c r="I20" s="11">
        <f>SUM(TDFD!H56:H70)</f>
        <v>1010.2467096471257</v>
      </c>
      <c r="J20" s="11">
        <f>SUM(TDFD!I56:I70)</f>
        <v>1241.361654944345</v>
      </c>
      <c r="K20" s="11">
        <f>SUM(TDFD!J56:J70)</f>
        <v>4224.9101266179641</v>
      </c>
      <c r="L20" s="11">
        <f>SUM(TDFD!K56:K70)</f>
        <v>6476.5184912094337</v>
      </c>
    </row>
    <row r="21" spans="1:12" x14ac:dyDescent="0.25">
      <c r="A21" t="s">
        <v>25</v>
      </c>
      <c r="B21" s="11">
        <f>SUM(TDFD!B71:B100)</f>
        <v>4275.9142000000002</v>
      </c>
      <c r="C21" s="11">
        <f>SUM(TDFD!C71:C100)</f>
        <v>621.6869999999999</v>
      </c>
      <c r="D21" s="11">
        <f>SUM(TDFD!D71:D100)</f>
        <v>1923.2527</v>
      </c>
      <c r="E21" s="11">
        <f>SUM(TDFD!E71:E100)</f>
        <v>6820.8539000000001</v>
      </c>
      <c r="H21" t="s">
        <v>25</v>
      </c>
      <c r="I21" s="11">
        <f>SUM(TDFD!H71:H100)</f>
        <v>116.22461043536354</v>
      </c>
      <c r="J21" s="11">
        <f>SUM(TDFD!I71:I100)</f>
        <v>273.69865449857286</v>
      </c>
      <c r="K21" s="11">
        <f>SUM(TDFD!J71:J100)</f>
        <v>907.92246839926736</v>
      </c>
      <c r="L21" s="11">
        <f>SUM(TDFD!K71:K100)</f>
        <v>1297.845733333204</v>
      </c>
    </row>
    <row r="22" spans="1:12" ht="15.75" thickBot="1" x14ac:dyDescent="0.3">
      <c r="A22" s="1" t="s">
        <v>26</v>
      </c>
      <c r="B22" s="12">
        <f>TDFD!B101</f>
        <v>56177.107199999999</v>
      </c>
      <c r="C22" s="12">
        <f>TDFD!C101</f>
        <v>10417.5607</v>
      </c>
      <c r="D22" s="12">
        <f>TDFD!D101</f>
        <v>42483.839500000002</v>
      </c>
      <c r="E22" s="12">
        <f>TDFD!E101</f>
        <v>109078.5074</v>
      </c>
      <c r="H22" s="1" t="s">
        <v>26</v>
      </c>
      <c r="I22" s="12">
        <f>TDFD!H101</f>
        <v>22965.932292305723</v>
      </c>
      <c r="J22" s="12">
        <f>TDFD!I101</f>
        <v>0</v>
      </c>
      <c r="K22" s="12">
        <f>TDFD!J101</f>
        <v>0</v>
      </c>
      <c r="L22" s="12">
        <f>TDFD!K101</f>
        <v>22965.932292305723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52"/>
  <sheetViews>
    <sheetView tabSelected="1" workbookViewId="0">
      <selection activeCell="J28" sqref="J28"/>
    </sheetView>
  </sheetViews>
  <sheetFormatPr defaultRowHeight="15" x14ac:dyDescent="0.25"/>
  <cols>
    <col min="1" max="1" width="18.5703125" customWidth="1" collapsed="1"/>
    <col min="4" max="4" width="12.28515625" bestFit="1" customWidth="1" collapsed="1"/>
    <col min="12" max="12" width="20" customWidth="1" collapsed="1"/>
    <col min="15" max="15" width="12.28515625" bestFit="1" customWidth="1" collapsed="1"/>
    <col min="20" max="21" width="9.5703125" bestFit="1" customWidth="1" collapsed="1"/>
    <col min="26" max="26" width="12.28515625" bestFit="1" customWidth="1" collapsed="1"/>
  </cols>
  <sheetData>
    <row r="1" spans="1:21" x14ac:dyDescent="0.25">
      <c r="A1" t="s">
        <v>27</v>
      </c>
    </row>
    <row r="2" spans="1:21" x14ac:dyDescent="0.25">
      <c r="A2" t="s">
        <v>247</v>
      </c>
    </row>
    <row r="5" spans="1:21" ht="15.75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1" x14ac:dyDescent="0.25">
      <c r="A7" s="41" t="s">
        <v>254</v>
      </c>
      <c r="B7" s="17">
        <v>22523.625499999998</v>
      </c>
      <c r="C7" s="17">
        <v>0</v>
      </c>
      <c r="D7" s="17">
        <v>176.3579</v>
      </c>
      <c r="E7" s="17">
        <v>0</v>
      </c>
      <c r="F7" s="17">
        <v>998.11929999999995</v>
      </c>
      <c r="G7" s="17">
        <v>277.97430000000003</v>
      </c>
      <c r="H7" s="17">
        <v>598.77660000000003</v>
      </c>
      <c r="I7" s="17">
        <v>7878.4522999999999</v>
      </c>
      <c r="J7" s="17">
        <f>SUM(B7:I7)</f>
        <v>32453.305899999999</v>
      </c>
      <c r="K7" s="17"/>
      <c r="L7" t="str">
        <f>$A$7</f>
        <v>Bellevue</v>
      </c>
      <c r="M7" s="17">
        <v>27877.892956449359</v>
      </c>
      <c r="N7" s="17">
        <v>560.56714521027936</v>
      </c>
      <c r="O7" s="17">
        <v>1849.9467262641097</v>
      </c>
      <c r="P7" s="17">
        <v>1413.879235633241</v>
      </c>
      <c r="Q7" s="17">
        <v>762.75669912370461</v>
      </c>
      <c r="R7" s="17">
        <v>95.99475247188424</v>
      </c>
      <c r="S7" s="17">
        <v>2255.0208693123559</v>
      </c>
      <c r="T7" s="17">
        <v>2344.5</v>
      </c>
      <c r="U7" s="17">
        <f>SUM(M7:T7)</f>
        <v>37160.55838446493</v>
      </c>
    </row>
    <row r="8" spans="1:21" x14ac:dyDescent="0.25">
      <c r="A8" t="s">
        <v>255</v>
      </c>
      <c r="B8" s="17">
        <v>82.162300000000002</v>
      </c>
      <c r="C8" s="17">
        <v>4.4429999999999996</v>
      </c>
      <c r="D8" s="17">
        <v>0</v>
      </c>
      <c r="E8" s="17">
        <v>0</v>
      </c>
      <c r="F8" s="17">
        <v>110.09829999999999</v>
      </c>
      <c r="G8" s="17">
        <v>12.077</v>
      </c>
      <c r="H8" s="17">
        <v>0</v>
      </c>
      <c r="I8" s="17">
        <v>4018.4690000000001</v>
      </c>
      <c r="J8" s="17">
        <f t="shared" ref="J8:J12" si="0">SUM(B8:I8)</f>
        <v>4227.2496000000001</v>
      </c>
      <c r="K8" s="17"/>
      <c r="L8" t="str">
        <f>$A$8</f>
        <v>Bellevue Downtown</v>
      </c>
      <c r="M8" s="17">
        <v>642.91098806280695</v>
      </c>
      <c r="N8" s="17">
        <v>134.24133738944286</v>
      </c>
      <c r="O8" s="17">
        <v>101.47113764973861</v>
      </c>
      <c r="P8" s="17">
        <v>15.50728184948062</v>
      </c>
      <c r="Q8" s="17">
        <v>18.171970486853869</v>
      </c>
      <c r="R8" s="17">
        <v>2.2440136054421869</v>
      </c>
      <c r="S8" s="17">
        <v>21.85046924190388</v>
      </c>
      <c r="T8" s="17">
        <v>1069.8725374786757</v>
      </c>
      <c r="U8" s="17">
        <f>SUM(M8:T8)</f>
        <v>2006.2697357643447</v>
      </c>
    </row>
    <row r="9" spans="1:21" x14ac:dyDescent="0.25">
      <c r="A9" t="s">
        <v>256</v>
      </c>
      <c r="B9" s="17">
        <v>2429.8960000000002</v>
      </c>
      <c r="C9" s="17">
        <v>169.87799999999999</v>
      </c>
      <c r="D9" s="17">
        <v>14636.3289</v>
      </c>
      <c r="E9" s="17">
        <v>130.96619999999999</v>
      </c>
      <c r="F9" s="17">
        <v>32.688000000000002</v>
      </c>
      <c r="G9" s="17">
        <v>4.1609999999999996</v>
      </c>
      <c r="H9" s="17">
        <v>10.346</v>
      </c>
      <c r="I9" s="17">
        <v>28396.036</v>
      </c>
      <c r="J9" s="17">
        <f t="shared" si="0"/>
        <v>45810.3001</v>
      </c>
      <c r="K9" s="17"/>
      <c r="L9" t="str">
        <f>$A$9</f>
        <v>Kirkland</v>
      </c>
      <c r="M9" s="17">
        <v>1877.9405223676729</v>
      </c>
      <c r="N9" s="17">
        <v>79.743108548698487</v>
      </c>
      <c r="O9" s="17">
        <v>19920.176345959644</v>
      </c>
      <c r="P9" s="17">
        <v>2602.2580218210196</v>
      </c>
      <c r="Q9" s="17">
        <v>1358.6075519481471</v>
      </c>
      <c r="R9" s="17">
        <v>29.118641887926032</v>
      </c>
      <c r="S9" s="17">
        <v>2006.1372581503101</v>
      </c>
      <c r="T9" s="17">
        <v>5418.9547298933257</v>
      </c>
      <c r="U9" s="17">
        <f>SUM(M9:T9)</f>
        <v>33292.93618057674</v>
      </c>
    </row>
    <row r="10" spans="1:21" x14ac:dyDescent="0.25">
      <c r="A10" t="s">
        <v>257</v>
      </c>
      <c r="B10" s="17">
        <v>1720.9702</v>
      </c>
      <c r="C10" s="17">
        <v>230.28989999999999</v>
      </c>
      <c r="D10" s="17">
        <v>3736.0108</v>
      </c>
      <c r="E10" s="17">
        <v>18799.060399999998</v>
      </c>
      <c r="F10" s="17">
        <v>802.52030000000002</v>
      </c>
      <c r="G10" s="17">
        <v>3.6749999999999998</v>
      </c>
      <c r="H10" s="17">
        <v>245.15270000000001</v>
      </c>
      <c r="I10" s="17">
        <v>20922.748800000001</v>
      </c>
      <c r="J10" s="17">
        <f t="shared" si="0"/>
        <v>46460.428099999997</v>
      </c>
      <c r="K10" s="17"/>
      <c r="L10" t="str">
        <f>$A$10</f>
        <v>Redmond</v>
      </c>
      <c r="M10" s="17">
        <v>4037.2988834050875</v>
      </c>
      <c r="N10" s="17">
        <v>42.81384615384615</v>
      </c>
      <c r="O10" s="17">
        <v>4943.9626236049207</v>
      </c>
      <c r="P10" s="17">
        <v>12844.179909065124</v>
      </c>
      <c r="Q10" s="17">
        <v>253.03145829997095</v>
      </c>
      <c r="R10" s="17">
        <v>23.234170854271369</v>
      </c>
      <c r="S10" s="17">
        <v>1931.9861309357643</v>
      </c>
      <c r="T10" s="17">
        <v>5838.2308904845268</v>
      </c>
      <c r="U10" s="17">
        <f t="shared" ref="U10:U13" si="1">SUM(M10:T10)</f>
        <v>29914.737912803514</v>
      </c>
    </row>
    <row r="11" spans="1:21" x14ac:dyDescent="0.25">
      <c r="A11" t="s">
        <v>253</v>
      </c>
      <c r="B11" s="17">
        <v>352.4101</v>
      </c>
      <c r="C11" s="17">
        <v>19.176000000000002</v>
      </c>
      <c r="D11" s="17">
        <v>706.44880000000001</v>
      </c>
      <c r="E11" s="17">
        <v>4.4429999999999996</v>
      </c>
      <c r="F11" s="17">
        <v>89339.202799999999</v>
      </c>
      <c r="G11" s="17">
        <v>2676.5947000000001</v>
      </c>
      <c r="H11" s="17">
        <v>3242.9781000000003</v>
      </c>
      <c r="I11" s="17">
        <v>16278.067500000001</v>
      </c>
      <c r="J11" s="17">
        <f t="shared" si="0"/>
        <v>112619.321</v>
      </c>
      <c r="K11" s="17"/>
      <c r="L11" t="str">
        <f>$A$11</f>
        <v>Seattle</v>
      </c>
      <c r="M11" s="17">
        <v>3006.6490521881628</v>
      </c>
      <c r="N11" s="17">
        <v>31.421590149627114</v>
      </c>
      <c r="O11" s="17">
        <v>3290.1663680037336</v>
      </c>
      <c r="P11" s="17">
        <v>240.84339311173741</v>
      </c>
      <c r="Q11" s="17">
        <v>95510.48343534788</v>
      </c>
      <c r="R11" s="17">
        <v>2971.9313707018387</v>
      </c>
      <c r="S11" s="17">
        <v>8143.0456070527334</v>
      </c>
      <c r="T11" s="17">
        <v>2309.1428943957899</v>
      </c>
      <c r="U11" s="17">
        <f t="shared" si="1"/>
        <v>115503.6837109515</v>
      </c>
    </row>
    <row r="12" spans="1:21" x14ac:dyDescent="0.25">
      <c r="A12" t="s">
        <v>258</v>
      </c>
      <c r="B12" s="17">
        <v>0</v>
      </c>
      <c r="C12" s="17">
        <v>0</v>
      </c>
      <c r="D12" s="17">
        <v>0</v>
      </c>
      <c r="E12" s="17">
        <v>0</v>
      </c>
      <c r="F12" s="17">
        <v>1835.1723</v>
      </c>
      <c r="G12" s="17">
        <v>799.15629999999999</v>
      </c>
      <c r="H12" s="17">
        <v>0</v>
      </c>
      <c r="I12" s="17">
        <v>31584.733799999998</v>
      </c>
      <c r="J12" s="17">
        <f t="shared" si="0"/>
        <v>34219.062399999995</v>
      </c>
      <c r="K12" s="17"/>
      <c r="L12" t="str">
        <f>$A$12</f>
        <v>Seattle Downtown</v>
      </c>
      <c r="M12" s="17">
        <v>371.74508369431351</v>
      </c>
      <c r="N12" s="17">
        <v>1.1499999999999999</v>
      </c>
      <c r="O12" s="17">
        <v>64.197049553762909</v>
      </c>
      <c r="P12" s="17">
        <v>10.005931161919255</v>
      </c>
      <c r="Q12" s="17">
        <v>1627.6497292524443</v>
      </c>
      <c r="R12" s="17">
        <v>2045.8260909068542</v>
      </c>
      <c r="S12" s="17">
        <v>81.367994791204097</v>
      </c>
      <c r="T12" s="17">
        <v>4066.7245950088954</v>
      </c>
      <c r="U12" s="17">
        <f t="shared" si="1"/>
        <v>8268.6664743693946</v>
      </c>
    </row>
    <row r="13" spans="1:21" x14ac:dyDescent="0.25">
      <c r="A13" t="s">
        <v>259</v>
      </c>
      <c r="B13" s="17">
        <v>6247.4188999999997</v>
      </c>
      <c r="C13" s="17">
        <v>0</v>
      </c>
      <c r="D13" s="17">
        <v>9915.6819999999989</v>
      </c>
      <c r="E13" s="17">
        <v>2209.2274000000002</v>
      </c>
      <c r="F13" s="17">
        <v>13302.1106</v>
      </c>
      <c r="G13" s="17">
        <v>80.046999999999997</v>
      </c>
      <c r="H13" s="17">
        <v>398350.25270000001</v>
      </c>
      <c r="I13" s="17"/>
      <c r="J13" s="17">
        <f>SUM(B13:I13)</f>
        <v>430104.73859999998</v>
      </c>
      <c r="K13" s="17"/>
      <c r="L13" t="str">
        <f>$A$13</f>
        <v>Rest</v>
      </c>
      <c r="M13" s="17">
        <v>12293.30529228928</v>
      </c>
      <c r="N13" s="17">
        <v>193.57588406236437</v>
      </c>
      <c r="O13" s="17">
        <v>9828.7726303678228</v>
      </c>
      <c r="P13" s="17">
        <v>5389.7103762271836</v>
      </c>
      <c r="Q13" s="17">
        <v>12122.035570617736</v>
      </c>
      <c r="R13" s="17">
        <v>625.26537011306527</v>
      </c>
      <c r="S13" s="17">
        <v>560354.05451157398</v>
      </c>
      <c r="T13" s="17"/>
      <c r="U13" s="17">
        <f t="shared" si="1"/>
        <v>600806.71963525144</v>
      </c>
    </row>
    <row r="14" spans="1:21" x14ac:dyDescent="0.25">
      <c r="A14" s="17" t="s">
        <v>12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 t="s">
        <v>12</v>
      </c>
      <c r="M14" s="17"/>
      <c r="N14" s="17"/>
      <c r="O14" s="17"/>
      <c r="P14" s="17"/>
      <c r="Q14" s="17"/>
      <c r="R14" s="17"/>
      <c r="S14" s="17"/>
      <c r="T14" s="17"/>
      <c r="U14" s="17"/>
    </row>
    <row r="15" spans="1:21" ht="15.75" thickBot="1" x14ac:dyDescent="0.3">
      <c r="A15" s="10" t="s">
        <v>3</v>
      </c>
      <c r="B15" s="42">
        <f t="shared" ref="B15:G15" si="2">SUM(B7:B13)</f>
        <v>33356.483</v>
      </c>
      <c r="C15" s="42">
        <f t="shared" si="2"/>
        <v>423.7869</v>
      </c>
      <c r="D15" s="42">
        <f t="shared" si="2"/>
        <v>29170.828399999999</v>
      </c>
      <c r="E15" s="42">
        <f t="shared" si="2"/>
        <v>21143.696999999996</v>
      </c>
      <c r="F15" s="42">
        <f t="shared" si="2"/>
        <v>106419.91160000001</v>
      </c>
      <c r="G15" s="42">
        <f t="shared" si="2"/>
        <v>3853.6853000000001</v>
      </c>
      <c r="H15" s="42"/>
      <c r="I15" s="42">
        <f>SUM(I7:I13)</f>
        <v>109078.5074</v>
      </c>
      <c r="J15" s="42">
        <f>SUM(J7:J13)</f>
        <v>705894.4057</v>
      </c>
      <c r="K15" s="17"/>
      <c r="L15" s="42" t="s">
        <v>3</v>
      </c>
      <c r="M15" s="42">
        <f t="shared" ref="M15:S15" si="3">SUM(M7:M13)</f>
        <v>50107.742778456683</v>
      </c>
      <c r="N15" s="42">
        <f t="shared" si="3"/>
        <v>1043.5129115142583</v>
      </c>
      <c r="O15" s="42">
        <f t="shared" si="3"/>
        <v>39998.692881403731</v>
      </c>
      <c r="P15" s="42">
        <f t="shared" si="3"/>
        <v>22516.384148869703</v>
      </c>
      <c r="Q15" s="42">
        <f t="shared" si="3"/>
        <v>111652.73641507674</v>
      </c>
      <c r="R15" s="42">
        <f t="shared" si="3"/>
        <v>5793.6144105412823</v>
      </c>
      <c r="S15" s="42">
        <f t="shared" si="3"/>
        <v>574793.46284105827</v>
      </c>
      <c r="T15" s="42">
        <f>SUM(T7:T13)</f>
        <v>21047.425647261214</v>
      </c>
      <c r="U15" s="42">
        <f>SUM(U7:U13)</f>
        <v>826953.57203418179</v>
      </c>
    </row>
    <row r="18" spans="1:32" ht="15.75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9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M19" s="38"/>
      <c r="N19" s="38"/>
      <c r="O19" s="38"/>
      <c r="P19" s="38"/>
      <c r="Q19" s="38"/>
      <c r="R19" s="38"/>
      <c r="S19" s="38"/>
      <c r="T19" s="38"/>
      <c r="U19" s="38"/>
    </row>
    <row r="20" spans="1:32" x14ac:dyDescent="0.25">
      <c r="A20" t="str">
        <f>$A$7</f>
        <v>Bellevue</v>
      </c>
      <c r="B20" s="17">
        <f t="shared" ref="B20:G26" si="4">($U7/$J7)*B7</f>
        <v>25790.608297399158</v>
      </c>
      <c r="C20" s="17">
        <f t="shared" si="4"/>
        <v>0</v>
      </c>
      <c r="D20" s="17">
        <f t="shared" si="4"/>
        <v>201.93807249423017</v>
      </c>
      <c r="E20" s="17">
        <f t="shared" si="4"/>
        <v>0</v>
      </c>
      <c r="F20" s="17">
        <f t="shared" si="4"/>
        <v>1142.8934431703387</v>
      </c>
      <c r="G20" s="17">
        <f t="shared" si="4"/>
        <v>318.2936196503411</v>
      </c>
      <c r="H20" s="17">
        <f t="shared" ref="H20" si="5">($U7/$J7)*H7</f>
        <v>685.62730934451292</v>
      </c>
      <c r="I20" s="17">
        <f t="shared" ref="I20:J26" si="6">($U7/$J7)*I7</f>
        <v>9021.1976424063487</v>
      </c>
      <c r="J20" s="17">
        <f t="shared" si="6"/>
        <v>37160.55838446493</v>
      </c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1:32" x14ac:dyDescent="0.25">
      <c r="A21" t="str">
        <f>$A$8</f>
        <v>Bellevue Downtown</v>
      </c>
      <c r="B21" s="17">
        <f t="shared" si="4"/>
        <v>38.994559467411342</v>
      </c>
      <c r="C21" s="17">
        <f t="shared" si="4"/>
        <v>2.1086657471091801</v>
      </c>
      <c r="D21" s="17">
        <f t="shared" si="4"/>
        <v>0</v>
      </c>
      <c r="E21" s="17">
        <f t="shared" si="4"/>
        <v>0</v>
      </c>
      <c r="F21" s="17">
        <f t="shared" si="4"/>
        <v>52.253097912435436</v>
      </c>
      <c r="G21" s="17">
        <f t="shared" si="4"/>
        <v>5.7317929839832473</v>
      </c>
      <c r="H21" s="17">
        <f t="shared" ref="H21" si="7">($U8/$J8)*H8</f>
        <v>0</v>
      </c>
      <c r="I21" s="17">
        <f t="shared" si="6"/>
        <v>1907.1816196534055</v>
      </c>
      <c r="J21" s="17">
        <f t="shared" si="6"/>
        <v>2006.2697357643447</v>
      </c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1:32" x14ac:dyDescent="0.25">
      <c r="A22" t="str">
        <f>$A$9</f>
        <v>Kirkland</v>
      </c>
      <c r="B22" s="17">
        <f t="shared" si="4"/>
        <v>1765.9428616892799</v>
      </c>
      <c r="C22" s="17">
        <f t="shared" si="4"/>
        <v>123.45995114937078</v>
      </c>
      <c r="D22" s="17">
        <f t="shared" si="4"/>
        <v>10637.048063905413</v>
      </c>
      <c r="E22" s="17">
        <f t="shared" si="4"/>
        <v>95.180545180769272</v>
      </c>
      <c r="F22" s="17">
        <f t="shared" si="4"/>
        <v>23.756218481325615</v>
      </c>
      <c r="G22" s="17">
        <f t="shared" si="4"/>
        <v>3.0240340522759381</v>
      </c>
      <c r="H22" s="17">
        <f t="shared" ref="H22" si="8">($U9/$J9)*H9</f>
        <v>7.5190233849668004</v>
      </c>
      <c r="I22" s="17">
        <f t="shared" si="6"/>
        <v>20637.005482733341</v>
      </c>
      <c r="J22" s="17">
        <f t="shared" si="6"/>
        <v>33292.93618057674</v>
      </c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1:32" x14ac:dyDescent="0.25">
      <c r="A23" t="str">
        <f>$A$10</f>
        <v>Redmond</v>
      </c>
      <c r="B23" s="17">
        <f t="shared" si="4"/>
        <v>1108.0907902513504</v>
      </c>
      <c r="C23" s="17">
        <f t="shared" si="4"/>
        <v>148.27805692271977</v>
      </c>
      <c r="D23" s="17">
        <f t="shared" si="4"/>
        <v>2405.5263477308208</v>
      </c>
      <c r="E23" s="17">
        <f t="shared" si="4"/>
        <v>12104.257060708469</v>
      </c>
      <c r="F23" s="17">
        <f t="shared" si="4"/>
        <v>516.72327238423463</v>
      </c>
      <c r="G23" s="17">
        <f t="shared" si="4"/>
        <v>2.3662429797876294</v>
      </c>
      <c r="H23" s="17">
        <f t="shared" ref="H23" si="9">($U10/$J10)*H10</f>
        <v>157.84785179618581</v>
      </c>
      <c r="I23" s="17">
        <f t="shared" si="6"/>
        <v>13471.648290029947</v>
      </c>
      <c r="J23" s="17">
        <f t="shared" si="6"/>
        <v>29914.737912803514</v>
      </c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1:32" x14ac:dyDescent="0.25">
      <c r="A24" t="str">
        <f>$A$11</f>
        <v>Seattle</v>
      </c>
      <c r="B24" s="17">
        <f t="shared" si="4"/>
        <v>361.4358918657021</v>
      </c>
      <c r="C24" s="17">
        <f t="shared" si="4"/>
        <v>19.667128332634917</v>
      </c>
      <c r="D24" s="17">
        <f t="shared" si="4"/>
        <v>724.54209480788154</v>
      </c>
      <c r="E24" s="17">
        <f t="shared" si="4"/>
        <v>4.5567924062315877</v>
      </c>
      <c r="F24" s="17">
        <f t="shared" si="4"/>
        <v>91627.324082337116</v>
      </c>
      <c r="G24" s="17">
        <f t="shared" si="4"/>
        <v>2745.1466134413045</v>
      </c>
      <c r="H24" s="17">
        <f t="shared" ref="H24" si="10">($U11/$J11)*H11</f>
        <v>3326.0360071247678</v>
      </c>
      <c r="I24" s="17">
        <f t="shared" si="6"/>
        <v>16694.975100635878</v>
      </c>
      <c r="J24" s="17">
        <f t="shared" si="6"/>
        <v>115503.68371095152</v>
      </c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32" x14ac:dyDescent="0.25">
      <c r="A25" t="str">
        <f>$A$12</f>
        <v>Seattle Downtown</v>
      </c>
      <c r="B25" s="17">
        <f t="shared" si="4"/>
        <v>0</v>
      </c>
      <c r="C25" s="17">
        <f t="shared" si="4"/>
        <v>0</v>
      </c>
      <c r="D25" s="17">
        <f t="shared" si="4"/>
        <v>0</v>
      </c>
      <c r="E25" s="17">
        <f t="shared" si="4"/>
        <v>0</v>
      </c>
      <c r="F25" s="17">
        <f t="shared" si="4"/>
        <v>443.44954558723896</v>
      </c>
      <c r="G25" s="17">
        <f t="shared" si="4"/>
        <v>193.1074799288215</v>
      </c>
      <c r="H25" s="17">
        <f t="shared" ref="H25:H26" si="11">($U12/$J12)*H12</f>
        <v>0</v>
      </c>
      <c r="I25" s="17">
        <f t="shared" si="6"/>
        <v>7632.1094488533345</v>
      </c>
      <c r="J25" s="17">
        <f t="shared" si="6"/>
        <v>8268.6664743693946</v>
      </c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32" x14ac:dyDescent="0.25">
      <c r="A26" t="str">
        <f>$A$13</f>
        <v>Rest</v>
      </c>
      <c r="B26" s="17">
        <f t="shared" si="4"/>
        <v>8726.9237435373634</v>
      </c>
      <c r="C26" s="17">
        <f t="shared" si="4"/>
        <v>0</v>
      </c>
      <c r="D26" s="17">
        <f t="shared" si="4"/>
        <v>13851.064265782794</v>
      </c>
      <c r="E26" s="17">
        <f t="shared" si="4"/>
        <v>3086.035907074091</v>
      </c>
      <c r="F26" s="17">
        <f t="shared" si="4"/>
        <v>18581.514493017276</v>
      </c>
      <c r="G26" s="17">
        <f t="shared" si="4"/>
        <v>111.81642788495188</v>
      </c>
      <c r="H26" s="17">
        <f t="shared" si="11"/>
        <v>556449.36479795503</v>
      </c>
      <c r="I26" s="17">
        <f t="shared" si="6"/>
        <v>0</v>
      </c>
      <c r="J26" s="17">
        <f t="shared" si="6"/>
        <v>600806.71963525144</v>
      </c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32" x14ac:dyDescent="0.25">
      <c r="A27" s="6" t="s">
        <v>12</v>
      </c>
      <c r="B27" s="18">
        <f>IF($J14=0,0,($U14/$J14)*B14)</f>
        <v>0</v>
      </c>
      <c r="C27" s="18">
        <f>IF($J14=0,0,($U14/$J14)*C14)</f>
        <v>0</v>
      </c>
      <c r="D27" s="18">
        <f>IF($J14=0,0,($U14/$J14)*D14)</f>
        <v>0</v>
      </c>
      <c r="E27" s="18">
        <f>IF($J14=0,0,($U14/$J14)*E14)</f>
        <v>0</v>
      </c>
      <c r="F27" s="18">
        <f>IF($J14=0,0,($U14/$J14)*F14)</f>
        <v>0</v>
      </c>
      <c r="G27" s="18">
        <f>IF($J14=0,0,($U14/$J14)*G14)</f>
        <v>0</v>
      </c>
      <c r="H27" s="18">
        <f>IF($J14=0,0,($U14/$J14)*H14)</f>
        <v>0</v>
      </c>
      <c r="I27" s="18">
        <f>IF($J14=0,0,($U14/$J14)*I14)</f>
        <v>0</v>
      </c>
      <c r="J27" s="18">
        <f>IF($J14=0,0,($U14/$J14)*J14)</f>
        <v>0</v>
      </c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</row>
    <row r="28" spans="1:32" ht="15.75" thickBot="1" x14ac:dyDescent="0.3">
      <c r="A28" s="1" t="s">
        <v>3</v>
      </c>
      <c r="B28" s="19">
        <f t="shared" ref="B28:H28" si="12">($U15/$J15)*B15</f>
        <v>39077.03835674053</v>
      </c>
      <c r="C28" s="19">
        <f t="shared" si="12"/>
        <v>496.46531819269325</v>
      </c>
      <c r="D28" s="19">
        <f t="shared" si="12"/>
        <v>34173.554216872799</v>
      </c>
      <c r="E28" s="19">
        <f t="shared" si="12"/>
        <v>24769.789389136124</v>
      </c>
      <c r="F28" s="19">
        <f t="shared" si="12"/>
        <v>124670.6664942505</v>
      </c>
      <c r="G28" s="19">
        <f t="shared" si="12"/>
        <v>4514.5829157980215</v>
      </c>
      <c r="H28" s="19">
        <f t="shared" si="12"/>
        <v>0</v>
      </c>
      <c r="I28" s="19">
        <f>($U15/$J15)*I15</f>
        <v>127785.20497996763</v>
      </c>
      <c r="J28" s="19">
        <f>($U15/$J15)*J15</f>
        <v>826953.57203418179</v>
      </c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</row>
    <row r="31" spans="1:32" ht="15.75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0">
        <f t="shared" ref="B33:J39" si="13">B20/$J$28</f>
        <v>3.1187492465820213E-2</v>
      </c>
      <c r="C33" s="20">
        <f t="shared" si="13"/>
        <v>0</v>
      </c>
      <c r="D33" s="20">
        <f t="shared" si="13"/>
        <v>2.4419517530771746E-4</v>
      </c>
      <c r="E33" s="20">
        <f t="shared" si="13"/>
        <v>0</v>
      </c>
      <c r="F33" s="20">
        <f t="shared" si="13"/>
        <v>1.3820527316412603E-3</v>
      </c>
      <c r="G33" s="20">
        <f t="shared" si="13"/>
        <v>3.8489902022841081E-4</v>
      </c>
      <c r="H33" s="20">
        <f t="shared" ref="H33" si="14">H20/$J$28</f>
        <v>8.291001242765934E-4</v>
      </c>
      <c r="I33" s="20">
        <f t="shared" ref="I33:J39" si="15">I20/$J$28</f>
        <v>1.0908952990209057E-2</v>
      </c>
      <c r="J33" s="20">
        <f t="shared" si="15"/>
        <v>4.493669250748325E-2</v>
      </c>
      <c r="L33" t="str">
        <f>$A$7</f>
        <v>Bellevue</v>
      </c>
      <c r="M33" s="20">
        <f t="shared" ref="M33:U39" si="16">M7/$U$15</f>
        <v>3.3711557576169511E-2</v>
      </c>
      <c r="N33" s="20">
        <f t="shared" si="16"/>
        <v>6.778701539813998E-4</v>
      </c>
      <c r="O33" s="20">
        <f t="shared" si="16"/>
        <v>2.2370623803141913E-3</v>
      </c>
      <c r="P33" s="20">
        <f t="shared" si="16"/>
        <v>1.7097443961156249E-3</v>
      </c>
      <c r="Q33" s="20">
        <f t="shared" si="16"/>
        <v>9.2236943513943287E-4</v>
      </c>
      <c r="R33" s="20">
        <f t="shared" si="16"/>
        <v>1.1608239654343779E-4</v>
      </c>
      <c r="S33" s="20">
        <f t="shared" ref="S33" si="17">S7/$U$15</f>
        <v>2.7269014193449129E-3</v>
      </c>
      <c r="T33" s="20">
        <f t="shared" ref="T33:U38" si="18">T7/$U$15</f>
        <v>2.8351047498747502E-3</v>
      </c>
      <c r="U33" s="20">
        <f t="shared" si="18"/>
        <v>4.493669250748325E-2</v>
      </c>
      <c r="W33" t="str">
        <f>$A$7</f>
        <v>Bellevue</v>
      </c>
      <c r="X33" s="20">
        <f t="shared" ref="X33:Z35" si="19">M33-B33</f>
        <v>2.5240651103492981E-3</v>
      </c>
      <c r="Y33" s="20">
        <f t="shared" si="19"/>
        <v>6.778701539813998E-4</v>
      </c>
      <c r="Z33" s="20">
        <f t="shared" si="19"/>
        <v>1.9928672050064738E-3</v>
      </c>
      <c r="AA33" s="20">
        <f t="shared" ref="AA33:AA35" si="20">P33-E33</f>
        <v>1.7097443961156249E-3</v>
      </c>
      <c r="AB33" s="20">
        <f t="shared" ref="AB33:AB35" si="21">Q33-F33</f>
        <v>-4.5968329650182744E-4</v>
      </c>
      <c r="AC33" s="20">
        <f t="shared" ref="AC33:AD40" si="22">R33-G33</f>
        <v>-2.6881662368497303E-4</v>
      </c>
      <c r="AD33" s="20">
        <f t="shared" si="22"/>
        <v>1.8978012950683193E-3</v>
      </c>
      <c r="AE33" s="20">
        <f t="shared" ref="AE33:AF35" si="23">T33-I33</f>
        <v>-8.0738482403343061E-3</v>
      </c>
      <c r="AF33" s="20">
        <f t="shared" si="23"/>
        <v>0</v>
      </c>
    </row>
    <row r="34" spans="1:32" x14ac:dyDescent="0.25">
      <c r="A34" t="str">
        <f>$A$8</f>
        <v>Bellevue Downtown</v>
      </c>
      <c r="B34" s="20">
        <f t="shared" si="13"/>
        <v>4.7154472495342842E-5</v>
      </c>
      <c r="C34" s="20">
        <f t="shared" si="13"/>
        <v>2.5499203563776603E-6</v>
      </c>
      <c r="D34" s="20">
        <f t="shared" si="13"/>
        <v>0</v>
      </c>
      <c r="E34" s="20">
        <f t="shared" si="13"/>
        <v>0</v>
      </c>
      <c r="F34" s="20">
        <f t="shared" si="13"/>
        <v>6.318746260917726E-5</v>
      </c>
      <c r="G34" s="20">
        <f t="shared" si="13"/>
        <v>6.9312149772615361E-6</v>
      </c>
      <c r="H34" s="20">
        <f t="shared" ref="H34" si="24">H21/$J$28</f>
        <v>0</v>
      </c>
      <c r="I34" s="20">
        <f t="shared" si="15"/>
        <v>2.3062741176170564E-3</v>
      </c>
      <c r="J34" s="20">
        <f t="shared" si="15"/>
        <v>2.4260971880552158E-3</v>
      </c>
      <c r="L34" t="str">
        <f>$A$8</f>
        <v>Bellevue Downtown</v>
      </c>
      <c r="M34" s="20">
        <f t="shared" si="16"/>
        <v>7.7744508253509603E-4</v>
      </c>
      <c r="N34" s="20">
        <f t="shared" si="16"/>
        <v>1.6233237503192506E-4</v>
      </c>
      <c r="O34" s="20">
        <f t="shared" si="16"/>
        <v>1.2270475765662977E-4</v>
      </c>
      <c r="P34" s="20">
        <f t="shared" si="16"/>
        <v>1.8752300460272554E-5</v>
      </c>
      <c r="Q34" s="20">
        <f t="shared" si="16"/>
        <v>2.1974595795207156E-5</v>
      </c>
      <c r="R34" s="20">
        <f t="shared" si="16"/>
        <v>2.7135908004148888E-6</v>
      </c>
      <c r="S34" s="20">
        <f t="shared" ref="S34" si="25">S8/$U$15</f>
        <v>2.6422848852511758E-5</v>
      </c>
      <c r="T34" s="20">
        <f t="shared" si="18"/>
        <v>1.2937516369231584E-3</v>
      </c>
      <c r="U34" s="20">
        <f t="shared" si="18"/>
        <v>2.4260971880552158E-3</v>
      </c>
      <c r="W34" t="str">
        <f>$A$8</f>
        <v>Bellevue Downtown</v>
      </c>
      <c r="X34" s="20">
        <f t="shared" si="19"/>
        <v>7.3029061003975317E-4</v>
      </c>
      <c r="Y34" s="20">
        <f t="shared" si="19"/>
        <v>1.597824546755474E-4</v>
      </c>
      <c r="Z34" s="20">
        <f t="shared" si="19"/>
        <v>1.2270475765662977E-4</v>
      </c>
      <c r="AA34" s="20">
        <f t="shared" si="20"/>
        <v>1.8752300460272554E-5</v>
      </c>
      <c r="AB34" s="20">
        <f t="shared" si="21"/>
        <v>-4.12128668139701E-5</v>
      </c>
      <c r="AC34" s="20">
        <f t="shared" si="22"/>
        <v>-4.2176241768466472E-6</v>
      </c>
      <c r="AD34" s="20">
        <f t="shared" si="22"/>
        <v>2.6422848852511758E-5</v>
      </c>
      <c r="AE34" s="20">
        <f t="shared" si="23"/>
        <v>-1.012522480693898E-3</v>
      </c>
      <c r="AF34" s="20">
        <f t="shared" si="23"/>
        <v>0</v>
      </c>
    </row>
    <row r="35" spans="1:32" x14ac:dyDescent="0.25">
      <c r="A35" t="str">
        <f>$A$9</f>
        <v>Kirkland</v>
      </c>
      <c r="B35" s="20">
        <f t="shared" si="13"/>
        <v>2.1354800576594952E-3</v>
      </c>
      <c r="C35" s="20">
        <f t="shared" si="13"/>
        <v>1.4929490037231209E-4</v>
      </c>
      <c r="D35" s="20">
        <f t="shared" si="13"/>
        <v>1.2862932604232992E-2</v>
      </c>
      <c r="E35" s="20">
        <f t="shared" si="13"/>
        <v>1.1509781008217838E-4</v>
      </c>
      <c r="F35" s="20">
        <f t="shared" si="13"/>
        <v>2.8727390853260213E-5</v>
      </c>
      <c r="G35" s="20">
        <f t="shared" si="13"/>
        <v>3.6568365559353806E-6</v>
      </c>
      <c r="H35" s="20">
        <f t="shared" ref="H35" si="26">H22/$J$28</f>
        <v>9.0924371563824676E-6</v>
      </c>
      <c r="I35" s="20">
        <f t="shared" si="15"/>
        <v>2.4955458420681829E-2</v>
      </c>
      <c r="J35" s="20">
        <f t="shared" si="15"/>
        <v>4.0259740457594381E-2</v>
      </c>
      <c r="L35" t="str">
        <f>$A$9</f>
        <v>Kirkland</v>
      </c>
      <c r="M35" s="20">
        <f t="shared" si="16"/>
        <v>2.2709140946670326E-3</v>
      </c>
      <c r="N35" s="20">
        <f t="shared" si="16"/>
        <v>9.6429970491018489E-5</v>
      </c>
      <c r="O35" s="20">
        <f t="shared" si="16"/>
        <v>2.4088627245371221E-2</v>
      </c>
      <c r="P35" s="20">
        <f t="shared" si="16"/>
        <v>3.1468006304390889E-3</v>
      </c>
      <c r="Q35" s="20">
        <f t="shared" si="16"/>
        <v>1.6429066853247594E-3</v>
      </c>
      <c r="R35" s="20">
        <f t="shared" si="16"/>
        <v>3.5211942813547006E-5</v>
      </c>
      <c r="S35" s="20">
        <f t="shared" ref="S35" si="27">S9/$U$15</f>
        <v>2.4259369884762857E-3</v>
      </c>
      <c r="T35" s="20">
        <f t="shared" si="18"/>
        <v>6.5529129000114353E-3</v>
      </c>
      <c r="U35" s="20">
        <f t="shared" si="18"/>
        <v>4.0259740457594381E-2</v>
      </c>
      <c r="W35" t="str">
        <f>$A$9</f>
        <v>Kirkland</v>
      </c>
      <c r="X35" s="20">
        <f t="shared" si="19"/>
        <v>1.3543403700753747E-4</v>
      </c>
      <c r="Y35" s="20">
        <f t="shared" si="19"/>
        <v>-5.2864929881293602E-5</v>
      </c>
      <c r="Z35" s="20">
        <f t="shared" si="19"/>
        <v>1.1225694641138229E-2</v>
      </c>
      <c r="AA35" s="20">
        <f t="shared" si="20"/>
        <v>3.0317028203569107E-3</v>
      </c>
      <c r="AB35" s="20">
        <f t="shared" si="21"/>
        <v>1.6141792944714991E-3</v>
      </c>
      <c r="AC35" s="20">
        <f t="shared" si="22"/>
        <v>3.1555106257611629E-5</v>
      </c>
      <c r="AD35" s="20">
        <f t="shared" si="22"/>
        <v>2.4168445513199034E-3</v>
      </c>
      <c r="AE35" s="20">
        <f t="shared" si="23"/>
        <v>-1.8402545520670395E-2</v>
      </c>
      <c r="AF35" s="20">
        <f t="shared" si="23"/>
        <v>0</v>
      </c>
    </row>
    <row r="36" spans="1:32" x14ac:dyDescent="0.25">
      <c r="A36" t="str">
        <f>$A$10</f>
        <v>Redmond</v>
      </c>
      <c r="B36" s="20">
        <f t="shared" si="13"/>
        <v>1.3399673545464144E-3</v>
      </c>
      <c r="C36" s="20">
        <f t="shared" si="13"/>
        <v>1.7930638664269625E-4</v>
      </c>
      <c r="D36" s="20">
        <f t="shared" si="13"/>
        <v>2.9089013326511026E-3</v>
      </c>
      <c r="E36" s="20">
        <f t="shared" si="13"/>
        <v>1.4637166426325255E-2</v>
      </c>
      <c r="F36" s="20">
        <f t="shared" si="13"/>
        <v>6.2485161181802848E-4</v>
      </c>
      <c r="G36" s="20">
        <f t="shared" si="13"/>
        <v>2.8613976162737001E-6</v>
      </c>
      <c r="H36" s="20">
        <f t="shared" ref="H36" si="28">H23/$J$28</f>
        <v>1.9087873507566303E-4</v>
      </c>
      <c r="I36" s="20">
        <f t="shared" si="15"/>
        <v>1.629069484141862E-2</v>
      </c>
      <c r="J36" s="20">
        <f t="shared" si="15"/>
        <v>3.6174628086094049E-2</v>
      </c>
      <c r="L36" t="str">
        <f>$A$10</f>
        <v>Redmond</v>
      </c>
      <c r="M36" s="20">
        <f t="shared" si="16"/>
        <v>4.8821348863321767E-3</v>
      </c>
      <c r="N36" s="20">
        <f t="shared" si="16"/>
        <v>5.1772974447078704E-5</v>
      </c>
      <c r="O36" s="20">
        <f t="shared" si="16"/>
        <v>5.9785250234103398E-3</v>
      </c>
      <c r="P36" s="20">
        <f t="shared" si="16"/>
        <v>1.5531923850900561E-2</v>
      </c>
      <c r="Q36" s="20">
        <f t="shared" si="16"/>
        <v>3.0598024708636484E-4</v>
      </c>
      <c r="R36" s="20">
        <f t="shared" si="16"/>
        <v>2.8096100724395919E-5</v>
      </c>
      <c r="S36" s="20">
        <f t="shared" ref="S36" si="29">S10/$U$15</f>
        <v>2.3362691646441145E-3</v>
      </c>
      <c r="T36" s="20">
        <f t="shared" si="18"/>
        <v>7.0599258385490183E-3</v>
      </c>
      <c r="U36" s="20">
        <f t="shared" si="18"/>
        <v>3.6174628086094049E-2</v>
      </c>
      <c r="W36" t="str">
        <f>$A$10</f>
        <v>Redmond</v>
      </c>
      <c r="X36" s="20">
        <f t="shared" ref="X36:X38" si="30">M36-B36</f>
        <v>3.5421675317857623E-3</v>
      </c>
      <c r="Y36" s="20">
        <f t="shared" ref="Y36:Y38" si="31">N36-C36</f>
        <v>-1.2753341219561755E-4</v>
      </c>
      <c r="Z36" s="20">
        <f t="shared" ref="Z36:Z38" si="32">O36-D36</f>
        <v>3.0696236907592372E-3</v>
      </c>
      <c r="AA36" s="20">
        <f t="shared" ref="AA36:AA38" si="33">P36-E36</f>
        <v>8.947574245753067E-4</v>
      </c>
      <c r="AB36" s="20">
        <f t="shared" ref="AB36:AB38" si="34">Q36-F36</f>
        <v>-3.1887136473166363E-4</v>
      </c>
      <c r="AC36" s="20">
        <f t="shared" ref="AC36:AD38" si="35">R36-G36</f>
        <v>2.523470310812222E-5</v>
      </c>
      <c r="AD36" s="20">
        <f t="shared" si="35"/>
        <v>2.1453904295684516E-3</v>
      </c>
      <c r="AE36" s="20">
        <f t="shared" ref="AE36:AE39" si="36">T36-I36</f>
        <v>-9.2307690028696019E-3</v>
      </c>
      <c r="AF36" s="20">
        <f t="shared" ref="AF36:AF39" si="37">U36-J36</f>
        <v>0</v>
      </c>
    </row>
    <row r="37" spans="1:32" x14ac:dyDescent="0.25">
      <c r="A37" t="str">
        <f>$A$11</f>
        <v>Seattle</v>
      </c>
      <c r="B37" s="20">
        <f t="shared" si="13"/>
        <v>4.3706914642937448E-4</v>
      </c>
      <c r="C37" s="20">
        <f t="shared" si="13"/>
        <v>2.3782626978993185E-5</v>
      </c>
      <c r="D37" s="20">
        <f t="shared" si="13"/>
        <v>8.7615812944083016E-4</v>
      </c>
      <c r="E37" s="20">
        <f t="shared" si="13"/>
        <v>5.5103364449137834E-6</v>
      </c>
      <c r="F37" s="20">
        <f t="shared" si="13"/>
        <v>0.11080104999963618</v>
      </c>
      <c r="G37" s="20">
        <f t="shared" si="13"/>
        <v>3.3195897644999047E-3</v>
      </c>
      <c r="H37" s="20">
        <f t="shared" ref="H37" si="38">H24/$J$28</f>
        <v>4.0220347545548629E-3</v>
      </c>
      <c r="I37" s="20">
        <f t="shared" si="15"/>
        <v>2.0188527706058206E-2</v>
      </c>
      <c r="J37" s="20">
        <f t="shared" si="15"/>
        <v>0.13967372246404328</v>
      </c>
      <c r="L37" t="str">
        <f>$A$11</f>
        <v>Seattle</v>
      </c>
      <c r="M37" s="20">
        <f t="shared" si="16"/>
        <v>3.6358136101791749E-3</v>
      </c>
      <c r="N37" s="20">
        <f t="shared" si="16"/>
        <v>3.7996800802655362E-5</v>
      </c>
      <c r="O37" s="20">
        <f t="shared" si="16"/>
        <v>3.9786591161465297E-3</v>
      </c>
      <c r="P37" s="20">
        <f t="shared" si="16"/>
        <v>2.9124173503392552E-4</v>
      </c>
      <c r="Q37" s="20">
        <f t="shared" si="16"/>
        <v>0.11549679046721621</v>
      </c>
      <c r="R37" s="20">
        <f t="shared" si="16"/>
        <v>3.5938309854461757E-3</v>
      </c>
      <c r="S37" s="20">
        <f t="shared" ref="S37" si="39">S11/$U$15</f>
        <v>9.8470408526346431E-3</v>
      </c>
      <c r="T37" s="20">
        <f t="shared" si="18"/>
        <v>2.7923488965839335E-3</v>
      </c>
      <c r="U37" s="20">
        <f t="shared" si="18"/>
        <v>0.13967372246404325</v>
      </c>
      <c r="W37" t="str">
        <f>$A$11</f>
        <v>Seattle</v>
      </c>
      <c r="X37" s="20">
        <f t="shared" si="30"/>
        <v>3.1987444637498006E-3</v>
      </c>
      <c r="Y37" s="20">
        <f t="shared" si="31"/>
        <v>1.4214173823662176E-5</v>
      </c>
      <c r="Z37" s="20">
        <f t="shared" si="32"/>
        <v>3.1025009867056996E-3</v>
      </c>
      <c r="AA37" s="20">
        <f t="shared" si="33"/>
        <v>2.8573139858901174E-4</v>
      </c>
      <c r="AB37" s="20">
        <f t="shared" si="34"/>
        <v>4.695740467580034E-3</v>
      </c>
      <c r="AC37" s="20">
        <f t="shared" si="35"/>
        <v>2.7424122094627098E-4</v>
      </c>
      <c r="AD37" s="20">
        <f t="shared" si="35"/>
        <v>5.8250060980797802E-3</v>
      </c>
      <c r="AE37" s="20">
        <f t="shared" si="36"/>
        <v>-1.7396178809474274E-2</v>
      </c>
      <c r="AF37" s="20">
        <f t="shared" si="37"/>
        <v>0</v>
      </c>
    </row>
    <row r="38" spans="1:32" x14ac:dyDescent="0.25">
      <c r="A38" t="str">
        <f>$A$12</f>
        <v>Seattle Downtown</v>
      </c>
      <c r="B38" s="20">
        <f t="shared" si="13"/>
        <v>0</v>
      </c>
      <c r="C38" s="20">
        <f t="shared" si="13"/>
        <v>0</v>
      </c>
      <c r="D38" s="20">
        <f t="shared" si="13"/>
        <v>0</v>
      </c>
      <c r="E38" s="20">
        <f t="shared" si="13"/>
        <v>0</v>
      </c>
      <c r="F38" s="20">
        <f t="shared" si="13"/>
        <v>5.3624479122379217E-4</v>
      </c>
      <c r="G38" s="20">
        <f t="shared" si="13"/>
        <v>2.3351671298039872E-4</v>
      </c>
      <c r="H38" s="20">
        <f t="shared" ref="H38:H39" si="40">H25/$J$28</f>
        <v>0</v>
      </c>
      <c r="I38" s="20">
        <f t="shared" si="15"/>
        <v>9.229187353383685E-3</v>
      </c>
      <c r="J38" s="20">
        <f t="shared" si="15"/>
        <v>9.9989488575878745E-3</v>
      </c>
      <c r="L38" t="str">
        <f>$A$12</f>
        <v>Seattle Downtown</v>
      </c>
      <c r="M38" s="20">
        <f t="shared" si="16"/>
        <v>4.4953561634648528E-4</v>
      </c>
      <c r="N38" s="20">
        <f t="shared" si="16"/>
        <v>1.3906463904269406E-6</v>
      </c>
      <c r="O38" s="20">
        <f t="shared" si="16"/>
        <v>7.7630778467825941E-5</v>
      </c>
      <c r="P38" s="20">
        <f t="shared" si="16"/>
        <v>1.2099749611463875E-5</v>
      </c>
      <c r="Q38" s="20">
        <f t="shared" si="16"/>
        <v>1.9682480181428689E-3</v>
      </c>
      <c r="R38" s="20">
        <f t="shared" si="16"/>
        <v>2.4739310163138044E-3</v>
      </c>
      <c r="S38" s="20">
        <f t="shared" ref="S38" si="41">S12/$U$15</f>
        <v>9.8394876741448776E-5</v>
      </c>
      <c r="T38" s="20">
        <f t="shared" si="18"/>
        <v>4.9177181555735503E-3</v>
      </c>
      <c r="U38" s="20">
        <f t="shared" si="18"/>
        <v>9.9989488575878745E-3</v>
      </c>
      <c r="W38" t="str">
        <f>$A$12</f>
        <v>Seattle Downtown</v>
      </c>
      <c r="X38" s="20">
        <f t="shared" si="30"/>
        <v>4.4953561634648528E-4</v>
      </c>
      <c r="Y38" s="20">
        <f t="shared" si="31"/>
        <v>1.3906463904269406E-6</v>
      </c>
      <c r="Z38" s="20">
        <f t="shared" si="32"/>
        <v>7.7630778467825941E-5</v>
      </c>
      <c r="AA38" s="20">
        <f t="shared" si="33"/>
        <v>1.2099749611463875E-5</v>
      </c>
      <c r="AB38" s="20">
        <f t="shared" si="34"/>
        <v>1.4320032269190767E-3</v>
      </c>
      <c r="AC38" s="20">
        <f t="shared" si="35"/>
        <v>2.2404143033334057E-3</v>
      </c>
      <c r="AD38" s="20">
        <f t="shared" si="35"/>
        <v>9.8394876741448776E-5</v>
      </c>
      <c r="AE38" s="20">
        <f t="shared" si="36"/>
        <v>-4.3114691978101347E-3</v>
      </c>
      <c r="AF38" s="20">
        <f t="shared" si="37"/>
        <v>0</v>
      </c>
    </row>
    <row r="39" spans="1:32" x14ac:dyDescent="0.25">
      <c r="A39" t="str">
        <f>$A$13</f>
        <v>Rest</v>
      </c>
      <c r="B39" s="20">
        <f t="shared" si="13"/>
        <v>1.0553100003027303E-2</v>
      </c>
      <c r="C39" s="20">
        <f t="shared" si="13"/>
        <v>0</v>
      </c>
      <c r="D39" s="20">
        <f t="shared" si="13"/>
        <v>1.6749506543289067E-2</v>
      </c>
      <c r="E39" s="20">
        <f t="shared" si="13"/>
        <v>3.7318127781743606E-3</v>
      </c>
      <c r="F39" s="20">
        <f t="shared" si="13"/>
        <v>2.2469840050765529E-2</v>
      </c>
      <c r="G39" s="20">
        <f t="shared" si="13"/>
        <v>1.3521487985099361E-4</v>
      </c>
      <c r="H39" s="20">
        <f t="shared" si="40"/>
        <v>0.67289069618403485</v>
      </c>
      <c r="I39" s="20">
        <f t="shared" si="15"/>
        <v>0</v>
      </c>
      <c r="J39" s="20">
        <f t="shared" si="13"/>
        <v>0.72653017043914203</v>
      </c>
      <c r="L39" t="str">
        <f>$A$13</f>
        <v>Rest</v>
      </c>
      <c r="M39" s="20">
        <f t="shared" si="16"/>
        <v>1.4865774461859561E-2</v>
      </c>
      <c r="N39" s="20">
        <f t="shared" si="16"/>
        <v>2.3408313430002691E-4</v>
      </c>
      <c r="O39" s="20">
        <f t="shared" si="16"/>
        <v>1.188551928760706E-2</v>
      </c>
      <c r="P39" s="20">
        <f t="shared" si="16"/>
        <v>6.5175489392582274E-3</v>
      </c>
      <c r="Q39" s="20">
        <f t="shared" si="16"/>
        <v>1.4658665226875247E-2</v>
      </c>
      <c r="R39" s="20">
        <f t="shared" si="16"/>
        <v>7.561069826145212E-4</v>
      </c>
      <c r="S39" s="20">
        <f t="shared" ref="S39" si="42">S13/$U$15</f>
        <v>0.67761247240662736</v>
      </c>
      <c r="T39" s="20">
        <f t="shared" si="16"/>
        <v>0</v>
      </c>
      <c r="U39" s="20">
        <f t="shared" si="16"/>
        <v>0.72653017043914203</v>
      </c>
      <c r="W39" t="str">
        <f>$A$13</f>
        <v>Rest</v>
      </c>
      <c r="X39" s="20">
        <f t="shared" ref="X39" si="43">M39-B39</f>
        <v>4.3126744588322576E-3</v>
      </c>
      <c r="Y39" s="20">
        <f t="shared" ref="Y39" si="44">N39-C39</f>
        <v>2.3408313430002691E-4</v>
      </c>
      <c r="Z39" s="20">
        <f t="shared" ref="Z39" si="45">O39-D39</f>
        <v>-4.863987255682007E-3</v>
      </c>
      <c r="AA39" s="20">
        <f t="shared" ref="AA39" si="46">P39-E39</f>
        <v>2.7857361610838668E-3</v>
      </c>
      <c r="AB39" s="20">
        <f t="shared" ref="AB39" si="47">Q39-F39</f>
        <v>-7.8111748238902812E-3</v>
      </c>
      <c r="AC39" s="20">
        <f t="shared" ref="AC39" si="48">R39-G39</f>
        <v>6.2089210276352756E-4</v>
      </c>
      <c r="AD39" s="20">
        <f t="shared" ref="AD39" si="49">S39-H39</f>
        <v>4.7217762225925108E-3</v>
      </c>
      <c r="AE39" s="20">
        <f t="shared" si="36"/>
        <v>0</v>
      </c>
      <c r="AF39" s="20">
        <f t="shared" si="37"/>
        <v>0</v>
      </c>
    </row>
    <row r="40" spans="1:32" x14ac:dyDescent="0.25">
      <c r="A40" s="6" t="s">
        <v>12</v>
      </c>
      <c r="B40" s="21">
        <f t="shared" ref="B40:H40" si="50">B27/$J$28</f>
        <v>0</v>
      </c>
      <c r="C40" s="21">
        <f t="shared" si="50"/>
        <v>0</v>
      </c>
      <c r="D40" s="21">
        <f t="shared" si="50"/>
        <v>0</v>
      </c>
      <c r="E40" s="21">
        <f t="shared" si="50"/>
        <v>0</v>
      </c>
      <c r="F40" s="21">
        <f t="shared" si="50"/>
        <v>0</v>
      </c>
      <c r="G40" s="21">
        <f t="shared" si="50"/>
        <v>0</v>
      </c>
      <c r="H40" s="21">
        <f t="shared" si="50"/>
        <v>0</v>
      </c>
      <c r="I40" s="21">
        <f>I27/$J$28</f>
        <v>0</v>
      </c>
      <c r="J40" s="21">
        <f>J27/$J$28</f>
        <v>0</v>
      </c>
      <c r="L40" s="18" t="s">
        <v>12</v>
      </c>
      <c r="M40" s="21">
        <f>M14/$U$15</f>
        <v>0</v>
      </c>
      <c r="N40" s="21">
        <f t="shared" ref="N40:U40" si="51">N14/$U$15</f>
        <v>0</v>
      </c>
      <c r="O40" s="21">
        <f t="shared" si="51"/>
        <v>0</v>
      </c>
      <c r="P40" s="21">
        <f t="shared" si="51"/>
        <v>0</v>
      </c>
      <c r="Q40" s="21">
        <f t="shared" si="51"/>
        <v>0</v>
      </c>
      <c r="R40" s="21">
        <f t="shared" si="51"/>
        <v>0</v>
      </c>
      <c r="S40" s="21">
        <f t="shared" si="51"/>
        <v>0</v>
      </c>
      <c r="T40" s="21">
        <f t="shared" si="51"/>
        <v>0</v>
      </c>
      <c r="U40" s="21">
        <f t="shared" si="51"/>
        <v>0</v>
      </c>
      <c r="W40" s="18" t="s">
        <v>12</v>
      </c>
      <c r="X40" s="21">
        <f t="shared" ref="X40:Z41" si="52">M40-B40</f>
        <v>0</v>
      </c>
      <c r="Y40" s="21">
        <f t="shared" si="52"/>
        <v>0</v>
      </c>
      <c r="Z40" s="21">
        <f t="shared" si="52"/>
        <v>0</v>
      </c>
      <c r="AA40" s="21">
        <f t="shared" ref="AA40:AA41" si="53">P40-E40</f>
        <v>0</v>
      </c>
      <c r="AB40" s="21">
        <f t="shared" ref="AB40:AB41" si="54">Q40-F40</f>
        <v>0</v>
      </c>
      <c r="AC40" s="21">
        <f t="shared" ref="AC40:AD41" si="55">R40-G40</f>
        <v>0</v>
      </c>
      <c r="AD40" s="20">
        <f t="shared" si="22"/>
        <v>0</v>
      </c>
      <c r="AE40" s="21">
        <f>T40-I40</f>
        <v>0</v>
      </c>
      <c r="AF40" s="21">
        <f>U40-J40</f>
        <v>0</v>
      </c>
    </row>
    <row r="41" spans="1:32" ht="15.75" thickBot="1" x14ac:dyDescent="0.3">
      <c r="A41" s="1" t="s">
        <v>3</v>
      </c>
      <c r="B41" s="22">
        <f>B28/$J$28</f>
        <v>4.7254210729892457E-2</v>
      </c>
      <c r="C41" s="22">
        <f>C28/$J$28</f>
        <v>6.0035452410159252E-4</v>
      </c>
      <c r="D41" s="22">
        <f>D28/$J$28</f>
        <v>4.1324634625872624E-2</v>
      </c>
      <c r="E41" s="22">
        <f t="shared" ref="E41:H41" si="56">E28/$J$28</f>
        <v>2.9953059309250161E-2</v>
      </c>
      <c r="F41" s="22">
        <f t="shared" si="56"/>
        <v>0.15075896726291338</v>
      </c>
      <c r="G41" s="22">
        <f t="shared" si="56"/>
        <v>5.4592942922936103E-3</v>
      </c>
      <c r="H41" s="22">
        <f t="shared" si="56"/>
        <v>0</v>
      </c>
      <c r="I41" s="22">
        <f>I28/$J$28</f>
        <v>0.15452524700465975</v>
      </c>
      <c r="J41" s="22">
        <f>J28/$J$28</f>
        <v>1</v>
      </c>
      <c r="L41" s="19" t="s">
        <v>3</v>
      </c>
      <c r="M41" s="22">
        <f>M15/$U$15</f>
        <v>6.0593175328089034E-2</v>
      </c>
      <c r="N41" s="22">
        <f>N15/$U$15</f>
        <v>1.2618760554445312E-3</v>
      </c>
      <c r="O41" s="22">
        <f>O15/$U$15</f>
        <v>4.83687285889738E-2</v>
      </c>
      <c r="P41" s="22">
        <f t="shared" ref="P41:S41" si="57">P15/$U$15</f>
        <v>2.7228111601819163E-2</v>
      </c>
      <c r="Q41" s="22">
        <f t="shared" si="57"/>
        <v>0.1350169346755801</v>
      </c>
      <c r="R41" s="22">
        <f t="shared" si="57"/>
        <v>7.0059730152562975E-3</v>
      </c>
      <c r="S41" s="22">
        <f t="shared" si="57"/>
        <v>0.69507343855732129</v>
      </c>
      <c r="T41" s="22">
        <f>T15/$U$15</f>
        <v>2.5451762177515845E-2</v>
      </c>
      <c r="U41" s="22">
        <f>U15/$U$15</f>
        <v>1</v>
      </c>
      <c r="W41" s="19" t="s">
        <v>3</v>
      </c>
      <c r="X41" s="22">
        <f t="shared" si="52"/>
        <v>1.3338964598196577E-2</v>
      </c>
      <c r="Y41" s="22">
        <f t="shared" si="52"/>
        <v>6.6152153134293871E-4</v>
      </c>
      <c r="Z41" s="22">
        <f t="shared" si="52"/>
        <v>7.0440939631011765E-3</v>
      </c>
      <c r="AA41" s="22">
        <f t="shared" si="53"/>
        <v>-2.7249477074309976E-3</v>
      </c>
      <c r="AB41" s="22">
        <f t="shared" si="54"/>
        <v>-1.5742032587333282E-2</v>
      </c>
      <c r="AC41" s="22">
        <f t="shared" si="55"/>
        <v>1.5466787229626872E-3</v>
      </c>
      <c r="AD41" s="22">
        <f t="shared" si="55"/>
        <v>0.69507343855732129</v>
      </c>
      <c r="AE41" s="22">
        <f>T41-I41</f>
        <v>-0.1290734848271439</v>
      </c>
      <c r="AF41" s="22">
        <f>U41-J41</f>
        <v>0</v>
      </c>
    </row>
    <row r="44" spans="1:32" ht="15.75" thickBot="1" x14ac:dyDescent="0.3">
      <c r="A44" s="32" t="s">
        <v>196</v>
      </c>
      <c r="B44" s="30"/>
      <c r="C44" s="30"/>
      <c r="D44" s="30"/>
      <c r="E44" s="30"/>
      <c r="F44" s="30"/>
      <c r="G44" s="30"/>
      <c r="H44" s="30"/>
      <c r="I44" s="30"/>
      <c r="L44" s="32" t="s">
        <v>38</v>
      </c>
      <c r="M44" s="30"/>
      <c r="N44" s="30"/>
      <c r="O44" s="30"/>
      <c r="P44" s="30"/>
      <c r="Q44" s="30"/>
      <c r="R44" s="30"/>
      <c r="S44" s="30"/>
      <c r="T44" s="30"/>
      <c r="W44" s="32" t="s">
        <v>39</v>
      </c>
      <c r="X44" s="30"/>
      <c r="Y44" s="30"/>
      <c r="Z44" s="30"/>
      <c r="AA44" s="30"/>
      <c r="AB44" s="30"/>
      <c r="AC44" s="30"/>
      <c r="AD44" s="30"/>
      <c r="AE44" s="30"/>
    </row>
    <row r="45" spans="1:32" x14ac:dyDescent="0.25">
      <c r="A45" s="23" t="s">
        <v>11</v>
      </c>
      <c r="B45" s="24" t="str">
        <f>$A$7</f>
        <v>Bellevue</v>
      </c>
      <c r="C45" s="24" t="str">
        <f>$A$8</f>
        <v>Bellevue Downtown</v>
      </c>
      <c r="D45" s="24" t="str">
        <f>$A$9</f>
        <v>Kirkland</v>
      </c>
      <c r="E45" s="24" t="str">
        <f>$A$10</f>
        <v>Redmond</v>
      </c>
      <c r="F45" s="24" t="str">
        <f>$A$11</f>
        <v>Seattle</v>
      </c>
      <c r="G45" s="24" t="str">
        <f>$A$12</f>
        <v>Seattle Downtown</v>
      </c>
      <c r="H45" s="24"/>
      <c r="I45" s="24" t="s">
        <v>3</v>
      </c>
      <c r="L45" s="23" t="s">
        <v>11</v>
      </c>
      <c r="M45" s="24" t="str">
        <f>$A$7</f>
        <v>Bellevue</v>
      </c>
      <c r="N45" s="24" t="str">
        <f>$A$8</f>
        <v>Bellevue Downtown</v>
      </c>
      <c r="O45" s="24" t="str">
        <f>$A$9</f>
        <v>Kirkland</v>
      </c>
      <c r="P45" s="24" t="str">
        <f>$A$10</f>
        <v>Redmond</v>
      </c>
      <c r="Q45" s="24" t="str">
        <f>$A$11</f>
        <v>Seattle</v>
      </c>
      <c r="R45" s="24" t="str">
        <f>$A$12</f>
        <v>Seattle Downtown</v>
      </c>
      <c r="S45" s="24"/>
      <c r="T45" s="24" t="s">
        <v>3</v>
      </c>
      <c r="W45" s="23" t="s">
        <v>11</v>
      </c>
      <c r="X45" s="24" t="str">
        <f>$A$7</f>
        <v>Bellevue</v>
      </c>
      <c r="Y45" s="24" t="str">
        <f>$A$8</f>
        <v>Bellevue Downtown</v>
      </c>
      <c r="Z45" s="24" t="str">
        <f>$A$9</f>
        <v>Kirkland</v>
      </c>
      <c r="AA45" s="24" t="str">
        <f>$A$10</f>
        <v>Redmond</v>
      </c>
      <c r="AB45" s="24" t="str">
        <f>$A$11</f>
        <v>Seattle</v>
      </c>
      <c r="AC45" s="24" t="str">
        <f>$A$12</f>
        <v>Seattle Downtown</v>
      </c>
      <c r="AD45" s="24"/>
      <c r="AE45" s="24" t="s">
        <v>3</v>
      </c>
    </row>
    <row r="46" spans="1:32" x14ac:dyDescent="0.25">
      <c r="A46" s="28" t="str">
        <f>$A$7</f>
        <v>Bellevue</v>
      </c>
      <c r="B46" s="29"/>
      <c r="C46" s="29"/>
      <c r="D46" s="29"/>
      <c r="E46" s="29"/>
      <c r="F46" s="29"/>
      <c r="G46" s="29"/>
      <c r="H46" s="29"/>
      <c r="I46" s="29"/>
      <c r="L46" s="28" t="str">
        <f>$A$7</f>
        <v>Bellevue</v>
      </c>
      <c r="M46" s="29"/>
      <c r="N46" s="29"/>
      <c r="O46" s="29"/>
      <c r="P46" s="29"/>
      <c r="Q46" s="29"/>
      <c r="R46" s="29"/>
      <c r="S46" s="29"/>
      <c r="T46" s="29"/>
      <c r="W46" s="28" t="str">
        <f>$A$7</f>
        <v>Bellevue</v>
      </c>
      <c r="X46" s="29"/>
      <c r="Y46" s="29"/>
      <c r="Z46" s="29"/>
      <c r="AA46" s="29"/>
      <c r="AB46" s="29"/>
      <c r="AC46" s="29"/>
      <c r="AD46" s="29"/>
      <c r="AE46" s="29"/>
    </row>
    <row r="47" spans="1:32" x14ac:dyDescent="0.25">
      <c r="A47" s="25" t="str">
        <f>$A$8</f>
        <v>Bellevue Downtown</v>
      </c>
      <c r="B47" s="26"/>
      <c r="C47" s="26"/>
      <c r="D47" s="26"/>
      <c r="E47" s="26"/>
      <c r="F47" s="26"/>
      <c r="G47" s="26"/>
      <c r="H47" s="26"/>
      <c r="I47" s="26"/>
      <c r="L47" s="25" t="str">
        <f>$A$8</f>
        <v>Bellevue Downtown</v>
      </c>
      <c r="M47" s="26"/>
      <c r="N47" s="26"/>
      <c r="O47" s="26"/>
      <c r="P47" s="26"/>
      <c r="Q47" s="26"/>
      <c r="R47" s="26"/>
      <c r="S47" s="26"/>
      <c r="T47" s="26"/>
      <c r="W47" s="25" t="str">
        <f>$A$8</f>
        <v>Bellevue Downtown</v>
      </c>
      <c r="X47" s="26"/>
      <c r="Y47" s="26"/>
      <c r="Z47" s="26"/>
      <c r="AA47" s="26"/>
      <c r="AB47" s="26"/>
      <c r="AC47" s="26"/>
      <c r="AD47" s="26"/>
      <c r="AE47" s="26"/>
    </row>
    <row r="48" spans="1:32" x14ac:dyDescent="0.25">
      <c r="A48" s="25" t="str">
        <f>$A$9</f>
        <v>Kirkland</v>
      </c>
      <c r="B48" s="26"/>
      <c r="C48" s="26"/>
      <c r="D48" s="26"/>
      <c r="E48" s="26"/>
      <c r="F48" s="26"/>
      <c r="G48" s="26"/>
      <c r="H48" s="26"/>
      <c r="I48" s="26"/>
      <c r="L48" s="25" t="str">
        <f>$A$9</f>
        <v>Kirkland</v>
      </c>
      <c r="M48" s="26"/>
      <c r="N48" s="26"/>
      <c r="O48" s="26"/>
      <c r="P48" s="26"/>
      <c r="Q48" s="26"/>
      <c r="R48" s="26"/>
      <c r="S48" s="26"/>
      <c r="T48" s="26"/>
      <c r="W48" s="25" t="str">
        <f>$A$9</f>
        <v>Kirkland</v>
      </c>
      <c r="X48" s="26"/>
      <c r="Y48" s="26"/>
      <c r="Z48" s="26"/>
      <c r="AA48" s="26"/>
      <c r="AB48" s="26"/>
      <c r="AC48" s="26"/>
      <c r="AD48" s="26"/>
      <c r="AE48" s="26"/>
    </row>
    <row r="49" spans="1:31" x14ac:dyDescent="0.25">
      <c r="A49" s="25" t="str">
        <f>$A$10</f>
        <v>Redmond</v>
      </c>
      <c r="B49" s="26"/>
      <c r="C49" s="26"/>
      <c r="D49" s="26"/>
      <c r="E49" s="26"/>
      <c r="F49" s="26"/>
      <c r="G49" s="26"/>
      <c r="H49" s="26"/>
      <c r="I49" s="26"/>
      <c r="L49" s="25" t="str">
        <f>$A$10</f>
        <v>Redmond</v>
      </c>
      <c r="M49" s="26"/>
      <c r="N49" s="26"/>
      <c r="O49" s="26"/>
      <c r="P49" s="26"/>
      <c r="Q49" s="26"/>
      <c r="R49" s="26"/>
      <c r="S49" s="26"/>
      <c r="T49" s="26"/>
      <c r="W49" s="25" t="str">
        <f>$A$10</f>
        <v>Redmond</v>
      </c>
      <c r="X49" s="26"/>
      <c r="Y49" s="26"/>
      <c r="Z49" s="26"/>
      <c r="AA49" s="26"/>
      <c r="AB49" s="26"/>
      <c r="AC49" s="26"/>
      <c r="AD49" s="26"/>
      <c r="AE49" s="26"/>
    </row>
    <row r="50" spans="1:31" x14ac:dyDescent="0.25">
      <c r="A50" s="25" t="str">
        <f>$A$11</f>
        <v>Seattle</v>
      </c>
      <c r="B50" s="26"/>
      <c r="C50" s="26"/>
      <c r="D50" s="26"/>
      <c r="E50" s="26"/>
      <c r="F50" s="26"/>
      <c r="G50" s="26"/>
      <c r="H50" s="26"/>
      <c r="I50" s="26"/>
      <c r="L50" s="25" t="str">
        <f>$A$11</f>
        <v>Seattle</v>
      </c>
      <c r="M50" s="26"/>
      <c r="N50" s="26"/>
      <c r="O50" s="26"/>
      <c r="P50" s="26"/>
      <c r="Q50" s="26"/>
      <c r="R50" s="26"/>
      <c r="S50" s="26"/>
      <c r="T50" s="26"/>
      <c r="W50" s="25" t="str">
        <f>$A$11</f>
        <v>Seattle</v>
      </c>
      <c r="X50" s="26"/>
      <c r="Y50" s="26"/>
      <c r="Z50" s="26"/>
      <c r="AA50" s="26"/>
      <c r="AB50" s="26"/>
      <c r="AC50" s="26"/>
      <c r="AD50" s="26"/>
      <c r="AE50" s="26"/>
    </row>
    <row r="51" spans="1:31" x14ac:dyDescent="0.25">
      <c r="A51" s="39" t="str">
        <f>$A$12</f>
        <v>Seattle Downtown</v>
      </c>
      <c r="B51" s="40"/>
      <c r="C51" s="40"/>
      <c r="D51" s="40"/>
      <c r="E51" s="40"/>
      <c r="F51" s="40"/>
      <c r="G51" s="40"/>
      <c r="H51" s="40"/>
      <c r="I51" s="40"/>
      <c r="L51" s="39" t="str">
        <f>$A$12</f>
        <v>Seattle Downtown</v>
      </c>
      <c r="M51" s="40"/>
      <c r="N51" s="40"/>
      <c r="O51" s="40"/>
      <c r="P51" s="40"/>
      <c r="Q51" s="40"/>
      <c r="R51" s="40"/>
      <c r="S51" s="40"/>
      <c r="T51" s="40"/>
      <c r="W51" s="39" t="str">
        <f>$A$12</f>
        <v>Seattle Downtown</v>
      </c>
      <c r="X51" s="40"/>
      <c r="Y51" s="40"/>
      <c r="Z51" s="40"/>
      <c r="AA51" s="40"/>
      <c r="AB51" s="40"/>
      <c r="AC51" s="40"/>
      <c r="AD51" s="40"/>
      <c r="AE51" s="40"/>
    </row>
    <row r="52" spans="1:31" ht="15.75" thickBot="1" x14ac:dyDescent="0.3">
      <c r="A52" s="30" t="s">
        <v>3</v>
      </c>
      <c r="B52" s="31"/>
      <c r="C52" s="31"/>
      <c r="D52" s="31"/>
      <c r="E52" s="31"/>
      <c r="F52" s="31"/>
      <c r="G52" s="31"/>
      <c r="H52" s="31"/>
      <c r="I52" s="31"/>
      <c r="L52" s="33" t="s">
        <v>3</v>
      </c>
      <c r="M52" s="31"/>
      <c r="N52" s="31"/>
      <c r="O52" s="31"/>
      <c r="P52" s="31"/>
      <c r="Q52" s="31"/>
      <c r="R52" s="31"/>
      <c r="S52" s="31"/>
      <c r="T52" s="31"/>
      <c r="W52" s="33" t="s">
        <v>3</v>
      </c>
      <c r="X52" s="31"/>
      <c r="Y52" s="31"/>
      <c r="Z52" s="31"/>
      <c r="AA52" s="31"/>
      <c r="AB52" s="31"/>
      <c r="AC52" s="31"/>
      <c r="AD52" s="31"/>
      <c r="AE52" s="3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6"/>
  <sheetViews>
    <sheetView topLeftCell="A10" workbookViewId="0">
      <selection activeCell="G14" sqref="G14"/>
    </sheetView>
  </sheetViews>
  <sheetFormatPr defaultRowHeight="15" x14ac:dyDescent="0.25"/>
  <cols>
    <col min="1" max="1" width="18.28515625" customWidth="1" collapsed="1"/>
    <col min="2" max="2" width="11.5703125" bestFit="1" customWidth="1" collapsed="1"/>
    <col min="3" max="3" width="10.5703125" bestFit="1" customWidth="1" collapsed="1"/>
    <col min="4" max="4" width="12.28515625" bestFit="1" customWidth="1" collapsed="1"/>
    <col min="5" max="5" width="11.5703125" bestFit="1" customWidth="1" collapsed="1"/>
    <col min="8" max="8" width="19.85546875" customWidth="1" collapsed="1"/>
    <col min="9" max="10" width="11.5703125" bestFit="1" customWidth="1" collapsed="1"/>
    <col min="11" max="11" width="12.28515625" bestFit="1" customWidth="1" collapsed="1"/>
    <col min="12" max="12" width="11.5703125" bestFit="1" customWidth="1" collapsed="1"/>
    <col min="13" max="13" width="9.5703125" bestFit="1" customWidth="1" collapsed="1"/>
    <col min="15" max="15" width="18.42578125" customWidth="1" collapsed="1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r="5" spans="1:19" ht="15.75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41" t="s">
        <v>254</v>
      </c>
      <c r="B7" s="65">
        <v>0</v>
      </c>
      <c r="C7" s="65">
        <v>0</v>
      </c>
      <c r="D7" s="65">
        <v>0</v>
      </c>
      <c r="E7" s="65">
        <f>SUM(B7:D7)</f>
        <v>0</v>
      </c>
      <c r="H7" t="str">
        <f>$A$7</f>
        <v>Bellevue</v>
      </c>
      <c r="I7" s="65">
        <v>66.110614236509747</v>
      </c>
      <c r="J7" s="65">
        <v>18.399999999999999</v>
      </c>
      <c r="K7" s="65">
        <v>12.04490646081396</v>
      </c>
      <c r="L7" s="65">
        <f>SUM(I7:K7)</f>
        <v>96.555520697323715</v>
      </c>
      <c r="O7" t="str">
        <f>$A$7</f>
        <v>Bellevue</v>
      </c>
      <c r="P7" s="17">
        <f>I7-B7</f>
        <v>66.110614236509747</v>
      </c>
      <c r="Q7" s="17">
        <f t="shared" ref="Q7:S14" si="0">J7-C7</f>
        <v>18.399999999999999</v>
      </c>
      <c r="R7" s="17">
        <f t="shared" si="0"/>
        <v>12.04490646081396</v>
      </c>
      <c r="S7" s="17">
        <f t="shared" si="0"/>
        <v>96.555520697323715</v>
      </c>
    </row>
    <row r="8" spans="1:19" x14ac:dyDescent="0.25">
      <c r="A8" t="s">
        <v>255</v>
      </c>
      <c r="B8" s="65">
        <v>0</v>
      </c>
      <c r="C8" s="65">
        <v>0</v>
      </c>
      <c r="D8" s="65">
        <v>0</v>
      </c>
      <c r="E8" s="65">
        <f>SUM(B8:D8)</f>
        <v>0</v>
      </c>
      <c r="H8" t="str">
        <f>$A$8</f>
        <v>Bellevue Downtown</v>
      </c>
      <c r="I8" s="65">
        <v>2.2999999999999998</v>
      </c>
      <c r="J8" s="65">
        <v>0</v>
      </c>
      <c r="K8" s="65">
        <v>0</v>
      </c>
      <c r="L8" s="65">
        <f>SUM(I8:K8)</f>
        <v>2.2999999999999998</v>
      </c>
      <c r="O8" t="str">
        <f>$A$8</f>
        <v>Bellevue Downtown</v>
      </c>
      <c r="P8" s="17">
        <f t="shared" ref="P8:P14" si="1">I8-B8</f>
        <v>2.2999999999999998</v>
      </c>
      <c r="Q8" s="17">
        <f t="shared" si="0"/>
        <v>0</v>
      </c>
      <c r="R8" s="17">
        <f t="shared" si="0"/>
        <v>0</v>
      </c>
      <c r="S8" s="17">
        <f t="shared" si="0"/>
        <v>2.2999999999999998</v>
      </c>
    </row>
    <row r="9" spans="1:19" x14ac:dyDescent="0.25">
      <c r="A9" t="s">
        <v>256</v>
      </c>
      <c r="B9" s="65">
        <v>0</v>
      </c>
      <c r="C9" s="65">
        <v>0</v>
      </c>
      <c r="D9" s="65">
        <v>0</v>
      </c>
      <c r="E9" s="65">
        <f t="shared" ref="E9:E11" si="2">SUM(B9:D9)</f>
        <v>0</v>
      </c>
      <c r="H9" t="str">
        <f>$A$9</f>
        <v>Kirkland</v>
      </c>
      <c r="I9" s="65">
        <v>42.88273832130664</v>
      </c>
      <c r="J9" s="65">
        <v>22.868750339102814</v>
      </c>
      <c r="K9" s="65">
        <v>9.613350566204609</v>
      </c>
      <c r="L9" s="65">
        <f t="shared" ref="L9:L11" si="3">SUM(I9:K9)</f>
        <v>75.364839226614066</v>
      </c>
      <c r="O9" t="str">
        <f>$A$9</f>
        <v>Kirkland</v>
      </c>
      <c r="P9" s="17">
        <f t="shared" ref="P9:P11" si="4">I9-B9</f>
        <v>42.88273832130664</v>
      </c>
      <c r="Q9" s="17">
        <f t="shared" ref="Q9:Q11" si="5">J9-C9</f>
        <v>22.868750339102814</v>
      </c>
      <c r="R9" s="17">
        <f t="shared" ref="R9:R11" si="6">K9-D9</f>
        <v>9.613350566204609</v>
      </c>
      <c r="S9" s="17">
        <f t="shared" ref="S9:S11" si="7">L9-E9</f>
        <v>75.364839226614066</v>
      </c>
    </row>
    <row r="10" spans="1:19" x14ac:dyDescent="0.25">
      <c r="A10" t="s">
        <v>257</v>
      </c>
      <c r="B10" s="65">
        <v>0</v>
      </c>
      <c r="C10" s="65">
        <v>0</v>
      </c>
      <c r="D10" s="65">
        <v>0</v>
      </c>
      <c r="E10" s="65">
        <f t="shared" si="2"/>
        <v>0</v>
      </c>
      <c r="H10" t="str">
        <f>$A$10</f>
        <v>Redmond</v>
      </c>
      <c r="I10" s="65">
        <v>97.128389680259204</v>
      </c>
      <c r="J10" s="65">
        <v>31.049999999999997</v>
      </c>
      <c r="K10" s="65">
        <v>18.622956090979706</v>
      </c>
      <c r="L10" s="65">
        <f t="shared" si="3"/>
        <v>146.80134577123891</v>
      </c>
      <c r="O10" t="str">
        <f>$A$10</f>
        <v>Redmond</v>
      </c>
      <c r="P10" s="17">
        <f t="shared" si="4"/>
        <v>97.128389680259204</v>
      </c>
      <c r="Q10" s="17">
        <f t="shared" si="5"/>
        <v>31.049999999999997</v>
      </c>
      <c r="R10" s="17">
        <f t="shared" si="6"/>
        <v>18.622956090979706</v>
      </c>
      <c r="S10" s="17">
        <f t="shared" si="7"/>
        <v>146.80134577123891</v>
      </c>
    </row>
    <row r="11" spans="1:19" x14ac:dyDescent="0.25">
      <c r="A11" t="s">
        <v>253</v>
      </c>
      <c r="B11" s="65">
        <v>0</v>
      </c>
      <c r="C11" s="65">
        <v>0</v>
      </c>
      <c r="D11" s="65">
        <v>996.87599999999998</v>
      </c>
      <c r="E11" s="65">
        <f t="shared" si="2"/>
        <v>996.87599999999998</v>
      </c>
      <c r="H11" t="str">
        <f>$A$11</f>
        <v>Seattle</v>
      </c>
      <c r="I11" s="65">
        <v>459.21756384391966</v>
      </c>
      <c r="J11" s="65">
        <v>87.744088421666262</v>
      </c>
      <c r="K11" s="65">
        <v>61.621630383067121</v>
      </c>
      <c r="L11" s="65">
        <f t="shared" si="3"/>
        <v>608.58328264865304</v>
      </c>
      <c r="O11" t="str">
        <f>$A$11</f>
        <v>Seattle</v>
      </c>
      <c r="P11" s="17">
        <f t="shared" si="4"/>
        <v>459.21756384391966</v>
      </c>
      <c r="Q11" s="17">
        <f t="shared" si="5"/>
        <v>87.744088421666262</v>
      </c>
      <c r="R11" s="17">
        <f t="shared" si="6"/>
        <v>-935.25436961693288</v>
      </c>
      <c r="S11" s="17">
        <f t="shared" si="7"/>
        <v>-388.29271735134694</v>
      </c>
    </row>
    <row r="12" spans="1:19" x14ac:dyDescent="0.25">
      <c r="A12" t="s">
        <v>258</v>
      </c>
      <c r="B12" s="69">
        <v>0</v>
      </c>
      <c r="C12" s="69">
        <v>0</v>
      </c>
      <c r="D12" s="69">
        <v>14.496</v>
      </c>
      <c r="E12" s="69">
        <f>SUM(B12:D12)</f>
        <v>14.496</v>
      </c>
      <c r="H12" t="str">
        <f>$A$12</f>
        <v>Seattle Downtown</v>
      </c>
      <c r="I12" s="69">
        <v>14.932722222370604</v>
      </c>
      <c r="J12" s="69">
        <v>1.8804114490160351</v>
      </c>
      <c r="K12" s="69">
        <v>8.1698187913564624</v>
      </c>
      <c r="L12" s="69">
        <f>SUM(I12:K12)</f>
        <v>24.9829524627431</v>
      </c>
      <c r="O12" t="str">
        <f>$A$12</f>
        <v>Seattle Downtown</v>
      </c>
      <c r="P12" s="17">
        <f t="shared" si="1"/>
        <v>14.932722222370604</v>
      </c>
      <c r="Q12" s="17">
        <f t="shared" si="0"/>
        <v>1.8804114490160351</v>
      </c>
      <c r="R12" s="17">
        <f t="shared" si="0"/>
        <v>-6.3261812086435381</v>
      </c>
      <c r="S12" s="17">
        <f t="shared" si="0"/>
        <v>10.486952462743099</v>
      </c>
    </row>
    <row r="13" spans="1:19" x14ac:dyDescent="0.25">
      <c r="A13" t="s">
        <v>259</v>
      </c>
      <c r="B13" s="68">
        <v>2443.4439000000002</v>
      </c>
      <c r="C13" s="68">
        <v>0</v>
      </c>
      <c r="D13" s="68">
        <v>0</v>
      </c>
      <c r="E13" s="65">
        <f>SUM(B13:D13)</f>
        <v>2443.4439000000002</v>
      </c>
      <c r="H13" t="str">
        <f>$A$13</f>
        <v>Rest</v>
      </c>
      <c r="I13" s="69">
        <v>30665.806408673627</v>
      </c>
      <c r="J13" s="69">
        <v>8293.5247558110659</v>
      </c>
      <c r="K13" s="69">
        <v>9521.6438231432257</v>
      </c>
      <c r="L13" s="69">
        <f>SUM(I13:K13)</f>
        <v>48480.974987627917</v>
      </c>
      <c r="O13" t="str">
        <f>$A$13</f>
        <v>Rest</v>
      </c>
      <c r="P13" s="17">
        <f t="shared" si="1"/>
        <v>28222.362508673628</v>
      </c>
      <c r="Q13" s="17">
        <f t="shared" si="0"/>
        <v>8293.5247558110659</v>
      </c>
      <c r="R13" s="17">
        <f t="shared" si="0"/>
        <v>9521.6438231432257</v>
      </c>
      <c r="S13" s="17">
        <f t="shared" si="0"/>
        <v>46037.531087627918</v>
      </c>
    </row>
    <row r="14" spans="1:19" ht="15.75" thickBot="1" x14ac:dyDescent="0.3">
      <c r="A14" s="10" t="s">
        <v>3</v>
      </c>
      <c r="B14" s="66">
        <f>SUM(B7:B13)</f>
        <v>2443.4439000000002</v>
      </c>
      <c r="C14" s="66">
        <f t="shared" ref="C14" si="8">SUM(C7:C13)</f>
        <v>0</v>
      </c>
      <c r="D14" s="66">
        <f t="shared" ref="D14" si="9">SUM(D7:D13)</f>
        <v>1011.372</v>
      </c>
      <c r="E14" s="64">
        <f t="shared" ref="E14" si="10">SUM(E7:E13)</f>
        <v>3454.8159000000001</v>
      </c>
      <c r="H14" s="10" t="s">
        <v>3</v>
      </c>
      <c r="I14" s="64">
        <f>SUM(I7:I13)</f>
        <v>31348.378436977993</v>
      </c>
      <c r="J14" s="64">
        <f t="shared" ref="J14:L14" si="11">SUM(J7:J13)</f>
        <v>8455.4680060208502</v>
      </c>
      <c r="K14" s="64">
        <f t="shared" si="11"/>
        <v>9631.716485435647</v>
      </c>
      <c r="L14" s="64">
        <f t="shared" si="11"/>
        <v>49435.56292843449</v>
      </c>
      <c r="O14" s="10" t="s">
        <v>3</v>
      </c>
      <c r="P14" s="10">
        <f t="shared" si="1"/>
        <v>28904.934536977991</v>
      </c>
      <c r="Q14" s="10">
        <f t="shared" si="0"/>
        <v>8455.4680060208502</v>
      </c>
      <c r="R14" s="10">
        <f t="shared" si="0"/>
        <v>8620.3444854356476</v>
      </c>
      <c r="S14" s="10">
        <f t="shared" si="0"/>
        <v>45980.747028434489</v>
      </c>
    </row>
    <row r="15" spans="1:19" x14ac:dyDescent="0.25">
      <c r="O15" s="17"/>
      <c r="P15" s="17"/>
      <c r="Q15" s="17"/>
      <c r="R15" s="17"/>
      <c r="S15" s="17"/>
    </row>
    <row r="16" spans="1:19" ht="15.75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34" t="s">
        <v>69</v>
      </c>
      <c r="P16" s="19"/>
      <c r="Q16" s="19"/>
      <c r="R16" s="19"/>
      <c r="S16" s="19"/>
    </row>
    <row r="17" spans="1:19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35"/>
      <c r="P17" s="5" t="s">
        <v>41</v>
      </c>
      <c r="Q17" s="5" t="s">
        <v>42</v>
      </c>
      <c r="R17" s="5" t="s">
        <v>43</v>
      </c>
      <c r="S17" s="36" t="s">
        <v>3</v>
      </c>
    </row>
    <row r="18" spans="1:19" x14ac:dyDescent="0.25">
      <c r="A18" t="str">
        <f>$A$7</f>
        <v>Bellevue</v>
      </c>
      <c r="B18" s="65">
        <v>21927.493999999999</v>
      </c>
      <c r="C18" s="65">
        <v>1905.2952</v>
      </c>
      <c r="D18" s="65">
        <v>2247.1352000000002</v>
      </c>
      <c r="E18" s="65">
        <f>SUM(B18:D18)</f>
        <v>26079.9244</v>
      </c>
      <c r="H18" t="str">
        <f>$A$7</f>
        <v>Bellevue</v>
      </c>
      <c r="I18" s="65">
        <v>23925.999095713527</v>
      </c>
      <c r="J18" s="65">
        <v>5604.4702449982906</v>
      </c>
      <c r="K18" s="65">
        <v>6270.4520482344951</v>
      </c>
      <c r="L18" s="65">
        <f>SUM(I18:K18)</f>
        <v>35800.921388946314</v>
      </c>
      <c r="O18" t="str">
        <f>$A$7</f>
        <v>Bellevue</v>
      </c>
      <c r="P18" s="17">
        <f>I18-B18</f>
        <v>1998.5050957135281</v>
      </c>
      <c r="Q18" s="17">
        <f t="shared" ref="Q18:Q25" si="12">J18-C18</f>
        <v>3699.1750449982906</v>
      </c>
      <c r="R18" s="17">
        <f t="shared" ref="R18:R25" si="13">K18-D18</f>
        <v>4023.316848234495</v>
      </c>
      <c r="S18" s="17">
        <f t="shared" ref="S18:S25" si="14">L18-E18</f>
        <v>9720.9969889463136</v>
      </c>
    </row>
    <row r="19" spans="1:19" x14ac:dyDescent="0.25">
      <c r="A19" t="str">
        <f>$A$8</f>
        <v>Bellevue Downtown</v>
      </c>
      <c r="B19" s="65">
        <v>164.3246</v>
      </c>
      <c r="C19" s="65">
        <v>0</v>
      </c>
      <c r="D19" s="65">
        <v>128.39019999999999</v>
      </c>
      <c r="E19" s="65">
        <f>SUM(B19:D19)</f>
        <v>292.71479999999997</v>
      </c>
      <c r="H19" t="str">
        <f>$A$8</f>
        <v>Bellevue Downtown</v>
      </c>
      <c r="I19" s="65">
        <v>535.15537467031936</v>
      </c>
      <c r="J19" s="65">
        <v>156.63371964624093</v>
      </c>
      <c r="K19" s="65">
        <v>276.53748753665116</v>
      </c>
      <c r="L19" s="65">
        <f>SUM(I19:K19)</f>
        <v>968.32658185321145</v>
      </c>
      <c r="O19" t="str">
        <f>$A$8</f>
        <v>Bellevue Downtown</v>
      </c>
      <c r="P19" s="17">
        <f t="shared" ref="P19:P25" si="15">I19-B19</f>
        <v>370.83077467031933</v>
      </c>
      <c r="Q19" s="17">
        <f t="shared" si="12"/>
        <v>156.63371964624093</v>
      </c>
      <c r="R19" s="17">
        <f t="shared" si="13"/>
        <v>148.14728753665116</v>
      </c>
      <c r="S19" s="17">
        <f t="shared" si="14"/>
        <v>675.61178185321148</v>
      </c>
    </row>
    <row r="20" spans="1:19" x14ac:dyDescent="0.25">
      <c r="A20" t="str">
        <f>$A$9</f>
        <v>Kirkland</v>
      </c>
      <c r="B20" s="65">
        <v>15498.8351</v>
      </c>
      <c r="C20" s="65">
        <v>2170.0192999999999</v>
      </c>
      <c r="D20" s="65">
        <v>1471.8117999999999</v>
      </c>
      <c r="E20" s="65">
        <f t="shared" ref="E20:E22" si="16">SUM(B20:D20)</f>
        <v>19140.6662</v>
      </c>
      <c r="H20" t="str">
        <f>$A$9</f>
        <v>Kirkland</v>
      </c>
      <c r="I20" s="65">
        <v>18935.368004562373</v>
      </c>
      <c r="J20" s="65">
        <v>4521.2611365345329</v>
      </c>
      <c r="K20" s="65">
        <v>5275.414134974978</v>
      </c>
      <c r="L20" s="65">
        <f t="shared" ref="L20:L22" si="17">SUM(I20:K20)</f>
        <v>28732.043276071883</v>
      </c>
      <c r="O20" t="str">
        <f>$A$9</f>
        <v>Kirkland</v>
      </c>
      <c r="P20" s="17">
        <f t="shared" ref="P20:P22" si="18">I20-B20</f>
        <v>3436.532904562373</v>
      </c>
      <c r="Q20" s="17">
        <f t="shared" ref="Q20:Q22" si="19">J20-C20</f>
        <v>2351.2418365345329</v>
      </c>
      <c r="R20" s="17">
        <f t="shared" ref="R20:R22" si="20">K20-D20</f>
        <v>3803.602334974978</v>
      </c>
      <c r="S20" s="17">
        <f t="shared" ref="S20:S22" si="21">L20-E20</f>
        <v>9591.3770760718835</v>
      </c>
    </row>
    <row r="21" spans="1:19" x14ac:dyDescent="0.25">
      <c r="A21" t="str">
        <f>$A$10</f>
        <v>Redmond</v>
      </c>
      <c r="B21" s="65">
        <v>22665.746500000001</v>
      </c>
      <c r="C21" s="65">
        <v>3936.4520000000002</v>
      </c>
      <c r="D21" s="65">
        <v>3498.5259999999998</v>
      </c>
      <c r="E21" s="65">
        <f t="shared" si="16"/>
        <v>30100.724500000004</v>
      </c>
      <c r="H21" t="str">
        <f>$A$10</f>
        <v>Redmond</v>
      </c>
      <c r="I21" s="65">
        <v>17223.163383144281</v>
      </c>
      <c r="J21" s="65">
        <v>3816.646932710988</v>
      </c>
      <c r="K21" s="65">
        <v>3792.5121610091715</v>
      </c>
      <c r="L21" s="65">
        <f t="shared" si="17"/>
        <v>24832.32247686444</v>
      </c>
      <c r="O21" t="str">
        <f>$A$10</f>
        <v>Redmond</v>
      </c>
      <c r="P21" s="17">
        <f t="shared" si="18"/>
        <v>-5442.5831168557197</v>
      </c>
      <c r="Q21" s="17">
        <f t="shared" si="19"/>
        <v>-119.80506728901219</v>
      </c>
      <c r="R21" s="17">
        <f t="shared" si="20"/>
        <v>293.98616100917161</v>
      </c>
      <c r="S21" s="17">
        <f t="shared" si="21"/>
        <v>-5268.4020231355644</v>
      </c>
    </row>
    <row r="22" spans="1:19" x14ac:dyDescent="0.25">
      <c r="A22" t="str">
        <f>$A$11</f>
        <v>Seattle</v>
      </c>
      <c r="B22" s="65">
        <v>73648.718999999997</v>
      </c>
      <c r="C22" s="65">
        <v>4756.9449000000004</v>
      </c>
      <c r="D22" s="65">
        <v>33744.542199999996</v>
      </c>
      <c r="E22" s="65">
        <f t="shared" si="16"/>
        <v>112150.2061</v>
      </c>
      <c r="H22" t="str">
        <f>$A$11</f>
        <v>Seattle</v>
      </c>
      <c r="I22" s="65">
        <v>65614.829233258948</v>
      </c>
      <c r="J22" s="65">
        <v>14215.857620100855</v>
      </c>
      <c r="K22" s="65">
        <v>35771.549042074075</v>
      </c>
      <c r="L22" s="65">
        <f t="shared" si="17"/>
        <v>115602.23589543387</v>
      </c>
      <c r="O22" t="str">
        <f>$A$11</f>
        <v>Seattle</v>
      </c>
      <c r="P22" s="17">
        <f t="shared" si="18"/>
        <v>-8033.8897667410492</v>
      </c>
      <c r="Q22" s="17">
        <f t="shared" si="19"/>
        <v>9458.9127201008541</v>
      </c>
      <c r="R22" s="17">
        <f t="shared" si="20"/>
        <v>2027.006842074079</v>
      </c>
      <c r="S22" s="17">
        <f t="shared" si="21"/>
        <v>3452.0297954338748</v>
      </c>
    </row>
    <row r="23" spans="1:19" x14ac:dyDescent="0.25">
      <c r="A23" t="str">
        <f>$A$12</f>
        <v>Seattle Downtown</v>
      </c>
      <c r="B23" s="69">
        <v>686.47450000000003</v>
      </c>
      <c r="C23" s="69">
        <v>178.05780000000001</v>
      </c>
      <c r="D23" s="69">
        <v>2427.9771000000001</v>
      </c>
      <c r="E23" s="69">
        <f>SUM(B23:D23)</f>
        <v>3292.5093999999999</v>
      </c>
      <c r="H23" t="str">
        <f>$A$12</f>
        <v>Seattle Downtown</v>
      </c>
      <c r="I23" s="69">
        <v>1179.423952120778</v>
      </c>
      <c r="J23" s="69">
        <v>311.9298198838988</v>
      </c>
      <c r="K23" s="69">
        <v>2738.0674361027691</v>
      </c>
      <c r="L23" s="69">
        <f>SUM(I23:K23)</f>
        <v>4229.4212081074456</v>
      </c>
      <c r="O23" t="str">
        <f>$A$12</f>
        <v>Seattle Downtown</v>
      </c>
      <c r="P23" s="17">
        <f t="shared" si="15"/>
        <v>492.94945212077801</v>
      </c>
      <c r="Q23" s="17">
        <f t="shared" si="12"/>
        <v>133.87201988389879</v>
      </c>
      <c r="R23" s="17">
        <f t="shared" si="13"/>
        <v>310.09033610276902</v>
      </c>
      <c r="S23" s="17">
        <f t="shared" si="14"/>
        <v>936.91180810744572</v>
      </c>
    </row>
    <row r="24" spans="1:19" x14ac:dyDescent="0.25">
      <c r="A24" t="str">
        <f>$A$13</f>
        <v>Rest</v>
      </c>
      <c r="B24" s="68">
        <v>381324.3322</v>
      </c>
      <c r="C24" s="68">
        <v>65552.774999999994</v>
      </c>
      <c r="D24" s="68">
        <v>67960.553100000005</v>
      </c>
      <c r="E24" s="68">
        <f>SUM(B24:D24)</f>
        <v>514837.66029999999</v>
      </c>
      <c r="H24" t="str">
        <f>$A$13</f>
        <v>Rest</v>
      </c>
      <c r="I24" s="69">
        <v>419100.41211311216</v>
      </c>
      <c r="J24" s="69">
        <v>98432.971549635782</v>
      </c>
      <c r="K24" s="69">
        <v>101173.42418920131</v>
      </c>
      <c r="L24" s="69">
        <f>SUM(I24:K24)</f>
        <v>618706.80785194924</v>
      </c>
      <c r="O24" t="str">
        <f>$A$13</f>
        <v>Rest</v>
      </c>
      <c r="P24" s="17">
        <f t="shared" si="15"/>
        <v>37776.07991311216</v>
      </c>
      <c r="Q24" s="17">
        <f t="shared" si="12"/>
        <v>32880.196549635788</v>
      </c>
      <c r="R24" s="17">
        <f t="shared" si="13"/>
        <v>33212.871089201304</v>
      </c>
      <c r="S24" s="17">
        <f t="shared" si="14"/>
        <v>103869.14755194925</v>
      </c>
    </row>
    <row r="25" spans="1:19" ht="15.75" thickBot="1" x14ac:dyDescent="0.3">
      <c r="A25" s="10" t="s">
        <v>3</v>
      </c>
      <c r="B25" s="66">
        <f>SUM(B18:B24)</f>
        <v>515915.92590000003</v>
      </c>
      <c r="C25" s="66">
        <f t="shared" ref="C25" si="22">SUM(C18:C24)</f>
        <v>78499.544199999989</v>
      </c>
      <c r="D25" s="66">
        <f t="shared" ref="D25" si="23">SUM(D18:D24)</f>
        <v>111478.9356</v>
      </c>
      <c r="E25" s="66">
        <f t="shared" ref="E25" si="24">SUM(E18:E24)</f>
        <v>705894.4057</v>
      </c>
      <c r="H25" s="10" t="s">
        <v>3</v>
      </c>
      <c r="I25" s="64">
        <f>SUM(I18:I24)</f>
        <v>546514.35115658236</v>
      </c>
      <c r="J25" s="64">
        <f t="shared" ref="J25" si="25">SUM(J18:J24)</f>
        <v>127059.77102351059</v>
      </c>
      <c r="K25" s="64">
        <f t="shared" ref="K25" si="26">SUM(K18:K24)</f>
        <v>155297.95649913343</v>
      </c>
      <c r="L25" s="64">
        <f t="shared" ref="L25" si="27">SUM(L18:L24)</f>
        <v>828872.07867922634</v>
      </c>
      <c r="O25" s="10" t="s">
        <v>3</v>
      </c>
      <c r="P25" s="10">
        <f t="shared" si="15"/>
        <v>30598.425256582326</v>
      </c>
      <c r="Q25" s="10">
        <f t="shared" si="12"/>
        <v>48560.226823510602</v>
      </c>
      <c r="R25" s="10">
        <f t="shared" si="13"/>
        <v>43819.020899133437</v>
      </c>
      <c r="S25" s="10">
        <f t="shared" si="14"/>
        <v>122977.67297922634</v>
      </c>
    </row>
    <row r="27" spans="1:19" ht="15.75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19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19" x14ac:dyDescent="0.25">
      <c r="A29" t="str">
        <f>$A$7</f>
        <v>Bellevue</v>
      </c>
      <c r="B29" s="13">
        <f t="shared" ref="B29:E29" si="28">IF(B18&lt;&gt;0,B7/B18,0)</f>
        <v>0</v>
      </c>
      <c r="C29" s="13">
        <f t="shared" si="28"/>
        <v>0</v>
      </c>
      <c r="D29" s="13">
        <f t="shared" si="28"/>
        <v>0</v>
      </c>
      <c r="E29" s="13">
        <f t="shared" si="28"/>
        <v>0</v>
      </c>
      <c r="H29" t="str">
        <f>$A$7</f>
        <v>Bellevue</v>
      </c>
      <c r="I29" s="13">
        <f t="shared" ref="I29:L30" si="29">IF(I18&lt;&gt;0,I7/I18,0)</f>
        <v>2.7631286773873455E-3</v>
      </c>
      <c r="J29" s="13">
        <f t="shared" si="29"/>
        <v>3.2830935299230251E-3</v>
      </c>
      <c r="K29" s="13">
        <f t="shared" si="29"/>
        <v>1.920899221963641E-3</v>
      </c>
      <c r="L29" s="13">
        <f t="shared" si="29"/>
        <v>2.697012170394465E-3</v>
      </c>
      <c r="O29" t="str">
        <f>$A$7</f>
        <v>Bellevue</v>
      </c>
      <c r="P29" s="20">
        <f t="shared" ref="P29:S36" si="30">I29-B29</f>
        <v>2.7631286773873455E-3</v>
      </c>
      <c r="Q29" s="20">
        <f t="shared" si="30"/>
        <v>3.2830935299230251E-3</v>
      </c>
      <c r="R29" s="20">
        <f t="shared" si="30"/>
        <v>1.920899221963641E-3</v>
      </c>
      <c r="S29" s="20">
        <f t="shared" si="30"/>
        <v>2.697012170394465E-3</v>
      </c>
    </row>
    <row r="30" spans="1:19" x14ac:dyDescent="0.25">
      <c r="A30" t="str">
        <f>$A$8</f>
        <v>Bellevue Downtown</v>
      </c>
      <c r="B30" s="13">
        <f t="shared" ref="B30:E30" si="31">IF(B19&lt;&gt;0,B8/B19,0)</f>
        <v>0</v>
      </c>
      <c r="C30" s="13">
        <f t="shared" si="31"/>
        <v>0</v>
      </c>
      <c r="D30" s="13">
        <f t="shared" si="31"/>
        <v>0</v>
      </c>
      <c r="E30" s="13">
        <f t="shared" si="31"/>
        <v>0</v>
      </c>
      <c r="H30" t="str">
        <f>$A$8</f>
        <v>Bellevue Downtown</v>
      </c>
      <c r="I30" s="13">
        <f t="shared" si="29"/>
        <v>4.2978172487138097E-3</v>
      </c>
      <c r="J30" s="13">
        <f t="shared" si="29"/>
        <v>0</v>
      </c>
      <c r="K30" s="13">
        <f t="shared" si="29"/>
        <v>0</v>
      </c>
      <c r="L30" s="13">
        <f t="shared" si="29"/>
        <v>2.3752317070529997E-3</v>
      </c>
      <c r="O30" t="str">
        <f>$A$8</f>
        <v>Bellevue Downtown</v>
      </c>
      <c r="P30" s="20">
        <f t="shared" si="30"/>
        <v>4.2978172487138097E-3</v>
      </c>
      <c r="Q30" s="20">
        <f t="shared" si="30"/>
        <v>0</v>
      </c>
      <c r="R30" s="20">
        <f t="shared" si="30"/>
        <v>0</v>
      </c>
      <c r="S30" s="20">
        <f t="shared" si="30"/>
        <v>2.3752317070529997E-3</v>
      </c>
    </row>
    <row r="31" spans="1:19" x14ac:dyDescent="0.25">
      <c r="A31" t="str">
        <f>$A$9</f>
        <v>Kirkland</v>
      </c>
      <c r="B31" s="13">
        <f t="shared" ref="B31:E31" si="32">IF(B20&lt;&gt;0,B9/B20,0)</f>
        <v>0</v>
      </c>
      <c r="C31" s="13">
        <f t="shared" si="32"/>
        <v>0</v>
      </c>
      <c r="D31" s="13">
        <f t="shared" si="32"/>
        <v>0</v>
      </c>
      <c r="E31" s="13">
        <f t="shared" si="32"/>
        <v>0</v>
      </c>
      <c r="H31" t="str">
        <f>$A$9</f>
        <v>Kirkland</v>
      </c>
      <c r="I31" s="13">
        <f t="shared" ref="I31:L31" si="33">IF(I20&lt;&gt;0,I9/I20,0)</f>
        <v>2.2646899870641161E-3</v>
      </c>
      <c r="J31" s="13">
        <f t="shared" si="33"/>
        <v>5.0580467813083028E-3</v>
      </c>
      <c r="K31" s="13">
        <f t="shared" si="33"/>
        <v>1.8222930598888814E-3</v>
      </c>
      <c r="L31" s="13">
        <f t="shared" si="33"/>
        <v>2.6230240050271014E-3</v>
      </c>
      <c r="O31" t="str">
        <f>$A$9</f>
        <v>Kirkland</v>
      </c>
      <c r="P31" s="20">
        <f t="shared" ref="P31:P33" si="34">I31-B31</f>
        <v>2.2646899870641161E-3</v>
      </c>
      <c r="Q31" s="20">
        <f t="shared" ref="Q31:Q33" si="35">J31-C31</f>
        <v>5.0580467813083028E-3</v>
      </c>
      <c r="R31" s="20">
        <f t="shared" ref="R31:R33" si="36">K31-D31</f>
        <v>1.8222930598888814E-3</v>
      </c>
      <c r="S31" s="20">
        <f t="shared" ref="S31:S33" si="37">L31-E31</f>
        <v>2.6230240050271014E-3</v>
      </c>
    </row>
    <row r="32" spans="1:19" x14ac:dyDescent="0.25">
      <c r="A32" t="str">
        <f>$A$10</f>
        <v>Redmond</v>
      </c>
      <c r="B32" s="13">
        <f t="shared" ref="B32:E32" si="38">IF(B21&lt;&gt;0,B10/B21,0)</f>
        <v>0</v>
      </c>
      <c r="C32" s="13">
        <f t="shared" si="38"/>
        <v>0</v>
      </c>
      <c r="D32" s="13">
        <f t="shared" si="38"/>
        <v>0</v>
      </c>
      <c r="E32" s="13">
        <f t="shared" si="38"/>
        <v>0</v>
      </c>
      <c r="H32" t="str">
        <f>$A$10</f>
        <v>Redmond</v>
      </c>
      <c r="I32" s="13">
        <f t="shared" ref="I32:L32" si="39">IF(I21&lt;&gt;0,I10/I21,0)</f>
        <v>5.6394047666827232E-3</v>
      </c>
      <c r="J32" s="13">
        <f t="shared" si="39"/>
        <v>8.1354132429391334E-3</v>
      </c>
      <c r="K32" s="13">
        <f t="shared" si="39"/>
        <v>4.9104538892300389E-3</v>
      </c>
      <c r="L32" s="13">
        <f t="shared" si="39"/>
        <v>5.9117042277462978E-3</v>
      </c>
      <c r="O32" t="str">
        <f>$A$10</f>
        <v>Redmond</v>
      </c>
      <c r="P32" s="20">
        <f t="shared" si="34"/>
        <v>5.6394047666827232E-3</v>
      </c>
      <c r="Q32" s="20">
        <f t="shared" si="35"/>
        <v>8.1354132429391334E-3</v>
      </c>
      <c r="R32" s="20">
        <f t="shared" si="36"/>
        <v>4.9104538892300389E-3</v>
      </c>
      <c r="S32" s="20">
        <f t="shared" si="37"/>
        <v>5.9117042277462978E-3</v>
      </c>
    </row>
    <row r="33" spans="1:19" x14ac:dyDescent="0.25">
      <c r="A33" t="str">
        <f>$A$11</f>
        <v>Seattle</v>
      </c>
      <c r="B33" s="13">
        <f t="shared" ref="B33:E33" si="40">IF(B22&lt;&gt;0,B11/B22,0)</f>
        <v>0</v>
      </c>
      <c r="C33" s="13">
        <f t="shared" si="40"/>
        <v>0</v>
      </c>
      <c r="D33" s="13">
        <f t="shared" si="40"/>
        <v>2.9541843954842571E-2</v>
      </c>
      <c r="E33" s="13">
        <f t="shared" si="40"/>
        <v>8.8887576284177698E-3</v>
      </c>
      <c r="H33" t="str">
        <f>$A$11</f>
        <v>Seattle</v>
      </c>
      <c r="I33" s="13">
        <f t="shared" ref="I33:L33" si="41">IF(I22&lt;&gt;0,I11/I22,0)</f>
        <v>6.9986856509435327E-3</v>
      </c>
      <c r="J33" s="13">
        <f t="shared" si="41"/>
        <v>6.1722683756763571E-3</v>
      </c>
      <c r="K33" s="13">
        <f t="shared" si="41"/>
        <v>1.7226436101659586E-3</v>
      </c>
      <c r="L33" s="13">
        <f t="shared" si="41"/>
        <v>5.2644594452233365E-3</v>
      </c>
      <c r="O33" t="str">
        <f>$A$11</f>
        <v>Seattle</v>
      </c>
      <c r="P33" s="20">
        <f t="shared" si="34"/>
        <v>6.9986856509435327E-3</v>
      </c>
      <c r="Q33" s="20">
        <f t="shared" si="35"/>
        <v>6.1722683756763571E-3</v>
      </c>
      <c r="R33" s="20">
        <f t="shared" si="36"/>
        <v>-2.7819200344676612E-2</v>
      </c>
      <c r="S33" s="20">
        <f t="shared" si="37"/>
        <v>-3.6242981831944333E-3</v>
      </c>
    </row>
    <row r="34" spans="1:19" x14ac:dyDescent="0.25">
      <c r="A34" t="str">
        <f>$A$12</f>
        <v>Seattle Downtown</v>
      </c>
      <c r="B34" s="13">
        <f t="shared" ref="B34:E35" si="42">IF(B23&lt;&gt;0,B12/B23,0)</f>
        <v>0</v>
      </c>
      <c r="C34" s="13">
        <f t="shared" si="42"/>
        <v>0</v>
      </c>
      <c r="D34" s="13">
        <f t="shared" si="42"/>
        <v>5.9704022743871845E-3</v>
      </c>
      <c r="E34" s="13">
        <f t="shared" si="42"/>
        <v>4.4027209155424133E-3</v>
      </c>
      <c r="H34" t="str">
        <f>$A$12</f>
        <v>Seattle Downtown</v>
      </c>
      <c r="I34" s="13">
        <f t="shared" ref="I34:L35" si="43">IF(I23&lt;&gt;0,I12/I23,0)</f>
        <v>1.2661030154186176E-2</v>
      </c>
      <c r="J34" s="13">
        <f t="shared" si="43"/>
        <v>6.0283157593458998E-3</v>
      </c>
      <c r="K34" s="13">
        <f t="shared" si="43"/>
        <v>2.9837902031313668E-3</v>
      </c>
      <c r="L34" s="13">
        <f t="shared" si="43"/>
        <v>5.9069435824582513E-3</v>
      </c>
      <c r="O34" t="str">
        <f>$A$12</f>
        <v>Seattle Downtown</v>
      </c>
      <c r="P34" s="20">
        <f t="shared" si="30"/>
        <v>1.2661030154186176E-2</v>
      </c>
      <c r="Q34" s="20">
        <f t="shared" si="30"/>
        <v>6.0283157593458998E-3</v>
      </c>
      <c r="R34" s="20">
        <f t="shared" si="30"/>
        <v>-2.9866120712558177E-3</v>
      </c>
      <c r="S34" s="20">
        <f t="shared" si="30"/>
        <v>1.504222666915838E-3</v>
      </c>
    </row>
    <row r="35" spans="1:19" x14ac:dyDescent="0.25">
      <c r="A35" t="str">
        <f>$A$13</f>
        <v>Rest</v>
      </c>
      <c r="B35" s="13">
        <f t="shared" si="42"/>
        <v>6.4077838566001695E-3</v>
      </c>
      <c r="C35" s="13">
        <f t="shared" si="42"/>
        <v>0</v>
      </c>
      <c r="D35" s="13">
        <f t="shared" si="42"/>
        <v>0</v>
      </c>
      <c r="E35" s="13">
        <f t="shared" si="42"/>
        <v>4.7460473240752941E-3</v>
      </c>
      <c r="H35" t="str">
        <f>$A$13</f>
        <v>Rest</v>
      </c>
      <c r="I35" s="13">
        <f t="shared" si="43"/>
        <v>7.3170547015346643E-2</v>
      </c>
      <c r="J35" s="13">
        <f t="shared" si="43"/>
        <v>8.4255556093102146E-2</v>
      </c>
      <c r="K35" s="13">
        <f t="shared" si="43"/>
        <v>9.411210403768773E-2</v>
      </c>
      <c r="L35" s="13">
        <f t="shared" si="43"/>
        <v>7.8358560746965247E-2</v>
      </c>
      <c r="O35" t="str">
        <f>$A$13</f>
        <v>Rest</v>
      </c>
      <c r="P35" s="20">
        <f t="shared" si="30"/>
        <v>6.6762763158746477E-2</v>
      </c>
      <c r="Q35" s="20">
        <f t="shared" si="30"/>
        <v>8.4255556093102146E-2</v>
      </c>
      <c r="R35" s="20">
        <f t="shared" si="30"/>
        <v>9.411210403768773E-2</v>
      </c>
      <c r="S35" s="20">
        <f t="shared" si="30"/>
        <v>7.361251342288995E-2</v>
      </c>
    </row>
    <row r="36" spans="1:19" ht="15.75" thickBot="1" x14ac:dyDescent="0.3">
      <c r="A36" s="10" t="s">
        <v>3</v>
      </c>
      <c r="B36" s="14">
        <f>IF(B25&lt;&gt;0,B14/B25,0)</f>
        <v>4.7361280730721482E-3</v>
      </c>
      <c r="C36" s="14">
        <f t="shared" ref="C36:E36" si="44">IF(C25&lt;&gt;0,C14/C25,0)</f>
        <v>0</v>
      </c>
      <c r="D36" s="14">
        <f t="shared" si="44"/>
        <v>9.0723148239316345E-3</v>
      </c>
      <c r="E36" s="14">
        <f t="shared" si="44"/>
        <v>4.8942389571341519E-3</v>
      </c>
      <c r="H36" s="10" t="s">
        <v>3</v>
      </c>
      <c r="I36" s="14">
        <f>IF(I25&lt;&gt;0,I14/I25,0)</f>
        <v>5.7360576846034808E-2</v>
      </c>
      <c r="J36" s="14">
        <f t="shared" ref="J36:L36" si="45">IF(J25&lt;&gt;0,J14/J25,0)</f>
        <v>6.654716861134817E-2</v>
      </c>
      <c r="K36" s="14">
        <f t="shared" si="45"/>
        <v>6.2020883613425989E-2</v>
      </c>
      <c r="L36" s="14">
        <f t="shared" si="45"/>
        <v>5.9641969128949347E-2</v>
      </c>
      <c r="O36" s="10" t="s">
        <v>3</v>
      </c>
      <c r="P36" s="37">
        <f t="shared" si="30"/>
        <v>5.2624448772962656E-2</v>
      </c>
      <c r="Q36" s="37">
        <f t="shared" ref="Q36" si="46">J36-C36</f>
        <v>6.654716861134817E-2</v>
      </c>
      <c r="R36" s="37">
        <f t="shared" ref="R36" si="47">K36-D36</f>
        <v>5.2948568789494353E-2</v>
      </c>
      <c r="S36" s="37">
        <f t="shared" ref="S36" si="48">L36-E36</f>
        <v>5.4747730171815195E-2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width="27.42578125" bestFit="1" customWidth="1" collapsed="1"/>
  </cols>
  <sheetData>
    <row r="1" spans="1:2" x14ac:dyDescent="0.25">
      <c r="A1" s="9" t="s">
        <v>44</v>
      </c>
    </row>
    <row r="3" spans="1:2" x14ac:dyDescent="0.25">
      <c r="A3" s="9"/>
    </row>
    <row r="12" spans="1:2" x14ac:dyDescent="0.25">
      <c r="A12" s="9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9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9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9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43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44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45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43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43">
        <v>-4533.6591421499998</v>
      </c>
      <c r="D72" s="43">
        <v>-7099.1720403199997</v>
      </c>
      <c r="E72" s="43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U62"/>
  <sheetViews>
    <sheetView workbookViewId="0">
      <selection activeCell="H13" sqref="H13"/>
    </sheetView>
  </sheetViews>
  <sheetFormatPr defaultRowHeight="15" x14ac:dyDescent="0.25"/>
  <cols>
    <col min="1" max="1" width="12.7109375" bestFit="1" customWidth="1" collapsed="1"/>
    <col min="2" max="3" width="11.5703125" bestFit="1" customWidth="1" collapsed="1"/>
    <col min="5" max="5" width="11.85546875" bestFit="1" customWidth="1" collapsed="1"/>
    <col min="6" max="6" width="7.7109375" customWidth="1" collapsed="1"/>
    <col min="7" max="7" width="7.140625" bestFit="1" customWidth="1" collapsed="1"/>
    <col min="8" max="8" width="17.5703125" bestFit="1" customWidth="1" collapsed="1"/>
    <col min="9" max="9" width="11" bestFit="1" customWidth="1" collapsed="1"/>
    <col min="11" max="11" width="8.42578125" customWidth="1" collapsed="1"/>
    <col min="12" max="13" width="17.5703125" bestFit="1" customWidth="1" collapsed="1"/>
    <col min="19" max="19" width="11.7109375" bestFit="1" customWidth="1" collapsed="1"/>
    <col min="20" max="21" width="17.5703125" bestFit="1" customWidth="1" collapsed="1"/>
  </cols>
  <sheetData>
    <row r="1" spans="1:21" x14ac:dyDescent="0.25">
      <c r="K1" s="44" t="s">
        <v>201</v>
      </c>
      <c r="R1" s="44" t="s">
        <v>235</v>
      </c>
    </row>
    <row r="2" spans="1:21" x14ac:dyDescent="0.25">
      <c r="B2" s="9"/>
      <c r="F2" s="9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47">
        <f>SchoolLocationCoefficient!E11</f>
        <v>1</v>
      </c>
      <c r="U3" s="48">
        <f>T3</f>
        <v>1</v>
      </c>
    </row>
    <row r="4" spans="1:21" x14ac:dyDescent="0.25">
      <c r="D4" s="46"/>
      <c r="E4" s="46"/>
      <c r="F4" s="46"/>
      <c r="G4" s="46"/>
      <c r="H4" s="46"/>
      <c r="I4" s="46"/>
      <c r="L4" t="s">
        <v>236</v>
      </c>
      <c r="R4">
        <v>2</v>
      </c>
      <c r="S4" t="s">
        <v>73</v>
      </c>
      <c r="T4" s="47">
        <f>SchoolLocationCoefficient!E12</f>
        <v>1</v>
      </c>
      <c r="U4" s="48">
        <f t="shared" ref="U4:U62" si="0">T4</f>
        <v>1</v>
      </c>
    </row>
    <row r="5" spans="1:21" x14ac:dyDescent="0.25">
      <c r="F5" s="7"/>
      <c r="G5" s="7"/>
      <c r="H5" s="62" t="s">
        <v>245</v>
      </c>
      <c r="I5" s="7"/>
      <c r="R5">
        <v>3</v>
      </c>
      <c r="S5" t="s">
        <v>74</v>
      </c>
      <c r="T5" s="47">
        <f>SchoolLocationCoefficient!E13</f>
        <v>1</v>
      </c>
      <c r="U5" s="48">
        <f t="shared" si="0"/>
        <v>1</v>
      </c>
    </row>
    <row r="6" spans="1:21" ht="15.75" thickBot="1" x14ac:dyDescent="0.3">
      <c r="A6" s="44" t="s">
        <v>222</v>
      </c>
      <c r="E6" s="44" t="s">
        <v>240</v>
      </c>
      <c r="F6" s="7"/>
      <c r="G6" s="7"/>
      <c r="H6" s="62" t="s">
        <v>246</v>
      </c>
      <c r="I6" s="7"/>
      <c r="R6">
        <v>4</v>
      </c>
      <c r="S6" t="s">
        <v>75</v>
      </c>
      <c r="T6" s="47">
        <f>SchoolLocationCoefficient!E14</f>
        <v>0.5</v>
      </c>
      <c r="U6" s="48">
        <f t="shared" si="0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47">
        <f>SchoolLocationCoefficient!E15</f>
        <v>0.1</v>
      </c>
      <c r="U7" s="48">
        <f t="shared" si="0"/>
        <v>0.1</v>
      </c>
    </row>
    <row r="8" spans="1:21" x14ac:dyDescent="0.25">
      <c r="A8" s="17" t="s">
        <v>224</v>
      </c>
      <c r="B8" s="65">
        <f>TLFD!B11</f>
        <v>20622.883600000001</v>
      </c>
      <c r="C8" s="65">
        <f>TLFD!H11</f>
        <v>123954.79206395964</v>
      </c>
      <c r="E8" s="17" t="s">
        <v>224</v>
      </c>
      <c r="F8" s="55">
        <f>B8/B$11</f>
        <v>4.0140947791351966E-2</v>
      </c>
      <c r="G8" s="55">
        <f>C8/C$11</f>
        <v>0.22680976593137175</v>
      </c>
      <c r="H8">
        <v>1</v>
      </c>
      <c r="I8">
        <v>10</v>
      </c>
      <c r="J8" s="7">
        <f>F8/G8</f>
        <v>0.17698068522983196</v>
      </c>
      <c r="K8" s="7">
        <f>(LN(J8)-LN(J8))*H8</f>
        <v>0</v>
      </c>
      <c r="L8" s="47">
        <f>T12</f>
        <v>-15.3921330935</v>
      </c>
      <c r="M8" s="47">
        <f>L8+K8</f>
        <v>-15.3921330935</v>
      </c>
      <c r="R8">
        <v>6</v>
      </c>
      <c r="S8" t="s">
        <v>77</v>
      </c>
      <c r="T8" s="47">
        <f>SchoolLocationCoefficient!E16</f>
        <v>1</v>
      </c>
      <c r="U8" s="48">
        <f t="shared" si="0"/>
        <v>1</v>
      </c>
    </row>
    <row r="9" spans="1:21" x14ac:dyDescent="0.25">
      <c r="A9" s="17" t="s">
        <v>226</v>
      </c>
      <c r="B9" s="65">
        <f>SUM(TLFD!B12:B15)</f>
        <v>222281.21739999999</v>
      </c>
      <c r="C9" s="65">
        <f>SUM(TLFD!H12:H15)</f>
        <v>260733.35609850512</v>
      </c>
      <c r="E9" s="17" t="s">
        <v>226</v>
      </c>
      <c r="F9" s="55">
        <f t="shared" ref="F9:F10" si="1">B9/B$11</f>
        <v>0.43265427452888089</v>
      </c>
      <c r="G9" s="55">
        <f t="shared" ref="G9:G10" si="2">C9/C$11</f>
        <v>0.47708418918317264</v>
      </c>
      <c r="H9">
        <v>0.1</v>
      </c>
      <c r="I9">
        <v>11</v>
      </c>
      <c r="J9" s="7">
        <f t="shared" ref="J9:J10" si="3">F9/G9</f>
        <v>0.90687196167544082</v>
      </c>
      <c r="K9" s="7">
        <f>(LN(J9)-LN(J8))*H9</f>
        <v>0.16339606696852293</v>
      </c>
      <c r="L9" s="47">
        <f t="shared" ref="L9:L10" si="4">T13</f>
        <v>-9.7518039976427993</v>
      </c>
      <c r="M9" s="47">
        <f t="shared" ref="M9:M10" si="5">L9+K9</f>
        <v>-9.5884079306742755</v>
      </c>
      <c r="R9">
        <v>7</v>
      </c>
      <c r="S9" t="s">
        <v>78</v>
      </c>
      <c r="T9" s="47">
        <f>SchoolLocationCoefficient!E17</f>
        <v>-21.977719252</v>
      </c>
      <c r="U9" s="48">
        <f t="shared" si="0"/>
        <v>-21.977719252</v>
      </c>
    </row>
    <row r="10" spans="1:21" x14ac:dyDescent="0.25">
      <c r="A10" s="18" t="s">
        <v>227</v>
      </c>
      <c r="B10" s="68">
        <f>SUM(TLFD!B16:B101)</f>
        <v>270857.64939999999</v>
      </c>
      <c r="C10" s="68">
        <f>SUM(TLFD!H16:H101)</f>
        <v>161826.2029941162</v>
      </c>
      <c r="E10" s="18" t="s">
        <v>227</v>
      </c>
      <c r="F10" s="58">
        <f t="shared" si="1"/>
        <v>0.52720477767976703</v>
      </c>
      <c r="G10" s="58">
        <f t="shared" si="2"/>
        <v>0.29610604488545561</v>
      </c>
      <c r="H10">
        <v>0.1</v>
      </c>
      <c r="I10" s="6">
        <v>12</v>
      </c>
      <c r="J10" s="15">
        <f t="shared" si="3"/>
        <v>1.7804593549709824</v>
      </c>
      <c r="K10" s="15">
        <f>(LN(J10)-LN(J9)-LN(J8))*H10</f>
        <v>0.24063400766321752</v>
      </c>
      <c r="L10" s="57">
        <f t="shared" si="4"/>
        <v>-1.0599160072038001</v>
      </c>
      <c r="M10" s="57">
        <f t="shared" si="5"/>
        <v>-0.81928199954058256</v>
      </c>
      <c r="R10">
        <v>8</v>
      </c>
      <c r="S10" t="s">
        <v>79</v>
      </c>
      <c r="T10" s="47">
        <f>SchoolLocationCoefficient!E18</f>
        <v>-1.4857940511400001</v>
      </c>
      <c r="U10" s="48">
        <f t="shared" si="0"/>
        <v>-1.4857940511400001</v>
      </c>
    </row>
    <row r="11" spans="1:21" ht="15.75" thickBot="1" x14ac:dyDescent="0.3">
      <c r="A11" s="42" t="s">
        <v>3</v>
      </c>
      <c r="B11" s="64">
        <f>SUM(B8:B10)</f>
        <v>513761.75040000002</v>
      </c>
      <c r="C11" s="64">
        <f>SUM(C8:C10)</f>
        <v>546514.35115658096</v>
      </c>
      <c r="D11" s="46"/>
      <c r="E11" s="42" t="s">
        <v>3</v>
      </c>
      <c r="F11" s="56">
        <f>SUM(F8:F10)</f>
        <v>0.99999999999999989</v>
      </c>
      <c r="G11" s="56">
        <f>SUM(G8:G10)</f>
        <v>1</v>
      </c>
      <c r="R11">
        <v>9</v>
      </c>
      <c r="S11" t="s">
        <v>80</v>
      </c>
      <c r="T11" s="47">
        <f>SchoolLocationCoefficient!E19</f>
        <v>-4.85028348146</v>
      </c>
      <c r="U11" s="48">
        <f t="shared" si="0"/>
        <v>-4.85028348146</v>
      </c>
    </row>
    <row r="12" spans="1:21" x14ac:dyDescent="0.25">
      <c r="A12" s="17"/>
      <c r="B12" s="11"/>
      <c r="C12" s="11"/>
      <c r="R12" s="49">
        <v>10</v>
      </c>
      <c r="S12" s="49" t="s">
        <v>81</v>
      </c>
      <c r="T12" s="47">
        <f>SchoolLocationCoefficient!E20</f>
        <v>-15.3921330935</v>
      </c>
      <c r="U12" s="48">
        <f>M8</f>
        <v>-15.3921330935</v>
      </c>
    </row>
    <row r="13" spans="1:21" x14ac:dyDescent="0.25">
      <c r="A13" s="17"/>
      <c r="B13" s="11"/>
      <c r="C13" s="11"/>
      <c r="R13" s="49">
        <v>11</v>
      </c>
      <c r="S13" s="49" t="s">
        <v>82</v>
      </c>
      <c r="T13" s="47">
        <f>SchoolLocationCoefficient!E21</f>
        <v>-9.7518039976427993</v>
      </c>
      <c r="U13" s="48">
        <f t="shared" ref="U13:U14" si="6">M9</f>
        <v>-9.5884079306742755</v>
      </c>
    </row>
    <row r="14" spans="1:21" x14ac:dyDescent="0.25">
      <c r="A14" s="51" t="s">
        <v>238</v>
      </c>
      <c r="R14" s="49">
        <v>12</v>
      </c>
      <c r="S14" s="49" t="s">
        <v>83</v>
      </c>
      <c r="T14" s="47">
        <f>SchoolLocationCoefficient!E22</f>
        <v>-1.0599160072038001</v>
      </c>
      <c r="U14" s="48">
        <f t="shared" si="6"/>
        <v>-0.81928199954058256</v>
      </c>
    </row>
    <row r="15" spans="1:21" ht="15.75" thickBot="1" x14ac:dyDescent="0.3">
      <c r="R15">
        <v>13</v>
      </c>
      <c r="S15" t="s">
        <v>84</v>
      </c>
      <c r="T15" s="47">
        <f>SchoolLocationCoefficient!E23</f>
        <v>-6.5192578502799998</v>
      </c>
      <c r="U15" s="48">
        <f t="shared" si="0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46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47">
        <f>SchoolLocationCoefficient!E24</f>
        <v>-3.04866060786</v>
      </c>
      <c r="U16" s="48">
        <f t="shared" si="0"/>
        <v>-3.04866060786</v>
      </c>
    </row>
    <row r="17" spans="1:21" x14ac:dyDescent="0.25">
      <c r="A17" s="52" t="s">
        <v>225</v>
      </c>
      <c r="B17" s="63">
        <f>SchoolAtHome!E14</f>
        <v>3454.8159000000001</v>
      </c>
      <c r="C17" s="63">
        <f>SchoolAtHome!L14</f>
        <v>49435.56292843449</v>
      </c>
      <c r="E17" s="52" t="s">
        <v>225</v>
      </c>
      <c r="F17" s="59">
        <f>B17/B18</f>
        <v>4.8942389571341519E-3</v>
      </c>
      <c r="G17" s="59">
        <f>C17/C18</f>
        <v>5.9641969128949347E-2</v>
      </c>
      <c r="I17" s="53">
        <v>50</v>
      </c>
      <c r="J17" s="54">
        <f>F17/G17</f>
        <v>8.2060318071533273E-2</v>
      </c>
      <c r="K17" s="54">
        <f>LN(J17)</f>
        <v>-2.5003007158906314</v>
      </c>
      <c r="L17" s="61">
        <f>T33</f>
        <v>-52.496387392000003</v>
      </c>
      <c r="M17" s="60">
        <f t="shared" ref="M17" si="7">L17+K17</f>
        <v>-54.996688107890634</v>
      </c>
      <c r="R17">
        <v>15</v>
      </c>
      <c r="S17" t="s">
        <v>86</v>
      </c>
      <c r="T17" s="47">
        <f>SchoolLocationCoefficient!E25</f>
        <v>0</v>
      </c>
      <c r="U17" s="48">
        <f t="shared" si="0"/>
        <v>0</v>
      </c>
    </row>
    <row r="18" spans="1:21" ht="15.75" thickBot="1" x14ac:dyDescent="0.3">
      <c r="A18" s="10" t="s">
        <v>3</v>
      </c>
      <c r="B18" s="64">
        <f>SchoolAtHome!E25</f>
        <v>705894.4057</v>
      </c>
      <c r="C18" s="64">
        <f>SchoolAtHome!L25</f>
        <v>828872.07867922634</v>
      </c>
      <c r="E18" s="10" t="s">
        <v>3</v>
      </c>
      <c r="F18" s="56">
        <f>B18/B18</f>
        <v>1</v>
      </c>
      <c r="G18" s="56">
        <f>C18/C18</f>
        <v>1</v>
      </c>
      <c r="R18">
        <v>16</v>
      </c>
      <c r="S18" t="s">
        <v>87</v>
      </c>
      <c r="T18" s="47">
        <f>SchoolLocationCoefficient!E26</f>
        <v>-2.2084934246199999</v>
      </c>
      <c r="U18" s="48">
        <f t="shared" si="0"/>
        <v>-2.2084934246199999</v>
      </c>
    </row>
    <row r="19" spans="1:21" x14ac:dyDescent="0.25">
      <c r="R19">
        <v>17</v>
      </c>
      <c r="S19" t="s">
        <v>88</v>
      </c>
      <c r="T19" s="47">
        <f>SchoolLocationCoefficient!E27</f>
        <v>0</v>
      </c>
      <c r="U19" s="48">
        <f t="shared" si="0"/>
        <v>0</v>
      </c>
    </row>
    <row r="20" spans="1:21" x14ac:dyDescent="0.25">
      <c r="R20">
        <v>18</v>
      </c>
      <c r="S20" t="s">
        <v>89</v>
      </c>
      <c r="T20" s="47">
        <f>SchoolLocationCoefficient!E28</f>
        <v>0</v>
      </c>
      <c r="U20" s="48">
        <f t="shared" si="0"/>
        <v>0</v>
      </c>
    </row>
    <row r="21" spans="1:21" x14ac:dyDescent="0.25">
      <c r="R21">
        <v>19</v>
      </c>
      <c r="S21" t="s">
        <v>90</v>
      </c>
      <c r="T21" s="47">
        <f>SchoolLocationCoefficient!E29</f>
        <v>0</v>
      </c>
      <c r="U21" s="48">
        <f t="shared" si="0"/>
        <v>0</v>
      </c>
    </row>
    <row r="22" spans="1:21" x14ac:dyDescent="0.25">
      <c r="R22">
        <v>20</v>
      </c>
      <c r="S22" t="s">
        <v>91</v>
      </c>
      <c r="T22" s="47">
        <f>SchoolLocationCoefficient!E30</f>
        <v>0</v>
      </c>
      <c r="U22" s="48">
        <f t="shared" si="0"/>
        <v>0</v>
      </c>
    </row>
    <row r="23" spans="1:21" x14ac:dyDescent="0.25">
      <c r="R23">
        <v>21</v>
      </c>
      <c r="S23" t="s">
        <v>92</v>
      </c>
      <c r="T23" s="47">
        <f>SchoolLocationCoefficient!E31</f>
        <v>0</v>
      </c>
      <c r="U23" s="48">
        <f t="shared" si="0"/>
        <v>0</v>
      </c>
    </row>
    <row r="24" spans="1:21" x14ac:dyDescent="0.25">
      <c r="R24">
        <v>30</v>
      </c>
      <c r="S24" t="s">
        <v>93</v>
      </c>
      <c r="T24" s="47">
        <f>SchoolLocationCoefficient!E32</f>
        <v>0</v>
      </c>
      <c r="U24" s="48">
        <f t="shared" si="0"/>
        <v>0</v>
      </c>
    </row>
    <row r="25" spans="1:21" x14ac:dyDescent="0.25">
      <c r="R25">
        <v>31</v>
      </c>
      <c r="S25" t="s">
        <v>94</v>
      </c>
      <c r="T25" s="47">
        <f>SchoolLocationCoefficient!E33</f>
        <v>0</v>
      </c>
      <c r="U25" s="48">
        <f t="shared" si="0"/>
        <v>0</v>
      </c>
    </row>
    <row r="26" spans="1:21" x14ac:dyDescent="0.25">
      <c r="R26">
        <v>32</v>
      </c>
      <c r="S26" t="s">
        <v>95</v>
      </c>
      <c r="T26" s="47">
        <f>SchoolLocationCoefficient!E34</f>
        <v>0</v>
      </c>
      <c r="U26" s="48">
        <f t="shared" si="0"/>
        <v>0</v>
      </c>
    </row>
    <row r="27" spans="1:21" x14ac:dyDescent="0.25">
      <c r="R27">
        <v>33</v>
      </c>
      <c r="S27" t="s">
        <v>96</v>
      </c>
      <c r="T27" s="47">
        <f>SchoolLocationCoefficient!E35</f>
        <v>0.20475756801299999</v>
      </c>
      <c r="U27" s="48">
        <f t="shared" si="0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47">
        <f>SchoolLocationCoefficient!E36</f>
        <v>0.73914409694299998</v>
      </c>
      <c r="U28" s="48">
        <f t="shared" si="0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47">
        <f>SchoolLocationCoefficient!E37</f>
        <v>0.91950533972299997</v>
      </c>
      <c r="U29" s="48">
        <f t="shared" si="0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47">
        <f>SchoolLocationCoefficient!E38</f>
        <v>0</v>
      </c>
      <c r="U30" s="48">
        <f t="shared" si="0"/>
        <v>0</v>
      </c>
    </row>
    <row r="31" spans="1:21" x14ac:dyDescent="0.25">
      <c r="R31">
        <v>37</v>
      </c>
      <c r="S31" t="s">
        <v>100</v>
      </c>
      <c r="T31" s="47">
        <f>SchoolLocationCoefficient!E39</f>
        <v>0.47967991030399998</v>
      </c>
      <c r="U31" s="48">
        <f t="shared" si="0"/>
        <v>0.47967991030399998</v>
      </c>
    </row>
    <row r="32" spans="1:21" x14ac:dyDescent="0.25">
      <c r="R32">
        <v>38</v>
      </c>
      <c r="S32" t="s">
        <v>101</v>
      </c>
      <c r="T32" s="47">
        <f>SchoolLocationCoefficient!E40</f>
        <v>-0.117361085083</v>
      </c>
      <c r="U32" s="48">
        <f t="shared" si="0"/>
        <v>-0.117361085083</v>
      </c>
    </row>
    <row r="33" spans="18:21" x14ac:dyDescent="0.25">
      <c r="R33" s="49">
        <v>50</v>
      </c>
      <c r="S33" s="49" t="s">
        <v>102</v>
      </c>
      <c r="T33" s="47">
        <f>SchoolLocationCoefficient!E41</f>
        <v>-52.496387392000003</v>
      </c>
      <c r="U33" s="50">
        <f>M17</f>
        <v>-54.996688107890634</v>
      </c>
    </row>
    <row r="34" spans="18:21" x14ac:dyDescent="0.25">
      <c r="R34">
        <v>51</v>
      </c>
      <c r="S34" t="s">
        <v>104</v>
      </c>
      <c r="T34" s="47">
        <f>SchoolLocationCoefficient!E42</f>
        <v>17.602734273900001</v>
      </c>
      <c r="U34" s="48">
        <f t="shared" si="0"/>
        <v>17.602734273900001</v>
      </c>
    </row>
    <row r="35" spans="18:21" x14ac:dyDescent="0.25">
      <c r="R35">
        <v>52</v>
      </c>
      <c r="S35" t="s">
        <v>105</v>
      </c>
      <c r="T35" s="47">
        <f>SchoolLocationCoefficient!E43</f>
        <v>4.20952630757</v>
      </c>
      <c r="U35" s="48">
        <f t="shared" si="0"/>
        <v>4.20952630757</v>
      </c>
    </row>
    <row r="36" spans="18:21" x14ac:dyDescent="0.25">
      <c r="R36">
        <v>60</v>
      </c>
      <c r="S36" t="s">
        <v>106</v>
      </c>
      <c r="T36" s="47">
        <f>SchoolLocationCoefficient!E44</f>
        <v>0.20359321296800001</v>
      </c>
      <c r="U36" s="48">
        <f t="shared" si="0"/>
        <v>0.20359321296800001</v>
      </c>
    </row>
    <row r="37" spans="18:21" x14ac:dyDescent="0.25">
      <c r="R37">
        <v>61</v>
      </c>
      <c r="S37" t="s">
        <v>107</v>
      </c>
      <c r="T37" s="47">
        <f>SchoolLocationCoefficient!E45</f>
        <v>-3.7139025588600001</v>
      </c>
      <c r="U37" s="48">
        <f t="shared" si="0"/>
        <v>-3.7139025588600001</v>
      </c>
    </row>
    <row r="38" spans="18:21" x14ac:dyDescent="0.25">
      <c r="R38">
        <v>62</v>
      </c>
      <c r="S38" t="s">
        <v>108</v>
      </c>
      <c r="T38" s="47">
        <f>SchoolLocationCoefficient!E46</f>
        <v>-14.9292134206</v>
      </c>
      <c r="U38" s="48">
        <f t="shared" si="0"/>
        <v>-14.9292134206</v>
      </c>
    </row>
    <row r="39" spans="18:21" x14ac:dyDescent="0.25">
      <c r="R39">
        <v>63</v>
      </c>
      <c r="S39" t="s">
        <v>109</v>
      </c>
      <c r="T39" s="47">
        <f>SchoolLocationCoefficient!E47</f>
        <v>-18.363643827400001</v>
      </c>
      <c r="U39" s="48">
        <f t="shared" si="0"/>
        <v>-18.363643827400001</v>
      </c>
    </row>
    <row r="40" spans="18:21" x14ac:dyDescent="0.25">
      <c r="R40">
        <v>64</v>
      </c>
      <c r="S40" t="s">
        <v>110</v>
      </c>
      <c r="T40" s="47">
        <f>SchoolLocationCoefficient!E48</f>
        <v>-19.6107408341</v>
      </c>
      <c r="U40" s="48">
        <f t="shared" si="0"/>
        <v>-19.6107408341</v>
      </c>
    </row>
    <row r="41" spans="18:21" x14ac:dyDescent="0.25">
      <c r="R41">
        <v>65</v>
      </c>
      <c r="S41" t="s">
        <v>111</v>
      </c>
      <c r="T41" s="47">
        <f>SchoolLocationCoefficient!E49</f>
        <v>-29.386377866</v>
      </c>
      <c r="U41" s="48">
        <f t="shared" si="0"/>
        <v>-29.386377866</v>
      </c>
    </row>
    <row r="42" spans="18:21" x14ac:dyDescent="0.25">
      <c r="R42">
        <v>66</v>
      </c>
      <c r="S42" t="s">
        <v>112</v>
      </c>
      <c r="T42" s="47">
        <f>SchoolLocationCoefficient!E50</f>
        <v>0</v>
      </c>
      <c r="U42" s="48">
        <f t="shared" si="0"/>
        <v>0</v>
      </c>
    </row>
    <row r="43" spans="18:21" x14ac:dyDescent="0.25">
      <c r="R43">
        <v>67</v>
      </c>
      <c r="S43" t="s">
        <v>113</v>
      </c>
      <c r="T43" s="47">
        <f>SchoolLocationCoefficient!E51</f>
        <v>-6.7290240321499999</v>
      </c>
      <c r="U43" s="48">
        <f t="shared" si="0"/>
        <v>-6.7290240321499999</v>
      </c>
    </row>
    <row r="44" spans="18:21" x14ac:dyDescent="0.25">
      <c r="R44">
        <v>68</v>
      </c>
      <c r="S44" t="s">
        <v>114</v>
      </c>
      <c r="T44" s="47">
        <f>SchoolLocationCoefficient!E52</f>
        <v>-26.1597322567</v>
      </c>
      <c r="U44" s="48">
        <f t="shared" si="0"/>
        <v>-26.1597322567</v>
      </c>
    </row>
    <row r="45" spans="18:21" x14ac:dyDescent="0.25">
      <c r="R45">
        <v>69</v>
      </c>
      <c r="S45" t="s">
        <v>115</v>
      </c>
      <c r="T45" s="47">
        <f>SchoolLocationCoefficient!E53</f>
        <v>-0.14966845132199999</v>
      </c>
      <c r="U45" s="48">
        <f t="shared" si="0"/>
        <v>-0.14966845132199999</v>
      </c>
    </row>
    <row r="46" spans="18:21" x14ac:dyDescent="0.25">
      <c r="R46">
        <v>70</v>
      </c>
      <c r="S46" t="s">
        <v>116</v>
      </c>
      <c r="T46" s="47">
        <f>SchoolLocationCoefficient!E54</f>
        <v>-28.815960729</v>
      </c>
      <c r="U46" s="48">
        <f t="shared" si="0"/>
        <v>-28.815960729</v>
      </c>
    </row>
    <row r="47" spans="18:21" x14ac:dyDescent="0.25">
      <c r="R47">
        <v>71</v>
      </c>
      <c r="S47" t="s">
        <v>117</v>
      </c>
      <c r="T47" s="47">
        <f>SchoolLocationCoefficient!E55</f>
        <v>-38.204969650199999</v>
      </c>
      <c r="U47" s="48">
        <f t="shared" si="0"/>
        <v>-38.204969650199999</v>
      </c>
    </row>
    <row r="48" spans="18:21" x14ac:dyDescent="0.25">
      <c r="R48">
        <v>72</v>
      </c>
      <c r="S48" t="s">
        <v>118</v>
      </c>
      <c r="T48" s="47">
        <f>SchoolLocationCoefficient!E56</f>
        <v>0</v>
      </c>
      <c r="U48" s="48">
        <f t="shared" si="0"/>
        <v>0</v>
      </c>
    </row>
    <row r="49" spans="18:21" x14ac:dyDescent="0.25">
      <c r="R49">
        <v>73</v>
      </c>
      <c r="S49" t="s">
        <v>119</v>
      </c>
      <c r="T49" s="47">
        <f>SchoolLocationCoefficient!E57</f>
        <v>-0.78460574570499997</v>
      </c>
      <c r="U49" s="48">
        <f t="shared" si="0"/>
        <v>-0.78460574570499997</v>
      </c>
    </row>
    <row r="50" spans="18:21" x14ac:dyDescent="0.25">
      <c r="R50">
        <v>74</v>
      </c>
      <c r="S50" t="s">
        <v>120</v>
      </c>
      <c r="T50" s="47">
        <f>SchoolLocationCoefficient!E58</f>
        <v>-60</v>
      </c>
      <c r="U50" s="48">
        <f t="shared" si="0"/>
        <v>-60</v>
      </c>
    </row>
    <row r="51" spans="18:21" x14ac:dyDescent="0.25">
      <c r="R51">
        <v>75</v>
      </c>
      <c r="S51" t="s">
        <v>121</v>
      </c>
      <c r="T51" s="47">
        <f>SchoolLocationCoefficient!E59</f>
        <v>-40</v>
      </c>
      <c r="U51" s="48">
        <f t="shared" si="0"/>
        <v>-40</v>
      </c>
    </row>
    <row r="52" spans="18:21" x14ac:dyDescent="0.25">
      <c r="R52">
        <v>76</v>
      </c>
      <c r="S52" t="s">
        <v>122</v>
      </c>
      <c r="T52" s="47">
        <f>SchoolLocationCoefficient!E60</f>
        <v>-19.3366724551</v>
      </c>
      <c r="U52" s="48">
        <f t="shared" si="0"/>
        <v>-19.3366724551</v>
      </c>
    </row>
    <row r="53" spans="18:21" x14ac:dyDescent="0.25">
      <c r="R53">
        <v>77</v>
      </c>
      <c r="S53" t="s">
        <v>123</v>
      </c>
      <c r="T53" s="47">
        <f>SchoolLocationCoefficient!E61</f>
        <v>-29.8899113495</v>
      </c>
      <c r="U53" s="48">
        <f t="shared" si="0"/>
        <v>-29.8899113495</v>
      </c>
    </row>
    <row r="54" spans="18:21" x14ac:dyDescent="0.25">
      <c r="R54">
        <v>78</v>
      </c>
      <c r="S54" t="s">
        <v>124</v>
      </c>
      <c r="T54" s="47">
        <f>SchoolLocationCoefficient!E62</f>
        <v>0</v>
      </c>
      <c r="U54" s="48">
        <f t="shared" si="0"/>
        <v>0</v>
      </c>
    </row>
    <row r="55" spans="18:21" x14ac:dyDescent="0.25">
      <c r="R55">
        <v>79</v>
      </c>
      <c r="S55" t="s">
        <v>125</v>
      </c>
      <c r="T55" s="47">
        <f>SchoolLocationCoefficient!E63</f>
        <v>-4.6085602533700003</v>
      </c>
      <c r="U55" s="48">
        <f t="shared" si="0"/>
        <v>-4.6085602533700003</v>
      </c>
    </row>
    <row r="56" spans="18:21" x14ac:dyDescent="0.25">
      <c r="R56">
        <v>80</v>
      </c>
      <c r="S56" t="s">
        <v>126</v>
      </c>
      <c r="T56" s="47">
        <f>SchoolLocationCoefficient!E64</f>
        <v>-20</v>
      </c>
      <c r="U56" s="48">
        <f t="shared" si="0"/>
        <v>-20</v>
      </c>
    </row>
    <row r="57" spans="18:21" x14ac:dyDescent="0.25">
      <c r="R57">
        <v>81</v>
      </c>
      <c r="S57" t="s">
        <v>127</v>
      </c>
      <c r="T57" s="47">
        <f>SchoolLocationCoefficient!E65</f>
        <v>-16.8297323695</v>
      </c>
      <c r="U57" s="48">
        <f t="shared" si="0"/>
        <v>-16.8297323695</v>
      </c>
    </row>
    <row r="58" spans="18:21" x14ac:dyDescent="0.25">
      <c r="R58">
        <v>82</v>
      </c>
      <c r="S58" t="s">
        <v>128</v>
      </c>
      <c r="T58" s="47">
        <f>SchoolLocationCoefficient!E66</f>
        <v>-30</v>
      </c>
      <c r="U58" s="48">
        <f t="shared" si="0"/>
        <v>-30</v>
      </c>
    </row>
    <row r="59" spans="18:21" x14ac:dyDescent="0.25">
      <c r="R59">
        <v>83</v>
      </c>
      <c r="S59" t="s">
        <v>129</v>
      </c>
      <c r="T59" s="47">
        <f>SchoolLocationCoefficient!E67</f>
        <v>0</v>
      </c>
      <c r="U59" s="48">
        <f t="shared" si="0"/>
        <v>0</v>
      </c>
    </row>
    <row r="60" spans="18:21" x14ac:dyDescent="0.25">
      <c r="R60">
        <v>84</v>
      </c>
      <c r="S60" t="s">
        <v>130</v>
      </c>
      <c r="T60" s="47">
        <f>SchoolLocationCoefficient!E68</f>
        <v>-3.8243167264700002</v>
      </c>
      <c r="U60" s="48">
        <f t="shared" si="0"/>
        <v>-3.8243167264700002</v>
      </c>
    </row>
    <row r="61" spans="18:21" x14ac:dyDescent="0.25">
      <c r="R61">
        <v>98</v>
      </c>
      <c r="S61" t="s">
        <v>131</v>
      </c>
      <c r="T61" s="47">
        <f>SchoolLocationCoefficient!E69</f>
        <v>0</v>
      </c>
      <c r="U61" s="48">
        <f t="shared" si="0"/>
        <v>0</v>
      </c>
    </row>
    <row r="62" spans="18:21" x14ac:dyDescent="0.25">
      <c r="R62">
        <v>99</v>
      </c>
      <c r="S62" t="s">
        <v>132</v>
      </c>
      <c r="T62" s="47">
        <f>SchoolLocationCoefficient!E70</f>
        <v>0.11248071060500001</v>
      </c>
      <c r="U62" s="48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Angah, Ohay</cp:lastModifiedBy>
  <dcterms:created xsi:type="dcterms:W3CDTF">2011-01-31T15:16:09Z</dcterms:created>
  <dcterms:modified xsi:type="dcterms:W3CDTF">2025-08-28T18:05:15Z</dcterms:modified>
</cp:coreProperties>
</file>