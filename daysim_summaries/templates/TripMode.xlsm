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7" autoFilterDateGrouping="1"/>
  </bookViews>
  <sheets>
    <sheet xmlns:r="http://schemas.openxmlformats.org/officeDocument/2006/relationships" name="All Purposes" sheetId="1" state="visible" r:id="rId1"/>
    <sheet xmlns:r="http://schemas.openxmlformats.org/officeDocument/2006/relationships" name="Workbased" sheetId="2" state="visible" r:id="rId2"/>
    <sheet xmlns:r="http://schemas.openxmlformats.org/officeDocument/2006/relationships" name="Work" sheetId="3" state="visible" r:id="rId3"/>
    <sheet xmlns:r="http://schemas.openxmlformats.org/officeDocument/2006/relationships" name="School" sheetId="4" state="visible" r:id="rId4"/>
    <sheet xmlns:r="http://schemas.openxmlformats.org/officeDocument/2006/relationships" name="Escort" sheetId="5" state="visible" r:id="rId5"/>
    <sheet xmlns:r="http://schemas.openxmlformats.org/officeDocument/2006/relationships" name="Personal_Business" sheetId="6" state="visible" r:id="rId6"/>
    <sheet xmlns:r="http://schemas.openxmlformats.org/officeDocument/2006/relationships" name="Shop" sheetId="7" state="visible" r:id="rId7"/>
    <sheet xmlns:r="http://schemas.openxmlformats.org/officeDocument/2006/relationships" name="Meal" sheetId="8" state="visible" r:id="rId8"/>
    <sheet xmlns:r="http://schemas.openxmlformats.org/officeDocument/2006/relationships" name="SocRec" sheetId="9" state="visible" r:id="rId9"/>
    <sheet xmlns:r="http://schemas.openxmlformats.org/officeDocument/2006/relationships" name="Documentation" sheetId="10" state="visible" r:id="rId10"/>
  </sheets>
  <definedNames>
    <definedName name="out_1">Work!$B$5:I16</definedName>
    <definedName name="out_10">Shop!$M$5:$T$16</definedName>
    <definedName name="out_11">Meal!$B$5:I16</definedName>
    <definedName name="out_12">Meal!$M$5:$T$16</definedName>
    <definedName name="out_13">SocRec!$B$5:I16</definedName>
    <definedName name="out_14">SocRec!$M$5:$T$16</definedName>
    <definedName name="out_15">Workbased!$B$5:I16</definedName>
    <definedName name="out_16">Workbased!$M$5:$T$16</definedName>
    <definedName name="out_2">Work!$M$5:$T$16</definedName>
    <definedName name="out_3">School!$B$5:I16</definedName>
    <definedName name="out_4">School!$M$5:$T$16</definedName>
    <definedName name="out_5">Escort!$B$5:I16</definedName>
    <definedName name="out_6">Escort!$M$5:$T$16</definedName>
    <definedName name="out_7">Personal_Business!$B$5:I16</definedName>
    <definedName name="out_8">Personal_Business!$M$5:$T$16</definedName>
    <definedName name="out_9">Shop!$B$5:I16</definedName>
    <definedName name="out1">Work!$B$5:$I$16</definedName>
    <definedName name="out10">Shop!$M$5:$T$16</definedName>
    <definedName name="out11">Meal!$B$5:$I$16</definedName>
    <definedName name="out12">Meal!$M$5:$T$16</definedName>
    <definedName name="out13">SocRec!$B$5:$I$16</definedName>
    <definedName name="out14">SocRec!$M$5:$T$16</definedName>
    <definedName name="out15">Workbased!$B$5:$I$16</definedName>
    <definedName name="out16">Workbased!$M$5:$T$16</definedName>
    <definedName name="out2">Work!$M$5:$T$16</definedName>
    <definedName name="out3">School!$B$5:$I$16</definedName>
    <definedName name="out4">School!$M$5:$T$16</definedName>
    <definedName name="out5">Escort!$B$5:$I$16</definedName>
    <definedName name="out6">Escort!$M$5:$T$16</definedName>
    <definedName name="out7">Personal_Business!$B$5:$I$16</definedName>
    <definedName name="out8">Personal_Business!$M$5:$T$16</definedName>
    <definedName name="out9">Shop!$B$5:$I$16</definedName>
    <definedName name="purp1">Work!$M$5:$T$17</definedName>
    <definedName name="purp2">School!$M$5:$T$17</definedName>
    <definedName name="purp3">Escort!$M$5:$T$17</definedName>
    <definedName name="purp4">Personal_Business!$M$5:$T$17</definedName>
    <definedName name="purp5">Shop!$M$5:$T$17</definedName>
    <definedName name="purp6">Meal!$M$5:$T$17</definedName>
    <definedName name="purp7">SocRec!$M$5:$T$17</definedName>
    <definedName name="purp8">Workbased!$M$5:$T$17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mm/dd/yyyy\ hh:mm:ss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5" fillId="0" borderId="0"/>
    <xf numFmtId="0" fontId="2" fillId="0" borderId="0" applyAlignment="1">
      <alignment wrapText="1"/>
    </xf>
    <xf numFmtId="0" fontId="5" fillId="5" borderId="0" applyAlignment="1">
      <alignment wrapText="1"/>
    </xf>
    <xf numFmtId="165" fontId="5" fillId="0" borderId="0" applyAlignment="1">
      <alignment wrapText="1"/>
    </xf>
    <xf numFmtId="0" fontId="5" fillId="0" borderId="0" applyAlignment="1">
      <alignment wrapText="1"/>
    </xf>
    <xf numFmtId="0" fontId="5" fillId="0" borderId="0" applyAlignment="1">
      <alignment wrapText="1"/>
    </xf>
    <xf numFmtId="0" fontId="5" fillId="0" borderId="0" applyAlignment="1">
      <alignment wrapText="1"/>
    </xf>
    <xf numFmtId="165" fontId="5" fillId="0" borderId="0" applyAlignment="1">
      <alignment wrapText="1"/>
    </xf>
  </cellStyleXfs>
  <cellXfs count="30">
    <xf numFmtId="0" fontId="0" fillId="0" borderId="0" pivotButton="0" quotePrefix="0" xfId="0"/>
    <xf numFmtId="0" fontId="1" fillId="0" borderId="1" pivotButton="0" quotePrefix="0" xfId="0"/>
    <xf numFmtId="0" fontId="0" fillId="0" borderId="1" pivotButton="0" quotePrefix="0" xfId="0"/>
    <xf numFmtId="0" fontId="1" fillId="0" borderId="0" pivotButton="0" quotePrefix="0" xfId="0"/>
    <xf numFmtId="0" fontId="0" fillId="0" borderId="2" pivotButton="0" quotePrefix="0" xfId="0"/>
    <xf numFmtId="0" fontId="0" fillId="0" borderId="2" applyAlignment="1" pivotButton="0" quotePrefix="0" xfId="0">
      <alignment horizontal="center"/>
    </xf>
    <xf numFmtId="3" fontId="0" fillId="0" borderId="0" pivotButton="0" quotePrefix="0" xfId="0"/>
    <xf numFmtId="0" fontId="0" fillId="0" borderId="0" applyAlignment="1" pivotButton="0" quotePrefix="0" xfId="0">
      <alignment horizontal="center"/>
    </xf>
    <xf numFmtId="3" fontId="0" fillId="0" borderId="1" pivotButton="0" quotePrefix="0" xfId="0"/>
    <xf numFmtId="3" fontId="0" fillId="0" borderId="2" pivotButton="0" quotePrefix="0" xfId="0"/>
    <xf numFmtId="0" fontId="0" fillId="0" borderId="3" pivotButton="0" quotePrefix="0" xfId="0"/>
    <xf numFmtId="164" fontId="0" fillId="0" borderId="0" pivotButton="0" quotePrefix="0" xfId="0"/>
    <xf numFmtId="164" fontId="0" fillId="0" borderId="2" pivotButton="0" quotePrefix="0" xfId="0"/>
    <xf numFmtId="164" fontId="0" fillId="0" borderId="3" pivotButton="0" quotePrefix="0" xfId="0"/>
    <xf numFmtId="3" fontId="0" fillId="0" borderId="3" pivotButton="0" quotePrefix="0" xfId="0"/>
    <xf numFmtId="0" fontId="1" fillId="2" borderId="1" pivotButton="0" quotePrefix="0" xfId="0"/>
    <xf numFmtId="0" fontId="0" fillId="2" borderId="1" pivotButton="0" quotePrefix="0" xfId="0"/>
    <xf numFmtId="0" fontId="0" fillId="2" borderId="2" pivotButton="0" quotePrefix="0" xfId="0"/>
    <xf numFmtId="0" fontId="0" fillId="2" borderId="0" pivotButton="0" quotePrefix="0" xfId="0"/>
    <xf numFmtId="164" fontId="0" fillId="2" borderId="0" pivotButton="0" quotePrefix="0" xfId="0"/>
    <xf numFmtId="0" fontId="3" fillId="3" borderId="0" pivotButton="0" quotePrefix="0" xfId="0"/>
    <xf numFmtId="0" fontId="4" fillId="3" borderId="0" applyAlignment="1" pivotButton="0" quotePrefix="0" xfId="0">
      <alignment horizontal="center"/>
    </xf>
    <xf numFmtId="0" fontId="4" fillId="3" borderId="2" pivotButton="0" quotePrefix="0" xfId="0"/>
    <xf numFmtId="0" fontId="4" fillId="3" borderId="2" applyAlignment="1" pivotButton="0" quotePrefix="0" xfId="0">
      <alignment horizontal="center"/>
    </xf>
    <xf numFmtId="0" fontId="0" fillId="4" borderId="0" pivotButton="0" quotePrefix="0" xfId="0"/>
    <xf numFmtId="3" fontId="0" fillId="4" borderId="1" pivotButton="0" quotePrefix="0" xfId="0"/>
    <xf numFmtId="164" fontId="0" fillId="4" borderId="3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4" fillId="3" borderId="0" applyAlignment="1" pivotButton="0" quotePrefix="0" xfId="0">
      <alignment horizontal="center"/>
    </xf>
  </cellXfs>
  <cellStyles count="8">
    <cellStyle name="Normal" xfId="0" builtinId="0"/>
    <cellStyle name="XLConnect.General" xfId="1"/>
    <cellStyle name="XLConnect.Header" xfId="2"/>
    <cellStyle name="XLConnect.Date" xfId="3"/>
    <cellStyle name="XLConnect.String" xfId="4"/>
    <cellStyle name="XLConnect.Numeric" xfId="5"/>
    <cellStyle name="XLConnect.Boolean" xfId="6"/>
    <cellStyle name="XLConnect.DateTime" xfId="7"/>
  </cellStyles>
  <dxfs count="2">
    <dxf>
      <font>
        <b val="1"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AF53"/>
  <sheetViews>
    <sheetView topLeftCell="A6" workbookViewId="0">
      <selection activeCell="X50" sqref="X50:AF51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  <col collapsed="1" width="25" customWidth="1" style="28" min="24" max="24"/>
    <col collapsed="1" width="10.7109375" customWidth="1" style="28" min="25" max="3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Work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All Purposes Tour Mode</t>
        </is>
      </c>
      <c r="J3" s="27" t="n"/>
      <c r="L3" s="3" t="n"/>
      <c r="M3" s="27" t="inlineStr">
        <is>
          <t>All Purposes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>
        <f>SUM(Work!B5,Workbased!B5,School!B5,Escort!B5,Personal_Business!B5,Shop!B5,Meal!B5,SocRec!B5)</f>
        <v/>
      </c>
      <c r="C5" s="6">
        <f>SUM(Work!C5,Workbased!C5,School!C5,Escort!C5,Personal_Business!C5,Shop!C5,Meal!C5,SocRec!C5)</f>
        <v/>
      </c>
      <c r="D5" s="6">
        <f>SUM(Work!D5,Workbased!D5,School!D5,Escort!D5,Personal_Business!D5,Shop!D5,Meal!D5,SocRec!D5)</f>
        <v/>
      </c>
      <c r="E5" s="6">
        <f>SUM(Work!E5,Workbased!E5,School!E5,Escort!E5,Personal_Business!E5,Shop!E5,Meal!E5,SocRec!E5)</f>
        <v/>
      </c>
      <c r="F5" s="6">
        <f>SUM(Work!F5,Workbased!F5,School!F5,Escort!F5,Personal_Business!F5,Shop!F5,Meal!F5,SocRec!F5)</f>
        <v/>
      </c>
      <c r="G5" s="6">
        <f>SUM(Work!G5,Workbased!G5,School!G5,Escort!G5,Personal_Business!G5,Shop!G5,Meal!G5,SocRec!G5)</f>
        <v/>
      </c>
      <c r="H5" s="6">
        <f>SUM(Work!H5,Workbased!H5,School!H5,Escort!H5,Personal_Business!H5,Shop!H5,Meal!H5,SocRec!H5)</f>
        <v/>
      </c>
      <c r="I5" s="6">
        <f>SUM(Work!I5,Workbased!I5,School!I5,Escort!I5,Personal_Business!I5,Shop!I5,Meal!I5,SocRec!I5)</f>
        <v/>
      </c>
      <c r="J5" s="6">
        <f>SUM(B5:I5)</f>
        <v/>
      </c>
      <c r="K5" s="6" t="n"/>
      <c r="L5" t="inlineStr">
        <is>
          <t>Drive Alone</t>
        </is>
      </c>
      <c r="M5" s="6">
        <f>SUM(Work!M5,Workbased!M5,School!M5,Escort!M5,Personal_Business!M5,Shop!M5,Meal!M5,SocRec!M5)</f>
        <v/>
      </c>
      <c r="N5" s="6">
        <f>SUM(Work!N5,Workbased!N5,School!N5,Escort!N5,Personal_Business!N5,Shop!N5,Meal!N5,SocRec!N5)</f>
        <v/>
      </c>
      <c r="O5" s="6">
        <f>SUM(Work!O5,Workbased!O5,School!O5,Escort!O5,Personal_Business!O5,Shop!O5,Meal!O5,SocRec!O5)</f>
        <v/>
      </c>
      <c r="P5" s="6">
        <f>SUM(Work!P5,Workbased!P5,School!P5,Escort!P5,Personal_Business!P5,Shop!P5,Meal!P5,SocRec!P5)</f>
        <v/>
      </c>
      <c r="Q5" s="6">
        <f>SUM(Work!Q5,Workbased!Q5,School!Q5,Escort!Q5,Personal_Business!Q5,Shop!Q5,Meal!Q5,SocRec!Q5)</f>
        <v/>
      </c>
      <c r="R5" s="6">
        <f>SUM(Work!R5,Workbased!R5,School!R5,Escort!R5,Personal_Business!R5,Shop!R5,Meal!R5,SocRec!R5)</f>
        <v/>
      </c>
      <c r="S5" s="6">
        <f>SUM(Work!S5,Workbased!S5,School!S5,Escort!S5,Personal_Business!S5,Shop!S5,Meal!S5,SocRec!S5)</f>
        <v/>
      </c>
      <c r="T5" s="6">
        <f>SUM(Work!T5,Workbased!T5,School!T5,Escort!T5,Personal_Business!T5,Shop!T5,Meal!T5,SocRec!T5)</f>
        <v/>
      </c>
      <c r="U5" s="6">
        <f>SUM(M5:T5)</f>
        <v/>
      </c>
    </row>
    <row r="6">
      <c r="A6" t="inlineStr">
        <is>
          <t>SR2</t>
        </is>
      </c>
      <c r="B6" s="6">
        <f>SUM(Work!B6,Workbased!B6,School!B6,Escort!B6,Personal_Business!B6,Shop!B6,Meal!B6,SocRec!B6)</f>
        <v/>
      </c>
      <c r="C6" s="6">
        <f>SUM(Work!C6,Workbased!C6,School!C6,Escort!C6,Personal_Business!C6,Shop!C6,Meal!C6,SocRec!C6)</f>
        <v/>
      </c>
      <c r="D6" s="6">
        <f>SUM(Work!D6,Workbased!D6,School!D6,Escort!D6,Personal_Business!D6,Shop!D6,Meal!D6,SocRec!D6)</f>
        <v/>
      </c>
      <c r="E6" s="6">
        <f>SUM(Work!E6,Workbased!E6,School!E6,Escort!E6,Personal_Business!E6,Shop!E6,Meal!E6,SocRec!E6)</f>
        <v/>
      </c>
      <c r="F6" s="6">
        <f>SUM(Work!F6,Workbased!F6,School!F6,Escort!F6,Personal_Business!F6,Shop!F6,Meal!F6,SocRec!F6)</f>
        <v/>
      </c>
      <c r="G6" s="6">
        <f>SUM(Work!G6,Workbased!G6,School!G6,Escort!G6,Personal_Business!G6,Shop!G6,Meal!G6,SocRec!G6)</f>
        <v/>
      </c>
      <c r="H6" s="6">
        <f>SUM(Work!H6,Workbased!H6,School!H6,Escort!H6,Personal_Business!H6,Shop!H6,Meal!H6,SocRec!H6)</f>
        <v/>
      </c>
      <c r="I6" s="6">
        <f>SUM(Work!I6,Workbased!I6,School!I6,Escort!I6,Personal_Business!I6,Shop!I6,Meal!I6,SocRec!I6)</f>
        <v/>
      </c>
      <c r="J6" s="6">
        <f>SUM(B6:I6)</f>
        <v/>
      </c>
      <c r="K6" s="6" t="n"/>
      <c r="L6" t="inlineStr">
        <is>
          <t>SR2</t>
        </is>
      </c>
      <c r="M6" s="6">
        <f>SUM(Work!M6,Workbased!M6,School!M6,Escort!M6,Personal_Business!M6,Shop!M6,Meal!M6,SocRec!M6)</f>
        <v/>
      </c>
      <c r="N6" s="6">
        <f>SUM(Work!N6,Workbased!N6,School!N6,Escort!N6,Personal_Business!N6,Shop!N6,Meal!N6,SocRec!N6)</f>
        <v/>
      </c>
      <c r="O6" s="6">
        <f>SUM(Work!O6,Workbased!O6,School!O6,Escort!O6,Personal_Business!O6,Shop!O6,Meal!O6,SocRec!O6)</f>
        <v/>
      </c>
      <c r="P6" s="6">
        <f>SUM(Work!P6,Workbased!P6,School!P6,Escort!P6,Personal_Business!P6,Shop!P6,Meal!P6,SocRec!P6)</f>
        <v/>
      </c>
      <c r="Q6" s="6">
        <f>SUM(Work!Q6,Workbased!Q6,School!Q6,Escort!Q6,Personal_Business!Q6,Shop!Q6,Meal!Q6,SocRec!Q6)</f>
        <v/>
      </c>
      <c r="R6" s="6">
        <f>SUM(Work!R6,Workbased!R6,School!R6,Escort!R6,Personal_Business!R6,Shop!R6,Meal!R6,SocRec!R6)</f>
        <v/>
      </c>
      <c r="S6" s="6">
        <f>SUM(Work!S6,Workbased!S6,School!S6,Escort!S6,Personal_Business!S6,Shop!S6,Meal!S6,SocRec!S6)</f>
        <v/>
      </c>
      <c r="T6" s="6">
        <f>SUM(Work!T6,Workbased!T6,School!T6,Escort!T6,Personal_Business!T6,Shop!T6,Meal!T6,SocRec!T6)</f>
        <v/>
      </c>
      <c r="U6" s="6">
        <f>SUM(M6:T6)</f>
        <v/>
      </c>
    </row>
    <row r="7">
      <c r="A7" t="inlineStr">
        <is>
          <t>SR3</t>
        </is>
      </c>
      <c r="B7" s="6">
        <f>SUM(Work!B7,Workbased!B7,School!B7,Escort!B7,Personal_Business!B7,Shop!B7,Meal!B7,SocRec!B7)</f>
        <v/>
      </c>
      <c r="C7" s="6">
        <f>SUM(Work!C7,Workbased!C7,School!C7,Escort!C7,Personal_Business!C7,Shop!C7,Meal!C7,SocRec!C7)</f>
        <v/>
      </c>
      <c r="D7" s="6">
        <f>SUM(Work!D7,Workbased!D7,School!D7,Escort!D7,Personal_Business!D7,Shop!D7,Meal!D7,SocRec!D7)</f>
        <v/>
      </c>
      <c r="E7" s="6">
        <f>SUM(Work!E7,Workbased!E7,School!E7,Escort!E7,Personal_Business!E7,Shop!E7,Meal!E7,SocRec!E7)</f>
        <v/>
      </c>
      <c r="F7" s="6">
        <f>SUM(Work!F7,Workbased!F7,School!F7,Escort!F7,Personal_Business!F7,Shop!F7,Meal!F7,SocRec!F7)</f>
        <v/>
      </c>
      <c r="G7" s="6">
        <f>SUM(Work!G7,Workbased!G7,School!G7,Escort!G7,Personal_Business!G7,Shop!G7,Meal!G7,SocRec!G7)</f>
        <v/>
      </c>
      <c r="H7" s="6">
        <f>SUM(Work!H7,Workbased!H7,School!H7,Escort!H7,Personal_Business!H7,Shop!H7,Meal!H7,SocRec!H7)</f>
        <v/>
      </c>
      <c r="I7" s="6">
        <f>SUM(Work!I7,Workbased!I7,School!I7,Escort!I7,Personal_Business!I7,Shop!I7,Meal!I7,SocRec!I7)</f>
        <v/>
      </c>
      <c r="J7" s="6">
        <f>SUM(B7:I7)</f>
        <v/>
      </c>
      <c r="K7" s="6" t="n"/>
      <c r="L7" t="inlineStr">
        <is>
          <t>SR3</t>
        </is>
      </c>
      <c r="M7" s="6">
        <f>SUM(Work!M7,Workbased!M7,School!M7,Escort!M7,Personal_Business!M7,Shop!M7,Meal!M7,SocRec!M7)</f>
        <v/>
      </c>
      <c r="N7" s="6">
        <f>SUM(Work!N7,Workbased!N7,School!N7,Escort!N7,Personal_Business!N7,Shop!N7,Meal!N7,SocRec!N7)</f>
        <v/>
      </c>
      <c r="O7" s="6">
        <f>SUM(Work!O7,Workbased!O7,School!O7,Escort!O7,Personal_Business!O7,Shop!O7,Meal!O7,SocRec!O7)</f>
        <v/>
      </c>
      <c r="P7" s="6">
        <f>SUM(Work!P7,Workbased!P7,School!P7,Escort!P7,Personal_Business!P7,Shop!P7,Meal!P7,SocRec!P7)</f>
        <v/>
      </c>
      <c r="Q7" s="6">
        <f>SUM(Work!Q7,Workbased!Q7,School!Q7,Escort!Q7,Personal_Business!Q7,Shop!Q7,Meal!Q7,SocRec!Q7)</f>
        <v/>
      </c>
      <c r="R7" s="6">
        <f>SUM(Work!R7,Workbased!R7,School!R7,Escort!R7,Personal_Business!R7,Shop!R7,Meal!R7,SocRec!R7)</f>
        <v/>
      </c>
      <c r="S7" s="6">
        <f>SUM(Work!S7,Workbased!S7,School!S7,Escort!S7,Personal_Business!S7,Shop!S7,Meal!S7,SocRec!S7)</f>
        <v/>
      </c>
      <c r="T7" s="6">
        <f>SUM(Work!T7,Workbased!T7,School!T7,Escort!T7,Personal_Business!T7,Shop!T7,Meal!T7,SocRec!T7)</f>
        <v/>
      </c>
      <c r="U7" s="6">
        <f>SUM(M7:T7)</f>
        <v/>
      </c>
    </row>
    <row r="8">
      <c r="A8" t="inlineStr">
        <is>
          <t>Transit - localbus</t>
        </is>
      </c>
      <c r="B8" s="6">
        <f>SUM(Work!B8,Workbased!B8,School!B8,Escort!B8,Personal_Business!B8,Shop!B8,Meal!B8,SocRec!B8)</f>
        <v/>
      </c>
      <c r="C8" s="6">
        <f>SUM(Work!C8,Workbased!C8,School!C8,Escort!C8,Personal_Business!C8,Shop!C8,Meal!C8,SocRec!C8)</f>
        <v/>
      </c>
      <c r="D8" s="6">
        <f>SUM(Work!D8,Workbased!D8,School!D8,Escort!D8,Personal_Business!D8,Shop!D8,Meal!D8,SocRec!D8)</f>
        <v/>
      </c>
      <c r="E8" s="6">
        <f>SUM(Work!E8,Workbased!E8,School!E8,Escort!E8,Personal_Business!E8,Shop!E8,Meal!E8,SocRec!E8)</f>
        <v/>
      </c>
      <c r="F8" s="6">
        <f>SUM(Work!F8,Workbased!F8,School!F8,Escort!F8,Personal_Business!F8,Shop!F8,Meal!F8,SocRec!F8)</f>
        <v/>
      </c>
      <c r="G8" s="6">
        <f>SUM(Work!G8,Workbased!G8,School!G8,Escort!G8,Personal_Business!G8,Shop!G8,Meal!G8,SocRec!G8)</f>
        <v/>
      </c>
      <c r="H8" s="6">
        <f>SUM(Work!H8,Workbased!H8,School!H8,Escort!H8,Personal_Business!H8,Shop!H8,Meal!H8,SocRec!H8)</f>
        <v/>
      </c>
      <c r="I8" s="6">
        <f>SUM(Work!I8,Workbased!I8,School!I8,Escort!I8,Personal_Business!I8,Shop!I8,Meal!I8,SocRec!I8)</f>
        <v/>
      </c>
      <c r="J8" s="6">
        <f>SUM(B8:I8)</f>
        <v/>
      </c>
      <c r="K8" s="6" t="n"/>
      <c r="L8" t="inlineStr">
        <is>
          <t>Transit - localbus</t>
        </is>
      </c>
      <c r="M8" s="6">
        <f>SUM(Work!M8,Workbased!M8,School!M8,Escort!M8,Personal_Business!M8,Shop!M8,Meal!M8,SocRec!M8)</f>
        <v/>
      </c>
      <c r="N8" s="6">
        <f>SUM(Work!N8,Workbased!N8,School!N8,Escort!N8,Personal_Business!N8,Shop!N8,Meal!N8,SocRec!N8)</f>
        <v/>
      </c>
      <c r="O8" s="6">
        <f>SUM(Work!O8,Workbased!O8,School!O8,Escort!O8,Personal_Business!O8,Shop!O8,Meal!O8,SocRec!O8)</f>
        <v/>
      </c>
      <c r="P8" s="6">
        <f>SUM(Work!P8,Workbased!P8,School!P8,Escort!P8,Personal_Business!P8,Shop!P8,Meal!P8,SocRec!P8)</f>
        <v/>
      </c>
      <c r="Q8" s="6">
        <f>SUM(Work!Q8,Workbased!Q8,School!Q8,Escort!Q8,Personal_Business!Q8,Shop!Q8,Meal!Q8,SocRec!Q8)</f>
        <v/>
      </c>
      <c r="R8" s="6">
        <f>SUM(Work!R8,Workbased!R8,School!R8,Escort!R8,Personal_Business!R8,Shop!R8,Meal!R8,SocRec!R8)</f>
        <v/>
      </c>
      <c r="S8" s="6">
        <f>SUM(Work!S8,Workbased!S8,School!S8,Escort!S8,Personal_Business!S8,Shop!S8,Meal!S8,SocRec!S8)</f>
        <v/>
      </c>
      <c r="T8" s="6">
        <f>SUM(Work!T8,Workbased!T8,School!T8,Escort!T8,Personal_Business!T8,Shop!T8,Meal!T8,SocRec!T8)</f>
        <v/>
      </c>
      <c r="U8" s="6">
        <f>SUM(M8:T8)</f>
        <v/>
      </c>
    </row>
    <row r="9">
      <c r="A9" t="inlineStr">
        <is>
          <t>Transit - lightrail</t>
        </is>
      </c>
      <c r="B9" s="6">
        <f>SUM(Work!B9,Workbased!B9,School!B9,Escort!B9,Personal_Business!B9,Shop!B9,Meal!B9,SocRec!B9)</f>
        <v/>
      </c>
      <c r="C9" s="6">
        <f>SUM(Work!C9,Workbased!C9,School!C9,Escort!C9,Personal_Business!C9,Shop!C9,Meal!C9,SocRec!C9)</f>
        <v/>
      </c>
      <c r="D9" s="6">
        <f>SUM(Work!D9,Workbased!D9,School!D9,Escort!D9,Personal_Business!D9,Shop!D9,Meal!D9,SocRec!D9)</f>
        <v/>
      </c>
      <c r="E9" s="6">
        <f>SUM(Work!E9,Workbased!E9,School!E9,Escort!E9,Personal_Business!E9,Shop!E9,Meal!E9,SocRec!E9)</f>
        <v/>
      </c>
      <c r="F9" s="6">
        <f>SUM(Work!F9,Workbased!F9,School!F9,Escort!F9,Personal_Business!F9,Shop!F9,Meal!F9,SocRec!F9)</f>
        <v/>
      </c>
      <c r="G9" s="6">
        <f>SUM(Work!G9,Workbased!G9,School!G9,Escort!G9,Personal_Business!G9,Shop!G9,Meal!G9,SocRec!G9)</f>
        <v/>
      </c>
      <c r="H9" s="6">
        <f>SUM(Work!H9,Workbased!H9,School!H9,Escort!H9,Personal_Business!H9,Shop!H9,Meal!H9,SocRec!H9)</f>
        <v/>
      </c>
      <c r="I9" s="6">
        <f>SUM(Work!I9,Workbased!I9,School!I9,Escort!I9,Personal_Business!I9,Shop!I9,Meal!I9,SocRec!I9)</f>
        <v/>
      </c>
      <c r="J9" s="6">
        <f>SUM(B9:I9)</f>
        <v/>
      </c>
      <c r="K9" s="6" t="n"/>
      <c r="L9" t="inlineStr">
        <is>
          <t>Transit - lightrail</t>
        </is>
      </c>
      <c r="M9" s="6">
        <f>SUM(Work!M9,Workbased!M9,School!M9,Escort!M9,Personal_Business!M9,Shop!M9,Meal!M9,SocRec!M9)</f>
        <v/>
      </c>
      <c r="N9" s="6">
        <f>SUM(Work!N9,Workbased!N9,School!N9,Escort!N9,Personal_Business!N9,Shop!N9,Meal!N9,SocRec!N9)</f>
        <v/>
      </c>
      <c r="O9" s="6">
        <f>SUM(Work!O9,Workbased!O9,School!O9,Escort!O9,Personal_Business!O9,Shop!O9,Meal!O9,SocRec!O9)</f>
        <v/>
      </c>
      <c r="P9" s="6">
        <f>SUM(Work!P9,Workbased!P9,School!P9,Escort!P9,Personal_Business!P9,Shop!P9,Meal!P9,SocRec!P9)</f>
        <v/>
      </c>
      <c r="Q9" s="6">
        <f>SUM(Work!Q9,Workbased!Q9,School!Q9,Escort!Q9,Personal_Business!Q9,Shop!Q9,Meal!Q9,SocRec!Q9)</f>
        <v/>
      </c>
      <c r="R9" s="6">
        <f>SUM(Work!R9,Workbased!R9,School!R9,Escort!R9,Personal_Business!R9,Shop!R9,Meal!R9,SocRec!R9)</f>
        <v/>
      </c>
      <c r="S9" s="6">
        <f>SUM(Work!S9,Workbased!S9,School!S9,Escort!S9,Personal_Business!S9,Shop!S9,Meal!S9,SocRec!S9)</f>
        <v/>
      </c>
      <c r="T9" s="6">
        <f>SUM(Work!T9,Workbased!T9,School!T9,Escort!T9,Personal_Business!T9,Shop!T9,Meal!T9,SocRec!T9)</f>
        <v/>
      </c>
      <c r="U9" s="6">
        <f>SUM(M9:T9)</f>
        <v/>
      </c>
    </row>
    <row r="10">
      <c r="A10" t="inlineStr">
        <is>
          <t>Transit - premium bus</t>
        </is>
      </c>
      <c r="B10" s="6">
        <f>SUM(Work!B10,Workbased!B10,School!B10,Escort!B10,Personal_Business!B10,Shop!B10,Meal!B10,SocRec!B10)</f>
        <v/>
      </c>
      <c r="C10" s="6">
        <f>SUM(Work!C10,Workbased!C10,School!C10,Escort!C10,Personal_Business!C10,Shop!C10,Meal!C10,SocRec!C10)</f>
        <v/>
      </c>
      <c r="D10" s="6">
        <f>SUM(Work!D10,Workbased!D10,School!D10,Escort!D10,Personal_Business!D10,Shop!D10,Meal!D10,SocRec!D10)</f>
        <v/>
      </c>
      <c r="E10" s="6">
        <f>SUM(Work!E10,Workbased!E10,School!E10,Escort!E10,Personal_Business!E10,Shop!E10,Meal!E10,SocRec!E10)</f>
        <v/>
      </c>
      <c r="F10" s="6">
        <f>SUM(Work!F10,Workbased!F10,School!F10,Escort!F10,Personal_Business!F10,Shop!F10,Meal!F10,SocRec!F10)</f>
        <v/>
      </c>
      <c r="G10" s="6">
        <f>SUM(Work!G10,Workbased!G10,School!G10,Escort!G10,Personal_Business!G10,Shop!G10,Meal!G10,SocRec!G10)</f>
        <v/>
      </c>
      <c r="H10" s="6">
        <f>SUM(Work!H10,Workbased!H10,School!H10,Escort!H10,Personal_Business!H10,Shop!H10,Meal!H10,SocRec!H10)</f>
        <v/>
      </c>
      <c r="I10" s="6">
        <f>SUM(Work!I10,Workbased!I10,School!I10,Escort!I10,Personal_Business!I10,Shop!I10,Meal!I10,SocRec!I10)</f>
        <v/>
      </c>
      <c r="J10" s="6">
        <f>SUM(B10:I10)</f>
        <v/>
      </c>
      <c r="K10" s="6" t="n"/>
      <c r="L10" t="inlineStr">
        <is>
          <t>Transit - premium bus</t>
        </is>
      </c>
      <c r="M10" s="6">
        <f>SUM(Work!M10,Workbased!M10,School!M10,Escort!M10,Personal_Business!M10,Shop!M10,Meal!M10,SocRec!M10)</f>
        <v/>
      </c>
      <c r="N10" s="6">
        <f>SUM(Work!N10,Workbased!N10,School!N10,Escort!N10,Personal_Business!N10,Shop!N10,Meal!N10,SocRec!N10)</f>
        <v/>
      </c>
      <c r="O10" s="6">
        <f>SUM(Work!O10,Workbased!O10,School!O10,Escort!O10,Personal_Business!O10,Shop!O10,Meal!O10,SocRec!O10)</f>
        <v/>
      </c>
      <c r="P10" s="6">
        <f>SUM(Work!P10,Workbased!P10,School!P10,Escort!P10,Personal_Business!P10,Shop!P10,Meal!P10,SocRec!P10)</f>
        <v/>
      </c>
      <c r="Q10" s="6">
        <f>SUM(Work!Q10,Workbased!Q10,School!Q10,Escort!Q10,Personal_Business!Q10,Shop!Q10,Meal!Q10,SocRec!Q10)</f>
        <v/>
      </c>
      <c r="R10" s="6">
        <f>SUM(Work!R10,Workbased!R10,School!R10,Escort!R10,Personal_Business!R10,Shop!R10,Meal!R10,SocRec!R10)</f>
        <v/>
      </c>
      <c r="S10" s="6">
        <f>SUM(Work!S10,Workbased!S10,School!S10,Escort!S10,Personal_Business!S10,Shop!S10,Meal!S10,SocRec!S10)</f>
        <v/>
      </c>
      <c r="T10" s="6">
        <f>SUM(Work!T10,Workbased!T10,School!T10,Escort!T10,Personal_Business!T10,Shop!T10,Meal!T10,SocRec!T10)</f>
        <v/>
      </c>
      <c r="U10" s="6">
        <f>SUM(M10:T10)</f>
        <v/>
      </c>
    </row>
    <row r="11">
      <c r="A11" t="inlineStr">
        <is>
          <t>Transit - commuter rail</t>
        </is>
      </c>
      <c r="B11" s="6">
        <f>SUM(Work!B11,Workbased!B11,School!B11,Escort!B11,Personal_Business!B11,Shop!B11,Meal!B11,SocRec!B11)</f>
        <v/>
      </c>
      <c r="C11" s="6">
        <f>SUM(Work!C11,Workbased!C11,School!C11,Escort!C11,Personal_Business!C11,Shop!C11,Meal!C11,SocRec!C11)</f>
        <v/>
      </c>
      <c r="D11" s="6">
        <f>SUM(Work!D11,Workbased!D11,School!D11,Escort!D11,Personal_Business!D11,Shop!D11,Meal!D11,SocRec!D11)</f>
        <v/>
      </c>
      <c r="E11" s="6">
        <f>SUM(Work!E11,Workbased!E11,School!E11,Escort!E11,Personal_Business!E11,Shop!E11,Meal!E11,SocRec!E11)</f>
        <v/>
      </c>
      <c r="F11" s="6">
        <f>SUM(Work!F11,Workbased!F11,School!F11,Escort!F11,Personal_Business!F11,Shop!F11,Meal!F11,SocRec!F11)</f>
        <v/>
      </c>
      <c r="G11" s="6">
        <f>SUM(Work!G11,Workbased!G11,School!G11,Escort!G11,Personal_Business!G11,Shop!G11,Meal!G11,SocRec!G11)</f>
        <v/>
      </c>
      <c r="H11" s="6">
        <f>SUM(Work!H11,Workbased!H11,School!H11,Escort!H11,Personal_Business!H11,Shop!H11,Meal!H11,SocRec!H11)</f>
        <v/>
      </c>
      <c r="I11" s="6">
        <f>SUM(Work!I11,Workbased!I11,School!I11,Escort!I11,Personal_Business!I11,Shop!I11,Meal!I11,SocRec!I11)</f>
        <v/>
      </c>
      <c r="J11" s="6">
        <f>SUM(B11:I11)</f>
        <v/>
      </c>
      <c r="K11" s="6" t="n"/>
      <c r="L11" t="inlineStr">
        <is>
          <t>Transit - commuter rail</t>
        </is>
      </c>
      <c r="M11" s="6">
        <f>SUM(Work!M11,Workbased!M11,School!M11,Escort!M11,Personal_Business!M11,Shop!M11,Meal!M11,SocRec!M11)</f>
        <v/>
      </c>
      <c r="N11" s="6">
        <f>SUM(Work!N11,Workbased!N11,School!N11,Escort!N11,Personal_Business!N11,Shop!N11,Meal!N11,SocRec!N11)</f>
        <v/>
      </c>
      <c r="O11" s="6">
        <f>SUM(Work!O11,Workbased!O11,School!O11,Escort!O11,Personal_Business!O11,Shop!O11,Meal!O11,SocRec!O11)</f>
        <v/>
      </c>
      <c r="P11" s="6">
        <f>SUM(Work!P11,Workbased!P11,School!P11,Escort!P11,Personal_Business!P11,Shop!P11,Meal!P11,SocRec!P11)</f>
        <v/>
      </c>
      <c r="Q11" s="6">
        <f>SUM(Work!Q11,Workbased!Q11,School!Q11,Escort!Q11,Personal_Business!Q11,Shop!Q11,Meal!Q11,SocRec!Q11)</f>
        <v/>
      </c>
      <c r="R11" s="6">
        <f>SUM(Work!R11,Workbased!R11,School!R11,Escort!R11,Personal_Business!R11,Shop!R11,Meal!R11,SocRec!R11)</f>
        <v/>
      </c>
      <c r="S11" s="6">
        <f>SUM(Work!S11,Workbased!S11,School!S11,Escort!S11,Personal_Business!S11,Shop!S11,Meal!S11,SocRec!S11)</f>
        <v/>
      </c>
      <c r="T11" s="6">
        <f>SUM(Work!T11,Workbased!T11,School!T11,Escort!T11,Personal_Business!T11,Shop!T11,Meal!T11,SocRec!T11)</f>
        <v/>
      </c>
      <c r="U11" s="6">
        <f>SUM(M11:T11)</f>
        <v/>
      </c>
    </row>
    <row r="12">
      <c r="A12" t="inlineStr">
        <is>
          <t>Transit - ferry</t>
        </is>
      </c>
      <c r="B12" s="6">
        <f>SUM(Work!B12,Workbased!B12,School!B12,Escort!B12,Personal_Business!B12,Shop!B12,Meal!B12,SocRec!B12)</f>
        <v/>
      </c>
      <c r="C12" s="6">
        <f>SUM(Work!C12,Workbased!C12,School!C12,Escort!C12,Personal_Business!C12,Shop!C12,Meal!C12,SocRec!C12)</f>
        <v/>
      </c>
      <c r="D12" s="6">
        <f>SUM(Work!D12,Workbased!D12,School!D12,Escort!D12,Personal_Business!D12,Shop!D12,Meal!D12,SocRec!D12)</f>
        <v/>
      </c>
      <c r="E12" s="6">
        <f>SUM(Work!E12,Workbased!E12,School!E12,Escort!E12,Personal_Business!E12,Shop!E12,Meal!E12,SocRec!E12)</f>
        <v/>
      </c>
      <c r="F12" s="6">
        <f>SUM(Work!F12,Workbased!F12,School!F12,Escort!F12,Personal_Business!F12,Shop!F12,Meal!F12,SocRec!F12)</f>
        <v/>
      </c>
      <c r="G12" s="6">
        <f>SUM(Work!G12,Workbased!G12,School!G12,Escort!G12,Personal_Business!G12,Shop!G12,Meal!G12,SocRec!G12)</f>
        <v/>
      </c>
      <c r="H12" s="6">
        <f>SUM(Work!H12,Workbased!H12,School!H12,Escort!H12,Personal_Business!H12,Shop!H12,Meal!H12,SocRec!H12)</f>
        <v/>
      </c>
      <c r="I12" s="6">
        <f>SUM(Work!I12,Workbased!I12,School!I12,Escort!I12,Personal_Business!I12,Shop!I12,Meal!I12,SocRec!I12)</f>
        <v/>
      </c>
      <c r="J12" s="6">
        <f>SUM(B12:I12)</f>
        <v/>
      </c>
      <c r="K12" s="6" t="n"/>
      <c r="L12" t="inlineStr">
        <is>
          <t>Transit - ferry</t>
        </is>
      </c>
      <c r="M12" s="6">
        <f>SUM(Work!M12,Workbased!M12,School!M12,Escort!M12,Personal_Business!M12,Shop!M12,Meal!M12,SocRec!M12)</f>
        <v/>
      </c>
      <c r="N12" s="6">
        <f>SUM(Work!N12,Workbased!N12,School!N12,Escort!N12,Personal_Business!N12,Shop!N12,Meal!N12,SocRec!N12)</f>
        <v/>
      </c>
      <c r="O12" s="6">
        <f>SUM(Work!O12,Workbased!O12,School!O12,Escort!O12,Personal_Business!O12,Shop!O12,Meal!O12,SocRec!O12)</f>
        <v/>
      </c>
      <c r="P12" s="6">
        <f>SUM(Work!P12,Workbased!P12,School!P12,Escort!P12,Personal_Business!P12,Shop!P12,Meal!P12,SocRec!P12)</f>
        <v/>
      </c>
      <c r="Q12" s="6">
        <f>SUM(Work!Q12,Workbased!Q12,School!Q12,Escort!Q12,Personal_Business!Q12,Shop!Q12,Meal!Q12,SocRec!Q12)</f>
        <v/>
      </c>
      <c r="R12" s="6">
        <f>SUM(Work!R12,Workbased!R12,School!R12,Escort!R12,Personal_Business!R12,Shop!R12,Meal!R12,SocRec!R12)</f>
        <v/>
      </c>
      <c r="S12" s="6">
        <f>SUM(Work!S12,Workbased!S12,School!S12,Escort!S12,Personal_Business!S12,Shop!S12,Meal!S12,SocRec!S12)</f>
        <v/>
      </c>
      <c r="T12" s="6">
        <f>SUM(Work!T12,Workbased!T12,School!T12,Escort!T12,Personal_Business!T12,Shop!T12,Meal!T12,SocRec!T12)</f>
        <v/>
      </c>
      <c r="U12" s="6">
        <f>SUM(M12:T12)</f>
        <v/>
      </c>
    </row>
    <row r="13">
      <c r="A13" t="inlineStr">
        <is>
          <t>School Bus</t>
        </is>
      </c>
      <c r="B13" s="6">
        <f>SUM(Work!B13,Workbased!B13,School!B13,Escort!B13,Personal_Business!B13,Shop!B13,Meal!B13,SocRec!B13)</f>
        <v/>
      </c>
      <c r="C13" s="6">
        <f>SUM(Work!C13,Workbased!C13,School!C13,Escort!C13,Personal_Business!C13,Shop!C13,Meal!C13,SocRec!C13)</f>
        <v/>
      </c>
      <c r="D13" s="6">
        <f>SUM(Work!D13,Workbased!D13,School!D13,Escort!D13,Personal_Business!D13,Shop!D13,Meal!D13,SocRec!D13)</f>
        <v/>
      </c>
      <c r="E13" s="6">
        <f>SUM(Work!E13,Workbased!E13,School!E13,Escort!E13,Personal_Business!E13,Shop!E13,Meal!E13,SocRec!E13)</f>
        <v/>
      </c>
      <c r="F13" s="6">
        <f>SUM(Work!F13,Workbased!F13,School!F13,Escort!F13,Personal_Business!F13,Shop!F13,Meal!F13,SocRec!F13)</f>
        <v/>
      </c>
      <c r="G13" s="6">
        <f>SUM(Work!G13,Workbased!G13,School!G13,Escort!G13,Personal_Business!G13,Shop!G13,Meal!G13,SocRec!G13)</f>
        <v/>
      </c>
      <c r="H13" s="6">
        <f>SUM(Work!H13,Workbased!H13,School!H13,Escort!H13,Personal_Business!H13,Shop!H13,Meal!H13,SocRec!H13)</f>
        <v/>
      </c>
      <c r="I13" s="6">
        <f>SUM(Work!I13,Workbased!I13,School!I13,Escort!I13,Personal_Business!I13,Shop!I13,Meal!I13,SocRec!I13)</f>
        <v/>
      </c>
      <c r="J13" s="6">
        <f>SUM(B13:I13)</f>
        <v/>
      </c>
      <c r="K13" s="6" t="n"/>
      <c r="L13" t="inlineStr">
        <is>
          <t>School Bus</t>
        </is>
      </c>
      <c r="M13" s="6">
        <f>SUM(Work!M13,Workbased!M13,School!M13,Escort!M13,Personal_Business!M13,Shop!M13,Meal!M13,SocRec!M13)</f>
        <v/>
      </c>
      <c r="N13" s="6">
        <f>SUM(Work!N13,Workbased!N13,School!N13,Escort!N13,Personal_Business!N13,Shop!N13,Meal!N13,SocRec!N13)</f>
        <v/>
      </c>
      <c r="O13" s="6">
        <f>SUM(Work!O13,Workbased!O13,School!O13,Escort!O13,Personal_Business!O13,Shop!O13,Meal!O13,SocRec!O13)</f>
        <v/>
      </c>
      <c r="P13" s="6">
        <f>SUM(Work!P13,Workbased!P13,School!P13,Escort!P13,Personal_Business!P13,Shop!P13,Meal!P13,SocRec!P13)</f>
        <v/>
      </c>
      <c r="Q13" s="6">
        <f>SUM(Work!Q13,Workbased!Q13,School!Q13,Escort!Q13,Personal_Business!Q13,Shop!Q13,Meal!Q13,SocRec!Q13)</f>
        <v/>
      </c>
      <c r="R13" s="6">
        <f>SUM(Work!R13,Workbased!R13,School!R13,Escort!R13,Personal_Business!R13,Shop!R13,Meal!R13,SocRec!R13)</f>
        <v/>
      </c>
      <c r="S13" s="6">
        <f>SUM(Work!S13,Workbased!S13,School!S13,Escort!S13,Personal_Business!S13,Shop!S13,Meal!S13,SocRec!S13)</f>
        <v/>
      </c>
      <c r="T13" s="6">
        <f>SUM(Work!T13,Workbased!T13,School!T13,Escort!T13,Personal_Business!T13,Shop!T13,Meal!T13,SocRec!T13)</f>
        <v/>
      </c>
      <c r="U13" s="6">
        <f>SUM(M13:T13)</f>
        <v/>
      </c>
    </row>
    <row r="14">
      <c r="A14" t="inlineStr">
        <is>
          <t>Bike</t>
        </is>
      </c>
      <c r="B14" s="6">
        <f>SUM(Work!B14,Workbased!B14,School!B14,Escort!B14,Personal_Business!B14,Shop!B14,Meal!B14,SocRec!B14)</f>
        <v/>
      </c>
      <c r="C14" s="6">
        <f>SUM(Work!C14,Workbased!C14,School!C14,Escort!C14,Personal_Business!C14,Shop!C14,Meal!C14,SocRec!C14)</f>
        <v/>
      </c>
      <c r="D14" s="6">
        <f>SUM(Work!D14,Workbased!D14,School!D14,Escort!D14,Personal_Business!D14,Shop!D14,Meal!D14,SocRec!D14)</f>
        <v/>
      </c>
      <c r="E14" s="6">
        <f>SUM(Work!E14,Workbased!E14,School!E14,Escort!E14,Personal_Business!E14,Shop!E14,Meal!E14,SocRec!E14)</f>
        <v/>
      </c>
      <c r="F14" s="6">
        <f>SUM(Work!F14,Workbased!F14,School!F14,Escort!F14,Personal_Business!F14,Shop!F14,Meal!F14,SocRec!F14)</f>
        <v/>
      </c>
      <c r="G14" s="6">
        <f>SUM(Work!G14,Workbased!G14,School!G14,Escort!G14,Personal_Business!G14,Shop!G14,Meal!G14,SocRec!G14)</f>
        <v/>
      </c>
      <c r="H14" s="6">
        <f>SUM(Work!H14,Workbased!H14,School!H14,Escort!H14,Personal_Business!H14,Shop!H14,Meal!H14,SocRec!H14)</f>
        <v/>
      </c>
      <c r="I14" s="6">
        <f>SUM(Work!I14,Workbased!I14,School!I14,Escort!I14,Personal_Business!I14,Shop!I14,Meal!I14,SocRec!I14)</f>
        <v/>
      </c>
      <c r="J14" s="6">
        <f>SUM(B14:I14)</f>
        <v/>
      </c>
      <c r="K14" s="6" t="n"/>
      <c r="L14" t="inlineStr">
        <is>
          <t>Bike</t>
        </is>
      </c>
      <c r="M14" s="6">
        <f>SUM(Work!M14,Workbased!M14,School!M14,Escort!M14,Personal_Business!M14,Shop!M14,Meal!M14,SocRec!M14)</f>
        <v/>
      </c>
      <c r="N14" s="6">
        <f>SUM(Work!N14,Workbased!N14,School!N14,Escort!N14,Personal_Business!N14,Shop!N14,Meal!N14,SocRec!N14)</f>
        <v/>
      </c>
      <c r="O14" s="6">
        <f>SUM(Work!O14,Workbased!O14,School!O14,Escort!O14,Personal_Business!O14,Shop!O14,Meal!O14,SocRec!O14)</f>
        <v/>
      </c>
      <c r="P14" s="6">
        <f>SUM(Work!P14,Workbased!P14,School!P14,Escort!P14,Personal_Business!P14,Shop!P14,Meal!P14,SocRec!P14)</f>
        <v/>
      </c>
      <c r="Q14" s="6">
        <f>SUM(Work!Q14,Workbased!Q14,School!Q14,Escort!Q14,Personal_Business!Q14,Shop!Q14,Meal!Q14,SocRec!Q14)</f>
        <v/>
      </c>
      <c r="R14" s="6">
        <f>SUM(Work!R14,Workbased!R14,School!R14,Escort!R14,Personal_Business!R14,Shop!R14,Meal!R14,SocRec!R14)</f>
        <v/>
      </c>
      <c r="S14" s="6">
        <f>SUM(Work!S14,Workbased!S14,School!S14,Escort!S14,Personal_Business!S14,Shop!S14,Meal!S14,SocRec!S14)</f>
        <v/>
      </c>
      <c r="T14" s="6">
        <f>SUM(Work!T14,Workbased!T14,School!T14,Escort!T14,Personal_Business!T14,Shop!T14,Meal!T14,SocRec!T14)</f>
        <v/>
      </c>
      <c r="U14" s="6">
        <f>SUM(M14:T14)</f>
        <v/>
      </c>
    </row>
    <row r="15">
      <c r="A15" t="inlineStr">
        <is>
          <t>Walk</t>
        </is>
      </c>
      <c r="B15" s="6">
        <f>SUM(Work!B15,Workbased!B15,School!B15,Escort!B15,Personal_Business!B15,Shop!B15,Meal!B15,SocRec!B15)</f>
        <v/>
      </c>
      <c r="C15" s="6">
        <f>SUM(Work!C15,Workbased!C15,School!C15,Escort!C15,Personal_Business!C15,Shop!C15,Meal!C15,SocRec!C15)</f>
        <v/>
      </c>
      <c r="D15" s="6">
        <f>SUM(Work!D15,Workbased!D15,School!D15,Escort!D15,Personal_Business!D15,Shop!D15,Meal!D15,SocRec!D15)</f>
        <v/>
      </c>
      <c r="E15" s="6">
        <f>SUM(Work!E15,Workbased!E15,School!E15,Escort!E15,Personal_Business!E15,Shop!E15,Meal!E15,SocRec!E15)</f>
        <v/>
      </c>
      <c r="F15" s="6">
        <f>SUM(Work!F15,Workbased!F15,School!F15,Escort!F15,Personal_Business!F15,Shop!F15,Meal!F15,SocRec!F15)</f>
        <v/>
      </c>
      <c r="G15" s="6">
        <f>SUM(Work!G15,Workbased!G15,School!G15,Escort!G15,Personal_Business!G15,Shop!G15,Meal!G15,SocRec!G15)</f>
        <v/>
      </c>
      <c r="H15" s="6">
        <f>SUM(Work!H15,Workbased!H15,School!H15,Escort!H15,Personal_Business!H15,Shop!H15,Meal!H15,SocRec!H15)</f>
        <v/>
      </c>
      <c r="I15" s="6">
        <f>SUM(Work!I15,Workbased!I15,School!I15,Escort!I15,Personal_Business!I15,Shop!I15,Meal!I15,SocRec!I15)</f>
        <v/>
      </c>
      <c r="J15" s="6">
        <f>SUM(B15:I15)</f>
        <v/>
      </c>
      <c r="K15" s="6" t="n"/>
      <c r="L15" t="inlineStr">
        <is>
          <t>Walk</t>
        </is>
      </c>
      <c r="M15" s="6">
        <f>SUM(Work!M15,Workbased!M15,School!M15,Escort!M15,Personal_Business!M15,Shop!M15,Meal!M15,SocRec!M15)</f>
        <v/>
      </c>
      <c r="N15" s="6">
        <f>SUM(Work!N15,Workbased!N15,School!N15,Escort!N15,Personal_Business!N15,Shop!N15,Meal!N15,SocRec!N15)</f>
        <v/>
      </c>
      <c r="O15" s="6">
        <f>SUM(Work!O15,Workbased!O15,School!O15,Escort!O15,Personal_Business!O15,Shop!O15,Meal!O15,SocRec!O15)</f>
        <v/>
      </c>
      <c r="P15" s="6">
        <f>SUM(Work!P15,Workbased!P15,School!P15,Escort!P15,Personal_Business!P15,Shop!P15,Meal!P15,SocRec!P15)</f>
        <v/>
      </c>
      <c r="Q15" s="6">
        <f>SUM(Work!Q15,Workbased!Q15,School!Q15,Escort!Q15,Personal_Business!Q15,Shop!Q15,Meal!Q15,SocRec!Q15)</f>
        <v/>
      </c>
      <c r="R15" s="6">
        <f>SUM(Work!R15,Workbased!R15,School!R15,Escort!R15,Personal_Business!R15,Shop!R15,Meal!R15,SocRec!R15)</f>
        <v/>
      </c>
      <c r="S15" s="6">
        <f>SUM(Work!S15,Workbased!S15,School!S15,Escort!S15,Personal_Business!S15,Shop!S15,Meal!S15,SocRec!S15)</f>
        <v/>
      </c>
      <c r="T15" s="6">
        <f>SUM(Work!T15,Workbased!T15,School!T15,Escort!T15,Personal_Business!T15,Shop!T15,Meal!T15,SocRec!T15)</f>
        <v/>
      </c>
      <c r="U15" s="6">
        <f>SUM(M15:T15)</f>
        <v/>
      </c>
    </row>
    <row r="16">
      <c r="A16" s="4" t="inlineStr">
        <is>
          <t>PRS</t>
        </is>
      </c>
      <c r="B16" s="6">
        <f>SUM(Work!B16,Workbased!B16,School!B16,Escort!B16,Personal_Business!B16,Shop!B16,Meal!B16,SocRec!B16)</f>
        <v/>
      </c>
      <c r="C16" s="6">
        <f>SUM(Work!C16,Workbased!C16,School!C16,Escort!C16,Personal_Business!C16,Shop!C16,Meal!C16,SocRec!C16)</f>
        <v/>
      </c>
      <c r="D16" s="6">
        <f>SUM(Work!D16,Workbased!D16,School!D16,Escort!D16,Personal_Business!D16,Shop!D16,Meal!D16,SocRec!D16)</f>
        <v/>
      </c>
      <c r="E16" s="6">
        <f>SUM(Work!E16,Workbased!E16,School!E16,Escort!E16,Personal_Business!E16,Shop!E16,Meal!E16,SocRec!E16)</f>
        <v/>
      </c>
      <c r="F16" s="6">
        <f>SUM(Work!F16,Workbased!F16,School!F16,Escort!F16,Personal_Business!F16,Shop!F16,Meal!F16,SocRec!F16)</f>
        <v/>
      </c>
      <c r="G16" s="6">
        <f>SUM(Work!G16,Workbased!G16,School!G16,Escort!G16,Personal_Business!G16,Shop!G16,Meal!G16,SocRec!G16)</f>
        <v/>
      </c>
      <c r="H16" s="6">
        <f>SUM(Work!H16,Workbased!H16,School!H16,Escort!H16,Personal_Business!H16,Shop!H16,Meal!H16,SocRec!H16)</f>
        <v/>
      </c>
      <c r="I16" s="6">
        <f>SUM(Work!I16,Workbased!I16,School!I16,Escort!I16,Personal_Business!I16,Shop!I16,Meal!I16,SocRec!I16)</f>
        <v/>
      </c>
      <c r="J16" s="6">
        <f>SUM(B16:I16)</f>
        <v/>
      </c>
      <c r="K16" s="6" t="n"/>
      <c r="L16" s="4" t="inlineStr">
        <is>
          <t>PRS</t>
        </is>
      </c>
      <c r="M16" s="6">
        <f>SUM(Work!M16,Workbased!M16,School!M16,Escort!M16,Personal_Business!M16,Shop!M16,Meal!M16,SocRec!M16)</f>
        <v/>
      </c>
      <c r="N16" s="6">
        <f>SUM(Work!N16,Workbased!N16,School!N16,Escort!N16,Personal_Business!N16,Shop!N16,Meal!N16,SocRec!N16)</f>
        <v/>
      </c>
      <c r="O16" s="6">
        <f>SUM(Work!O16,Workbased!O16,School!O16,Escort!O16,Personal_Business!O16,Shop!O16,Meal!O16,SocRec!O16)</f>
        <v/>
      </c>
      <c r="P16" s="6">
        <f>SUM(Work!P16,Workbased!P16,School!P16,Escort!P16,Personal_Business!P16,Shop!P16,Meal!P16,SocRec!P16)</f>
        <v/>
      </c>
      <c r="Q16" s="6">
        <f>SUM(Work!Q16,Workbased!Q16,School!Q16,Escort!Q16,Personal_Business!Q16,Shop!Q16,Meal!Q16,SocRec!Q16)</f>
        <v/>
      </c>
      <c r="R16" s="6">
        <f>SUM(Work!R16,Workbased!R16,School!R16,Escort!R16,Personal_Business!R16,Shop!R16,Meal!R16,SocRec!R16)</f>
        <v/>
      </c>
      <c r="S16" s="6">
        <f>SUM(Work!S16,Workbased!S16,School!S16,Escort!S16,Personal_Business!S16,Shop!S16,Meal!S16,SocRec!S16)</f>
        <v/>
      </c>
      <c r="T16" s="6">
        <f>SUM(Work!T16,Workbased!T16,School!T16,Escort!T16,Personal_Business!T16,Shop!T16,Meal!T16,SocRec!T16)</f>
        <v/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Work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All Purposes Tour Mode</t>
        </is>
      </c>
      <c r="J21" s="27" t="n"/>
      <c r="L21" s="3" t="n"/>
      <c r="M21" s="27" t="inlineStr">
        <is>
          <t>All Purposes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IF(E$17&gt;0,E5/E$17,0)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I5/I$17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P5/P$17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T5/T$17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IF(E$17&gt;0,E6/E$17,0)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I6/I$17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P6/P$17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T6/T$17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IF(E$17&gt;0,E7/E$17,0)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I7/I$17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P7/P$17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T7/T$17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IF(E$17&gt;0,E8/E$17,0)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I8/I$17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P8/P$17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T8/T$17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IF(E$17&gt;0,E9/E$17,0)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I9/I$17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P9/P$17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T9/T$17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IF(E$17&gt;0,E10/E$17,0)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I10/I$17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P10/P$17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T10/T$17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IF(E$17&gt;0,E11/E$17,0)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I11/I$17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P11/P$17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T11/T$17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IF(E$17&gt;0,E12/E$17,0)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I12/I$17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P12/P$17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T12/T$17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IF(E$17&gt;0,E13/E$17,0)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I13/I$17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P13/P$17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T13/T$17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IF(E$17&gt;0,E14/E$17,0)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I14/I$17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P14/P$17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T14/T$17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IF(E$17&gt;0,E15/E$17,0)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I15/I$17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P15/P$17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T15/T$17</f>
        <v/>
      </c>
      <c r="U33" s="11">
        <f>U15/U$17</f>
        <v/>
      </c>
    </row>
    <row r="34">
      <c r="A34" s="4" t="inlineStr">
        <is>
          <t>PRS</t>
        </is>
      </c>
      <c r="B34" s="12">
        <f>B16/B$17</f>
        <v/>
      </c>
      <c r="C34" s="12">
        <f>C16/C$17</f>
        <v/>
      </c>
      <c r="D34" s="12">
        <f>D16/D$17</f>
        <v/>
      </c>
      <c r="E34" s="11">
        <f>IF(E$17&gt;0,E16/E$17,0)</f>
        <v/>
      </c>
      <c r="F34" s="12">
        <f>F16/F$17</f>
        <v/>
      </c>
      <c r="G34" s="12">
        <f>G16/G$17</f>
        <v/>
      </c>
      <c r="H34" s="12">
        <f>H16/H$17</f>
        <v/>
      </c>
      <c r="I34" s="12">
        <f>I16/I$17</f>
        <v/>
      </c>
      <c r="J34" s="12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2">
        <f>P16/P$17</f>
        <v/>
      </c>
      <c r="Q34" s="12">
        <f>Q16/Q$17</f>
        <v/>
      </c>
      <c r="R34" s="12">
        <f>R16/R$17</f>
        <v/>
      </c>
      <c r="S34" s="12">
        <f>S16/S$17</f>
        <v/>
      </c>
      <c r="T34" s="12">
        <f>T16/T$17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IF(E$17&gt;0,E17/E$17,0)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I17/I$17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P17/P$17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T17/T$17</f>
        <v/>
      </c>
      <c r="U35" s="13">
        <f>U17/U$17</f>
        <v/>
      </c>
    </row>
    <row r="38" ht="15.75" customHeight="1" s="28" thickBot="1">
      <c r="L38" s="1" t="inlineStr">
        <is>
          <t>Table X. Estimated-Observed Work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  <c r="W38" s="15" t="inlineStr">
        <is>
          <t>TRIP MODE CHOICE ALL PURPOSES: EST-OBS</t>
        </is>
      </c>
      <c r="X38" s="15" t="n"/>
      <c r="Y38" s="16" t="n"/>
      <c r="Z38" s="16" t="n"/>
      <c r="AA38" s="16" t="n"/>
      <c r="AB38" s="16" t="n"/>
      <c r="AC38" s="16" t="n"/>
      <c r="AD38" s="16" t="n"/>
      <c r="AE38" s="16" t="n"/>
      <c r="AF38" s="16" t="n"/>
    </row>
    <row r="39">
      <c r="L39" s="3" t="n"/>
      <c r="M39" s="27" t="inlineStr">
        <is>
          <t>All Purposes Tour Mode</t>
        </is>
      </c>
      <c r="W39" s="20" t="n"/>
      <c r="X39" s="29" t="inlineStr">
        <is>
          <t>All Purposes Tour Mode</t>
        </is>
      </c>
      <c r="AF39" s="29" t="n"/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  <c r="W40" s="22" t="inlineStr">
        <is>
          <t>Mode</t>
        </is>
      </c>
      <c r="X40" s="23" t="inlineStr">
        <is>
          <t>DA</t>
        </is>
      </c>
      <c r="Y40" s="23" t="inlineStr">
        <is>
          <t>SR2</t>
        </is>
      </c>
      <c r="Z40" s="23" t="inlineStr">
        <is>
          <t>SR3+</t>
        </is>
      </c>
      <c r="AA40" s="23" t="inlineStr">
        <is>
          <t>D-Trans</t>
        </is>
      </c>
      <c r="AB40" s="23" t="inlineStr">
        <is>
          <t>W-Trans</t>
        </is>
      </c>
      <c r="AC40" s="5" t="inlineStr">
        <is>
          <t>Bike</t>
        </is>
      </c>
      <c r="AD40" s="5" t="inlineStr">
        <is>
          <t>Walk</t>
        </is>
      </c>
      <c r="AE40" s="5" t="inlineStr">
        <is>
          <t>Sch Bus</t>
        </is>
      </c>
      <c r="AF40" s="23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W41" s="18" t="inlineStr">
        <is>
          <t>Drive Alone</t>
        </is>
      </c>
      <c r="X41" s="19">
        <f>M41</f>
        <v/>
      </c>
      <c r="Y41" s="19">
        <f>N41</f>
        <v/>
      </c>
      <c r="Z41" s="19">
        <f>O41</f>
        <v/>
      </c>
      <c r="AA41" s="19">
        <f>P41</f>
        <v/>
      </c>
      <c r="AB41" s="19">
        <f>Q41</f>
        <v/>
      </c>
      <c r="AC41" s="19">
        <f>R41</f>
        <v/>
      </c>
      <c r="AD41" s="19">
        <f>S41</f>
        <v/>
      </c>
      <c r="AE41" s="19">
        <f>T41</f>
        <v/>
      </c>
      <c r="AF41" s="19">
        <f>U41</f>
        <v/>
      </c>
    </row>
    <row r="42">
      <c r="L42" t="inlineStr">
        <is>
          <t>Shared Ride 2 - Driver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W42" s="24" t="inlineStr">
        <is>
          <t>Shared Ride 2 - Driver</t>
        </is>
      </c>
      <c r="X42" s="19">
        <f>M42</f>
        <v/>
      </c>
      <c r="Y42" s="19">
        <f>N42</f>
        <v/>
      </c>
      <c r="Z42" s="19">
        <f>O42</f>
        <v/>
      </c>
      <c r="AA42" s="19">
        <f>P42</f>
        <v/>
      </c>
      <c r="AB42" s="19">
        <f>Q42</f>
        <v/>
      </c>
      <c r="AC42" s="19">
        <f>R42</f>
        <v/>
      </c>
      <c r="AD42" s="19">
        <f>S42</f>
        <v/>
      </c>
      <c r="AE42" s="19">
        <f>T42</f>
        <v/>
      </c>
      <c r="AF42" s="19">
        <f>U42</f>
        <v/>
      </c>
    </row>
    <row r="43">
      <c r="L43" t="inlineStr">
        <is>
          <t>Shared Ride 3+ - Driver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W43" s="24" t="inlineStr">
        <is>
          <t>Shared Ride 3+ - Driver</t>
        </is>
      </c>
      <c r="X43" s="19">
        <f>M43</f>
        <v/>
      </c>
      <c r="Y43" s="19">
        <f>N43</f>
        <v/>
      </c>
      <c r="Z43" s="19">
        <f>O43</f>
        <v/>
      </c>
      <c r="AA43" s="19">
        <f>P43</f>
        <v/>
      </c>
      <c r="AB43" s="19">
        <f>Q43</f>
        <v/>
      </c>
      <c r="AC43" s="19">
        <f>R43</f>
        <v/>
      </c>
      <c r="AD43" s="19">
        <f>S43</f>
        <v/>
      </c>
      <c r="AE43" s="19">
        <f>T43</f>
        <v/>
      </c>
      <c r="AF43" s="19">
        <f>U43</f>
        <v/>
      </c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W44" t="inlineStr">
        <is>
          <t>Transit - localbus</t>
        </is>
      </c>
      <c r="X44" s="19">
        <f>M44</f>
        <v/>
      </c>
      <c r="Y44" s="19">
        <f>N44</f>
        <v/>
      </c>
      <c r="Z44" s="19">
        <f>O44</f>
        <v/>
      </c>
      <c r="AA44" s="19">
        <f>P44</f>
        <v/>
      </c>
      <c r="AB44" s="19">
        <f>Q44</f>
        <v/>
      </c>
      <c r="AC44" s="19">
        <f>R44</f>
        <v/>
      </c>
      <c r="AD44" s="19">
        <f>S44</f>
        <v/>
      </c>
      <c r="AE44" s="19">
        <f>T44</f>
        <v/>
      </c>
      <c r="AF44" s="19">
        <f>U44</f>
        <v/>
      </c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W45" t="inlineStr">
        <is>
          <t>Transit - lightrail</t>
        </is>
      </c>
      <c r="X45" s="19">
        <f>M45</f>
        <v/>
      </c>
      <c r="Y45" s="19">
        <f>N45</f>
        <v/>
      </c>
      <c r="Z45" s="19">
        <f>O45</f>
        <v/>
      </c>
      <c r="AA45" s="19">
        <f>P45</f>
        <v/>
      </c>
      <c r="AB45" s="19">
        <f>Q45</f>
        <v/>
      </c>
      <c r="AC45" s="19">
        <f>R45</f>
        <v/>
      </c>
      <c r="AD45" s="19">
        <f>S45</f>
        <v/>
      </c>
      <c r="AE45" s="19">
        <f>T45</f>
        <v/>
      </c>
      <c r="AF45" s="19">
        <f>U45</f>
        <v/>
      </c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W46" t="inlineStr">
        <is>
          <t>Transit - premium bus</t>
        </is>
      </c>
      <c r="X46" s="19">
        <f>M46</f>
        <v/>
      </c>
      <c r="Y46" s="19">
        <f>N46</f>
        <v/>
      </c>
      <c r="Z46" s="19">
        <f>O46</f>
        <v/>
      </c>
      <c r="AA46" s="19">
        <f>P46</f>
        <v/>
      </c>
      <c r="AB46" s="19">
        <f>Q46</f>
        <v/>
      </c>
      <c r="AC46" s="19">
        <f>R46</f>
        <v/>
      </c>
      <c r="AD46" s="19">
        <f>S46</f>
        <v/>
      </c>
      <c r="AE46" s="19">
        <f>T46</f>
        <v/>
      </c>
      <c r="AF46" s="19">
        <f>U46</f>
        <v/>
      </c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W47" t="inlineStr">
        <is>
          <t>Transit - commuter rail</t>
        </is>
      </c>
      <c r="X47" s="19">
        <f>M47</f>
        <v/>
      </c>
      <c r="Y47" s="19">
        <f>N47</f>
        <v/>
      </c>
      <c r="Z47" s="19">
        <f>O47</f>
        <v/>
      </c>
      <c r="AA47" s="19">
        <f>P47</f>
        <v/>
      </c>
      <c r="AB47" s="19">
        <f>Q47</f>
        <v/>
      </c>
      <c r="AC47" s="19">
        <f>R47</f>
        <v/>
      </c>
      <c r="AD47" s="19">
        <f>S47</f>
        <v/>
      </c>
      <c r="AE47" s="19">
        <f>T47</f>
        <v/>
      </c>
      <c r="AF47" s="19">
        <f>U47</f>
        <v/>
      </c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W48" t="inlineStr">
        <is>
          <t>Transit - ferry</t>
        </is>
      </c>
      <c r="X48" s="19">
        <f>M48</f>
        <v/>
      </c>
      <c r="Y48" s="19">
        <f>N48</f>
        <v/>
      </c>
      <c r="Z48" s="19">
        <f>O48</f>
        <v/>
      </c>
      <c r="AA48" s="19">
        <f>P48</f>
        <v/>
      </c>
      <c r="AB48" s="19">
        <f>Q48</f>
        <v/>
      </c>
      <c r="AC48" s="19">
        <f>R48</f>
        <v/>
      </c>
      <c r="AD48" s="19">
        <f>S48</f>
        <v/>
      </c>
      <c r="AE48" s="19">
        <f>T48</f>
        <v/>
      </c>
      <c r="AF48" s="19">
        <f>U48</f>
        <v/>
      </c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W49" s="18" t="inlineStr">
        <is>
          <t>School Bus</t>
        </is>
      </c>
      <c r="X49" s="19">
        <f>M49</f>
        <v/>
      </c>
      <c r="Y49" s="19">
        <f>N49</f>
        <v/>
      </c>
      <c r="Z49" s="19">
        <f>O49</f>
        <v/>
      </c>
      <c r="AA49" s="19">
        <f>P49</f>
        <v/>
      </c>
      <c r="AB49" s="19">
        <f>Q49</f>
        <v/>
      </c>
      <c r="AC49" s="19">
        <f>R49</f>
        <v/>
      </c>
      <c r="AD49" s="19">
        <f>S49</f>
        <v/>
      </c>
      <c r="AE49" s="19">
        <f>T49</f>
        <v/>
      </c>
      <c r="AF49" s="19">
        <f>U49</f>
        <v/>
      </c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W50" s="24" t="inlineStr">
        <is>
          <t>Bike</t>
        </is>
      </c>
      <c r="X50" s="19">
        <f>M50</f>
        <v/>
      </c>
      <c r="Y50" s="19">
        <f>N50</f>
        <v/>
      </c>
      <c r="Z50" s="19">
        <f>O50</f>
        <v/>
      </c>
      <c r="AA50" s="19">
        <f>P50</f>
        <v/>
      </c>
      <c r="AB50" s="19">
        <f>Q50</f>
        <v/>
      </c>
      <c r="AC50" s="19">
        <f>R50</f>
        <v/>
      </c>
      <c r="AD50" s="19">
        <f>S50</f>
        <v/>
      </c>
      <c r="AE50" s="19">
        <f>T50</f>
        <v/>
      </c>
      <c r="AF50" s="19">
        <f>U50</f>
        <v/>
      </c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W51" s="24" t="inlineStr">
        <is>
          <t>Walk</t>
        </is>
      </c>
      <c r="X51" s="19">
        <f>M51</f>
        <v/>
      </c>
      <c r="Y51" s="19">
        <f>N51</f>
        <v/>
      </c>
      <c r="Z51" s="19">
        <f>O51</f>
        <v/>
      </c>
      <c r="AA51" s="19">
        <f>P51</f>
        <v/>
      </c>
      <c r="AB51" s="19">
        <f>Q51</f>
        <v/>
      </c>
      <c r="AC51" s="19">
        <f>R51</f>
        <v/>
      </c>
      <c r="AD51" s="19">
        <f>S51</f>
        <v/>
      </c>
      <c r="AE51" s="19">
        <f>T51</f>
        <v/>
      </c>
      <c r="AF51" s="19">
        <f>U51</f>
        <v/>
      </c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W52" s="17" t="inlineStr">
        <is>
          <t>PRS</t>
        </is>
      </c>
      <c r="X52" s="19">
        <f>M52</f>
        <v/>
      </c>
      <c r="Y52" s="19">
        <f>N52</f>
        <v/>
      </c>
      <c r="Z52" s="19">
        <f>O52</f>
        <v/>
      </c>
      <c r="AA52" s="19">
        <f>P52</f>
        <v/>
      </c>
      <c r="AB52" s="19">
        <f>Q52</f>
        <v/>
      </c>
      <c r="AC52" s="19">
        <f>R52</f>
        <v/>
      </c>
      <c r="AD52" s="19">
        <f>S52</f>
        <v/>
      </c>
      <c r="AE52" s="19">
        <f>T52</f>
        <v/>
      </c>
      <c r="AF52" s="19">
        <f>U52</f>
        <v/>
      </c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W53" s="25" t="inlineStr">
        <is>
          <t>Total</t>
        </is>
      </c>
      <c r="X53" s="26">
        <f>M53</f>
        <v/>
      </c>
      <c r="Y53" s="26">
        <f>N53</f>
        <v/>
      </c>
      <c r="Z53" s="26">
        <f>O53</f>
        <v/>
      </c>
      <c r="AA53" s="26">
        <f>P53</f>
        <v/>
      </c>
      <c r="AB53" s="26">
        <f>Q53</f>
        <v/>
      </c>
      <c r="AC53" s="26">
        <f>R53</f>
        <v/>
      </c>
      <c r="AD53" s="26">
        <f>S53</f>
        <v/>
      </c>
      <c r="AE53" s="26">
        <f>T53</f>
        <v/>
      </c>
      <c r="AF53" s="26">
        <f>U53</f>
        <v/>
      </c>
    </row>
  </sheetData>
  <mergeCells count="6">
    <mergeCell ref="B21:I21"/>
    <mergeCell ref="X39:AE39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AF53"/>
  <sheetViews>
    <sheetView topLeftCell="A3" workbookViewId="0">
      <selection activeCell="I23" sqref="I23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Workbased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Workbased Tour Mode</t>
        </is>
      </c>
      <c r="J3" s="27" t="n"/>
      <c r="L3" s="3" t="n"/>
      <c r="M3" s="27" t="inlineStr">
        <is>
          <t>Workbased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147907.1556446593</v>
      </c>
      <c r="C5" s="6" t="n">
        <v>664.2520391112417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208324</v>
      </c>
      <c r="N5" s="6" t="n">
        <v>4650</v>
      </c>
      <c r="O5" s="6" t="n">
        <v>830</v>
      </c>
      <c r="P5" s="6" t="n">
        <v>0</v>
      </c>
      <c r="Q5" s="6" t="n">
        <v>66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32974.59746293614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45748</v>
      </c>
      <c r="O6" s="6" t="n">
        <v>2967</v>
      </c>
      <c r="P6" s="6" t="n">
        <v>0</v>
      </c>
      <c r="Q6" s="6" t="n">
        <v>562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15564.48218719514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15520</v>
      </c>
      <c r="P7" s="6" t="n">
        <v>0</v>
      </c>
      <c r="Q7" s="6" t="n">
        <v>214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162.9534840469468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2824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3148.42045660436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0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1134.44657437003</v>
      </c>
      <c r="C14" s="6" t="n">
        <v>0</v>
      </c>
      <c r="D14" s="6" t="n">
        <v>0</v>
      </c>
      <c r="E14" s="6" t="n">
        <v>0</v>
      </c>
      <c r="F14" s="6" t="n">
        <v>0</v>
      </c>
      <c r="G14" s="6" t="n">
        <v>256.4411438741485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152</v>
      </c>
      <c r="N14" s="6" t="n">
        <v>52</v>
      </c>
      <c r="O14" s="6" t="n">
        <v>27</v>
      </c>
      <c r="P14" s="6" t="n">
        <v>0</v>
      </c>
      <c r="Q14" s="6" t="n">
        <v>13</v>
      </c>
      <c r="R14" s="6" t="n">
        <v>1018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0</v>
      </c>
      <c r="C15" s="6" t="n">
        <v>898.6958651258481</v>
      </c>
      <c r="D15" s="6" t="n">
        <v>33.6845392524996</v>
      </c>
      <c r="E15" s="6" t="n">
        <v>0</v>
      </c>
      <c r="F15" s="6" t="n">
        <v>3227.167270990498</v>
      </c>
      <c r="G15" s="6" t="n">
        <v>41.8268793914581</v>
      </c>
      <c r="H15" s="6" t="n">
        <v>84645.40428698841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1619</v>
      </c>
      <c r="N15" s="6" t="n">
        <v>331</v>
      </c>
      <c r="O15" s="6" t="n">
        <v>101</v>
      </c>
      <c r="P15" s="6" t="n">
        <v>0</v>
      </c>
      <c r="Q15" s="6" t="n">
        <v>141</v>
      </c>
      <c r="R15" s="6" t="n">
        <v>49</v>
      </c>
      <c r="S15" s="6" t="n">
        <v>135246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24352</v>
      </c>
      <c r="O16" s="6" t="n">
        <v>24225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Workbased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Workbased Tour Mode</t>
        </is>
      </c>
      <c r="J21" s="27" t="n"/>
      <c r="L21" s="3" t="n"/>
      <c r="M21" s="27" t="inlineStr">
        <is>
          <t>Workbased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IF(E$17=0,0,E5/E$17)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IF(I$17=0,0,I5/I$17)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IF(E$17=0,0,E6/E$17)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IF(I$17=0,0,I6/I$17)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IF(E$17=0,0,E7/E$17)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IF(I$17=0,0,I7/I$17)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IF(E$17=0,0,E8/E$17)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IF(I$17=0,0,I8/I$17)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IF(E$17=0,0,E9/E$17)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IF(I$17=0,0,I9/I$17)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IF(E$17=0,0,E10/E$17)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IF(I$17=0,0,I10/I$17)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IF(E$17=0,0,E11/E$17)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IF(I$17=0,0,I11/I$17)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IF(E$17=0,0,E12/E$17)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IF(I$17=0,0,I12/I$17)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IF(E$17=0,0,E13/E$17)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IF(I$17=0,0,I13/I$17)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IF(E$17=0,0,E14/E$17)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IF(I$17=0,0,I14/I$17)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IF(E$17=0,0,E15/E$17)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IF(I$17=0,0,I15/I$17)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IF(E$17=0,0,E16/E$17)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IF(I$17=0,0,I16/I$17)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IF(E$17=0,0,E17/E$17)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IF(I$17=0,0,I17/I$17)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Workbased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Workbased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Shared Ride 2 - Driver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Shared Ride 3+ - Driver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2:AF53"/>
  <sheetViews>
    <sheetView workbookViewId="0">
      <selection activeCell="T35" sqref="T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Work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Work Tour Mode</t>
        </is>
      </c>
      <c r="J3" s="27" t="n"/>
      <c r="L3" s="3" t="n"/>
      <c r="M3" s="27" t="inlineStr">
        <is>
          <t>Work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2275029.23632505</v>
      </c>
      <c r="C5" s="6" t="n">
        <v>384206.8554621012</v>
      </c>
      <c r="D5" s="6" t="n">
        <v>253570.7012235068</v>
      </c>
      <c r="E5" s="6" t="n">
        <v>1200.267051131184</v>
      </c>
      <c r="F5" s="6" t="n">
        <v>7235.047727933619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3496246</v>
      </c>
      <c r="N5" s="6" t="n">
        <v>493883</v>
      </c>
      <c r="O5" s="6" t="n">
        <v>187512</v>
      </c>
      <c r="P5" s="6" t="n">
        <v>211607</v>
      </c>
      <c r="Q5" s="6" t="n">
        <v>21559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369106.2404572957</v>
      </c>
      <c r="D6" s="6" t="n">
        <v>86982.95060748619</v>
      </c>
      <c r="E6" s="6" t="n">
        <v>115.616591287882</v>
      </c>
      <c r="F6" s="6" t="n">
        <v>4094.170146292483</v>
      </c>
      <c r="G6" s="6" t="n">
        <v>0</v>
      </c>
      <c r="H6" s="6" t="n">
        <v>0</v>
      </c>
      <c r="I6" s="6" t="n">
        <v>0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597276</v>
      </c>
      <c r="O6" s="6" t="n">
        <v>98314</v>
      </c>
      <c r="P6" s="6" t="n">
        <v>8062</v>
      </c>
      <c r="Q6" s="6" t="n">
        <v>31568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238746.6655138563</v>
      </c>
      <c r="E7" s="6" t="n">
        <v>0</v>
      </c>
      <c r="F7" s="6" t="n">
        <v>1220.934915741558</v>
      </c>
      <c r="G7" s="6" t="n">
        <v>0</v>
      </c>
      <c r="H7" s="6" t="n">
        <v>0</v>
      </c>
      <c r="I7" s="6" t="n">
        <v>0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334529</v>
      </c>
      <c r="P7" s="6" t="n">
        <v>23</v>
      </c>
      <c r="Q7" s="6" t="n">
        <v>14239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16936.00895290667</v>
      </c>
      <c r="F8" s="6" t="n">
        <v>70357.65461188453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162702</v>
      </c>
      <c r="Q8" s="6" t="n">
        <v>273064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1483.330745194559</v>
      </c>
      <c r="F9" s="6" t="n">
        <v>867.2921115633824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121.1757523866016</v>
      </c>
      <c r="F11" s="6" t="n">
        <v>197.0619425572176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265.5982896309363</v>
      </c>
      <c r="F12" s="6" t="n">
        <v>552.8420255445645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0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3466.967908108165</v>
      </c>
      <c r="C14" s="6" t="n">
        <v>1040.394187695027</v>
      </c>
      <c r="D14" s="6" t="n">
        <v>0</v>
      </c>
      <c r="E14" s="6" t="n">
        <v>32.2943246542917</v>
      </c>
      <c r="F14" s="6" t="n">
        <v>3116.807885538354</v>
      </c>
      <c r="G14" s="6" t="n">
        <v>39733.50108644736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2542</v>
      </c>
      <c r="N14" s="6" t="n">
        <v>3373</v>
      </c>
      <c r="O14" s="6" t="n">
        <v>3126</v>
      </c>
      <c r="P14" s="6" t="n">
        <v>0</v>
      </c>
      <c r="Q14" s="6" t="n">
        <v>4223</v>
      </c>
      <c r="R14" s="6" t="n">
        <v>80255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30450.38931544137</v>
      </c>
      <c r="C15" s="6" t="n">
        <v>13484.6213288844</v>
      </c>
      <c r="D15" s="6" t="n">
        <v>10623.51028407319</v>
      </c>
      <c r="E15" s="6" t="n">
        <v>3274.37649046086</v>
      </c>
      <c r="F15" s="6" t="n">
        <v>13694.40049304024</v>
      </c>
      <c r="G15" s="6" t="n">
        <v>3187.352695226945</v>
      </c>
      <c r="H15" s="6" t="n">
        <v>121465.6353737804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267829</v>
      </c>
      <c r="N15" s="6" t="n">
        <v>147482</v>
      </c>
      <c r="O15" s="6" t="n">
        <v>83264</v>
      </c>
      <c r="P15" s="6" t="n">
        <v>0</v>
      </c>
      <c r="Q15" s="6" t="n">
        <v>104537</v>
      </c>
      <c r="R15" s="6" t="n">
        <v>29766</v>
      </c>
      <c r="S15" s="6" t="n">
        <v>53066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51010</v>
      </c>
      <c r="O16" s="6" t="n">
        <v>21865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Work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Work Tour Mode</t>
        </is>
      </c>
      <c r="J21" s="27" t="n"/>
      <c r="L21" s="3" t="n"/>
      <c r="M21" s="27" t="inlineStr">
        <is>
          <t>Work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E5/E$17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IF(I$17=0,0,I5/I$17)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P5/P$17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E6/E$17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IF(I$17=0,0,I6/I$17)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P6/P$17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E7/E$17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IF(I$17=0,0,I7/I$17)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P7/P$17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E8/E$17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IF(I$17=0,0,I8/I$17)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P8/P$17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E9/E$17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IF(I$17=0,0,I9/I$17)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P9/P$17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E10/E$17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IF(I$17=0,0,I10/I$17)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P10/P$17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E11/E$17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IF(I$17=0,0,I11/I$17)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P11/P$17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E12/E$17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IF(I$17=0,0,I12/I$17)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P12/P$17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E13/E$17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IF(I$17=0,0,I13/I$17)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P13/P$17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E14/E$17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IF(I$17=0,0,I14/I$17)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P14/P$17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E15/E$17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IF(I$17=0,0,I15/I$17)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P15/P$17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E16/E$17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IF(I$17=0,0,I16/I$17)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2">
        <f>P16/P$17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E17/E$17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IF(I$17=0,0,I17/I$17)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P17/P$17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Work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Work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Shared Ride 2 - Driver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Shared Ride 3+ - Driver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2:AF53"/>
  <sheetViews>
    <sheetView topLeftCell="A3" workbookViewId="0">
      <selection activeCell="P35" sqref="P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School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School Tour Mode</t>
        </is>
      </c>
      <c r="J3" s="27" t="n"/>
      <c r="L3" s="3" t="n"/>
      <c r="M3" s="27" t="inlineStr">
        <is>
          <t>School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144864.9131973924</v>
      </c>
      <c r="C5" s="6" t="n">
        <v>430.6022985720715</v>
      </c>
      <c r="D5" s="6" t="n">
        <v>8942.983544095796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193572</v>
      </c>
      <c r="N5" s="6" t="n">
        <v>13425</v>
      </c>
      <c r="O5" s="6" t="n">
        <v>10835</v>
      </c>
      <c r="P5" s="6" t="n">
        <v>0</v>
      </c>
      <c r="Q5" s="6" t="n">
        <v>2621</v>
      </c>
      <c r="R5" s="6" t="n">
        <v>0</v>
      </c>
      <c r="S5" s="6" t="n">
        <v>0</v>
      </c>
      <c r="T5" s="6" t="n">
        <v>1169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135718.1346407309</v>
      </c>
      <c r="D6" s="6" t="n">
        <v>32472.29437443257</v>
      </c>
      <c r="E6" s="6" t="n">
        <v>0</v>
      </c>
      <c r="F6" s="6" t="n">
        <v>5159.193152163342</v>
      </c>
      <c r="G6" s="6" t="n">
        <v>0</v>
      </c>
      <c r="H6" s="6" t="n">
        <v>0</v>
      </c>
      <c r="I6" s="6" t="n">
        <v>21657.20001779048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296981</v>
      </c>
      <c r="O6" s="6" t="n">
        <v>96870</v>
      </c>
      <c r="P6" s="6" t="n">
        <v>0</v>
      </c>
      <c r="Q6" s="6" t="n">
        <v>8460</v>
      </c>
      <c r="R6" s="6" t="n">
        <v>0</v>
      </c>
      <c r="S6" s="6" t="n">
        <v>0</v>
      </c>
      <c r="T6" s="6" t="n">
        <v>60272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295994.0784920083</v>
      </c>
      <c r="E7" s="6" t="n">
        <v>0</v>
      </c>
      <c r="F7" s="6" t="n">
        <v>9901.551631176873</v>
      </c>
      <c r="G7" s="6" t="n">
        <v>0</v>
      </c>
      <c r="H7" s="6" t="n">
        <v>0</v>
      </c>
      <c r="I7" s="6" t="n">
        <v>28334.50828498987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428759</v>
      </c>
      <c r="P7" s="6" t="n">
        <v>0</v>
      </c>
      <c r="Q7" s="6" t="n">
        <v>4142</v>
      </c>
      <c r="R7" s="6" t="n">
        <v>0</v>
      </c>
      <c r="S7" s="6" t="n">
        <v>0</v>
      </c>
      <c r="T7" s="6" t="n">
        <v>59858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47520.86005509359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52217</v>
      </c>
      <c r="R8" s="6" t="n">
        <v>0</v>
      </c>
      <c r="S8" s="6" t="n">
        <v>0</v>
      </c>
      <c r="T8" s="6" t="n">
        <v>208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155.749930223396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155.749930223396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129.827145005795</v>
      </c>
      <c r="G13" s="6" t="n">
        <v>0</v>
      </c>
      <c r="H13" s="6" t="n">
        <v>0</v>
      </c>
      <c r="I13" s="6" t="n">
        <v>208715.0762041242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378706</v>
      </c>
      <c r="U13" s="6">
        <f>SUM(M13:T13)</f>
        <v/>
      </c>
    </row>
    <row r="14">
      <c r="A14" t="inlineStr">
        <is>
          <t>Bike</t>
        </is>
      </c>
      <c r="B14" s="6" t="n">
        <v>0</v>
      </c>
      <c r="C14" s="6" t="n">
        <v>2136.24550804505</v>
      </c>
      <c r="D14" s="6" t="n">
        <v>1069.498998072245</v>
      </c>
      <c r="E14" s="6" t="n">
        <v>0</v>
      </c>
      <c r="F14" s="6" t="n">
        <v>81.9857789787699</v>
      </c>
      <c r="G14" s="6" t="n">
        <v>18813.24852432526</v>
      </c>
      <c r="H14" s="6" t="n">
        <v>0</v>
      </c>
      <c r="I14" s="6" t="n">
        <v>158.906482738807</v>
      </c>
      <c r="J14" s="6">
        <f>SUM(B14:I14)</f>
        <v/>
      </c>
      <c r="K14" s="6" t="n"/>
      <c r="L14" t="inlineStr">
        <is>
          <t>Bike</t>
        </is>
      </c>
      <c r="M14" s="6" t="n">
        <v>378</v>
      </c>
      <c r="N14" s="6" t="n">
        <v>2761</v>
      </c>
      <c r="O14" s="6" t="n">
        <v>3351</v>
      </c>
      <c r="P14" s="6" t="n">
        <v>0</v>
      </c>
      <c r="Q14" s="6" t="n">
        <v>1581</v>
      </c>
      <c r="R14" s="6" t="n">
        <v>20777</v>
      </c>
      <c r="S14" s="6" t="n">
        <v>0</v>
      </c>
      <c r="T14" s="6" t="n">
        <v>2949</v>
      </c>
      <c r="U14" s="6">
        <f>SUM(M14:T14)</f>
        <v/>
      </c>
    </row>
    <row r="15">
      <c r="A15" t="inlineStr">
        <is>
          <t>Walk</t>
        </is>
      </c>
      <c r="B15" s="6" t="n">
        <v>8322.273578194221</v>
      </c>
      <c r="C15" s="6" t="n">
        <v>11544.42979703121</v>
      </c>
      <c r="D15" s="6" t="n">
        <v>16622.78682385169</v>
      </c>
      <c r="E15" s="6" t="n">
        <v>0</v>
      </c>
      <c r="F15" s="6" t="n">
        <v>4497.662875813608</v>
      </c>
      <c r="G15" s="6" t="n">
        <v>171.7996597481047</v>
      </c>
      <c r="H15" s="6" t="n">
        <v>51106.1500320121</v>
      </c>
      <c r="I15" s="6" t="n">
        <v>1548.906869201226</v>
      </c>
      <c r="J15" s="6" t="n">
        <v>0</v>
      </c>
      <c r="K15" s="6" t="n"/>
      <c r="L15" t="inlineStr">
        <is>
          <t>Walk</t>
        </is>
      </c>
      <c r="M15" s="6" t="n">
        <v>2878</v>
      </c>
      <c r="N15" s="6" t="n">
        <v>13535</v>
      </c>
      <c r="O15" s="6" t="n">
        <v>16965</v>
      </c>
      <c r="P15" s="6" t="n">
        <v>0</v>
      </c>
      <c r="Q15" s="6" t="n">
        <v>12498</v>
      </c>
      <c r="R15" s="6" t="n">
        <v>1292</v>
      </c>
      <c r="S15" s="6" t="n">
        <v>106356</v>
      </c>
      <c r="T15" s="6" t="n">
        <v>20861</v>
      </c>
      <c r="U15" s="6" t="n">
        <v>0</v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 t="n">
        <v>759047.1948592288</v>
      </c>
      <c r="K16" s="6" t="n"/>
      <c r="L16" s="4" t="inlineStr">
        <is>
          <t>PRS</t>
        </is>
      </c>
      <c r="M16" s="6" t="n">
        <v>0</v>
      </c>
      <c r="N16" s="6" t="n">
        <v>2353</v>
      </c>
      <c r="O16" s="6" t="n">
        <v>2436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 t="n">
        <v>780576</v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School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School Tour Mode</t>
        </is>
      </c>
      <c r="J21" s="27" t="n"/>
      <c r="L21" s="3" t="n"/>
      <c r="M21" s="27" t="inlineStr">
        <is>
          <t>School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IF(E$17=0,0,E5/E$17)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I5/I$17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T5/T$17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IF(E$17=0,0,E6/E$17)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I6/I$17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T6/T$17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IF(E$17=0,0,E7/E$17)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I7/I$17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T7/T$17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IF(E$17=0,0,E8/E$17)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I8/I$17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T8/T$17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IF(E$17=0,0,E9/E$17)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I9/I$17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T9/T$17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IF(E$17=0,0,E10/E$17)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I10/I$17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T10/T$17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IF(E$17=0,0,E11/E$17)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I11/I$17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T11/T$17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IF(E$17=0,0,E12/E$17)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I12/I$17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T12/T$17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IF(E$17=0,0,E13/E$17)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I13/I$17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T13/T$17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IF(E$17=0,0,E14/E$17)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I14/I$17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T14/T$17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IF(E$17=0,0,E15/E$17)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I15/I$17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T15/T$17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IF(E$17=0,0,E16/E$17)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I16/I$17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2">
        <f>T16/T$17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IF(E$17=0,0,E17/E$17)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I17/I$17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T17/T$17</f>
        <v/>
      </c>
      <c r="U35" s="13">
        <f>U17/U$17</f>
        <v/>
      </c>
    </row>
    <row r="38" ht="15.75" customHeight="1" s="28" thickBot="1">
      <c r="L38" s="1" t="inlineStr">
        <is>
          <t>Table X. Estimated-Observed School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School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2:AF53"/>
  <sheetViews>
    <sheetView topLeftCell="A6" zoomScaleNormal="100" workbookViewId="0">
      <selection activeCell="T35" sqref="T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Escort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Escort Tour Mode</t>
        </is>
      </c>
      <c r="J3" s="27" t="n"/>
      <c r="L3" s="3" t="n"/>
      <c r="M3" s="27" t="inlineStr">
        <is>
          <t>Escort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52126.61457281307</v>
      </c>
      <c r="C5" s="6" t="n">
        <v>182211.957044385</v>
      </c>
      <c r="D5" s="6" t="n">
        <v>106373.2159063869</v>
      </c>
      <c r="E5" s="6" t="n">
        <v>0</v>
      </c>
      <c r="F5" s="6" t="n">
        <v>137.5453265377751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365</v>
      </c>
      <c r="N5" s="6" t="n">
        <v>342273</v>
      </c>
      <c r="O5" s="6" t="n">
        <v>154166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340421.2010815949</v>
      </c>
      <c r="D6" s="6" t="n">
        <v>108627.2235513181</v>
      </c>
      <c r="E6" s="6" t="n">
        <v>0</v>
      </c>
      <c r="F6" s="6" t="n">
        <v>77.61988401899519</v>
      </c>
      <c r="G6" s="6" t="n">
        <v>0</v>
      </c>
      <c r="H6" s="6" t="n">
        <v>0</v>
      </c>
      <c r="I6" s="6" t="n">
        <v>246.3541048681381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675193</v>
      </c>
      <c r="O6" s="6" t="n">
        <v>136485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349751.8448953742</v>
      </c>
      <c r="E7" s="6" t="n">
        <v>0</v>
      </c>
      <c r="F7" s="6" t="n">
        <v>2216.418846000495</v>
      </c>
      <c r="G7" s="6" t="n">
        <v>0</v>
      </c>
      <c r="H7" s="6" t="n">
        <v>0</v>
      </c>
      <c r="I7" s="6" t="n">
        <v>0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523068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3600.129343342852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59.3693690448503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246.3541048681381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0</v>
      </c>
      <c r="C14" s="6" t="n">
        <v>273.711300183966</v>
      </c>
      <c r="D14" s="6" t="n">
        <v>0</v>
      </c>
      <c r="E14" s="6" t="n">
        <v>0</v>
      </c>
      <c r="F14" s="6" t="n">
        <v>0</v>
      </c>
      <c r="G14" s="6" t="n">
        <v>3375.395657805205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0</v>
      </c>
      <c r="N14" s="6" t="n">
        <v>8528</v>
      </c>
      <c r="O14" s="6" t="n">
        <v>7297</v>
      </c>
      <c r="P14" s="6" t="n">
        <v>0</v>
      </c>
      <c r="Q14" s="6" t="n">
        <v>0</v>
      </c>
      <c r="R14" s="6" t="n">
        <v>10012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102.233035580121</v>
      </c>
      <c r="C15" s="6" t="n">
        <v>17920.50544115828</v>
      </c>
      <c r="D15" s="6" t="n">
        <v>4307.198888037002</v>
      </c>
      <c r="E15" s="6" t="n">
        <v>0</v>
      </c>
      <c r="F15" s="6" t="n">
        <v>5909.167596962175</v>
      </c>
      <c r="G15" s="6" t="n">
        <v>0</v>
      </c>
      <c r="H15" s="6" t="n">
        <v>100284.391153219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0</v>
      </c>
      <c r="N15" s="6" t="n">
        <v>39861</v>
      </c>
      <c r="O15" s="6" t="n">
        <v>28618</v>
      </c>
      <c r="P15" s="6" t="n">
        <v>0</v>
      </c>
      <c r="Q15" s="6" t="n">
        <v>0</v>
      </c>
      <c r="R15" s="6" t="n">
        <v>149</v>
      </c>
      <c r="S15" s="6" t="n">
        <v>61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0</v>
      </c>
      <c r="O16" s="6" t="n">
        <v>0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Escort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Escort Tour Mode</t>
        </is>
      </c>
      <c r="J21" s="27" t="n"/>
      <c r="L21" s="3" t="n"/>
      <c r="M21" s="27" t="inlineStr">
        <is>
          <t>Escort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IF(E$17=0,0,E5/E$17)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I5/I$17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IF(Q$17=0,0,Q5/Q$17)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IF(E$17=0,0,E6/E$17)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I6/I$17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IF(Q$17=0,0,Q6/Q$17)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IF(E$17=0,0,E7/E$17)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I7/I$17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IF(Q$17=0,0,Q7/Q$17)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IF(E$17=0,0,E8/E$17)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I8/I$17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IF(Q$17=0,0,Q8/Q$17)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IF(E$17=0,0,E9/E$17)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I9/I$17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IF(Q$17=0,0,Q9/Q$17)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IF(E$17=0,0,E10/E$17)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I10/I$17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IF(Q$17=0,0,Q10/Q$17)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IF(E$17=0,0,E11/E$17)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I11/I$17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IF(Q$17=0,0,Q11/Q$17)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IF(E$17=0,0,E12/E$17)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I12/I$17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IF(Q$17=0,0,Q12/Q$17)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IF(E$17=0,0,E13/E$17)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I13/I$17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IF(Q$17=0,0,Q13/Q$17)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IF(E$17=0,0,E14/E$17)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I14/I$17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IF(Q$17=0,0,Q14/Q$17)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IF(E$17=0,0,E15/E$17)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I15/I$17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IF(Q$17=0,0,Q15/Q$17)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IF(E$17=0,0,E16/E$17)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I16/I$17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1">
        <f>IF(Q$17=0,0,Q16/Q$17)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IF(E$17=0,0,E17/E$17)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I17/I$17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IF(Q$17=0,0,Q17/Q$17)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Escort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Escort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Sch Bus</t>
        </is>
      </c>
      <c r="S40" s="5" t="inlineStr">
        <is>
          <t>Bike</t>
        </is>
      </c>
      <c r="T40" s="5" t="inlineStr">
        <is>
          <t>Walk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2:AF53"/>
  <sheetViews>
    <sheetView topLeftCell="A6" workbookViewId="0">
      <selection activeCell="T35" sqref="T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Personal Business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Personal Business Tour Mode</t>
        </is>
      </c>
      <c r="J3" s="27" t="n"/>
      <c r="L3" s="3" t="n"/>
      <c r="M3" s="27" t="inlineStr">
        <is>
          <t>Personal Business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516877.7535430082</v>
      </c>
      <c r="C5" s="6" t="n">
        <v>22690.62988174962</v>
      </c>
      <c r="D5" s="6" t="n">
        <v>11783.16243388351</v>
      </c>
      <c r="E5" s="6" t="n">
        <v>0</v>
      </c>
      <c r="F5" s="6" t="n">
        <v>3990.005986993898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615127</v>
      </c>
      <c r="N5" s="6" t="n">
        <v>43989</v>
      </c>
      <c r="O5" s="6" t="n">
        <v>13514</v>
      </c>
      <c r="P5" s="6" t="n">
        <v>0</v>
      </c>
      <c r="Q5" s="6" t="n">
        <v>328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157382.4897996277</v>
      </c>
      <c r="D6" s="6" t="n">
        <v>8990.915112568897</v>
      </c>
      <c r="E6" s="6" t="n">
        <v>890.793260771974</v>
      </c>
      <c r="F6" s="6" t="n">
        <v>400.122299012784</v>
      </c>
      <c r="G6" s="6" t="n">
        <v>0</v>
      </c>
      <c r="H6" s="6" t="n">
        <v>0</v>
      </c>
      <c r="I6" s="6" t="n">
        <v>0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524244</v>
      </c>
      <c r="O6" s="6" t="n">
        <v>88891</v>
      </c>
      <c r="P6" s="6" t="n">
        <v>0</v>
      </c>
      <c r="Q6" s="6" t="n">
        <v>3565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59215.46128789616</v>
      </c>
      <c r="E7" s="6" t="n">
        <v>373.1513632341473</v>
      </c>
      <c r="F7" s="6" t="n">
        <v>0</v>
      </c>
      <c r="G7" s="6" t="n">
        <v>0</v>
      </c>
      <c r="H7" s="6" t="n">
        <v>0</v>
      </c>
      <c r="I7" s="6" t="n">
        <v>0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418208</v>
      </c>
      <c r="P7" s="6" t="n">
        <v>0</v>
      </c>
      <c r="Q7" s="6" t="n">
        <v>1582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1139.929212984967</v>
      </c>
      <c r="F8" s="6" t="n">
        <v>58642.35622184986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23554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110.9764603879511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2723.99900538825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84.4096579673609</v>
      </c>
      <c r="F12" s="6" t="n">
        <v>5432.612037191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0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0</v>
      </c>
      <c r="C14" s="6" t="n">
        <v>0</v>
      </c>
      <c r="D14" s="6" t="n">
        <v>0</v>
      </c>
      <c r="E14" s="6" t="n">
        <v>0</v>
      </c>
      <c r="F14" s="6" t="n">
        <v>0</v>
      </c>
      <c r="G14" s="6" t="n">
        <v>37433.68823179552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932</v>
      </c>
      <c r="N14" s="6" t="n">
        <v>1202</v>
      </c>
      <c r="O14" s="6" t="n">
        <v>1053</v>
      </c>
      <c r="P14" s="6" t="n">
        <v>0</v>
      </c>
      <c r="Q14" s="6" t="n">
        <v>481</v>
      </c>
      <c r="R14" s="6" t="n">
        <v>32681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3468.864313509246</v>
      </c>
      <c r="C15" s="6" t="n">
        <v>741.022131646258</v>
      </c>
      <c r="D15" s="6" t="n">
        <v>884.3462794988302</v>
      </c>
      <c r="E15" s="6" t="n">
        <v>823.710860293903</v>
      </c>
      <c r="F15" s="6" t="n">
        <v>9925.093544449337</v>
      </c>
      <c r="G15" s="6" t="n">
        <v>0</v>
      </c>
      <c r="H15" s="6" t="n">
        <v>25636.52939901791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8319</v>
      </c>
      <c r="N15" s="6" t="n">
        <v>5709</v>
      </c>
      <c r="O15" s="6" t="n">
        <v>3551</v>
      </c>
      <c r="P15" s="6" t="n">
        <v>0</v>
      </c>
      <c r="Q15" s="6" t="n">
        <v>5086</v>
      </c>
      <c r="R15" s="6" t="n">
        <v>2303</v>
      </c>
      <c r="S15" s="6" t="n">
        <v>108933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3956</v>
      </c>
      <c r="O16" s="6" t="n">
        <v>4878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Personal Business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Personal Business Tour Mode</t>
        </is>
      </c>
      <c r="J21" s="27" t="n"/>
      <c r="L21" s="3" t="n"/>
      <c r="M21" s="27" t="inlineStr">
        <is>
          <t>Personal Business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E5/E$17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IF(I$17=0,0,I5/I$17)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E6/E$17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IF(I$17=0,0,I6/I$17)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E7/E$17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IF(I$17=0,0,I7/I$17)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E8/E$17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IF(I$17=0,0,I8/I$17)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E9/E$17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IF(I$17=0,0,I9/I$17)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E10/E$17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IF(I$17=0,0,I10/I$17)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E11/E$17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IF(I$17=0,0,I11/I$17)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E12/E$17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IF(I$17=0,0,I12/I$17)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E13/E$17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IF(I$17=0,0,I13/I$17)</f>
        <v/>
      </c>
      <c r="J31" s="11">
        <f>J13/J$17</f>
        <v/>
      </c>
      <c r="K31" s="6" t="n"/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E14/E$17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IF(I$17=0,0,I14/I$17)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E15/E$17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IF(I$17=0,0,I15/I$17)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E16/E$17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IF(I$17=0,0,I16/I$17)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E17/E$17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IF(I$17=0,0,I17/I$17)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Personal Business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Personal Business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2:AF53"/>
  <sheetViews>
    <sheetView topLeftCell="A3" workbookViewId="0">
      <selection activeCell="T35" sqref="T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Shop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Shop Tour Mode</t>
        </is>
      </c>
      <c r="J3" s="27" t="n"/>
      <c r="L3" s="3" t="n"/>
      <c r="M3" s="27" t="inlineStr">
        <is>
          <t>Shop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804028.7208332849</v>
      </c>
      <c r="C5" s="6" t="n">
        <v>44460.43028984837</v>
      </c>
      <c r="D5" s="6" t="n">
        <v>5901.640651643257</v>
      </c>
      <c r="E5" s="6" t="n">
        <v>0</v>
      </c>
      <c r="F5" s="6" t="n">
        <v>338.5800495076606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617758</v>
      </c>
      <c r="N5" s="6" t="n">
        <v>24569</v>
      </c>
      <c r="O5" s="6" t="n">
        <v>8778</v>
      </c>
      <c r="P5" s="6" t="n">
        <v>0</v>
      </c>
      <c r="Q5" s="6" t="n">
        <v>135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370385.8022995921</v>
      </c>
      <c r="D6" s="6" t="n">
        <v>59427.48868779329</v>
      </c>
      <c r="E6" s="6" t="n">
        <v>0</v>
      </c>
      <c r="F6" s="6" t="n">
        <v>1618.210520935774</v>
      </c>
      <c r="G6" s="6" t="n">
        <v>0</v>
      </c>
      <c r="H6" s="6" t="n">
        <v>0</v>
      </c>
      <c r="I6" s="6" t="n">
        <v>0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472190</v>
      </c>
      <c r="O6" s="6" t="n">
        <v>81809</v>
      </c>
      <c r="P6" s="6" t="n">
        <v>0</v>
      </c>
      <c r="Q6" s="6" t="n">
        <v>2660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117864.8513238438</v>
      </c>
      <c r="E7" s="6" t="n">
        <v>0</v>
      </c>
      <c r="F7" s="6" t="n">
        <v>170.137501718894</v>
      </c>
      <c r="G7" s="6" t="n">
        <v>0</v>
      </c>
      <c r="H7" s="6" t="n">
        <v>0</v>
      </c>
      <c r="I7" s="6" t="n">
        <v>43.2546483332316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399767</v>
      </c>
      <c r="P7" s="6" t="n">
        <v>0</v>
      </c>
      <c r="Q7" s="6" t="n">
        <v>1124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55433.01024484033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13952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417.1307501585499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21.6273241666158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29.3745074106049</v>
      </c>
      <c r="C14" s="6" t="n">
        <v>0</v>
      </c>
      <c r="D14" s="6" t="n">
        <v>0</v>
      </c>
      <c r="E14" s="6" t="n">
        <v>0</v>
      </c>
      <c r="F14" s="6" t="n">
        <v>0</v>
      </c>
      <c r="G14" s="6" t="n">
        <v>2786.682201694591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1027</v>
      </c>
      <c r="N14" s="6" t="n">
        <v>784</v>
      </c>
      <c r="O14" s="6" t="n">
        <v>619</v>
      </c>
      <c r="P14" s="6" t="n">
        <v>0</v>
      </c>
      <c r="Q14" s="6" t="n">
        <v>221</v>
      </c>
      <c r="R14" s="6" t="n">
        <v>37287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5164.870349852153</v>
      </c>
      <c r="C15" s="6" t="n">
        <v>204.8314464704893</v>
      </c>
      <c r="D15" s="6" t="n">
        <v>1795.569385575839</v>
      </c>
      <c r="E15" s="6" t="n">
        <v>0</v>
      </c>
      <c r="F15" s="6" t="n">
        <v>38807.25013596888</v>
      </c>
      <c r="G15" s="6" t="n">
        <v>447.4913934622862</v>
      </c>
      <c r="H15" s="6" t="n">
        <v>195103.0147189555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10123</v>
      </c>
      <c r="N15" s="6" t="n">
        <v>3638</v>
      </c>
      <c r="O15" s="6" t="n">
        <v>2251</v>
      </c>
      <c r="P15" s="6" t="n">
        <v>0</v>
      </c>
      <c r="Q15" s="6" t="n">
        <v>2682</v>
      </c>
      <c r="R15" s="6" t="n">
        <v>2645</v>
      </c>
      <c r="S15" s="6" t="n">
        <v>132207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4311</v>
      </c>
      <c r="O16" s="6" t="n">
        <v>5136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Shop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Shop Tour Mode</t>
        </is>
      </c>
      <c r="J21" s="27" t="n"/>
      <c r="L21" s="3" t="n"/>
      <c r="M21" s="27" t="inlineStr">
        <is>
          <t>Shop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IF(E$17=0,0,E5/E$17)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I5/I$17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IF(E$17=0,0,E6/E$17)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I6/I$17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IF(E$17=0,0,E7/E$17)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I7/I$17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IF(E$17=0,0,E8/E$17)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I8/I$17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IF(E$17=0,0,E9/E$17)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I9/I$17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IF(E$17=0,0,E10/E$17)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I10/I$17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IF(E$17=0,0,E11/E$17)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I11/I$17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IF(E$17=0,0,E12/E$17)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I12/I$17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IF(E$17=0,0,E13/E$17)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I13/I$17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IF(E$17=0,0,E14/E$17)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I14/I$17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IF(E$17=0,0,E15/E$17)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I15/I$17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IF(E$17=0,0,E16/E$17)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I16/I$17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IF(E$17=0,0,E17/E$17)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I17/I$17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Shop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Shop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2:AF53"/>
  <sheetViews>
    <sheetView tabSelected="1" topLeftCell="A6" workbookViewId="0">
      <selection activeCell="T35" sqref="T35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Meal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Meal Tour Mode</t>
        </is>
      </c>
      <c r="J3" s="27" t="n"/>
      <c r="L3" s="3" t="n"/>
      <c r="M3" s="27" t="inlineStr">
        <is>
          <t>Meal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139844.2806138158</v>
      </c>
      <c r="C5" s="6" t="n">
        <v>31523.70137465558</v>
      </c>
      <c r="D5" s="6" t="n">
        <v>20911.83895168079</v>
      </c>
      <c r="E5" s="6" t="n">
        <v>7.27444752498505</v>
      </c>
      <c r="F5" s="6" t="n">
        <v>249.333500811991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96064</v>
      </c>
      <c r="N5" s="6" t="n">
        <v>12958</v>
      </c>
      <c r="O5" s="6" t="n">
        <v>3930</v>
      </c>
      <c r="P5" s="6" t="n">
        <v>0</v>
      </c>
      <c r="Q5" s="6" t="n">
        <v>62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318862.2214909399</v>
      </c>
      <c r="D6" s="6" t="n">
        <v>21797.19149308802</v>
      </c>
      <c r="E6" s="6" t="n">
        <v>0</v>
      </c>
      <c r="F6" s="6" t="n">
        <v>163.3194963844591</v>
      </c>
      <c r="G6" s="6" t="n">
        <v>0</v>
      </c>
      <c r="H6" s="6" t="n">
        <v>0</v>
      </c>
      <c r="I6" s="6" t="n">
        <v>0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186410</v>
      </c>
      <c r="O6" s="6" t="n">
        <v>26957</v>
      </c>
      <c r="P6" s="6" t="n">
        <v>0</v>
      </c>
      <c r="Q6" s="6" t="n">
        <v>855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129897.6373141701</v>
      </c>
      <c r="E7" s="6" t="n">
        <v>129.6340942540225</v>
      </c>
      <c r="F7" s="6" t="n">
        <v>0</v>
      </c>
      <c r="G7" s="6" t="n">
        <v>0</v>
      </c>
      <c r="H7" s="6" t="n">
        <v>0</v>
      </c>
      <c r="I7" s="6" t="n">
        <v>0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133263</v>
      </c>
      <c r="P7" s="6" t="n">
        <v>0</v>
      </c>
      <c r="Q7" s="6" t="n">
        <v>387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48.5247575065626</v>
      </c>
      <c r="F8" s="6" t="n">
        <v>5004.087001633898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4326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86.06212261459467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115.92518755828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23.312448148228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0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7305.300576367621</v>
      </c>
      <c r="C14" s="6" t="n">
        <v>0</v>
      </c>
      <c r="D14" s="6" t="n">
        <v>24.7192217285447</v>
      </c>
      <c r="E14" s="6" t="n">
        <v>0</v>
      </c>
      <c r="F14" s="6" t="n">
        <v>0</v>
      </c>
      <c r="G14" s="6" t="n">
        <v>7479.632237130967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152</v>
      </c>
      <c r="N14" s="6" t="n">
        <v>303</v>
      </c>
      <c r="O14" s="6" t="n">
        <v>193</v>
      </c>
      <c r="P14" s="6" t="n">
        <v>0</v>
      </c>
      <c r="Q14" s="6" t="n">
        <v>61</v>
      </c>
      <c r="R14" s="6" t="n">
        <v>3207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14972.82211982682</v>
      </c>
      <c r="C15" s="6" t="n">
        <v>9589.606384618643</v>
      </c>
      <c r="D15" s="6" t="n">
        <v>5190.728065418392</v>
      </c>
      <c r="E15" s="6" t="n">
        <v>0</v>
      </c>
      <c r="F15" s="6" t="n">
        <v>1811.723795889933</v>
      </c>
      <c r="G15" s="6" t="n">
        <v>356.2190074045454</v>
      </c>
      <c r="H15" s="6" t="n">
        <v>69453.08364909451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1299</v>
      </c>
      <c r="N15" s="6" t="n">
        <v>1310</v>
      </c>
      <c r="O15" s="6" t="n">
        <v>788</v>
      </c>
      <c r="P15" s="6" t="n">
        <v>0</v>
      </c>
      <c r="Q15" s="6" t="n">
        <v>677</v>
      </c>
      <c r="R15" s="6" t="n">
        <v>184</v>
      </c>
      <c r="S15" s="6" t="n">
        <v>101494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562</v>
      </c>
      <c r="O16" s="6" t="n">
        <v>727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Meal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Meal Tour Mode</t>
        </is>
      </c>
      <c r="J21" s="27" t="n"/>
      <c r="L21" s="3" t="n"/>
      <c r="M21" s="27" t="inlineStr">
        <is>
          <t>Meal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E5/E$17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IF(I$17=0,0,I5/I$17)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Shared Ride 2 - Driver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E6/E$17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IF(I$17=0,0,I6/I$17)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Shared Ride 3+ - Driver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E7/E$17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IF(I$17=0,0,I7/I$17)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E8/E$17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IF(I$17=0,0,I8/I$17)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E9/E$17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IF(I$17=0,0,I9/I$17)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E10/E$17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IF(I$17=0,0,I10/I$17)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E11/E$17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IF(I$17=0,0,I11/I$17)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E12/E$17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IF(I$17=0,0,I12/I$17)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E13/E$17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IF(I$17=0,0,I13/I$17)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E14/E$17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IF(I$17=0,0,I14/I$17)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E15/E$17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IF(I$17=0,0,I15/I$17)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E16/E$17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IF(I$17=0,0,I16/I$17)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E17/E$17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IF(I$17=0,0,I17/I$17)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Meal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Meal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2:AF53"/>
  <sheetViews>
    <sheetView workbookViewId="0">
      <selection activeCell="T36" sqref="T36"/>
    </sheetView>
  </sheetViews>
  <sheetFormatPr baseColWidth="8" defaultRowHeight="15"/>
  <cols>
    <col collapsed="1" width="25" customWidth="1" style="28" min="1" max="1"/>
    <col collapsed="1" width="10.7109375" customWidth="1" style="28" min="2" max="10"/>
    <col collapsed="1" width="3.7109375" customWidth="1" style="28" min="11" max="11"/>
    <col collapsed="1" width="25" customWidth="1" style="28" min="12" max="12"/>
    <col collapsed="1" width="10.7109375" customWidth="1" style="28" min="13" max="22"/>
    <col collapsed="1" width="17" customWidth="1" style="28" min="23" max="23"/>
  </cols>
  <sheetData>
    <row r="2" ht="15.75" customHeight="1" s="28" thickBot="1">
      <c r="A2" s="1" t="inlineStr">
        <is>
          <t>Table X. Observed Work Tour Modes: Survey</t>
        </is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inlineStr">
        <is>
          <t>Table X. Estimated Social/Recreational Tour Modes: DaySim</t>
        </is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3" t="n"/>
      <c r="B3" s="27" t="inlineStr">
        <is>
          <t>SocRec Tour Mode</t>
        </is>
      </c>
      <c r="J3" s="27" t="n"/>
      <c r="L3" s="3" t="n"/>
      <c r="M3" s="27" t="inlineStr">
        <is>
          <t>SocRec Tour Mode</t>
        </is>
      </c>
    </row>
    <row r="4">
      <c r="A4" s="4" t="inlineStr">
        <is>
          <t>Mode</t>
        </is>
      </c>
      <c r="B4" s="5" t="inlineStr">
        <is>
          <t>DA</t>
        </is>
      </c>
      <c r="C4" s="5" t="inlineStr">
        <is>
          <t>SR2</t>
        </is>
      </c>
      <c r="D4" s="5" t="inlineStr">
        <is>
          <t>SR3+</t>
        </is>
      </c>
      <c r="E4" s="5" t="inlineStr">
        <is>
          <t>D-Trans</t>
        </is>
      </c>
      <c r="F4" s="5" t="inlineStr">
        <is>
          <t>W-Trans</t>
        </is>
      </c>
      <c r="G4" s="5" t="inlineStr">
        <is>
          <t>Bike</t>
        </is>
      </c>
      <c r="H4" s="5" t="inlineStr">
        <is>
          <t>Walk</t>
        </is>
      </c>
      <c r="I4" s="5" t="inlineStr">
        <is>
          <t>Sch Bus</t>
        </is>
      </c>
      <c r="J4" s="5" t="inlineStr">
        <is>
          <t>Total</t>
        </is>
      </c>
      <c r="L4" s="4" t="inlineStr">
        <is>
          <t>Mode</t>
        </is>
      </c>
      <c r="M4" s="5" t="inlineStr">
        <is>
          <t>DA</t>
        </is>
      </c>
      <c r="N4" s="5" t="inlineStr">
        <is>
          <t>SR2</t>
        </is>
      </c>
      <c r="O4" s="5" t="inlineStr">
        <is>
          <t>SR3+</t>
        </is>
      </c>
      <c r="P4" s="5" t="inlineStr">
        <is>
          <t>D-Trans</t>
        </is>
      </c>
      <c r="Q4" s="5" t="inlineStr">
        <is>
          <t>W-Trans</t>
        </is>
      </c>
      <c r="R4" s="5" t="inlineStr">
        <is>
          <t>Bike</t>
        </is>
      </c>
      <c r="S4" s="5" t="inlineStr">
        <is>
          <t>Walk</t>
        </is>
      </c>
      <c r="T4" s="5" t="inlineStr">
        <is>
          <t>Sch Bus</t>
        </is>
      </c>
      <c r="U4" s="5" t="inlineStr">
        <is>
          <t>Total</t>
        </is>
      </c>
    </row>
    <row r="5">
      <c r="A5" t="inlineStr">
        <is>
          <t>Drive Alone</t>
        </is>
      </c>
      <c r="B5" s="6" t="n">
        <v>1020045.614751988</v>
      </c>
      <c r="C5" s="6" t="n">
        <v>89338.68602530661</v>
      </c>
      <c r="D5" s="6" t="n">
        <v>55458.7279424046</v>
      </c>
      <c r="E5" s="6" t="n">
        <v>143.1696742770065</v>
      </c>
      <c r="F5" s="6" t="n">
        <v>2108.903703745377</v>
      </c>
      <c r="G5" s="6" t="n">
        <v>0</v>
      </c>
      <c r="H5" s="6" t="n">
        <v>0</v>
      </c>
      <c r="I5" s="6" t="n">
        <v>0</v>
      </c>
      <c r="J5" s="6">
        <f>SUM(B5:I5)</f>
        <v/>
      </c>
      <c r="K5" s="6" t="n"/>
      <c r="L5" t="inlineStr">
        <is>
          <t>Drive Alone</t>
        </is>
      </c>
      <c r="M5" s="6" t="n">
        <v>451996</v>
      </c>
      <c r="N5" s="6" t="n">
        <v>39200</v>
      </c>
      <c r="O5" s="6" t="n">
        <v>12832</v>
      </c>
      <c r="P5" s="6" t="n">
        <v>0</v>
      </c>
      <c r="Q5" s="6" t="n">
        <v>181</v>
      </c>
      <c r="R5" s="6" t="n">
        <v>0</v>
      </c>
      <c r="S5" s="6" t="n">
        <v>0</v>
      </c>
      <c r="T5" s="6" t="n">
        <v>0</v>
      </c>
      <c r="U5" s="6">
        <f>SUM(M5:T5)</f>
        <v/>
      </c>
    </row>
    <row r="6">
      <c r="A6" t="inlineStr">
        <is>
          <t>SR2</t>
        </is>
      </c>
      <c r="B6" s="6" t="n">
        <v>0</v>
      </c>
      <c r="C6" s="6" t="n">
        <v>628708.1397693917</v>
      </c>
      <c r="D6" s="6" t="n">
        <v>49363.87748831408</v>
      </c>
      <c r="E6" s="6" t="n">
        <v>437.1175357816688</v>
      </c>
      <c r="F6" s="6" t="n">
        <v>2314.302899747057</v>
      </c>
      <c r="G6" s="6" t="n">
        <v>0</v>
      </c>
      <c r="H6" s="6" t="n">
        <v>0</v>
      </c>
      <c r="I6" s="6" t="n">
        <v>5242.832804225779</v>
      </c>
      <c r="J6" s="6">
        <f>SUM(B6:I6)</f>
        <v/>
      </c>
      <c r="K6" s="6" t="n"/>
      <c r="L6" t="inlineStr">
        <is>
          <t>SR2</t>
        </is>
      </c>
      <c r="M6" s="6" t="n">
        <v>0</v>
      </c>
      <c r="N6" s="6" t="n">
        <v>531433</v>
      </c>
      <c r="O6" s="6" t="n">
        <v>83230</v>
      </c>
      <c r="P6" s="6" t="n">
        <v>0</v>
      </c>
      <c r="Q6" s="6" t="n">
        <v>1898</v>
      </c>
      <c r="R6" s="6" t="n">
        <v>0</v>
      </c>
      <c r="S6" s="6" t="n">
        <v>0</v>
      </c>
      <c r="T6" s="6" t="n">
        <v>0</v>
      </c>
      <c r="U6" s="6">
        <f>SUM(M6:T6)</f>
        <v/>
      </c>
    </row>
    <row r="7">
      <c r="A7" t="inlineStr">
        <is>
          <t>SR3</t>
        </is>
      </c>
      <c r="B7" s="6" t="n">
        <v>0</v>
      </c>
      <c r="C7" s="6" t="n">
        <v>0</v>
      </c>
      <c r="D7" s="6" t="n">
        <v>518351.0595181022</v>
      </c>
      <c r="E7" s="6" t="n">
        <v>4804.305293763428</v>
      </c>
      <c r="F7" s="6" t="n">
        <v>2025.5512464229</v>
      </c>
      <c r="G7" s="6" t="n">
        <v>0</v>
      </c>
      <c r="H7" s="6" t="n">
        <v>0</v>
      </c>
      <c r="I7" s="6" t="n">
        <v>126.745482238371</v>
      </c>
      <c r="J7" s="6">
        <f>SUM(B7:I7)</f>
        <v/>
      </c>
      <c r="K7" s="6" t="n"/>
      <c r="L7" t="inlineStr">
        <is>
          <t>SR3</t>
        </is>
      </c>
      <c r="M7" s="6" t="n">
        <v>0</v>
      </c>
      <c r="N7" s="6" t="n">
        <v>0</v>
      </c>
      <c r="O7" s="6" t="n">
        <v>443164</v>
      </c>
      <c r="P7" s="6" t="n">
        <v>0</v>
      </c>
      <c r="Q7" s="6" t="n">
        <v>819</v>
      </c>
      <c r="R7" s="6" t="n">
        <v>0</v>
      </c>
      <c r="S7" s="6" t="n">
        <v>0</v>
      </c>
      <c r="T7" s="6" t="n">
        <v>0</v>
      </c>
      <c r="U7" s="6">
        <f>SUM(M7:T7)</f>
        <v/>
      </c>
    </row>
    <row r="8">
      <c r="A8" t="inlineStr">
        <is>
          <t>Transit - localbus</t>
        </is>
      </c>
      <c r="B8" s="6" t="n">
        <v>0</v>
      </c>
      <c r="C8" s="6" t="n">
        <v>0</v>
      </c>
      <c r="D8" s="6" t="n">
        <v>0</v>
      </c>
      <c r="E8" s="6" t="n">
        <v>1258.125556700602</v>
      </c>
      <c r="F8" s="6" t="n">
        <v>97468.97117601824</v>
      </c>
      <c r="G8" s="6" t="n">
        <v>0</v>
      </c>
      <c r="H8" s="6" t="n">
        <v>0</v>
      </c>
      <c r="I8" s="6" t="n">
        <v>0</v>
      </c>
      <c r="J8" s="6">
        <f>SUM(B8:I8)</f>
        <v/>
      </c>
      <c r="K8" s="6" t="n"/>
      <c r="L8" t="inlineStr">
        <is>
          <t>Transit - localbus</t>
        </is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13129</v>
      </c>
      <c r="R8" s="6" t="n">
        <v>0</v>
      </c>
      <c r="S8" s="6" t="n">
        <v>0</v>
      </c>
      <c r="T8" s="6" t="n">
        <v>0</v>
      </c>
      <c r="U8" s="6">
        <f>SUM(M8:T8)</f>
        <v/>
      </c>
    </row>
    <row r="9">
      <c r="A9" t="inlineStr">
        <is>
          <t>Transit - lightrail</t>
        </is>
      </c>
      <c r="B9" s="6" t="n">
        <v>0</v>
      </c>
      <c r="C9" s="6" t="n">
        <v>0</v>
      </c>
      <c r="D9" s="6" t="n">
        <v>0</v>
      </c>
      <c r="E9" s="6" t="n">
        <v>7363.145568131643</v>
      </c>
      <c r="F9" s="6" t="n">
        <v>1349.032868493546</v>
      </c>
      <c r="G9" s="6" t="n">
        <v>0</v>
      </c>
      <c r="H9" s="6" t="n">
        <v>0</v>
      </c>
      <c r="I9" s="6" t="n">
        <v>0</v>
      </c>
      <c r="J9" s="6">
        <f>SUM(B9:I9)</f>
        <v/>
      </c>
      <c r="K9" s="6" t="n"/>
      <c r="L9" t="inlineStr">
        <is>
          <t>Transit - lightrail</t>
        </is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>
        <f>SUM(M9:T9)</f>
        <v/>
      </c>
    </row>
    <row r="10">
      <c r="A10" t="inlineStr">
        <is>
          <t>Transit - premium bus</t>
        </is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>
        <f>SUM(B10:I10)</f>
        <v/>
      </c>
      <c r="K10" s="6" t="n"/>
      <c r="L10" t="inlineStr">
        <is>
          <t>Transit - premium bus</t>
        </is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>
        <f>SUM(M10:T10)</f>
        <v/>
      </c>
    </row>
    <row r="11">
      <c r="A11" t="inlineStr">
        <is>
          <t>Transit - commuter rail</t>
        </is>
      </c>
      <c r="B11" s="6" t="n">
        <v>0</v>
      </c>
      <c r="C11" s="6" t="n">
        <v>0</v>
      </c>
      <c r="D11" s="6" t="n">
        <v>0</v>
      </c>
      <c r="E11" s="6" t="n">
        <v>6700.85197947103</v>
      </c>
      <c r="F11" s="6" t="n">
        <v>1314.40799911162</v>
      </c>
      <c r="G11" s="6" t="n">
        <v>0</v>
      </c>
      <c r="H11" s="6" t="n">
        <v>0</v>
      </c>
      <c r="I11" s="6" t="n">
        <v>0</v>
      </c>
      <c r="J11" s="6">
        <f>SUM(B11:I11)</f>
        <v/>
      </c>
      <c r="K11" s="6" t="n"/>
      <c r="L11" t="inlineStr">
        <is>
          <t>Transit - commuter rail</t>
        </is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>
        <f>SUM(M11:T11)</f>
        <v/>
      </c>
    </row>
    <row r="12">
      <c r="A12" t="inlineStr">
        <is>
          <t>Transit - ferry</t>
        </is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>
        <f>SUM(B12:I12)</f>
        <v/>
      </c>
      <c r="K12" s="6" t="n"/>
      <c r="L12" t="inlineStr">
        <is>
          <t>Transit - ferry</t>
        </is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>
        <f>SUM(M12:T12)</f>
        <v/>
      </c>
    </row>
    <row r="13">
      <c r="A13" t="inlineStr">
        <is>
          <t>School Bus</t>
        </is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249.020909210706</v>
      </c>
      <c r="G13" s="6" t="n">
        <v>0</v>
      </c>
      <c r="H13" s="6" t="n">
        <v>0</v>
      </c>
      <c r="I13" s="6" t="n">
        <v>7960.145200087536</v>
      </c>
      <c r="J13" s="6">
        <f>SUM(B13:I13)</f>
        <v/>
      </c>
      <c r="K13" s="6" t="n"/>
      <c r="L13" t="inlineStr">
        <is>
          <t>School Bus</t>
        </is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0</v>
      </c>
      <c r="U13" s="6">
        <f>SUM(M13:T13)</f>
        <v/>
      </c>
    </row>
    <row r="14">
      <c r="A14" t="inlineStr">
        <is>
          <t>Bike</t>
        </is>
      </c>
      <c r="B14" s="6" t="n">
        <v>1847.873148317974</v>
      </c>
      <c r="C14" s="6" t="n">
        <v>6.86231589028301</v>
      </c>
      <c r="D14" s="6" t="n">
        <v>0</v>
      </c>
      <c r="E14" s="6" t="n">
        <v>0</v>
      </c>
      <c r="F14" s="6" t="n">
        <v>131.0671555686142</v>
      </c>
      <c r="G14" s="6" t="n">
        <v>36854.33353693225</v>
      </c>
      <c r="H14" s="6" t="n">
        <v>0</v>
      </c>
      <c r="I14" s="6" t="n">
        <v>0</v>
      </c>
      <c r="J14" s="6">
        <f>SUM(B14:I14)</f>
        <v/>
      </c>
      <c r="K14" s="6" t="n"/>
      <c r="L14" t="inlineStr">
        <is>
          <t>Bike</t>
        </is>
      </c>
      <c r="M14" s="6" t="n">
        <v>484</v>
      </c>
      <c r="N14" s="6" t="n">
        <v>859</v>
      </c>
      <c r="O14" s="6" t="n">
        <v>714</v>
      </c>
      <c r="P14" s="6" t="n">
        <v>0</v>
      </c>
      <c r="Q14" s="6" t="n">
        <v>208</v>
      </c>
      <c r="R14" s="6" t="n">
        <v>30035</v>
      </c>
      <c r="S14" s="6" t="n">
        <v>0</v>
      </c>
      <c r="T14" s="6" t="n">
        <v>0</v>
      </c>
      <c r="U14" s="6">
        <f>SUM(M14:T14)</f>
        <v/>
      </c>
    </row>
    <row r="15">
      <c r="A15" t="inlineStr">
        <is>
          <t>Walk</t>
        </is>
      </c>
      <c r="B15" s="6" t="n">
        <v>19069.40029920477</v>
      </c>
      <c r="C15" s="6" t="n">
        <v>22779.00102221174</v>
      </c>
      <c r="D15" s="6" t="n">
        <v>23064.87094178867</v>
      </c>
      <c r="E15" s="6" t="n">
        <v>1740.071560765365</v>
      </c>
      <c r="F15" s="6" t="n">
        <v>14418.43301297067</v>
      </c>
      <c r="G15" s="6" t="n">
        <v>4011.128485559633</v>
      </c>
      <c r="H15" s="6" t="n">
        <v>530190.0656745293</v>
      </c>
      <c r="I15" s="6" t="n">
        <v>0</v>
      </c>
      <c r="J15" s="6">
        <f>SUM(B15:I15)</f>
        <v/>
      </c>
      <c r="K15" s="6" t="n"/>
      <c r="L15" t="inlineStr">
        <is>
          <t>Walk</t>
        </is>
      </c>
      <c r="M15" s="6" t="n">
        <v>1946</v>
      </c>
      <c r="N15" s="6" t="n">
        <v>2119</v>
      </c>
      <c r="O15" s="6" t="n">
        <v>1199</v>
      </c>
      <c r="P15" s="6" t="n">
        <v>0</v>
      </c>
      <c r="Q15" s="6" t="n">
        <v>1608</v>
      </c>
      <c r="R15" s="6" t="n">
        <v>632</v>
      </c>
      <c r="S15" s="6" t="n">
        <v>1018999</v>
      </c>
      <c r="T15" s="6" t="n">
        <v>0</v>
      </c>
      <c r="U15" s="6">
        <f>SUM(M15:T15)</f>
        <v/>
      </c>
    </row>
    <row r="16">
      <c r="A16" s="4" t="inlineStr">
        <is>
          <t>PRS</t>
        </is>
      </c>
      <c r="B16" s="9" t="n">
        <v>0</v>
      </c>
      <c r="C16" s="9" t="n">
        <v>0</v>
      </c>
      <c r="D16" s="9" t="n">
        <v>0</v>
      </c>
      <c r="E16" s="9" t="n">
        <v>0</v>
      </c>
      <c r="F16" s="9" t="n">
        <v>0</v>
      </c>
      <c r="G16" s="9" t="n">
        <v>0</v>
      </c>
      <c r="H16" s="9" t="n">
        <v>0</v>
      </c>
      <c r="I16" s="9" t="n">
        <v>0</v>
      </c>
      <c r="J16" s="6">
        <f>SUM(B16:I16)</f>
        <v/>
      </c>
      <c r="K16" s="6" t="n"/>
      <c r="L16" s="4" t="inlineStr">
        <is>
          <t>PRS</t>
        </is>
      </c>
      <c r="M16" s="6" t="n">
        <v>0</v>
      </c>
      <c r="N16" s="6" t="n">
        <v>1745</v>
      </c>
      <c r="O16" s="6" t="n">
        <v>2053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>
        <f>SUM(M16:T16)</f>
        <v/>
      </c>
    </row>
    <row r="17" ht="15.75" customHeight="1" s="28" thickBot="1">
      <c r="A17" s="10" t="inlineStr">
        <is>
          <t>Total</t>
        </is>
      </c>
      <c r="B17" s="14">
        <f>SUM(B5:B16)</f>
        <v/>
      </c>
      <c r="C17" s="14">
        <f>SUM(C5:C16)</f>
        <v/>
      </c>
      <c r="D17" s="14">
        <f>SUM(D5:D16)</f>
        <v/>
      </c>
      <c r="E17" s="14">
        <f>SUM(E5:E16)</f>
        <v/>
      </c>
      <c r="F17" s="14">
        <f>SUM(F5:F16)</f>
        <v/>
      </c>
      <c r="G17" s="14">
        <f>SUM(G5:G16)</f>
        <v/>
      </c>
      <c r="H17" s="14">
        <f>SUM(H5:H16)</f>
        <v/>
      </c>
      <c r="I17" s="14">
        <f>SUM(I5:I16)</f>
        <v/>
      </c>
      <c r="J17" s="14">
        <f>SUM(J5:J16)</f>
        <v/>
      </c>
      <c r="L17" s="8" t="inlineStr">
        <is>
          <t>Total</t>
        </is>
      </c>
      <c r="M17" s="14">
        <f>SUM(M5:M16)</f>
        <v/>
      </c>
      <c r="N17" s="14">
        <f>SUM(N5:N16)</f>
        <v/>
      </c>
      <c r="O17" s="14">
        <f>SUM(O5:O16)</f>
        <v/>
      </c>
      <c r="P17" s="14">
        <f>SUM(P5:P16)</f>
        <v/>
      </c>
      <c r="Q17" s="14">
        <f>SUM(Q5:Q16)</f>
        <v/>
      </c>
      <c r="R17" s="14">
        <f>SUM(R5:R16)</f>
        <v/>
      </c>
      <c r="S17" s="14">
        <f>SUM(S5:S16)</f>
        <v/>
      </c>
      <c r="T17" s="14">
        <f>SUM(T5:T16)</f>
        <v/>
      </c>
      <c r="U17" s="14">
        <f>SUM(U5:U16)</f>
        <v/>
      </c>
    </row>
    <row r="20" ht="15.75" customHeight="1" s="28" thickBot="1">
      <c r="A20" s="1" t="inlineStr">
        <is>
          <t>Table X. Observed Work Tour Mode Shares: Survey</t>
        </is>
      </c>
      <c r="B20" s="1" t="n"/>
      <c r="C20" s="2" t="n"/>
      <c r="D20" s="2" t="n"/>
      <c r="E20" s="2" t="n"/>
      <c r="F20" s="2" t="n"/>
      <c r="G20" s="2" t="n"/>
      <c r="H20" s="2" t="n"/>
      <c r="I20" s="2" t="n"/>
      <c r="J20" s="2" t="n"/>
      <c r="L20" s="1" t="inlineStr">
        <is>
          <t>Table X. Estimated Social/Recreational Tour Mode Shares: DaySim</t>
        </is>
      </c>
      <c r="M20" s="1" t="n"/>
      <c r="N20" s="2" t="n"/>
      <c r="O20" s="2" t="n"/>
      <c r="P20" s="2" t="n"/>
      <c r="Q20" s="2" t="n"/>
      <c r="R20" s="2" t="n"/>
      <c r="S20" s="2" t="n"/>
      <c r="T20" s="2" t="n"/>
      <c r="U20" s="2" t="n"/>
    </row>
    <row r="21">
      <c r="A21" s="3" t="n"/>
      <c r="B21" s="27" t="inlineStr">
        <is>
          <t>SocRec Tour Mode</t>
        </is>
      </c>
      <c r="J21" s="27" t="n"/>
      <c r="L21" s="3" t="n"/>
      <c r="M21" s="27" t="inlineStr">
        <is>
          <t>SocRec Tour Mode</t>
        </is>
      </c>
    </row>
    <row r="22">
      <c r="A22" s="4" t="inlineStr">
        <is>
          <t>Mode</t>
        </is>
      </c>
      <c r="B22" s="5" t="inlineStr">
        <is>
          <t>DA</t>
        </is>
      </c>
      <c r="C22" s="5" t="inlineStr">
        <is>
          <t>SR2</t>
        </is>
      </c>
      <c r="D22" s="5" t="inlineStr">
        <is>
          <t>SR3+</t>
        </is>
      </c>
      <c r="E22" s="5" t="inlineStr">
        <is>
          <t>D-Trans</t>
        </is>
      </c>
      <c r="F22" s="5" t="inlineStr">
        <is>
          <t>W-Trans</t>
        </is>
      </c>
      <c r="G22" s="5" t="inlineStr">
        <is>
          <t>Bike</t>
        </is>
      </c>
      <c r="H22" s="5" t="inlineStr">
        <is>
          <t>Walk</t>
        </is>
      </c>
      <c r="I22" s="5" t="inlineStr">
        <is>
          <t>Sch Bus</t>
        </is>
      </c>
      <c r="J22" s="5" t="inlineStr">
        <is>
          <t>Total</t>
        </is>
      </c>
      <c r="L22" s="4" t="inlineStr">
        <is>
          <t>Mode</t>
        </is>
      </c>
      <c r="M22" s="5" t="inlineStr">
        <is>
          <t>Drive Alone</t>
        </is>
      </c>
      <c r="N22" s="5" t="inlineStr">
        <is>
          <t>Shared Ride 2</t>
        </is>
      </c>
      <c r="O22" s="5" t="inlineStr">
        <is>
          <t>Shared Ride 3+</t>
        </is>
      </c>
      <c r="P22" s="5" t="inlineStr">
        <is>
          <t>D-Trans</t>
        </is>
      </c>
      <c r="Q22" s="5" t="inlineStr">
        <is>
          <t>W-Trans</t>
        </is>
      </c>
      <c r="R22" s="5" t="inlineStr">
        <is>
          <t>Bike</t>
        </is>
      </c>
      <c r="S22" s="5" t="inlineStr">
        <is>
          <t>Walk</t>
        </is>
      </c>
      <c r="T22" s="5" t="inlineStr">
        <is>
          <t>Sch Bus</t>
        </is>
      </c>
      <c r="U22" s="5" t="inlineStr">
        <is>
          <t>Total</t>
        </is>
      </c>
    </row>
    <row r="23">
      <c r="A23" t="inlineStr">
        <is>
          <t>Drive Alone</t>
        </is>
      </c>
      <c r="B23" s="11">
        <f>B5/B$17</f>
        <v/>
      </c>
      <c r="C23" s="11">
        <f>C5/C$17</f>
        <v/>
      </c>
      <c r="D23" s="11">
        <f>D5/D$17</f>
        <v/>
      </c>
      <c r="E23" s="11">
        <f>E5/E$17</f>
        <v/>
      </c>
      <c r="F23" s="11">
        <f>F5/F$17</f>
        <v/>
      </c>
      <c r="G23" s="11">
        <f>G5/G$17</f>
        <v/>
      </c>
      <c r="H23" s="11">
        <f>H5/H$17</f>
        <v/>
      </c>
      <c r="I23" s="11">
        <f>I5/I$17</f>
        <v/>
      </c>
      <c r="J23" s="11">
        <f>J5/J$17</f>
        <v/>
      </c>
      <c r="K23" s="6" t="n"/>
      <c r="L23" t="inlineStr">
        <is>
          <t>Drive Alone</t>
        </is>
      </c>
      <c r="M23" s="11">
        <f>M5/M$17</f>
        <v/>
      </c>
      <c r="N23" s="11">
        <f>N5/N$17</f>
        <v/>
      </c>
      <c r="O23" s="11">
        <f>O5/O$17</f>
        <v/>
      </c>
      <c r="P23" s="11">
        <f>IF(P$17=0,0,P5/P$17)</f>
        <v/>
      </c>
      <c r="Q23" s="11">
        <f>Q5/Q$17</f>
        <v/>
      </c>
      <c r="R23" s="11">
        <f>R5/R$17</f>
        <v/>
      </c>
      <c r="S23" s="11">
        <f>S5/S$17</f>
        <v/>
      </c>
      <c r="T23" s="11">
        <f>IF(T$17=0,0,T5/T$17)</f>
        <v/>
      </c>
      <c r="U23" s="11">
        <f>U5/U$17</f>
        <v/>
      </c>
    </row>
    <row r="24">
      <c r="A24" t="inlineStr">
        <is>
          <t>SR2</t>
        </is>
      </c>
      <c r="B24" s="11">
        <f>B6/B$17</f>
        <v/>
      </c>
      <c r="C24" s="11">
        <f>C6/C$17</f>
        <v/>
      </c>
      <c r="D24" s="11">
        <f>D6/D$17</f>
        <v/>
      </c>
      <c r="E24" s="11">
        <f>E6/E$17</f>
        <v/>
      </c>
      <c r="F24" s="11">
        <f>F6/F$17</f>
        <v/>
      </c>
      <c r="G24" s="11">
        <f>G6/G$17</f>
        <v/>
      </c>
      <c r="H24" s="11">
        <f>H6/H$17</f>
        <v/>
      </c>
      <c r="I24" s="11">
        <f>I6/I$17</f>
        <v/>
      </c>
      <c r="J24" s="11">
        <f>J6/J$17</f>
        <v/>
      </c>
      <c r="K24" s="6" t="n"/>
      <c r="L24" t="inlineStr">
        <is>
          <t>SR2</t>
        </is>
      </c>
      <c r="M24" s="11">
        <f>M6/M$17</f>
        <v/>
      </c>
      <c r="N24" s="11">
        <f>N6/N$17</f>
        <v/>
      </c>
      <c r="O24" s="11">
        <f>O6/O$17</f>
        <v/>
      </c>
      <c r="P24" s="11">
        <f>IF(P$17=0,0,P6/P$17)</f>
        <v/>
      </c>
      <c r="Q24" s="11">
        <f>Q6/Q$17</f>
        <v/>
      </c>
      <c r="R24" s="11">
        <f>R6/R$17</f>
        <v/>
      </c>
      <c r="S24" s="11">
        <f>S6/S$17</f>
        <v/>
      </c>
      <c r="T24" s="11">
        <f>IF(T$17=0,0,T6/T$17)</f>
        <v/>
      </c>
      <c r="U24" s="11">
        <f>U6/U$17</f>
        <v/>
      </c>
    </row>
    <row r="25">
      <c r="A25" t="inlineStr">
        <is>
          <t>SR3</t>
        </is>
      </c>
      <c r="B25" s="11">
        <f>B7/B$17</f>
        <v/>
      </c>
      <c r="C25" s="11">
        <f>C7/C$17</f>
        <v/>
      </c>
      <c r="D25" s="11">
        <f>D7/D$17</f>
        <v/>
      </c>
      <c r="E25" s="11">
        <f>E7/E$17</f>
        <v/>
      </c>
      <c r="F25" s="11">
        <f>F7/F$17</f>
        <v/>
      </c>
      <c r="G25" s="11">
        <f>G7/G$17</f>
        <v/>
      </c>
      <c r="H25" s="11">
        <f>H7/H$17</f>
        <v/>
      </c>
      <c r="I25" s="11">
        <f>I7/I$17</f>
        <v/>
      </c>
      <c r="J25" s="11">
        <f>J7/J$17</f>
        <v/>
      </c>
      <c r="K25" s="6" t="n"/>
      <c r="L25" t="inlineStr">
        <is>
          <t>SR3</t>
        </is>
      </c>
      <c r="M25" s="11">
        <f>M7/M$17</f>
        <v/>
      </c>
      <c r="N25" s="11">
        <f>N7/N$17</f>
        <v/>
      </c>
      <c r="O25" s="11">
        <f>O7/O$17</f>
        <v/>
      </c>
      <c r="P25" s="11">
        <f>IF(P$17=0,0,P7/P$17)</f>
        <v/>
      </c>
      <c r="Q25" s="11">
        <f>Q7/Q$17</f>
        <v/>
      </c>
      <c r="R25" s="11">
        <f>R7/R$17</f>
        <v/>
      </c>
      <c r="S25" s="11">
        <f>S7/S$17</f>
        <v/>
      </c>
      <c r="T25" s="11">
        <f>IF(T$17=0,0,T7/T$17)</f>
        <v/>
      </c>
      <c r="U25" s="11">
        <f>U7/U$17</f>
        <v/>
      </c>
    </row>
    <row r="26">
      <c r="A26" t="inlineStr">
        <is>
          <t>Transit - localbus</t>
        </is>
      </c>
      <c r="B26" s="11">
        <f>B8/B$17</f>
        <v/>
      </c>
      <c r="C26" s="11">
        <f>C8/C$17</f>
        <v/>
      </c>
      <c r="D26" s="11">
        <f>D8/D$17</f>
        <v/>
      </c>
      <c r="E26" s="11">
        <f>E8/E$17</f>
        <v/>
      </c>
      <c r="F26" s="11">
        <f>F8/F$17</f>
        <v/>
      </c>
      <c r="G26" s="11">
        <f>G8/G$17</f>
        <v/>
      </c>
      <c r="H26" s="11">
        <f>H8/H$17</f>
        <v/>
      </c>
      <c r="I26" s="11">
        <f>I8/I$17</f>
        <v/>
      </c>
      <c r="J26" s="11">
        <f>J8/J$17</f>
        <v/>
      </c>
      <c r="K26" s="6" t="n"/>
      <c r="L26" t="inlineStr">
        <is>
          <t>Transit - localbus</t>
        </is>
      </c>
      <c r="M26" s="11">
        <f>M8/M$17</f>
        <v/>
      </c>
      <c r="N26" s="11">
        <f>N8/N$17</f>
        <v/>
      </c>
      <c r="O26" s="11">
        <f>O8/O$17</f>
        <v/>
      </c>
      <c r="P26" s="11">
        <f>IF(P$17=0,0,P8/P$17)</f>
        <v/>
      </c>
      <c r="Q26" s="11">
        <f>Q8/Q$17</f>
        <v/>
      </c>
      <c r="R26" s="11">
        <f>R8/R$17</f>
        <v/>
      </c>
      <c r="S26" s="11">
        <f>S8/S$17</f>
        <v/>
      </c>
      <c r="T26" s="11">
        <f>IF(T$17=0,0,T8/T$17)</f>
        <v/>
      </c>
      <c r="U26" s="11">
        <f>U8/U$17</f>
        <v/>
      </c>
    </row>
    <row r="27">
      <c r="A27" t="inlineStr">
        <is>
          <t>Transit - lightrail</t>
        </is>
      </c>
      <c r="B27" s="11">
        <f>B9/B$17</f>
        <v/>
      </c>
      <c r="C27" s="11">
        <f>C9/C$17</f>
        <v/>
      </c>
      <c r="D27" s="11">
        <f>D9/D$17</f>
        <v/>
      </c>
      <c r="E27" s="11">
        <f>E9/E$17</f>
        <v/>
      </c>
      <c r="F27" s="11">
        <f>F9/F$17</f>
        <v/>
      </c>
      <c r="G27" s="11">
        <f>G9/G$17</f>
        <v/>
      </c>
      <c r="H27" s="11">
        <f>H9/H$17</f>
        <v/>
      </c>
      <c r="I27" s="11">
        <f>I9/I$17</f>
        <v/>
      </c>
      <c r="J27" s="11">
        <f>J9/J$17</f>
        <v/>
      </c>
      <c r="K27" s="6" t="n"/>
      <c r="L27" t="inlineStr">
        <is>
          <t>Transit - lightrail</t>
        </is>
      </c>
      <c r="M27" s="11">
        <f>M9/M$17</f>
        <v/>
      </c>
      <c r="N27" s="11">
        <f>N9/N$17</f>
        <v/>
      </c>
      <c r="O27" s="11">
        <f>O9/O$17</f>
        <v/>
      </c>
      <c r="P27" s="11">
        <f>IF(P$17=0,0,P9/P$17)</f>
        <v/>
      </c>
      <c r="Q27" s="11">
        <f>Q9/Q$17</f>
        <v/>
      </c>
      <c r="R27" s="11">
        <f>R9/R$17</f>
        <v/>
      </c>
      <c r="S27" s="11">
        <f>S9/S$17</f>
        <v/>
      </c>
      <c r="T27" s="11">
        <f>IF(T$17=0,0,T9/T$17)</f>
        <v/>
      </c>
      <c r="U27" s="11">
        <f>U9/U$17</f>
        <v/>
      </c>
    </row>
    <row r="28">
      <c r="A28" t="inlineStr">
        <is>
          <t>Transit - premium bus</t>
        </is>
      </c>
      <c r="B28" s="11">
        <f>B10/B$17</f>
        <v/>
      </c>
      <c r="C28" s="11">
        <f>C10/C$17</f>
        <v/>
      </c>
      <c r="D28" s="11">
        <f>D10/D$17</f>
        <v/>
      </c>
      <c r="E28" s="11">
        <f>E10/E$17</f>
        <v/>
      </c>
      <c r="F28" s="11">
        <f>F10/F$17</f>
        <v/>
      </c>
      <c r="G28" s="11">
        <f>G10/G$17</f>
        <v/>
      </c>
      <c r="H28" s="11">
        <f>H10/H$17</f>
        <v/>
      </c>
      <c r="I28" s="11">
        <f>I10/I$17</f>
        <v/>
      </c>
      <c r="J28" s="11">
        <f>J10/J$17</f>
        <v/>
      </c>
      <c r="K28" s="6" t="n"/>
      <c r="L28" t="inlineStr">
        <is>
          <t>Transit - premium bus</t>
        </is>
      </c>
      <c r="M28" s="11">
        <f>M10/M$17</f>
        <v/>
      </c>
      <c r="N28" s="11">
        <f>N10/N$17</f>
        <v/>
      </c>
      <c r="O28" s="11">
        <f>O10/O$17</f>
        <v/>
      </c>
      <c r="P28" s="11">
        <f>IF(P$17=0,0,P10/P$17)</f>
        <v/>
      </c>
      <c r="Q28" s="11">
        <f>Q10/Q$17</f>
        <v/>
      </c>
      <c r="R28" s="11">
        <f>R10/R$17</f>
        <v/>
      </c>
      <c r="S28" s="11">
        <f>S10/S$17</f>
        <v/>
      </c>
      <c r="T28" s="11">
        <f>IF(T$17=0,0,T10/T$17)</f>
        <v/>
      </c>
      <c r="U28" s="11">
        <f>U10/U$17</f>
        <v/>
      </c>
    </row>
    <row r="29">
      <c r="A29" t="inlineStr">
        <is>
          <t>Transit - commuter rail</t>
        </is>
      </c>
      <c r="B29" s="11">
        <f>B11/B$17</f>
        <v/>
      </c>
      <c r="C29" s="11">
        <f>C11/C$17</f>
        <v/>
      </c>
      <c r="D29" s="11">
        <f>D11/D$17</f>
        <v/>
      </c>
      <c r="E29" s="11">
        <f>E11/E$17</f>
        <v/>
      </c>
      <c r="F29" s="11">
        <f>F11/F$17</f>
        <v/>
      </c>
      <c r="G29" s="11">
        <f>G11/G$17</f>
        <v/>
      </c>
      <c r="H29" s="11">
        <f>H11/H$17</f>
        <v/>
      </c>
      <c r="I29" s="11">
        <f>I11/I$17</f>
        <v/>
      </c>
      <c r="J29" s="11">
        <f>J11/J$17</f>
        <v/>
      </c>
      <c r="K29" s="6" t="n"/>
      <c r="L29" t="inlineStr">
        <is>
          <t>Transit - commuter rail</t>
        </is>
      </c>
      <c r="M29" s="11">
        <f>M11/M$17</f>
        <v/>
      </c>
      <c r="N29" s="11">
        <f>N11/N$17</f>
        <v/>
      </c>
      <c r="O29" s="11">
        <f>O11/O$17</f>
        <v/>
      </c>
      <c r="P29" s="11">
        <f>IF(P$17=0,0,P11/P$17)</f>
        <v/>
      </c>
      <c r="Q29" s="11">
        <f>Q11/Q$17</f>
        <v/>
      </c>
      <c r="R29" s="11">
        <f>R11/R$17</f>
        <v/>
      </c>
      <c r="S29" s="11">
        <f>S11/S$17</f>
        <v/>
      </c>
      <c r="T29" s="11">
        <f>IF(T$17=0,0,T11/T$17)</f>
        <v/>
      </c>
      <c r="U29" s="11">
        <f>U11/U$17</f>
        <v/>
      </c>
    </row>
    <row r="30">
      <c r="A30" t="inlineStr">
        <is>
          <t>Transit - ferry</t>
        </is>
      </c>
      <c r="B30" s="11">
        <f>B12/B$17</f>
        <v/>
      </c>
      <c r="C30" s="11">
        <f>C12/C$17</f>
        <v/>
      </c>
      <c r="D30" s="11">
        <f>D12/D$17</f>
        <v/>
      </c>
      <c r="E30" s="11">
        <f>E12/E$17</f>
        <v/>
      </c>
      <c r="F30" s="11">
        <f>F12/F$17</f>
        <v/>
      </c>
      <c r="G30" s="11">
        <f>G12/G$17</f>
        <v/>
      </c>
      <c r="H30" s="11">
        <f>H12/H$17</f>
        <v/>
      </c>
      <c r="I30" s="11">
        <f>I12/I$17</f>
        <v/>
      </c>
      <c r="J30" s="11">
        <f>J12/J$17</f>
        <v/>
      </c>
      <c r="K30" s="6" t="n"/>
      <c r="L30" t="inlineStr">
        <is>
          <t>Transit - ferry</t>
        </is>
      </c>
      <c r="M30" s="11">
        <f>M12/M$17</f>
        <v/>
      </c>
      <c r="N30" s="11">
        <f>N12/N$17</f>
        <v/>
      </c>
      <c r="O30" s="11">
        <f>O12/O$17</f>
        <v/>
      </c>
      <c r="P30" s="11">
        <f>IF(P$17=0,0,P12/P$17)</f>
        <v/>
      </c>
      <c r="Q30" s="11">
        <f>Q12/Q$17</f>
        <v/>
      </c>
      <c r="R30" s="11">
        <f>R12/R$17</f>
        <v/>
      </c>
      <c r="S30" s="11">
        <f>S12/S$17</f>
        <v/>
      </c>
      <c r="T30" s="11">
        <f>IF(T$17=0,0,T12/T$17)</f>
        <v/>
      </c>
      <c r="U30" s="11">
        <f>U12/U$17</f>
        <v/>
      </c>
    </row>
    <row r="31">
      <c r="A31" t="inlineStr">
        <is>
          <t>School Bus</t>
        </is>
      </c>
      <c r="B31" s="11">
        <f>B13/B$17</f>
        <v/>
      </c>
      <c r="C31" s="11">
        <f>C13/C$17</f>
        <v/>
      </c>
      <c r="D31" s="11">
        <f>D13/D$17</f>
        <v/>
      </c>
      <c r="E31" s="11">
        <f>E13/E$17</f>
        <v/>
      </c>
      <c r="F31" s="11">
        <f>F13/F$17</f>
        <v/>
      </c>
      <c r="G31" s="11">
        <f>G13/G$17</f>
        <v/>
      </c>
      <c r="H31" s="11">
        <f>H13/H$17</f>
        <v/>
      </c>
      <c r="I31" s="11">
        <f>I13/I$17</f>
        <v/>
      </c>
      <c r="J31" s="11">
        <f>J13/J$17</f>
        <v/>
      </c>
      <c r="K31" s="6" t="n"/>
      <c r="L31" t="inlineStr">
        <is>
          <t>School Bus</t>
        </is>
      </c>
      <c r="M31" s="11">
        <f>M13/M$17</f>
        <v/>
      </c>
      <c r="N31" s="11">
        <f>N13/N$17</f>
        <v/>
      </c>
      <c r="O31" s="11">
        <f>O13/O$17</f>
        <v/>
      </c>
      <c r="P31" s="11">
        <f>IF(P$17=0,0,P13/P$17)</f>
        <v/>
      </c>
      <c r="Q31" s="11">
        <f>Q13/Q$17</f>
        <v/>
      </c>
      <c r="R31" s="11">
        <f>R13/R$17</f>
        <v/>
      </c>
      <c r="S31" s="11">
        <f>S13/S$17</f>
        <v/>
      </c>
      <c r="T31" s="11">
        <f>IF(T$17=0,0,T13/T$17)</f>
        <v/>
      </c>
      <c r="U31" s="11">
        <f>U13/U$17</f>
        <v/>
      </c>
    </row>
    <row r="32">
      <c r="A32" t="inlineStr">
        <is>
          <t>Bike</t>
        </is>
      </c>
      <c r="B32" s="11">
        <f>B14/B$17</f>
        <v/>
      </c>
      <c r="C32" s="11">
        <f>C14/C$17</f>
        <v/>
      </c>
      <c r="D32" s="11">
        <f>D14/D$17</f>
        <v/>
      </c>
      <c r="E32" s="11">
        <f>E14/E$17</f>
        <v/>
      </c>
      <c r="F32" s="11">
        <f>F14/F$17</f>
        <v/>
      </c>
      <c r="G32" s="11">
        <f>G14/G$17</f>
        <v/>
      </c>
      <c r="H32" s="11">
        <f>H14/H$17</f>
        <v/>
      </c>
      <c r="I32" s="11">
        <f>I14/I$17</f>
        <v/>
      </c>
      <c r="J32" s="11">
        <f>J14/J$17</f>
        <v/>
      </c>
      <c r="K32" s="6" t="n"/>
      <c r="L32" t="inlineStr">
        <is>
          <t>Bike</t>
        </is>
      </c>
      <c r="M32" s="11">
        <f>M14/M$17</f>
        <v/>
      </c>
      <c r="N32" s="11">
        <f>N14/N$17</f>
        <v/>
      </c>
      <c r="O32" s="11">
        <f>O14/O$17</f>
        <v/>
      </c>
      <c r="P32" s="11">
        <f>IF(P$17=0,0,P14/P$17)</f>
        <v/>
      </c>
      <c r="Q32" s="11">
        <f>Q14/Q$17</f>
        <v/>
      </c>
      <c r="R32" s="11">
        <f>R14/R$17</f>
        <v/>
      </c>
      <c r="S32" s="11">
        <f>S14/S$17</f>
        <v/>
      </c>
      <c r="T32" s="11">
        <f>IF(T$17=0,0,T14/T$17)</f>
        <v/>
      </c>
      <c r="U32" s="11">
        <f>U14/U$17</f>
        <v/>
      </c>
    </row>
    <row r="33">
      <c r="A33" t="inlineStr">
        <is>
          <t>Walk</t>
        </is>
      </c>
      <c r="B33" s="11">
        <f>B15/B$17</f>
        <v/>
      </c>
      <c r="C33" s="11">
        <f>C15/C$17</f>
        <v/>
      </c>
      <c r="D33" s="11">
        <f>D15/D$17</f>
        <v/>
      </c>
      <c r="E33" s="11">
        <f>E15/E$17</f>
        <v/>
      </c>
      <c r="F33" s="11">
        <f>F15/F$17</f>
        <v/>
      </c>
      <c r="G33" s="11">
        <f>G15/G$17</f>
        <v/>
      </c>
      <c r="H33" s="11">
        <f>H15/H$17</f>
        <v/>
      </c>
      <c r="I33" s="11">
        <f>I15/I$17</f>
        <v/>
      </c>
      <c r="J33" s="11">
        <f>J15/J$17</f>
        <v/>
      </c>
      <c r="K33" s="6" t="n"/>
      <c r="L33" t="inlineStr">
        <is>
          <t>Walk</t>
        </is>
      </c>
      <c r="M33" s="11">
        <f>M15/M$17</f>
        <v/>
      </c>
      <c r="N33" s="11">
        <f>N15/N$17</f>
        <v/>
      </c>
      <c r="O33" s="11">
        <f>O15/O$17</f>
        <v/>
      </c>
      <c r="P33" s="11">
        <f>IF(P$17=0,0,P15/P$17)</f>
        <v/>
      </c>
      <c r="Q33" s="11">
        <f>Q15/Q$17</f>
        <v/>
      </c>
      <c r="R33" s="11">
        <f>R15/R$17</f>
        <v/>
      </c>
      <c r="S33" s="11">
        <f>S15/S$17</f>
        <v/>
      </c>
      <c r="T33" s="11">
        <f>IF(T$17=0,0,T15/T$17)</f>
        <v/>
      </c>
      <c r="U33" s="11">
        <f>U15/U$17</f>
        <v/>
      </c>
    </row>
    <row r="34">
      <c r="A34" s="4" t="inlineStr">
        <is>
          <t>PRS</t>
        </is>
      </c>
      <c r="B34" s="11">
        <f>B16/B$17</f>
        <v/>
      </c>
      <c r="C34" s="11">
        <f>C16/C$17</f>
        <v/>
      </c>
      <c r="D34" s="11">
        <f>D16/D$17</f>
        <v/>
      </c>
      <c r="E34" s="11">
        <f>E16/E$17</f>
        <v/>
      </c>
      <c r="F34" s="11">
        <f>F16/F$17</f>
        <v/>
      </c>
      <c r="G34" s="11">
        <f>G16/G$17</f>
        <v/>
      </c>
      <c r="H34" s="11">
        <f>H16/H$17</f>
        <v/>
      </c>
      <c r="I34" s="11">
        <f>I16/I$17</f>
        <v/>
      </c>
      <c r="J34" s="11">
        <f>J16/J$17</f>
        <v/>
      </c>
      <c r="K34" s="6" t="n"/>
      <c r="L34" s="4" t="inlineStr">
        <is>
          <t>PRS</t>
        </is>
      </c>
      <c r="M34" s="12">
        <f>M16/M$17</f>
        <v/>
      </c>
      <c r="N34" s="12">
        <f>N16/N$17</f>
        <v/>
      </c>
      <c r="O34" s="12">
        <f>O16/O$17</f>
        <v/>
      </c>
      <c r="P34" s="11">
        <f>IF(P$17=0,0,P16/P$17)</f>
        <v/>
      </c>
      <c r="Q34" s="12">
        <f>Q16/Q$17</f>
        <v/>
      </c>
      <c r="R34" s="12">
        <f>R16/R$17</f>
        <v/>
      </c>
      <c r="S34" s="12">
        <f>S16/S$17</f>
        <v/>
      </c>
      <c r="T34" s="11">
        <f>IF(T$17=0,0,T16/T$17)</f>
        <v/>
      </c>
      <c r="U34" s="12">
        <f>U16/U$17</f>
        <v/>
      </c>
    </row>
    <row r="35" ht="15.75" customHeight="1" s="28" thickBot="1">
      <c r="A35" s="10" t="inlineStr">
        <is>
          <t>Total</t>
        </is>
      </c>
      <c r="B35" s="13">
        <f>B17/B$17</f>
        <v/>
      </c>
      <c r="C35" s="13">
        <f>C17/C$17</f>
        <v/>
      </c>
      <c r="D35" s="13">
        <f>D17/D$17</f>
        <v/>
      </c>
      <c r="E35" s="13">
        <f>E17/E$17</f>
        <v/>
      </c>
      <c r="F35" s="13">
        <f>F17/F$17</f>
        <v/>
      </c>
      <c r="G35" s="13">
        <f>G17/G$17</f>
        <v/>
      </c>
      <c r="H35" s="13">
        <f>H17/H$17</f>
        <v/>
      </c>
      <c r="I35" s="13">
        <f>I17/I$17</f>
        <v/>
      </c>
      <c r="J35" s="13">
        <f>J17/J$17</f>
        <v/>
      </c>
      <c r="L35" s="8" t="inlineStr">
        <is>
          <t>Total</t>
        </is>
      </c>
      <c r="M35" s="13">
        <f>M17/M$17</f>
        <v/>
      </c>
      <c r="N35" s="13">
        <f>N17/N$17</f>
        <v/>
      </c>
      <c r="O35" s="13">
        <f>O17/O$17</f>
        <v/>
      </c>
      <c r="P35" s="13">
        <f>IF(P$17=0,0,P17/P$17)</f>
        <v/>
      </c>
      <c r="Q35" s="13">
        <f>Q17/Q$17</f>
        <v/>
      </c>
      <c r="R35" s="13">
        <f>R17/R$17</f>
        <v/>
      </c>
      <c r="S35" s="13">
        <f>S17/S$17</f>
        <v/>
      </c>
      <c r="T35" s="13">
        <f>IF(T$17=0,0,T17/T$17)</f>
        <v/>
      </c>
      <c r="U35" s="13">
        <f>U17/U$17</f>
        <v/>
      </c>
    </row>
    <row r="38" ht="15.75" customHeight="1" s="28" thickBot="1">
      <c r="L38" s="1" t="inlineStr">
        <is>
          <t>Table X. Estimated-Observed Social/Recreational Tour Mode Share Difference</t>
        </is>
      </c>
      <c r="M38" s="1" t="n"/>
      <c r="N38" s="2" t="n"/>
      <c r="O38" s="2" t="n"/>
      <c r="P38" s="2" t="n"/>
      <c r="Q38" s="2" t="n"/>
      <c r="R38" s="2" t="n"/>
      <c r="S38" s="2" t="n"/>
      <c r="T38" s="2" t="n"/>
      <c r="U38" s="2" t="n"/>
    </row>
    <row r="39">
      <c r="L39" s="3" t="n"/>
      <c r="M39" s="27" t="inlineStr">
        <is>
          <t>SocRec Tour Mode</t>
        </is>
      </c>
    </row>
    <row r="40">
      <c r="L40" s="4" t="inlineStr">
        <is>
          <t>Mode</t>
        </is>
      </c>
      <c r="M40" s="5" t="inlineStr">
        <is>
          <t>DA</t>
        </is>
      </c>
      <c r="N40" s="5" t="inlineStr">
        <is>
          <t>SR2</t>
        </is>
      </c>
      <c r="O40" s="5" t="inlineStr">
        <is>
          <t>SR3+</t>
        </is>
      </c>
      <c r="P40" s="5" t="inlineStr">
        <is>
          <t>D-Trans</t>
        </is>
      </c>
      <c r="Q40" s="5" t="inlineStr">
        <is>
          <t>W-Trans</t>
        </is>
      </c>
      <c r="R40" s="5" t="inlineStr">
        <is>
          <t>Bike</t>
        </is>
      </c>
      <c r="S40" s="5" t="inlineStr">
        <is>
          <t>Walk</t>
        </is>
      </c>
      <c r="T40" s="5" t="inlineStr">
        <is>
          <t>Sch Bus</t>
        </is>
      </c>
      <c r="U40" s="5" t="inlineStr">
        <is>
          <t>Total</t>
        </is>
      </c>
    </row>
    <row r="41">
      <c r="L41" t="inlineStr">
        <is>
          <t>Drive Alone</t>
        </is>
      </c>
      <c r="M41" s="11">
        <f>M23-B23</f>
        <v/>
      </c>
      <c r="N41" s="11">
        <f>N23-C23</f>
        <v/>
      </c>
      <c r="O41" s="11">
        <f>O23-D23</f>
        <v/>
      </c>
      <c r="P41" s="11">
        <f>P23-E23</f>
        <v/>
      </c>
      <c r="Q41" s="11">
        <f>Q23-F23</f>
        <v/>
      </c>
      <c r="R41" s="11">
        <f>R23-G23</f>
        <v/>
      </c>
      <c r="S41" s="11">
        <f>S23-H23</f>
        <v/>
      </c>
      <c r="T41" s="11">
        <f>T23-I23</f>
        <v/>
      </c>
      <c r="U41" s="11">
        <f>U23-J23</f>
        <v/>
      </c>
      <c r="X41" s="11" t="n"/>
      <c r="Y41" s="11" t="n"/>
      <c r="Z41" s="11" t="n"/>
      <c r="AA41" s="11" t="n"/>
      <c r="AB41" s="11" t="n"/>
      <c r="AC41" s="11" t="n"/>
      <c r="AD41" s="11" t="n"/>
      <c r="AE41" s="11" t="n"/>
      <c r="AF41" s="11" t="n"/>
    </row>
    <row r="42">
      <c r="L42" t="inlineStr">
        <is>
          <t>SR2</t>
        </is>
      </c>
      <c r="M42" s="11">
        <f>M24-B24</f>
        <v/>
      </c>
      <c r="N42" s="11">
        <f>N24-C24</f>
        <v/>
      </c>
      <c r="O42" s="11">
        <f>O24-D24</f>
        <v/>
      </c>
      <c r="P42" s="11">
        <f>P24-E24</f>
        <v/>
      </c>
      <c r="Q42" s="11">
        <f>Q24-F24</f>
        <v/>
      </c>
      <c r="R42" s="11">
        <f>R24-G24</f>
        <v/>
      </c>
      <c r="S42" s="11">
        <f>S24-H24</f>
        <v/>
      </c>
      <c r="T42" s="11">
        <f>T24-I24</f>
        <v/>
      </c>
      <c r="U42" s="11">
        <f>U24-J24</f>
        <v/>
      </c>
      <c r="X42" s="11" t="n"/>
      <c r="Y42" s="11" t="n"/>
      <c r="Z42" s="11" t="n"/>
      <c r="AA42" s="11" t="n"/>
      <c r="AB42" s="11" t="n"/>
      <c r="AC42" s="11" t="n"/>
      <c r="AD42" s="11" t="n"/>
      <c r="AE42" s="11" t="n"/>
      <c r="AF42" s="11" t="n"/>
    </row>
    <row r="43">
      <c r="L43" t="inlineStr">
        <is>
          <t>SR3</t>
        </is>
      </c>
      <c r="M43" s="11">
        <f>M25-B25</f>
        <v/>
      </c>
      <c r="N43" s="11">
        <f>N25-C25</f>
        <v/>
      </c>
      <c r="O43" s="11">
        <f>O25-D25</f>
        <v/>
      </c>
      <c r="P43" s="11">
        <f>P25-E25</f>
        <v/>
      </c>
      <c r="Q43" s="11">
        <f>Q25-F25</f>
        <v/>
      </c>
      <c r="R43" s="11">
        <f>R25-G25</f>
        <v/>
      </c>
      <c r="S43" s="11">
        <f>S25-H25</f>
        <v/>
      </c>
      <c r="T43" s="11">
        <f>T25-I25</f>
        <v/>
      </c>
      <c r="U43" s="11">
        <f>U25-J25</f>
        <v/>
      </c>
      <c r="X43" s="11" t="n"/>
      <c r="Y43" s="11" t="n"/>
      <c r="Z43" s="11" t="n"/>
      <c r="AA43" s="11" t="n"/>
      <c r="AB43" s="11" t="n"/>
      <c r="AC43" s="11" t="n"/>
      <c r="AD43" s="11" t="n"/>
      <c r="AE43" s="11" t="n"/>
      <c r="AF43" s="11" t="n"/>
    </row>
    <row r="44">
      <c r="L44" t="inlineStr">
        <is>
          <t>Transit - localbus</t>
        </is>
      </c>
      <c r="M44" s="11">
        <f>M26-B26</f>
        <v/>
      </c>
      <c r="N44" s="11">
        <f>N26-C26</f>
        <v/>
      </c>
      <c r="O44" s="11">
        <f>O26-D26</f>
        <v/>
      </c>
      <c r="P44" s="11">
        <f>P26-E26</f>
        <v/>
      </c>
      <c r="Q44" s="11">
        <f>Q26-F26</f>
        <v/>
      </c>
      <c r="R44" s="11">
        <f>R26-G26</f>
        <v/>
      </c>
      <c r="S44" s="11">
        <f>S26-H26</f>
        <v/>
      </c>
      <c r="T44" s="11">
        <f>T26-I26</f>
        <v/>
      </c>
      <c r="U44" s="11">
        <f>U26-J26</f>
        <v/>
      </c>
      <c r="X44" s="11" t="n"/>
      <c r="Y44" s="11" t="n"/>
      <c r="Z44" s="11" t="n"/>
      <c r="AA44" s="11" t="n"/>
      <c r="AB44" s="11" t="n"/>
      <c r="AC44" s="11" t="n"/>
      <c r="AD44" s="11" t="n"/>
      <c r="AE44" s="11" t="n"/>
      <c r="AF44" s="11" t="n"/>
    </row>
    <row r="45">
      <c r="L45" t="inlineStr">
        <is>
          <t>Transit - lightrail</t>
        </is>
      </c>
      <c r="M45" s="11">
        <f>M27-B27</f>
        <v/>
      </c>
      <c r="N45" s="11">
        <f>N27-C27</f>
        <v/>
      </c>
      <c r="O45" s="11">
        <f>O27-D27</f>
        <v/>
      </c>
      <c r="P45" s="11">
        <f>P27-E27</f>
        <v/>
      </c>
      <c r="Q45" s="11">
        <f>Q27-F27</f>
        <v/>
      </c>
      <c r="R45" s="11">
        <f>R27-G27</f>
        <v/>
      </c>
      <c r="S45" s="11">
        <f>S27-H27</f>
        <v/>
      </c>
      <c r="T45" s="11">
        <f>T27-I27</f>
        <v/>
      </c>
      <c r="U45" s="11">
        <f>U27-J27</f>
        <v/>
      </c>
      <c r="X45" s="11" t="n"/>
      <c r="Y45" s="11" t="n"/>
      <c r="Z45" s="11" t="n"/>
      <c r="AA45" s="11" t="n"/>
      <c r="AB45" s="11" t="n"/>
      <c r="AC45" s="11" t="n"/>
      <c r="AD45" s="11" t="n"/>
      <c r="AE45" s="11" t="n"/>
      <c r="AF45" s="11" t="n"/>
    </row>
    <row r="46">
      <c r="L46" t="inlineStr">
        <is>
          <t>Transit - premium bus</t>
        </is>
      </c>
      <c r="M46" s="11">
        <f>M28-B28</f>
        <v/>
      </c>
      <c r="N46" s="11">
        <f>N28-C28</f>
        <v/>
      </c>
      <c r="O46" s="11">
        <f>O28-D28</f>
        <v/>
      </c>
      <c r="P46" s="11">
        <f>P28-E28</f>
        <v/>
      </c>
      <c r="Q46" s="11">
        <f>Q28-F28</f>
        <v/>
      </c>
      <c r="R46" s="11">
        <f>R28-G28</f>
        <v/>
      </c>
      <c r="S46" s="11">
        <f>S28-H28</f>
        <v/>
      </c>
      <c r="T46" s="11">
        <f>T28-I28</f>
        <v/>
      </c>
      <c r="U46" s="11">
        <f>U28-J28</f>
        <v/>
      </c>
      <c r="X46" s="11" t="n"/>
      <c r="Y46" s="11" t="n"/>
      <c r="Z46" s="11" t="n"/>
      <c r="AA46" s="11" t="n"/>
      <c r="AB46" s="11" t="n"/>
      <c r="AC46" s="11" t="n"/>
      <c r="AD46" s="11" t="n"/>
      <c r="AE46" s="11" t="n"/>
      <c r="AF46" s="11" t="n"/>
    </row>
    <row r="47">
      <c r="L47" t="inlineStr">
        <is>
          <t>Transit - commuter rail</t>
        </is>
      </c>
      <c r="M47" s="11">
        <f>M29-B29</f>
        <v/>
      </c>
      <c r="N47" s="11">
        <f>N29-C29</f>
        <v/>
      </c>
      <c r="O47" s="11">
        <f>O29-D29</f>
        <v/>
      </c>
      <c r="P47" s="11">
        <f>P29-E29</f>
        <v/>
      </c>
      <c r="Q47" s="11">
        <f>Q29-F29</f>
        <v/>
      </c>
      <c r="R47" s="11">
        <f>R29-G29</f>
        <v/>
      </c>
      <c r="S47" s="11">
        <f>S29-H29</f>
        <v/>
      </c>
      <c r="T47" s="11">
        <f>T29-I29</f>
        <v/>
      </c>
      <c r="U47" s="11">
        <f>U29-J29</f>
        <v/>
      </c>
      <c r="X47" s="11" t="n"/>
      <c r="Y47" s="11" t="n"/>
      <c r="Z47" s="11" t="n"/>
      <c r="AA47" s="11" t="n"/>
      <c r="AB47" s="11" t="n"/>
      <c r="AC47" s="11" t="n"/>
      <c r="AD47" s="11" t="n"/>
      <c r="AE47" s="11" t="n"/>
      <c r="AF47" s="11" t="n"/>
    </row>
    <row r="48">
      <c r="L48" t="inlineStr">
        <is>
          <t>Transit - ferry</t>
        </is>
      </c>
      <c r="M48" s="11">
        <f>M30-B30</f>
        <v/>
      </c>
      <c r="N48" s="11">
        <f>N30-C30</f>
        <v/>
      </c>
      <c r="O48" s="11">
        <f>O30-D30</f>
        <v/>
      </c>
      <c r="P48" s="11">
        <f>P30-E30</f>
        <v/>
      </c>
      <c r="Q48" s="11">
        <f>Q30-F30</f>
        <v/>
      </c>
      <c r="R48" s="11">
        <f>R30-G30</f>
        <v/>
      </c>
      <c r="S48" s="11">
        <f>S30-H30</f>
        <v/>
      </c>
      <c r="T48" s="11">
        <f>T30-I30</f>
        <v/>
      </c>
      <c r="U48" s="11">
        <f>U30-J30</f>
        <v/>
      </c>
      <c r="X48" s="11" t="n"/>
      <c r="Y48" s="11" t="n"/>
      <c r="Z48" s="11" t="n"/>
      <c r="AA48" s="11" t="n"/>
      <c r="AB48" s="11" t="n"/>
      <c r="AC48" s="11" t="n"/>
      <c r="AD48" s="11" t="n"/>
      <c r="AE48" s="11" t="n"/>
      <c r="AF48" s="11" t="n"/>
    </row>
    <row r="49">
      <c r="L49" t="inlineStr">
        <is>
          <t>School Bus</t>
        </is>
      </c>
      <c r="M49" s="11">
        <f>M31-B31</f>
        <v/>
      </c>
      <c r="N49" s="11">
        <f>N31-C31</f>
        <v/>
      </c>
      <c r="O49" s="11">
        <f>O31-D31</f>
        <v/>
      </c>
      <c r="P49" s="11">
        <f>P31-E31</f>
        <v/>
      </c>
      <c r="Q49" s="11">
        <f>Q31-F31</f>
        <v/>
      </c>
      <c r="R49" s="11">
        <f>R31-G31</f>
        <v/>
      </c>
      <c r="S49" s="11">
        <f>S31-H31</f>
        <v/>
      </c>
      <c r="T49" s="11">
        <f>T31-I31</f>
        <v/>
      </c>
      <c r="U49" s="11">
        <f>U31-J31</f>
        <v/>
      </c>
      <c r="X49" s="11" t="n"/>
      <c r="Y49" s="11" t="n"/>
      <c r="Z49" s="11" t="n"/>
      <c r="AA49" s="11" t="n"/>
      <c r="AB49" s="11" t="n"/>
      <c r="AC49" s="11" t="n"/>
      <c r="AD49" s="11" t="n"/>
      <c r="AE49" s="11" t="n"/>
      <c r="AF49" s="11" t="n"/>
    </row>
    <row r="50">
      <c r="L50" t="inlineStr">
        <is>
          <t>Bike</t>
        </is>
      </c>
      <c r="M50" s="11">
        <f>M32-B32</f>
        <v/>
      </c>
      <c r="N50" s="11">
        <f>N32-C32</f>
        <v/>
      </c>
      <c r="O50" s="11">
        <f>O32-D32</f>
        <v/>
      </c>
      <c r="P50" s="11">
        <f>P32-E32</f>
        <v/>
      </c>
      <c r="Q50" s="11">
        <f>Q32-F32</f>
        <v/>
      </c>
      <c r="R50" s="11">
        <f>R32-G32</f>
        <v/>
      </c>
      <c r="S50" s="11">
        <f>S32-H32</f>
        <v/>
      </c>
      <c r="T50" s="11">
        <f>T32-I32</f>
        <v/>
      </c>
      <c r="U50" s="11">
        <f>U32-J32</f>
        <v/>
      </c>
      <c r="X50" s="11" t="n"/>
      <c r="Y50" s="11" t="n"/>
      <c r="Z50" s="11" t="n"/>
      <c r="AA50" s="11" t="n"/>
      <c r="AB50" s="11" t="n"/>
      <c r="AC50" s="11" t="n"/>
      <c r="AD50" s="11" t="n"/>
      <c r="AE50" s="11" t="n"/>
      <c r="AF50" s="11" t="n"/>
    </row>
    <row r="51">
      <c r="L51" t="inlineStr">
        <is>
          <t>Walk</t>
        </is>
      </c>
      <c r="M51" s="11">
        <f>M33-B33</f>
        <v/>
      </c>
      <c r="N51" s="11">
        <f>N33-C33</f>
        <v/>
      </c>
      <c r="O51" s="11">
        <f>O33-D33</f>
        <v/>
      </c>
      <c r="P51" s="11">
        <f>P33-E33</f>
        <v/>
      </c>
      <c r="Q51" s="11">
        <f>Q33-F33</f>
        <v/>
      </c>
      <c r="R51" s="11">
        <f>R33-G33</f>
        <v/>
      </c>
      <c r="S51" s="11">
        <f>S33-H33</f>
        <v/>
      </c>
      <c r="T51" s="11">
        <f>T33-I33</f>
        <v/>
      </c>
      <c r="U51" s="11">
        <f>U33-J33</f>
        <v/>
      </c>
      <c r="X51" s="11" t="n"/>
      <c r="Y51" s="11" t="n"/>
      <c r="Z51" s="11" t="n"/>
      <c r="AA51" s="11" t="n"/>
      <c r="AB51" s="11" t="n"/>
      <c r="AC51" s="11" t="n"/>
      <c r="AD51" s="11" t="n"/>
      <c r="AE51" s="11" t="n"/>
      <c r="AF51" s="11" t="n"/>
    </row>
    <row r="52">
      <c r="L52" s="4" t="inlineStr">
        <is>
          <t>PRS</t>
        </is>
      </c>
      <c r="M52" s="11">
        <f>M34-B34</f>
        <v/>
      </c>
      <c r="N52" s="11">
        <f>N34-C34</f>
        <v/>
      </c>
      <c r="O52" s="11">
        <f>O34-D34</f>
        <v/>
      </c>
      <c r="P52" s="11">
        <f>P34-E34</f>
        <v/>
      </c>
      <c r="Q52" s="11">
        <f>Q34-F34</f>
        <v/>
      </c>
      <c r="R52" s="11">
        <f>R34-G34</f>
        <v/>
      </c>
      <c r="S52" s="11">
        <f>S34-H34</f>
        <v/>
      </c>
      <c r="T52" s="11">
        <f>T34-I34</f>
        <v/>
      </c>
      <c r="U52" s="11">
        <f>U34-J34</f>
        <v/>
      </c>
      <c r="X52" s="11" t="n"/>
      <c r="Y52" s="11" t="n"/>
      <c r="Z52" s="11" t="n"/>
      <c r="AA52" s="11" t="n"/>
      <c r="AB52" s="11" t="n"/>
      <c r="AC52" s="11" t="n"/>
      <c r="AD52" s="11" t="n"/>
      <c r="AE52" s="11" t="n"/>
      <c r="AF52" s="11" t="n"/>
    </row>
    <row r="53" ht="15.75" customHeight="1" s="28" thickBot="1">
      <c r="L53" s="8" t="inlineStr">
        <is>
          <t>Total</t>
        </is>
      </c>
      <c r="M53" s="13">
        <f>M35-B35</f>
        <v/>
      </c>
      <c r="N53" s="13">
        <f>N35-C35</f>
        <v/>
      </c>
      <c r="O53" s="13">
        <f>O35-D35</f>
        <v/>
      </c>
      <c r="P53" s="13">
        <f>P35-E35</f>
        <v/>
      </c>
      <c r="Q53" s="13">
        <f>Q35-F35</f>
        <v/>
      </c>
      <c r="R53" s="13">
        <f>R35-G35</f>
        <v/>
      </c>
      <c r="S53" s="13">
        <f>S35-H35</f>
        <v/>
      </c>
      <c r="T53" s="13">
        <f>T35-I35</f>
        <v/>
      </c>
      <c r="U53" s="13">
        <f>U35-J35</f>
        <v/>
      </c>
      <c r="X53" s="11" t="n"/>
      <c r="Y53" s="11" t="n"/>
      <c r="Z53" s="11" t="n"/>
      <c r="AA53" s="11" t="n"/>
      <c r="AB53" s="11" t="n"/>
      <c r="AC53" s="11" t="n"/>
      <c r="AD53" s="11" t="n"/>
      <c r="AE53" s="11" t="n"/>
      <c r="AF53" s="11" t="n"/>
    </row>
  </sheetData>
  <mergeCells count="5">
    <mergeCell ref="B21:I21"/>
    <mergeCell ref="M3:U3"/>
    <mergeCell ref="M39:U39"/>
    <mergeCell ref="B3:I3"/>
    <mergeCell ref="M21:U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B2:B3"/>
  <sheetViews>
    <sheetView workbookViewId="0">
      <selection activeCell="A1" sqref="A1"/>
    </sheetView>
  </sheetViews>
  <sheetFormatPr baseColWidth="8" defaultRowHeight="15"/>
  <sheetData>
    <row r="2">
      <c r="B2" t="inlineStr">
        <is>
          <t>This set of summaries is just a crosstabulations from the trip file based on tour mode</t>
        </is>
      </c>
    </row>
    <row r="3">
      <c r="B3" t="inlineStr">
        <is>
          <t>For work-based tours, it is based on Work tour mode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2025-09-03T02:01:39Z</dcterms:modified>
  <cp:lastModifiedBy>Angah, Ohay</cp:lastModifiedBy>
</cp:coreProperties>
</file>

<file path=docProps/custom.xml><?xml version="1.0" encoding="utf-8"?>
<Properties xmlns="http://schemas.openxmlformats.org/officeDocument/2006/custom-properties">
  <property name="WorkbookGuid" fmtid="{D5CDD505-2E9C-101B-9397-08002B2CF9AE}" pid="2">
    <vt:lpwstr xmlns:vt="http://schemas.openxmlformats.org/officeDocument/2006/docPropsVTypes">030fc6be-d62c-44cb-b2a6-7523b12388aa</vt:lpwstr>
  </property>
</Properties>
</file>