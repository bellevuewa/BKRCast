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K13"/>
  <c i="6" r="D34" s="1"/>
  <c i="6" r="D44" s="1"/>
  <c i="6" r="Q53" s="1"/>
  <c i="6" r="D35"/>
  <c i="6" r="D45" s="1"/>
  <c i="6" r="Q54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<sst xmlns="http://schemas.openxmlformats.org/spreadsheetml/2006/main" count="725" uniqueCount="291">
  <si>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</si>
  <si>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</si>
  <si>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</si>
  <si>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</si>
  <si>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</si>
  <si>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</si>
  <si>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</si>
  <si>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</si>
  <si>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</si>
  <si>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</si>
  <si>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</si>
  <si>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</si>
  <si>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</si>
  <si>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</si>
  <si>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</si>
  <si>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</si>
  <si>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</si>
  <si>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</si>
  <si>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</si>
  <si>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</si>
  <si>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</si>
  <si>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</si>
  <si>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</si>
  <si>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</si>
  <si>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</si>
  <si>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</si>
  <si>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</si>
  <si>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</si>
  <si>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</si>
  <si>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</si>
  <si>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</si>
  <si>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</si>
  <si>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</si>
  <si>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</si>
  <si>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</si>
  <si>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</si>
  <si>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</si>
  <si>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</si>
  <si>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</si>
  <si>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</si>
  <si>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</si>
  <si>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</si>
  <si>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</si>
  <si>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</si>
  <si>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</si>
  <si>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</si>
  <si>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</si>
  <si>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</si>
  <si>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</si>
  <si>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</si>
  <si>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</si>
  <si>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</si>
  <si>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</si>
  <si>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</si>
  <si>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</si>
  <si>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</si>
  <si>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</si>
  <si>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</si>
  <si>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</si>
  <si>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</si>
  <si>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</si>
  <si>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</si>
  <si>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</si>
  <si>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</si>
  <si>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</si>
  <si>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</si>
  <si>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</si>
  <si>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</si>
  <si>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</si>
  <si>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</si>
  <si>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</si>
  <si>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</si>
  <si>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</si>
  <si>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</si>
  <si>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</si>
  <si>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</si>
  <si>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</si>
  <si>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</si>
  <si>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</si>
  <si>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</si>
  <si>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</si>
  <si>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</si>
  <si>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</si>
  <si>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</si>
  <si>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</si>
  <si>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</si>
  <si>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</si>
  <si>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</si>
  <si>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</si>
  <si>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</si>
  <si>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</si>
  <si>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</si>
  <si>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</si>
  <si>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</si>
  <si>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</si>
  <si>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</si>
  <si>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</si>
  <si>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</si>
  <si>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</si>
  <si>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</si>
  <si>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</si>
  <si>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</si>
  <si>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</si>
  <si>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</si>
  <si>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</si>
  <si>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</si>
  <si>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</si>
  <si>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</si>
  <si>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</si>
  <si>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</si>
  <si>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</si>
  <si>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</si>
  <si>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</si>
  <si>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</si>
  <si>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</si>
  <si>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</si>
  <si>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</si>
  <si>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</si>
  <si>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</si>
  <si>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</si>
  <si>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</si>
  <si>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</si>
  <si>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</si>
  <si>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</si>
  <si>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</si>
  <si>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</si>
  <si>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</si>
  <si>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</si>
  <si>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</si>
  <si>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</si>
  <si>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</si>
  <si>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</si>
  <si>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</si>
  <si>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</si>
  <si>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</si>
  <si>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</si>
  <si>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</si>
  <si>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</si>
  <si>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</si>
  <si>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</si>
  <si>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</si>
  <si>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</si>
  <si>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</si>
  <si>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</si>
  <si>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</si>
  <si>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</si>
  <si>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</si>
  <si>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</si>
  <si>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</si>
  <si>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</si>
  <si>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</si>
  <si>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</si>
  <si>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</si>
  <si>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</si>
  <si>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</si>
  <si>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</si>
  <si>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</si>
  <si>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</si>
  <si>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</si>
  <si>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</si>
  <si>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</si>
  <si>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</si>
  <si>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</si>
  <si>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</si>
  <si>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</si>
  <si>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</si>
  <si>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</si>
  <si>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</si>
  <si>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</si>
  <si>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</si>
  <si>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</si>
  <si>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</si>
  <si>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</si>
  <si>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</si>
  <si>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</si>
  <si>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</si>
  <si>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</si>
  <si>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</si>
  <si>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</si>
  <si>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</si>
  <si>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</si>
  <si>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</si>
  <si>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</si>
  <si>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</si>
  <si>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</si>
  <si>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</si>
  <si>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</si>
  <si>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</si>
  <si>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</si>
  <si>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</si>
  <si>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</si>
  <si>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</si>
  <si>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</si>
  <si>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</si>
  <si>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</si>
  <si>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</si>
  <si>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</si>
  <si>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</si>
  <si>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</si>
  <si>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</si>
  <si>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</si>
  <si>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</si>
  <si>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</si>
  <si>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</si>
  <si>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</si>
  <si>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</si>
  <si>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</si>
  <si>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</si>
  <si>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</si>
  <si>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</si>
  <si>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</si>
  <si>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</si>
  <si>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</si>
  <si>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</si>
  <si>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</si>
  <si>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</si>
  <si>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</si>
  <si>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</si>
  <si>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</si>
  <si>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</si>
  <si>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</si>
  <si>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</si>
  <si>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</si>
  <si>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</si>
  <si>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</si>
  <si>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</si>
  <si>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</si>
  <si>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</si>
  <si>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</si>
  <si>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</si>
  <si>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</si>
  <si>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</si>
  <si>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</si>
  <si>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</si>
  <si>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</si>
  <si>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</si>
  <si>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</si>
  <si>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</si>
  <si>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</si>
  <si>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</si>
  <si>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</si>
  <si>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</si>
  <si>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</si>
  <si>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</si>
  <si>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</si>
  <si>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</si>
  <si>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</si>
  <si>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</si>
  <si>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</si>
  <si>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</si>
  <si>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</si>
  <si>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</si>
  <si>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</si>
  <si>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</si>
  <si>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</si>
  <si>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</si>
  <si>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</si>
  <si>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</si>
  <si>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</si>
  <si>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</si>
  <si>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</si>
  <si>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</si>
  <si>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</si>
  <si>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</si>
  <si>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</si>
  <si>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</si>
  <si>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</si>
  <si>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</si>
  <si>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</si>
  <si>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</si>
  <si>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</si>
  <si>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</si>
  <si>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</si>
  <si>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</si>
  <si>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</si>
  <si>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</si>
  <si>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</si>
  <si>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</si>
  <si>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</si>
  <si>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</si>
  <si>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</si>
  <si>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</si>
  <si>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</si>
  <si>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</si>
  <si>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Calibration Note:</t>
  </si>
  <si>
    <t>As iteration=1 coefficients didn't work as expected, reversed the coeffcients back to iteratin=0</t>
  </si>
  <si>
    <t>this was done only for this purpose not for escort</t>
  </si>
  <si>
    <t>Distance from origin is 0-1 mile</t>
  </si>
  <si>
    <t>Distance from origin is 1-3.5 mile</t>
  </si>
  <si>
    <t>Distance from origin is 3.5-10 mile</t>
  </si>
  <si>
    <t>Distance from origin is over 10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</si>
</sst>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  <numFmt numFmtId="173" formatCode="0.0000000000"/>
    <numFmt numFmtId="17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9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Alignment="1" applyFill="1" applyFont="1" applyNumberFormat="1" borderId="0" fillId="6" fontId="7" numFmtId="173" xfId="0">
      <alignment horizontal="right"/>
    </xf>
    <xf applyAlignment="1" applyBorder="1" applyFill="1" applyFont="1" applyNumberFormat="1" borderId="1" fillId="6" fontId="7" numFmtId="173" xfId="0">
      <alignment horizontal="right"/>
    </xf>
    <xf applyAlignment="1" applyBorder="1" applyFont="1" applyNumberFormat="1" borderId="0" fillId="0" fontId="0" numFmtId="174" xfId="0">
      <alignment horizontal="right" vertical="top"/>
    </xf>
    <xf applyAlignment="1" applyFont="1" applyNumberFormat="1" borderId="0" fillId="0" fontId="0" numFmtId="174" xfId="0">
      <alignment horizontal="right"/>
    </xf>
    <xf applyAlignment="1" applyBorder="1" applyFont="1" applyNumberFormat="1" borderId="6" fillId="0" fontId="0" numFmtId="170" xfId="0">
      <alignment horizontal="right" vertical="top"/>
    </xf>
    <xf applyAlignment="1" applyFont="1" applyNumberFormat="1" borderId="0" fillId="0" fontId="0" numFmtId="1" xfId="0">
      <alignment horizontal="left"/>
    </xf>
    <xf applyAlignment="1" applyBorder="1" applyFill="1" applyFont="1" borderId="2" fillId="8" fontId="6" numFmtId="0" xfId="0">
      <alignment horizontal="left"/>
    </xf>
    <xf applyFill="1" applyFont="1" borderId="0" fillId="8" fontId="0" numFmtId="0" xfId="0"/>
    <xf applyAlignment="1" applyBorder="1" applyFill="1" applyFont="1" borderId="2" fillId="8" fontId="1" numFmtId="0" xfId="0">
      <alignment horizontal="left"/>
    </xf>
    <xf applyAlignment="1" applyBorder="1" applyFill="1" applyFont="1" applyNumberFormat="1" borderId="2" fillId="8" fontId="6" numFmtId="166" xfId="0">
      <alignment horizontal="right"/>
    </xf>
    <xf applyAlignment="1" applyFill="1" applyFont="1" borderId="0" fillId="8" fontId="0" numFmtId="0" xfId="0">
      <alignment horizontal="left"/>
    </xf>
    <xf applyAlignment="1" applyBorder="1" applyFill="1" applyFont="1" borderId="0" fillId="8" fontId="0" numFmtId="0" xfId="0">
      <alignment horizontal="left" vertical="top"/>
    </xf>
    <xf applyAlignment="1" applyFill="1" applyFont="1" applyNumberFormat="1" borderId="0" fillId="8" fontId="7" numFmtId="167" xfId="0">
      <alignment horizontal="right"/>
    </xf>
    <xf applyFill="1" applyFont="1" applyNumberFormat="1" borderId="0" fillId="8" fontId="0" numFmtId="3" xfId="0"/>
    <xf applyBorder="1" applyFill="1" applyFont="1" applyNumberFormat="1" borderId="1" fillId="8" fontId="0" numFmtId="3" xfId="0"/>
    <xf applyAlignment="1" applyBorder="1" applyFill="1" applyFont="1" applyNumberFormat="1" borderId="1" fillId="8" fontId="7" numFmtId="167" xfId="0">
      <alignment horizontal="right"/>
    </xf>
    <xf applyAlignment="1" applyFill="1" applyFont="1" applyNumberFormat="1" borderId="0" fillId="8" fontId="7" numFmtId="166" xfId="0">
      <alignment horizontal="right"/>
    </xf>
    <xf applyAlignment="1" applyBorder="1" applyFill="1" applyFont="1" applyNumberFormat="1" borderId="2" fillId="8" fontId="6" numFmtId="166" xfId="0">
      <alignment horizontal="left"/>
    </xf>
    <xf applyAlignment="1" applyBorder="1" applyFill="1" applyFont="1" borderId="1" fillId="8" fontId="0" numFmtId="0" xfId="0">
      <alignment horizontal="left"/>
    </xf>
    <xf applyBorder="1" applyFill="1" applyFont="1" borderId="1" fillId="8" fontId="0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0.13997535366591662</c:v>
                </c:pt>
                <c:pt idx="1">
                  <c:v>9.4817171858297161E-2</c:v>
                </c:pt>
                <c:pt idx="2">
                  <c:v>6.0613208929414138E-2</c:v>
                </c:pt>
                <c:pt idx="3">
                  <c:v>3.7823811862082342E-2</c:v>
                </c:pt>
                <c:pt idx="4">
                  <c:v>0.17697368724959694</c:v>
                </c:pt>
                <c:pt idx="5">
                  <c:v>0.10059088633307707</c:v>
                </c:pt>
                <c:pt idx="6">
                  <c:v>9.3531479390305483E-2</c:v>
                </c:pt>
                <c:pt idx="7">
                  <c:v>4.7352183621523887E-2</c:v>
                </c:pt>
                <c:pt idx="8">
                  <c:v>6.2487203035530917E-2</c:v>
                </c:pt>
                <c:pt idx="9">
                  <c:v>3.4430770902340611E-2</c:v>
                </c:pt>
                <c:pt idx="10">
                  <c:v>2.332963935024597E-2</c:v>
                </c:pt>
                <c:pt idx="11">
                  <c:v>2.3776414646649761E-2</c:v>
                </c:pt>
                <c:pt idx="12">
                  <c:v>1.8774626622201942E-2</c:v>
                </c:pt>
                <c:pt idx="13">
                  <c:v>1.3093063886787054E-2</c:v>
                </c:pt>
                <c:pt idx="14">
                  <c:v>1.5863519565073224E-2</c:v>
                </c:pt>
                <c:pt idx="15">
                  <c:v>1.0756291439962548E-2</c:v>
                </c:pt>
                <c:pt idx="16">
                  <c:v>1.4949252409156868E-2</c:v>
                </c:pt>
                <c:pt idx="17">
                  <c:v>7.9172591197327682E-3</c:v>
                </c:pt>
                <c:pt idx="18">
                  <c:v>5.0494376941900426E-3</c:v>
                </c:pt>
                <c:pt idx="19">
                  <c:v>3.3394455384112031E-3</c:v>
                </c:pt>
                <c:pt idx="20">
                  <c:v>3.1950870779067003E-3</c:v>
                </c:pt>
                <c:pt idx="21">
                  <c:v>2.040494213163544E-3</c:v>
                </c:pt>
                <c:pt idx="22">
                  <c:v>1.742518125420947E-3</c:v>
                </c:pt>
                <c:pt idx="23">
                  <c:v>1.948184562443035E-3</c:v>
                </c:pt>
                <c:pt idx="24">
                  <c:v>1.0580408918332246E-3</c:v>
                </c:pt>
                <c:pt idx="25">
                  <c:v>1.0566749528566027E-3</c:v>
                </c:pt>
                <c:pt idx="26">
                  <c:v>7.0563207409581031E-4</c:v>
                </c:pt>
                <c:pt idx="27">
                  <c:v>1.0541385931527071E-3</c:v>
                </c:pt>
                <c:pt idx="28">
                  <c:v>4.0349177123148619E-4</c:v>
                </c:pt>
                <c:pt idx="29">
                  <c:v>3.6128282355088481E-4</c:v>
                </c:pt>
                <c:pt idx="30">
                  <c:v>2.8350394904079647E-4</c:v>
                </c:pt>
                <c:pt idx="31">
                  <c:v>1.7203129010203612E-4</c:v>
                </c:pt>
                <c:pt idx="32">
                  <c:v>8.8095056422406002E-5</c:v>
                </c:pt>
                <c:pt idx="33">
                  <c:v>1.1086746116569815E-4</c:v>
                </c:pt>
                <c:pt idx="34">
                  <c:v>8.2987742792487251E-5</c:v>
                </c:pt>
                <c:pt idx="35">
                  <c:v>4.8772871844679194E-5</c:v>
                </c:pt>
                <c:pt idx="36">
                  <c:v>6.1629227893626891E-5</c:v>
                </c:pt>
                <c:pt idx="37">
                  <c:v>2.2147617944873412E-5</c:v>
                </c:pt>
                <c:pt idx="38">
                  <c:v>3.0999780044968145E-5</c:v>
                </c:pt>
                <c:pt idx="39">
                  <c:v>2.9072404872371972E-5</c:v>
                </c:pt>
                <c:pt idx="40">
                  <c:v>1.4261449970132438E-5</c:v>
                </c:pt>
                <c:pt idx="41">
                  <c:v>3.1237657558565594E-5</c:v>
                </c:pt>
                <c:pt idx="42">
                  <c:v>9.1986911592125988E-7</c:v>
                </c:pt>
                <c:pt idx="43">
                  <c:v>3.9077402813395761E-6</c:v>
                </c:pt>
                <c:pt idx="44">
                  <c:v>6.8990183694094491E-7</c:v>
                </c:pt>
                <c:pt idx="45">
                  <c:v>2.0697055108228346E-6</c:v>
                </c:pt>
                <c:pt idx="46">
                  <c:v>6.8990183694094491E-7</c:v>
                </c:pt>
                <c:pt idx="47">
                  <c:v>5.4042310560374014E-6</c:v>
                </c:pt>
                <c:pt idx="48">
                  <c:v>0</c:v>
                </c:pt>
                <c:pt idx="49">
                  <c:v>4.5993455796062994E-7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2.5880508094630553E-2</c:v>
                </c:pt>
                <c:pt idx="1">
                  <c:v>2.956169412024184E-2</c:v>
                </c:pt>
                <c:pt idx="2">
                  <c:v>3.3016286294296003E-2</c:v>
                </c:pt>
                <c:pt idx="3">
                  <c:v>3.230999359972303E-2</c:v>
                </c:pt>
                <c:pt idx="4">
                  <c:v>2.9196864184143165E-2</c:v>
                </c:pt>
                <c:pt idx="5">
                  <c:v>2.8294663287794144E-2</c:v>
                </c:pt>
                <c:pt idx="6">
                  <c:v>2.6007246591972264E-2</c:v>
                </c:pt>
                <c:pt idx="7">
                  <c:v>2.4137737196757728E-2</c:v>
                </c:pt>
                <c:pt idx="8">
                  <c:v>2.2731017571792033E-2</c:v>
                </c:pt>
                <c:pt idx="9">
                  <c:v>2.0407639483383738E-2</c:v>
                </c:pt>
                <c:pt idx="10">
                  <c:v>1.8209938973803356E-2</c:v>
                </c:pt>
                <c:pt idx="11">
                  <c:v>1.6074575702416206E-2</c:v>
                </c:pt>
                <c:pt idx="12">
                  <c:v>1.5064708259033279E-2</c:v>
                </c:pt>
                <c:pt idx="13">
                  <c:v>1.249856124669071E-2</c:v>
                </c:pt>
                <c:pt idx="14">
                  <c:v>1.1243977782574344E-2</c:v>
                </c:pt>
                <c:pt idx="15">
                  <c:v>1.1229762919208365E-2</c:v>
                </c:pt>
                <c:pt idx="16">
                  <c:v>9.9888041167375454E-3</c:v>
                </c:pt>
                <c:pt idx="17">
                  <c:v>9.4569271629320311E-3</c:v>
                </c:pt>
                <c:pt idx="18">
                  <c:v>0.11739067678531018</c:v>
                </c:pt>
                <c:pt idx="19">
                  <c:v>4.4546916909913817E-2</c:v>
                </c:pt>
                <c:pt idx="20">
                  <c:v>4.0079370030181798E-2</c:v>
                </c:pt>
                <c:pt idx="21">
                  <c:v>5.633565585413209E-2</c:v>
                </c:pt>
                <c:pt idx="22">
                  <c:v>5.2324552699041044E-2</c:v>
                </c:pt>
                <c:pt idx="23">
                  <c:v>3.3286320729489019E-2</c:v>
                </c:pt>
                <c:pt idx="24">
                  <c:v>3.1954768043285391E-2</c:v>
                </c:pt>
                <c:pt idx="25">
                  <c:v>3.3227544629049997E-2</c:v>
                </c:pt>
                <c:pt idx="26">
                  <c:v>2.9578145097220895E-2</c:v>
                </c:pt>
                <c:pt idx="27">
                  <c:v>1.7909628827379277E-2</c:v>
                </c:pt>
                <c:pt idx="28">
                  <c:v>2.0001429776619187E-2</c:v>
                </c:pt>
                <c:pt idx="29">
                  <c:v>2.0216629703804886E-2</c:v>
                </c:pt>
                <c:pt idx="30">
                  <c:v>1.6043524995123737E-2</c:v>
                </c:pt>
                <c:pt idx="31">
                  <c:v>1.4708407125293716E-2</c:v>
                </c:pt>
                <c:pt idx="32">
                  <c:v>1.8881072000593691E-2</c:v>
                </c:pt>
                <c:pt idx="33">
                  <c:v>1.0510860631506519E-2</c:v>
                </c:pt>
                <c:pt idx="34">
                  <c:v>1.0346374560102786E-2</c:v>
                </c:pt>
                <c:pt idx="35">
                  <c:v>9.9196308184357727E-3</c:v>
                </c:pt>
                <c:pt idx="36">
                  <c:v>7.6387068818845388E-3</c:v>
                </c:pt>
                <c:pt idx="37">
                  <c:v>4.5690530647939671E-3</c:v>
                </c:pt>
                <c:pt idx="38">
                  <c:v>4.5018980847150612E-3</c:v>
                </c:pt>
                <c:pt idx="39">
                  <c:v>4.5777041706417517E-3</c:v>
                </c:pt>
                <c:pt idx="40">
                  <c:v>4.7284338691947611E-3</c:v>
                </c:pt>
                <c:pt idx="41">
                  <c:v>2.8998082284966116E-3</c:v>
                </c:pt>
                <c:pt idx="42">
                  <c:v>3.6157645135896713E-3</c:v>
                </c:pt>
                <c:pt idx="43">
                  <c:v>1.8747968133981424E-3</c:v>
                </c:pt>
                <c:pt idx="44">
                  <c:v>2.0542769924208021E-3</c:v>
                </c:pt>
                <c:pt idx="45">
                  <c:v>1.552645068110418E-3</c:v>
                </c:pt>
                <c:pt idx="46">
                  <c:v>1.8579563913947873E-3</c:v>
                </c:pt>
                <c:pt idx="47">
                  <c:v>8.372646630263671E-4</c:v>
                </c:pt>
                <c:pt idx="48">
                  <c:v>7.5045177445327643E-4</c:v>
                </c:pt>
                <c:pt idx="49">
                  <c:v>5.8117543015590814E-4</c:v>
                </c:pt>
                <c:pt idx="50">
                  <c:v>1.0560563878121844E-3</c:v>
                </c:pt>
                <c:pt idx="51">
                  <c:v>1.1530114570118778E-3</c:v>
                </c:pt>
                <c:pt idx="52">
                  <c:v>5.1596226696223576E-4</c:v>
                </c:pt>
                <c:pt idx="53">
                  <c:v>3.2245928450014841E-4</c:v>
                </c:pt>
                <c:pt idx="54">
                  <c:v>2.8174953111811615E-4</c:v>
                </c:pt>
                <c:pt idx="55">
                  <c:v>2.1358728296002583E-4</c:v>
                </c:pt>
                <c:pt idx="56">
                  <c:v>2.1197649835974321E-4</c:v>
                </c:pt>
                <c:pt idx="57">
                  <c:v>3.5128058204876751E-4</c:v>
                </c:pt>
                <c:pt idx="58">
                  <c:v>1.2933634131724606E-4</c:v>
                </c:pt>
                <c:pt idx="59">
                  <c:v>1.0502110480117754E-4</c:v>
                </c:pt>
                <c:pt idx="60">
                  <c:v>1.5276452400816951E-4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 t="n">
        <v>52948.7990929593</v>
      </c>
      <c r="C11" s="11">
        <f>B11/B$102</f>
        <v>4.8818074454357388E-2</v>
      </c>
      <c r="E11" s="19">
        <v>0</v>
      </c>
      <c r="F11" s="342" t="n">
        <v>152577.67171744097</v>
      </c>
      <c r="G11" s="11">
        <f>F11/F$102</f>
        <v>0.13997535366591662</v>
      </c>
      <c r="K11" s="8" t="n">
        <v>6.446202704159847</v>
      </c>
      <c r="L11" s="8" t="n">
        <v>5.723942733713117</v>
      </c>
    </row>
    <row r="12" spans="1:12" x14ac:dyDescent="0.25">
      <c r="A12">
        <v>1</v>
      </c>
      <c r="B12" s="340" t="n">
        <v>90943.8491288353</v>
      </c>
      <c r="C12" s="11">
        <f>B12/B$102</f>
        <v>8.3848995142321969E-2</v>
      </c>
      <c r="E12" s="20">
        <v>1</v>
      </c>
      <c r="F12" s="342" t="n">
        <v>101564.53017418965</v>
      </c>
      <c r="G12" s="11">
        <f>F12/F$102</f>
        <v>9.4817171858297161E-2</v>
      </c>
      <c r="K12" s="8"/>
      <c r="L12" s="289"/>
    </row>
    <row r="13" spans="1:12" x14ac:dyDescent="0.25">
      <c r="A13">
        <v>2</v>
      </c>
      <c r="B13" s="340" t="n">
        <v>105270.4191231009</v>
      </c>
      <c r="C13" s="11">
        <f ref="C13:C76" si="0" t="shared">B13/B$102</f>
        <v>9.7057898321178407E-2</v>
      </c>
      <c r="E13" s="21">
        <v>2</v>
      </c>
      <c r="F13" s="342" t="n">
        <v>63165.645438689295</v>
      </c>
      <c r="G13" s="11">
        <f ref="G13:G76" si="1" t="shared">F13/F$102</f>
        <v>6.0613208929414138E-2</v>
      </c>
    </row>
    <row r="14" spans="1:12" x14ac:dyDescent="0.25">
      <c r="A14">
        <v>3</v>
      </c>
      <c r="B14" s="340" t="n">
        <v>115150.336610777</v>
      </c>
      <c r="C14" s="11">
        <f si="0" t="shared"/>
        <v>0.10616704821274628</v>
      </c>
      <c r="E14" s="22">
        <v>3</v>
      </c>
      <c r="F14" s="342" t="n">
        <v>39481.69417086059</v>
      </c>
      <c r="G14" s="11">
        <f si="1" t="shared"/>
        <v>3.7823811862082342E-2</v>
      </c>
    </row>
    <row r="15" spans="1:12" x14ac:dyDescent="0.25">
      <c r="A15">
        <v>4</v>
      </c>
      <c r="B15" s="340" t="n">
        <v>179556.4996902292</v>
      </c>
      <c r="C15" s="11">
        <f si="0" t="shared"/>
        <v>0.16554865683076439</v>
      </c>
      <c r="E15" s="23">
        <v>4</v>
      </c>
      <c r="F15" s="342" t="n">
        <v>189284.27006466774</v>
      </c>
      <c r="G15" s="11">
        <f si="1" t="shared"/>
        <v>0.17697368724959694</v>
      </c>
    </row>
    <row r="16" spans="1:12" x14ac:dyDescent="0.25">
      <c r="A16">
        <v>5</v>
      </c>
      <c r="B16" s="340" t="n">
        <v>110231.594225431</v>
      </c>
      <c r="C16" s="11">
        <f si="0" t="shared"/>
        <v>0.10163203446166852</v>
      </c>
      <c r="E16" s="24">
        <v>5</v>
      </c>
      <c r="F16" s="342" t="n">
        <v>107121.58161315726</v>
      </c>
      <c r="G16" s="11">
        <f si="1" t="shared"/>
        <v>0.10059088633307707</v>
      </c>
    </row>
    <row r="17" spans="1:7" x14ac:dyDescent="0.25">
      <c r="A17">
        <v>6</v>
      </c>
      <c r="B17" s="340" t="n">
        <v>118783.7237489311</v>
      </c>
      <c r="C17" s="11">
        <f si="0" t="shared"/>
        <v>0.10951698186318666</v>
      </c>
      <c r="E17" s="25">
        <v>6</v>
      </c>
      <c r="F17" s="342" t="n">
        <v>98574.02373711382</v>
      </c>
      <c r="G17" s="11">
        <f si="1" t="shared"/>
        <v>9.3531479390305483E-2</v>
      </c>
    </row>
    <row r="18" spans="1:7" x14ac:dyDescent="0.25">
      <c r="A18">
        <v>7</v>
      </c>
      <c r="B18" s="340" t="n">
        <v>39994.2570519872</v>
      </c>
      <c r="C18" s="11">
        <f si="0" t="shared"/>
        <v>3.6874162435352367E-2</v>
      </c>
      <c r="E18" s="26">
        <v>7</v>
      </c>
      <c r="F18" s="342" t="n">
        <v>48008.12262775135</v>
      </c>
      <c r="G18" s="11">
        <f si="1" t="shared"/>
        <v>4.7352183621523887E-2</v>
      </c>
    </row>
    <row r="19" spans="1:7" x14ac:dyDescent="0.25">
      <c r="A19">
        <v>8</v>
      </c>
      <c r="B19" s="340" t="n">
        <v>40096.4407649861</v>
      </c>
      <c r="C19" s="11">
        <f si="0" t="shared"/>
        <v>3.696837443250163E-2</v>
      </c>
      <c r="E19" s="27">
        <v>8</v>
      </c>
      <c r="F19" s="342" t="n">
        <v>70889.12667680848</v>
      </c>
      <c r="G19" s="11">
        <f si="1" t="shared"/>
        <v>6.2487203035530917E-2</v>
      </c>
    </row>
    <row r="20" spans="1:7" x14ac:dyDescent="0.25">
      <c r="A20">
        <v>9</v>
      </c>
      <c r="B20" s="340" t="n">
        <v>25847.5781684811</v>
      </c>
      <c r="C20" s="11">
        <f si="0" t="shared"/>
        <v>2.3831116420193196E-2</v>
      </c>
      <c r="E20" s="28">
        <v>9</v>
      </c>
      <c r="F20" s="342" t="n">
        <v>32147.327643095163</v>
      </c>
      <c r="G20" s="11">
        <f si="1" t="shared"/>
        <v>3.4430770902340611E-2</v>
      </c>
    </row>
    <row r="21" spans="1:7" x14ac:dyDescent="0.25">
      <c r="A21">
        <v>10</v>
      </c>
      <c r="B21" s="340" t="n">
        <v>50274.7819215255</v>
      </c>
      <c r="C21" s="11">
        <f si="0" t="shared"/>
        <v>4.6352666898312481E-2</v>
      </c>
      <c r="E21" s="29">
        <v>10</v>
      </c>
      <c r="F21" s="342" t="n">
        <v>23033.905724183685</v>
      </c>
      <c r="G21" s="11">
        <f si="1" t="shared"/>
        <v>2.332963935024597E-2</v>
      </c>
    </row>
    <row r="22" spans="1:7" x14ac:dyDescent="0.25">
      <c r="A22">
        <v>11</v>
      </c>
      <c r="B22" s="340" t="n">
        <v>11197.0207144197</v>
      </c>
      <c r="C22" s="11">
        <f si="0" t="shared"/>
        <v>1.0323501198655277E-2</v>
      </c>
      <c r="E22" s="30">
        <v>11</v>
      </c>
      <c r="F22" s="342" t="n">
        <v>23448.611797378246</v>
      </c>
      <c r="G22" s="11">
        <f si="1" t="shared"/>
        <v>2.3776414646649761E-2</v>
      </c>
    </row>
    <row r="23" spans="1:7" x14ac:dyDescent="0.25">
      <c r="A23">
        <v>12</v>
      </c>
      <c r="B23" s="340" t="n">
        <v>27854.5862875253</v>
      </c>
      <c r="C23" s="11">
        <f si="0" t="shared"/>
        <v>2.568155067865455E-2</v>
      </c>
      <c r="E23" s="31">
        <v>12</v>
      </c>
      <c r="F23" s="342" t="n">
        <v>19356.302665959225</v>
      </c>
      <c r="G23" s="11">
        <f si="1" t="shared"/>
        <v>1.8774626622201942E-2</v>
      </c>
    </row>
    <row r="24" spans="1:7" x14ac:dyDescent="0.25">
      <c r="A24">
        <v>13</v>
      </c>
      <c r="B24" s="340" t="n">
        <v>8348.0388198341</v>
      </c>
      <c r="C24" s="11">
        <f si="0" t="shared"/>
        <v>7.6967785414554868E-3</v>
      </c>
      <c r="E24" s="32">
        <v>13</v>
      </c>
      <c r="F24" s="342" t="n">
        <v>13351.718042634047</v>
      </c>
      <c r="G24" s="11">
        <f si="1" t="shared"/>
        <v>1.3093063886787054E-2</v>
      </c>
    </row>
    <row r="25" spans="1:7" x14ac:dyDescent="0.25">
      <c r="A25">
        <v>14</v>
      </c>
      <c r="B25" s="340" t="n">
        <v>10446.3801021703</v>
      </c>
      <c r="C25" s="11">
        <f si="0" t="shared"/>
        <v>9.6314207374361242E-3</v>
      </c>
      <c r="E25" s="33">
        <v>14</v>
      </c>
      <c r="F25" s="342" t="n">
        <v>15715.632151976259</v>
      </c>
      <c r="G25" s="11">
        <f si="1" t="shared"/>
        <v>1.5863519565073224E-2</v>
      </c>
    </row>
    <row r="26" spans="1:7" x14ac:dyDescent="0.25">
      <c r="A26">
        <v>15</v>
      </c>
      <c r="B26" s="340" t="n">
        <v>18730.7674835545</v>
      </c>
      <c r="C26" s="11">
        <f si="0" t="shared"/>
        <v>1.7269513516143361E-2</v>
      </c>
      <c r="E26" s="34">
        <v>15</v>
      </c>
      <c r="F26" s="342" t="n">
        <v>11335.45866906337</v>
      </c>
      <c r="G26" s="11">
        <f si="1" t="shared"/>
        <v>1.0756291439962548E-2</v>
      </c>
    </row>
    <row r="27" spans="1:7" x14ac:dyDescent="0.25">
      <c r="A27">
        <v>16</v>
      </c>
      <c r="B27" s="340" t="n">
        <v>18685.6150767775</v>
      </c>
      <c r="C27" s="11">
        <f si="0" t="shared"/>
        <v>1.7227883609637583E-2</v>
      </c>
      <c r="E27" s="35">
        <v>16</v>
      </c>
      <c r="F27" s="342" t="n">
        <v>13320.850733727355</v>
      </c>
      <c r="G27" s="11">
        <f si="1" t="shared"/>
        <v>1.4949252409156868E-2</v>
      </c>
    </row>
    <row r="28" spans="1:7" x14ac:dyDescent="0.25">
      <c r="A28">
        <v>17</v>
      </c>
      <c r="B28" s="340" t="n">
        <v>7234.927318376</v>
      </c>
      <c r="C28" s="11">
        <f si="0" t="shared"/>
        <v>6.6705048377066738E-3</v>
      </c>
      <c r="E28" s="36">
        <v>17</v>
      </c>
      <c r="F28" s="342" t="n">
        <v>8448.256706621549</v>
      </c>
      <c r="G28" s="11">
        <f si="1" t="shared"/>
        <v>7.9172591197327682E-3</v>
      </c>
    </row>
    <row r="29" spans="1:7" x14ac:dyDescent="0.25">
      <c r="A29">
        <v>18</v>
      </c>
      <c r="B29" s="340" t="n">
        <v>8454.7766453539</v>
      </c>
      <c r="C29" s="11">
        <f si="0" t="shared"/>
        <v>7.7951893685674224E-3</v>
      </c>
      <c r="E29" s="37">
        <v>18</v>
      </c>
      <c r="F29" s="342" t="n">
        <v>5670.740685680192</v>
      </c>
      <c r="G29" s="11">
        <f si="1" t="shared"/>
        <v>5.0494376941900426E-3</v>
      </c>
    </row>
    <row r="30" spans="1:7" x14ac:dyDescent="0.25">
      <c r="A30">
        <v>19</v>
      </c>
      <c r="B30" s="340" t="n">
        <v>2832.1153928233</v>
      </c>
      <c r="C30" s="11">
        <f si="0" t="shared"/>
        <v>2.6111719713878072E-3</v>
      </c>
      <c r="E30" s="38">
        <v>19</v>
      </c>
      <c r="F30" s="342" t="n">
        <v>3401.8316946776213</v>
      </c>
      <c r="G30" s="11">
        <f si="1" t="shared"/>
        <v>3.3394455384112031E-3</v>
      </c>
    </row>
    <row r="31" spans="1:7" x14ac:dyDescent="0.25">
      <c r="A31">
        <v>20</v>
      </c>
      <c r="B31" s="340" t="n">
        <v>3668.4584593365</v>
      </c>
      <c r="C31" s="11">
        <f si="0" t="shared"/>
        <v>3.382268932789072E-3</v>
      </c>
      <c r="E31" s="39">
        <v>20</v>
      </c>
      <c r="F31" s="342" t="n">
        <v>2712.5965484219873</v>
      </c>
      <c r="G31" s="11">
        <f si="1" t="shared"/>
        <v>3.1950870779067003E-3</v>
      </c>
    </row>
    <row r="32" spans="1:7" x14ac:dyDescent="0.25">
      <c r="A32">
        <v>21</v>
      </c>
      <c r="B32" s="340" t="n">
        <v>907.4706190123</v>
      </c>
      <c r="C32" s="11">
        <f si="0" t="shared"/>
        <v>8.3667559988107498E-4</v>
      </c>
      <c r="E32" s="40">
        <v>21</v>
      </c>
      <c r="F32" s="342" t="n">
        <v>2282.34819546245</v>
      </c>
      <c r="G32" s="11">
        <f si="1" t="shared"/>
        <v>2.040494213163544E-3</v>
      </c>
    </row>
    <row r="33" spans="1:7" x14ac:dyDescent="0.25">
      <c r="A33">
        <v>22</v>
      </c>
      <c r="B33" s="340" t="n">
        <v>2522.700778687</v>
      </c>
      <c r="C33" s="11">
        <f si="0" t="shared"/>
        <v>2.3258958947075204E-3</v>
      </c>
      <c r="E33" s="41">
        <v>22</v>
      </c>
      <c r="F33" s="342" t="n">
        <v>2142.6870134634582</v>
      </c>
      <c r="G33" s="11">
        <f si="1" t="shared"/>
        <v>1.742518125420947E-3</v>
      </c>
    </row>
    <row r="34" spans="1:7" x14ac:dyDescent="0.25">
      <c r="A34">
        <v>23</v>
      </c>
      <c r="B34" s="340" t="n">
        <v>1988.8132901981</v>
      </c>
      <c r="C34" s="11">
        <f si="0" t="shared"/>
        <v>1.8336588730983434E-3</v>
      </c>
      <c r="E34" s="42">
        <v>23</v>
      </c>
      <c r="F34" s="342" t="n">
        <v>1339.0710013315008</v>
      </c>
      <c r="G34" s="11">
        <f si="1" t="shared"/>
        <v>1.948184562443035E-3</v>
      </c>
    </row>
    <row r="35" spans="1:7" x14ac:dyDescent="0.25">
      <c r="A35">
        <v>24</v>
      </c>
      <c r="B35" s="340" t="n">
        <v>10809.509325089</v>
      </c>
      <c r="C35" s="11">
        <f si="0" t="shared"/>
        <v>9.9662209547153723E-3</v>
      </c>
      <c r="E35" s="43">
        <v>24</v>
      </c>
      <c r="F35" s="342" t="n">
        <v>1259.0244893564593</v>
      </c>
      <c r="G35" s="11">
        <f si="1" t="shared"/>
        <v>1.0580408918332246E-3</v>
      </c>
    </row>
    <row r="36" spans="1:7" x14ac:dyDescent="0.25">
      <c r="A36">
        <v>25</v>
      </c>
      <c r="B36" s="340" t="n">
        <v>1546.810699568</v>
      </c>
      <c r="C36" s="11">
        <f si="0" t="shared"/>
        <v>1.4261384807941428E-3</v>
      </c>
      <c r="E36" s="44">
        <v>25</v>
      </c>
      <c r="F36" s="342" t="n">
        <v>1367.0817292144611</v>
      </c>
      <c r="G36" s="11">
        <f si="1" t="shared"/>
        <v>1.0566749528566027E-3</v>
      </c>
    </row>
    <row r="37" spans="1:7" x14ac:dyDescent="0.25">
      <c r="A37">
        <v>26</v>
      </c>
      <c r="B37" s="340" t="n">
        <v>774.7254652844</v>
      </c>
      <c r="C37" s="11">
        <f si="0" t="shared"/>
        <v>7.1428636897960507E-4</v>
      </c>
      <c r="E37" s="45">
        <v>26</v>
      </c>
      <c r="F37" s="342" t="n">
        <v>703.2639628447268</v>
      </c>
      <c r="G37" s="11">
        <f si="1" t="shared"/>
        <v>7.0563207409581031E-4</v>
      </c>
    </row>
    <row r="38" spans="1:7" x14ac:dyDescent="0.25">
      <c r="A38">
        <v>27</v>
      </c>
      <c r="B38" s="340" t="n">
        <v>2085.196875802</v>
      </c>
      <c r="C38" s="11">
        <f si="0" t="shared"/>
        <v>1.922523231474599E-3</v>
      </c>
      <c r="E38" s="46">
        <v>27</v>
      </c>
      <c r="F38" s="342" t="n">
        <v>517.5634004547611</v>
      </c>
      <c r="G38" s="11">
        <f si="1" t="shared"/>
        <v>1.0541385931527071E-3</v>
      </c>
    </row>
    <row r="39" spans="1:7" x14ac:dyDescent="0.25">
      <c r="A39">
        <v>28</v>
      </c>
      <c r="B39" s="340" t="n">
        <v>638.5252072000001</v>
      </c>
      <c r="C39" s="11">
        <f si="0" t="shared"/>
        <v>5.8871157873377565E-4</v>
      </c>
      <c r="E39" s="47">
        <v>28</v>
      </c>
      <c r="F39" s="342" t="n">
        <v>366.8654997272553</v>
      </c>
      <c r="G39" s="11">
        <f si="1" t="shared"/>
        <v>4.0349177123148619E-4</v>
      </c>
    </row>
    <row r="40" spans="1:7" x14ac:dyDescent="0.25">
      <c r="A40">
        <v>29</v>
      </c>
      <c r="B40" s="340" t="n">
        <v>550.7575783498</v>
      </c>
      <c r="C40" s="11">
        <f si="0" t="shared"/>
        <v>5.0779101559939466E-4</v>
      </c>
      <c r="E40" s="48">
        <v>29</v>
      </c>
      <c r="F40" s="342" t="n">
        <v>364.4159967342277</v>
      </c>
      <c r="G40" s="11">
        <f si="1" t="shared"/>
        <v>3.6128282355088481E-4</v>
      </c>
    </row>
    <row r="41" spans="1:7" x14ac:dyDescent="0.25">
      <c r="A41">
        <v>30</v>
      </c>
      <c r="B41" s="340" t="n">
        <v>0.0</v>
      </c>
      <c r="C41" s="11">
        <f si="0" t="shared"/>
        <v>0</v>
      </c>
      <c r="E41" s="49">
        <v>30</v>
      </c>
      <c r="F41" s="342" t="n">
        <v>279.2787923684301</v>
      </c>
      <c r="G41" s="11">
        <f si="1" t="shared"/>
        <v>2.8350394904079647E-4</v>
      </c>
    </row>
    <row r="42" spans="1:7" x14ac:dyDescent="0.25">
      <c r="A42">
        <v>31</v>
      </c>
      <c r="B42" s="340" t="n">
        <v>1503.265838949</v>
      </c>
      <c r="C42" s="11">
        <f si="0" t="shared"/>
        <v>1.385990710037891E-3</v>
      </c>
      <c r="E42" s="50">
        <v>31</v>
      </c>
      <c r="F42" s="342" t="n">
        <v>170.8389846108362</v>
      </c>
      <c r="G42" s="11">
        <f si="1" t="shared"/>
        <v>1.7203129010203612E-4</v>
      </c>
    </row>
    <row r="43" spans="1:7" x14ac:dyDescent="0.25">
      <c r="A43">
        <v>32</v>
      </c>
      <c r="B43" s="340" t="n">
        <v>0.0</v>
      </c>
      <c r="C43" s="11">
        <f si="0" t="shared"/>
        <v>0</v>
      </c>
      <c r="E43" s="51">
        <v>32</v>
      </c>
      <c r="F43" s="342" t="n">
        <v>122.00454113201718</v>
      </c>
      <c r="G43" s="11">
        <f si="1" t="shared"/>
        <v>8.8095056422406002E-5</v>
      </c>
    </row>
    <row r="44" spans="1:7" x14ac:dyDescent="0.25">
      <c r="A44">
        <v>33</v>
      </c>
      <c r="B44" s="340" t="n">
        <v>771.224845006</v>
      </c>
      <c r="C44" s="11">
        <f si="0" t="shared"/>
        <v>7.1105884457272792E-4</v>
      </c>
      <c r="E44" s="52">
        <v>33</v>
      </c>
      <c r="F44" s="342" t="n">
        <v>98.73738083135893</v>
      </c>
      <c r="G44" s="11">
        <f si="1" t="shared"/>
        <v>1.1086746116569815E-4</v>
      </c>
    </row>
    <row r="45" spans="1:7" x14ac:dyDescent="0.25">
      <c r="A45">
        <v>34</v>
      </c>
      <c r="B45" s="340" t="n">
        <v>936.2129745479999</v>
      </c>
      <c r="C45" s="11">
        <f si="0" t="shared"/>
        <v>8.6317566176296939E-4</v>
      </c>
      <c r="E45" s="53">
        <v>34</v>
      </c>
      <c r="F45" s="342" t="n">
        <v>77.34755350179532</v>
      </c>
      <c r="G45" s="11">
        <f si="1" t="shared"/>
        <v>8.2987742792487251E-5</v>
      </c>
    </row>
    <row r="46" spans="1:7" x14ac:dyDescent="0.25">
      <c r="A46">
        <v>35</v>
      </c>
      <c r="B46" s="340" t="n">
        <v>321.9730946164</v>
      </c>
      <c r="C46" s="11">
        <f si="0" t="shared"/>
        <v>2.9685482531318323E-4</v>
      </c>
      <c r="E46" s="54">
        <v>35</v>
      </c>
      <c r="F46" s="342" t="n">
        <v>42.350354208799</v>
      </c>
      <c r="G46" s="11">
        <f si="1" t="shared"/>
        <v>4.8772871844679194E-5</v>
      </c>
    </row>
    <row r="47" spans="1:7" x14ac:dyDescent="0.25">
      <c r="A47">
        <v>36</v>
      </c>
      <c r="B47" s="340" t="n">
        <v>727.467881212</v>
      </c>
      <c r="C47" s="11">
        <f si="0" t="shared"/>
        <v>6.707155175665416E-4</v>
      </c>
      <c r="E47" s="55">
        <v>36</v>
      </c>
      <c r="F47" s="342" t="n">
        <v>59.43362945619259</v>
      </c>
      <c r="G47" s="11">
        <f si="1" t="shared"/>
        <v>6.1629227893626891E-5</v>
      </c>
    </row>
    <row r="48" spans="1:7" x14ac:dyDescent="0.25">
      <c r="A48">
        <v>37</v>
      </c>
      <c r="B48" s="340" t="n">
        <v>637.7233689726</v>
      </c>
      <c r="C48" s="11">
        <f si="0" t="shared"/>
        <v>5.8797229476594025E-4</v>
      </c>
      <c r="E48" s="56">
        <v>37</v>
      </c>
      <c r="F48" s="342" t="n">
        <v>22.911684774798633</v>
      </c>
      <c r="G48" s="11">
        <f si="1" t="shared"/>
        <v>2.2147617944873412E-5</v>
      </c>
    </row>
    <row r="49" spans="1:7" x14ac:dyDescent="0.25">
      <c r="A49">
        <v>38</v>
      </c>
      <c r="B49" s="340" t="n">
        <v>627.269960355</v>
      </c>
      <c r="C49" s="11">
        <f si="0" t="shared"/>
        <v>5.7833439383262754E-4</v>
      </c>
      <c r="E49" s="57">
        <v>38</v>
      </c>
      <c r="F49" s="342" t="n">
        <v>23.511046245615272</v>
      </c>
      <c r="G49" s="11">
        <f si="1" t="shared"/>
        <v>3.0999780044968145E-5</v>
      </c>
    </row>
    <row r="50" spans="1:7" x14ac:dyDescent="0.25">
      <c r="A50">
        <v>39</v>
      </c>
      <c r="B50" s="340" t="n">
        <v>341.8573055842</v>
      </c>
      <c r="C50" s="11">
        <f si="0" t="shared"/>
        <v>3.1518779807405723E-4</v>
      </c>
      <c r="E50" s="58">
        <v>39</v>
      </c>
      <c r="F50" s="342" t="n">
        <v>33.74089762420279</v>
      </c>
      <c r="G50" s="11">
        <f si="1" t="shared"/>
        <v>2.9072404872371972E-5</v>
      </c>
    </row>
    <row r="51" spans="1:7" x14ac:dyDescent="0.25">
      <c r="A51">
        <v>40</v>
      </c>
      <c r="B51" s="340" t="n">
        <v>0.0</v>
      </c>
      <c r="C51" s="11">
        <f si="0" t="shared"/>
        <v>0</v>
      </c>
      <c r="E51" s="59">
        <v>40</v>
      </c>
      <c r="F51" s="342" t="n">
        <v>18.974687560084693</v>
      </c>
      <c r="G51" s="11">
        <f si="1" t="shared"/>
        <v>1.4261449970132438E-5</v>
      </c>
    </row>
    <row r="52" spans="1:7" x14ac:dyDescent="0.25">
      <c r="A52">
        <v>41</v>
      </c>
      <c r="B52" s="340" t="n">
        <v>596.97480037</v>
      </c>
      <c r="C52" s="11">
        <f si="0" t="shared"/>
        <v>5.5040266731399808E-4</v>
      </c>
      <c r="E52" s="60">
        <v>41</v>
      </c>
      <c r="F52" s="342" t="n">
        <v>10.541985430695966</v>
      </c>
      <c r="G52" s="11">
        <f si="1" t="shared"/>
        <v>3.1237657558565594E-5</v>
      </c>
    </row>
    <row r="53" spans="1:7" x14ac:dyDescent="0.25">
      <c r="A53">
        <v>42</v>
      </c>
      <c r="B53" s="340" t="n">
        <v>133.5805418631</v>
      </c>
      <c r="C53" s="11">
        <f si="0" t="shared"/>
        <v>1.2315944742915516E-4</v>
      </c>
      <c r="E53" s="61">
        <v>42</v>
      </c>
      <c r="F53" s="342" t="n">
        <v>8.332821143208486</v>
      </c>
      <c r="G53" s="11">
        <f si="1" t="shared"/>
        <v>9.1986911592125988E-7</v>
      </c>
    </row>
    <row r="54" spans="1:7" x14ac:dyDescent="0.25">
      <c r="A54">
        <v>43</v>
      </c>
      <c r="B54" s="340" t="n">
        <v>1706.890736692</v>
      </c>
      <c r="C54" s="11">
        <f si="0" t="shared"/>
        <v>1.5737301033587209E-3</v>
      </c>
      <c r="E54" s="62">
        <v>43</v>
      </c>
      <c r="F54" s="342" t="n">
        <v>8.012841241169435</v>
      </c>
      <c r="G54" s="11">
        <f si="1" t="shared"/>
        <v>3.9077402813395761E-6</v>
      </c>
    </row>
    <row r="55" spans="1:7" x14ac:dyDescent="0.25">
      <c r="A55">
        <v>44</v>
      </c>
      <c r="B55" s="340" t="n">
        <v>660.275957831</v>
      </c>
      <c r="C55" s="11">
        <f si="0" t="shared"/>
        <v>6.0876547574243345E-4</v>
      </c>
      <c r="E55" s="63">
        <v>44</v>
      </c>
      <c r="F55" s="342" t="n">
        <v>5.2550120013956185</v>
      </c>
      <c r="G55" s="11">
        <f si="1" t="shared"/>
        <v>6.8990183694094491E-7</v>
      </c>
    </row>
    <row r="56" spans="1:7" x14ac:dyDescent="0.25">
      <c r="A56">
        <v>45</v>
      </c>
      <c r="B56" s="340" t="n">
        <v>617.666578062</v>
      </c>
      <c r="C56" s="11">
        <f si="0" t="shared"/>
        <v>5.6948020563904347E-4</v>
      </c>
      <c r="E56" s="64">
        <v>45</v>
      </c>
      <c r="F56" s="342" t="n">
        <v>4.6</v>
      </c>
      <c r="G56" s="11">
        <f si="1" t="shared"/>
        <v>2.0697055108228346E-6</v>
      </c>
    </row>
    <row r="57" spans="1:7" x14ac:dyDescent="0.25">
      <c r="A57">
        <v>46</v>
      </c>
      <c r="B57" s="340" t="n">
        <v>0.0</v>
      </c>
      <c r="C57" s="11">
        <f si="0" t="shared"/>
        <v>0</v>
      </c>
      <c r="E57" s="65">
        <v>46</v>
      </c>
      <c r="F57" s="342" t="n">
        <v>1.15</v>
      </c>
      <c r="G57" s="11">
        <f si="1" t="shared"/>
        <v>6.8990183694094491E-7</v>
      </c>
    </row>
    <row r="58" spans="1:7" x14ac:dyDescent="0.25">
      <c r="A58">
        <v>47</v>
      </c>
      <c r="B58" s="340" t="n">
        <v>405.121063366</v>
      </c>
      <c r="C58" s="11">
        <f si="0" t="shared"/>
        <v>3.735161245056385E-4</v>
      </c>
      <c r="E58" s="66">
        <v>47</v>
      </c>
      <c r="F58" s="342" t="n">
        <v>2.876110344827633</v>
      </c>
      <c r="G58" s="11">
        <f si="1" t="shared"/>
        <v>5.4042310560374014E-6</v>
      </c>
    </row>
    <row r="59" spans="1:7" x14ac:dyDescent="0.25">
      <c r="A59">
        <v>48</v>
      </c>
      <c r="B59" s="340" t="n">
        <v>0.0</v>
      </c>
      <c r="C59" s="11">
        <f si="0" t="shared"/>
        <v>0</v>
      </c>
      <c r="E59" s="67">
        <v>48</v>
      </c>
      <c r="F59" s="342" t="n">
        <v>0.0</v>
      </c>
      <c r="G59" s="11">
        <f si="1" t="shared"/>
        <v>0</v>
      </c>
    </row>
    <row r="60" spans="1:7" x14ac:dyDescent="0.25">
      <c r="A60">
        <v>49</v>
      </c>
      <c r="B60" s="340" t="n">
        <v>0.0</v>
      </c>
      <c r="C60" s="11">
        <f si="0" t="shared"/>
        <v>0</v>
      </c>
      <c r="E60" s="68">
        <v>49</v>
      </c>
      <c r="F60" s="342" t="n">
        <v>0.0</v>
      </c>
      <c r="G60" s="11">
        <f si="1" t="shared"/>
        <v>4.5993455796062994E-7</v>
      </c>
    </row>
    <row r="61" spans="1:7" x14ac:dyDescent="0.25">
      <c r="A61">
        <v>50</v>
      </c>
      <c r="B61" s="340" t="n">
        <v>0.0</v>
      </c>
      <c r="C61" s="11">
        <f si="0" t="shared"/>
        <v>0</v>
      </c>
      <c r="E61" s="69">
        <v>50</v>
      </c>
      <c r="F61" s="342" t="n">
        <v>3.4499999999999997</v>
      </c>
      <c r="G61" s="11">
        <f si="1" t="shared"/>
        <v>0</v>
      </c>
    </row>
    <row r="62" spans="1:7" x14ac:dyDescent="0.25">
      <c r="A62">
        <v>51</v>
      </c>
      <c r="B62" s="340" t="n">
        <v>0.0</v>
      </c>
      <c r="C62" s="11">
        <f si="0" t="shared"/>
        <v>0</v>
      </c>
      <c r="E62" s="70">
        <v>51</v>
      </c>
      <c r="F62" s="342" t="n">
        <v>1.15</v>
      </c>
      <c r="G62" s="11">
        <f si="1" t="shared"/>
        <v>0</v>
      </c>
    </row>
    <row r="63" spans="1:7" x14ac:dyDescent="0.25">
      <c r="A63">
        <v>52</v>
      </c>
      <c r="B63" s="340" t="n">
        <v>181.031838601</v>
      </c>
      <c r="C63" s="11">
        <f si="0" t="shared"/>
        <v>1.6690889929188183E-4</v>
      </c>
      <c r="E63" s="71">
        <v>52</v>
      </c>
      <c r="F63" s="342" t="n">
        <v>2.3</v>
      </c>
      <c r="G63" s="11">
        <f si="1" t="shared"/>
        <v>0</v>
      </c>
    </row>
    <row r="64" spans="1:7" x14ac:dyDescent="0.25">
      <c r="A64">
        <v>53</v>
      </c>
      <c r="B64" s="340" t="n">
        <v>39.1519720345</v>
      </c>
      <c r="C64" s="11">
        <f si="0" t="shared"/>
        <v>3.6097587075762241E-5</v>
      </c>
      <c r="E64" s="72">
        <v>53</v>
      </c>
      <c r="F64" s="342" t="n">
        <v>0.0</v>
      </c>
      <c r="G64" s="11">
        <f si="1" t="shared"/>
        <v>0</v>
      </c>
    </row>
    <row r="65" spans="1:7" x14ac:dyDescent="0.25">
      <c r="A65">
        <v>54</v>
      </c>
      <c r="B65" s="340" t="n">
        <v>667.663687339</v>
      </c>
      <c r="C65" s="11">
        <f si="0" t="shared"/>
        <v>6.1557686212604184E-4</v>
      </c>
      <c r="E65" s="73">
        <v>54</v>
      </c>
      <c r="F65" s="342" t="n">
        <v>0.0</v>
      </c>
      <c r="G65" s="11">
        <f si="1" t="shared"/>
        <v>0</v>
      </c>
    </row>
    <row r="66" spans="1:7" x14ac:dyDescent="0.25">
      <c r="A66">
        <v>55</v>
      </c>
      <c r="B66" s="340" t="n">
        <v>0.0</v>
      </c>
      <c r="C66" s="11">
        <f si="0" t="shared"/>
        <v>0</v>
      </c>
      <c r="E66" s="74">
        <v>55</v>
      </c>
      <c r="F66" s="342" t="n">
        <v>0.0</v>
      </c>
      <c r="G66" s="11">
        <f si="1" t="shared"/>
        <v>0</v>
      </c>
    </row>
    <row r="67" spans="1:7" x14ac:dyDescent="0.25">
      <c r="A67">
        <v>56</v>
      </c>
      <c r="B67" s="340" t="n">
        <v>0.0</v>
      </c>
      <c r="C67" s="11">
        <f si="0" t="shared"/>
        <v>0</v>
      </c>
      <c r="E67" s="75">
        <v>56</v>
      </c>
      <c r="F67" s="342" t="n">
        <v>1.15</v>
      </c>
      <c r="G67" s="11">
        <f si="1" t="shared"/>
        <v>0</v>
      </c>
    </row>
    <row r="68" spans="1:7" x14ac:dyDescent="0.25">
      <c r="A68">
        <v>57</v>
      </c>
      <c r="B68" s="340" t="n">
        <v>542.140045727</v>
      </c>
      <c r="C68" s="11">
        <f si="0" t="shared"/>
        <v>4.998457674275878E-4</v>
      </c>
      <c r="E68" s="76">
        <v>57</v>
      </c>
      <c r="F68" s="342" t="n">
        <v>0.0</v>
      </c>
      <c r="G68" s="11">
        <f si="1" t="shared"/>
        <v>0</v>
      </c>
    </row>
    <row r="69" spans="1:7" x14ac:dyDescent="0.25">
      <c r="A69">
        <v>58</v>
      </c>
      <c r="B69" s="340" t="n">
        <v>0.0</v>
      </c>
      <c r="C69" s="11">
        <f si="0" t="shared"/>
        <v>0</v>
      </c>
      <c r="E69" s="77">
        <v>58</v>
      </c>
      <c r="F69" s="342" t="n">
        <v>0.311683397682136</v>
      </c>
      <c r="G69" s="11">
        <f si="1" t="shared"/>
        <v>0</v>
      </c>
    </row>
    <row r="70" spans="1:7" x14ac:dyDescent="0.25">
      <c r="A70">
        <v>59</v>
      </c>
      <c r="B70" s="340" t="n">
        <v>0.0</v>
      </c>
      <c r="C70" s="11">
        <f si="0" t="shared"/>
        <v>0</v>
      </c>
      <c r="E70" s="78">
        <v>59</v>
      </c>
      <c r="F70" s="342" t="n">
        <v>0.0</v>
      </c>
      <c r="G70" s="11">
        <f si="1" t="shared"/>
        <v>0</v>
      </c>
    </row>
    <row r="71" spans="1:7" x14ac:dyDescent="0.25">
      <c r="A71">
        <v>60</v>
      </c>
      <c r="B71" s="340" t="n">
        <v>0.0</v>
      </c>
      <c r="C71" s="11">
        <f si="0" t="shared"/>
        <v>0</v>
      </c>
      <c r="E71" s="79">
        <v>60</v>
      </c>
      <c r="F71" s="342" t="n">
        <v>0.0</v>
      </c>
      <c r="G71" s="11">
        <f si="1" t="shared"/>
        <v>0</v>
      </c>
    </row>
    <row r="72" spans="1:7" x14ac:dyDescent="0.25">
      <c r="A72">
        <v>61</v>
      </c>
      <c r="B72" s="340" t="n">
        <v>0.0</v>
      </c>
      <c r="C72" s="11">
        <f si="0" t="shared"/>
        <v>0</v>
      </c>
      <c r="E72" s="80">
        <v>61</v>
      </c>
      <c r="F72" s="342" t="n">
        <v>0.0</v>
      </c>
      <c r="G72" s="11">
        <f si="1" t="shared"/>
        <v>0</v>
      </c>
    </row>
    <row r="73" spans="1:7" x14ac:dyDescent="0.25">
      <c r="A73">
        <v>62</v>
      </c>
      <c r="B73" s="340" t="n">
        <v>0.0</v>
      </c>
      <c r="C73" s="11">
        <f si="0" t="shared"/>
        <v>0</v>
      </c>
      <c r="E73" s="81">
        <v>62</v>
      </c>
      <c r="F73" s="342" t="n">
        <v>0.0</v>
      </c>
      <c r="G73" s="11">
        <f si="1" t="shared"/>
        <v>0</v>
      </c>
    </row>
    <row r="74" spans="1:7" x14ac:dyDescent="0.25">
      <c r="A74">
        <v>63</v>
      </c>
      <c r="B74" s="340" t="n">
        <v>0.0</v>
      </c>
      <c r="C74" s="11">
        <f si="0" t="shared"/>
        <v>0</v>
      </c>
      <c r="E74" s="82">
        <v>63</v>
      </c>
      <c r="F74" s="342" t="n">
        <v>0.0</v>
      </c>
      <c r="G74" s="11">
        <f si="1" t="shared"/>
        <v>0</v>
      </c>
    </row>
    <row r="75" spans="1:7" x14ac:dyDescent="0.25">
      <c r="A75">
        <v>64</v>
      </c>
      <c r="B75" s="340" t="n">
        <v>0.0</v>
      </c>
      <c r="C75" s="11">
        <f si="0" t="shared"/>
        <v>0</v>
      </c>
      <c r="E75" s="83">
        <v>64</v>
      </c>
      <c r="F75" s="342" t="n">
        <v>0.0</v>
      </c>
      <c r="G75" s="11">
        <f si="1" t="shared"/>
        <v>0</v>
      </c>
    </row>
    <row r="76" spans="1:7" x14ac:dyDescent="0.25">
      <c r="A76">
        <v>65</v>
      </c>
      <c r="B76" s="340" t="n">
        <v>0.0</v>
      </c>
      <c r="C76" s="11">
        <f si="0" t="shared"/>
        <v>0</v>
      </c>
      <c r="E76" s="84">
        <v>65</v>
      </c>
      <c r="F76" s="342" t="n">
        <v>0.0</v>
      </c>
      <c r="G76" s="11">
        <f si="1" t="shared"/>
        <v>0</v>
      </c>
    </row>
    <row r="77" spans="1:7" x14ac:dyDescent="0.25">
      <c r="A77">
        <v>66</v>
      </c>
      <c r="B77" s="340" t="n">
        <v>0.0</v>
      </c>
      <c r="C77" s="11">
        <f ref="C77:C102" si="2" t="shared">B77/B$102</f>
        <v>0</v>
      </c>
      <c r="E77" s="85">
        <v>66</v>
      </c>
      <c r="F77" s="342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0" t="n">
        <v>0.0</v>
      </c>
      <c r="C78" s="11">
        <f si="2" t="shared"/>
        <v>0</v>
      </c>
      <c r="E78" s="86">
        <v>67</v>
      </c>
      <c r="F78" s="342" t="n">
        <v>0.0</v>
      </c>
      <c r="G78" s="11">
        <f si="3" t="shared"/>
        <v>0</v>
      </c>
    </row>
    <row r="79" spans="1:7" x14ac:dyDescent="0.25">
      <c r="A79">
        <v>68</v>
      </c>
      <c r="B79" s="340" t="n">
        <v>0.0</v>
      </c>
      <c r="C79" s="11">
        <f si="2" t="shared"/>
        <v>0</v>
      </c>
      <c r="E79" s="87">
        <v>68</v>
      </c>
      <c r="F79" s="342" t="n">
        <v>0.0</v>
      </c>
      <c r="G79" s="11">
        <f si="3" t="shared"/>
        <v>0</v>
      </c>
    </row>
    <row r="80" spans="1:7" x14ac:dyDescent="0.25">
      <c r="A80">
        <v>69</v>
      </c>
      <c r="B80" s="340" t="n">
        <v>0.0</v>
      </c>
      <c r="C80" s="11">
        <f si="2" t="shared"/>
        <v>0</v>
      </c>
      <c r="E80" s="88">
        <v>69</v>
      </c>
      <c r="F80" s="342" t="n">
        <v>0.0</v>
      </c>
      <c r="G80" s="11">
        <f si="3" t="shared"/>
        <v>0</v>
      </c>
    </row>
    <row r="81" spans="1:7" x14ac:dyDescent="0.25">
      <c r="A81">
        <v>70</v>
      </c>
      <c r="B81" s="340" t="n">
        <v>0.0</v>
      </c>
      <c r="C81" s="11">
        <f si="2" t="shared"/>
        <v>0</v>
      </c>
      <c r="E81" s="89">
        <v>70</v>
      </c>
      <c r="F81" s="342" t="n">
        <v>0.0</v>
      </c>
      <c r="G81" s="11">
        <f si="3" t="shared"/>
        <v>0</v>
      </c>
    </row>
    <row r="82" spans="1:7" x14ac:dyDescent="0.25">
      <c r="A82">
        <v>71</v>
      </c>
      <c r="B82" s="340" t="n">
        <v>4605.9932193</v>
      </c>
      <c r="C82" s="11">
        <f si="2" t="shared"/>
        <v>4.2466632627736435E-3</v>
      </c>
      <c r="E82" s="90">
        <v>71</v>
      </c>
      <c r="F82" s="342" t="n">
        <v>0.0</v>
      </c>
      <c r="G82" s="11">
        <f si="3" t="shared"/>
        <v>0</v>
      </c>
    </row>
    <row r="83" spans="1:7" x14ac:dyDescent="0.25">
      <c r="A83">
        <v>72</v>
      </c>
      <c r="B83" s="340" t="n">
        <v>0.0</v>
      </c>
      <c r="C83" s="11">
        <f si="2" t="shared"/>
        <v>0</v>
      </c>
      <c r="E83" s="91">
        <v>72</v>
      </c>
      <c r="F83" s="342" t="n">
        <v>0.0</v>
      </c>
      <c r="G83" s="11">
        <f si="3" t="shared"/>
        <v>0</v>
      </c>
    </row>
    <row r="84" spans="1:7" x14ac:dyDescent="0.25">
      <c r="A84">
        <v>73</v>
      </c>
      <c r="B84" s="340" t="n">
        <v>0.0</v>
      </c>
      <c r="C84" s="11">
        <f si="2" t="shared"/>
        <v>0</v>
      </c>
      <c r="E84" s="92">
        <v>73</v>
      </c>
      <c r="F84" s="342" t="n">
        <v>0.0</v>
      </c>
      <c r="G84" s="11">
        <f si="3" t="shared"/>
        <v>0</v>
      </c>
    </row>
    <row r="85" spans="1:7" x14ac:dyDescent="0.25">
      <c r="A85">
        <v>74</v>
      </c>
      <c r="B85" s="340" t="n">
        <v>0.0</v>
      </c>
      <c r="C85" s="11">
        <f si="2" t="shared"/>
        <v>0</v>
      </c>
      <c r="E85" s="93">
        <v>74</v>
      </c>
      <c r="F85" s="342" t="n">
        <v>0.0</v>
      </c>
      <c r="G85" s="11">
        <f si="3" t="shared"/>
        <v>0</v>
      </c>
    </row>
    <row r="86" spans="1:7" x14ac:dyDescent="0.25">
      <c r="A86">
        <v>75</v>
      </c>
      <c r="B86" s="340" t="n">
        <v>0.0</v>
      </c>
      <c r="C86" s="11">
        <f si="2" t="shared"/>
        <v>0</v>
      </c>
      <c r="E86" s="94">
        <v>75</v>
      </c>
      <c r="F86" s="342" t="n">
        <v>0.0</v>
      </c>
      <c r="G86" s="11">
        <f si="3" t="shared"/>
        <v>0</v>
      </c>
    </row>
    <row r="87" spans="1:7" x14ac:dyDescent="0.25">
      <c r="A87">
        <v>76</v>
      </c>
      <c r="B87" s="340" t="n">
        <v>215.6958943</v>
      </c>
      <c r="C87" s="11">
        <f si="2" t="shared"/>
        <v>1.9886868838988976E-4</v>
      </c>
      <c r="E87" s="95">
        <v>76</v>
      </c>
      <c r="F87" s="342" t="n">
        <v>0.0</v>
      </c>
      <c r="G87" s="11">
        <f si="3" t="shared"/>
        <v>0</v>
      </c>
    </row>
    <row r="88" spans="1:7" x14ac:dyDescent="0.25">
      <c r="A88">
        <v>77</v>
      </c>
      <c r="B88" s="340" t="n">
        <v>0.0</v>
      </c>
      <c r="C88" s="11">
        <f si="2" t="shared"/>
        <v>0</v>
      </c>
      <c r="E88" s="96">
        <v>77</v>
      </c>
      <c r="F88" s="342" t="n">
        <v>0.0</v>
      </c>
      <c r="G88" s="11">
        <f si="3" t="shared"/>
        <v>0</v>
      </c>
    </row>
    <row r="89" spans="1:7" x14ac:dyDescent="0.25">
      <c r="A89">
        <v>78</v>
      </c>
      <c r="B89" s="340" t="n">
        <v>0.0</v>
      </c>
      <c r="C89" s="11">
        <f si="2" t="shared"/>
        <v>0</v>
      </c>
      <c r="E89" s="97">
        <v>78</v>
      </c>
      <c r="F89" s="342" t="n">
        <v>0.0</v>
      </c>
      <c r="G89" s="11">
        <f si="3" t="shared"/>
        <v>0</v>
      </c>
    </row>
    <row r="90" spans="1:7" x14ac:dyDescent="0.25">
      <c r="A90">
        <v>79</v>
      </c>
      <c r="B90" s="340" t="n">
        <v>0.0</v>
      </c>
      <c r="C90" s="11">
        <f si="2" t="shared"/>
        <v>0</v>
      </c>
      <c r="E90" s="98">
        <v>79</v>
      </c>
      <c r="F90" s="342" t="n">
        <v>0.0</v>
      </c>
      <c r="G90" s="11">
        <f si="3" t="shared"/>
        <v>0</v>
      </c>
    </row>
    <row r="91" spans="1:7" x14ac:dyDescent="0.25">
      <c r="A91">
        <v>80</v>
      </c>
      <c r="B91" s="340" t="n">
        <v>0.0</v>
      </c>
      <c r="C91" s="11">
        <f si="2" t="shared"/>
        <v>0</v>
      </c>
      <c r="E91" s="99">
        <v>80</v>
      </c>
      <c r="F91" s="342" t="n">
        <v>0.0</v>
      </c>
      <c r="G91" s="11">
        <f si="3" t="shared"/>
        <v>0</v>
      </c>
    </row>
    <row r="92" spans="1:7" x14ac:dyDescent="0.25">
      <c r="A92">
        <v>81</v>
      </c>
      <c r="B92" s="340" t="n">
        <v>0.0</v>
      </c>
      <c r="C92" s="11">
        <f si="2" t="shared"/>
        <v>0</v>
      </c>
      <c r="E92" s="100">
        <v>81</v>
      </c>
      <c r="F92" s="342" t="n">
        <v>0.0</v>
      </c>
      <c r="G92" s="11">
        <f si="3" t="shared"/>
        <v>0</v>
      </c>
    </row>
    <row r="93" spans="1:7" x14ac:dyDescent="0.25">
      <c r="A93">
        <v>82</v>
      </c>
      <c r="B93" s="340" t="n">
        <v>0.0</v>
      </c>
      <c r="C93" s="11">
        <f si="2" t="shared"/>
        <v>0</v>
      </c>
      <c r="E93" s="101">
        <v>82</v>
      </c>
      <c r="F93" s="342" t="n">
        <v>0.0</v>
      </c>
      <c r="G93" s="11">
        <f si="3" t="shared"/>
        <v>0</v>
      </c>
    </row>
    <row r="94" spans="1:7" x14ac:dyDescent="0.25">
      <c r="A94">
        <v>83</v>
      </c>
      <c r="B94" s="340" t="n">
        <v>0.0</v>
      </c>
      <c r="C94" s="11">
        <f si="2" t="shared"/>
        <v>0</v>
      </c>
      <c r="E94" s="102">
        <v>83</v>
      </c>
      <c r="F94" s="342" t="n">
        <v>0.0</v>
      </c>
      <c r="G94" s="11">
        <f si="3" t="shared"/>
        <v>0</v>
      </c>
    </row>
    <row r="95" spans="1:7" x14ac:dyDescent="0.25">
      <c r="A95">
        <v>84</v>
      </c>
      <c r="B95" s="340" t="n">
        <v>0.0</v>
      </c>
      <c r="C95" s="11">
        <f si="2" t="shared"/>
        <v>0</v>
      </c>
      <c r="E95" s="103">
        <v>84</v>
      </c>
      <c r="F95" s="342" t="n">
        <v>0.0</v>
      </c>
      <c r="G95" s="11">
        <f si="3" t="shared"/>
        <v>0</v>
      </c>
    </row>
    <row r="96" spans="1:7" x14ac:dyDescent="0.25">
      <c r="A96">
        <v>85</v>
      </c>
      <c r="B96" s="340" t="n">
        <v>0.0</v>
      </c>
      <c r="C96" s="11">
        <f si="2" t="shared"/>
        <v>0</v>
      </c>
      <c r="E96" s="104">
        <v>85</v>
      </c>
      <c r="F96" s="342" t="n">
        <v>0.0</v>
      </c>
      <c r="G96" s="11">
        <f si="3" t="shared"/>
        <v>0</v>
      </c>
    </row>
    <row r="97" spans="1:7" x14ac:dyDescent="0.25">
      <c r="A97">
        <v>86</v>
      </c>
      <c r="B97" s="340" t="n">
        <v>0.0</v>
      </c>
      <c r="C97" s="11">
        <f si="2" t="shared"/>
        <v>0</v>
      </c>
      <c r="E97" s="105">
        <v>86</v>
      </c>
      <c r="F97" s="342" t="n">
        <v>0.0</v>
      </c>
      <c r="G97" s="11">
        <f si="3" t="shared"/>
        <v>0</v>
      </c>
    </row>
    <row r="98" spans="1:7" x14ac:dyDescent="0.25">
      <c r="A98">
        <v>87</v>
      </c>
      <c r="B98" s="340" t="n">
        <v>0.0</v>
      </c>
      <c r="C98" s="11">
        <f si="2" t="shared"/>
        <v>0</v>
      </c>
      <c r="E98" s="106">
        <v>87</v>
      </c>
      <c r="F98" s="342" t="n">
        <v>0.0</v>
      </c>
      <c r="G98" s="11">
        <f si="3" t="shared"/>
        <v>0</v>
      </c>
    </row>
    <row r="99" spans="1:7" x14ac:dyDescent="0.25">
      <c r="A99">
        <v>88</v>
      </c>
      <c r="B99" s="340" t="n">
        <v>0.0</v>
      </c>
      <c r="C99" s="11">
        <f si="2" t="shared"/>
        <v>0</v>
      </c>
      <c r="E99" s="107">
        <v>88</v>
      </c>
      <c r="F99" s="342" t="n">
        <v>0.0</v>
      </c>
      <c r="G99" s="11">
        <f si="3" t="shared"/>
        <v>0</v>
      </c>
    </row>
    <row r="100" spans="1:7" x14ac:dyDescent="0.25">
      <c r="A100">
        <v>89</v>
      </c>
      <c r="B100" s="340" t="n">
        <v>0.0</v>
      </c>
      <c r="C100" s="11">
        <f si="2" t="shared"/>
        <v>0</v>
      </c>
      <c r="E100" s="108">
        <v>89</v>
      </c>
      <c r="F100" s="342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1" t="n">
        <v>0.0</v>
      </c>
      <c r="C101" s="11">
        <f si="2" t="shared"/>
        <v>0</v>
      </c>
      <c r="E101" s="292">
        <v>90</v>
      </c>
      <c r="F101" s="343" t="n">
        <v>0.0</v>
      </c>
      <c r="G101" s="11">
        <f si="3" t="shared"/>
        <v>0</v>
      </c>
    </row>
    <row r="102" spans="1:7" x14ac:dyDescent="0.25">
      <c r="B102" s="340">
        <f>SUM(B11:B101)</f>
        <v>1084614.657271334</v>
      </c>
      <c r="C102" s="11">
        <f si="2" t="shared"/>
        <v>1</v>
      </c>
      <c r="F102" s="340">
        <f>SUM(F11:F101)</f>
        <v>1087111.1799405159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3249.639193436</v>
      </c>
      <c r="C11" s="11">
        <f>B11/B$102</f>
        <v>2.9961232513779769E-3</v>
      </c>
      <c r="E11" s="109">
        <v>0</v>
      </c>
      <c r="F11" s="199" t="n">
        <v>29173.459044288866</v>
      </c>
      <c r="G11" s="11">
        <f>F11/F$102</f>
        <v>2.5880508094630553E-2</v>
      </c>
      <c r="K11" s="8" t="n">
        <v>22.044502112060368</v>
      </c>
      <c r="L11" s="8" t="n">
        <v>18.029454366672034</v>
      </c>
    </row>
    <row r="12" spans="1:12" x14ac:dyDescent="0.25">
      <c r="A12">
        <v>1</v>
      </c>
      <c r="B12" s="8" t="n">
        <v>8994.442963914</v>
      </c>
      <c r="C12" s="11">
        <f>B12/B$102</f>
        <v>8.2927543931059864E-3</v>
      </c>
      <c r="E12" s="110">
        <v>1</v>
      </c>
      <c r="F12" s="200" t="n">
        <v>31596.63945544511</v>
      </c>
      <c r="G12" s="11">
        <f>F12/F$102</f>
        <v>2.956169412024184E-2</v>
      </c>
      <c r="K12" s="8"/>
      <c r="L12" s="290"/>
    </row>
    <row r="13" spans="1:12" x14ac:dyDescent="0.25">
      <c r="A13">
        <v>2</v>
      </c>
      <c r="B13" s="8" t="n">
        <v>6481.4583239668</v>
      </c>
      <c r="C13" s="11">
        <f ref="C13:C76" si="0" t="shared">B13/B$102</f>
        <v>5.975816646506333E-3</v>
      </c>
      <c r="E13" s="111">
        <v>2</v>
      </c>
      <c r="F13" s="201" t="n">
        <v>35736.31483961057</v>
      </c>
      <c r="G13" s="11">
        <f ref="G13:G76" si="1" t="shared">F13/F$102</f>
        <v>3.3016286294296003E-2</v>
      </c>
    </row>
    <row r="14" spans="1:12" x14ac:dyDescent="0.25">
      <c r="A14">
        <v>3</v>
      </c>
      <c r="B14" s="8" t="n">
        <v>13410.4364685028</v>
      </c>
      <c r="C14" s="11">
        <f si="0" t="shared"/>
        <v>1.2364240496473356E-2</v>
      </c>
      <c r="E14" s="112">
        <v>3</v>
      </c>
      <c r="F14" s="202" t="n">
        <v>34840.90727488111</v>
      </c>
      <c r="G14" s="11">
        <f si="1" t="shared"/>
        <v>3.230999359972303E-2</v>
      </c>
    </row>
    <row r="15" spans="1:12" x14ac:dyDescent="0.25">
      <c r="A15">
        <v>4</v>
      </c>
      <c r="B15" s="8" t="n">
        <v>15732.1738695716</v>
      </c>
      <c r="C15" s="11">
        <f si="0" t="shared"/>
        <v>1.4504850883308631E-2</v>
      </c>
      <c r="E15" s="113">
        <v>4</v>
      </c>
      <c r="F15" s="203" t="n">
        <v>32220.03185504168</v>
      </c>
      <c r="G15" s="11">
        <f si="1" t="shared"/>
        <v>2.9196864184143165E-2</v>
      </c>
    </row>
    <row r="16" spans="1:12" x14ac:dyDescent="0.25">
      <c r="A16">
        <v>5</v>
      </c>
      <c r="B16" s="8" t="n">
        <v>27284.6660019498</v>
      </c>
      <c r="C16" s="11">
        <f si="0" t="shared"/>
        <v>2.5156091906956494E-2</v>
      </c>
      <c r="E16" s="114">
        <v>5</v>
      </c>
      <c r="F16" s="204" t="n">
        <v>29986.679957046174</v>
      </c>
      <c r="G16" s="11">
        <f si="1" t="shared"/>
        <v>2.8294663287794144E-2</v>
      </c>
    </row>
    <row r="17" spans="1:7" x14ac:dyDescent="0.25">
      <c r="A17">
        <v>6</v>
      </c>
      <c r="B17" s="8" t="n">
        <v>20718.3833740567</v>
      </c>
      <c r="C17" s="11">
        <f si="0" t="shared"/>
        <v>1.9102068402966136E-2</v>
      </c>
      <c r="E17" s="115">
        <v>6</v>
      </c>
      <c r="F17" s="205" t="n">
        <v>28068.314886177763</v>
      </c>
      <c r="G17" s="11">
        <f si="1" t="shared"/>
        <v>2.6007246591972264E-2</v>
      </c>
    </row>
    <row r="18" spans="1:7" x14ac:dyDescent="0.25">
      <c r="A18">
        <v>7</v>
      </c>
      <c r="B18" s="8" t="n">
        <v>30173.7350431029</v>
      </c>
      <c r="C18" s="11">
        <f si="0" t="shared"/>
        <v>2.7819774369464791E-2</v>
      </c>
      <c r="E18" s="116">
        <v>7</v>
      </c>
      <c r="F18" s="206" t="n">
        <v>25973.19686206979</v>
      </c>
      <c r="G18" s="11">
        <f si="1" t="shared"/>
        <v>2.4137737196757728E-2</v>
      </c>
    </row>
    <row r="19" spans="1:7" x14ac:dyDescent="0.25">
      <c r="A19">
        <v>8</v>
      </c>
      <c r="B19" s="8" t="n">
        <v>25448.3785387008</v>
      </c>
      <c r="C19" s="11">
        <f si="0" t="shared"/>
        <v>2.3463059777122732E-2</v>
      </c>
      <c r="E19" s="117">
        <v>8</v>
      </c>
      <c r="F19" s="207" t="n">
        <v>23865.996470500075</v>
      </c>
      <c r="G19" s="11">
        <f si="1" t="shared"/>
        <v>2.2731017571792033E-2</v>
      </c>
    </row>
    <row r="20" spans="1:7" x14ac:dyDescent="0.25">
      <c r="A20">
        <v>9</v>
      </c>
      <c r="B20" s="8" t="n">
        <v>28266.9407356918</v>
      </c>
      <c r="C20" s="11">
        <f si="0" t="shared"/>
        <v>2.6061735885817332E-2</v>
      </c>
      <c r="E20" s="118">
        <v>9</v>
      </c>
      <c r="F20" s="208" t="n">
        <v>21644.278208234984</v>
      </c>
      <c r="G20" s="11">
        <f si="1" t="shared"/>
        <v>2.0407639483383738E-2</v>
      </c>
    </row>
    <row r="21" spans="1:7" x14ac:dyDescent="0.25">
      <c r="A21">
        <v>10</v>
      </c>
      <c r="B21" s="8" t="n">
        <v>9402.210952161</v>
      </c>
      <c r="C21" s="11">
        <f si="0" t="shared"/>
        <v>8.6687109464434267E-3</v>
      </c>
      <c r="E21" s="119">
        <v>10</v>
      </c>
      <c r="F21" s="209" t="n">
        <v>19108.99310760715</v>
      </c>
      <c r="G21" s="11">
        <f si="1" t="shared"/>
        <v>1.8209938973803356E-2</v>
      </c>
    </row>
    <row r="22" spans="1:7" x14ac:dyDescent="0.25">
      <c r="A22">
        <v>11</v>
      </c>
      <c r="B22" s="8" t="n">
        <v>16357.0607193858</v>
      </c>
      <c r="C22" s="11">
        <f si="0" t="shared"/>
        <v>1.5080988081552185E-2</v>
      </c>
      <c r="E22" s="120">
        <v>11</v>
      </c>
      <c r="F22" s="210" t="n">
        <v>17216.506332673118</v>
      </c>
      <c r="G22" s="11">
        <f si="1" t="shared"/>
        <v>1.6074575702416206E-2</v>
      </c>
    </row>
    <row r="23" spans="1:7" x14ac:dyDescent="0.25">
      <c r="A23">
        <v>12</v>
      </c>
      <c r="B23" s="8" t="n">
        <v>35973.1581917681</v>
      </c>
      <c r="C23" s="11">
        <f si="0" t="shared"/>
        <v>3.3166763836908787E-2</v>
      </c>
      <c r="E23" s="121">
        <v>12</v>
      </c>
      <c r="F23" s="211" t="n">
        <v>15748.819044766082</v>
      </c>
      <c r="G23" s="11">
        <f si="1" t="shared"/>
        <v>1.5064708259033279E-2</v>
      </c>
    </row>
    <row r="24" spans="1:7" x14ac:dyDescent="0.25">
      <c r="A24">
        <v>13</v>
      </c>
      <c r="B24" s="8" t="n">
        <v>30562.0903334039</v>
      </c>
      <c r="C24" s="11">
        <f si="0" t="shared"/>
        <v>2.8177832678650858E-2</v>
      </c>
      <c r="E24" s="122">
        <v>13</v>
      </c>
      <c r="F24" s="212" t="n">
        <v>13316.034266965027</v>
      </c>
      <c r="G24" s="11">
        <f si="1" t="shared"/>
        <v>1.249856124669071E-2</v>
      </c>
    </row>
    <row r="25" spans="1:7" x14ac:dyDescent="0.25">
      <c r="A25">
        <v>14</v>
      </c>
      <c r="B25" s="8" t="n">
        <v>23781.727154917</v>
      </c>
      <c r="C25" s="11">
        <f si="0" t="shared"/>
        <v>2.1926429811253794E-2</v>
      </c>
      <c r="E25" s="123">
        <v>14</v>
      </c>
      <c r="F25" s="213" t="n">
        <v>11837.19263148229</v>
      </c>
      <c r="G25" s="11">
        <f si="1" t="shared"/>
        <v>1.1243977782574344E-2</v>
      </c>
    </row>
    <row r="26" spans="1:7" x14ac:dyDescent="0.25">
      <c r="A26">
        <v>15</v>
      </c>
      <c r="B26" s="8" t="n">
        <v>13959.3886464466</v>
      </c>
      <c r="C26" s="11">
        <f si="0" t="shared"/>
        <v>1.2870366957390682E-2</v>
      </c>
      <c r="E26" s="124">
        <v>15</v>
      </c>
      <c r="F26" s="214" t="n">
        <v>11814.504673427378</v>
      </c>
      <c r="G26" s="11">
        <f si="1" t="shared"/>
        <v>1.1229762919208365E-2</v>
      </c>
    </row>
    <row r="27" spans="1:7" x14ac:dyDescent="0.25">
      <c r="A27">
        <v>16</v>
      </c>
      <c r="B27" s="8" t="n">
        <v>47717.3405932231</v>
      </c>
      <c r="C27" s="11">
        <f si="0" t="shared"/>
        <v>4.3994740688153754E-2</v>
      </c>
      <c r="E27" s="125">
        <v>16</v>
      </c>
      <c r="F27" s="215" t="n">
        <v>11033.022912907272</v>
      </c>
      <c r="G27" s="11">
        <f si="1" t="shared"/>
        <v>9.9888041167375454E-3</v>
      </c>
    </row>
    <row r="28" spans="1:7" x14ac:dyDescent="0.25">
      <c r="A28">
        <v>17</v>
      </c>
      <c r="B28" s="8" t="n">
        <v>24330.5023242691</v>
      </c>
      <c r="C28" s="11">
        <f si="0" t="shared"/>
        <v>2.2432393072650891E-2</v>
      </c>
      <c r="E28" s="126">
        <v>17</v>
      </c>
      <c r="F28" s="216" t="n">
        <v>9430.166248504489</v>
      </c>
      <c r="G28" s="11">
        <f si="1" t="shared"/>
        <v>9.4569271629320311E-3</v>
      </c>
    </row>
    <row r="29" spans="1:7" x14ac:dyDescent="0.25">
      <c r="A29">
        <v>18</v>
      </c>
      <c r="B29" s="8" t="n">
        <v>74508.7350650528</v>
      </c>
      <c r="C29" s="11">
        <f si="0" t="shared"/>
        <v>6.8696042936116447E-2</v>
      </c>
      <c r="E29" s="127">
        <v>18</v>
      </c>
      <c r="F29" s="217" t="n">
        <v>126639.91128182967</v>
      </c>
      <c r="G29" s="11">
        <f si="1" t="shared"/>
        <v>0.11739067678531018</v>
      </c>
    </row>
    <row r="30" spans="1:7" x14ac:dyDescent="0.25">
      <c r="A30">
        <v>19</v>
      </c>
      <c r="B30" s="8" t="n">
        <v>60713.3867129065</v>
      </c>
      <c r="C30" s="11">
        <f si="0" t="shared"/>
        <v>5.5976918904681594E-2</v>
      </c>
      <c r="E30" s="128">
        <v>19</v>
      </c>
      <c r="F30" s="218" t="n">
        <v>46729.09989131899</v>
      </c>
      <c r="G30" s="11">
        <f si="1" t="shared"/>
        <v>4.4546916909913817E-2</v>
      </c>
    </row>
    <row r="31" spans="1:7" x14ac:dyDescent="0.25">
      <c r="A31">
        <v>20</v>
      </c>
      <c r="B31" s="8" t="n">
        <v>75940.4975286467</v>
      </c>
      <c r="C31" s="11">
        <f si="0" t="shared"/>
        <v>7.0016108504099742E-2</v>
      </c>
      <c r="E31" s="129">
        <v>20</v>
      </c>
      <c r="F31" s="219" t="n">
        <v>42315.60233489757</v>
      </c>
      <c r="G31" s="11">
        <f si="1" t="shared"/>
        <v>4.0079370030181798E-2</v>
      </c>
    </row>
    <row r="32" spans="1:7" x14ac:dyDescent="0.25">
      <c r="A32">
        <v>21</v>
      </c>
      <c r="B32" s="8" t="n">
        <v>50371.464672959</v>
      </c>
      <c r="C32" s="11">
        <f si="0" t="shared"/>
        <v>4.6441807083525105E-2</v>
      </c>
      <c r="E32" s="130">
        <v>21</v>
      </c>
      <c r="F32" s="220" t="n">
        <v>59121.47787581413</v>
      </c>
      <c r="G32" s="11">
        <f si="1" t="shared"/>
        <v>5.633565585413209E-2</v>
      </c>
    </row>
    <row r="33" spans="1:7" x14ac:dyDescent="0.25">
      <c r="A33">
        <v>22</v>
      </c>
      <c r="B33" s="8" t="n">
        <v>50603.223974949404</v>
      </c>
      <c r="C33" s="11">
        <f si="0" t="shared"/>
        <v>4.6655486015887551E-2</v>
      </c>
      <c r="E33" s="131">
        <v>22</v>
      </c>
      <c r="F33" s="221" t="n">
        <v>55461.76613239923</v>
      </c>
      <c r="G33" s="11">
        <f si="1" t="shared"/>
        <v>5.2324552699041044E-2</v>
      </c>
    </row>
    <row r="34" spans="1:7" x14ac:dyDescent="0.25">
      <c r="A34">
        <v>23</v>
      </c>
      <c r="B34" s="8" t="n">
        <v>28526.9919163286</v>
      </c>
      <c r="C34" s="11">
        <f si="0" t="shared"/>
        <v>2.630149954648096E-2</v>
      </c>
      <c r="E34" s="132">
        <v>23</v>
      </c>
      <c r="F34" s="222" t="n">
        <v>37348.44504177169</v>
      </c>
      <c r="G34" s="11">
        <f si="1" t="shared"/>
        <v>3.3286320729489019E-2</v>
      </c>
    </row>
    <row r="35" spans="1:7" x14ac:dyDescent="0.25">
      <c r="A35">
        <v>24</v>
      </c>
      <c r="B35" s="8" t="n">
        <v>28940.315724706</v>
      </c>
      <c r="C35" s="11">
        <f si="0" t="shared"/>
        <v>2.6682578490607751E-2</v>
      </c>
      <c r="E35" s="133">
        <v>24</v>
      </c>
      <c r="F35" s="223" t="n">
        <v>35111.964659306475</v>
      </c>
      <c r="G35" s="11">
        <f si="1" t="shared"/>
        <v>3.1954768043285391E-2</v>
      </c>
    </row>
    <row r="36" spans="1:7" x14ac:dyDescent="0.25">
      <c r="A36">
        <v>25</v>
      </c>
      <c r="B36" s="8" t="n">
        <v>19019.0136060824</v>
      </c>
      <c r="C36" s="11">
        <f si="0" t="shared"/>
        <v>1.7535272530734832E-2</v>
      </c>
      <c r="E36" s="134">
        <v>25</v>
      </c>
      <c r="F36" s="224" t="n">
        <v>36157.71116434789</v>
      </c>
      <c r="G36" s="11">
        <f si="1" t="shared"/>
        <v>3.3227544629049997E-2</v>
      </c>
    </row>
    <row r="37" spans="1:7" x14ac:dyDescent="0.25">
      <c r="A37">
        <v>26</v>
      </c>
      <c r="B37" s="8" t="n">
        <v>52228.4444612188</v>
      </c>
      <c r="C37" s="11">
        <f si="0" t="shared"/>
        <v>4.815391725630442E-2</v>
      </c>
      <c r="E37" s="135">
        <v>26</v>
      </c>
      <c r="F37" s="225" t="n">
        <v>29254.740342666548</v>
      </c>
      <c r="G37" s="11">
        <f si="1" t="shared"/>
        <v>2.9578145097220895E-2</v>
      </c>
    </row>
    <row r="38" spans="1:7" x14ac:dyDescent="0.25">
      <c r="A38">
        <v>27</v>
      </c>
      <c r="B38" s="8" t="n">
        <v>6789.7577799092</v>
      </c>
      <c r="C38" s="11">
        <f si="0" t="shared"/>
        <v>6.2600645624602044E-3</v>
      </c>
      <c r="E38" s="136">
        <v>27</v>
      </c>
      <c r="F38" s="226" t="n">
        <v>19777.31170713426</v>
      </c>
      <c r="G38" s="11">
        <f si="1" t="shared"/>
        <v>1.7909628827379277E-2</v>
      </c>
    </row>
    <row r="39" spans="1:7" x14ac:dyDescent="0.25">
      <c r="A39">
        <v>28</v>
      </c>
      <c r="B39" s="8" t="n">
        <v>20867.0564340776</v>
      </c>
      <c r="C39" s="11">
        <f si="0" t="shared"/>
        <v>1.923914294738999E-2</v>
      </c>
      <c r="E39" s="137">
        <v>28</v>
      </c>
      <c r="F39" s="227" t="n">
        <v>23457.401380205316</v>
      </c>
      <c r="G39" s="11">
        <f si="1" t="shared"/>
        <v>2.0001429776619187E-2</v>
      </c>
    </row>
    <row r="40" spans="1:7" x14ac:dyDescent="0.25">
      <c r="A40">
        <v>29</v>
      </c>
      <c r="B40" s="8" t="n">
        <v>27093.851735659602</v>
      </c>
      <c r="C40" s="11">
        <f si="0" t="shared"/>
        <v>2.4980163742044682E-2</v>
      </c>
      <c r="E40" s="138">
        <v>29</v>
      </c>
      <c r="F40" s="228" t="n">
        <v>17587.99187195375</v>
      </c>
      <c r="G40" s="11">
        <f si="1" t="shared"/>
        <v>2.0216629703804886E-2</v>
      </c>
    </row>
    <row r="41" spans="1:7" x14ac:dyDescent="0.25">
      <c r="A41">
        <v>30</v>
      </c>
      <c r="B41" s="8" t="n">
        <v>8397.9471511303</v>
      </c>
      <c r="C41" s="11">
        <f si="0" t="shared"/>
        <v>7.7427933458485577E-3</v>
      </c>
      <c r="E41" s="139">
        <v>30</v>
      </c>
      <c r="F41" s="229" t="n">
        <v>17813.62722880646</v>
      </c>
      <c r="G41" s="11">
        <f si="1" t="shared"/>
        <v>1.6043524995123737E-2</v>
      </c>
    </row>
    <row r="42" spans="1:7" x14ac:dyDescent="0.25">
      <c r="A42">
        <v>31</v>
      </c>
      <c r="B42" s="8" t="n">
        <v>18689.9018747718</v>
      </c>
      <c r="C42" s="11">
        <f si="0" t="shared"/>
        <v>1.7231835979233143E-2</v>
      </c>
      <c r="E42" s="140">
        <v>31</v>
      </c>
      <c r="F42" s="230" t="n">
        <v>14270.593671993263</v>
      </c>
      <c r="G42" s="11">
        <f si="1" t="shared"/>
        <v>1.4708407125293716E-2</v>
      </c>
    </row>
    <row r="43" spans="1:7" x14ac:dyDescent="0.25">
      <c r="A43">
        <v>32</v>
      </c>
      <c r="B43" s="8" t="n">
        <v>7258.5263503213</v>
      </c>
      <c r="C43" s="11">
        <f si="0" t="shared"/>
        <v>6.6922628250131238E-3</v>
      </c>
      <c r="E43" s="141">
        <v>32</v>
      </c>
      <c r="F43" s="231" t="n">
        <v>16210.036076168042</v>
      </c>
      <c r="G43" s="11">
        <f si="1" t="shared"/>
        <v>1.8881072000593691E-2</v>
      </c>
    </row>
    <row r="44" spans="1:7" x14ac:dyDescent="0.25">
      <c r="A44">
        <v>33</v>
      </c>
      <c r="B44" s="8" t="n">
        <v>4916.6304158172</v>
      </c>
      <c r="C44" s="11">
        <f si="0" t="shared"/>
        <v>4.5330665438234287E-3</v>
      </c>
      <c r="E44" s="142">
        <v>33</v>
      </c>
      <c r="F44" s="232" t="n">
        <v>10613.755740278537</v>
      </c>
      <c r="G44" s="11">
        <f si="1" t="shared"/>
        <v>1.0510860631506519E-2</v>
      </c>
    </row>
    <row r="45" spans="1:7" x14ac:dyDescent="0.25">
      <c r="A45">
        <v>34</v>
      </c>
      <c r="B45" s="8" t="n">
        <v>18046.0841538449</v>
      </c>
      <c r="C45" s="11">
        <f si="0" t="shared"/>
        <v>1.6638244774642E-2</v>
      </c>
      <c r="E45" s="143">
        <v>34</v>
      </c>
      <c r="F45" s="233" t="n">
        <v>12346.41669271864</v>
      </c>
      <c r="G45" s="11">
        <f si="1" t="shared"/>
        <v>1.0346374560102786E-2</v>
      </c>
    </row>
    <row r="46" spans="1:7" x14ac:dyDescent="0.25">
      <c r="A46">
        <v>35</v>
      </c>
      <c r="B46" s="8" t="n">
        <v>11866.1300876208</v>
      </c>
      <c r="C46" s="11">
        <f si="0" t="shared"/>
        <v>1.0940410963533837E-2</v>
      </c>
      <c r="E46" s="144">
        <v>35</v>
      </c>
      <c r="F46" s="234" t="n">
        <v>7734.927815362369</v>
      </c>
      <c r="G46" s="11">
        <f si="1" t="shared"/>
        <v>9.9196308184357727E-3</v>
      </c>
    </row>
    <row r="47" spans="1:7" x14ac:dyDescent="0.25">
      <c r="A47">
        <v>36</v>
      </c>
      <c r="B47" s="8" t="n">
        <v>4173.0593110587</v>
      </c>
      <c r="C47" s="11">
        <f si="0" t="shared"/>
        <v>3.8475040726051522E-3</v>
      </c>
      <c r="E47" s="145">
        <v>36</v>
      </c>
      <c r="F47" s="235" t="n">
        <v>6136.5162494530205</v>
      </c>
      <c r="G47" s="11">
        <f si="1" t="shared"/>
        <v>7.6387068818845388E-3</v>
      </c>
    </row>
    <row r="48" spans="1:7" x14ac:dyDescent="0.25">
      <c r="A48">
        <v>37</v>
      </c>
      <c r="B48" s="8" t="n">
        <v>7707.047703653</v>
      </c>
      <c r="C48" s="11">
        <f si="0" t="shared"/>
        <v>7.1057934280939327E-3</v>
      </c>
      <c r="E48" s="146">
        <v>37</v>
      </c>
      <c r="F48" s="236" t="n">
        <v>5104.152181268962</v>
      </c>
      <c r="G48" s="11">
        <f si="1" t="shared"/>
        <v>4.5690530647939671E-3</v>
      </c>
    </row>
    <row r="49" spans="1:7" x14ac:dyDescent="0.25">
      <c r="A49">
        <v>38</v>
      </c>
      <c r="B49" s="8" t="n">
        <v>12919.7518268293</v>
      </c>
      <c r="C49" s="11">
        <f si="0" t="shared"/>
        <v>1.1911835913533309E-2</v>
      </c>
      <c r="E49" s="147">
        <v>38</v>
      </c>
      <c r="F49" s="237" t="n">
        <v>5465.9464263459</v>
      </c>
      <c r="G49" s="11">
        <f si="1" t="shared"/>
        <v>4.5018980847150612E-3</v>
      </c>
    </row>
    <row r="50" spans="1:7" x14ac:dyDescent="0.25">
      <c r="A50">
        <v>39</v>
      </c>
      <c r="B50" s="8" t="n">
        <v>4098.719595243</v>
      </c>
      <c r="C50" s="11">
        <f si="0" t="shared"/>
        <v>3.7789638631240052E-3</v>
      </c>
      <c r="E50" s="148">
        <v>39</v>
      </c>
      <c r="F50" s="238" t="n">
        <v>3692.0016925327986</v>
      </c>
      <c r="G50" s="11">
        <f si="1" t="shared"/>
        <v>4.5777041706417517E-3</v>
      </c>
    </row>
    <row r="51" spans="1:7" x14ac:dyDescent="0.25">
      <c r="A51">
        <v>40</v>
      </c>
      <c r="B51" s="8" t="n">
        <v>4200.214338168</v>
      </c>
      <c r="C51" s="11">
        <f si="0" t="shared"/>
        <v>3.8725406392117814E-3</v>
      </c>
      <c r="E51" s="149">
        <v>40</v>
      </c>
      <c r="F51" s="239" t="n">
        <v>3331.6086262257313</v>
      </c>
      <c r="G51" s="11">
        <f si="1" t="shared"/>
        <v>4.7284338691947611E-3</v>
      </c>
    </row>
    <row r="52" spans="1:7" x14ac:dyDescent="0.25">
      <c r="A52">
        <v>41</v>
      </c>
      <c r="B52" s="8" t="n">
        <v>7084.990707204</v>
      </c>
      <c r="C52" s="11">
        <f si="0" t="shared"/>
        <v>6.5322653162629835E-3</v>
      </c>
      <c r="E52" s="150">
        <v>41</v>
      </c>
      <c r="F52" s="240" t="n">
        <v>2521.3462098540717</v>
      </c>
      <c r="G52" s="11">
        <f si="1" t="shared"/>
        <v>2.8998082284966116E-3</v>
      </c>
    </row>
    <row r="53" spans="1:7" x14ac:dyDescent="0.25">
      <c r="A53">
        <v>42</v>
      </c>
      <c r="B53" s="8" t="n">
        <v>6386.2255665823</v>
      </c>
      <c r="C53" s="11">
        <f si="0" t="shared"/>
        <v>5.8880133361360991E-3</v>
      </c>
      <c r="E53" s="151">
        <v>42</v>
      </c>
      <c r="F53" s="241" t="n">
        <v>3103.60548900609</v>
      </c>
      <c r="G53" s="11">
        <f si="1" t="shared"/>
        <v>3.6157645135896713E-3</v>
      </c>
    </row>
    <row r="54" spans="1:7" x14ac:dyDescent="0.25">
      <c r="A54">
        <v>43</v>
      </c>
      <c r="B54" s="8" t="n">
        <v>2407.4362884904</v>
      </c>
      <c r="C54" s="11">
        <f si="0" t="shared"/>
        <v>2.219623598437265E-3</v>
      </c>
      <c r="E54" s="152">
        <v>43</v>
      </c>
      <c r="F54" s="242" t="n">
        <v>1917.7822760776696</v>
      </c>
      <c r="G54" s="11">
        <f si="1" t="shared"/>
        <v>1.8747968133981424E-3</v>
      </c>
    </row>
    <row r="55" spans="1:7" x14ac:dyDescent="0.25">
      <c r="A55">
        <v>44</v>
      </c>
      <c r="B55" s="8" t="n">
        <v>504.15543064200006</v>
      </c>
      <c r="C55" s="11">
        <f si="0" t="shared"/>
        <v>4.6482446762276909E-4</v>
      </c>
      <c r="E55" s="153">
        <v>44</v>
      </c>
      <c r="F55" s="243" t="n">
        <v>1984.9348258043017</v>
      </c>
      <c r="G55" s="11">
        <f si="1" t="shared"/>
        <v>2.0542769924208021E-3</v>
      </c>
    </row>
    <row r="56" spans="1:7" x14ac:dyDescent="0.25">
      <c r="A56">
        <v>45</v>
      </c>
      <c r="B56" s="8" t="n">
        <v>48003.1108163998</v>
      </c>
      <c r="C56" s="11">
        <f si="0" t="shared"/>
        <v>4.4258216957131745E-2</v>
      </c>
      <c r="E56" s="154">
        <v>45</v>
      </c>
      <c r="F56" s="244" t="n">
        <v>1256.196549637676</v>
      </c>
      <c r="G56" s="11">
        <f si="1" t="shared"/>
        <v>1.552645068110418E-3</v>
      </c>
    </row>
    <row r="57" spans="1:7" x14ac:dyDescent="0.25">
      <c r="A57">
        <v>46</v>
      </c>
      <c r="B57" s="8" t="n">
        <v>1714.410481782</v>
      </c>
      <c r="C57" s="11">
        <f si="0" t="shared"/>
        <v>1.5806632063179948E-3</v>
      </c>
      <c r="E57" s="155">
        <v>46</v>
      </c>
      <c r="F57" s="245" t="n">
        <v>1344.0258921645743</v>
      </c>
      <c r="G57" s="11">
        <f si="1" t="shared"/>
        <v>1.8579563913947873E-3</v>
      </c>
    </row>
    <row r="58" spans="1:7" x14ac:dyDescent="0.25">
      <c r="A58">
        <v>47</v>
      </c>
      <c r="B58" s="8" t="n">
        <v>2727.623029583</v>
      </c>
      <c r="C58" s="11">
        <f si="0" t="shared"/>
        <v>2.5148314300353775E-3</v>
      </c>
      <c r="E58" s="156">
        <v>47</v>
      </c>
      <c r="F58" s="246" t="n">
        <v>770.7389669810423</v>
      </c>
      <c r="G58" s="11">
        <f si="1" t="shared"/>
        <v>8.372646630263671E-4</v>
      </c>
    </row>
    <row r="59" spans="1:7" x14ac:dyDescent="0.25">
      <c r="A59">
        <v>48</v>
      </c>
      <c r="B59" s="8" t="n">
        <v>2951.3552785406</v>
      </c>
      <c r="C59" s="11">
        <f si="0" t="shared"/>
        <v>2.7211095283974848E-3</v>
      </c>
      <c r="E59" s="157">
        <v>48</v>
      </c>
      <c r="F59" s="247" t="n">
        <v>1175.1018887432324</v>
      </c>
      <c r="G59" s="11">
        <f si="1" t="shared"/>
        <v>7.5045177445327643E-4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577.7052538194681</v>
      </c>
      <c r="G60" s="11">
        <f si="1" t="shared"/>
        <v>5.8117543015590814E-4</v>
      </c>
    </row>
    <row r="61" spans="1:7" x14ac:dyDescent="0.25">
      <c r="A61">
        <v>50</v>
      </c>
      <c r="B61" s="8" t="n">
        <v>587.6179151199999</v>
      </c>
      <c r="C61" s="11">
        <f si="0" t="shared"/>
        <v>5.4177574605005321E-4</v>
      </c>
      <c r="E61" s="159">
        <v>50</v>
      </c>
      <c r="F61" s="249" t="n">
        <v>537.5862426802167</v>
      </c>
      <c r="G61" s="11">
        <f si="1" t="shared"/>
        <v>1.0560563878121844E-3</v>
      </c>
    </row>
    <row r="62" spans="1:7" x14ac:dyDescent="0.25">
      <c r="A62">
        <v>51</v>
      </c>
      <c r="B62" s="8" t="n">
        <v>3380.609785771</v>
      </c>
      <c r="C62" s="11">
        <f si="0" t="shared"/>
        <v>3.1168763607490923E-3</v>
      </c>
      <c r="E62" s="160">
        <v>51</v>
      </c>
      <c r="F62" s="250" t="n">
        <v>742.9065371650437</v>
      </c>
      <c r="G62" s="11">
        <f si="1" t="shared"/>
        <v>1.1530114570118778E-3</v>
      </c>
    </row>
    <row r="63" spans="1:7" x14ac:dyDescent="0.25">
      <c r="A63">
        <v>52</v>
      </c>
      <c r="B63" s="8" t="n">
        <v>3715.5722256538</v>
      </c>
      <c r="C63" s="11">
        <f si="0" t="shared"/>
        <v>3.4257071861829805E-3</v>
      </c>
      <c r="E63" s="161">
        <v>52</v>
      </c>
      <c r="F63" s="251" t="n">
        <v>558.6310286072646</v>
      </c>
      <c r="G63" s="11">
        <f si="1" t="shared"/>
        <v>5.1596226696223576E-4</v>
      </c>
    </row>
    <row r="64" spans="1:7" x14ac:dyDescent="0.25">
      <c r="A64">
        <v>53</v>
      </c>
      <c r="B64" s="8" t="n">
        <v>1014.60532883</v>
      </c>
      <c r="C64" s="11">
        <f si="0" t="shared"/>
        <v>9.3545234893149679E-4</v>
      </c>
      <c r="E64" s="162">
        <v>53</v>
      </c>
      <c r="F64" s="252" t="n">
        <v>323.2433405337248</v>
      </c>
      <c r="G64" s="11">
        <f si="1" t="shared"/>
        <v>3.2245928450014841E-4</v>
      </c>
    </row>
    <row r="65" spans="1:7" x14ac:dyDescent="0.25">
      <c r="A65">
        <v>54</v>
      </c>
      <c r="B65" s="8" t="n">
        <v>502.771848825</v>
      </c>
      <c r="C65" s="11">
        <f si="0" t="shared"/>
        <v>4.6354882395732125E-4</v>
      </c>
      <c r="E65" s="163">
        <v>54</v>
      </c>
      <c r="F65" s="253" t="n">
        <v>543.6268794283537</v>
      </c>
      <c r="G65" s="11">
        <f si="1" t="shared"/>
        <v>2.8174953111811615E-4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222.67593541157333</v>
      </c>
      <c r="G66" s="11">
        <f si="1" t="shared"/>
        <v>2.1358728296002583E-4</v>
      </c>
    </row>
    <row r="67" spans="1:7" x14ac:dyDescent="0.25">
      <c r="A67">
        <v>56</v>
      </c>
      <c r="B67" s="8" t="n">
        <v>596.97480037</v>
      </c>
      <c r="C67" s="11">
        <f si="0" t="shared"/>
        <v>5.5040266731399786E-4</v>
      </c>
      <c r="E67" s="165">
        <v>56</v>
      </c>
      <c r="F67" s="255" t="n">
        <v>507.40875850760136</v>
      </c>
      <c r="G67" s="11">
        <f si="1" t="shared"/>
        <v>2.1197649835974321E-4</v>
      </c>
    </row>
    <row r="68" spans="1:7" x14ac:dyDescent="0.25">
      <c r="A68">
        <v>57</v>
      </c>
      <c r="B68" s="8" t="n">
        <v>1368.575112804</v>
      </c>
      <c r="C68" s="11">
        <f si="0" t="shared"/>
        <v>1.2618076877617083E-3</v>
      </c>
      <c r="E68" s="166">
        <v>57</v>
      </c>
      <c r="F68" s="256" t="n">
        <v>168.46308334662035</v>
      </c>
      <c r="G68" s="11">
        <f si="1" t="shared"/>
        <v>3.5128058204876751E-4</v>
      </c>
    </row>
    <row r="69" spans="1:7" x14ac:dyDescent="0.25">
      <c r="A69">
        <v>58</v>
      </c>
      <c r="B69" s="8" t="n">
        <v>289.5458823197</v>
      </c>
      <c r="C69" s="11">
        <f si="0" t="shared"/>
        <v>2.6695737548682724E-4</v>
      </c>
      <c r="E69" s="167">
        <v>58</v>
      </c>
      <c r="F69" s="257" t="n">
        <v>121.67949377624632</v>
      </c>
      <c r="G69" s="11">
        <f si="1" t="shared"/>
        <v>1.2933634131724606E-4</v>
      </c>
    </row>
    <row r="70" spans="1:7" x14ac:dyDescent="0.25">
      <c r="A70">
        <v>59</v>
      </c>
      <c r="B70" s="8" t="n">
        <v>745.084945988</v>
      </c>
      <c r="C70" s="11">
        <f si="0" t="shared"/>
        <v>6.8695821229493553E-4</v>
      </c>
      <c r="E70" s="168">
        <v>59</v>
      </c>
      <c r="F70" s="258" t="n">
        <v>130.68651920686452</v>
      </c>
      <c r="G70" s="11">
        <f si="1" t="shared"/>
        <v>1.0502110480117754E-4</v>
      </c>
    </row>
    <row r="71" spans="1:7" x14ac:dyDescent="0.25">
      <c r="A71">
        <v>60</v>
      </c>
      <c r="B71" s="8" t="n">
        <v>1271.3699490315</v>
      </c>
      <c r="C71" s="11">
        <f si="0" t="shared"/>
        <v>1.1721858454596247E-3</v>
      </c>
      <c r="E71" s="169">
        <v>60</v>
      </c>
      <c r="F71" s="259" t="n">
        <v>244.0769398384619</v>
      </c>
      <c r="G71" s="11">
        <f si="1" t="shared"/>
        <v>1.5276452400816951E-4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209.6328992609168</v>
      </c>
      <c r="G72" s="11">
        <f si="1" t="shared"/>
        <v>8.3012579722773175E-5</v>
      </c>
    </row>
    <row r="73" spans="1:7" x14ac:dyDescent="0.25">
      <c r="A73">
        <v>62</v>
      </c>
      <c r="B73" s="8" t="n">
        <v>101.05851781</v>
      </c>
      <c r="C73" s="11">
        <f si="0" t="shared"/>
        <v>9.3174582449625286E-5</v>
      </c>
      <c r="E73" s="171">
        <v>62</v>
      </c>
      <c r="F73" s="261" t="n">
        <v>107.18997995327949</v>
      </c>
      <c r="G73" s="11">
        <f si="1" t="shared"/>
        <v>9.6184871375851533E-5</v>
      </c>
    </row>
    <row r="74" spans="1:7" x14ac:dyDescent="0.25">
      <c r="A74">
        <v>63</v>
      </c>
      <c r="B74" s="8" t="n">
        <v>210.149659191</v>
      </c>
      <c r="C74" s="11">
        <f si="0" t="shared"/>
        <v>1.9375513486023969E-4</v>
      </c>
      <c r="E74" s="172">
        <v>63</v>
      </c>
      <c r="F74" s="262" t="n">
        <v>77.6796282223356</v>
      </c>
      <c r="G74" s="11">
        <f si="1" t="shared"/>
        <v>1.3796561661671882E-4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45.8307259290224</v>
      </c>
      <c r="G75" s="11">
        <f si="1" t="shared"/>
        <v>9.6220498216796307E-5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57.55690502733719</v>
      </c>
      <c r="G76" s="11">
        <f si="1" t="shared"/>
        <v>4.615676622157322E-5</v>
      </c>
    </row>
    <row r="77" spans="1:7" x14ac:dyDescent="0.25">
      <c r="A77">
        <v>66</v>
      </c>
      <c r="B77" s="8" t="n">
        <v>617.666578062</v>
      </c>
      <c r="C77" s="11">
        <f ref="C77:C102" si="2" t="shared">B77/B$102</f>
        <v>5.6948020563904337E-4</v>
      </c>
      <c r="E77" s="175">
        <v>66</v>
      </c>
      <c r="F77" s="265" t="n">
        <v>38.7001180970052</v>
      </c>
      <c r="G77" s="11">
        <f ref="G77:G102" si="3" t="shared">F77/F$102</f>
        <v>2.5267416736512785E-5</v>
      </c>
    </row>
    <row r="78" spans="1:7" x14ac:dyDescent="0.25">
      <c r="A78">
        <v>67</v>
      </c>
      <c r="B78" s="8" t="n">
        <v>723.6581128263</v>
      </c>
      <c r="C78" s="11">
        <f si="2" t="shared"/>
        <v>6.6720296279867161E-4</v>
      </c>
      <c r="E78" s="176">
        <v>67</v>
      </c>
      <c r="F78" s="266" t="n">
        <v>45.96593145295696</v>
      </c>
      <c r="G78" s="11">
        <f si="3" t="shared"/>
        <v>5.9380292447695459E-5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33.369589593701605</v>
      </c>
      <c r="G79" s="11">
        <f si="3" t="shared"/>
        <v>3.0525464207363016E-5</v>
      </c>
    </row>
    <row r="80" spans="1:7" x14ac:dyDescent="0.25">
      <c r="A80">
        <v>69</v>
      </c>
      <c r="B80" s="8" t="n">
        <v>62.0623590382</v>
      </c>
      <c r="C80" s="11">
        <f si="2" t="shared"/>
        <v>5.7220653088292238E-5</v>
      </c>
      <c r="E80" s="178">
        <v>69</v>
      </c>
      <c r="F80" s="268" t="n">
        <v>26.008556864144104</v>
      </c>
      <c r="G80" s="11">
        <f si="3" t="shared"/>
        <v>3.749358811754818E-5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24.069126091344877</v>
      </c>
      <c r="G81" s="11">
        <f si="3" t="shared"/>
        <v>1.4484487579766583E-5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56.12467128835139</v>
      </c>
      <c r="G82" s="11">
        <f si="3" t="shared"/>
        <v>2.7819924244467542E-5</v>
      </c>
    </row>
    <row r="83" spans="1:7" x14ac:dyDescent="0.25">
      <c r="A83">
        <v>72</v>
      </c>
      <c r="B83" s="8" t="n">
        <v>6950.415883637</v>
      </c>
      <c r="C83" s="11">
        <f si="2" t="shared"/>
        <v>6.40818915459137E-3</v>
      </c>
      <c r="E83" s="181">
        <v>72</v>
      </c>
      <c r="F83" s="271" t="n">
        <v>22.331334227271896</v>
      </c>
      <c r="G83" s="11">
        <f si="3" t="shared"/>
        <v>1.9117864033682191E-5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18.62773053045172</v>
      </c>
      <c r="G84" s="11">
        <f si="3" t="shared"/>
        <v>1.4064798782436059E-5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14.168367461781003</v>
      </c>
      <c r="G85" s="11">
        <f si="3" t="shared"/>
        <v>9.2170773668649145E-5</v>
      </c>
    </row>
    <row r="86" spans="1:7" x14ac:dyDescent="0.25">
      <c r="A86">
        <v>75</v>
      </c>
      <c r="B86" s="8" t="n">
        <v>667.663687339</v>
      </c>
      <c r="C86" s="11">
        <f si="2" t="shared"/>
        <v>6.1557686212604162E-4</v>
      </c>
      <c r="E86" s="184">
        <v>75</v>
      </c>
      <c r="F86" s="274" t="n">
        <v>23.102983171848166</v>
      </c>
      <c r="G86" s="11">
        <f si="3" t="shared"/>
        <v>2.0235658355473892E-5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11.12775572534645</v>
      </c>
      <c r="G87" s="11">
        <f si="3" t="shared"/>
        <v>1.8397382318425193E-6</v>
      </c>
    </row>
    <row r="88" spans="1:7" x14ac:dyDescent="0.25">
      <c r="A88">
        <v>77</v>
      </c>
      <c r="B88" s="8" t="n">
        <v>784.020975559</v>
      </c>
      <c r="C88" s="11">
        <f si="2" t="shared"/>
        <v>7.2285670334885054E-4</v>
      </c>
      <c r="E88" s="186">
        <v>77</v>
      </c>
      <c r="F88" s="276" t="n">
        <v>15.472750657161248</v>
      </c>
      <c r="G88" s="11">
        <f si="3" t="shared"/>
        <v>1.8416348691949312E-5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9.56699524640271</v>
      </c>
      <c r="G89" s="11">
        <f si="3" t="shared"/>
        <v>9.5308661177397083E-6</v>
      </c>
    </row>
    <row r="90" spans="1:7" x14ac:dyDescent="0.25">
      <c r="A90">
        <v>79</v>
      </c>
      <c r="B90" s="8" t="n">
        <v>413.665615618</v>
      </c>
      <c r="C90" s="11">
        <f si="2" t="shared"/>
        <v>3.8139408576562758E-4</v>
      </c>
      <c r="E90" s="188">
        <v>79</v>
      </c>
      <c r="F90" s="278" t="n">
        <v>7.829971986288648</v>
      </c>
      <c r="G90" s="11">
        <f si="3" t="shared"/>
        <v>1.8328863999453753E-5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3.901988781232112</v>
      </c>
      <c r="G91" s="11">
        <f si="3" t="shared"/>
        <v>9.4257382187772914E-6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3.379726712845212</v>
      </c>
      <c r="G92" s="11">
        <f si="3" t="shared"/>
        <v>9.1933893199277449E-6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9.251491585924084</v>
      </c>
      <c r="G93" s="11">
        <f si="3" t="shared"/>
        <v>0</v>
      </c>
    </row>
    <row r="94" spans="1:7" x14ac:dyDescent="0.25">
      <c r="A94">
        <v>83</v>
      </c>
      <c r="B94" s="8" t="n">
        <v>39.1519720345</v>
      </c>
      <c r="C94" s="11">
        <f si="2" t="shared"/>
        <v>3.6097587075762234E-5</v>
      </c>
      <c r="E94" s="192">
        <v>83</v>
      </c>
      <c r="F94" s="282" t="n">
        <v>8.19601428363418</v>
      </c>
      <c r="G94" s="11">
        <f si="3" t="shared"/>
        <v>9.2010866517020055E-6</v>
      </c>
    </row>
    <row r="95" spans="1:7" x14ac:dyDescent="0.25">
      <c r="A95">
        <v>84</v>
      </c>
      <c r="B95" s="8" t="n">
        <v>2935.91546136</v>
      </c>
      <c r="C95" s="11">
        <f si="2" t="shared"/>
        <v>2.7068742264152643E-3</v>
      </c>
      <c r="E95" s="193">
        <v>84</v>
      </c>
      <c r="F95" s="283" t="n">
        <v>3.501491585924084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6.550994390616055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6.150497195308027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2.700497195308028</v>
      </c>
      <c r="G98" s="11">
        <f si="3" t="shared"/>
        <v>1.840635665126347E-5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1.9982557394711038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4.6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6136.7072054994</v>
      </c>
      <c r="C101" s="11">
        <f si="2" t="shared"/>
        <v>5.6579607922117555E-3</v>
      </c>
      <c r="E101" s="292">
        <v>90</v>
      </c>
      <c r="F101" s="292" t="n">
        <v>9.407333284765151</v>
      </c>
      <c r="G101" s="11">
        <f si="3" t="shared"/>
        <v>0</v>
      </c>
    </row>
    <row r="102" spans="1:7" x14ac:dyDescent="0.25">
      <c r="B102" s="8">
        <f>SUM(B11:B101)</f>
        <v>1084614.6572713342</v>
      </c>
      <c r="C102" s="11">
        <f si="2" t="shared"/>
        <v>1</v>
      </c>
      <c r="F102" s="8">
        <f>SUM(F11:F101)</f>
        <v>1087111.1799405161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2" t="n">
        <v>28081.912635044166</v>
      </c>
      <c r="N7" s="342" t="n">
        <v>1434.4381403624511</v>
      </c>
      <c r="O7" s="342" t="n">
        <v>5423.206449958423</v>
      </c>
      <c r="P7" s="342" t="n">
        <v>3265.0628887040925</v>
      </c>
      <c r="Q7" s="342" t="n">
        <v>3754.952162274561</v>
      </c>
      <c r="R7" s="342" t="n">
        <v>490.19901852132665</v>
      </c>
      <c r="S7" s="342" t="n">
        <v>7528.585214894846</v>
      </c>
      <c r="T7" s="291"/>
      <c r="U7" s="12">
        <f>SUM(M7:T7)</f>
        <v>50932</v>
      </c>
    </row>
    <row r="8" spans="1:21" x14ac:dyDescent="0.2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ref="J8:J14" si="0" t="shared">SUM(B8:I8)</f>
        <v>2552.9661731877</v>
      </c>
      <c r="K8" s="12"/>
      <c r="L8" t="str">
        <f>$A$8</f>
        <v>Bellevue Downtown</v>
      </c>
      <c r="M8" s="342" t="n">
        <v>1522.1209336949573</v>
      </c>
      <c r="N8" s="342" t="n">
        <v>366.45193861557254</v>
      </c>
      <c r="O8" s="342" t="n">
        <v>611.5207493581958</v>
      </c>
      <c r="P8" s="342" t="n">
        <v>192.60952658581283</v>
      </c>
      <c r="Q8" s="342" t="n">
        <v>308.2766481796528</v>
      </c>
      <c r="R8" s="342" t="n">
        <v>34.89544587173131</v>
      </c>
      <c r="S8" s="342" t="n">
        <v>445.99236719328366</v>
      </c>
      <c r="T8" s="291"/>
      <c r="U8" s="12">
        <f ref="U8:U14" si="1" t="shared">SUM(M8:T8)</f>
        <v>3624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si="0" t="shared"/>
        <v>32411.710559707601</v>
      </c>
      <c r="K9" s="13"/>
      <c r="L9" t="str">
        <f>$A$9</f>
        <v>Kirkland</v>
      </c>
      <c r="M9" s="342" t="n">
        <v>1858.29005245387</v>
      </c>
      <c r="N9" s="342" t="n">
        <v>273.9254829674177</v>
      </c>
      <c r="O9" s="342" t="n">
        <v>24074.777790341122</v>
      </c>
      <c r="P9" s="342" t="n">
        <v>3215.2043189144165</v>
      </c>
      <c r="Q9" s="342" t="n">
        <v>2436.960422583066</v>
      </c>
      <c r="R9" s="342" t="n">
        <v>169.80011150186996</v>
      </c>
      <c r="S9" s="342" t="n">
        <v>9846.888171234072</v>
      </c>
      <c r="T9" s="291"/>
      <c r="U9" s="12">
        <f si="1" t="shared"/>
        <v>43057.25</v>
      </c>
    </row>
    <row r="10" spans="1:21" x14ac:dyDescent="0.2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si="0" t="shared"/>
        <v>39687.352662971993</v>
      </c>
      <c r="K10" s="13"/>
      <c r="L10" t="str">
        <f>$A$10</f>
        <v>Redmond</v>
      </c>
      <c r="M10" s="342" t="n">
        <v>4107.86591978133</v>
      </c>
      <c r="N10" s="342" t="n">
        <v>262.11801659545245</v>
      </c>
      <c r="O10" s="342" t="n">
        <v>8246.400559184161</v>
      </c>
      <c r="P10" s="342" t="n">
        <v>11660.353765537451</v>
      </c>
      <c r="Q10" s="342" t="n">
        <v>991.4965046439727</v>
      </c>
      <c r="R10" s="342" t="n">
        <v>98.53022928198098</v>
      </c>
      <c r="S10" s="342" t="n">
        <v>10100.36470367512</v>
      </c>
      <c r="T10" s="291"/>
      <c r="U10" s="12">
        <f si="1" t="shared"/>
        <v>35317</v>
      </c>
    </row>
    <row r="11" spans="1:21" x14ac:dyDescent="0.2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si="0" t="shared"/>
        <v>218949.4684907874</v>
      </c>
      <c r="K11" s="13"/>
      <c r="L11" t="str">
        <f>$A$11</f>
        <v>Seattle</v>
      </c>
      <c r="M11" s="342" t="n">
        <v>1334.691739575993</v>
      </c>
      <c r="N11" s="342" t="n">
        <v>148.28752266005668</v>
      </c>
      <c r="O11" s="342" t="n">
        <v>4633.048741917194</v>
      </c>
      <c r="P11" s="342" t="n">
        <v>494.6960440854264</v>
      </c>
      <c r="Q11" s="342" t="n">
        <v>155907.7517334264</v>
      </c>
      <c r="R11" s="342" t="n">
        <v>6016.399077513678</v>
      </c>
      <c r="S11" s="342" t="n">
        <v>20582.18145350976</v>
      </c>
      <c r="T11" s="291"/>
      <c r="U11" s="12">
        <f si="1" t="shared"/>
        <v>194329.91138266097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si="0" t="shared"/>
        <v>20280.583342895599</v>
      </c>
      <c r="K12" s="13"/>
      <c r="L12" t="str">
        <f>$A$12</f>
        <v>Seattle Downtown</v>
      </c>
      <c r="M12" s="342" t="n">
        <v>303.4076734097282</v>
      </c>
      <c r="N12" s="342" t="n">
        <v>44.013326718922556</v>
      </c>
      <c r="O12" s="342" t="n">
        <v>149.4880585878806</v>
      </c>
      <c r="P12" s="342" t="n">
        <v>26.010432330656972</v>
      </c>
      <c r="Q12" s="342" t="n">
        <v>10911.540624186448</v>
      </c>
      <c r="R12" s="342" t="n">
        <v>5607.93583422443</v>
      </c>
      <c r="S12" s="342" t="n">
        <v>1125.5429546994833</v>
      </c>
      <c r="T12" s="291"/>
      <c r="U12" s="12">
        <f si="1" t="shared"/>
        <v>18812.146439089898</v>
      </c>
    </row>
    <row r="13" spans="1:21" x14ac:dyDescent="0.2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si="0" t="shared"/>
        <v>730770.9869656493</v>
      </c>
      <c r="K13" s="13"/>
      <c r="L13" t="str">
        <f>$A$13</f>
        <v>Rest</v>
      </c>
      <c r="M13" s="342" t="n">
        <v>12031.829625733195</v>
      </c>
      <c r="N13" s="342" t="n">
        <v>417.68557002199645</v>
      </c>
      <c r="O13" s="342" t="n">
        <v>7148.564225519578</v>
      </c>
      <c r="P13" s="342" t="n">
        <v>3727.1288507279646</v>
      </c>
      <c r="Q13" s="342" t="n">
        <v>18449.946169887742</v>
      </c>
      <c r="R13" s="342" t="n">
        <v>1247.330873935462</v>
      </c>
      <c r="S13" s="342" t="n">
        <v>668179.0162095153</v>
      </c>
      <c r="T13" s="291"/>
      <c r="U13" s="12">
        <f si="1" t="shared"/>
        <v>737150.64582653285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40131.704903138103</v>
      </c>
      <c r="C15" s="15">
        <f si="2" t="shared"/>
        <v>2794.3775121997</v>
      </c>
      <c r="D15" s="15">
        <f si="2" t="shared"/>
        <v>38715.529204377701</v>
      </c>
      <c r="E15" s="15">
        <f si="2" t="shared"/>
        <v>42806.4685641303</v>
      </c>
      <c r="F15" s="15">
        <f si="2" t="shared"/>
        <v>230775.25592337199</v>
      </c>
      <c r="G15" s="15">
        <f si="2" t="shared"/>
        <v>29594.022911429001</v>
      </c>
      <c r="H15" s="15">
        <f si="2" t="shared"/>
        <v>705193.2416080964</v>
      </c>
      <c r="I15" s="15">
        <f si="2" t="shared"/>
        <v>0</v>
      </c>
      <c r="J15" s="15">
        <f si="2" t="shared"/>
        <v>1090010.6006267434</v>
      </c>
      <c r="K15" s="12"/>
      <c r="L15" s="15" t="s">
        <v>4</v>
      </c>
      <c r="M15" s="15">
        <f ref="M15:U15" si="3" t="shared">SUM(M7:M14)</f>
        <v>49702.755395603897</v>
      </c>
      <c r="N15" s="15">
        <f si="3" t="shared"/>
        <v>2994.0634982843621</v>
      </c>
      <c r="O15" s="15">
        <f si="3" t="shared"/>
        <v>50988.959399390849</v>
      </c>
      <c r="P15" s="15">
        <f si="3" t="shared"/>
        <v>22840.835917962137</v>
      </c>
      <c r="Q15" s="15">
        <f si="3" t="shared"/>
        <v>198056.55145013815</v>
      </c>
      <c r="R15" s="15">
        <f si="3" t="shared"/>
        <v>14051.079253096366</v>
      </c>
      <c r="S15" s="15">
        <f si="3" t="shared"/>
        <v>744588.7087338079</v>
      </c>
      <c r="T15" s="15">
        <f si="3" t="shared"/>
        <v>0</v>
      </c>
      <c r="U15" s="15">
        <f si="3" t="shared"/>
        <v>1083222.9536482836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34266.955988220318</v>
      </c>
      <c r="C20" s="12">
        <f si="4" t="shared"/>
        <v>1482.0124835608335</v>
      </c>
      <c r="D20" s="12">
        <f si="4" t="shared"/>
        <v>3414.4837339633832</v>
      </c>
      <c r="E20" s="12">
        <f si="4" t="shared"/>
        <v>3830.1478876826982</v>
      </c>
      <c r="F20" s="12">
        <f si="4" t="shared"/>
        <v>4123.5218392058068</v>
      </c>
      <c r="G20" s="12">
        <f si="4" t="shared"/>
        <v>1242.7243212264566</v>
      </c>
      <c r="H20" s="12">
        <f ref="H20" si="5" t="shared">($U7/$J7)*H7</f>
        <v>2572.1537461404982</v>
      </c>
      <c r="I20" s="12"/>
      <c r="J20" s="12">
        <f>SUM(B20:I20)</f>
        <v>50931.999999999993</v>
      </c>
      <c r="K20" s="12"/>
      <c r="L20" t="str">
        <f>$A$7</f>
        <v>Bellevue</v>
      </c>
      <c r="M20" s="12">
        <f ref="M20:M26" si="6" t="shared">M7</f>
        <v>28218.5</v>
      </c>
      <c r="N20" s="12">
        <f ref="N20:U20" si="7" t="shared">N7</f>
        <v>1446.5</v>
      </c>
      <c r="O20" s="12">
        <f si="7" t="shared"/>
        <v>5577.5</v>
      </c>
      <c r="P20" s="12">
        <f si="7" t="shared"/>
        <v>3369</v>
      </c>
      <c r="Q20" s="12">
        <f si="7" t="shared"/>
        <v>4073.25</v>
      </c>
      <c r="R20" s="12">
        <f si="7" t="shared"/>
        <v>510.25</v>
      </c>
      <c r="S20" s="12">
        <f ref="S20" si="8" t="shared">S7</f>
        <v>7737</v>
      </c>
      <c r="T20" s="12"/>
      <c r="U20" s="12">
        <f si="7" t="shared"/>
        <v>50932</v>
      </c>
    </row>
    <row r="21" spans="1:32" x14ac:dyDescent="0.25">
      <c r="A21" t="str">
        <f>$A$8</f>
        <v>Bellevue Downtown</v>
      </c>
      <c r="B21" s="12">
        <f ref="B21:G26" si="9" t="shared">($U8/$J8)*B8</f>
        <v>2505.7937171498629</v>
      </c>
      <c r="C21" s="12">
        <f si="9" t="shared"/>
        <v>505.03103676569964</v>
      </c>
      <c r="D21" s="12">
        <f si="9" t="shared"/>
        <v>0</v>
      </c>
      <c r="E21" s="12">
        <f si="9" t="shared"/>
        <v>113.77991323884866</v>
      </c>
      <c r="F21" s="12">
        <f si="9" t="shared"/>
        <v>145.78932651319363</v>
      </c>
      <c r="G21" s="12">
        <f si="9" t="shared"/>
        <v>186.65912471799763</v>
      </c>
      <c r="H21" s="12">
        <f ref="H21" si="10" t="shared">($U8/$J8)*H8</f>
        <v>166.94688161439768</v>
      </c>
      <c r="I21" s="12"/>
      <c r="J21" s="12">
        <f ref="J21:J27" si="11" t="shared">SUM(B21:I21)</f>
        <v>3624.0000000000005</v>
      </c>
      <c r="K21" s="12"/>
      <c r="L21" t="str">
        <f>$A$8</f>
        <v>Bellevue Downtown</v>
      </c>
      <c r="M21" s="12">
        <f si="6" t="shared"/>
        <v>1562</v>
      </c>
      <c r="N21" s="12">
        <f ref="N21:R26" si="12" t="shared">N8</f>
        <v>402.75</v>
      </c>
      <c r="O21" s="12">
        <f si="12" t="shared"/>
        <v>627.75</v>
      </c>
      <c r="P21" s="12">
        <f si="12" t="shared"/>
        <v>187.5</v>
      </c>
      <c r="Q21" s="12">
        <f si="12" t="shared"/>
        <v>332.75</v>
      </c>
      <c r="R21" s="12">
        <f si="12" t="shared"/>
        <v>43.25</v>
      </c>
      <c r="S21" s="12">
        <f ref="S21" si="13" t="shared">S8</f>
        <v>468</v>
      </c>
      <c r="T21" s="12"/>
      <c r="U21" s="12">
        <f ref="U21:U26" si="14" t="shared">U8</f>
        <v>3624</v>
      </c>
    </row>
    <row r="22" spans="1:32" x14ac:dyDescent="0.25">
      <c r="A22" t="str">
        <f>$A$9</f>
        <v>Kirkland</v>
      </c>
      <c r="B22" s="12">
        <f si="9" t="shared"/>
        <v>0</v>
      </c>
      <c r="C22" s="12">
        <f si="9" t="shared"/>
        <v>0</v>
      </c>
      <c r="D22" s="12">
        <f si="9" t="shared"/>
        <v>30370.833783270231</v>
      </c>
      <c r="E22" s="12">
        <f si="9" t="shared"/>
        <v>5278.4461597197769</v>
      </c>
      <c r="F22" s="12">
        <f si="9" t="shared"/>
        <v>1874.2169123371411</v>
      </c>
      <c r="G22" s="12">
        <f si="9" t="shared"/>
        <v>614.63800874387016</v>
      </c>
      <c r="H22" s="12">
        <f ref="H22" si="15" t="shared">($U9/$J9)*H9</f>
        <v>4919.1151359289879</v>
      </c>
      <c r="I22" s="12"/>
      <c r="J22" s="12">
        <f si="11" t="shared"/>
        <v>43057.250000000007</v>
      </c>
      <c r="K22" s="13"/>
      <c r="L22" t="str">
        <f>$A$9</f>
        <v>Kirkland</v>
      </c>
      <c r="M22" s="12">
        <f si="6" t="shared"/>
        <v>2005.75</v>
      </c>
      <c r="N22" s="12">
        <f si="12" t="shared"/>
        <v>299</v>
      </c>
      <c r="O22" s="12">
        <f si="12" t="shared"/>
        <v>24217.75</v>
      </c>
      <c r="P22" s="12">
        <f si="12" t="shared"/>
        <v>3316.5</v>
      </c>
      <c r="Q22" s="12">
        <f si="12" t="shared"/>
        <v>2697.75</v>
      </c>
      <c r="R22" s="12">
        <f si="12" t="shared"/>
        <v>148.5</v>
      </c>
      <c r="S22" s="12">
        <f ref="S22" si="16" t="shared">S9</f>
        <v>10372</v>
      </c>
      <c r="T22" s="12"/>
      <c r="U22" s="12">
        <f si="14" t="shared"/>
        <v>43057.25</v>
      </c>
    </row>
    <row r="23" spans="1:32" x14ac:dyDescent="0.25">
      <c r="A23" t="str">
        <f>$A$10</f>
        <v>Redmond</v>
      </c>
      <c r="B23" s="12">
        <f si="9" t="shared"/>
        <v>2690.2069170610071</v>
      </c>
      <c r="C23" s="12">
        <f si="9" t="shared"/>
        <v>0</v>
      </c>
      <c r="D23" s="12">
        <f si="9" t="shared"/>
        <v>2193.9435800224119</v>
      </c>
      <c r="E23" s="12">
        <f si="9" t="shared"/>
        <v>27913.3923003911</v>
      </c>
      <c r="F23" s="12">
        <f si="9" t="shared"/>
        <v>403.7800335935479</v>
      </c>
      <c r="G23" s="12">
        <f si="9" t="shared"/>
        <v>0</v>
      </c>
      <c r="H23" s="12">
        <f ref="H23" si="17" t="shared">($U10/$J10)*H10</f>
        <v>2115.6771689319407</v>
      </c>
      <c r="I23" s="12"/>
      <c r="J23" s="12">
        <f>SUM(B23:I23)</f>
        <v>35317.000000000007</v>
      </c>
      <c r="K23" s="13"/>
      <c r="L23" t="str">
        <f>$A$10</f>
        <v>Redmond</v>
      </c>
      <c r="M23" s="12">
        <f si="6" t="shared"/>
        <v>4014.75</v>
      </c>
      <c r="N23" s="12">
        <f si="12" t="shared"/>
        <v>266.25</v>
      </c>
      <c r="O23" s="12">
        <f si="12" t="shared"/>
        <v>8261</v>
      </c>
      <c r="P23" s="12">
        <f si="12" t="shared"/>
        <v>11427.75</v>
      </c>
      <c r="Q23" s="12">
        <f si="12" t="shared"/>
        <v>1044.5</v>
      </c>
      <c r="R23" s="12">
        <f si="12" t="shared"/>
        <v>100.25</v>
      </c>
      <c r="S23" s="12">
        <f ref="S23" si="18" t="shared">S10</f>
        <v>10202.5</v>
      </c>
      <c r="T23" s="12"/>
      <c r="U23" s="12">
        <f si="14" t="shared"/>
        <v>35317</v>
      </c>
    </row>
    <row r="24" spans="1:32" x14ac:dyDescent="0.25">
      <c r="A24" t="str">
        <f>$A$11</f>
        <v>Seattle</v>
      </c>
      <c r="B24" s="12">
        <f si="9" t="shared"/>
        <v>2209.9246402425952</v>
      </c>
      <c r="C24" s="12">
        <f si="9" t="shared"/>
        <v>0</v>
      </c>
      <c r="D24" s="12">
        <f si="9" t="shared"/>
        <v>567.02142860227787</v>
      </c>
      <c r="E24" s="12">
        <f si="9" t="shared"/>
        <v>631.91305531703006</v>
      </c>
      <c r="F24" s="12">
        <f si="9" t="shared"/>
        <v>168051.56946883077</v>
      </c>
      <c r="G24" s="12">
        <f si="9" t="shared"/>
        <v>11420.93393355349</v>
      </c>
      <c r="H24" s="12">
        <f ref="H24" si="19" t="shared">($U11/$J11)*H11</f>
        <v>11448.548856114787</v>
      </c>
      <c r="I24" s="12"/>
      <c r="J24" s="12">
        <f si="11" t="shared"/>
        <v>194329.91138266097</v>
      </c>
      <c r="K24" s="13"/>
      <c r="L24" t="str">
        <f>$A$11</f>
        <v>Seattle</v>
      </c>
      <c r="M24" s="12">
        <f si="6" t="shared"/>
        <v>1273.0762388001094</v>
      </c>
      <c r="N24" s="12">
        <f si="12" t="shared"/>
        <v>135.91265641546005</v>
      </c>
      <c r="O24" s="12">
        <f si="12" t="shared"/>
        <v>4541.5563553346738</v>
      </c>
      <c r="P24" s="12">
        <f si="12" t="shared"/>
        <v>579.4554184677088</v>
      </c>
      <c r="Q24" s="12">
        <f si="12" t="shared"/>
        <v>159326.80602390363</v>
      </c>
      <c r="R24" s="12">
        <f si="12" t="shared"/>
        <v>6252.0204450146011</v>
      </c>
      <c r="S24" s="12">
        <f ref="S24" si="20" t="shared">S11</f>
        <v>22221.084244724763</v>
      </c>
      <c r="T24" s="12"/>
      <c r="U24" s="12">
        <f si="14" t="shared"/>
        <v>194329.91138266097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52.074081898067412</v>
      </c>
      <c r="E25" s="12">
        <f si="9" t="shared"/>
        <v>209.33191788401749</v>
      </c>
      <c r="F25" s="12">
        <f si="9" t="shared"/>
        <v>6800.4726379250833</v>
      </c>
      <c r="G25" s="12">
        <f si="9" t="shared"/>
        <v>11263.426959559012</v>
      </c>
      <c r="H25" s="12">
        <f ref="H25:H26" si="21" t="shared">($U12/$J12)*H12</f>
        <v>486.84084182371765</v>
      </c>
      <c r="I25" s="12"/>
      <c r="J25" s="12">
        <f si="11" t="shared"/>
        <v>18812.146439089898</v>
      </c>
      <c r="K25" s="13"/>
      <c r="L25" t="str">
        <f>$A$12</f>
        <v>Seattle Downtown</v>
      </c>
      <c r="M25" s="12">
        <f si="6" t="shared"/>
        <v>290.77452869904238</v>
      </c>
      <c r="N25" s="12">
        <f si="12" t="shared"/>
        <v>33.940348770657472</v>
      </c>
      <c r="O25" s="12">
        <f si="12" t="shared"/>
        <v>121.86524362032561</v>
      </c>
      <c r="P25" s="12">
        <f si="12" t="shared"/>
        <v>61.965242465243698</v>
      </c>
      <c r="Q25" s="12">
        <f si="12" t="shared"/>
        <v>11339.132651120057</v>
      </c>
      <c r="R25" s="12">
        <f si="12" t="shared"/>
        <v>5826.1648012263095</v>
      </c>
      <c r="S25" s="12">
        <f ref="S25:S26" si="22" t="shared">S12</f>
        <v>1138.3036231882622</v>
      </c>
      <c r="T25" s="12"/>
      <c r="U25" s="12">
        <f si="14" t="shared"/>
        <v>18812.146439089898</v>
      </c>
    </row>
    <row r="26" spans="1:32" x14ac:dyDescent="0.25">
      <c r="A26" t="str">
        <f>$A$13</f>
        <v>Rest</v>
      </c>
      <c r="B26" s="12">
        <f si="9" t="shared"/>
        <v>2357.3996379940004</v>
      </c>
      <c r="C26" s="12">
        <f si="9" t="shared"/>
        <v>1128.5626632698611</v>
      </c>
      <c r="D26" s="12">
        <f si="9" t="shared"/>
        <v>9736.6888172431954</v>
      </c>
      <c r="E26" s="12">
        <f si="9" t="shared"/>
        <v>3063.273081582965</v>
      </c>
      <c r="F26" s="12">
        <f si="9" t="shared"/>
        <v>28711.007128789446</v>
      </c>
      <c r="G26" s="12">
        <f si="9" t="shared"/>
        <v>2907.8388294715714</v>
      </c>
      <c r="H26" s="12">
        <f si="21" t="shared"/>
        <v>689245.87566818169</v>
      </c>
      <c r="I26" s="12"/>
      <c r="J26" s="12">
        <f si="11" t="shared"/>
        <v>737150.64582653274</v>
      </c>
      <c r="K26" s="13"/>
      <c r="L26" t="str">
        <f>$A$13</f>
        <v>Rest</v>
      </c>
      <c r="M26" s="12">
        <f si="6" t="shared"/>
        <v>12337.904628104747</v>
      </c>
      <c r="N26" s="12">
        <f si="12" t="shared"/>
        <v>409.71049309824468</v>
      </c>
      <c r="O26" s="12">
        <f si="12" t="shared"/>
        <v>7641.5378004358481</v>
      </c>
      <c r="P26" s="12">
        <f si="12" t="shared"/>
        <v>3898.6652570291835</v>
      </c>
      <c r="Q26" s="12">
        <f si="12" t="shared"/>
        <v>19242.362775114467</v>
      </c>
      <c r="R26" s="12">
        <f si="12" t="shared"/>
        <v>1170.6440068554546</v>
      </c>
      <c r="S26" s="12">
        <f si="22" t="shared"/>
        <v>692449.8208658949</v>
      </c>
      <c r="T26" s="12"/>
      <c r="U26" s="12">
        <f si="14" t="shared"/>
        <v>737150.64582653285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3" t="shared">SUM(B20:B27)</f>
        <v>44030.280900667778</v>
      </c>
      <c r="C28" s="15">
        <f si="23" t="shared"/>
        <v>3115.6061835963942</v>
      </c>
      <c r="D28" s="15">
        <f si="23" t="shared"/>
        <v>46335.04542499956</v>
      </c>
      <c r="E28" s="15">
        <f si="23" t="shared"/>
        <v>41040.28431581644</v>
      </c>
      <c r="F28" s="15">
        <f si="23" t="shared"/>
        <v>210110.35734719498</v>
      </c>
      <c r="G28" s="15">
        <f si="23" t="shared"/>
        <v>27636.221177272397</v>
      </c>
      <c r="H28" s="15">
        <f si="23" t="shared"/>
        <v>710955.15829873597</v>
      </c>
      <c r="I28" s="15">
        <f si="23" t="shared"/>
        <v>0</v>
      </c>
      <c r="J28" s="15">
        <f si="23" t="shared"/>
        <v>1083222.9536482836</v>
      </c>
      <c r="K28" s="12"/>
      <c r="L28" s="15" t="s">
        <v>4</v>
      </c>
      <c r="M28" s="15">
        <f ref="M28:U28" si="24" t="shared">M15</f>
        <v>49702.755395603897</v>
      </c>
      <c r="N28" s="15">
        <f si="24" t="shared"/>
        <v>2994.0634982843621</v>
      </c>
      <c r="O28" s="15">
        <f si="24" t="shared"/>
        <v>50988.959399390849</v>
      </c>
      <c r="P28" s="15">
        <f si="24" t="shared"/>
        <v>22840.835917962137</v>
      </c>
      <c r="Q28" s="15">
        <f si="24" t="shared"/>
        <v>198056.55145013815</v>
      </c>
      <c r="R28" s="15">
        <f si="24" t="shared"/>
        <v>14051.079253096366</v>
      </c>
      <c r="S28" s="15">
        <f si="24" t="shared"/>
        <v>744588.7087338079</v>
      </c>
      <c r="T28" s="15"/>
      <c r="U28" s="15">
        <f si="24" t="shared"/>
        <v>1083222.9536482836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G33" si="25" t="shared">B20/$J$28</f>
        <v>3.1634259477986107E-2</v>
      </c>
      <c r="C33" s="16">
        <f si="25" t="shared"/>
        <v>1.3681509227342634E-3</v>
      </c>
      <c r="D33" s="16">
        <f si="25" t="shared"/>
        <v>3.1521523085006995E-3</v>
      </c>
      <c r="E33" s="16">
        <f si="25" t="shared"/>
        <v>3.5358813942991145E-3</v>
      </c>
      <c r="F33" s="16">
        <f si="25" t="shared"/>
        <v>3.8067157138037266E-3</v>
      </c>
      <c r="G33" s="16">
        <f si="25" t="shared"/>
        <v>1.1472470344548868E-3</v>
      </c>
      <c r="H33" s="16">
        <f ref="H33" si="26" t="shared">H20/$J$28</f>
        <v>2.3745377047979933E-3</v>
      </c>
      <c r="I33" s="12"/>
      <c r="J33" s="16">
        <f ref="J33:J39" si="27" t="shared">J20/$J$28</f>
        <v>4.7018944556576785E-2</v>
      </c>
      <c r="K33" s="12"/>
      <c r="L33" t="str">
        <f>$A$7</f>
        <v>Bellevue</v>
      </c>
      <c r="M33" s="16">
        <f ref="M33:R33" si="28" t="shared">M20/$U$28</f>
        <v>2.6050500411720769E-2</v>
      </c>
      <c r="N33" s="16">
        <f si="28" t="shared"/>
        <v>1.3353668283414815E-3</v>
      </c>
      <c r="O33" s="16">
        <f si="28" t="shared"/>
        <v>5.1489861632040184E-3</v>
      </c>
      <c r="P33" s="16">
        <f si="28" t="shared"/>
        <v>3.1101630450621853E-3</v>
      </c>
      <c r="Q33" s="16">
        <f si="28" t="shared"/>
        <v>3.7603062105371165E-3</v>
      </c>
      <c r="R33" s="16">
        <f si="28" t="shared"/>
        <v>4.7104799458087858E-4</v>
      </c>
      <c r="S33" s="16">
        <f ref="S33" si="29" t="shared">S20/$U$28</f>
        <v>7.1425739031303432E-3</v>
      </c>
      <c r="T33" s="16"/>
      <c r="U33" s="16">
        <f ref="U33:U39" si="30" t="shared">U20/$U$28</f>
        <v>4.7018944556576792E-2</v>
      </c>
      <c r="W33" t="str">
        <f>$A$7</f>
        <v>Bellevue</v>
      </c>
      <c r="X33" s="16">
        <f ref="X33:AD33" si="31" t="shared">M33-B33</f>
        <v>-5.5837590662653376E-3</v>
      </c>
      <c r="Y33" s="16">
        <f si="31" t="shared"/>
        <v>-3.2784094392781897E-5</v>
      </c>
      <c r="Z33" s="16">
        <f si="31" t="shared"/>
        <v>1.9968338547033189E-3</v>
      </c>
      <c r="AA33" s="16">
        <f si="31" t="shared"/>
        <v>-4.2571834923692915E-4</v>
      </c>
      <c r="AB33" s="16">
        <f si="31" t="shared"/>
        <v>-4.6409503266610103E-5</v>
      </c>
      <c r="AC33" s="16">
        <f si="31" t="shared"/>
        <v>-6.7619903987400812E-4</v>
      </c>
      <c r="AD33" s="16">
        <f si="31" t="shared"/>
        <v>4.7680361983323503E-3</v>
      </c>
      <c r="AE33" s="16"/>
      <c r="AF33" s="16">
        <f ref="AF33:AF39" si="32" t="shared">U33-J33</f>
        <v>0</v>
      </c>
    </row>
    <row r="34" spans="1:32" x14ac:dyDescent="0.25">
      <c r="A34" t="str">
        <f>$A$8</f>
        <v>Bellevue Downtown</v>
      </c>
      <c r="B34" s="16">
        <f ref="B34:G39" si="33" t="shared">B21/$J$28</f>
        <v>2.3132760515371057E-3</v>
      </c>
      <c r="C34" s="16">
        <f si="33" t="shared"/>
        <v>4.6622999915646207E-4</v>
      </c>
      <c r="D34" s="16">
        <f si="33" t="shared"/>
        <v>0</v>
      </c>
      <c r="E34" s="16">
        <f si="33" t="shared"/>
        <v>1.0503831446300053E-4</v>
      </c>
      <c r="F34" s="16">
        <f si="33" t="shared"/>
        <v>1.3458847601241895E-4</v>
      </c>
      <c r="G34" s="16">
        <f si="33" t="shared"/>
        <v>1.7231828783661909E-4</v>
      </c>
      <c r="H34" s="16">
        <f ref="H34" si="34" t="shared">H21/$J$28</f>
        <v>1.5412051697401936E-4</v>
      </c>
      <c r="I34" s="12"/>
      <c r="J34" s="16">
        <f si="27" t="shared"/>
        <v>3.345571645979626E-3</v>
      </c>
      <c r="K34" s="12"/>
      <c r="L34" t="str">
        <f>$A$8</f>
        <v>Bellevue Downtown</v>
      </c>
      <c r="M34" s="16">
        <f ref="M34:R39" si="35" t="shared">M21/$U$28</f>
        <v>1.4419930769923222E-3</v>
      </c>
      <c r="N34" s="16">
        <f si="35" t="shared"/>
        <v>3.7180711380195759E-4</v>
      </c>
      <c r="O34" s="16">
        <f si="35" t="shared"/>
        <v>5.7952058519969928E-4</v>
      </c>
      <c r="P34" s="16">
        <f si="35" t="shared"/>
        <v>1.7309455949811805E-4</v>
      </c>
      <c r="Q34" s="16">
        <f si="35" t="shared"/>
        <v>3.0718514492266016E-4</v>
      </c>
      <c r="R34" s="16">
        <f si="35" t="shared"/>
        <v>3.99271450575659E-5</v>
      </c>
      <c r="S34" s="16">
        <f ref="S34" si="36" t="shared">S21/$U$28</f>
        <v>4.3204402050730264E-4</v>
      </c>
      <c r="T34" s="16"/>
      <c r="U34" s="16">
        <f si="30" t="shared"/>
        <v>3.3455716459796256E-3</v>
      </c>
      <c r="W34" t="str">
        <f>$A$8</f>
        <v>Bellevue Downtown</v>
      </c>
      <c r="X34" s="16">
        <f ref="X34:X38" si="37" t="shared">M34-B34</f>
        <v>-8.7128297454478355E-4</v>
      </c>
      <c r="Y34" s="16">
        <f ref="Y34:AD38" si="38" t="shared">N34-C34</f>
        <v>-9.4422885354504484E-5</v>
      </c>
      <c r="Z34" s="16">
        <f si="38" t="shared"/>
        <v>5.7952058519969928E-4</v>
      </c>
      <c r="AA34" s="16">
        <f si="38" t="shared"/>
        <v>6.8056245035117522E-5</v>
      </c>
      <c r="AB34" s="16">
        <f si="38" t="shared"/>
        <v>1.725966689102412E-4</v>
      </c>
      <c r="AC34" s="16">
        <f si="38" t="shared"/>
        <v>-1.3239114277905319E-4</v>
      </c>
      <c r="AD34" s="16">
        <f si="38" t="shared"/>
        <v>2.7792350353328328E-4</v>
      </c>
      <c r="AE34" s="16"/>
      <c r="AF34" s="16">
        <f si="32" t="shared"/>
        <v>0</v>
      </c>
    </row>
    <row r="35" spans="1:32" x14ac:dyDescent="0.25">
      <c r="A35" t="str">
        <f>$A$9</f>
        <v>Kirkland</v>
      </c>
      <c r="B35" s="16">
        <f si="33" t="shared"/>
        <v>0</v>
      </c>
      <c r="C35" s="16">
        <f si="33" t="shared"/>
        <v>0</v>
      </c>
      <c r="D35" s="16">
        <f si="33" t="shared"/>
        <v>2.8037472508297186E-2</v>
      </c>
      <c r="E35" s="16">
        <f si="33" t="shared"/>
        <v>4.8729083352065479E-3</v>
      </c>
      <c r="F35" s="16">
        <f si="33" t="shared"/>
        <v>1.7302226711729087E-3</v>
      </c>
      <c r="G35" s="16">
        <f si="33" t="shared"/>
        <v>5.6741597532971005E-4</v>
      </c>
      <c r="H35" s="16">
        <f ref="H35" si="39" t="shared">H22/$J$28</f>
        <v>4.5411843603954845E-3</v>
      </c>
      <c r="I35" s="12"/>
      <c r="J35" s="16">
        <f si="27" t="shared"/>
        <v>3.9749203850401836E-2</v>
      </c>
      <c r="K35" s="13"/>
      <c r="L35" t="str">
        <f>$A$9</f>
        <v>Kirkland</v>
      </c>
      <c r="M35" s="16">
        <f si="35" t="shared"/>
        <v>1.8516502011378681E-3</v>
      </c>
      <c r="N35" s="16">
        <f si="35" t="shared"/>
        <v>2.7602812421299893E-4</v>
      </c>
      <c r="O35" s="16">
        <f si="35" t="shared"/>
        <v>2.2357124097522926E-2</v>
      </c>
      <c r="P35" s="16">
        <f si="35" t="shared"/>
        <v>3.0616965684027121E-3</v>
      </c>
      <c r="Q35" s="16">
        <f si="35" t="shared"/>
        <v>2.4904845220589224E-3</v>
      </c>
      <c r="R35" s="16">
        <f si="35" t="shared"/>
        <v>1.370908911225095E-4</v>
      </c>
      <c r="S35" s="16">
        <f ref="S35" si="40" t="shared">S22/$U$28</f>
        <v>9.5751294459438963E-3</v>
      </c>
      <c r="T35" s="16"/>
      <c r="U35" s="16">
        <f si="30" t="shared"/>
        <v>3.9749203850401829E-2</v>
      </c>
      <c r="W35" t="str">
        <f>$A$9</f>
        <v>Kirkland</v>
      </c>
      <c r="X35" s="16">
        <f si="37" t="shared"/>
        <v>1.8516502011378681E-3</v>
      </c>
      <c r="Y35" s="16">
        <f si="38" t="shared"/>
        <v>2.7602812421299893E-4</v>
      </c>
      <c r="Z35" s="16">
        <f si="38" t="shared"/>
        <v>-5.6803484107742601E-3</v>
      </c>
      <c r="AA35" s="16">
        <f si="38" t="shared"/>
        <v>-1.8112117668038358E-3</v>
      </c>
      <c r="AB35" s="16">
        <f si="38" t="shared"/>
        <v>7.602618508860137E-4</v>
      </c>
      <c r="AC35" s="16">
        <f si="38" t="shared"/>
        <v>-4.3032508420720052E-4</v>
      </c>
      <c r="AD35" s="16">
        <f si="38" t="shared"/>
        <v>5.0339450855484118E-3</v>
      </c>
      <c r="AE35" s="16"/>
      <c r="AF35" s="16">
        <f si="32" t="shared"/>
        <v>0</v>
      </c>
    </row>
    <row r="36" spans="1:32" x14ac:dyDescent="0.25">
      <c r="A36" t="str">
        <f>$A$10</f>
        <v>Redmond</v>
      </c>
      <c r="B36" s="16">
        <f si="33" t="shared"/>
        <v>2.4835209667598145E-3</v>
      </c>
      <c r="C36" s="16">
        <f si="33" t="shared"/>
        <v>0</v>
      </c>
      <c r="D36" s="16">
        <f si="33" t="shared"/>
        <v>2.0253850535877521E-3</v>
      </c>
      <c r="E36" s="16">
        <f si="33" t="shared"/>
        <v>2.5768833836449907E-2</v>
      </c>
      <c r="F36" s="16">
        <f si="33" t="shared"/>
        <v>3.7275801092805593E-4</v>
      </c>
      <c r="G36" s="16">
        <f si="33" t="shared"/>
        <v>0</v>
      </c>
      <c r="H36" s="16">
        <f ref="H36" si="41" t="shared">H23/$J$28</f>
        <v>1.9531317738479986E-3</v>
      </c>
      <c r="I36" s="12"/>
      <c r="J36" s="16">
        <f si="27" t="shared"/>
        <v>3.2603629641573525E-2</v>
      </c>
      <c r="K36" s="13"/>
      <c r="L36" t="str">
        <f>$A$10</f>
        <v>Redmond</v>
      </c>
      <c r="M36" s="16">
        <f si="35" t="shared"/>
        <v>3.7063007079737036E-3</v>
      </c>
      <c r="N36" s="16">
        <f si="35" t="shared"/>
        <v>2.4579427448732764E-4</v>
      </c>
      <c r="O36" s="16">
        <f si="35" t="shared"/>
        <v>7.6263154987410839E-3</v>
      </c>
      <c r="P36" s="16">
        <f si="35" t="shared"/>
        <v>1.0549767212291299E-2</v>
      </c>
      <c r="Q36" s="16">
        <f si="35" t="shared"/>
        <v>9.6425209277751632E-4</v>
      </c>
      <c r="R36" s="16">
        <f si="35" t="shared"/>
        <v>9.2547891144993783E-5</v>
      </c>
      <c r="S36" s="16">
        <f ref="S36" si="42" t="shared">S23/$U$28</f>
        <v>9.4186519641575976E-3</v>
      </c>
      <c r="T36" s="16"/>
      <c r="U36" s="16">
        <f si="30" t="shared"/>
        <v>3.2603629641573519E-2</v>
      </c>
      <c r="W36" t="str">
        <f>$A$10</f>
        <v>Redmond</v>
      </c>
      <c r="X36" s="16">
        <f si="37" t="shared"/>
        <v>1.2227797412138891E-3</v>
      </c>
      <c r="Y36" s="16">
        <f si="38" t="shared"/>
        <v>2.4579427448732764E-4</v>
      </c>
      <c r="Z36" s="16">
        <f si="38" t="shared"/>
        <v>5.6009304451533314E-3</v>
      </c>
      <c r="AA36" s="16">
        <f si="38" t="shared"/>
        <v>-1.5219066624158608E-2</v>
      </c>
      <c r="AB36" s="16">
        <f si="38" t="shared"/>
        <v>5.9149408184946039E-4</v>
      </c>
      <c r="AC36" s="16">
        <f si="38" t="shared"/>
        <v>9.2547891144993783E-5</v>
      </c>
      <c r="AD36" s="16">
        <f si="38" t="shared"/>
        <v>7.4655201903095995E-3</v>
      </c>
      <c r="AE36" s="16"/>
      <c r="AF36" s="16">
        <f si="32" t="shared"/>
        <v>0</v>
      </c>
    </row>
    <row r="37" spans="1:32" x14ac:dyDescent="0.25">
      <c r="A37" t="str">
        <f>$A$11</f>
        <v>Seattle</v>
      </c>
      <c r="B37" s="16">
        <f si="33" t="shared"/>
        <v>2.0401383046764216E-3</v>
      </c>
      <c r="C37" s="16">
        <f si="33" t="shared"/>
        <v>0</v>
      </c>
      <c r="D37" s="16">
        <f si="33" t="shared"/>
        <v>5.2345773018615933E-4</v>
      </c>
      <c r="E37" s="16">
        <f si="33" t="shared"/>
        <v>5.8336379707312651E-4</v>
      </c>
      <c r="F37" s="16">
        <f si="33" t="shared"/>
        <v>0.15514033274759811</v>
      </c>
      <c r="G37" s="16">
        <f si="33" t="shared"/>
        <v>1.0543474817522934E-2</v>
      </c>
      <c r="H37" s="16">
        <f ref="H37" si="43" t="shared">H24/$J$28</f>
        <v>1.0568968112756653E-2</v>
      </c>
      <c r="I37" s="12"/>
      <c r="J37" s="16">
        <f si="27" t="shared"/>
        <v>0.17939973550981342</v>
      </c>
      <c r="K37" s="13"/>
      <c r="L37" t="str">
        <f>$A$11</f>
        <v>Seattle</v>
      </c>
      <c r="M37" s="16">
        <f si="35" t="shared"/>
        <v>1.1752670440673381E-3</v>
      </c>
      <c r="N37" s="16">
        <f si="35" t="shared"/>
        <v>1.2547062075975E-4</v>
      </c>
      <c r="O37" s="16">
        <f si="35" t="shared"/>
        <v>4.1926330494001804E-3</v>
      </c>
      <c r="P37" s="16">
        <f si="35" t="shared"/>
        <v>5.3493642884515043E-4</v>
      </c>
      <c r="Q37" s="16">
        <f si="35" t="shared"/>
        <v>0.14708588429306507</v>
      </c>
      <c r="R37" s="16">
        <f si="35" t="shared"/>
        <v>5.7716838661494956E-3</v>
      </c>
      <c r="S37" s="16">
        <f ref="S37" si="44" t="shared">S24/$U$28</f>
        <v>2.0513860207526421E-2</v>
      </c>
      <c r="T37" s="16"/>
      <c r="U37" s="16">
        <f si="30" t="shared"/>
        <v>0.17939973550981342</v>
      </c>
      <c r="W37" t="str">
        <f>$A$11</f>
        <v>Seattle</v>
      </c>
      <c r="X37" s="16">
        <f si="37" t="shared"/>
        <v>-8.6487126060908349E-4</v>
      </c>
      <c r="Y37" s="16">
        <f si="38" t="shared"/>
        <v>1.2547062075975E-4</v>
      </c>
      <c r="Z37" s="16">
        <f si="38" t="shared"/>
        <v>3.6691753192140209E-3</v>
      </c>
      <c r="AA37" s="16">
        <f si="38" t="shared"/>
        <v>-4.8427368227976081E-5</v>
      </c>
      <c r="AB37" s="16">
        <f si="38" t="shared"/>
        <v>-8.0544484545330419E-3</v>
      </c>
      <c r="AC37" s="16">
        <f si="38" t="shared"/>
        <v>-4.7717909513734381E-3</v>
      </c>
      <c r="AD37" s="16">
        <f si="38" t="shared"/>
        <v>9.9448920947697687E-3</v>
      </c>
      <c r="AE37" s="16"/>
      <c r="AF37" s="16">
        <f si="32" t="shared"/>
        <v>0</v>
      </c>
    </row>
    <row r="38" spans="1:32" x14ac:dyDescent="0.25">
      <c r="A38" t="str">
        <f>$A$12</f>
        <v>Seattle Downtown</v>
      </c>
      <c r="B38" s="16">
        <f si="33" t="shared"/>
        <v>0</v>
      </c>
      <c r="C38" s="16">
        <f si="33" t="shared"/>
        <v>0</v>
      </c>
      <c r="D38" s="16">
        <f si="33" t="shared"/>
        <v>4.8073281426212811E-5</v>
      </c>
      <c r="E38" s="16">
        <f si="33" t="shared"/>
        <v>1.9324915261349453E-4</v>
      </c>
      <c r="F38" s="16">
        <f si="33" t="shared"/>
        <v>6.277999016750118E-3</v>
      </c>
      <c r="G38" s="16">
        <f si="33" t="shared"/>
        <v>1.0398068949355169E-2</v>
      </c>
      <c r="H38" s="16">
        <f ref="H38:H39" si="45" t="shared">H25/$J$28</f>
        <v>4.4943733899290331E-4</v>
      </c>
      <c r="I38" s="12"/>
      <c r="J38" s="16">
        <f si="27" t="shared"/>
        <v>1.7366827739137898E-2</v>
      </c>
      <c r="K38" s="13"/>
      <c r="L38" t="str">
        <f>$A$12</f>
        <v>Seattle Downtown</v>
      </c>
      <c r="M38" s="16">
        <f si="35" t="shared"/>
        <v>2.6843460777831266E-4</v>
      </c>
      <c r="N38" s="16">
        <f si="35" t="shared"/>
        <v>3.1332745171570388E-5</v>
      </c>
      <c r="O38" s="16">
        <f si="35" t="shared"/>
        <v>1.1250245686715255E-4</v>
      </c>
      <c r="P38" s="16">
        <f si="35" t="shared"/>
        <v>5.7204513859815664E-5</v>
      </c>
      <c r="Q38" s="16">
        <f si="35" t="shared"/>
        <v>1.0467958247127221E-2</v>
      </c>
      <c r="R38" s="16">
        <f si="35" t="shared"/>
        <v>5.3785462924357793E-3</v>
      </c>
      <c r="S38" s="16">
        <f ref="S38:S39" si="46" t="shared">S25/$U$28</f>
        <v>1.0508488758980479E-3</v>
      </c>
      <c r="T38" s="16"/>
      <c r="U38" s="16">
        <f si="30" t="shared"/>
        <v>1.7366827739137898E-2</v>
      </c>
      <c r="W38" t="str">
        <f>$A$12</f>
        <v>Seattle Downtown</v>
      </c>
      <c r="X38" s="16">
        <f si="37" t="shared"/>
        <v>2.6843460777831266E-4</v>
      </c>
      <c r="Y38" s="16">
        <f si="38" t="shared"/>
        <v>3.1332745171570388E-5</v>
      </c>
      <c r="Z38" s="16">
        <f si="38" t="shared"/>
        <v>6.4429175440939733E-5</v>
      </c>
      <c r="AA38" s="16">
        <f si="38" t="shared"/>
        <v>-1.3604463875367887E-4</v>
      </c>
      <c r="AB38" s="16">
        <f si="38" t="shared"/>
        <v>4.1899592303771029E-3</v>
      </c>
      <c r="AC38" s="16">
        <f si="38" t="shared"/>
        <v>-5.0195226569193898E-3</v>
      </c>
      <c r="AD38" s="16">
        <f si="38" t="shared"/>
        <v>6.0141153690514463E-4</v>
      </c>
      <c r="AE38" s="16"/>
      <c r="AF38" s="16">
        <f si="32" t="shared"/>
        <v>0</v>
      </c>
    </row>
    <row r="39" spans="1:32" x14ac:dyDescent="0.25">
      <c r="A39" t="str">
        <f>$A$13</f>
        <v>Rest</v>
      </c>
      <c r="B39" s="16">
        <f si="33" t="shared"/>
        <v>2.1762829434645039E-3</v>
      </c>
      <c r="C39" s="16">
        <f si="33" t="shared"/>
        <v>1.0418563043451709E-3</v>
      </c>
      <c r="D39" s="16">
        <f si="33" t="shared"/>
        <v>8.9886285962184689E-3</v>
      </c>
      <c r="E39" s="16">
        <f si="33" t="shared"/>
        <v>2.827924824954912E-3</v>
      </c>
      <c r="F39" s="16">
        <f si="33" t="shared"/>
        <v>2.6505168702427393E-2</v>
      </c>
      <c r="G39" s="16">
        <f si="33" t="shared"/>
        <v>2.6844324334874925E-3</v>
      </c>
      <c r="H39" s="16">
        <f si="45" t="shared"/>
        <v>0.636291793251619</v>
      </c>
      <c r="I39" s="12"/>
      <c r="J39" s="16">
        <f si="27" t="shared"/>
        <v>0.68051608705651689</v>
      </c>
      <c r="K39" s="13"/>
      <c r="L39" t="str">
        <f>$A$13</f>
        <v>Rest</v>
      </c>
      <c r="M39" s="16">
        <f si="35" t="shared"/>
        <v>1.1389995555901776E-2</v>
      </c>
      <c r="N39" s="16">
        <f si="35" t="shared"/>
        <v>3.7823283906451946E-4</v>
      </c>
      <c r="O39" s="16">
        <f si="35" t="shared"/>
        <v>7.0544459704248589E-3</v>
      </c>
      <c r="P39" s="16">
        <f si="35" t="shared"/>
        <v>3.5991346415791131E-3</v>
      </c>
      <c r="Q39" s="16">
        <f si="35" t="shared"/>
        <v>1.7763990977394256E-2</v>
      </c>
      <c r="R39" s="16">
        <f si="35" t="shared"/>
        <v>1.0807045797107029E-3</v>
      </c>
      <c r="S39" s="16">
        <f si="46" t="shared"/>
        <v>0.63924958249244179</v>
      </c>
      <c r="T39" s="16"/>
      <c r="U39" s="16">
        <f si="30" t="shared"/>
        <v>0.68051608705651701</v>
      </c>
      <c r="W39" t="str">
        <f>$A$13</f>
        <v>Rest</v>
      </c>
      <c r="X39" s="16">
        <f ref="X39" si="47" t="shared">M39-B39</f>
        <v>9.2137126124372717E-3</v>
      </c>
      <c r="Y39" s="16">
        <f ref="Y39" si="48" t="shared">N39-C39</f>
        <v>-6.6362346528065137E-4</v>
      </c>
      <c r="Z39" s="16">
        <f ref="Z39" si="49" t="shared">O39-D39</f>
        <v>-1.9341826257936101E-3</v>
      </c>
      <c r="AA39" s="16">
        <f ref="AA39" si="50" t="shared">P39-E39</f>
        <v>7.7120981662420112E-4</v>
      </c>
      <c r="AB39" s="16">
        <f ref="AB39" si="51" t="shared">Q39-F39</f>
        <v>-8.741177725033137E-3</v>
      </c>
      <c r="AC39" s="16">
        <f ref="AC39:AD39" si="52" t="shared">R39-G39</f>
        <v>-1.6037278537767896E-3</v>
      </c>
      <c r="AD39" s="16">
        <f si="52" t="shared"/>
        <v>2.9577892408227946E-3</v>
      </c>
      <c r="AE39" s="16"/>
      <c r="AF39" s="16">
        <f si="32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>
        <f ref="B41:J41" si="53" t="shared">B28/$J$28</f>
        <v>4.0647477744423947E-2</v>
      </c>
      <c r="C41" s="18">
        <f si="53" t="shared"/>
        <v>2.8762372262358966E-3</v>
      </c>
      <c r="D41" s="18">
        <f si="53" t="shared"/>
        <v>4.2775169478216475E-2</v>
      </c>
      <c r="E41" s="18">
        <f si="53" t="shared"/>
        <v>3.7887199655060107E-2</v>
      </c>
      <c r="F41" s="18">
        <f si="53" t="shared"/>
        <v>0.19396778533869272</v>
      </c>
      <c r="G41" s="18">
        <f si="53" t="shared"/>
        <v>2.5512957497986811E-2</v>
      </c>
      <c r="H41" s="18">
        <f si="53" t="shared"/>
        <v>0.65633317305938399</v>
      </c>
      <c r="I41" s="18">
        <f si="53" t="shared"/>
        <v>0</v>
      </c>
      <c r="J41" s="18">
        <f si="53" t="shared"/>
        <v>1</v>
      </c>
      <c r="K41" s="12"/>
      <c r="L41" s="15" t="s">
        <v>4</v>
      </c>
      <c r="M41" s="18">
        <f>M28/$U$28</f>
        <v>4.5884141605572089E-2</v>
      </c>
      <c r="N41" s="18">
        <f>N28/$U$28</f>
        <v>2.7640325458396053E-3</v>
      </c>
      <c r="O41" s="18">
        <f>O28/$U$28</f>
        <v>4.7071527821359919E-2</v>
      </c>
      <c r="P41" s="18">
        <f>P28/$U$28</f>
        <v>2.1085996969538393E-2</v>
      </c>
      <c r="Q41" s="18">
        <f ref="Q41:S41" si="54" t="shared">Q28/$U$28</f>
        <v>0.18284006148788276</v>
      </c>
      <c r="R41" s="18">
        <f si="54" t="shared"/>
        <v>1.2971548660201926E-2</v>
      </c>
      <c r="S41" s="18">
        <f si="54" t="shared"/>
        <v>0.68738269090960535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5" t="shared">M41-B41</f>
        <v>5.2366638611481414E-3</v>
      </c>
      <c r="Y41" s="18">
        <f si="55" t="shared"/>
        <v>-1.1220468039629125E-4</v>
      </c>
      <c r="Z41" s="18">
        <f si="55" t="shared"/>
        <v>4.2963583431434443E-3</v>
      </c>
      <c r="AA41" s="18">
        <f si="55" t="shared"/>
        <v>-1.6801202685521714E-2</v>
      </c>
      <c r="AB41" s="18">
        <f si="55" t="shared"/>
        <v>-1.1127723850809956E-2</v>
      </c>
      <c r="AC41" s="18">
        <f si="55" t="shared"/>
        <v>-1.2541408837784885E-2</v>
      </c>
      <c r="AD41" s="295">
        <f si="55" t="shared"/>
        <v>3.1049517850221364E-2</v>
      </c>
      <c r="AE41" s="18">
        <f si="55" t="shared"/>
        <v>0</v>
      </c>
      <c r="AF41" s="18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264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5">
        <v>5.7553461640599997E-2</v>
      </c>
      <c r="F41" s="33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5">
        <v>0</v>
      </c>
    </row>
    <row r="46" spans="2:6" x14ac:dyDescent="0.25">
      <c r="B46">
        <v>36</v>
      </c>
      <c r="C46" t="s">
        <v>123</v>
      </c>
      <c r="D46" t="s">
        <v>242</v>
      </c>
      <c r="E46" s="335">
        <v>0.61259135262599995</v>
      </c>
      <c r="F46" s="33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5">
        <v>6.2100000000000002E-2</v>
      </c>
      <c r="F67" s="335">
        <v>0</v>
      </c>
    </row>
    <row r="68" spans="2:6" x14ac:dyDescent="0.25">
      <c r="B68">
        <v>118</v>
      </c>
      <c r="C68" t="s">
        <v>256</v>
      </c>
      <c r="D68" t="s">
        <v>241</v>
      </c>
      <c r="E68" s="335">
        <v>-3</v>
      </c>
      <c r="F68" s="33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5">
        <v>-5981.59020986</v>
      </c>
      <c r="D114" s="335">
        <v>-29805.783655800002</v>
      </c>
      <c r="E114" s="335">
        <v>-17292.021287899999</v>
      </c>
    </row>
    <row r="115" spans="2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tabSelected="1" topLeftCell="A19" workbookViewId="0" zoomScaleNormal="100">
      <selection activeCell="G41" sqref="G41"/>
    </sheetView>
  </sheetViews>
  <sheetFormatPr defaultRowHeight="15" x14ac:dyDescent="0.25"/>
  <cols>
    <col min="1" max="2" style="297" width="9.140625" collapsed="true"/>
    <col min="3" max="3" customWidth="true" style="297" width="12.7109375" collapsed="true"/>
    <col min="4" max="4" customWidth="true" style="296" width="18.85546875" collapsed="true"/>
    <col min="5" max="5" bestFit="true" customWidth="true" style="297" width="32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3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8" t="s">
        <v>261</v>
      </c>
      <c r="Q2" s="349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1"/>
      <c r="I3" s="361"/>
      <c r="J3" s="361"/>
      <c r="K3" s="361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52948.7990929593</v>
      </c>
      <c r="F4" s="303" t="s">
        <v>47</v>
      </c>
      <c r="G4" s="304">
        <f>TLFD!F11</f>
        <v>152168.77188634564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6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189529.44902835073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6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580819.71360494057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6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164593.24542087902</v>
      </c>
      <c r="H7" s="362"/>
      <c r="I7" s="362"/>
      <c r="J7" s="362"/>
      <c r="K7" s="362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6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1087111.1799405159</v>
      </c>
      <c r="H8" s="363"/>
      <c r="I8" s="363"/>
      <c r="J8" s="363" t="s">
        <v>283</v>
      </c>
      <c r="K8" s="375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6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6">
        <f si="0" t="shared"/>
        <v>-3.9895313632499998</v>
      </c>
      <c r="T9" s="322"/>
      <c r="U9" s="359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4" t="s">
        <v>282</v>
      </c>
      <c r="J10" s="365"/>
      <c r="K10" s="365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6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1" t="s">
        <v>283</v>
      </c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6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0.13997535366591662</v>
      </c>
      <c r="H12" s="378">
        <v>0</v>
      </c>
      <c r="I12" s="366">
        <f>D12/G12</f>
        <v>0.34876192969565867</v>
      </c>
      <c r="J12" s="380">
        <f>H12*LN(I12)</f>
        <v>0</v>
      </c>
      <c r="K12" s="367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6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0.23399041756987346</v>
      </c>
      <c r="F13" s="306" t="s">
        <v>50</v>
      </c>
      <c r="G13" s="318">
        <f ref="G13:G16" si="2" t="shared">G5/G$8</f>
        <v>0.17434228671875246</v>
      </c>
      <c r="H13" s="379">
        <v>0</v>
      </c>
      <c r="I13" s="366">
        <f ref="I13:I15" si="3" t="shared">D13/G13</f>
        <v>1.342132318978613</v>
      </c>
      <c r="J13" s="367">
        <f ref="J13:J15" si="4" t="shared">H13*LN(I13)</f>
        <v>0</v>
      </c>
      <c r="K13" s="367">
        <f>K8*(J13-J12)</f>
        <v>0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6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0.52745485055003982</v>
      </c>
      <c r="F14" s="306" t="s">
        <v>53</v>
      </c>
      <c r="G14" s="318">
        <f si="2" t="shared"/>
        <v>0.53427811646341605</v>
      </c>
      <c r="H14" s="379">
        <v>0</v>
      </c>
      <c r="I14" s="366">
        <f si="3" t="shared"/>
        <v>0.9872289998352507</v>
      </c>
      <c r="J14" s="367">
        <f si="4" t="shared"/>
        <v>0</v>
      </c>
      <c r="K14" s="367">
        <f>K8*(J14-J13-J12)</f>
        <v>0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6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0.18973665742572943</v>
      </c>
      <c r="F15" s="309" t="s">
        <v>56</v>
      </c>
      <c r="G15" s="318">
        <f si="2" t="shared"/>
        <v>0.15140424315191492</v>
      </c>
      <c r="H15" s="379">
        <v>1</v>
      </c>
      <c r="I15" s="368">
        <f si="3" t="shared"/>
        <v>1.2531792602097209</v>
      </c>
      <c r="J15" s="369">
        <f si="4" t="shared"/>
        <v>0.22568373049336435</v>
      </c>
      <c r="K15" s="369">
        <f>K8*(J15-J14-J13-J12)</f>
        <v>0.22568373049336435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6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4"/>
      <c r="I16" s="366"/>
      <c r="J16" s="366"/>
      <c r="K16" s="366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6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6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0"/>
      <c r="J18" s="370"/>
      <c r="K18" s="367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6">
        <f si="0" t="shared"/>
        <v>-0.493022087256</v>
      </c>
    </row>
    <row r="19" spans="2:25" x14ac:dyDescent="0.25">
      <c r="C19" s="321" t="s">
        <v>82</v>
      </c>
      <c r="I19" s="370"/>
      <c r="J19" s="370"/>
      <c r="K19" s="367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si="0" t="shared"/>
        <v>0</v>
      </c>
    </row>
    <row r="20" spans="2:25" x14ac:dyDescent="0.25">
      <c r="C20" s="321" t="s">
        <v>85</v>
      </c>
      <c r="G20" s="296" t="s">
        <v>284</v>
      </c>
      <c r="I20" s="370"/>
      <c r="J20" s="370"/>
      <c r="K20" s="367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si="0" t="shared"/>
        <v>0</v>
      </c>
    </row>
    <row ht="15.75" r="21" spans="2:25" thickBot="1" x14ac:dyDescent="0.3">
      <c r="C21" s="322"/>
      <c r="G21" s="381" t="s">
        <v>285</v>
      </c>
      <c r="I21" s="370"/>
      <c r="J21" s="370"/>
      <c r="K21" s="367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si="0" t="shared"/>
        <v>0</v>
      </c>
    </row>
    <row r="22" spans="2:25" x14ac:dyDescent="0.25">
      <c r="B22" s="347" t="s">
        <v>258</v>
      </c>
      <c r="C22" s="323" t="s">
        <v>91</v>
      </c>
      <c r="D22" s="324"/>
      <c r="G22" s="381" t="s">
        <v>286</v>
      </c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6">
        <f si="0" t="shared"/>
        <v>0.63771148688699997</v>
      </c>
    </row>
    <row r="23" spans="2:25" x14ac:dyDescent="0.25">
      <c r="B23" s="344">
        <v>50</v>
      </c>
      <c r="C23" s="303" t="s">
        <v>47</v>
      </c>
      <c r="D23" s="376">
        <f>VLOOKUP($B23,$N:$P,3,FALSE)</f>
        <v>-29.556856147209999</v>
      </c>
      <c r="I23" s="371"/>
      <c r="J23" s="371"/>
      <c r="K23" s="371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6">
        <f si="0" t="shared"/>
        <v>-12.0946718381</v>
      </c>
    </row>
    <row r="24" spans="2:25" x14ac:dyDescent="0.25">
      <c r="B24" s="344">
        <v>51</v>
      </c>
      <c r="C24" s="306" t="s">
        <v>50</v>
      </c>
      <c r="D24" s="376">
        <f ref="D24:D26" si="5" t="shared">VLOOKUP($B24,$N:$P,3,FALSE)</f>
        <v>-5.8091947247600002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6">
        <f si="0" t="shared"/>
        <v>-4.03623745316</v>
      </c>
    </row>
    <row r="25" spans="2:25" x14ac:dyDescent="0.25">
      <c r="B25" s="344">
        <v>52</v>
      </c>
      <c r="C25" s="306" t="s">
        <v>53</v>
      </c>
      <c r="D25" s="376">
        <f si="5" t="shared"/>
        <v>-1.94064618888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-2.4557170493427001</v>
      </c>
      <c r="Q25" s="336">
        <f si="0" t="shared"/>
        <v>-2.4557170493427001</v>
      </c>
    </row>
    <row ht="15.75" r="26" spans="2:25" thickBot="1" x14ac:dyDescent="0.3">
      <c r="B26" s="346">
        <v>53</v>
      </c>
      <c r="C26" s="326" t="s">
        <v>56</v>
      </c>
      <c r="D26" s="377">
        <f si="5" t="shared"/>
        <v>-0.66321888748000002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6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6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6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6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6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6">
        <f si="0" t="shared"/>
        <v>-2.6156308707</v>
      </c>
    </row>
    <row r="32" spans="2:25" x14ac:dyDescent="0.25">
      <c r="B32" s="347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6">
        <f si="0" t="shared"/>
        <v>-0.91046169190000004</v>
      </c>
    </row>
    <row r="33" spans="2:17" x14ac:dyDescent="0.25">
      <c r="B33" s="344">
        <f>B23</f>
        <v>50</v>
      </c>
      <c r="C33" s="303" t="s">
        <v>47</v>
      </c>
      <c r="D33" s="372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6">
        <f si="0" t="shared"/>
        <v>5.7553461640599997E-2</v>
      </c>
    </row>
    <row r="34" spans="2:17" x14ac:dyDescent="0.25">
      <c r="B34" s="344">
        <f ref="B34:B36" si="6" t="shared">B24</f>
        <v>51</v>
      </c>
      <c r="C34" s="306" t="s">
        <v>50</v>
      </c>
      <c r="D34" s="373">
        <f ref="D34:D36" si="7" t="shared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6">
        <f si="0" t="shared"/>
        <v>0.237798002151</v>
      </c>
    </row>
    <row r="35" spans="2:17" x14ac:dyDescent="0.25">
      <c r="B35" s="344">
        <f si="6" t="shared"/>
        <v>52</v>
      </c>
      <c r="C35" s="306" t="s">
        <v>53</v>
      </c>
      <c r="D35" s="373">
        <f si="7" t="shared"/>
        <v>0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6">
        <f si="0" t="shared"/>
        <v>0</v>
      </c>
    </row>
    <row ht="15.75" r="36" spans="2:17" thickBot="1" x14ac:dyDescent="0.3">
      <c r="B36" s="360">
        <f si="6" t="shared"/>
        <v>53</v>
      </c>
      <c r="C36" s="326" t="s">
        <v>56</v>
      </c>
      <c r="D36" s="327">
        <f si="7" t="shared"/>
        <v>0.22568373049336435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6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6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6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6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6">
        <f si="0" t="shared"/>
        <v>-7.1836373472300004</v>
      </c>
    </row>
    <row ht="15.75" r="41" spans="2:17" thickBot="1" x14ac:dyDescent="0.3">
      <c r="B41" s="345"/>
      <c r="C41" s="322"/>
      <c r="D41" s="392"/>
      <c r="E41" s="392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6">
        <f si="0" t="shared"/>
        <v>-3.6600975390500001</v>
      </c>
    </row>
    <row r="42" spans="2:17" x14ac:dyDescent="0.25">
      <c r="B42" s="384" t="s">
        <v>258</v>
      </c>
      <c r="C42" s="382" t="s">
        <v>91</v>
      </c>
      <c r="D42" s="385"/>
      <c r="E42" s="393" t="s">
        <v>260</v>
      </c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6">
        <f si="0" t="shared"/>
        <v>-1.3605457273599999</v>
      </c>
    </row>
    <row r="43" spans="2:17" x14ac:dyDescent="0.25">
      <c r="B43" s="386">
        <f>B33</f>
        <v>50</v>
      </c>
      <c r="C43" s="387" t="s">
        <v>47</v>
      </c>
      <c r="D43" s="388">
        <f>D23+D33</f>
        <v>-29.556856147209999</v>
      </c>
      <c r="E43" s="383" t="s">
        <v>287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6">
        <f si="0" t="shared"/>
        <v>-0.22141031751900001</v>
      </c>
    </row>
    <row r="44" spans="2:17" x14ac:dyDescent="0.25">
      <c r="B44" s="386">
        <f ref="B44:B46" si="8" t="shared">B34</f>
        <v>51</v>
      </c>
      <c r="C44" s="389" t="s">
        <v>50</v>
      </c>
      <c r="D44" s="388">
        <f ref="D44:D46" si="9" t="shared">D24+D34</f>
        <v>-5.8091947247600002</v>
      </c>
      <c r="E44" s="383" t="s">
        <v>288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6">
        <f si="0" t="shared"/>
        <v>0.64228876129599999</v>
      </c>
    </row>
    <row r="45" spans="2:17" x14ac:dyDescent="0.25">
      <c r="B45" s="386">
        <f si="8" t="shared"/>
        <v>52</v>
      </c>
      <c r="C45" s="389" t="s">
        <v>53</v>
      </c>
      <c r="D45" s="388">
        <f si="9" t="shared"/>
        <v>-1.94064618888</v>
      </c>
      <c r="E45" s="383" t="s">
        <v>289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6">
        <f si="0" t="shared"/>
        <v>0.74588429254199995</v>
      </c>
    </row>
    <row ht="15.75" r="46" spans="2:17" thickBot="1" x14ac:dyDescent="0.3">
      <c r="B46" s="394">
        <f si="8" t="shared"/>
        <v>53</v>
      </c>
      <c r="C46" s="390" t="s">
        <v>56</v>
      </c>
      <c r="D46" s="391">
        <f si="9" t="shared"/>
        <v>-0.4375351569866357</v>
      </c>
      <c r="E46" s="395" t="s">
        <v>290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6">
        <f si="0" t="shared"/>
        <v>-32.156094092099998</v>
      </c>
    </row>
    <row r="47" spans="2:17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6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6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6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6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6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-29.556856147209999</v>
      </c>
      <c r="Q52" s="339">
        <f si="0" t="shared"/>
        <v>-29.556856147209999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-5.8091947247600002</v>
      </c>
      <c r="Q53" s="339">
        <f si="0" t="shared"/>
        <v>-5.8091947247600002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-1.94064618888</v>
      </c>
      <c r="Q54" s="339">
        <f si="0" t="shared"/>
        <v>-1.94064618888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-0.66321888748000002</v>
      </c>
      <c r="Q55" s="339">
        <f si="0" t="shared"/>
        <v>-0.4375351569866357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6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6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6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6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6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6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6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6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6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6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6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6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6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6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6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6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6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6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6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6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6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6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6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6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6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6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6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6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6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6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6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6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6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6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6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6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6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6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6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6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6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6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6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6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6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6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6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6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6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2017-07-14T02:42:58Z</dcterms:modified>
</cp:coreProperties>
</file>