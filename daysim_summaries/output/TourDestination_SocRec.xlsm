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10050" yWindow="-15" windowWidth="14190" windowHeight="10695" firstSheet="4" activeTab="6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B36" i="6" l="1"/>
  <c r="B46" i="6" s="1"/>
  <c r="B35" i="6"/>
  <c r="B45" i="6" s="1"/>
  <c r="B34" i="6"/>
  <c r="B44" i="6" s="1"/>
  <c r="B33" i="6"/>
  <c r="B43" i="6" s="1"/>
  <c r="O104" i="6" l="1"/>
  <c r="P104" i="6"/>
  <c r="N104" i="6"/>
  <c r="M104" i="6" s="1"/>
  <c r="Q104" i="6" l="1"/>
  <c r="N4" i="6" l="1"/>
  <c r="M4" i="6" s="1"/>
  <c r="O4" i="6"/>
  <c r="N5" i="6"/>
  <c r="M5" i="6" s="1"/>
  <c r="O5" i="6"/>
  <c r="N6" i="6"/>
  <c r="M6" i="6" s="1"/>
  <c r="O6" i="6"/>
  <c r="N7" i="6"/>
  <c r="M7" i="6" s="1"/>
  <c r="O7" i="6"/>
  <c r="N8" i="6"/>
  <c r="M8" i="6" s="1"/>
  <c r="O8" i="6"/>
  <c r="N9" i="6"/>
  <c r="M9" i="6" s="1"/>
  <c r="O9" i="6"/>
  <c r="N10" i="6"/>
  <c r="M10" i="6" s="1"/>
  <c r="O10" i="6"/>
  <c r="N11" i="6"/>
  <c r="M11" i="6" s="1"/>
  <c r="O11" i="6"/>
  <c r="N12" i="6"/>
  <c r="M12" i="6" s="1"/>
  <c r="O12" i="6"/>
  <c r="N13" i="6"/>
  <c r="M13" i="6" s="1"/>
  <c r="O13" i="6"/>
  <c r="N14" i="6"/>
  <c r="M14" i="6" s="1"/>
  <c r="O14" i="6"/>
  <c r="N15" i="6"/>
  <c r="M15" i="6" s="1"/>
  <c r="O15" i="6"/>
  <c r="N16" i="6"/>
  <c r="M16" i="6" s="1"/>
  <c r="O16" i="6"/>
  <c r="N17" i="6"/>
  <c r="M17" i="6" s="1"/>
  <c r="O17" i="6"/>
  <c r="N18" i="6"/>
  <c r="M18" i="6" s="1"/>
  <c r="O18" i="6"/>
  <c r="N19" i="6"/>
  <c r="M19" i="6" s="1"/>
  <c r="O19" i="6"/>
  <c r="N20" i="6"/>
  <c r="M20" i="6" s="1"/>
  <c r="O20" i="6"/>
  <c r="N21" i="6"/>
  <c r="M21" i="6" s="1"/>
  <c r="O21" i="6"/>
  <c r="N22" i="6"/>
  <c r="M22" i="6" s="1"/>
  <c r="O22" i="6"/>
  <c r="N23" i="6"/>
  <c r="M23" i="6" s="1"/>
  <c r="O23" i="6"/>
  <c r="N24" i="6"/>
  <c r="M24" i="6" s="1"/>
  <c r="O24" i="6"/>
  <c r="N25" i="6"/>
  <c r="M25" i="6" s="1"/>
  <c r="O25" i="6"/>
  <c r="N26" i="6"/>
  <c r="M26" i="6" s="1"/>
  <c r="O26" i="6"/>
  <c r="N27" i="6"/>
  <c r="M27" i="6" s="1"/>
  <c r="O27" i="6"/>
  <c r="N28" i="6"/>
  <c r="M28" i="6" s="1"/>
  <c r="O28" i="6"/>
  <c r="N29" i="6"/>
  <c r="M29" i="6" s="1"/>
  <c r="O29" i="6"/>
  <c r="N30" i="6"/>
  <c r="M30" i="6" s="1"/>
  <c r="O30" i="6"/>
  <c r="N31" i="6"/>
  <c r="M31" i="6" s="1"/>
  <c r="O31" i="6"/>
  <c r="N32" i="6"/>
  <c r="M32" i="6" s="1"/>
  <c r="O32" i="6"/>
  <c r="N33" i="6"/>
  <c r="M33" i="6" s="1"/>
  <c r="O33" i="6"/>
  <c r="N34" i="6"/>
  <c r="M34" i="6" s="1"/>
  <c r="O34" i="6"/>
  <c r="N35" i="6"/>
  <c r="M35" i="6" s="1"/>
  <c r="O35" i="6"/>
  <c r="N36" i="6"/>
  <c r="O36" i="6"/>
  <c r="N37" i="6"/>
  <c r="M37" i="6" s="1"/>
  <c r="O37" i="6"/>
  <c r="N38" i="6"/>
  <c r="M38" i="6" s="1"/>
  <c r="O38" i="6"/>
  <c r="N39" i="6"/>
  <c r="M39" i="6" s="1"/>
  <c r="O39" i="6"/>
  <c r="N40" i="6"/>
  <c r="M40" i="6" s="1"/>
  <c r="O40" i="6"/>
  <c r="N41" i="6"/>
  <c r="M41" i="6" s="1"/>
  <c r="O41" i="6"/>
  <c r="N42" i="6"/>
  <c r="M42" i="6" s="1"/>
  <c r="O42" i="6"/>
  <c r="N43" i="6"/>
  <c r="M43" i="6" s="1"/>
  <c r="O43" i="6"/>
  <c r="N44" i="6"/>
  <c r="M44" i="6" s="1"/>
  <c r="O44" i="6"/>
  <c r="N45" i="6"/>
  <c r="M45" i="6" s="1"/>
  <c r="O45" i="6"/>
  <c r="N46" i="6"/>
  <c r="M46" i="6" s="1"/>
  <c r="O46" i="6"/>
  <c r="N47" i="6"/>
  <c r="M47" i="6" s="1"/>
  <c r="O47" i="6"/>
  <c r="N48" i="6"/>
  <c r="M48" i="6" s="1"/>
  <c r="O48" i="6"/>
  <c r="N49" i="6"/>
  <c r="M49" i="6" s="1"/>
  <c r="O49" i="6"/>
  <c r="N50" i="6"/>
  <c r="M50" i="6" s="1"/>
  <c r="O50" i="6"/>
  <c r="N51" i="6"/>
  <c r="M51" i="6" s="1"/>
  <c r="O51" i="6"/>
  <c r="N52" i="6"/>
  <c r="O52" i="6"/>
  <c r="N53" i="6"/>
  <c r="O53" i="6"/>
  <c r="N54" i="6"/>
  <c r="O54" i="6"/>
  <c r="N55" i="6"/>
  <c r="O55" i="6"/>
  <c r="N56" i="6"/>
  <c r="M56" i="6" s="1"/>
  <c r="O56" i="6"/>
  <c r="N57" i="6"/>
  <c r="M57" i="6" s="1"/>
  <c r="O57" i="6"/>
  <c r="N58" i="6"/>
  <c r="M58" i="6" s="1"/>
  <c r="O58" i="6"/>
  <c r="N59" i="6"/>
  <c r="M59" i="6" s="1"/>
  <c r="O59" i="6"/>
  <c r="N60" i="6"/>
  <c r="O60" i="6"/>
  <c r="N61" i="6"/>
  <c r="M61" i="6" s="1"/>
  <c r="O61" i="6"/>
  <c r="N62" i="6"/>
  <c r="M62" i="6" s="1"/>
  <c r="O62" i="6"/>
  <c r="N63" i="6"/>
  <c r="M63" i="6" s="1"/>
  <c r="O63" i="6"/>
  <c r="N64" i="6"/>
  <c r="M64" i="6" s="1"/>
  <c r="O64" i="6"/>
  <c r="N65" i="6"/>
  <c r="M65" i="6" s="1"/>
  <c r="O65" i="6"/>
  <c r="N66" i="6"/>
  <c r="M66" i="6" s="1"/>
  <c r="O66" i="6"/>
  <c r="N67" i="6"/>
  <c r="M67" i="6" s="1"/>
  <c r="O67" i="6"/>
  <c r="N68" i="6"/>
  <c r="M68" i="6" s="1"/>
  <c r="O68" i="6"/>
  <c r="N69" i="6"/>
  <c r="M69" i="6" s="1"/>
  <c r="O69" i="6"/>
  <c r="N70" i="6"/>
  <c r="M70" i="6" s="1"/>
  <c r="O70" i="6"/>
  <c r="N71" i="6"/>
  <c r="M71" i="6" s="1"/>
  <c r="O71" i="6"/>
  <c r="N72" i="6"/>
  <c r="M72" i="6" s="1"/>
  <c r="O72" i="6"/>
  <c r="N73" i="6"/>
  <c r="M73" i="6" s="1"/>
  <c r="O73" i="6"/>
  <c r="N74" i="6"/>
  <c r="M74" i="6" s="1"/>
  <c r="O74" i="6"/>
  <c r="N75" i="6"/>
  <c r="M75" i="6" s="1"/>
  <c r="O75" i="6"/>
  <c r="N76" i="6"/>
  <c r="M76" i="6" s="1"/>
  <c r="O76" i="6"/>
  <c r="N77" i="6"/>
  <c r="M77" i="6" s="1"/>
  <c r="O77" i="6"/>
  <c r="N78" i="6"/>
  <c r="M78" i="6" s="1"/>
  <c r="O78" i="6"/>
  <c r="N79" i="6"/>
  <c r="M79" i="6" s="1"/>
  <c r="O79" i="6"/>
  <c r="N80" i="6"/>
  <c r="M80" i="6" s="1"/>
  <c r="O80" i="6"/>
  <c r="N81" i="6"/>
  <c r="O81" i="6"/>
  <c r="N82" i="6"/>
  <c r="M82" i="6" s="1"/>
  <c r="O82" i="6"/>
  <c r="N83" i="6"/>
  <c r="M83" i="6" s="1"/>
  <c r="O83" i="6"/>
  <c r="N84" i="6"/>
  <c r="M84" i="6" s="1"/>
  <c r="O84" i="6"/>
  <c r="N85" i="6"/>
  <c r="M85" i="6" s="1"/>
  <c r="O85" i="6"/>
  <c r="N86" i="6"/>
  <c r="M86" i="6" s="1"/>
  <c r="O86" i="6"/>
  <c r="N87" i="6"/>
  <c r="M87" i="6" s="1"/>
  <c r="O87" i="6"/>
  <c r="N88" i="6"/>
  <c r="M88" i="6" s="1"/>
  <c r="O88" i="6"/>
  <c r="N89" i="6"/>
  <c r="M89" i="6" s="1"/>
  <c r="O89" i="6"/>
  <c r="N90" i="6"/>
  <c r="M90" i="6" s="1"/>
  <c r="O90" i="6"/>
  <c r="N91" i="6"/>
  <c r="M91" i="6" s="1"/>
  <c r="O91" i="6"/>
  <c r="N92" i="6"/>
  <c r="M92" i="6" s="1"/>
  <c r="O92" i="6"/>
  <c r="N93" i="6"/>
  <c r="M93" i="6" s="1"/>
  <c r="O93" i="6"/>
  <c r="N94" i="6"/>
  <c r="M94" i="6" s="1"/>
  <c r="O94" i="6"/>
  <c r="N95" i="6"/>
  <c r="M95" i="6" s="1"/>
  <c r="O95" i="6"/>
  <c r="N96" i="6"/>
  <c r="M96" i="6" s="1"/>
  <c r="O96" i="6"/>
  <c r="N97" i="6"/>
  <c r="M97" i="6" s="1"/>
  <c r="O97" i="6"/>
  <c r="N98" i="6"/>
  <c r="M98" i="6" s="1"/>
  <c r="O98" i="6"/>
  <c r="N99" i="6"/>
  <c r="M99" i="6" s="1"/>
  <c r="O99" i="6"/>
  <c r="N100" i="6"/>
  <c r="M100" i="6" s="1"/>
  <c r="O100" i="6"/>
  <c r="N101" i="6"/>
  <c r="M101" i="6" s="1"/>
  <c r="O101" i="6"/>
  <c r="N102" i="6"/>
  <c r="M102" i="6" s="1"/>
  <c r="O102" i="6"/>
  <c r="N103" i="6"/>
  <c r="M103" i="6" s="1"/>
  <c r="O103" i="6"/>
  <c r="N3" i="6"/>
  <c r="M3" i="6" s="1"/>
  <c r="O3" i="6"/>
  <c r="M55" i="6" l="1"/>
  <c r="R55" i="6"/>
  <c r="M54" i="6"/>
  <c r="R54" i="6"/>
  <c r="M53" i="6"/>
  <c r="R53" i="6"/>
  <c r="M52" i="6"/>
  <c r="R52" i="6"/>
  <c r="M36" i="6"/>
  <c r="M60" i="6"/>
  <c r="M81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P4" i="6" l="1"/>
  <c r="Q4" i="6" s="1"/>
  <c r="P5" i="6"/>
  <c r="Q5" i="6" s="1"/>
  <c r="P6" i="6"/>
  <c r="Q6" i="6" s="1"/>
  <c r="P7" i="6"/>
  <c r="Q7" i="6" s="1"/>
  <c r="P8" i="6"/>
  <c r="Q8" i="6" s="1"/>
  <c r="P9" i="6"/>
  <c r="Q9" i="6" s="1"/>
  <c r="P10" i="6"/>
  <c r="Q10" i="6" s="1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Q25" i="6" s="1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36" i="6"/>
  <c r="Q36" i="6" s="1"/>
  <c r="P37" i="6"/>
  <c r="Q37" i="6" s="1"/>
  <c r="P38" i="6"/>
  <c r="Q38" i="6" s="1"/>
  <c r="P39" i="6"/>
  <c r="Q39" i="6" s="1"/>
  <c r="P40" i="6"/>
  <c r="Q40" i="6" s="1"/>
  <c r="P41" i="6"/>
  <c r="Q41" i="6" s="1"/>
  <c r="P42" i="6"/>
  <c r="Q42" i="6" s="1"/>
  <c r="P43" i="6"/>
  <c r="Q43" i="6" s="1"/>
  <c r="P44" i="6"/>
  <c r="Q44" i="6" s="1"/>
  <c r="P45" i="6"/>
  <c r="Q45" i="6" s="1"/>
  <c r="P46" i="6"/>
  <c r="Q46" i="6" s="1"/>
  <c r="P47" i="6"/>
  <c r="Q47" i="6" s="1"/>
  <c r="P48" i="6"/>
  <c r="Q48" i="6" s="1"/>
  <c r="P49" i="6"/>
  <c r="Q49" i="6" s="1"/>
  <c r="P50" i="6"/>
  <c r="Q50" i="6" s="1"/>
  <c r="P51" i="6"/>
  <c r="Q51" i="6" s="1"/>
  <c r="P52" i="6"/>
  <c r="D23" i="6" s="1"/>
  <c r="P53" i="6"/>
  <c r="D24" i="6" s="1"/>
  <c r="P54" i="6"/>
  <c r="D25" i="6" s="1"/>
  <c r="P55" i="6"/>
  <c r="D26" i="6" s="1"/>
  <c r="P56" i="6"/>
  <c r="Q56" i="6" s="1"/>
  <c r="P57" i="6"/>
  <c r="Q57" i="6" s="1"/>
  <c r="P58" i="6"/>
  <c r="Q58" i="6" s="1"/>
  <c r="P59" i="6"/>
  <c r="Q59" i="6" s="1"/>
  <c r="P60" i="6"/>
  <c r="Q60" i="6" s="1"/>
  <c r="P61" i="6"/>
  <c r="Q61" i="6" s="1"/>
  <c r="P62" i="6"/>
  <c r="Q62" i="6" s="1"/>
  <c r="P63" i="6"/>
  <c r="Q63" i="6" s="1"/>
  <c r="P64" i="6"/>
  <c r="Q64" i="6" s="1"/>
  <c r="P65" i="6"/>
  <c r="Q65" i="6" s="1"/>
  <c r="P66" i="6"/>
  <c r="Q66" i="6" s="1"/>
  <c r="P67" i="6"/>
  <c r="Q67" i="6" s="1"/>
  <c r="P68" i="6"/>
  <c r="Q68" i="6" s="1"/>
  <c r="P69" i="6"/>
  <c r="Q69" i="6" s="1"/>
  <c r="P70" i="6"/>
  <c r="Q70" i="6" s="1"/>
  <c r="P71" i="6"/>
  <c r="Q71" i="6" s="1"/>
  <c r="P72" i="6"/>
  <c r="Q72" i="6" s="1"/>
  <c r="P73" i="6"/>
  <c r="Q73" i="6" s="1"/>
  <c r="P74" i="6"/>
  <c r="Q74" i="6" s="1"/>
  <c r="P75" i="6"/>
  <c r="Q75" i="6" s="1"/>
  <c r="P76" i="6"/>
  <c r="Q76" i="6" s="1"/>
  <c r="P77" i="6"/>
  <c r="Q77" i="6" s="1"/>
  <c r="P78" i="6"/>
  <c r="Q78" i="6" s="1"/>
  <c r="P79" i="6"/>
  <c r="Q79" i="6" s="1"/>
  <c r="P80" i="6"/>
  <c r="Q80" i="6" s="1"/>
  <c r="P81" i="6"/>
  <c r="Q81" i="6" s="1"/>
  <c r="P82" i="6"/>
  <c r="Q82" i="6" s="1"/>
  <c r="P83" i="6"/>
  <c r="Q83" i="6" s="1"/>
  <c r="P84" i="6"/>
  <c r="Q84" i="6" s="1"/>
  <c r="P85" i="6"/>
  <c r="Q85" i="6" s="1"/>
  <c r="P86" i="6"/>
  <c r="Q86" i="6" s="1"/>
  <c r="P87" i="6"/>
  <c r="Q87" i="6" s="1"/>
  <c r="P88" i="6"/>
  <c r="Q88" i="6" s="1"/>
  <c r="P89" i="6"/>
  <c r="Q89" i="6" s="1"/>
  <c r="P90" i="6"/>
  <c r="Q90" i="6" s="1"/>
  <c r="P91" i="6"/>
  <c r="Q91" i="6" s="1"/>
  <c r="P92" i="6"/>
  <c r="Q92" i="6" s="1"/>
  <c r="P93" i="6"/>
  <c r="Q93" i="6" s="1"/>
  <c r="P94" i="6"/>
  <c r="Q94" i="6" s="1"/>
  <c r="P95" i="6"/>
  <c r="Q95" i="6" s="1"/>
  <c r="P96" i="6"/>
  <c r="Q96" i="6" s="1"/>
  <c r="P97" i="6"/>
  <c r="Q97" i="6" s="1"/>
  <c r="P98" i="6"/>
  <c r="Q98" i="6" s="1"/>
  <c r="P99" i="6"/>
  <c r="Q99" i="6" s="1"/>
  <c r="P100" i="6"/>
  <c r="Q100" i="6" s="1"/>
  <c r="P101" i="6"/>
  <c r="Q101" i="6" s="1"/>
  <c r="P102" i="6"/>
  <c r="Q102" i="6" s="1"/>
  <c r="P103" i="6"/>
  <c r="Q103" i="6" s="1"/>
  <c r="P3" i="6"/>
  <c r="Q3" i="6" s="1"/>
  <c r="D4" i="6" l="1"/>
  <c r="G7" i="6"/>
  <c r="D7" i="6"/>
  <c r="G6" i="6"/>
  <c r="D6" i="6"/>
  <c r="G5" i="6"/>
  <c r="D5" i="6"/>
  <c r="G4" i="6"/>
  <c r="G8" i="6" l="1"/>
  <c r="G12" i="6" s="1"/>
  <c r="D8" i="6"/>
  <c r="D14" i="6" s="1"/>
  <c r="H15" i="1"/>
  <c r="J13" i="1"/>
  <c r="G14" i="6" l="1"/>
  <c r="I14" i="6" s="1"/>
  <c r="J14" i="6" s="1"/>
  <c r="G15" i="6"/>
  <c r="G16" i="6"/>
  <c r="G13" i="6"/>
  <c r="D13" i="6"/>
  <c r="D16" i="6"/>
  <c r="D12" i="6"/>
  <c r="D15" i="6"/>
  <c r="S15" i="1"/>
  <c r="U13" i="1"/>
  <c r="I13" i="6" l="1"/>
  <c r="J13" i="6" s="1"/>
  <c r="I15" i="6"/>
  <c r="J15" i="6" s="1"/>
  <c r="I12" i="6"/>
  <c r="J12" i="6" s="1"/>
  <c r="B26" i="1"/>
  <c r="C26" i="1"/>
  <c r="D26" i="1"/>
  <c r="E26" i="1"/>
  <c r="F26" i="1"/>
  <c r="G26" i="1"/>
  <c r="H26" i="1"/>
  <c r="S28" i="1"/>
  <c r="U26" i="1"/>
  <c r="J27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K12" i="6" l="1"/>
  <c r="D33" i="6" s="1"/>
  <c r="D43" i="6" s="1"/>
  <c r="Q52" i="6" s="1"/>
  <c r="K15" i="6"/>
  <c r="D36" i="6" s="1"/>
  <c r="D46" i="6" s="1"/>
  <c r="Q55" i="6" s="1"/>
  <c r="K14" i="6"/>
  <c r="K13" i="6"/>
  <c r="D34" i="6" s="1"/>
  <c r="D44" i="6" s="1"/>
  <c r="Q53" i="6" s="1"/>
  <c r="D35" i="6"/>
  <c r="D45" i="6" s="1"/>
  <c r="Q54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0" i="1" l="1"/>
  <c r="H21" i="1"/>
  <c r="H22" i="1"/>
  <c r="J24" i="1"/>
  <c r="J25" i="1"/>
  <c r="J23" i="1"/>
  <c r="U20" i="1"/>
  <c r="U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U22" i="1"/>
  <c r="D20" i="1"/>
  <c r="G20" i="1"/>
  <c r="E22" i="1"/>
  <c r="C20" i="1"/>
  <c r="F102" i="4"/>
  <c r="G101" i="4" s="1"/>
  <c r="B102" i="4"/>
  <c r="C102" i="4" s="1"/>
  <c r="F102" i="3"/>
  <c r="G101" i="3" s="1"/>
  <c r="B102" i="3"/>
  <c r="C14" i="3" s="1"/>
  <c r="F28" i="1" l="1"/>
  <c r="S36" i="1"/>
  <c r="S35" i="1"/>
  <c r="M39" i="1"/>
  <c r="N39" i="1"/>
  <c r="O39" i="1"/>
  <c r="P39" i="1"/>
  <c r="R39" i="1"/>
  <c r="S39" i="1"/>
  <c r="S34" i="1"/>
  <c r="S33" i="1"/>
  <c r="S38" i="1"/>
  <c r="S37" i="1"/>
  <c r="Q39" i="1"/>
  <c r="G28" i="1"/>
  <c r="S41" i="1"/>
  <c r="U39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F39" i="1" l="1"/>
  <c r="AB39" i="1" s="1"/>
  <c r="E39" i="1"/>
  <c r="AA39" i="1" s="1"/>
  <c r="G39" i="1"/>
  <c r="AC39" i="1" s="1"/>
  <c r="D39" i="1"/>
  <c r="Z39" i="1" s="1"/>
  <c r="H39" i="1"/>
  <c r="AD39" i="1" s="1"/>
  <c r="C39" i="1"/>
  <c r="Y39" i="1" s="1"/>
  <c r="B39" i="1"/>
  <c r="X39" i="1" s="1"/>
  <c r="H36" i="1"/>
  <c r="AD36" i="1" s="1"/>
  <c r="H38" i="1"/>
  <c r="AD38" i="1" s="1"/>
  <c r="H37" i="1"/>
  <c r="AD37" i="1" s="1"/>
  <c r="H34" i="1"/>
  <c r="AD34" i="1" s="1"/>
  <c r="H35" i="1"/>
  <c r="AD35" i="1" s="1"/>
  <c r="H33" i="1"/>
  <c r="AD33" i="1" s="1"/>
  <c r="J39" i="1"/>
  <c r="AF39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AE41" i="1" s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<sst xmlns="http://schemas.openxmlformats.org/spreadsheetml/2006/main" count="716" uniqueCount="284">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</sst>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8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0" xfId="0" applyFont="1" applyAlignment="1">
      <alignment horizontal="left"/>
    </xf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8" fillId="0" borderId="0" xfId="0" applyFont="1"/>
    <xf numFmtId="166" fontId="7" fillId="6" borderId="0" xfId="0" applyNumberFormat="1" applyFont="1" applyFill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0" fontId="0" fillId="0" borderId="12" xfId="0" applyFont="1" applyBorder="1" applyAlignment="1">
      <alignment horizontal="lef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1" fontId="0" fillId="0" borderId="0" xfId="0" applyNumberFormat="1" applyFont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72" fontId="0" fillId="7" borderId="0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4.8818074454357388E-2</c:v>
                </c:pt>
                <c:pt idx="1">
                  <c:v>8.3848995142321969E-2</c:v>
                </c:pt>
                <c:pt idx="2">
                  <c:v>9.7057898321178407E-2</c:v>
                </c:pt>
                <c:pt idx="3">
                  <c:v>0.10616704821274628</c:v>
                </c:pt>
                <c:pt idx="4">
                  <c:v>0.16554865683076439</c:v>
                </c:pt>
                <c:pt idx="5">
                  <c:v>0.10163203446166852</c:v>
                </c:pt>
                <c:pt idx="6">
                  <c:v>0.10951698186318666</c:v>
                </c:pt>
                <c:pt idx="7">
                  <c:v>3.6874162435352367E-2</c:v>
                </c:pt>
                <c:pt idx="8">
                  <c:v>3.696837443250163E-2</c:v>
                </c:pt>
                <c:pt idx="9">
                  <c:v>2.3831116420193196E-2</c:v>
                </c:pt>
                <c:pt idx="10">
                  <c:v>4.6352666898312481E-2</c:v>
                </c:pt>
                <c:pt idx="11">
                  <c:v>1.0323501198655277E-2</c:v>
                </c:pt>
                <c:pt idx="12">
                  <c:v>2.568155067865455E-2</c:v>
                </c:pt>
                <c:pt idx="13">
                  <c:v>7.6967785414554868E-3</c:v>
                </c:pt>
                <c:pt idx="14">
                  <c:v>9.6314207374361242E-3</c:v>
                </c:pt>
                <c:pt idx="15">
                  <c:v>1.7269513516143361E-2</c:v>
                </c:pt>
                <c:pt idx="16">
                  <c:v>1.7227883609637583E-2</c:v>
                </c:pt>
                <c:pt idx="17">
                  <c:v>6.6705048377066738E-3</c:v>
                </c:pt>
                <c:pt idx="18">
                  <c:v>7.7951893685674224E-3</c:v>
                </c:pt>
                <c:pt idx="19">
                  <c:v>2.6111719713878072E-3</c:v>
                </c:pt>
                <c:pt idx="20">
                  <c:v>3.382268932789072E-3</c:v>
                </c:pt>
                <c:pt idx="21">
                  <c:v>8.3667559988107498E-4</c:v>
                </c:pt>
                <c:pt idx="22">
                  <c:v>2.3258958947075204E-3</c:v>
                </c:pt>
                <c:pt idx="23">
                  <c:v>1.8336588730983434E-3</c:v>
                </c:pt>
                <c:pt idx="24">
                  <c:v>9.9662209547153723E-3</c:v>
                </c:pt>
                <c:pt idx="25">
                  <c:v>1.4261384807941428E-3</c:v>
                </c:pt>
                <c:pt idx="26">
                  <c:v>7.1428636897960507E-4</c:v>
                </c:pt>
                <c:pt idx="27">
                  <c:v>1.922523231474599E-3</c:v>
                </c:pt>
                <c:pt idx="28">
                  <c:v>5.8871157873377565E-4</c:v>
                </c:pt>
                <c:pt idx="29">
                  <c:v>5.0779101559939466E-4</c:v>
                </c:pt>
                <c:pt idx="30">
                  <c:v>0</c:v>
                </c:pt>
                <c:pt idx="31">
                  <c:v>1.385990710037891E-3</c:v>
                </c:pt>
                <c:pt idx="32">
                  <c:v>0</c:v>
                </c:pt>
                <c:pt idx="33">
                  <c:v>7.1105884457272792E-4</c:v>
                </c:pt>
                <c:pt idx="34">
                  <c:v>8.6317566176296939E-4</c:v>
                </c:pt>
                <c:pt idx="35">
                  <c:v>2.9685482531318323E-4</c:v>
                </c:pt>
                <c:pt idx="36">
                  <c:v>6.707155175665416E-4</c:v>
                </c:pt>
                <c:pt idx="37">
                  <c:v>5.8797229476594025E-4</c:v>
                </c:pt>
                <c:pt idx="38">
                  <c:v>5.7833439383262754E-4</c:v>
                </c:pt>
                <c:pt idx="39">
                  <c:v>3.1518779807405723E-4</c:v>
                </c:pt>
                <c:pt idx="40">
                  <c:v>0</c:v>
                </c:pt>
                <c:pt idx="41">
                  <c:v>5.5040266731399808E-4</c:v>
                </c:pt>
                <c:pt idx="42">
                  <c:v>1.2315944742915516E-4</c:v>
                </c:pt>
                <c:pt idx="43">
                  <c:v>1.5737301033587209E-3</c:v>
                </c:pt>
                <c:pt idx="44">
                  <c:v>6.0876547574243345E-4</c:v>
                </c:pt>
                <c:pt idx="45">
                  <c:v>5.6948020563904347E-4</c:v>
                </c:pt>
                <c:pt idx="46">
                  <c:v>0</c:v>
                </c:pt>
                <c:pt idx="47">
                  <c:v>3.735161245056385E-4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1.6690889929188183E-4</c:v>
                </c:pt>
                <c:pt idx="53">
                  <c:v>3.6097587075762241E-5</c:v>
                </c:pt>
                <c:pt idx="54">
                  <c:v>6.1557686212604184E-4</c:v>
                </c:pt>
                <c:pt idx="55">
                  <c:v>0</c:v>
                </c:pt>
                <c:pt idx="56">
                  <c:v>0</c:v>
                </c:pt>
                <c:pt idx="57">
                  <c:v>4.998457674275878E-4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0.1343754549955033</c:v>
                </c:pt>
                <c:pt idx="1">
                  <c:v>8.4306680918333571E-2</c:v>
                </c:pt>
                <c:pt idx="2">
                  <c:v>5.0996910792679553E-2</c:v>
                </c:pt>
                <c:pt idx="3">
                  <c:v>2.9831037489921271E-2</c:v>
                </c:pt>
                <c:pt idx="4">
                  <c:v>0.14401972603754631</c:v>
                </c:pt>
                <c:pt idx="5">
                  <c:v>8.3744056727766997E-2</c:v>
                </c:pt>
                <c:pt idx="6">
                  <c:v>7.7347705024780944E-2</c:v>
                </c:pt>
                <c:pt idx="7">
                  <c:v>4.0697721811145754E-2</c:v>
                </c:pt>
                <c:pt idx="8">
                  <c:v>5.6780819399773301E-2</c:v>
                </c:pt>
                <c:pt idx="9">
                  <c:v>3.4545461369384869E-2</c:v>
                </c:pt>
                <c:pt idx="10">
                  <c:v>2.3475721947431367E-2</c:v>
                </c:pt>
                <c:pt idx="11">
                  <c:v>2.5060530247095779E-2</c:v>
                </c:pt>
                <c:pt idx="12">
                  <c:v>2.2569549902995617E-2</c:v>
                </c:pt>
                <c:pt idx="13">
                  <c:v>1.8500041845008235E-2</c:v>
                </c:pt>
                <c:pt idx="14">
                  <c:v>2.1953414682675112E-2</c:v>
                </c:pt>
                <c:pt idx="15">
                  <c:v>1.7524380433085594E-2</c:v>
                </c:pt>
                <c:pt idx="16">
                  <c:v>2.8103286846583298E-2</c:v>
                </c:pt>
                <c:pt idx="17">
                  <c:v>1.2518436333456439E-2</c:v>
                </c:pt>
                <c:pt idx="18">
                  <c:v>1.2224204091719596E-2</c:v>
                </c:pt>
                <c:pt idx="19">
                  <c:v>9.3105597834850888E-3</c:v>
                </c:pt>
                <c:pt idx="20">
                  <c:v>8.6890086007149585E-3</c:v>
                </c:pt>
                <c:pt idx="21">
                  <c:v>6.4566706868144962E-3</c:v>
                </c:pt>
                <c:pt idx="22">
                  <c:v>6.6637917128821956E-3</c:v>
                </c:pt>
                <c:pt idx="23">
                  <c:v>6.5972197750790986E-3</c:v>
                </c:pt>
                <c:pt idx="24">
                  <c:v>5.822566925623658E-3</c:v>
                </c:pt>
                <c:pt idx="25">
                  <c:v>4.733449820634234E-3</c:v>
                </c:pt>
                <c:pt idx="26">
                  <c:v>4.1745579776706013E-3</c:v>
                </c:pt>
                <c:pt idx="27">
                  <c:v>5.5852021230674504E-3</c:v>
                </c:pt>
                <c:pt idx="28">
                  <c:v>2.8264850854512907E-3</c:v>
                </c:pt>
                <c:pt idx="29">
                  <c:v>3.1504805341458814E-3</c:v>
                </c:pt>
                <c:pt idx="30">
                  <c:v>2.5039585918926925E-3</c:v>
                </c:pt>
                <c:pt idx="31">
                  <c:v>2.4829412131033963E-3</c:v>
                </c:pt>
                <c:pt idx="32">
                  <c:v>1.4206076048716729E-3</c:v>
                </c:pt>
                <c:pt idx="33">
                  <c:v>1.8291926165791535E-3</c:v>
                </c:pt>
                <c:pt idx="34">
                  <c:v>1.0434258694834513E-3</c:v>
                </c:pt>
                <c:pt idx="35">
                  <c:v>8.807437111684398E-4</c:v>
                </c:pt>
                <c:pt idx="36">
                  <c:v>1.2321291972512787E-3</c:v>
                </c:pt>
                <c:pt idx="37">
                  <c:v>9.3826633024704476E-4</c:v>
                </c:pt>
                <c:pt idx="38">
                  <c:v>6.2070762530486948E-4</c:v>
                </c:pt>
                <c:pt idx="39">
                  <c:v>5.8091747267613979E-4</c:v>
                </c:pt>
                <c:pt idx="40">
                  <c:v>7.0653144131169133E-4</c:v>
                </c:pt>
                <c:pt idx="41">
                  <c:v>5.5984051530788711E-4</c:v>
                </c:pt>
                <c:pt idx="42">
                  <c:v>4.5786242428008341E-4</c:v>
                </c:pt>
                <c:pt idx="43">
                  <c:v>2.3789244570053252E-4</c:v>
                </c:pt>
                <c:pt idx="44">
                  <c:v>3.655007428971656E-4</c:v>
                </c:pt>
                <c:pt idx="45">
                  <c:v>2.3031397707792318E-4</c:v>
                </c:pt>
                <c:pt idx="46">
                  <c:v>2.3864352710564036E-4</c:v>
                </c:pt>
                <c:pt idx="47">
                  <c:v>1.942543714673232E-4</c:v>
                </c:pt>
                <c:pt idx="48">
                  <c:v>1.1829992061750385E-4</c:v>
                </c:pt>
                <c:pt idx="49">
                  <c:v>1.0902894810261896E-4</c:v>
                </c:pt>
                <c:pt idx="50">
                  <c:v>1.1080867141987291E-4</c:v>
                </c:pt>
                <c:pt idx="51">
                  <c:v>1.5645024653496069E-4</c:v>
                </c:pt>
                <c:pt idx="52">
                  <c:v>8.119706316097E-5</c:v>
                </c:pt>
                <c:pt idx="53">
                  <c:v>3.5168388264721161E-5</c:v>
                </c:pt>
                <c:pt idx="54">
                  <c:v>4.8252520172522628E-5</c:v>
                </c:pt>
                <c:pt idx="55">
                  <c:v>3.7324754072852429E-5</c:v>
                </c:pt>
                <c:pt idx="56">
                  <c:v>2.5619579634538121E-5</c:v>
                </c:pt>
                <c:pt idx="57">
                  <c:v>2.4478696947666119E-5</c:v>
                </c:pt>
                <c:pt idx="58">
                  <c:v>3.6068226761743044E-5</c:v>
                </c:pt>
                <c:pt idx="59">
                  <c:v>1.934771064359326E-5</c:v>
                </c:pt>
                <c:pt idx="60">
                  <c:v>1.8510314671955299E-5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2.9961232513779769E-3</c:v>
                </c:pt>
                <c:pt idx="1">
                  <c:v>8.2927543931059864E-3</c:v>
                </c:pt>
                <c:pt idx="2">
                  <c:v>5.975816646506333E-3</c:v>
                </c:pt>
                <c:pt idx="3">
                  <c:v>1.2364240496473356E-2</c:v>
                </c:pt>
                <c:pt idx="4">
                  <c:v>1.4504850883308631E-2</c:v>
                </c:pt>
                <c:pt idx="5">
                  <c:v>2.5156091906956494E-2</c:v>
                </c:pt>
                <c:pt idx="6">
                  <c:v>1.9102068402966136E-2</c:v>
                </c:pt>
                <c:pt idx="7">
                  <c:v>2.7819774369464791E-2</c:v>
                </c:pt>
                <c:pt idx="8">
                  <c:v>2.3463059777122732E-2</c:v>
                </c:pt>
                <c:pt idx="9">
                  <c:v>2.6061735885817332E-2</c:v>
                </c:pt>
                <c:pt idx="10">
                  <c:v>8.6687109464434267E-3</c:v>
                </c:pt>
                <c:pt idx="11">
                  <c:v>1.5080988081552185E-2</c:v>
                </c:pt>
                <c:pt idx="12">
                  <c:v>3.3166763836908787E-2</c:v>
                </c:pt>
                <c:pt idx="13">
                  <c:v>2.8177832678650858E-2</c:v>
                </c:pt>
                <c:pt idx="14">
                  <c:v>2.1926429811253794E-2</c:v>
                </c:pt>
                <c:pt idx="15">
                  <c:v>1.2870366957390682E-2</c:v>
                </c:pt>
                <c:pt idx="16">
                  <c:v>4.3994740688153754E-2</c:v>
                </c:pt>
                <c:pt idx="17">
                  <c:v>2.2432393072650891E-2</c:v>
                </c:pt>
                <c:pt idx="18">
                  <c:v>6.8696042936116447E-2</c:v>
                </c:pt>
                <c:pt idx="19">
                  <c:v>5.5976918904681594E-2</c:v>
                </c:pt>
                <c:pt idx="20">
                  <c:v>7.0016108504099742E-2</c:v>
                </c:pt>
                <c:pt idx="21">
                  <c:v>4.6441807083525105E-2</c:v>
                </c:pt>
                <c:pt idx="22">
                  <c:v>4.6655486015887551E-2</c:v>
                </c:pt>
                <c:pt idx="23">
                  <c:v>2.630149954648096E-2</c:v>
                </c:pt>
                <c:pt idx="24">
                  <c:v>2.6682578490607751E-2</c:v>
                </c:pt>
                <c:pt idx="25">
                  <c:v>1.7535272530734832E-2</c:v>
                </c:pt>
                <c:pt idx="26">
                  <c:v>4.815391725630442E-2</c:v>
                </c:pt>
                <c:pt idx="27">
                  <c:v>6.2600645624602044E-3</c:v>
                </c:pt>
                <c:pt idx="28">
                  <c:v>1.923914294738999E-2</c:v>
                </c:pt>
                <c:pt idx="29">
                  <c:v>2.4980163742044682E-2</c:v>
                </c:pt>
                <c:pt idx="30">
                  <c:v>7.7427933458485577E-3</c:v>
                </c:pt>
                <c:pt idx="31">
                  <c:v>1.7231835979233143E-2</c:v>
                </c:pt>
                <c:pt idx="32">
                  <c:v>6.6922628250131238E-3</c:v>
                </c:pt>
                <c:pt idx="33">
                  <c:v>4.5330665438234287E-3</c:v>
                </c:pt>
                <c:pt idx="34">
                  <c:v>1.6638244774642E-2</c:v>
                </c:pt>
                <c:pt idx="35">
                  <c:v>1.0940410963533837E-2</c:v>
                </c:pt>
                <c:pt idx="36">
                  <c:v>3.8475040726051522E-3</c:v>
                </c:pt>
                <c:pt idx="37">
                  <c:v>7.1057934280939327E-3</c:v>
                </c:pt>
                <c:pt idx="38">
                  <c:v>1.1911835913533309E-2</c:v>
                </c:pt>
                <c:pt idx="39">
                  <c:v>3.7789638631240052E-3</c:v>
                </c:pt>
                <c:pt idx="40">
                  <c:v>3.8725406392117814E-3</c:v>
                </c:pt>
                <c:pt idx="41">
                  <c:v>6.5322653162629835E-3</c:v>
                </c:pt>
                <c:pt idx="42">
                  <c:v>5.8880133361360991E-3</c:v>
                </c:pt>
                <c:pt idx="43">
                  <c:v>2.219623598437265E-3</c:v>
                </c:pt>
                <c:pt idx="44">
                  <c:v>4.6482446762276909E-4</c:v>
                </c:pt>
                <c:pt idx="45">
                  <c:v>4.4258216957131745E-2</c:v>
                </c:pt>
                <c:pt idx="46">
                  <c:v>1.5806632063179948E-3</c:v>
                </c:pt>
                <c:pt idx="47">
                  <c:v>2.5148314300353775E-3</c:v>
                </c:pt>
                <c:pt idx="48">
                  <c:v>2.7211095283974848E-3</c:v>
                </c:pt>
                <c:pt idx="49">
                  <c:v>0</c:v>
                </c:pt>
                <c:pt idx="50">
                  <c:v>5.4177574605005321E-4</c:v>
                </c:pt>
                <c:pt idx="51">
                  <c:v>3.1168763607490923E-3</c:v>
                </c:pt>
                <c:pt idx="52">
                  <c:v>3.4257071861829805E-3</c:v>
                </c:pt>
                <c:pt idx="53">
                  <c:v>9.3545234893149679E-4</c:v>
                </c:pt>
                <c:pt idx="54">
                  <c:v>4.6354882395732125E-4</c:v>
                </c:pt>
                <c:pt idx="55">
                  <c:v>0</c:v>
                </c:pt>
                <c:pt idx="56">
                  <c:v>5.5040266731399786E-4</c:v>
                </c:pt>
                <c:pt idx="57">
                  <c:v>1.2618076877617083E-3</c:v>
                </c:pt>
                <c:pt idx="58">
                  <c:v>2.6695737548682724E-4</c:v>
                </c:pt>
                <c:pt idx="59">
                  <c:v>6.8695821229493553E-4</c:v>
                </c:pt>
                <c:pt idx="60">
                  <c:v>1.1721858454596247E-3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2.7358293564811325E-2</c:v>
                </c:pt>
                <c:pt idx="1">
                  <c:v>2.7530497966712735E-2</c:v>
                </c:pt>
                <c:pt idx="2">
                  <c:v>3.1480209545996292E-2</c:v>
                </c:pt>
                <c:pt idx="3">
                  <c:v>2.9982371259976329E-2</c:v>
                </c:pt>
                <c:pt idx="4">
                  <c:v>2.6369332152654263E-2</c:v>
                </c:pt>
                <c:pt idx="5">
                  <c:v>2.5091634546991703E-2</c:v>
                </c:pt>
                <c:pt idx="6">
                  <c:v>2.2640364399761852E-2</c:v>
                </c:pt>
                <c:pt idx="7">
                  <c:v>2.1066531091502833E-2</c:v>
                </c:pt>
                <c:pt idx="8">
                  <c:v>1.8845005733011514E-2</c:v>
                </c:pt>
                <c:pt idx="9">
                  <c:v>1.725507503745324E-2</c:v>
                </c:pt>
                <c:pt idx="10">
                  <c:v>1.4960566990698207E-2</c:v>
                </c:pt>
                <c:pt idx="11">
                  <c:v>1.3532209657663975E-2</c:v>
                </c:pt>
                <c:pt idx="12">
                  <c:v>1.2453154473337462E-2</c:v>
                </c:pt>
                <c:pt idx="13">
                  <c:v>1.0642353448646421E-2</c:v>
                </c:pt>
                <c:pt idx="14">
                  <c:v>9.171884448451172E-3</c:v>
                </c:pt>
                <c:pt idx="15">
                  <c:v>9.2134719900874677E-3</c:v>
                </c:pt>
                <c:pt idx="16">
                  <c:v>7.9727119745116228E-3</c:v>
                </c:pt>
                <c:pt idx="17">
                  <c:v>7.4866523474107346E-3</c:v>
                </c:pt>
                <c:pt idx="18">
                  <c:v>9.5939992047874192E-2</c:v>
                </c:pt>
                <c:pt idx="19">
                  <c:v>3.5802560605510111E-2</c:v>
                </c:pt>
                <c:pt idx="20">
                  <c:v>3.2238265963402228E-2</c:v>
                </c:pt>
                <c:pt idx="21">
                  <c:v>5.0167367322401867E-2</c:v>
                </c:pt>
                <c:pt idx="22">
                  <c:v>4.0968095768758657E-2</c:v>
                </c:pt>
                <c:pt idx="23">
                  <c:v>3.1229532499638304E-2</c:v>
                </c:pt>
                <c:pt idx="24">
                  <c:v>2.9746233882652923E-2</c:v>
                </c:pt>
                <c:pt idx="25">
                  <c:v>3.1434525394289169E-2</c:v>
                </c:pt>
                <c:pt idx="26">
                  <c:v>2.9553955974419337E-2</c:v>
                </c:pt>
                <c:pt idx="27">
                  <c:v>1.891710956794293E-2</c:v>
                </c:pt>
                <c:pt idx="28">
                  <c:v>2.1961506619091867E-2</c:v>
                </c:pt>
                <c:pt idx="29">
                  <c:v>1.7963418921362748E-2</c:v>
                </c:pt>
                <c:pt idx="30">
                  <c:v>2.1943321463632495E-2</c:v>
                </c:pt>
                <c:pt idx="31">
                  <c:v>1.9381616848099487E-2</c:v>
                </c:pt>
                <c:pt idx="32">
                  <c:v>2.1161141244149927E-2</c:v>
                </c:pt>
                <c:pt idx="33">
                  <c:v>1.5460602019838583E-2</c:v>
                </c:pt>
                <c:pt idx="34">
                  <c:v>1.5786228635175967E-2</c:v>
                </c:pt>
                <c:pt idx="35">
                  <c:v>1.2784252193693705E-2</c:v>
                </c:pt>
                <c:pt idx="36">
                  <c:v>1.4713307484241718E-2</c:v>
                </c:pt>
                <c:pt idx="37">
                  <c:v>8.9144149813280109E-3</c:v>
                </c:pt>
                <c:pt idx="38">
                  <c:v>8.7848663391175089E-3</c:v>
                </c:pt>
                <c:pt idx="39">
                  <c:v>9.6122992811320529E-3</c:v>
                </c:pt>
                <c:pt idx="40">
                  <c:v>1.0042000310466617E-2</c:v>
                </c:pt>
                <c:pt idx="41">
                  <c:v>6.9137656774152173E-3</c:v>
                </c:pt>
                <c:pt idx="42">
                  <c:v>7.9494454919984484E-3</c:v>
                </c:pt>
                <c:pt idx="43">
                  <c:v>6.2755936651634906E-3</c:v>
                </c:pt>
                <c:pt idx="44">
                  <c:v>4.5473090594118602E-3</c:v>
                </c:pt>
                <c:pt idx="45">
                  <c:v>4.9140321895627453E-3</c:v>
                </c:pt>
                <c:pt idx="46">
                  <c:v>4.3164096242001909E-3</c:v>
                </c:pt>
                <c:pt idx="47">
                  <c:v>4.1000990573681765E-3</c:v>
                </c:pt>
                <c:pt idx="48">
                  <c:v>3.2878891281051662E-3</c:v>
                </c:pt>
                <c:pt idx="49">
                  <c:v>3.1157810157678174E-3</c:v>
                </c:pt>
                <c:pt idx="50">
                  <c:v>2.8965795691688976E-3</c:v>
                </c:pt>
                <c:pt idx="51">
                  <c:v>1.9359609516026322E-3</c:v>
                </c:pt>
                <c:pt idx="52">
                  <c:v>3.3762909615571591E-3</c:v>
                </c:pt>
                <c:pt idx="53">
                  <c:v>2.0282708166797013E-3</c:v>
                </c:pt>
                <c:pt idx="54">
                  <c:v>1.6903344845602085E-3</c:v>
                </c:pt>
                <c:pt idx="55">
                  <c:v>1.3343789135535757E-3</c:v>
                </c:pt>
                <c:pt idx="56">
                  <c:v>1.6073088724895602E-3</c:v>
                </c:pt>
                <c:pt idx="57">
                  <c:v>1.4222930264675992E-3</c:v>
                </c:pt>
                <c:pt idx="58">
                  <c:v>1.4106380623765348E-3</c:v>
                </c:pt>
                <c:pt idx="59">
                  <c:v>1.046631638016137E-3</c:v>
                </c:pt>
                <c:pt idx="60">
                  <c:v>1.2018560956647895E-3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topLeftCell="A88" workbookViewId="0">
      <selection activeCell="E106" sqref="E106"/>
    </sheetView>
  </sheetViews>
  <sheetFormatPr defaultRowHeight="15" x14ac:dyDescent="0.25"/>
  <cols>
    <col min="1" max="1" width="13.5703125" customWidth="1" collapsed="1"/>
    <col min="2" max="2" width="11.5703125" bestFit="1" customWidth="1" collapsed="1"/>
    <col min="6" max="6" width="11.5703125" bestFit="1" customWidth="1" collapsed="1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1">
        <v>52948.7990929593</v>
      </c>
      <c r="C11" s="11">
        <f>B11/B$102</f>
        <v>4.8818074454357388E-2</v>
      </c>
      <c r="E11" s="19">
        <v>0</v>
      </c>
      <c r="F11" s="343">
        <v>146896.26806665282</v>
      </c>
      <c r="G11" s="11">
        <f>F11/F$102</f>
        <v>0.1343754549955033</v>
      </c>
      <c r="K11" s="8">
        <v>6.4462027041598473</v>
      </c>
      <c r="L11" s="8">
        <v>7.8153326578978621</v>
      </c>
    </row>
    <row r="12" spans="1:12" x14ac:dyDescent="0.25">
      <c r="A12">
        <v>1</v>
      </c>
      <c r="B12" s="341">
        <v>90943.849128835296</v>
      </c>
      <c r="C12" s="11">
        <f>B12/B$102</f>
        <v>8.3848995142321969E-2</v>
      </c>
      <c r="E12" s="20">
        <v>1</v>
      </c>
      <c r="F12" s="343">
        <v>92162.194356132371</v>
      </c>
      <c r="G12" s="11">
        <f>F12/F$102</f>
        <v>8.4306680918333571E-2</v>
      </c>
      <c r="K12" s="8"/>
      <c r="L12" s="289"/>
    </row>
    <row r="13" spans="1:12" x14ac:dyDescent="0.25">
      <c r="A13">
        <v>2</v>
      </c>
      <c r="B13" s="341">
        <v>105270.4191231009</v>
      </c>
      <c r="C13" s="11">
        <f t="shared" ref="C13:C76" si="0">B13/B$102</f>
        <v>9.7057898321178407E-2</v>
      </c>
      <c r="E13" s="21">
        <v>2</v>
      </c>
      <c r="F13" s="343">
        <v>55748.692189532099</v>
      </c>
      <c r="G13" s="11">
        <f t="shared" ref="G13:G76" si="1">F13/F$102</f>
        <v>5.0996910792679553E-2</v>
      </c>
    </row>
    <row r="14" spans="1:12" x14ac:dyDescent="0.25">
      <c r="A14">
        <v>3</v>
      </c>
      <c r="B14" s="341">
        <v>115150.336610777</v>
      </c>
      <c r="C14" s="11">
        <f t="shared" si="0"/>
        <v>0.10616704821274628</v>
      </c>
      <c r="E14" s="22">
        <v>3</v>
      </c>
      <c r="F14" s="343">
        <v>32610.628778689425</v>
      </c>
      <c r="G14" s="11">
        <f t="shared" si="1"/>
        <v>2.9831037489921271E-2</v>
      </c>
    </row>
    <row r="15" spans="1:12" x14ac:dyDescent="0.25">
      <c r="A15">
        <v>4</v>
      </c>
      <c r="B15" s="341">
        <v>179556.49969022919</v>
      </c>
      <c r="C15" s="11">
        <f t="shared" si="0"/>
        <v>0.16554865683076439</v>
      </c>
      <c r="E15" s="23">
        <v>4</v>
      </c>
      <c r="F15" s="343">
        <v>157439.17133977526</v>
      </c>
      <c r="G15" s="11">
        <f t="shared" si="1"/>
        <v>0.14401972603754631</v>
      </c>
    </row>
    <row r="16" spans="1:12" x14ac:dyDescent="0.25">
      <c r="A16">
        <v>5</v>
      </c>
      <c r="B16" s="341">
        <v>110231.59422543101</v>
      </c>
      <c r="C16" s="11">
        <f t="shared" si="0"/>
        <v>0.10163203446166852</v>
      </c>
      <c r="E16" s="24">
        <v>5</v>
      </c>
      <c r="F16" s="343">
        <v>91547.146065348788</v>
      </c>
      <c r="G16" s="11">
        <f t="shared" si="1"/>
        <v>8.3744056727766997E-2</v>
      </c>
    </row>
    <row r="17" spans="1:7" x14ac:dyDescent="0.25">
      <c r="A17">
        <v>6</v>
      </c>
      <c r="B17" s="341">
        <v>118783.72374893109</v>
      </c>
      <c r="C17" s="11">
        <f t="shared" si="0"/>
        <v>0.10951698186318666</v>
      </c>
      <c r="E17" s="25">
        <v>6</v>
      </c>
      <c r="F17" s="343">
        <v>84554.796201738107</v>
      </c>
      <c r="G17" s="11">
        <f t="shared" si="1"/>
        <v>7.7347705024780944E-2</v>
      </c>
    </row>
    <row r="18" spans="1:7" x14ac:dyDescent="0.25">
      <c r="A18">
        <v>7</v>
      </c>
      <c r="B18" s="341">
        <v>39994.257051987202</v>
      </c>
      <c r="C18" s="11">
        <f t="shared" si="0"/>
        <v>3.6874162435352367E-2</v>
      </c>
      <c r="E18" s="26">
        <v>7</v>
      </c>
      <c r="F18" s="343">
        <v>44489.847145612926</v>
      </c>
      <c r="G18" s="11">
        <f t="shared" si="1"/>
        <v>4.0697721811145754E-2</v>
      </c>
    </row>
    <row r="19" spans="1:7" x14ac:dyDescent="0.25">
      <c r="A19">
        <v>8</v>
      </c>
      <c r="B19" s="341">
        <v>40096.440764986102</v>
      </c>
      <c r="C19" s="11">
        <f t="shared" si="0"/>
        <v>3.696837443250163E-2</v>
      </c>
      <c r="E19" s="27">
        <v>8</v>
      </c>
      <c r="F19" s="343">
        <v>62071.532839627725</v>
      </c>
      <c r="G19" s="11">
        <f t="shared" si="1"/>
        <v>5.6780819399773301E-2</v>
      </c>
    </row>
    <row r="20" spans="1:7" x14ac:dyDescent="0.25">
      <c r="A20">
        <v>9</v>
      </c>
      <c r="B20" s="341">
        <v>25847.578168481101</v>
      </c>
      <c r="C20" s="11">
        <f t="shared" si="0"/>
        <v>2.3831116420193196E-2</v>
      </c>
      <c r="E20" s="28">
        <v>9</v>
      </c>
      <c r="F20" s="343">
        <v>37764.332436851466</v>
      </c>
      <c r="G20" s="11">
        <f t="shared" si="1"/>
        <v>3.4545461369384869E-2</v>
      </c>
    </row>
    <row r="21" spans="1:7" x14ac:dyDescent="0.25">
      <c r="A21">
        <v>10</v>
      </c>
      <c r="B21" s="341">
        <v>50274.7819215255</v>
      </c>
      <c r="C21" s="11">
        <f t="shared" si="0"/>
        <v>4.6352666898312481E-2</v>
      </c>
      <c r="E21" s="29">
        <v>10</v>
      </c>
      <c r="F21" s="343">
        <v>25663.138735891036</v>
      </c>
      <c r="G21" s="11">
        <f t="shared" si="1"/>
        <v>2.3475721947431367E-2</v>
      </c>
    </row>
    <row r="22" spans="1:7" x14ac:dyDescent="0.25">
      <c r="A22">
        <v>11</v>
      </c>
      <c r="B22" s="341">
        <v>11197.020714419699</v>
      </c>
      <c r="C22" s="11">
        <f t="shared" si="0"/>
        <v>1.0323501198655277E-2</v>
      </c>
      <c r="E22" s="30">
        <v>11</v>
      </c>
      <c r="F22" s="343">
        <v>27395.616031164569</v>
      </c>
      <c r="G22" s="11">
        <f t="shared" si="1"/>
        <v>2.5060530247095779E-2</v>
      </c>
    </row>
    <row r="23" spans="1:7" x14ac:dyDescent="0.25">
      <c r="A23">
        <v>12</v>
      </c>
      <c r="B23" s="341">
        <v>27854.586287525301</v>
      </c>
      <c r="C23" s="11">
        <f t="shared" si="0"/>
        <v>2.568155067865455E-2</v>
      </c>
      <c r="E23" s="31">
        <v>12</v>
      </c>
      <c r="F23" s="343">
        <v>24672.53154830313</v>
      </c>
      <c r="G23" s="11">
        <f t="shared" si="1"/>
        <v>2.2569549902995617E-2</v>
      </c>
    </row>
    <row r="24" spans="1:7" x14ac:dyDescent="0.25">
      <c r="A24">
        <v>13</v>
      </c>
      <c r="B24" s="341">
        <v>8348.0388198341007</v>
      </c>
      <c r="C24" s="11">
        <f t="shared" si="0"/>
        <v>7.6967785414554868E-3</v>
      </c>
      <c r="E24" s="32">
        <v>13</v>
      </c>
      <c r="F24" s="343">
        <v>20223.835567288421</v>
      </c>
      <c r="G24" s="11">
        <f t="shared" si="1"/>
        <v>1.8500041845008235E-2</v>
      </c>
    </row>
    <row r="25" spans="1:7" x14ac:dyDescent="0.25">
      <c r="A25">
        <v>14</v>
      </c>
      <c r="B25" s="341">
        <v>10446.3801021703</v>
      </c>
      <c r="C25" s="11">
        <f t="shared" si="0"/>
        <v>9.6314207374361242E-3</v>
      </c>
      <c r="E25" s="33">
        <v>14</v>
      </c>
      <c r="F25" s="343">
        <v>23998.986186223901</v>
      </c>
      <c r="G25" s="11">
        <f t="shared" si="1"/>
        <v>2.1953414682675112E-2</v>
      </c>
    </row>
    <row r="26" spans="1:7" x14ac:dyDescent="0.25">
      <c r="A26">
        <v>15</v>
      </c>
      <c r="B26" s="341">
        <v>18730.7674835545</v>
      </c>
      <c r="C26" s="11">
        <f t="shared" si="0"/>
        <v>1.7269513516143361E-2</v>
      </c>
      <c r="E26" s="34">
        <v>15</v>
      </c>
      <c r="F26" s="343">
        <v>19157.264143862372</v>
      </c>
      <c r="G26" s="11">
        <f t="shared" si="1"/>
        <v>1.7524380433085594E-2</v>
      </c>
    </row>
    <row r="27" spans="1:7" x14ac:dyDescent="0.25">
      <c r="A27">
        <v>16</v>
      </c>
      <c r="B27" s="341">
        <v>18685.6150767775</v>
      </c>
      <c r="C27" s="11">
        <f t="shared" si="0"/>
        <v>1.7227883609637583E-2</v>
      </c>
      <c r="E27" s="35">
        <v>16</v>
      </c>
      <c r="F27" s="343">
        <v>30721.890082589009</v>
      </c>
      <c r="G27" s="11">
        <f t="shared" si="1"/>
        <v>2.8103286846583298E-2</v>
      </c>
    </row>
    <row r="28" spans="1:7" x14ac:dyDescent="0.25">
      <c r="A28">
        <v>17</v>
      </c>
      <c r="B28" s="341">
        <v>7234.9273183759997</v>
      </c>
      <c r="C28" s="11">
        <f t="shared" si="0"/>
        <v>6.6705048377066738E-3</v>
      </c>
      <c r="E28" s="36">
        <v>17</v>
      </c>
      <c r="F28" s="343">
        <v>13684.877044518884</v>
      </c>
      <c r="G28" s="11">
        <f t="shared" si="1"/>
        <v>1.2518436333456439E-2</v>
      </c>
    </row>
    <row r="29" spans="1:7" x14ac:dyDescent="0.25">
      <c r="A29">
        <v>18</v>
      </c>
      <c r="B29" s="341">
        <v>8454.7766453539007</v>
      </c>
      <c r="C29" s="11">
        <f t="shared" si="0"/>
        <v>7.7951893685674224E-3</v>
      </c>
      <c r="E29" s="37">
        <v>18</v>
      </c>
      <c r="F29" s="343">
        <v>13363.228881485884</v>
      </c>
      <c r="G29" s="11">
        <f t="shared" si="1"/>
        <v>1.2224204091719596E-2</v>
      </c>
    </row>
    <row r="30" spans="1:7" x14ac:dyDescent="0.25">
      <c r="A30">
        <v>19</v>
      </c>
      <c r="B30" s="341">
        <v>2832.1153928233002</v>
      </c>
      <c r="C30" s="11">
        <f t="shared" si="0"/>
        <v>2.6111719713878072E-3</v>
      </c>
      <c r="E30" s="38">
        <v>19</v>
      </c>
      <c r="F30" s="343">
        <v>10178.097524218174</v>
      </c>
      <c r="G30" s="11">
        <f t="shared" si="1"/>
        <v>9.3105597834850888E-3</v>
      </c>
    </row>
    <row r="31" spans="1:7" x14ac:dyDescent="0.25">
      <c r="A31">
        <v>20</v>
      </c>
      <c r="B31" s="341">
        <v>3668.4584593364998</v>
      </c>
      <c r="C31" s="11">
        <f t="shared" si="0"/>
        <v>3.382268932789072E-3</v>
      </c>
      <c r="E31" s="39">
        <v>20</v>
      </c>
      <c r="F31" s="343">
        <v>9498.6315520701974</v>
      </c>
      <c r="G31" s="11">
        <f t="shared" si="1"/>
        <v>8.6890086007149585E-3</v>
      </c>
    </row>
    <row r="32" spans="1:7" x14ac:dyDescent="0.25">
      <c r="A32">
        <v>21</v>
      </c>
      <c r="B32" s="341">
        <v>907.47061901229995</v>
      </c>
      <c r="C32" s="11">
        <f t="shared" si="0"/>
        <v>8.3667559988107498E-4</v>
      </c>
      <c r="E32" s="40">
        <v>21</v>
      </c>
      <c r="F32" s="343">
        <v>7058.2892393565526</v>
      </c>
      <c r="G32" s="11">
        <f t="shared" si="1"/>
        <v>6.4566706868144962E-3</v>
      </c>
    </row>
    <row r="33" spans="1:7" x14ac:dyDescent="0.25">
      <c r="A33">
        <v>22</v>
      </c>
      <c r="B33" s="341">
        <v>2522.7007786869999</v>
      </c>
      <c r="C33" s="11">
        <f t="shared" si="0"/>
        <v>2.3258958947075204E-3</v>
      </c>
      <c r="E33" s="41">
        <v>22</v>
      </c>
      <c r="F33" s="343">
        <v>7284.7093528251853</v>
      </c>
      <c r="G33" s="11">
        <f t="shared" si="1"/>
        <v>6.6637917128821956E-3</v>
      </c>
    </row>
    <row r="34" spans="1:7" x14ac:dyDescent="0.25">
      <c r="A34">
        <v>23</v>
      </c>
      <c r="B34" s="341">
        <v>1988.8132901981</v>
      </c>
      <c r="C34" s="11">
        <f t="shared" si="0"/>
        <v>1.8336588730983434E-3</v>
      </c>
      <c r="E34" s="42">
        <v>23</v>
      </c>
      <c r="F34" s="343">
        <v>7211.9343864329412</v>
      </c>
      <c r="G34" s="11">
        <f t="shared" si="1"/>
        <v>6.5972197750790986E-3</v>
      </c>
    </row>
    <row r="35" spans="1:7" x14ac:dyDescent="0.25">
      <c r="A35">
        <v>24</v>
      </c>
      <c r="B35" s="341">
        <v>10809.509325089</v>
      </c>
      <c r="C35" s="11">
        <f t="shared" si="0"/>
        <v>9.9662209547153723E-3</v>
      </c>
      <c r="E35" s="43">
        <v>24</v>
      </c>
      <c r="F35" s="343">
        <v>6365.1010667912633</v>
      </c>
      <c r="G35" s="11">
        <f t="shared" si="1"/>
        <v>5.822566925623658E-3</v>
      </c>
    </row>
    <row r="36" spans="1:7" x14ac:dyDescent="0.25">
      <c r="A36">
        <v>25</v>
      </c>
      <c r="B36" s="341">
        <v>1546.810699568</v>
      </c>
      <c r="C36" s="11">
        <f t="shared" si="0"/>
        <v>1.4261384807941428E-3</v>
      </c>
      <c r="E36" s="44">
        <v>25</v>
      </c>
      <c r="F36" s="343">
        <v>5174.5023952120155</v>
      </c>
      <c r="G36" s="11">
        <f t="shared" si="1"/>
        <v>4.733449820634234E-3</v>
      </c>
    </row>
    <row r="37" spans="1:7" x14ac:dyDescent="0.25">
      <c r="A37">
        <v>26</v>
      </c>
      <c r="B37" s="341">
        <v>774.7254652844</v>
      </c>
      <c r="C37" s="11">
        <f t="shared" si="0"/>
        <v>7.1428636897960507E-4</v>
      </c>
      <c r="E37" s="45">
        <v>26</v>
      </c>
      <c r="F37" s="343">
        <v>4563.5342240754135</v>
      </c>
      <c r="G37" s="11">
        <f t="shared" si="1"/>
        <v>4.1745579776706013E-3</v>
      </c>
    </row>
    <row r="38" spans="1:7" x14ac:dyDescent="0.25">
      <c r="A38">
        <v>27</v>
      </c>
      <c r="B38" s="341">
        <v>2085.1968758019998</v>
      </c>
      <c r="C38" s="11">
        <f t="shared" si="0"/>
        <v>1.922523231474599E-3</v>
      </c>
      <c r="E38" s="46">
        <v>27</v>
      </c>
      <c r="F38" s="343">
        <v>6105.619127421819</v>
      </c>
      <c r="G38" s="11">
        <f t="shared" si="1"/>
        <v>5.5852021230674504E-3</v>
      </c>
    </row>
    <row r="39" spans="1:7" x14ac:dyDescent="0.25">
      <c r="A39">
        <v>28</v>
      </c>
      <c r="B39" s="341">
        <v>638.52520720000007</v>
      </c>
      <c r="C39" s="11">
        <f t="shared" si="0"/>
        <v>5.8871157873377565E-4</v>
      </c>
      <c r="E39" s="47">
        <v>28</v>
      </c>
      <c r="F39" s="343">
        <v>3089.850827390635</v>
      </c>
      <c r="G39" s="11">
        <f t="shared" si="1"/>
        <v>2.8264850854512907E-3</v>
      </c>
    </row>
    <row r="40" spans="1:7" x14ac:dyDescent="0.25">
      <c r="A40">
        <v>29</v>
      </c>
      <c r="B40" s="341">
        <v>550.75757834980004</v>
      </c>
      <c r="C40" s="11">
        <f t="shared" si="0"/>
        <v>5.0779101559939466E-4</v>
      </c>
      <c r="E40" s="48">
        <v>29</v>
      </c>
      <c r="F40" s="343">
        <v>3444.0354683684741</v>
      </c>
      <c r="G40" s="11">
        <f t="shared" si="1"/>
        <v>3.1504805341458814E-3</v>
      </c>
    </row>
    <row r="41" spans="1:7" x14ac:dyDescent="0.25">
      <c r="A41">
        <v>30</v>
      </c>
      <c r="B41" s="341">
        <v>0</v>
      </c>
      <c r="C41" s="11">
        <f t="shared" si="0"/>
        <v>0</v>
      </c>
      <c r="E41" s="49">
        <v>30</v>
      </c>
      <c r="F41" s="343">
        <v>2737.2720155982074</v>
      </c>
      <c r="G41" s="11">
        <f t="shared" si="1"/>
        <v>2.5039585918926925E-3</v>
      </c>
    </row>
    <row r="42" spans="1:7" x14ac:dyDescent="0.25">
      <c r="A42">
        <v>31</v>
      </c>
      <c r="B42" s="341">
        <v>1503.265838949</v>
      </c>
      <c r="C42" s="11">
        <f t="shared" si="0"/>
        <v>1.385990710037891E-3</v>
      </c>
      <c r="E42" s="50">
        <v>31</v>
      </c>
      <c r="F42" s="343">
        <v>2714.2962830971032</v>
      </c>
      <c r="G42" s="11">
        <f t="shared" si="1"/>
        <v>2.4829412131033963E-3</v>
      </c>
    </row>
    <row r="43" spans="1:7" x14ac:dyDescent="0.25">
      <c r="A43">
        <v>32</v>
      </c>
      <c r="B43" s="341">
        <v>0</v>
      </c>
      <c r="C43" s="11">
        <f t="shared" si="0"/>
        <v>0</v>
      </c>
      <c r="E43" s="51">
        <v>32</v>
      </c>
      <c r="F43" s="343">
        <v>1552.9767363372885</v>
      </c>
      <c r="G43" s="11">
        <f t="shared" si="1"/>
        <v>1.4206076048716729E-3</v>
      </c>
    </row>
    <row r="44" spans="1:7" x14ac:dyDescent="0.25">
      <c r="A44">
        <v>33</v>
      </c>
      <c r="B44" s="341">
        <v>771.22484500600001</v>
      </c>
      <c r="C44" s="11">
        <f t="shared" si="0"/>
        <v>7.1105884457272792E-4</v>
      </c>
      <c r="E44" s="52">
        <v>33</v>
      </c>
      <c r="F44" s="343">
        <v>1999.6328121050469</v>
      </c>
      <c r="G44" s="11">
        <f t="shared" si="1"/>
        <v>1.8291926165791535E-3</v>
      </c>
    </row>
    <row r="45" spans="1:7" x14ac:dyDescent="0.25">
      <c r="A45">
        <v>34</v>
      </c>
      <c r="B45" s="341">
        <v>936.21297454799992</v>
      </c>
      <c r="C45" s="11">
        <f t="shared" si="0"/>
        <v>8.6317566176296939E-4</v>
      </c>
      <c r="E45" s="53">
        <v>34</v>
      </c>
      <c r="F45" s="343">
        <v>1140.6500259772183</v>
      </c>
      <c r="G45" s="11">
        <f t="shared" si="1"/>
        <v>1.0434258694834513E-3</v>
      </c>
    </row>
    <row r="46" spans="1:7" x14ac:dyDescent="0.25">
      <c r="A46">
        <v>35</v>
      </c>
      <c r="B46" s="341">
        <v>321.97309461639998</v>
      </c>
      <c r="C46" s="11">
        <f t="shared" si="0"/>
        <v>2.9685482531318323E-4</v>
      </c>
      <c r="E46" s="54">
        <v>35</v>
      </c>
      <c r="F46" s="343">
        <v>962.80949744986731</v>
      </c>
      <c r="G46" s="11">
        <f t="shared" si="1"/>
        <v>8.807437111684398E-4</v>
      </c>
    </row>
    <row r="47" spans="1:7" x14ac:dyDescent="0.25">
      <c r="A47">
        <v>36</v>
      </c>
      <c r="B47" s="341">
        <v>727.46788121199995</v>
      </c>
      <c r="C47" s="11">
        <f t="shared" si="0"/>
        <v>6.707155175665416E-4</v>
      </c>
      <c r="E47" s="55">
        <v>36</v>
      </c>
      <c r="F47" s="343">
        <v>1346.9363200164075</v>
      </c>
      <c r="G47" s="11">
        <f t="shared" si="1"/>
        <v>1.2321291972512787E-3</v>
      </c>
    </row>
    <row r="48" spans="1:7" x14ac:dyDescent="0.25">
      <c r="A48">
        <v>37</v>
      </c>
      <c r="B48" s="341">
        <v>637.72336897260004</v>
      </c>
      <c r="C48" s="11">
        <f t="shared" si="0"/>
        <v>5.8797229476594025E-4</v>
      </c>
      <c r="E48" s="56">
        <v>37</v>
      </c>
      <c r="F48" s="343">
        <v>1025.6919492514219</v>
      </c>
      <c r="G48" s="11">
        <f t="shared" si="1"/>
        <v>9.3826633024704476E-4</v>
      </c>
    </row>
    <row r="49" spans="1:7" x14ac:dyDescent="0.25">
      <c r="A49">
        <v>38</v>
      </c>
      <c r="B49" s="341">
        <v>627.26996035499997</v>
      </c>
      <c r="C49" s="11">
        <f t="shared" si="0"/>
        <v>5.7833439383262754E-4</v>
      </c>
      <c r="E49" s="57">
        <v>38</v>
      </c>
      <c r="F49" s="343">
        <v>678.54381383006898</v>
      </c>
      <c r="G49" s="11">
        <f t="shared" si="1"/>
        <v>6.2070762530486948E-4</v>
      </c>
    </row>
    <row r="50" spans="1:7" x14ac:dyDescent="0.25">
      <c r="A50">
        <v>39</v>
      </c>
      <c r="B50" s="341">
        <v>341.85730558419999</v>
      </c>
      <c r="C50" s="11">
        <f t="shared" si="0"/>
        <v>3.1518779807405723E-4</v>
      </c>
      <c r="E50" s="58">
        <v>39</v>
      </c>
      <c r="F50" s="343">
        <v>635.04610119230711</v>
      </c>
      <c r="G50" s="11">
        <f t="shared" si="1"/>
        <v>5.8091747267613979E-4</v>
      </c>
    </row>
    <row r="51" spans="1:7" x14ac:dyDescent="0.25">
      <c r="A51">
        <v>40</v>
      </c>
      <c r="B51" s="341">
        <v>0</v>
      </c>
      <c r="C51" s="11">
        <f t="shared" si="0"/>
        <v>0</v>
      </c>
      <c r="E51" s="59">
        <v>40</v>
      </c>
      <c r="F51" s="343">
        <v>772.36450662744846</v>
      </c>
      <c r="G51" s="11">
        <f t="shared" si="1"/>
        <v>7.0653144131169133E-4</v>
      </c>
    </row>
    <row r="52" spans="1:7" x14ac:dyDescent="0.25">
      <c r="A52">
        <v>41</v>
      </c>
      <c r="B52" s="341">
        <v>596.97480037000003</v>
      </c>
      <c r="C52" s="11">
        <f t="shared" si="0"/>
        <v>5.5040266731399808E-4</v>
      </c>
      <c r="E52" s="60">
        <v>41</v>
      </c>
      <c r="F52" s="343">
        <v>612.00523870964719</v>
      </c>
      <c r="G52" s="11">
        <f t="shared" si="1"/>
        <v>5.5984051530788711E-4</v>
      </c>
    </row>
    <row r="53" spans="1:7" x14ac:dyDescent="0.25">
      <c r="A53">
        <v>42</v>
      </c>
      <c r="B53" s="341">
        <v>133.5805418631</v>
      </c>
      <c r="C53" s="11">
        <f t="shared" si="0"/>
        <v>1.2315944742915516E-4</v>
      </c>
      <c r="E53" s="61">
        <v>42</v>
      </c>
      <c r="F53" s="343">
        <v>500.52505062732905</v>
      </c>
      <c r="G53" s="11">
        <f t="shared" si="1"/>
        <v>4.5786242428008341E-4</v>
      </c>
    </row>
    <row r="54" spans="1:7" x14ac:dyDescent="0.25">
      <c r="A54">
        <v>43</v>
      </c>
      <c r="B54" s="341">
        <v>1706.890736692</v>
      </c>
      <c r="C54" s="11">
        <f t="shared" si="0"/>
        <v>1.5737301033587209E-3</v>
      </c>
      <c r="E54" s="62">
        <v>43</v>
      </c>
      <c r="F54" s="343">
        <v>260.05874715606717</v>
      </c>
      <c r="G54" s="11">
        <f t="shared" si="1"/>
        <v>2.3789244570053252E-4</v>
      </c>
    </row>
    <row r="55" spans="1:7" x14ac:dyDescent="0.25">
      <c r="A55">
        <v>44</v>
      </c>
      <c r="B55" s="341">
        <v>660.27595783100003</v>
      </c>
      <c r="C55" s="11">
        <f t="shared" si="0"/>
        <v>6.0876547574243345E-4</v>
      </c>
      <c r="E55" s="63">
        <v>44</v>
      </c>
      <c r="F55" s="343">
        <v>399.55730835649621</v>
      </c>
      <c r="G55" s="11">
        <f t="shared" si="1"/>
        <v>3.655007428971656E-4</v>
      </c>
    </row>
    <row r="56" spans="1:7" x14ac:dyDescent="0.25">
      <c r="A56">
        <v>45</v>
      </c>
      <c r="B56" s="341">
        <v>617.66657806199999</v>
      </c>
      <c r="C56" s="11">
        <f t="shared" si="0"/>
        <v>5.6948020563904347E-4</v>
      </c>
      <c r="E56" s="64">
        <v>45</v>
      </c>
      <c r="F56" s="343">
        <v>251.77413328548499</v>
      </c>
      <c r="G56" s="11">
        <f t="shared" si="1"/>
        <v>2.3031397707792318E-4</v>
      </c>
    </row>
    <row r="57" spans="1:7" x14ac:dyDescent="0.25">
      <c r="A57">
        <v>46</v>
      </c>
      <c r="B57" s="341">
        <v>0</v>
      </c>
      <c r="C57" s="11">
        <f t="shared" si="0"/>
        <v>0</v>
      </c>
      <c r="E57" s="65">
        <v>46</v>
      </c>
      <c r="F57" s="343">
        <v>260.87981269536743</v>
      </c>
      <c r="G57" s="11">
        <f t="shared" si="1"/>
        <v>2.3864352710564036E-4</v>
      </c>
    </row>
    <row r="58" spans="1:7" x14ac:dyDescent="0.25">
      <c r="A58">
        <v>47</v>
      </c>
      <c r="B58" s="341">
        <v>405.12106336599999</v>
      </c>
      <c r="C58" s="11">
        <f t="shared" si="0"/>
        <v>3.735161245056385E-4</v>
      </c>
      <c r="E58" s="66">
        <v>47</v>
      </c>
      <c r="F58" s="343">
        <v>212.35457193531334</v>
      </c>
      <c r="G58" s="11">
        <f t="shared" si="1"/>
        <v>1.942543714673232E-4</v>
      </c>
    </row>
    <row r="59" spans="1:7" x14ac:dyDescent="0.25">
      <c r="A59">
        <v>48</v>
      </c>
      <c r="B59" s="341">
        <v>0</v>
      </c>
      <c r="C59" s="11">
        <f t="shared" si="0"/>
        <v>0</v>
      </c>
      <c r="E59" s="67">
        <v>48</v>
      </c>
      <c r="F59" s="343">
        <v>129.32285030680731</v>
      </c>
      <c r="G59" s="11">
        <f t="shared" si="1"/>
        <v>1.1829992061750385E-4</v>
      </c>
    </row>
    <row r="60" spans="1:7" x14ac:dyDescent="0.25">
      <c r="A60">
        <v>49</v>
      </c>
      <c r="B60" s="341">
        <v>0</v>
      </c>
      <c r="C60" s="11">
        <f t="shared" si="0"/>
        <v>0</v>
      </c>
      <c r="E60" s="68">
        <v>49</v>
      </c>
      <c r="F60" s="343">
        <v>119.18802870690519</v>
      </c>
      <c r="G60" s="11">
        <f t="shared" si="1"/>
        <v>1.0902894810261896E-4</v>
      </c>
    </row>
    <row r="61" spans="1:7" x14ac:dyDescent="0.25">
      <c r="A61">
        <v>50</v>
      </c>
      <c r="B61" s="341">
        <v>0</v>
      </c>
      <c r="C61" s="11">
        <f t="shared" si="0"/>
        <v>0</v>
      </c>
      <c r="E61" s="69">
        <v>50</v>
      </c>
      <c r="F61" s="343">
        <v>121.13358277780718</v>
      </c>
      <c r="G61" s="11">
        <f t="shared" si="1"/>
        <v>1.1080867141987291E-4</v>
      </c>
    </row>
    <row r="62" spans="1:7" x14ac:dyDescent="0.25">
      <c r="A62">
        <v>51</v>
      </c>
      <c r="B62" s="341">
        <v>0</v>
      </c>
      <c r="C62" s="11">
        <f t="shared" si="0"/>
        <v>0</v>
      </c>
      <c r="E62" s="70">
        <v>51</v>
      </c>
      <c r="F62" s="343">
        <v>171.02794074157794</v>
      </c>
      <c r="G62" s="11">
        <f t="shared" si="1"/>
        <v>1.5645024653496069E-4</v>
      </c>
    </row>
    <row r="63" spans="1:7" x14ac:dyDescent="0.25">
      <c r="A63">
        <v>52</v>
      </c>
      <c r="B63" s="341">
        <v>181.031838601</v>
      </c>
      <c r="C63" s="11">
        <f t="shared" si="0"/>
        <v>1.6690889929188183E-4</v>
      </c>
      <c r="E63" s="71">
        <v>52</v>
      </c>
      <c r="F63" s="343">
        <v>88.762829169344428</v>
      </c>
      <c r="G63" s="11">
        <f t="shared" si="1"/>
        <v>8.119706316097E-5</v>
      </c>
    </row>
    <row r="64" spans="1:7" x14ac:dyDescent="0.25">
      <c r="A64">
        <v>53</v>
      </c>
      <c r="B64" s="341">
        <v>39.151972034499998</v>
      </c>
      <c r="C64" s="11">
        <f t="shared" si="0"/>
        <v>3.6097587075762241E-5</v>
      </c>
      <c r="E64" s="72">
        <v>53</v>
      </c>
      <c r="F64" s="343">
        <v>38.445302307474861</v>
      </c>
      <c r="G64" s="11">
        <f t="shared" si="1"/>
        <v>3.5168388264721161E-5</v>
      </c>
    </row>
    <row r="65" spans="1:7" x14ac:dyDescent="0.25">
      <c r="A65">
        <v>54</v>
      </c>
      <c r="B65" s="341">
        <v>667.66368733900003</v>
      </c>
      <c r="C65" s="11">
        <f t="shared" si="0"/>
        <v>6.1557686212604184E-4</v>
      </c>
      <c r="E65" s="73">
        <v>54</v>
      </c>
      <c r="F65" s="343">
        <v>52.748585211426089</v>
      </c>
      <c r="G65" s="11">
        <f t="shared" si="1"/>
        <v>4.8252520172522628E-5</v>
      </c>
    </row>
    <row r="66" spans="1:7" x14ac:dyDescent="0.25">
      <c r="A66">
        <v>55</v>
      </c>
      <c r="B66" s="341">
        <v>0</v>
      </c>
      <c r="C66" s="11">
        <f t="shared" si="0"/>
        <v>0</v>
      </c>
      <c r="E66" s="74">
        <v>55</v>
      </c>
      <c r="F66" s="343">
        <v>40.802593598593582</v>
      </c>
      <c r="G66" s="11">
        <f t="shared" si="1"/>
        <v>3.7324754072852429E-5</v>
      </c>
    </row>
    <row r="67" spans="1:7" x14ac:dyDescent="0.25">
      <c r="A67">
        <v>56</v>
      </c>
      <c r="B67" s="341">
        <v>0</v>
      </c>
      <c r="C67" s="11">
        <f t="shared" si="0"/>
        <v>0</v>
      </c>
      <c r="E67" s="75">
        <v>56</v>
      </c>
      <c r="F67" s="343">
        <v>28.006756426432261</v>
      </c>
      <c r="G67" s="11">
        <f t="shared" si="1"/>
        <v>2.5619579634538121E-5</v>
      </c>
    </row>
    <row r="68" spans="1:7" x14ac:dyDescent="0.25">
      <c r="A68">
        <v>57</v>
      </c>
      <c r="B68" s="341">
        <v>542.14004572700003</v>
      </c>
      <c r="C68" s="11">
        <f t="shared" si="0"/>
        <v>4.998457674275878E-4</v>
      </c>
      <c r="E68" s="76">
        <v>57</v>
      </c>
      <c r="F68" s="343">
        <v>26.759568768470761</v>
      </c>
      <c r="G68" s="11">
        <f t="shared" si="1"/>
        <v>2.4478696947666119E-5</v>
      </c>
    </row>
    <row r="69" spans="1:7" x14ac:dyDescent="0.25">
      <c r="A69">
        <v>58</v>
      </c>
      <c r="B69" s="341">
        <v>0</v>
      </c>
      <c r="C69" s="11">
        <f t="shared" si="0"/>
        <v>0</v>
      </c>
      <c r="E69" s="77">
        <v>58</v>
      </c>
      <c r="F69" s="343">
        <v>39.428985801455539</v>
      </c>
      <c r="G69" s="11">
        <f t="shared" si="1"/>
        <v>3.6068226761743044E-5</v>
      </c>
    </row>
    <row r="70" spans="1:7" x14ac:dyDescent="0.25">
      <c r="A70">
        <v>59</v>
      </c>
      <c r="B70" s="341">
        <v>0</v>
      </c>
      <c r="C70" s="11">
        <f t="shared" si="0"/>
        <v>0</v>
      </c>
      <c r="E70" s="78">
        <v>59</v>
      </c>
      <c r="F70" s="343">
        <v>21.150488303629672</v>
      </c>
      <c r="G70" s="11">
        <f t="shared" si="1"/>
        <v>1.934771064359326E-5</v>
      </c>
    </row>
    <row r="71" spans="1:7" x14ac:dyDescent="0.25">
      <c r="A71">
        <v>60</v>
      </c>
      <c r="B71" s="341">
        <v>0</v>
      </c>
      <c r="C71" s="11">
        <f t="shared" si="0"/>
        <v>0</v>
      </c>
      <c r="E71" s="79">
        <v>60</v>
      </c>
      <c r="F71" s="343">
        <v>20.23506559394075</v>
      </c>
      <c r="G71" s="11">
        <f t="shared" si="1"/>
        <v>1.8510314671955299E-5</v>
      </c>
    </row>
    <row r="72" spans="1:7" x14ac:dyDescent="0.25">
      <c r="A72">
        <v>61</v>
      </c>
      <c r="B72" s="341">
        <v>0</v>
      </c>
      <c r="C72" s="11">
        <f t="shared" si="0"/>
        <v>0</v>
      </c>
      <c r="E72" s="80">
        <v>61</v>
      </c>
      <c r="F72" s="343">
        <v>0.75</v>
      </c>
      <c r="G72" s="11">
        <f t="shared" si="1"/>
        <v>6.8607319010241129E-7</v>
      </c>
    </row>
    <row r="73" spans="1:7" x14ac:dyDescent="0.25">
      <c r="A73">
        <v>62</v>
      </c>
      <c r="B73" s="341">
        <v>0</v>
      </c>
      <c r="C73" s="11">
        <f t="shared" si="0"/>
        <v>0</v>
      </c>
      <c r="E73" s="81">
        <v>62</v>
      </c>
      <c r="F73" s="343">
        <v>9.9979931995466416</v>
      </c>
      <c r="G73" s="11">
        <f t="shared" si="1"/>
        <v>9.1458067853802374E-6</v>
      </c>
    </row>
    <row r="74" spans="1:7" x14ac:dyDescent="0.25">
      <c r="A74">
        <v>63</v>
      </c>
      <c r="B74" s="341">
        <v>0</v>
      </c>
      <c r="C74" s="11">
        <f t="shared" si="0"/>
        <v>0</v>
      </c>
      <c r="E74" s="82">
        <v>63</v>
      </c>
      <c r="F74" s="343">
        <v>6.5057306590257902</v>
      </c>
      <c r="G74" s="11">
        <f t="shared" si="1"/>
        <v>5.9512098495798486E-6</v>
      </c>
    </row>
    <row r="75" spans="1:7" x14ac:dyDescent="0.25">
      <c r="A75">
        <v>64</v>
      </c>
      <c r="B75" s="341">
        <v>0</v>
      </c>
      <c r="C75" s="11">
        <f t="shared" si="0"/>
        <v>0</v>
      </c>
      <c r="E75" s="83">
        <v>64</v>
      </c>
      <c r="F75" s="343">
        <v>0</v>
      </c>
      <c r="G75" s="11">
        <f t="shared" si="1"/>
        <v>0</v>
      </c>
    </row>
    <row r="76" spans="1:7" x14ac:dyDescent="0.25">
      <c r="A76">
        <v>65</v>
      </c>
      <c r="B76" s="341">
        <v>0</v>
      </c>
      <c r="C76" s="11">
        <f t="shared" si="0"/>
        <v>0</v>
      </c>
      <c r="E76" s="84">
        <v>65</v>
      </c>
      <c r="F76" s="343">
        <v>0</v>
      </c>
      <c r="G76" s="11">
        <f t="shared" si="1"/>
        <v>0</v>
      </c>
    </row>
    <row r="77" spans="1:7" x14ac:dyDescent="0.25">
      <c r="A77">
        <v>66</v>
      </c>
      <c r="B77" s="341">
        <v>0</v>
      </c>
      <c r="C77" s="11">
        <f t="shared" ref="C77:C102" si="2">B77/B$102</f>
        <v>0</v>
      </c>
      <c r="E77" s="85">
        <v>66</v>
      </c>
      <c r="F77" s="343">
        <v>19.980765751094701</v>
      </c>
      <c r="G77" s="11">
        <f t="shared" ref="G77:G102" si="3">F77/F$102</f>
        <v>1.8277690266056724E-5</v>
      </c>
    </row>
    <row r="78" spans="1:7" x14ac:dyDescent="0.25">
      <c r="A78">
        <v>67</v>
      </c>
      <c r="B78" s="341">
        <v>0</v>
      </c>
      <c r="C78" s="11">
        <f t="shared" si="2"/>
        <v>0</v>
      </c>
      <c r="E78" s="86">
        <v>67</v>
      </c>
      <c r="F78" s="343">
        <v>0</v>
      </c>
      <c r="G78" s="11">
        <f t="shared" si="3"/>
        <v>0</v>
      </c>
    </row>
    <row r="79" spans="1:7" x14ac:dyDescent="0.25">
      <c r="A79">
        <v>68</v>
      </c>
      <c r="B79" s="341">
        <v>0</v>
      </c>
      <c r="C79" s="11">
        <f t="shared" si="2"/>
        <v>0</v>
      </c>
      <c r="E79" s="87">
        <v>68</v>
      </c>
      <c r="F79" s="343">
        <v>9.9444444444444393</v>
      </c>
      <c r="G79" s="11">
        <f t="shared" si="3"/>
        <v>9.0968222983949292E-6</v>
      </c>
    </row>
    <row r="80" spans="1:7" x14ac:dyDescent="0.25">
      <c r="A80">
        <v>69</v>
      </c>
      <c r="B80" s="341">
        <v>0</v>
      </c>
      <c r="C80" s="11">
        <f t="shared" si="2"/>
        <v>0</v>
      </c>
      <c r="E80" s="88">
        <v>69</v>
      </c>
      <c r="F80" s="343">
        <v>0</v>
      </c>
      <c r="G80" s="11">
        <f t="shared" si="3"/>
        <v>0</v>
      </c>
    </row>
    <row r="81" spans="1:7" x14ac:dyDescent="0.25">
      <c r="A81">
        <v>70</v>
      </c>
      <c r="B81" s="341">
        <v>0</v>
      </c>
      <c r="C81" s="11">
        <f t="shared" si="2"/>
        <v>0</v>
      </c>
      <c r="E81" s="89">
        <v>70</v>
      </c>
      <c r="F81" s="343">
        <v>9.9811838175400496</v>
      </c>
      <c r="G81" s="11">
        <f t="shared" si="3"/>
        <v>9.1304301635976869E-6</v>
      </c>
    </row>
    <row r="82" spans="1:7" x14ac:dyDescent="0.25">
      <c r="A82">
        <v>71</v>
      </c>
      <c r="B82" s="341">
        <v>4605.9932193000004</v>
      </c>
      <c r="C82" s="11">
        <f t="shared" si="2"/>
        <v>4.2466632627736435E-3</v>
      </c>
      <c r="E82" s="90">
        <v>71</v>
      </c>
      <c r="F82" s="343">
        <v>0</v>
      </c>
      <c r="G82" s="11">
        <f t="shared" si="3"/>
        <v>0</v>
      </c>
    </row>
    <row r="83" spans="1:7" x14ac:dyDescent="0.25">
      <c r="A83">
        <v>72</v>
      </c>
      <c r="B83" s="341">
        <v>0</v>
      </c>
      <c r="C83" s="11">
        <f t="shared" si="2"/>
        <v>0</v>
      </c>
      <c r="E83" s="91">
        <v>72</v>
      </c>
      <c r="F83" s="343">
        <v>0</v>
      </c>
      <c r="G83" s="11">
        <f t="shared" si="3"/>
        <v>0</v>
      </c>
    </row>
    <row r="84" spans="1:7" x14ac:dyDescent="0.25">
      <c r="A84">
        <v>73</v>
      </c>
      <c r="B84" s="341">
        <v>0</v>
      </c>
      <c r="C84" s="11">
        <f t="shared" si="2"/>
        <v>0</v>
      </c>
      <c r="E84" s="92">
        <v>73</v>
      </c>
      <c r="F84" s="343">
        <v>0</v>
      </c>
      <c r="G84" s="11">
        <f t="shared" si="3"/>
        <v>0</v>
      </c>
    </row>
    <row r="85" spans="1:7" x14ac:dyDescent="0.25">
      <c r="A85">
        <v>74</v>
      </c>
      <c r="B85" s="341">
        <v>0</v>
      </c>
      <c r="C85" s="11">
        <f t="shared" si="2"/>
        <v>0</v>
      </c>
      <c r="E85" s="93">
        <v>74</v>
      </c>
      <c r="F85" s="343">
        <v>0</v>
      </c>
      <c r="G85" s="11">
        <f t="shared" si="3"/>
        <v>0</v>
      </c>
    </row>
    <row r="86" spans="1:7" x14ac:dyDescent="0.25">
      <c r="A86">
        <v>75</v>
      </c>
      <c r="B86" s="341">
        <v>0</v>
      </c>
      <c r="C86" s="11">
        <f t="shared" si="2"/>
        <v>0</v>
      </c>
      <c r="E86" s="94">
        <v>75</v>
      </c>
      <c r="F86" s="343">
        <v>0</v>
      </c>
      <c r="G86" s="11">
        <f t="shared" si="3"/>
        <v>0</v>
      </c>
    </row>
    <row r="87" spans="1:7" x14ac:dyDescent="0.25">
      <c r="A87">
        <v>76</v>
      </c>
      <c r="B87" s="341">
        <v>215.69589429999999</v>
      </c>
      <c r="C87" s="11">
        <f t="shared" si="2"/>
        <v>1.9886868838988976E-4</v>
      </c>
      <c r="E87" s="95">
        <v>76</v>
      </c>
      <c r="F87" s="343">
        <v>9.9978586723768696</v>
      </c>
      <c r="G87" s="11">
        <f t="shared" si="3"/>
        <v>9.1456837247342101E-6</v>
      </c>
    </row>
    <row r="88" spans="1:7" x14ac:dyDescent="0.25">
      <c r="A88">
        <v>77</v>
      </c>
      <c r="B88" s="341">
        <v>0</v>
      </c>
      <c r="C88" s="11">
        <f t="shared" si="2"/>
        <v>0</v>
      </c>
      <c r="E88" s="96">
        <v>77</v>
      </c>
      <c r="F88" s="343">
        <v>0</v>
      </c>
      <c r="G88" s="11">
        <f t="shared" si="3"/>
        <v>0</v>
      </c>
    </row>
    <row r="89" spans="1:7" x14ac:dyDescent="0.25">
      <c r="A89">
        <v>78</v>
      </c>
      <c r="B89" s="341">
        <v>0</v>
      </c>
      <c r="C89" s="11">
        <f t="shared" si="2"/>
        <v>0</v>
      </c>
      <c r="E89" s="97">
        <v>78</v>
      </c>
      <c r="F89" s="343">
        <v>0</v>
      </c>
      <c r="G89" s="11">
        <f t="shared" si="3"/>
        <v>0</v>
      </c>
    </row>
    <row r="90" spans="1:7" x14ac:dyDescent="0.25">
      <c r="A90">
        <v>79</v>
      </c>
      <c r="B90" s="341">
        <v>0</v>
      </c>
      <c r="C90" s="11">
        <f t="shared" si="2"/>
        <v>0</v>
      </c>
      <c r="E90" s="98">
        <v>79</v>
      </c>
      <c r="F90" s="343">
        <v>0</v>
      </c>
      <c r="G90" s="11">
        <f t="shared" si="3"/>
        <v>0</v>
      </c>
    </row>
    <row r="91" spans="1:7" x14ac:dyDescent="0.25">
      <c r="A91">
        <v>80</v>
      </c>
      <c r="B91" s="341">
        <v>0</v>
      </c>
      <c r="C91" s="11">
        <f t="shared" si="2"/>
        <v>0</v>
      </c>
      <c r="E91" s="99">
        <v>80</v>
      </c>
      <c r="F91" s="343">
        <v>0</v>
      </c>
      <c r="G91" s="11">
        <f t="shared" si="3"/>
        <v>0</v>
      </c>
    </row>
    <row r="92" spans="1:7" x14ac:dyDescent="0.25">
      <c r="A92">
        <v>81</v>
      </c>
      <c r="B92" s="341">
        <v>0</v>
      </c>
      <c r="C92" s="11">
        <f t="shared" si="2"/>
        <v>0</v>
      </c>
      <c r="E92" s="100">
        <v>81</v>
      </c>
      <c r="F92" s="343">
        <v>0</v>
      </c>
      <c r="G92" s="11">
        <f t="shared" si="3"/>
        <v>0</v>
      </c>
    </row>
    <row r="93" spans="1:7" x14ac:dyDescent="0.25">
      <c r="A93">
        <v>82</v>
      </c>
      <c r="B93" s="341">
        <v>0</v>
      </c>
      <c r="C93" s="11">
        <f t="shared" si="2"/>
        <v>0</v>
      </c>
      <c r="E93" s="101">
        <v>82</v>
      </c>
      <c r="F93" s="343">
        <v>0</v>
      </c>
      <c r="G93" s="11">
        <f t="shared" si="3"/>
        <v>0</v>
      </c>
    </row>
    <row r="94" spans="1:7" x14ac:dyDescent="0.25">
      <c r="A94">
        <v>83</v>
      </c>
      <c r="B94" s="341">
        <v>0</v>
      </c>
      <c r="C94" s="11">
        <f t="shared" si="2"/>
        <v>0</v>
      </c>
      <c r="E94" s="102">
        <v>83</v>
      </c>
      <c r="F94" s="343">
        <v>0</v>
      </c>
      <c r="G94" s="11">
        <f t="shared" si="3"/>
        <v>0</v>
      </c>
    </row>
    <row r="95" spans="1:7" x14ac:dyDescent="0.25">
      <c r="A95">
        <v>84</v>
      </c>
      <c r="B95" s="341">
        <v>0</v>
      </c>
      <c r="C95" s="11">
        <f t="shared" si="2"/>
        <v>0</v>
      </c>
      <c r="E95" s="103">
        <v>84</v>
      </c>
      <c r="F95" s="343">
        <v>10</v>
      </c>
      <c r="G95" s="11">
        <f t="shared" si="3"/>
        <v>9.1476425346988164E-6</v>
      </c>
    </row>
    <row r="96" spans="1:7" x14ac:dyDescent="0.25">
      <c r="A96">
        <v>85</v>
      </c>
      <c r="B96" s="341">
        <v>0</v>
      </c>
      <c r="C96" s="11">
        <f t="shared" si="2"/>
        <v>0</v>
      </c>
      <c r="E96" s="104">
        <v>85</v>
      </c>
      <c r="F96" s="343">
        <v>0</v>
      </c>
      <c r="G96" s="11">
        <f t="shared" si="3"/>
        <v>0</v>
      </c>
    </row>
    <row r="97" spans="1:7" x14ac:dyDescent="0.25">
      <c r="A97">
        <v>86</v>
      </c>
      <c r="B97" s="341">
        <v>0</v>
      </c>
      <c r="C97" s="11">
        <f t="shared" si="2"/>
        <v>0</v>
      </c>
      <c r="E97" s="105">
        <v>86</v>
      </c>
      <c r="F97" s="343">
        <v>0</v>
      </c>
      <c r="G97" s="11">
        <f t="shared" si="3"/>
        <v>0</v>
      </c>
    </row>
    <row r="98" spans="1:7" x14ac:dyDescent="0.25">
      <c r="A98">
        <v>87</v>
      </c>
      <c r="B98" s="341">
        <v>0</v>
      </c>
      <c r="C98" s="11">
        <f t="shared" si="2"/>
        <v>0</v>
      </c>
      <c r="E98" s="106">
        <v>87</v>
      </c>
      <c r="F98" s="343">
        <v>0</v>
      </c>
      <c r="G98" s="11">
        <f t="shared" si="3"/>
        <v>0</v>
      </c>
    </row>
    <row r="99" spans="1:7" x14ac:dyDescent="0.25">
      <c r="A99">
        <v>88</v>
      </c>
      <c r="B99" s="341">
        <v>0</v>
      </c>
      <c r="C99" s="11">
        <f t="shared" si="2"/>
        <v>0</v>
      </c>
      <c r="E99" s="107">
        <v>88</v>
      </c>
      <c r="F99" s="343">
        <v>0</v>
      </c>
      <c r="G99" s="11">
        <f t="shared" si="3"/>
        <v>0</v>
      </c>
    </row>
    <row r="100" spans="1:7" x14ac:dyDescent="0.25">
      <c r="A100">
        <v>89</v>
      </c>
      <c r="B100" s="341">
        <v>0</v>
      </c>
      <c r="C100" s="11">
        <f t="shared" si="2"/>
        <v>0</v>
      </c>
      <c r="E100" s="108">
        <v>89</v>
      </c>
      <c r="F100" s="343">
        <v>0</v>
      </c>
      <c r="G100" s="11">
        <f t="shared" si="3"/>
        <v>0</v>
      </c>
    </row>
    <row r="101" spans="1:7" ht="15.75" thickBot="1" x14ac:dyDescent="0.3">
      <c r="A101" s="1">
        <v>90</v>
      </c>
      <c r="B101" s="342">
        <v>0</v>
      </c>
      <c r="C101" s="11">
        <f t="shared" si="2"/>
        <v>0</v>
      </c>
      <c r="E101" s="292">
        <v>90</v>
      </c>
      <c r="F101" s="344">
        <v>0</v>
      </c>
      <c r="G101" s="11">
        <f t="shared" si="3"/>
        <v>0</v>
      </c>
    </row>
    <row r="102" spans="1:7" x14ac:dyDescent="0.25">
      <c r="B102" s="341">
        <f>SUM(B11:B101)</f>
        <v>1084614.657271334</v>
      </c>
      <c r="C102" s="11">
        <f t="shared" si="2"/>
        <v>1</v>
      </c>
      <c r="F102" s="341">
        <f>SUM(F11:F101)</f>
        <v>1093177.8282839565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>
        <v>3249.6391934359999</v>
      </c>
      <c r="C11" s="11">
        <f>B11/B$102</f>
        <v>2.9961232513779769E-3</v>
      </c>
      <c r="E11" s="109">
        <v>0</v>
      </c>
      <c r="F11" s="199">
        <v>29907.47994473542</v>
      </c>
      <c r="G11" s="11">
        <f>F11/F$102</f>
        <v>2.7358293564811325E-2</v>
      </c>
      <c r="K11" s="8">
        <v>22.044502112060368</v>
      </c>
      <c r="L11" s="8">
        <v>21.174194678688714</v>
      </c>
    </row>
    <row r="12" spans="1:12" x14ac:dyDescent="0.25">
      <c r="A12">
        <v>1</v>
      </c>
      <c r="B12" s="8">
        <v>8994.4429639139998</v>
      </c>
      <c r="C12" s="11">
        <f>B12/B$102</f>
        <v>8.2927543931059864E-3</v>
      </c>
      <c r="E12" s="110">
        <v>1</v>
      </c>
      <c r="F12" s="200">
        <v>30095.729978826941</v>
      </c>
      <c r="G12" s="11">
        <f>F12/F$102</f>
        <v>2.7530497966712735E-2</v>
      </c>
      <c r="K12" s="8"/>
      <c r="L12" s="290"/>
    </row>
    <row r="13" spans="1:12" x14ac:dyDescent="0.25">
      <c r="A13">
        <v>2</v>
      </c>
      <c r="B13" s="8">
        <v>6481.4583239668</v>
      </c>
      <c r="C13" s="11">
        <f t="shared" ref="C13:C76" si="0">B13/B$102</f>
        <v>5.975816646506333E-3</v>
      </c>
      <c r="E13" s="111">
        <v>2</v>
      </c>
      <c r="F13" s="201">
        <v>34413.467105416137</v>
      </c>
      <c r="G13" s="11">
        <f t="shared" ref="G13:G76" si="1">F13/F$102</f>
        <v>3.1480209545996292E-2</v>
      </c>
    </row>
    <row r="14" spans="1:12" x14ac:dyDescent="0.25">
      <c r="A14">
        <v>3</v>
      </c>
      <c r="B14" s="8">
        <v>13410.436468502799</v>
      </c>
      <c r="C14" s="11">
        <f t="shared" si="0"/>
        <v>1.2364240496473356E-2</v>
      </c>
      <c r="E14" s="112">
        <v>3</v>
      </c>
      <c r="F14" s="202">
        <v>32776.063500784272</v>
      </c>
      <c r="G14" s="11">
        <f t="shared" si="1"/>
        <v>2.9982371259976329E-2</v>
      </c>
    </row>
    <row r="15" spans="1:12" x14ac:dyDescent="0.25">
      <c r="A15">
        <v>4</v>
      </c>
      <c r="B15" s="8">
        <v>15732.173869571599</v>
      </c>
      <c r="C15" s="11">
        <f t="shared" si="0"/>
        <v>1.4504850883308631E-2</v>
      </c>
      <c r="E15" s="113">
        <v>4</v>
      </c>
      <c r="F15" s="203">
        <v>28826.369255936926</v>
      </c>
      <c r="G15" s="11">
        <f t="shared" si="1"/>
        <v>2.6369332152654263E-2</v>
      </c>
    </row>
    <row r="16" spans="1:12" x14ac:dyDescent="0.25">
      <c r="A16">
        <v>5</v>
      </c>
      <c r="B16" s="8">
        <v>27284.666001949801</v>
      </c>
      <c r="C16" s="11">
        <f t="shared" si="0"/>
        <v>2.5156091906956494E-2</v>
      </c>
      <c r="E16" s="114">
        <v>5</v>
      </c>
      <c r="F16" s="204">
        <v>27429.618562175117</v>
      </c>
      <c r="G16" s="11">
        <f t="shared" si="1"/>
        <v>2.5091634546991703E-2</v>
      </c>
    </row>
    <row r="17" spans="1:7" x14ac:dyDescent="0.25">
      <c r="A17">
        <v>6</v>
      </c>
      <c r="B17" s="8">
        <v>20718.383374056699</v>
      </c>
      <c r="C17" s="11">
        <f t="shared" si="0"/>
        <v>1.9102068402966136E-2</v>
      </c>
      <c r="E17" s="115">
        <v>6</v>
      </c>
      <c r="F17" s="205">
        <v>24749.94438608909</v>
      </c>
      <c r="G17" s="11">
        <f t="shared" si="1"/>
        <v>2.2640364399761852E-2</v>
      </c>
    </row>
    <row r="18" spans="1:7" x14ac:dyDescent="0.25">
      <c r="A18">
        <v>7</v>
      </c>
      <c r="B18" s="8">
        <v>30173.735043102901</v>
      </c>
      <c r="C18" s="11">
        <f t="shared" si="0"/>
        <v>2.7819774369464791E-2</v>
      </c>
      <c r="E18" s="116">
        <v>7</v>
      </c>
      <c r="F18" s="206">
        <v>23029.464708085539</v>
      </c>
      <c r="G18" s="11">
        <f t="shared" si="1"/>
        <v>2.1066531091502833E-2</v>
      </c>
    </row>
    <row r="19" spans="1:7" x14ac:dyDescent="0.25">
      <c r="A19">
        <v>8</v>
      </c>
      <c r="B19" s="8">
        <v>25448.378538700799</v>
      </c>
      <c r="C19" s="11">
        <f t="shared" si="0"/>
        <v>2.3463059777122732E-2</v>
      </c>
      <c r="E19" s="117">
        <v>8</v>
      </c>
      <c r="F19" s="207">
        <v>20600.942441212257</v>
      </c>
      <c r="G19" s="11">
        <f t="shared" si="1"/>
        <v>1.8845005733011514E-2</v>
      </c>
    </row>
    <row r="20" spans="1:7" x14ac:dyDescent="0.25">
      <c r="A20">
        <v>9</v>
      </c>
      <c r="B20" s="8">
        <v>28266.940735691798</v>
      </c>
      <c r="C20" s="11">
        <f t="shared" si="0"/>
        <v>2.6061735885817332E-2</v>
      </c>
      <c r="E20" s="118">
        <v>9</v>
      </c>
      <c r="F20" s="208">
        <v>18862.865456319862</v>
      </c>
      <c r="G20" s="11">
        <f t="shared" si="1"/>
        <v>1.725507503745324E-2</v>
      </c>
    </row>
    <row r="21" spans="1:7" x14ac:dyDescent="0.25">
      <c r="A21">
        <v>10</v>
      </c>
      <c r="B21" s="8">
        <v>9402.210952161</v>
      </c>
      <c r="C21" s="11">
        <f t="shared" si="0"/>
        <v>8.6687109464434267E-3</v>
      </c>
      <c r="E21" s="119">
        <v>10</v>
      </c>
      <c r="F21" s="209">
        <v>16354.56013278813</v>
      </c>
      <c r="G21" s="11">
        <f t="shared" si="1"/>
        <v>1.4960566990698207E-2</v>
      </c>
    </row>
    <row r="22" spans="1:7" x14ac:dyDescent="0.25">
      <c r="A22">
        <v>11</v>
      </c>
      <c r="B22" s="8">
        <v>16357.0607193858</v>
      </c>
      <c r="C22" s="11">
        <f t="shared" si="0"/>
        <v>1.5080988081552185E-2</v>
      </c>
      <c r="E22" s="120">
        <v>11</v>
      </c>
      <c r="F22" s="210">
        <v>14793.111565448302</v>
      </c>
      <c r="G22" s="11">
        <f t="shared" si="1"/>
        <v>1.3532209657663975E-2</v>
      </c>
    </row>
    <row r="23" spans="1:7" x14ac:dyDescent="0.25">
      <c r="A23">
        <v>12</v>
      </c>
      <c r="B23" s="8">
        <v>35973.158191768103</v>
      </c>
      <c r="C23" s="11">
        <f t="shared" si="0"/>
        <v>3.3166763836908787E-2</v>
      </c>
      <c r="E23" s="121">
        <v>12</v>
      </c>
      <c r="F23" s="211">
        <v>13613.5123624477</v>
      </c>
      <c r="G23" s="11">
        <f t="shared" si="1"/>
        <v>1.2453154473337462E-2</v>
      </c>
    </row>
    <row r="24" spans="1:7" x14ac:dyDescent="0.25">
      <c r="A24">
        <v>13</v>
      </c>
      <c r="B24" s="8">
        <v>30562.090333403899</v>
      </c>
      <c r="C24" s="11">
        <f t="shared" si="0"/>
        <v>2.8177832678650858E-2</v>
      </c>
      <c r="E24" s="122">
        <v>13</v>
      </c>
      <c r="F24" s="212">
        <v>11633.984830821582</v>
      </c>
      <c r="G24" s="11">
        <f t="shared" si="1"/>
        <v>1.0642353448646421E-2</v>
      </c>
    </row>
    <row r="25" spans="1:7" x14ac:dyDescent="0.25">
      <c r="A25">
        <v>14</v>
      </c>
      <c r="B25" s="8">
        <v>23781.727154917</v>
      </c>
      <c r="C25" s="11">
        <f t="shared" si="0"/>
        <v>2.1926429811253794E-2</v>
      </c>
      <c r="E25" s="123">
        <v>14</v>
      </c>
      <c r="F25" s="213">
        <v>10026.500722629256</v>
      </c>
      <c r="G25" s="11">
        <f t="shared" si="1"/>
        <v>9.171884448451172E-3</v>
      </c>
    </row>
    <row r="26" spans="1:7" x14ac:dyDescent="0.25">
      <c r="A26">
        <v>15</v>
      </c>
      <c r="B26" s="8">
        <v>13959.3886464466</v>
      </c>
      <c r="C26" s="11">
        <f t="shared" si="0"/>
        <v>1.2870366957390682E-2</v>
      </c>
      <c r="E26" s="124">
        <v>15</v>
      </c>
      <c r="F26" s="214">
        <v>10071.963301078891</v>
      </c>
      <c r="G26" s="11">
        <f t="shared" si="1"/>
        <v>9.2134719900874677E-3</v>
      </c>
    </row>
    <row r="27" spans="1:7" x14ac:dyDescent="0.25">
      <c r="A27">
        <v>16</v>
      </c>
      <c r="B27" s="8">
        <v>47717.340593223103</v>
      </c>
      <c r="C27" s="11">
        <f t="shared" si="0"/>
        <v>4.3994740688153754E-2</v>
      </c>
      <c r="E27" s="125">
        <v>16</v>
      </c>
      <c r="F27" s="215">
        <v>8715.5919618301195</v>
      </c>
      <c r="G27" s="11">
        <f t="shared" si="1"/>
        <v>7.9727119745116228E-3</v>
      </c>
    </row>
    <row r="28" spans="1:7" x14ac:dyDescent="0.25">
      <c r="A28">
        <v>17</v>
      </c>
      <c r="B28" s="8">
        <v>24330.502324269099</v>
      </c>
      <c r="C28" s="11">
        <f t="shared" si="0"/>
        <v>2.2432393072650891E-2</v>
      </c>
      <c r="E28" s="126">
        <v>17</v>
      </c>
      <c r="F28" s="216">
        <v>8184.2423542594606</v>
      </c>
      <c r="G28" s="11">
        <f t="shared" si="1"/>
        <v>7.4866523474107346E-3</v>
      </c>
    </row>
    <row r="29" spans="1:7" x14ac:dyDescent="0.25">
      <c r="A29">
        <v>18</v>
      </c>
      <c r="B29" s="8">
        <v>74508.735065052795</v>
      </c>
      <c r="C29" s="11">
        <f t="shared" si="0"/>
        <v>6.8696042936116447E-2</v>
      </c>
      <c r="E29" s="127">
        <v>18</v>
      </c>
      <c r="F29" s="217">
        <v>104879.47215247528</v>
      </c>
      <c r="G29" s="11">
        <f t="shared" si="1"/>
        <v>9.5939992047874192E-2</v>
      </c>
    </row>
    <row r="30" spans="1:7" x14ac:dyDescent="0.25">
      <c r="A30">
        <v>19</v>
      </c>
      <c r="B30" s="8">
        <v>60713.386712906497</v>
      </c>
      <c r="C30" s="11">
        <f t="shared" si="0"/>
        <v>5.5976918904681594E-2</v>
      </c>
      <c r="E30" s="128">
        <v>19</v>
      </c>
      <c r="F30" s="218">
        <v>39138.565449736321</v>
      </c>
      <c r="G30" s="11">
        <f t="shared" si="1"/>
        <v>3.5802560605510111E-2</v>
      </c>
    </row>
    <row r="31" spans="1:7" x14ac:dyDescent="0.25">
      <c r="A31">
        <v>20</v>
      </c>
      <c r="B31" s="8">
        <v>75940.497528646694</v>
      </c>
      <c r="C31" s="11">
        <f t="shared" si="0"/>
        <v>7.0016108504099742E-2</v>
      </c>
      <c r="E31" s="129">
        <v>20</v>
      </c>
      <c r="F31" s="219">
        <v>35242.157573512675</v>
      </c>
      <c r="G31" s="11">
        <f t="shared" si="1"/>
        <v>3.2238265963402228E-2</v>
      </c>
    </row>
    <row r="32" spans="1:7" x14ac:dyDescent="0.25">
      <c r="A32">
        <v>21</v>
      </c>
      <c r="B32" s="8">
        <v>50371.464672959002</v>
      </c>
      <c r="C32" s="11">
        <f t="shared" si="0"/>
        <v>4.6441807083525105E-2</v>
      </c>
      <c r="E32" s="130">
        <v>21</v>
      </c>
      <c r="F32" s="220">
        <v>54841.853660226858</v>
      </c>
      <c r="G32" s="11">
        <f t="shared" si="1"/>
        <v>5.0167367322401867E-2</v>
      </c>
    </row>
    <row r="33" spans="1:7" x14ac:dyDescent="0.25">
      <c r="A33">
        <v>22</v>
      </c>
      <c r="B33" s="8">
        <v>50603.223974949404</v>
      </c>
      <c r="C33" s="11">
        <f t="shared" si="0"/>
        <v>4.6655486015887551E-2</v>
      </c>
      <c r="E33" s="131">
        <v>22</v>
      </c>
      <c r="F33" s="221">
        <v>44785.413961420782</v>
      </c>
      <c r="G33" s="11">
        <f t="shared" si="1"/>
        <v>4.0968095768758657E-2</v>
      </c>
    </row>
    <row r="34" spans="1:7" x14ac:dyDescent="0.25">
      <c r="A34">
        <v>23</v>
      </c>
      <c r="B34" s="8">
        <v>28526.991916328599</v>
      </c>
      <c r="C34" s="11">
        <f t="shared" si="0"/>
        <v>2.630149954648096E-2</v>
      </c>
      <c r="E34" s="132">
        <v>23</v>
      </c>
      <c r="F34" s="222">
        <v>34139.432516277877</v>
      </c>
      <c r="G34" s="11">
        <f t="shared" si="1"/>
        <v>3.1229532499638304E-2</v>
      </c>
    </row>
    <row r="35" spans="1:7" x14ac:dyDescent="0.25">
      <c r="A35">
        <v>24</v>
      </c>
      <c r="B35" s="8">
        <v>28940.315724706001</v>
      </c>
      <c r="C35" s="11">
        <f t="shared" si="0"/>
        <v>2.6682578490607751E-2</v>
      </c>
      <c r="E35" s="133">
        <v>24</v>
      </c>
      <c r="F35" s="223">
        <v>32517.923355465202</v>
      </c>
      <c r="G35" s="11">
        <f t="shared" si="1"/>
        <v>2.9746233882652923E-2</v>
      </c>
    </row>
    <row r="36" spans="1:7" x14ac:dyDescent="0.25">
      <c r="A36">
        <v>25</v>
      </c>
      <c r="B36" s="8">
        <v>19019.013606082401</v>
      </c>
      <c r="C36" s="11">
        <f t="shared" si="0"/>
        <v>1.7535272530734832E-2</v>
      </c>
      <c r="E36" s="134">
        <v>25</v>
      </c>
      <c r="F36" s="224">
        <v>34363.526203665948</v>
      </c>
      <c r="G36" s="11">
        <f t="shared" si="1"/>
        <v>3.1434525394289169E-2</v>
      </c>
    </row>
    <row r="37" spans="1:7" x14ac:dyDescent="0.25">
      <c r="A37">
        <v>26</v>
      </c>
      <c r="B37" s="8">
        <v>52228.444461218802</v>
      </c>
      <c r="C37" s="11">
        <f t="shared" si="0"/>
        <v>4.815391725630442E-2</v>
      </c>
      <c r="E37" s="135">
        <v>26</v>
      </c>
      <c r="F37" s="225">
        <v>32307.729409315427</v>
      </c>
      <c r="G37" s="11">
        <f t="shared" si="1"/>
        <v>2.9553955974419337E-2</v>
      </c>
    </row>
    <row r="38" spans="1:7" x14ac:dyDescent="0.25">
      <c r="A38">
        <v>27</v>
      </c>
      <c r="B38" s="8">
        <v>6789.7577799091996</v>
      </c>
      <c r="C38" s="11">
        <f t="shared" si="0"/>
        <v>6.2600645624602044E-3</v>
      </c>
      <c r="E38" s="136">
        <v>27</v>
      </c>
      <c r="F38" s="226">
        <v>20679.764754893531</v>
      </c>
      <c r="G38" s="11">
        <f t="shared" si="1"/>
        <v>1.891710956794293E-2</v>
      </c>
    </row>
    <row r="39" spans="1:7" x14ac:dyDescent="0.25">
      <c r="A39">
        <v>28</v>
      </c>
      <c r="B39" s="8">
        <v>20867.0564340776</v>
      </c>
      <c r="C39" s="11">
        <f t="shared" si="0"/>
        <v>1.923914294738999E-2</v>
      </c>
      <c r="E39" s="137">
        <v>28</v>
      </c>
      <c r="F39" s="227">
        <v>24007.83211170261</v>
      </c>
      <c r="G39" s="11">
        <f t="shared" si="1"/>
        <v>2.1961506619091867E-2</v>
      </c>
    </row>
    <row r="40" spans="1:7" x14ac:dyDescent="0.25">
      <c r="A40">
        <v>29</v>
      </c>
      <c r="B40" s="8">
        <v>27093.851735659602</v>
      </c>
      <c r="C40" s="11">
        <f t="shared" si="0"/>
        <v>2.4980163742044682E-2</v>
      </c>
      <c r="E40" s="138">
        <v>29</v>
      </c>
      <c r="F40" s="228">
        <v>19637.211285010282</v>
      </c>
      <c r="G40" s="11">
        <f t="shared" si="1"/>
        <v>1.7963418921362748E-2</v>
      </c>
    </row>
    <row r="41" spans="1:7" x14ac:dyDescent="0.25">
      <c r="A41">
        <v>30</v>
      </c>
      <c r="B41" s="8">
        <v>8397.9471511303</v>
      </c>
      <c r="C41" s="11">
        <f t="shared" si="0"/>
        <v>7.7427933458485577E-3</v>
      </c>
      <c r="E41" s="139">
        <v>30</v>
      </c>
      <c r="F41" s="229">
        <v>23987.952502950528</v>
      </c>
      <c r="G41" s="11">
        <f t="shared" si="1"/>
        <v>2.1943321463632495E-2</v>
      </c>
    </row>
    <row r="42" spans="1:7" x14ac:dyDescent="0.25">
      <c r="A42">
        <v>31</v>
      </c>
      <c r="B42" s="8">
        <v>18689.9018747718</v>
      </c>
      <c r="C42" s="11">
        <f t="shared" si="0"/>
        <v>1.7231835979233143E-2</v>
      </c>
      <c r="E42" s="140">
        <v>31</v>
      </c>
      <c r="F42" s="230">
        <v>21187.553814637162</v>
      </c>
      <c r="G42" s="11">
        <f t="shared" si="1"/>
        <v>1.9381616848099487E-2</v>
      </c>
    </row>
    <row r="43" spans="1:7" x14ac:dyDescent="0.25">
      <c r="A43">
        <v>32</v>
      </c>
      <c r="B43" s="8">
        <v>7258.5263503213</v>
      </c>
      <c r="C43" s="11">
        <f t="shared" si="0"/>
        <v>6.6922628250131238E-3</v>
      </c>
      <c r="E43" s="141">
        <v>32</v>
      </c>
      <c r="F43" s="231">
        <v>23132.890429289902</v>
      </c>
      <c r="G43" s="11">
        <f t="shared" si="1"/>
        <v>2.1161141244149927E-2</v>
      </c>
    </row>
    <row r="44" spans="1:7" x14ac:dyDescent="0.25">
      <c r="A44">
        <v>33</v>
      </c>
      <c r="B44" s="8">
        <v>4916.6304158171997</v>
      </c>
      <c r="C44" s="11">
        <f t="shared" si="0"/>
        <v>4.5330665438234287E-3</v>
      </c>
      <c r="E44" s="142">
        <v>33</v>
      </c>
      <c r="F44" s="232">
        <v>16901.18734000971</v>
      </c>
      <c r="G44" s="11">
        <f t="shared" si="1"/>
        <v>1.5460602019838583E-2</v>
      </c>
    </row>
    <row r="45" spans="1:7" x14ac:dyDescent="0.25">
      <c r="A45">
        <v>34</v>
      </c>
      <c r="B45" s="8">
        <v>18046.084153844899</v>
      </c>
      <c r="C45" s="11">
        <f t="shared" si="0"/>
        <v>1.6638244774642E-2</v>
      </c>
      <c r="E45" s="143">
        <v>34</v>
      </c>
      <c r="F45" s="233">
        <v>17257.155136195688</v>
      </c>
      <c r="G45" s="11">
        <f t="shared" si="1"/>
        <v>1.5786228635175967E-2</v>
      </c>
    </row>
    <row r="46" spans="1:7" x14ac:dyDescent="0.25">
      <c r="A46">
        <v>35</v>
      </c>
      <c r="B46" s="8">
        <v>11866.130087620801</v>
      </c>
      <c r="C46" s="11">
        <f t="shared" si="0"/>
        <v>1.0940410963533837E-2</v>
      </c>
      <c r="E46" s="144">
        <v>35</v>
      </c>
      <c r="F46" s="234">
        <v>13975.461049336505</v>
      </c>
      <c r="G46" s="11">
        <f t="shared" si="1"/>
        <v>1.2784252193693705E-2</v>
      </c>
    </row>
    <row r="47" spans="1:7" x14ac:dyDescent="0.25">
      <c r="A47">
        <v>36</v>
      </c>
      <c r="B47" s="8">
        <v>4173.0593110586997</v>
      </c>
      <c r="C47" s="11">
        <f t="shared" si="0"/>
        <v>3.8475040726051522E-3</v>
      </c>
      <c r="E47" s="145">
        <v>36</v>
      </c>
      <c r="F47" s="235">
        <v>16084.261522497462</v>
      </c>
      <c r="G47" s="11">
        <f t="shared" si="1"/>
        <v>1.4713307484241718E-2</v>
      </c>
    </row>
    <row r="48" spans="1:7" x14ac:dyDescent="0.25">
      <c r="A48">
        <v>37</v>
      </c>
      <c r="B48" s="8">
        <v>7707.0477036530001</v>
      </c>
      <c r="C48" s="11">
        <f t="shared" si="0"/>
        <v>7.1057934280939327E-3</v>
      </c>
      <c r="E48" s="146">
        <v>37</v>
      </c>
      <c r="F48" s="236">
        <v>9745.0408097101317</v>
      </c>
      <c r="G48" s="11">
        <f t="shared" si="1"/>
        <v>8.9144149813280109E-3</v>
      </c>
    </row>
    <row r="49" spans="1:7" x14ac:dyDescent="0.25">
      <c r="A49">
        <v>38</v>
      </c>
      <c r="B49" s="8">
        <v>12919.751826829301</v>
      </c>
      <c r="C49" s="11">
        <f t="shared" si="0"/>
        <v>1.1911835913533309E-2</v>
      </c>
      <c r="E49" s="147">
        <v>38</v>
      </c>
      <c r="F49" s="237">
        <v>9603.4211063613202</v>
      </c>
      <c r="G49" s="11">
        <f t="shared" si="1"/>
        <v>8.7848663391175089E-3</v>
      </c>
    </row>
    <row r="50" spans="1:7" x14ac:dyDescent="0.25">
      <c r="A50">
        <v>39</v>
      </c>
      <c r="B50" s="8">
        <v>4098.7195952430002</v>
      </c>
      <c r="C50" s="11">
        <f t="shared" si="0"/>
        <v>3.7789638631240052E-3</v>
      </c>
      <c r="E50" s="148">
        <v>39</v>
      </c>
      <c r="F50" s="238">
        <v>10507.952452963385</v>
      </c>
      <c r="G50" s="11">
        <f t="shared" si="1"/>
        <v>9.6122992811320529E-3</v>
      </c>
    </row>
    <row r="51" spans="1:7" x14ac:dyDescent="0.25">
      <c r="A51">
        <v>40</v>
      </c>
      <c r="B51" s="8">
        <v>4200.2143381679998</v>
      </c>
      <c r="C51" s="11">
        <f t="shared" si="0"/>
        <v>3.8725406392117814E-3</v>
      </c>
      <c r="E51" s="149">
        <v>40</v>
      </c>
      <c r="F51" s="239">
        <v>10977.692091022724</v>
      </c>
      <c r="G51" s="11">
        <f t="shared" si="1"/>
        <v>1.0042000310466617E-2</v>
      </c>
    </row>
    <row r="52" spans="1:7" x14ac:dyDescent="0.25">
      <c r="A52">
        <v>41</v>
      </c>
      <c r="B52" s="8">
        <v>7084.9907072039996</v>
      </c>
      <c r="C52" s="11">
        <f t="shared" si="0"/>
        <v>6.5322653162629835E-3</v>
      </c>
      <c r="E52" s="150">
        <v>41</v>
      </c>
      <c r="F52" s="240">
        <v>7557.9753485009323</v>
      </c>
      <c r="G52" s="11">
        <f t="shared" si="1"/>
        <v>6.9137656774152173E-3</v>
      </c>
    </row>
    <row r="53" spans="1:7" x14ac:dyDescent="0.25">
      <c r="A53">
        <v>42</v>
      </c>
      <c r="B53" s="8">
        <v>6386.2255665823004</v>
      </c>
      <c r="C53" s="11">
        <f t="shared" si="0"/>
        <v>5.8880133361360991E-3</v>
      </c>
      <c r="E53" s="151">
        <v>42</v>
      </c>
      <c r="F53" s="241">
        <v>8690.1575590045613</v>
      </c>
      <c r="G53" s="11">
        <f t="shared" si="1"/>
        <v>7.9494454919984484E-3</v>
      </c>
    </row>
    <row r="54" spans="1:7" x14ac:dyDescent="0.25">
      <c r="A54">
        <v>43</v>
      </c>
      <c r="B54" s="8">
        <v>2407.4362884903999</v>
      </c>
      <c r="C54" s="11">
        <f t="shared" si="0"/>
        <v>2.219623598437265E-3</v>
      </c>
      <c r="E54" s="152">
        <v>43</v>
      </c>
      <c r="F54" s="242">
        <v>6860.3398540759872</v>
      </c>
      <c r="G54" s="11">
        <f t="shared" si="1"/>
        <v>6.2755936651634906E-3</v>
      </c>
    </row>
    <row r="55" spans="1:7" x14ac:dyDescent="0.25">
      <c r="A55">
        <v>44</v>
      </c>
      <c r="B55" s="8">
        <v>504.15543064200006</v>
      </c>
      <c r="C55" s="11">
        <f t="shared" si="0"/>
        <v>4.6482446762276909E-4</v>
      </c>
      <c r="E55" s="153">
        <v>44</v>
      </c>
      <c r="F55" s="243">
        <v>4971.0174421038237</v>
      </c>
      <c r="G55" s="11">
        <f t="shared" si="1"/>
        <v>4.5473090594118602E-3</v>
      </c>
    </row>
    <row r="56" spans="1:7" x14ac:dyDescent="0.25">
      <c r="A56">
        <v>45</v>
      </c>
      <c r="B56" s="8">
        <v>48003.1108163998</v>
      </c>
      <c r="C56" s="11">
        <f t="shared" si="0"/>
        <v>4.4258216957131745E-2</v>
      </c>
      <c r="E56" s="154">
        <v>45</v>
      </c>
      <c r="F56" s="244">
        <v>5371.9110371036631</v>
      </c>
      <c r="G56" s="11">
        <f t="shared" si="1"/>
        <v>4.9140321895627453E-3</v>
      </c>
    </row>
    <row r="57" spans="1:7" x14ac:dyDescent="0.25">
      <c r="A57">
        <v>46</v>
      </c>
      <c r="B57" s="8">
        <v>1714.410481782</v>
      </c>
      <c r="C57" s="11">
        <f t="shared" si="0"/>
        <v>1.5806632063179948E-3</v>
      </c>
      <c r="E57" s="155">
        <v>46</v>
      </c>
      <c r="F57" s="245">
        <v>4718.6032989671385</v>
      </c>
      <c r="G57" s="11">
        <f t="shared" si="1"/>
        <v>4.3164096242001909E-3</v>
      </c>
    </row>
    <row r="58" spans="1:7" x14ac:dyDescent="0.25">
      <c r="A58">
        <v>47</v>
      </c>
      <c r="B58" s="8">
        <v>2727.6230295830001</v>
      </c>
      <c r="C58" s="11">
        <f t="shared" si="0"/>
        <v>2.5148314300353775E-3</v>
      </c>
      <c r="E58" s="156">
        <v>47</v>
      </c>
      <c r="F58" s="246">
        <v>4482.1373832828449</v>
      </c>
      <c r="G58" s="11">
        <f t="shared" si="1"/>
        <v>4.1000990573681765E-3</v>
      </c>
    </row>
    <row r="59" spans="1:7" x14ac:dyDescent="0.25">
      <c r="A59">
        <v>48</v>
      </c>
      <c r="B59" s="8">
        <v>2951.3552785406</v>
      </c>
      <c r="C59" s="11">
        <f t="shared" si="0"/>
        <v>2.7211095283974848E-3</v>
      </c>
      <c r="E59" s="157">
        <v>48</v>
      </c>
      <c r="F59" s="247">
        <v>3594.2474967004409</v>
      </c>
      <c r="G59" s="11">
        <f t="shared" si="1"/>
        <v>3.2878891281051662E-3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158">
        <v>49</v>
      </c>
      <c r="F60" s="248">
        <v>3406.1027242254463</v>
      </c>
      <c r="G60" s="11">
        <f t="shared" si="1"/>
        <v>3.1157810157678174E-3</v>
      </c>
    </row>
    <row r="61" spans="1:7" x14ac:dyDescent="0.25">
      <c r="A61">
        <v>50</v>
      </c>
      <c r="B61" s="8">
        <v>587.61791511999991</v>
      </c>
      <c r="C61" s="11">
        <f t="shared" si="0"/>
        <v>5.4177574605005321E-4</v>
      </c>
      <c r="E61" s="159">
        <v>50</v>
      </c>
      <c r="F61" s="249">
        <v>3166.4765628757373</v>
      </c>
      <c r="G61" s="11">
        <f t="shared" si="1"/>
        <v>2.8965795691688976E-3</v>
      </c>
    </row>
    <row r="62" spans="1:7" x14ac:dyDescent="0.25">
      <c r="A62">
        <v>51</v>
      </c>
      <c r="B62" s="8">
        <v>3380.6097857710001</v>
      </c>
      <c r="C62" s="11">
        <f t="shared" si="0"/>
        <v>3.1168763607490923E-3</v>
      </c>
      <c r="E62" s="160">
        <v>51</v>
      </c>
      <c r="F62" s="250">
        <v>2116.3495887155095</v>
      </c>
      <c r="G62" s="11">
        <f t="shared" si="1"/>
        <v>1.9359609516026322E-3</v>
      </c>
    </row>
    <row r="63" spans="1:7" x14ac:dyDescent="0.25">
      <c r="A63">
        <v>52</v>
      </c>
      <c r="B63" s="8">
        <v>3715.5722256538002</v>
      </c>
      <c r="C63" s="11">
        <f t="shared" si="0"/>
        <v>3.4257071861829805E-3</v>
      </c>
      <c r="E63" s="161">
        <v>52</v>
      </c>
      <c r="F63" s="251">
        <v>3690.8864210098104</v>
      </c>
      <c r="G63" s="11">
        <f t="shared" si="1"/>
        <v>3.3762909615571591E-3</v>
      </c>
    </row>
    <row r="64" spans="1:7" x14ac:dyDescent="0.25">
      <c r="A64">
        <v>53</v>
      </c>
      <c r="B64" s="8">
        <v>1014.60532883</v>
      </c>
      <c r="C64" s="11">
        <f t="shared" si="0"/>
        <v>9.3545234893149679E-4</v>
      </c>
      <c r="E64" s="162">
        <v>53</v>
      </c>
      <c r="F64" s="252">
        <v>2217.260686549645</v>
      </c>
      <c r="G64" s="11">
        <f t="shared" si="1"/>
        <v>2.0282708166797013E-3</v>
      </c>
    </row>
    <row r="65" spans="1:7" x14ac:dyDescent="0.25">
      <c r="A65">
        <v>54</v>
      </c>
      <c r="B65" s="8">
        <v>502.77184882500001</v>
      </c>
      <c r="C65" s="11">
        <f t="shared" si="0"/>
        <v>4.6354882395732125E-4</v>
      </c>
      <c r="E65" s="163">
        <v>54</v>
      </c>
      <c r="F65" s="253">
        <v>1847.8361809050118</v>
      </c>
      <c r="G65" s="11">
        <f t="shared" si="1"/>
        <v>1.6903344845602085E-3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164">
        <v>55</v>
      </c>
      <c r="F66" s="254">
        <v>1458.7134428264048</v>
      </c>
      <c r="G66" s="11">
        <f t="shared" si="1"/>
        <v>1.3343789135535757E-3</v>
      </c>
    </row>
    <row r="67" spans="1:7" x14ac:dyDescent="0.25">
      <c r="A67">
        <v>56</v>
      </c>
      <c r="B67" s="8">
        <v>596.97480037000003</v>
      </c>
      <c r="C67" s="11">
        <f t="shared" si="0"/>
        <v>5.5040266731399786E-4</v>
      </c>
      <c r="E67" s="165">
        <v>56</v>
      </c>
      <c r="F67" s="255">
        <v>1757.074422609674</v>
      </c>
      <c r="G67" s="11">
        <f t="shared" si="1"/>
        <v>1.6073088724895602E-3</v>
      </c>
    </row>
    <row r="68" spans="1:7" x14ac:dyDescent="0.25">
      <c r="A68">
        <v>57</v>
      </c>
      <c r="B68" s="8">
        <v>1368.5751128039999</v>
      </c>
      <c r="C68" s="11">
        <f t="shared" si="0"/>
        <v>1.2618076877617083E-3</v>
      </c>
      <c r="E68" s="166">
        <v>57</v>
      </c>
      <c r="F68" s="256">
        <v>1554.8192018572677</v>
      </c>
      <c r="G68" s="11">
        <f t="shared" si="1"/>
        <v>1.4222930264675992E-3</v>
      </c>
    </row>
    <row r="69" spans="1:7" x14ac:dyDescent="0.25">
      <c r="A69">
        <v>58</v>
      </c>
      <c r="B69" s="8">
        <v>289.54588231970001</v>
      </c>
      <c r="C69" s="11">
        <f t="shared" si="0"/>
        <v>2.6695737548682724E-4</v>
      </c>
      <c r="E69" s="167">
        <v>58</v>
      </c>
      <c r="F69" s="257">
        <v>1542.0782535234703</v>
      </c>
      <c r="G69" s="11">
        <f t="shared" si="1"/>
        <v>1.4106380623765348E-3</v>
      </c>
    </row>
    <row r="70" spans="1:7" x14ac:dyDescent="0.25">
      <c r="A70">
        <v>59</v>
      </c>
      <c r="B70" s="8">
        <v>745.08494598799996</v>
      </c>
      <c r="C70" s="11">
        <f t="shared" si="0"/>
        <v>6.8695821229493553E-4</v>
      </c>
      <c r="E70" s="168">
        <v>59</v>
      </c>
      <c r="F70" s="258">
        <v>1144.154501059762</v>
      </c>
      <c r="G70" s="11">
        <f t="shared" si="1"/>
        <v>1.046631638016137E-3</v>
      </c>
    </row>
    <row r="71" spans="1:7" x14ac:dyDescent="0.25">
      <c r="A71">
        <v>60</v>
      </c>
      <c r="B71" s="8">
        <v>1271.3699490315</v>
      </c>
      <c r="C71" s="11">
        <f t="shared" si="0"/>
        <v>1.1721858454596247E-3</v>
      </c>
      <c r="E71" s="169">
        <v>60</v>
      </c>
      <c r="F71" s="259">
        <v>1313.842436568671</v>
      </c>
      <c r="G71" s="11">
        <f t="shared" si="1"/>
        <v>1.2018560956647895E-3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170">
        <v>61</v>
      </c>
      <c r="F72" s="260">
        <v>903.71243990504445</v>
      </c>
      <c r="G72" s="11">
        <f t="shared" si="1"/>
        <v>8.2668383544118242E-4</v>
      </c>
    </row>
    <row r="73" spans="1:7" x14ac:dyDescent="0.25">
      <c r="A73">
        <v>62</v>
      </c>
      <c r="B73" s="8">
        <v>101.05851781</v>
      </c>
      <c r="C73" s="11">
        <f t="shared" si="0"/>
        <v>9.3174582449625286E-5</v>
      </c>
      <c r="E73" s="171">
        <v>62</v>
      </c>
      <c r="F73" s="261">
        <v>599.47478508397057</v>
      </c>
      <c r="G73" s="11">
        <f t="shared" si="1"/>
        <v>5.4837810425135557E-4</v>
      </c>
    </row>
    <row r="74" spans="1:7" x14ac:dyDescent="0.25">
      <c r="A74">
        <v>63</v>
      </c>
      <c r="B74" s="8">
        <v>210.14965919100001</v>
      </c>
      <c r="C74" s="11">
        <f t="shared" si="0"/>
        <v>1.9375513486023969E-4</v>
      </c>
      <c r="E74" s="172">
        <v>63</v>
      </c>
      <c r="F74" s="262">
        <v>713.70700382569612</v>
      </c>
      <c r="G74" s="11">
        <f t="shared" si="1"/>
        <v>6.5287365455083822E-4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173">
        <v>64</v>
      </c>
      <c r="F75" s="263">
        <v>784.91726305008478</v>
      </c>
      <c r="G75" s="11">
        <f t="shared" si="1"/>
        <v>7.1801425416963282E-4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174">
        <v>65</v>
      </c>
      <c r="F76" s="264">
        <v>600.58497282478925</v>
      </c>
      <c r="G76" s="11">
        <f t="shared" si="1"/>
        <v>5.4939366431129696E-4</v>
      </c>
    </row>
    <row r="77" spans="1:7" x14ac:dyDescent="0.25">
      <c r="A77">
        <v>66</v>
      </c>
      <c r="B77" s="8">
        <v>617.66657806199999</v>
      </c>
      <c r="C77" s="11">
        <f t="shared" ref="C77:C102" si="2">B77/B$102</f>
        <v>5.6948020563904337E-4</v>
      </c>
      <c r="E77" s="175">
        <v>66</v>
      </c>
      <c r="F77" s="265">
        <v>444.90638514373552</v>
      </c>
      <c r="G77" s="11">
        <f t="shared" ref="G77:G102" si="3">F77/F$102</f>
        <v>4.0698445726999248E-4</v>
      </c>
    </row>
    <row r="78" spans="1:7" x14ac:dyDescent="0.25">
      <c r="A78">
        <v>67</v>
      </c>
      <c r="B78" s="8">
        <v>723.6581128263</v>
      </c>
      <c r="C78" s="11">
        <f t="shared" si="2"/>
        <v>6.6720296279867161E-4</v>
      </c>
      <c r="E78" s="176">
        <v>67</v>
      </c>
      <c r="F78" s="266">
        <v>458.53085626677563</v>
      </c>
      <c r="G78" s="11">
        <f t="shared" si="3"/>
        <v>4.1944763642578218E-4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177">
        <v>68</v>
      </c>
      <c r="F79" s="267">
        <v>357.16158838681679</v>
      </c>
      <c r="G79" s="11">
        <f t="shared" si="3"/>
        <v>3.2671865376878329E-4</v>
      </c>
    </row>
    <row r="80" spans="1:7" x14ac:dyDescent="0.25">
      <c r="A80">
        <v>69</v>
      </c>
      <c r="B80" s="8">
        <v>62.0623590382</v>
      </c>
      <c r="C80" s="11">
        <f t="shared" si="2"/>
        <v>5.7220653088292238E-5</v>
      </c>
      <c r="E80" s="178">
        <v>69</v>
      </c>
      <c r="F80" s="268">
        <v>238.47701685009844</v>
      </c>
      <c r="G80" s="11">
        <f t="shared" si="3"/>
        <v>2.1815025028860447E-4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179">
        <v>70</v>
      </c>
      <c r="F81" s="269">
        <v>304.12795534768168</v>
      </c>
      <c r="G81" s="11">
        <f t="shared" si="3"/>
        <v>2.7820538203294327E-4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180">
        <v>71</v>
      </c>
      <c r="F82" s="270">
        <v>271.79945410048197</v>
      </c>
      <c r="G82" s="11">
        <f t="shared" si="3"/>
        <v>2.4863242472374851E-4</v>
      </c>
    </row>
    <row r="83" spans="1:7" x14ac:dyDescent="0.25">
      <c r="A83">
        <v>72</v>
      </c>
      <c r="B83" s="8">
        <v>6950.4158836369998</v>
      </c>
      <c r="C83" s="11">
        <f t="shared" si="2"/>
        <v>6.40818915459137E-3</v>
      </c>
      <c r="E83" s="181">
        <v>72</v>
      </c>
      <c r="F83" s="271">
        <v>251.01350793102361</v>
      </c>
      <c r="G83" s="11">
        <f t="shared" si="3"/>
        <v>2.2961818419337879E-4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182">
        <v>73</v>
      </c>
      <c r="F84" s="272">
        <v>175.0588704809887</v>
      </c>
      <c r="G84" s="11">
        <f t="shared" si="3"/>
        <v>1.6013759696882217E-4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183">
        <v>74</v>
      </c>
      <c r="F85" s="273">
        <v>235.16942587551679</v>
      </c>
      <c r="G85" s="11">
        <f t="shared" si="3"/>
        <v>2.1512458429995756E-4</v>
      </c>
    </row>
    <row r="86" spans="1:7" x14ac:dyDescent="0.25">
      <c r="A86">
        <v>75</v>
      </c>
      <c r="B86" s="8">
        <v>667.66368733900003</v>
      </c>
      <c r="C86" s="11">
        <f t="shared" si="2"/>
        <v>6.1557686212604162E-4</v>
      </c>
      <c r="E86" s="184">
        <v>75</v>
      </c>
      <c r="F86" s="274">
        <v>129.45870572437303</v>
      </c>
      <c r="G86" s="11">
        <f t="shared" si="3"/>
        <v>1.1842419629713307E-4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185">
        <v>76</v>
      </c>
      <c r="F87" s="275">
        <v>164.68047031779838</v>
      </c>
      <c r="G87" s="11">
        <f t="shared" si="3"/>
        <v>1.5064380749132969E-4</v>
      </c>
    </row>
    <row r="88" spans="1:7" x14ac:dyDescent="0.25">
      <c r="A88">
        <v>77</v>
      </c>
      <c r="B88" s="8">
        <v>784.02097555900002</v>
      </c>
      <c r="C88" s="11">
        <f t="shared" si="2"/>
        <v>7.2285670334885054E-4</v>
      </c>
      <c r="E88" s="186">
        <v>77</v>
      </c>
      <c r="F88" s="276">
        <v>146.54265479253382</v>
      </c>
      <c r="G88" s="11">
        <f t="shared" si="3"/>
        <v>1.3405198221278663E-4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187">
        <v>78</v>
      </c>
      <c r="F89" s="277">
        <v>85.938928045492744</v>
      </c>
      <c r="G89" s="11">
        <f t="shared" si="3"/>
        <v>7.8613859357536968E-5</v>
      </c>
    </row>
    <row r="90" spans="1:7" x14ac:dyDescent="0.25">
      <c r="A90">
        <v>79</v>
      </c>
      <c r="B90" s="8">
        <v>413.665615618</v>
      </c>
      <c r="C90" s="11">
        <f t="shared" si="2"/>
        <v>3.8139408576562758E-4</v>
      </c>
      <c r="E90" s="188">
        <v>79</v>
      </c>
      <c r="F90" s="278">
        <v>119.90249570939183</v>
      </c>
      <c r="G90" s="11">
        <f t="shared" si="3"/>
        <v>1.096825169767774E-4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189">
        <v>80</v>
      </c>
      <c r="F91" s="279">
        <v>67.719325289812943</v>
      </c>
      <c r="G91" s="11">
        <f t="shared" si="3"/>
        <v>6.1947218044219746E-5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90">
        <v>81</v>
      </c>
      <c r="F92" s="280">
        <v>98.75825834221564</v>
      </c>
      <c r="G92" s="11">
        <f t="shared" si="3"/>
        <v>9.034052446640251E-5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91">
        <v>82</v>
      </c>
      <c r="F93" s="281">
        <v>40.571772443787999</v>
      </c>
      <c r="G93" s="11">
        <f t="shared" si="3"/>
        <v>3.7113607131491608E-5</v>
      </c>
    </row>
    <row r="94" spans="1:7" x14ac:dyDescent="0.25">
      <c r="A94">
        <v>83</v>
      </c>
      <c r="B94" s="8">
        <v>39.151972034499998</v>
      </c>
      <c r="C94" s="11">
        <f t="shared" si="2"/>
        <v>3.6097587075762234E-5</v>
      </c>
      <c r="E94" s="192">
        <v>83</v>
      </c>
      <c r="F94" s="282">
        <v>50.686611863614772</v>
      </c>
      <c r="G94" s="11">
        <f t="shared" si="3"/>
        <v>4.6366300662337166E-5</v>
      </c>
    </row>
    <row r="95" spans="1:7" x14ac:dyDescent="0.25">
      <c r="A95">
        <v>84</v>
      </c>
      <c r="B95" s="8">
        <v>2935.9154613599999</v>
      </c>
      <c r="C95" s="11">
        <f t="shared" si="2"/>
        <v>2.7068742264152643E-3</v>
      </c>
      <c r="E95" s="193">
        <v>84</v>
      </c>
      <c r="F95" s="283">
        <v>52.033655630161618</v>
      </c>
      <c r="G95" s="11">
        <f t="shared" si="3"/>
        <v>4.7598528147833648E-5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94">
        <v>85</v>
      </c>
      <c r="F96" s="284">
        <v>20.294623563342192</v>
      </c>
      <c r="G96" s="11">
        <f t="shared" si="3"/>
        <v>1.8564796173372972E-5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95">
        <v>86</v>
      </c>
      <c r="F97" s="285">
        <v>31.139060130906369</v>
      </c>
      <c r="G97" s="11">
        <f t="shared" si="3"/>
        <v>2.8484899094402292E-5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96">
        <v>87</v>
      </c>
      <c r="F98" s="286">
        <v>39.746098489744881</v>
      </c>
      <c r="G98" s="11">
        <f t="shared" si="3"/>
        <v>3.6358310113311827E-5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97">
        <v>88</v>
      </c>
      <c r="F99" s="287">
        <v>121.94290801030665</v>
      </c>
      <c r="G99" s="11">
        <f t="shared" si="3"/>
        <v>1.115490132119945E-4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98">
        <v>89</v>
      </c>
      <c r="F100" s="288">
        <v>20.50265084329105</v>
      </c>
      <c r="G100" s="11">
        <f t="shared" si="3"/>
        <v>1.8755092092816757E-5</v>
      </c>
    </row>
    <row r="101" spans="1:7" ht="15.75" thickBot="1" x14ac:dyDescent="0.3">
      <c r="A101" s="1">
        <v>90</v>
      </c>
      <c r="B101" s="9">
        <v>6136.7072054993996</v>
      </c>
      <c r="C101" s="11">
        <f t="shared" si="2"/>
        <v>5.6579607922117555E-3</v>
      </c>
      <c r="E101" s="292">
        <v>90</v>
      </c>
      <c r="F101" s="292">
        <v>200.42143765924803</v>
      </c>
      <c r="G101" s="11">
        <f t="shared" si="3"/>
        <v>1.8333836679972225E-4</v>
      </c>
    </row>
    <row r="102" spans="1:7" x14ac:dyDescent="0.25">
      <c r="B102" s="8">
        <f>SUM(B11:B101)</f>
        <v>1084614.6572713342</v>
      </c>
      <c r="C102" s="11">
        <f t="shared" si="2"/>
        <v>1</v>
      </c>
      <c r="F102" s="8">
        <f>SUM(F11:F101)</f>
        <v>1093177.8282839577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opLeftCell="A10" workbookViewId="0">
      <selection activeCell="I44" sqref="I44"/>
    </sheetView>
  </sheetViews>
  <sheetFormatPr defaultRowHeight="15" x14ac:dyDescent="0.25"/>
  <cols>
    <col min="13" max="14" width="10.5703125" bestFit="1" customWidth="1" collapsed="1"/>
    <col min="15" max="18" width="11.5703125" bestFit="1" customWidth="1" collapsed="1"/>
    <col min="19" max="19" width="10.5703125" bestFit="1" customWidth="1" collapsed="1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r="5" spans="1:21" ht="15.75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>
        <v>30516.464453899</v>
      </c>
      <c r="C7" s="12">
        <v>1319.8073762480001</v>
      </c>
      <c r="D7" s="12">
        <v>3040.7711595896999</v>
      </c>
      <c r="E7" s="12">
        <v>3410.941196756</v>
      </c>
      <c r="F7" s="12">
        <v>3672.2055987190001</v>
      </c>
      <c r="G7" s="12">
        <v>1106.7091161450001</v>
      </c>
      <c r="H7" s="12">
        <v>2290.6335301869999</v>
      </c>
      <c r="I7" s="12"/>
      <c r="J7" s="12">
        <f>SUM(B7:I7)</f>
        <v>45357.532431543703</v>
      </c>
      <c r="K7" s="12"/>
      <c r="L7" t="str">
        <f>$A$7</f>
        <v>Bellevue</v>
      </c>
      <c r="M7" s="343">
        <v>22836.75</v>
      </c>
      <c r="N7" s="343">
        <v>1216.75</v>
      </c>
      <c r="O7" s="343">
        <v>5013.5</v>
      </c>
      <c r="P7" s="343">
        <v>2934.75</v>
      </c>
      <c r="Q7" s="343">
        <v>6234.25</v>
      </c>
      <c r="R7" s="343">
        <v>674.5</v>
      </c>
      <c r="S7" s="343">
        <v>12553</v>
      </c>
      <c r="T7" s="291"/>
      <c r="U7" s="12">
        <f>SUM(M7:T7)</f>
        <v>51463.5</v>
      </c>
    </row>
    <row r="8" spans="1:21" x14ac:dyDescent="0.25">
      <c r="A8" t="s">
        <v>249</v>
      </c>
      <c r="B8" s="12">
        <v>1765.2336084077999</v>
      </c>
      <c r="C8" s="12">
        <v>355.77460079269997</v>
      </c>
      <c r="D8" s="12">
        <v>0</v>
      </c>
      <c r="E8" s="12">
        <v>80.153496050499996</v>
      </c>
      <c r="F8" s="12">
        <v>102.70287500000001</v>
      </c>
      <c r="G8" s="12">
        <v>131.494048378</v>
      </c>
      <c r="H8" s="12">
        <v>117.6075445587</v>
      </c>
      <c r="I8" s="12"/>
      <c r="J8" s="12">
        <f t="shared" ref="J8:J14" si="0">SUM(B8:I8)</f>
        <v>2552.9661731877</v>
      </c>
      <c r="K8" s="12"/>
      <c r="L8" t="str">
        <f>$A$8</f>
        <v>Bellevue Downtown</v>
      </c>
      <c r="M8" s="343">
        <v>1272.5</v>
      </c>
      <c r="N8" s="343">
        <v>388.25</v>
      </c>
      <c r="O8" s="343">
        <v>501.75</v>
      </c>
      <c r="P8" s="343">
        <v>182.75</v>
      </c>
      <c r="Q8" s="343">
        <v>468.75</v>
      </c>
      <c r="R8" s="343">
        <v>44</v>
      </c>
      <c r="S8" s="343">
        <v>863.75</v>
      </c>
      <c r="T8" s="291"/>
      <c r="U8" s="12">
        <f t="shared" ref="U8:U14" si="1">SUM(M8:T8)</f>
        <v>3721.75</v>
      </c>
    </row>
    <row r="9" spans="1:21" x14ac:dyDescent="0.25">
      <c r="A9" t="s">
        <v>250</v>
      </c>
      <c r="B9" s="12">
        <v>0</v>
      </c>
      <c r="C9" s="12">
        <v>0</v>
      </c>
      <c r="D9" s="12">
        <v>22861.903025398602</v>
      </c>
      <c r="E9" s="12">
        <v>3973.3951688470001</v>
      </c>
      <c r="F9" s="12">
        <v>1410.8326957429999</v>
      </c>
      <c r="G9" s="12">
        <v>462.67398030300001</v>
      </c>
      <c r="H9" s="12">
        <v>3702.9056894159999</v>
      </c>
      <c r="I9" s="12"/>
      <c r="J9" s="12">
        <f t="shared" si="0"/>
        <v>32411.710559707601</v>
      </c>
      <c r="K9" s="13"/>
      <c r="L9" t="str">
        <f>$A$9</f>
        <v>Kirkland</v>
      </c>
      <c r="M9" s="343">
        <v>2187.25</v>
      </c>
      <c r="N9" s="343">
        <v>270.75</v>
      </c>
      <c r="O9" s="343">
        <v>20287</v>
      </c>
      <c r="P9" s="343">
        <v>2889.75</v>
      </c>
      <c r="Q9" s="343">
        <v>3880</v>
      </c>
      <c r="R9" s="343">
        <v>266.75</v>
      </c>
      <c r="S9" s="343">
        <v>13697.75</v>
      </c>
      <c r="T9" s="291"/>
      <c r="U9" s="12">
        <f t="shared" si="1"/>
        <v>43479.25</v>
      </c>
    </row>
    <row r="10" spans="1:21" x14ac:dyDescent="0.25">
      <c r="A10" t="s">
        <v>251</v>
      </c>
      <c r="B10" s="12">
        <v>3023.1104186019998</v>
      </c>
      <c r="C10" s="12">
        <v>0</v>
      </c>
      <c r="D10" s="12">
        <v>2465.4362653399999</v>
      </c>
      <c r="E10" s="12">
        <v>31367.574942535</v>
      </c>
      <c r="F10" s="12">
        <v>453.74637119499999</v>
      </c>
      <c r="G10" s="12">
        <v>0</v>
      </c>
      <c r="H10" s="12">
        <v>2377.4846653</v>
      </c>
      <c r="I10" s="12"/>
      <c r="J10" s="12">
        <f t="shared" si="0"/>
        <v>39687.352662971993</v>
      </c>
      <c r="K10" s="13"/>
      <c r="L10" t="str">
        <f>$A$10</f>
        <v>Redmond</v>
      </c>
      <c r="M10" s="343">
        <v>3680</v>
      </c>
      <c r="N10" s="343">
        <v>262</v>
      </c>
      <c r="O10" s="343">
        <v>6626.25</v>
      </c>
      <c r="P10" s="343">
        <v>9093.75</v>
      </c>
      <c r="Q10" s="343">
        <v>2535.5</v>
      </c>
      <c r="R10" s="343">
        <v>234.75</v>
      </c>
      <c r="S10" s="343">
        <v>12917.25</v>
      </c>
      <c r="T10" s="291"/>
      <c r="U10" s="12">
        <f t="shared" si="1"/>
        <v>35349.5</v>
      </c>
    </row>
    <row r="11" spans="1:21" x14ac:dyDescent="0.25">
      <c r="A11" t="s">
        <v>247</v>
      </c>
      <c r="B11" s="12">
        <v>2489.8988629342998</v>
      </c>
      <c r="C11" s="12">
        <v>0</v>
      </c>
      <c r="D11" s="12">
        <v>638.85708346199999</v>
      </c>
      <c r="E11" s="12">
        <v>711.96979718479997</v>
      </c>
      <c r="F11" s="12">
        <v>189341.93687655919</v>
      </c>
      <c r="G11" s="12">
        <v>12867.8462138333</v>
      </c>
      <c r="H11" s="12">
        <v>12898.9596568138</v>
      </c>
      <c r="I11" s="12"/>
      <c r="J11" s="12">
        <f t="shared" si="0"/>
        <v>218949.4684907874</v>
      </c>
      <c r="K11" s="13"/>
      <c r="L11" t="str">
        <f>$A$11</f>
        <v>Seattle</v>
      </c>
      <c r="M11" s="343">
        <v>3221.3597814729183</v>
      </c>
      <c r="N11" s="343">
        <v>259.79810247331397</v>
      </c>
      <c r="O11" s="343">
        <v>5856.3788542303564</v>
      </c>
      <c r="P11" s="343">
        <v>1276.8853162038952</v>
      </c>
      <c r="Q11" s="343">
        <v>146839.51763460034</v>
      </c>
      <c r="R11" s="343">
        <v>6179.9018786884426</v>
      </c>
      <c r="S11" s="343">
        <v>33296.528740794754</v>
      </c>
      <c r="T11" s="291"/>
      <c r="U11" s="12">
        <f t="shared" si="1"/>
        <v>196930.37030846401</v>
      </c>
    </row>
    <row r="12" spans="1:21" x14ac:dyDescent="0.25">
      <c r="A12" t="s">
        <v>252</v>
      </c>
      <c r="B12" s="12">
        <v>0</v>
      </c>
      <c r="C12" s="12">
        <v>0</v>
      </c>
      <c r="D12" s="12">
        <v>56.138876090399997</v>
      </c>
      <c r="E12" s="12">
        <v>225.67193067099998</v>
      </c>
      <c r="F12" s="12">
        <v>7331.3033444148004</v>
      </c>
      <c r="G12" s="12">
        <v>12142.626569464699</v>
      </c>
      <c r="H12" s="12">
        <v>524.84262225470002</v>
      </c>
      <c r="I12" s="12"/>
      <c r="J12" s="12">
        <f t="shared" si="0"/>
        <v>20280.583342895599</v>
      </c>
      <c r="K12" s="13"/>
      <c r="L12" t="str">
        <f>$A$12</f>
        <v>Seattle Downtown</v>
      </c>
      <c r="M12" s="343">
        <v>593.98429668798644</v>
      </c>
      <c r="N12" s="343">
        <v>49.83734667716358</v>
      </c>
      <c r="O12" s="343">
        <v>373.19012211937672</v>
      </c>
      <c r="P12" s="343">
        <v>123.86700508776569</v>
      </c>
      <c r="Q12" s="343">
        <v>9945.1857818911685</v>
      </c>
      <c r="R12" s="343">
        <v>5808.4498959572065</v>
      </c>
      <c r="S12" s="343">
        <v>2606.3497665046866</v>
      </c>
      <c r="T12" s="291"/>
      <c r="U12" s="12">
        <f t="shared" si="1"/>
        <v>19500.864214925354</v>
      </c>
    </row>
    <row r="13" spans="1:21" x14ac:dyDescent="0.25">
      <c r="A13" t="s">
        <v>253</v>
      </c>
      <c r="B13" s="12">
        <v>2336.997559295</v>
      </c>
      <c r="C13" s="12">
        <v>1118.7955351589999</v>
      </c>
      <c r="D13" s="12">
        <v>9652.4227944970007</v>
      </c>
      <c r="E13" s="12">
        <v>3036.7620320860001</v>
      </c>
      <c r="F13" s="12">
        <v>28462.528161741</v>
      </c>
      <c r="G13" s="12">
        <v>2882.6729833049999</v>
      </c>
      <c r="H13" s="12">
        <v>683280.80789956625</v>
      </c>
      <c r="I13" s="12"/>
      <c r="J13" s="12">
        <f t="shared" si="0"/>
        <v>730770.9869656493</v>
      </c>
      <c r="K13" s="13"/>
      <c r="L13" t="str">
        <f>$A$13</f>
        <v>Rest</v>
      </c>
      <c r="M13" s="343">
        <v>13676.652246459329</v>
      </c>
      <c r="N13" s="343">
        <v>545.30962826570476</v>
      </c>
      <c r="O13" s="343">
        <v>10896.988510764157</v>
      </c>
      <c r="P13" s="343">
        <v>4948.5559468464189</v>
      </c>
      <c r="Q13" s="343">
        <v>29564.974787537958</v>
      </c>
      <c r="R13" s="343">
        <v>2240.6528129442659</v>
      </c>
      <c r="S13" s="343">
        <v>677105.04281685827</v>
      </c>
      <c r="T13" s="291"/>
      <c r="U13" s="12">
        <f t="shared" si="1"/>
        <v>738978.17674967612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40131.704903138103</v>
      </c>
      <c r="C15" s="15">
        <f t="shared" si="2"/>
        <v>2794.3775121997</v>
      </c>
      <c r="D15" s="15">
        <f t="shared" si="2"/>
        <v>38715.529204377701</v>
      </c>
      <c r="E15" s="15">
        <f t="shared" si="2"/>
        <v>42806.4685641303</v>
      </c>
      <c r="F15" s="15">
        <f t="shared" si="2"/>
        <v>230775.25592337199</v>
      </c>
      <c r="G15" s="15">
        <f t="shared" si="2"/>
        <v>29594.022911429001</v>
      </c>
      <c r="H15" s="15">
        <f t="shared" si="2"/>
        <v>705193.2416080964</v>
      </c>
      <c r="I15" s="15">
        <f t="shared" si="2"/>
        <v>0</v>
      </c>
      <c r="J15" s="15">
        <f t="shared" si="2"/>
        <v>1090010.6006267434</v>
      </c>
      <c r="K15" s="12"/>
      <c r="L15" s="15" t="s">
        <v>4</v>
      </c>
      <c r="M15" s="15">
        <f t="shared" ref="M15:U15" si="3">SUM(M7:M14)</f>
        <v>47468.496324620231</v>
      </c>
      <c r="N15" s="15">
        <f t="shared" si="3"/>
        <v>2992.6950774161824</v>
      </c>
      <c r="O15" s="15">
        <f t="shared" si="3"/>
        <v>49555.057487113896</v>
      </c>
      <c r="P15" s="15">
        <f t="shared" si="3"/>
        <v>21450.30826813808</v>
      </c>
      <c r="Q15" s="15">
        <f t="shared" si="3"/>
        <v>199468.17820402948</v>
      </c>
      <c r="R15" s="15">
        <f t="shared" si="3"/>
        <v>15449.004587589916</v>
      </c>
      <c r="S15" s="15">
        <f t="shared" si="3"/>
        <v>753039.67132415774</v>
      </c>
      <c r="T15" s="15">
        <f t="shared" si="3"/>
        <v>0</v>
      </c>
      <c r="U15" s="15">
        <f t="shared" si="3"/>
        <v>1089423.4112730655</v>
      </c>
    </row>
    <row r="18" spans="1:32" ht="15.75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34624.548211336223</v>
      </c>
      <c r="C20" s="12">
        <f t="shared" si="4"/>
        <v>1497.4779990523241</v>
      </c>
      <c r="D20" s="12">
        <f t="shared" si="4"/>
        <v>3450.1155195716756</v>
      </c>
      <c r="E20" s="12">
        <f t="shared" si="4"/>
        <v>3870.1173293363418</v>
      </c>
      <c r="F20" s="12">
        <f t="shared" si="4"/>
        <v>4166.5527796271117</v>
      </c>
      <c r="G20" s="12">
        <f t="shared" si="4"/>
        <v>1255.692749262502</v>
      </c>
      <c r="H20" s="12">
        <f t="shared" ref="H20" si="5">($U7/$J7)*H7</f>
        <v>2598.9954118138212</v>
      </c>
      <c r="I20" s="12"/>
      <c r="J20" s="12">
        <f>SUM(B20:I20)</f>
        <v>51463.5</v>
      </c>
      <c r="K20" s="12"/>
      <c r="L20" t="str">
        <f>$A$7</f>
        <v>Bellevue</v>
      </c>
      <c r="M20" s="12">
        <f t="shared" ref="M20:M26" si="6">M7</f>
        <v>22836.75</v>
      </c>
      <c r="N20" s="12">
        <f t="shared" ref="N20:U20" si="7">N7</f>
        <v>1216.75</v>
      </c>
      <c r="O20" s="12">
        <f t="shared" si="7"/>
        <v>5013.5</v>
      </c>
      <c r="P20" s="12">
        <f t="shared" si="7"/>
        <v>2934.75</v>
      </c>
      <c r="Q20" s="12">
        <f t="shared" si="7"/>
        <v>6234.25</v>
      </c>
      <c r="R20" s="12">
        <f t="shared" si="7"/>
        <v>674.5</v>
      </c>
      <c r="S20" s="12">
        <f t="shared" ref="S20" si="8">S7</f>
        <v>12553</v>
      </c>
      <c r="T20" s="12"/>
      <c r="U20" s="12">
        <f t="shared" si="7"/>
        <v>51463.5</v>
      </c>
    </row>
    <row r="21" spans="1:32" x14ac:dyDescent="0.25">
      <c r="A21" t="str">
        <f>$A$8</f>
        <v>Bellevue Downtown</v>
      </c>
      <c r="B21" s="12">
        <f t="shared" ref="B21:G26" si="9">($U8/$J8)*B8</f>
        <v>2573.3823859830304</v>
      </c>
      <c r="C21" s="12">
        <f t="shared" si="9"/>
        <v>518.65321773806363</v>
      </c>
      <c r="D21" s="12">
        <f t="shared" si="9"/>
        <v>0</v>
      </c>
      <c r="E21" s="12">
        <f t="shared" si="9"/>
        <v>116.84889406641419</v>
      </c>
      <c r="F21" s="12">
        <f t="shared" si="9"/>
        <v>149.72169590244988</v>
      </c>
      <c r="G21" s="12">
        <f t="shared" si="9"/>
        <v>191.69387346004626</v>
      </c>
      <c r="H21" s="12">
        <f t="shared" ref="H21" si="10">($U8/$J8)*H8</f>
        <v>171.44993284999572</v>
      </c>
      <c r="I21" s="12"/>
      <c r="J21" s="12">
        <f t="shared" ref="J21:J27" si="11">SUM(B21:I21)</f>
        <v>3721.75</v>
      </c>
      <c r="K21" s="12"/>
      <c r="L21" t="str">
        <f>$A$8</f>
        <v>Bellevue Downtown</v>
      </c>
      <c r="M21" s="12">
        <f t="shared" si="6"/>
        <v>1272.5</v>
      </c>
      <c r="N21" s="12">
        <f t="shared" ref="N21:R26" si="12">N8</f>
        <v>388.25</v>
      </c>
      <c r="O21" s="12">
        <f t="shared" si="12"/>
        <v>501.75</v>
      </c>
      <c r="P21" s="12">
        <f t="shared" si="12"/>
        <v>182.75</v>
      </c>
      <c r="Q21" s="12">
        <f t="shared" si="12"/>
        <v>468.75</v>
      </c>
      <c r="R21" s="12">
        <f t="shared" si="12"/>
        <v>44</v>
      </c>
      <c r="S21" s="12">
        <f t="shared" ref="S21" si="13">S8</f>
        <v>863.75</v>
      </c>
      <c r="T21" s="12"/>
      <c r="U21" s="12">
        <f t="shared" ref="U21:U26" si="14">U8</f>
        <v>3721.75</v>
      </c>
    </row>
    <row r="22" spans="1:32" x14ac:dyDescent="0.25">
      <c r="A22" t="str">
        <f>$A$9</f>
        <v>Kirkland</v>
      </c>
      <c r="B22" s="12">
        <f t="shared" si="9"/>
        <v>0</v>
      </c>
      <c r="C22" s="12">
        <f t="shared" si="9"/>
        <v>0</v>
      </c>
      <c r="D22" s="12">
        <f t="shared" si="9"/>
        <v>30668.495428092876</v>
      </c>
      <c r="E22" s="12">
        <f t="shared" si="9"/>
        <v>5330.1797070178909</v>
      </c>
      <c r="F22" s="12">
        <f t="shared" si="9"/>
        <v>1892.5859335125822</v>
      </c>
      <c r="G22" s="12">
        <f t="shared" si="9"/>
        <v>620.66201723697895</v>
      </c>
      <c r="H22" s="12">
        <f t="shared" ref="H22" si="15">($U9/$J9)*H9</f>
        <v>4967.3269141396731</v>
      </c>
      <c r="I22" s="12"/>
      <c r="J22" s="12">
        <f t="shared" si="11"/>
        <v>43479.25</v>
      </c>
      <c r="K22" s="13"/>
      <c r="L22" t="str">
        <f>$A$9</f>
        <v>Kirkland</v>
      </c>
      <c r="M22" s="12">
        <f t="shared" si="6"/>
        <v>2187.25</v>
      </c>
      <c r="N22" s="12">
        <f t="shared" si="12"/>
        <v>270.75</v>
      </c>
      <c r="O22" s="12">
        <f t="shared" si="12"/>
        <v>20287</v>
      </c>
      <c r="P22" s="12">
        <f t="shared" si="12"/>
        <v>2889.75</v>
      </c>
      <c r="Q22" s="12">
        <f t="shared" si="12"/>
        <v>3880</v>
      </c>
      <c r="R22" s="12">
        <f t="shared" si="12"/>
        <v>266.75</v>
      </c>
      <c r="S22" s="12">
        <f t="shared" ref="S22" si="16">S9</f>
        <v>13697.75</v>
      </c>
      <c r="T22" s="12"/>
      <c r="U22" s="12">
        <f t="shared" si="14"/>
        <v>43479.25</v>
      </c>
    </row>
    <row r="23" spans="1:32" x14ac:dyDescent="0.25">
      <c r="A23" t="str">
        <f>$A$10</f>
        <v>Redmond</v>
      </c>
      <c r="B23" s="12">
        <f t="shared" si="9"/>
        <v>2692.6825442321847</v>
      </c>
      <c r="C23" s="12">
        <f t="shared" si="9"/>
        <v>0</v>
      </c>
      <c r="D23" s="12">
        <f t="shared" si="9"/>
        <v>2195.9625274514328</v>
      </c>
      <c r="E23" s="12">
        <f t="shared" si="9"/>
        <v>27939.079228775805</v>
      </c>
      <c r="F23" s="12">
        <f t="shared" si="9"/>
        <v>404.15160680451686</v>
      </c>
      <c r="G23" s="12">
        <f t="shared" si="9"/>
        <v>0</v>
      </c>
      <c r="H23" s="12">
        <f t="shared" ref="H23" si="17">($U10/$J10)*H10</f>
        <v>2117.6240927360654</v>
      </c>
      <c r="I23" s="12"/>
      <c r="J23" s="12">
        <f>SUM(B23:I23)</f>
        <v>35349.5</v>
      </c>
      <c r="K23" s="13"/>
      <c r="L23" t="str">
        <f>$A$10</f>
        <v>Redmond</v>
      </c>
      <c r="M23" s="12">
        <f t="shared" si="6"/>
        <v>3680</v>
      </c>
      <c r="N23" s="12">
        <f t="shared" si="12"/>
        <v>262</v>
      </c>
      <c r="O23" s="12">
        <f t="shared" si="12"/>
        <v>6626.25</v>
      </c>
      <c r="P23" s="12">
        <f t="shared" si="12"/>
        <v>9093.75</v>
      </c>
      <c r="Q23" s="12">
        <f t="shared" si="12"/>
        <v>2535.5</v>
      </c>
      <c r="R23" s="12">
        <f t="shared" si="12"/>
        <v>234.75</v>
      </c>
      <c r="S23" s="12">
        <f t="shared" ref="S23" si="18">S10</f>
        <v>12917.25</v>
      </c>
      <c r="T23" s="12"/>
      <c r="U23" s="12">
        <f t="shared" si="14"/>
        <v>35349.5</v>
      </c>
    </row>
    <row r="24" spans="1:32" x14ac:dyDescent="0.25">
      <c r="A24" t="str">
        <f>$A$11</f>
        <v>Seattle</v>
      </c>
      <c r="B24" s="12">
        <f t="shared" si="9"/>
        <v>2239.4971245564211</v>
      </c>
      <c r="C24" s="12">
        <f t="shared" si="9"/>
        <v>0</v>
      </c>
      <c r="D24" s="12">
        <f t="shared" si="9"/>
        <v>574.60912276957913</v>
      </c>
      <c r="E24" s="12">
        <f t="shared" si="9"/>
        <v>640.36910787908187</v>
      </c>
      <c r="F24" s="12">
        <f t="shared" si="9"/>
        <v>170300.3802705807</v>
      </c>
      <c r="G24" s="12">
        <f t="shared" si="9"/>
        <v>11573.765113155243</v>
      </c>
      <c r="H24" s="12">
        <f t="shared" ref="H24" si="19">($U11/$J11)*H11</f>
        <v>11601.749569522986</v>
      </c>
      <c r="I24" s="12"/>
      <c r="J24" s="12">
        <f t="shared" si="11"/>
        <v>196930.37030846399</v>
      </c>
      <c r="K24" s="13"/>
      <c r="L24" t="str">
        <f>$A$11</f>
        <v>Seattle</v>
      </c>
      <c r="M24" s="12">
        <f t="shared" si="6"/>
        <v>3221.3597814729183</v>
      </c>
      <c r="N24" s="12">
        <f t="shared" si="12"/>
        <v>259.79810247331397</v>
      </c>
      <c r="O24" s="12">
        <f t="shared" si="12"/>
        <v>5856.3788542303564</v>
      </c>
      <c r="P24" s="12">
        <f t="shared" si="12"/>
        <v>1276.8853162038952</v>
      </c>
      <c r="Q24" s="12">
        <f t="shared" si="12"/>
        <v>146839.51763460034</v>
      </c>
      <c r="R24" s="12">
        <f t="shared" si="12"/>
        <v>6179.9018786884426</v>
      </c>
      <c r="S24" s="12">
        <f t="shared" ref="S24" si="20">S11</f>
        <v>33296.528740794754</v>
      </c>
      <c r="T24" s="12"/>
      <c r="U24" s="12">
        <f t="shared" si="14"/>
        <v>196930.37030846401</v>
      </c>
    </row>
    <row r="25" spans="1:32" x14ac:dyDescent="0.2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53.980528139044338</v>
      </c>
      <c r="E25" s="12">
        <f t="shared" si="9"/>
        <v>216.99561608896437</v>
      </c>
      <c r="F25" s="12">
        <f t="shared" si="9"/>
        <v>7049.4397829016689</v>
      </c>
      <c r="G25" s="12">
        <f t="shared" si="9"/>
        <v>11675.784070906688</v>
      </c>
      <c r="H25" s="12">
        <f t="shared" ref="H25:H26" si="21">($U12/$J12)*H12</f>
        <v>504.66421688898811</v>
      </c>
      <c r="I25" s="12"/>
      <c r="J25" s="12">
        <f t="shared" si="11"/>
        <v>19500.864214925354</v>
      </c>
      <c r="K25" s="13"/>
      <c r="L25" t="str">
        <f>$A$12</f>
        <v>Seattle Downtown</v>
      </c>
      <c r="M25" s="12">
        <f t="shared" si="6"/>
        <v>593.98429668798644</v>
      </c>
      <c r="N25" s="12">
        <f t="shared" si="12"/>
        <v>49.83734667716358</v>
      </c>
      <c r="O25" s="12">
        <f t="shared" si="12"/>
        <v>373.19012211937672</v>
      </c>
      <c r="P25" s="12">
        <f t="shared" si="12"/>
        <v>123.86700508776569</v>
      </c>
      <c r="Q25" s="12">
        <f t="shared" si="12"/>
        <v>9945.1857818911685</v>
      </c>
      <c r="R25" s="12">
        <f t="shared" si="12"/>
        <v>5808.4498959572065</v>
      </c>
      <c r="S25" s="12">
        <f t="shared" ref="S25:S26" si="22">S12</f>
        <v>2606.3497665046866</v>
      </c>
      <c r="T25" s="12"/>
      <c r="U25" s="12">
        <f t="shared" si="14"/>
        <v>19500.864214925354</v>
      </c>
    </row>
    <row r="26" spans="1:32" x14ac:dyDescent="0.25">
      <c r="A26" t="str">
        <f>$A$13</f>
        <v>Rest</v>
      </c>
      <c r="B26" s="12">
        <f t="shared" si="9"/>
        <v>2363.2440617370066</v>
      </c>
      <c r="C26" s="12">
        <f t="shared" si="9"/>
        <v>1131.3605759862205</v>
      </c>
      <c r="D26" s="12">
        <f t="shared" si="9"/>
        <v>9760.8278450026901</v>
      </c>
      <c r="E26" s="12">
        <f t="shared" si="9"/>
        <v>3070.8674943591327</v>
      </c>
      <c r="F26" s="12">
        <f t="shared" si="9"/>
        <v>28782.1869529672</v>
      </c>
      <c r="G26" s="12">
        <f t="shared" si="9"/>
        <v>2915.0478923822029</v>
      </c>
      <c r="H26" s="12">
        <f t="shared" si="21"/>
        <v>690954.64192724158</v>
      </c>
      <c r="I26" s="12"/>
      <c r="J26" s="12">
        <f t="shared" si="11"/>
        <v>738978.176749676</v>
      </c>
      <c r="K26" s="13"/>
      <c r="L26" t="str">
        <f>$A$13</f>
        <v>Rest</v>
      </c>
      <c r="M26" s="12">
        <f t="shared" si="6"/>
        <v>13676.652246459329</v>
      </c>
      <c r="N26" s="12">
        <f t="shared" si="12"/>
        <v>545.30962826570476</v>
      </c>
      <c r="O26" s="12">
        <f t="shared" si="12"/>
        <v>10896.988510764157</v>
      </c>
      <c r="P26" s="12">
        <f t="shared" si="12"/>
        <v>4948.5559468464189</v>
      </c>
      <c r="Q26" s="12">
        <f t="shared" si="12"/>
        <v>29564.974787537958</v>
      </c>
      <c r="R26" s="12">
        <f t="shared" si="12"/>
        <v>2240.6528129442659</v>
      </c>
      <c r="S26" s="12">
        <f t="shared" si="22"/>
        <v>677105.04281685827</v>
      </c>
      <c r="T26" s="12"/>
      <c r="U26" s="12">
        <f t="shared" si="14"/>
        <v>738978.17674967612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23">SUM(B20:B27)</f>
        <v>44493.354327844871</v>
      </c>
      <c r="C28" s="15">
        <f t="shared" si="23"/>
        <v>3147.4917927766082</v>
      </c>
      <c r="D28" s="15">
        <f t="shared" si="23"/>
        <v>46703.990971027299</v>
      </c>
      <c r="E28" s="15">
        <f t="shared" si="23"/>
        <v>41184.457377523628</v>
      </c>
      <c r="F28" s="15">
        <f t="shared" si="23"/>
        <v>212745.01902229624</v>
      </c>
      <c r="G28" s="15">
        <f t="shared" si="23"/>
        <v>28232.645716403662</v>
      </c>
      <c r="H28" s="15">
        <f t="shared" si="23"/>
        <v>712916.45206519309</v>
      </c>
      <c r="I28" s="15">
        <f t="shared" si="23"/>
        <v>0</v>
      </c>
      <c r="J28" s="15">
        <f t="shared" si="23"/>
        <v>1089423.4112730653</v>
      </c>
      <c r="K28" s="12"/>
      <c r="L28" s="15" t="s">
        <v>4</v>
      </c>
      <c r="M28" s="15">
        <f t="shared" ref="M28:U28" si="24">M15</f>
        <v>47468.496324620231</v>
      </c>
      <c r="N28" s="15">
        <f t="shared" si="24"/>
        <v>2992.6950774161824</v>
      </c>
      <c r="O28" s="15">
        <f t="shared" si="24"/>
        <v>49555.057487113896</v>
      </c>
      <c r="P28" s="15">
        <f t="shared" si="24"/>
        <v>21450.30826813808</v>
      </c>
      <c r="Q28" s="15">
        <f t="shared" si="24"/>
        <v>199468.17820402948</v>
      </c>
      <c r="R28" s="15">
        <f t="shared" si="24"/>
        <v>15449.004587589916</v>
      </c>
      <c r="S28" s="15">
        <f t="shared" si="24"/>
        <v>753039.67132415774</v>
      </c>
      <c r="T28" s="15"/>
      <c r="U28" s="15">
        <f t="shared" si="24"/>
        <v>1089423.4112730655</v>
      </c>
    </row>
    <row r="31" spans="1:32" ht="15.75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t="shared" ref="B33:G33" si="25">B20/$J$28</f>
        <v>3.1782452858136294E-2</v>
      </c>
      <c r="C33" s="16">
        <f t="shared" si="25"/>
        <v>1.3745601421419973E-3</v>
      </c>
      <c r="D33" s="16">
        <f t="shared" si="25"/>
        <v>3.1669188341932005E-3</v>
      </c>
      <c r="E33" s="16">
        <f t="shared" si="25"/>
        <v>3.5524455315439265E-3</v>
      </c>
      <c r="F33" s="16">
        <f t="shared" si="25"/>
        <v>3.824548597462406E-3</v>
      </c>
      <c r="G33" s="16">
        <f t="shared" si="25"/>
        <v>1.1526214108021965E-3</v>
      </c>
      <c r="H33" s="16">
        <f t="shared" ref="H33" si="26">H20/$J$28</f>
        <v>2.3856614287155061E-3</v>
      </c>
      <c r="I33" s="12"/>
      <c r="J33" s="16">
        <f t="shared" ref="J33:J39" si="27">J20/$J$28</f>
        <v>4.7239208802995529E-2</v>
      </c>
      <c r="K33" s="12"/>
      <c r="L33" t="str">
        <f>$A$7</f>
        <v>Bellevue</v>
      </c>
      <c r="M33" s="16">
        <f t="shared" ref="M33:R33" si="28">M20/$U$28</f>
        <v>2.0962235402407683E-2</v>
      </c>
      <c r="N33" s="16">
        <f t="shared" si="28"/>
        <v>1.116875208857633E-3</v>
      </c>
      <c r="O33" s="16">
        <f t="shared" si="28"/>
        <v>4.601975639702275E-3</v>
      </c>
      <c r="P33" s="16">
        <f t="shared" si="28"/>
        <v>2.6938561900102225E-3</v>
      </c>
      <c r="Q33" s="16">
        <f t="shared" si="28"/>
        <v>5.7225225155707405E-3</v>
      </c>
      <c r="R33" s="16">
        <f t="shared" si="28"/>
        <v>6.1913484970164241E-4</v>
      </c>
      <c r="S33" s="16">
        <f t="shared" ref="S33" si="29">S20/$U$28</f>
        <v>1.1522608996745318E-2</v>
      </c>
      <c r="T33" s="16"/>
      <c r="U33" s="16">
        <f t="shared" ref="U33:U39" si="30">U20/$U$28</f>
        <v>4.7239208802995515E-2</v>
      </c>
      <c r="W33" t="str">
        <f>$A$7</f>
        <v>Bellevue</v>
      </c>
      <c r="X33" s="16">
        <f t="shared" ref="X33:AD33" si="31">M33-B33</f>
        <v>-1.0820217455728611E-2</v>
      </c>
      <c r="Y33" s="16">
        <f t="shared" si="31"/>
        <v>-2.5768493328436428E-4</v>
      </c>
      <c r="Z33" s="16">
        <f t="shared" si="31"/>
        <v>1.4350568055090745E-3</v>
      </c>
      <c r="AA33" s="16">
        <f t="shared" si="31"/>
        <v>-8.5858934153370398E-4</v>
      </c>
      <c r="AB33" s="16">
        <f t="shared" si="31"/>
        <v>1.8979739181083344E-3</v>
      </c>
      <c r="AC33" s="16">
        <f t="shared" si="31"/>
        <v>-5.3348656110055405E-4</v>
      </c>
      <c r="AD33" s="16">
        <f t="shared" si="31"/>
        <v>9.1369475680298119E-3</v>
      </c>
      <c r="AE33" s="16"/>
      <c r="AF33" s="16">
        <f t="shared" ref="AF33:AF39" si="32">U33-J33</f>
        <v>0</v>
      </c>
    </row>
    <row r="34" spans="1:32" x14ac:dyDescent="0.25">
      <c r="A34" t="str">
        <f>$A$8</f>
        <v>Bellevue Downtown</v>
      </c>
      <c r="B34" s="16">
        <f t="shared" ref="B34:G39" si="33">B21/$J$28</f>
        <v>2.3621508032178767E-3</v>
      </c>
      <c r="C34" s="16">
        <f t="shared" si="33"/>
        <v>4.7608047740775291E-4</v>
      </c>
      <c r="D34" s="16">
        <f t="shared" si="33"/>
        <v>0</v>
      </c>
      <c r="E34" s="16">
        <f t="shared" si="33"/>
        <v>1.0725755739898074E-4</v>
      </c>
      <c r="F34" s="16">
        <f t="shared" si="33"/>
        <v>1.3743205291273289E-4</v>
      </c>
      <c r="G34" s="16">
        <f t="shared" si="33"/>
        <v>1.7595901784049137E-4</v>
      </c>
      <c r="H34" s="16">
        <f t="shared" ref="H34" si="34">H21/$J$28</f>
        <v>1.5737676561369728E-4</v>
      </c>
      <c r="I34" s="12"/>
      <c r="J34" s="16">
        <f t="shared" si="27"/>
        <v>3.4162566743915317E-3</v>
      </c>
      <c r="K34" s="12"/>
      <c r="L34" t="str">
        <f>$A$8</f>
        <v>Bellevue Downtown</v>
      </c>
      <c r="M34" s="16">
        <f t="shared" ref="M34:R39" si="35">M21/$U$28</f>
        <v>1.168049067821112E-3</v>
      </c>
      <c r="N34" s="16">
        <f t="shared" si="35"/>
        <v>3.5638117923893653E-4</v>
      </c>
      <c r="O34" s="16">
        <f t="shared" si="35"/>
        <v>4.6056473067131073E-4</v>
      </c>
      <c r="P34" s="16">
        <f t="shared" si="35"/>
        <v>1.6774928655741313E-4</v>
      </c>
      <c r="Q34" s="16">
        <f t="shared" si="35"/>
        <v>4.3027347783194204E-4</v>
      </c>
      <c r="R34" s="16">
        <f t="shared" si="35"/>
        <v>4.0388337119158293E-5</v>
      </c>
      <c r="S34" s="16">
        <f t="shared" ref="S34" si="36">S21/$U$28</f>
        <v>7.9285059515165853E-4</v>
      </c>
      <c r="T34" s="16"/>
      <c r="U34" s="16">
        <f t="shared" si="30"/>
        <v>3.4162566743915312E-3</v>
      </c>
      <c r="W34" t="str">
        <f>$A$8</f>
        <v>Bellevue Downtown</v>
      </c>
      <c r="X34" s="16">
        <f t="shared" ref="X34:X38" si="37">M34-B34</f>
        <v>-1.1941017353967647E-3</v>
      </c>
      <c r="Y34" s="16">
        <f t="shared" ref="Y34:AD38" si="38">N34-C34</f>
        <v>-1.1969929816881637E-4</v>
      </c>
      <c r="Z34" s="16">
        <f t="shared" si="38"/>
        <v>4.6056473067131073E-4</v>
      </c>
      <c r="AA34" s="16">
        <f t="shared" si="38"/>
        <v>6.0491729158432391E-5</v>
      </c>
      <c r="AB34" s="16">
        <f t="shared" si="38"/>
        <v>2.9284142491920915E-4</v>
      </c>
      <c r="AC34" s="16">
        <f t="shared" si="38"/>
        <v>-1.3557068072133309E-4</v>
      </c>
      <c r="AD34" s="16">
        <f t="shared" si="38"/>
        <v>6.3547382953796122E-4</v>
      </c>
      <c r="AE34" s="16"/>
      <c r="AF34" s="16">
        <f t="shared" si="32"/>
        <v>0</v>
      </c>
    </row>
    <row r="35" spans="1:32" x14ac:dyDescent="0.25">
      <c r="A35" t="str">
        <f>$A$9</f>
        <v>Kirkland</v>
      </c>
      <c r="B35" s="16">
        <f t="shared" si="33"/>
        <v>0</v>
      </c>
      <c r="C35" s="16">
        <f t="shared" si="33"/>
        <v>0</v>
      </c>
      <c r="D35" s="16">
        <f t="shared" si="33"/>
        <v>2.8151125733799548E-2</v>
      </c>
      <c r="E35" s="16">
        <f t="shared" si="33"/>
        <v>4.8926612480167048E-3</v>
      </c>
      <c r="F35" s="16">
        <f t="shared" si="33"/>
        <v>1.7372363343109791E-3</v>
      </c>
      <c r="G35" s="16">
        <f t="shared" si="33"/>
        <v>5.6971606339145328E-4</v>
      </c>
      <c r="H35" s="16">
        <f t="shared" ref="H35" si="39">H22/$J$28</f>
        <v>4.55959259066685E-3</v>
      </c>
      <c r="I35" s="12"/>
      <c r="J35" s="16">
        <f t="shared" si="27"/>
        <v>3.9910331970185536E-2</v>
      </c>
      <c r="K35" s="13"/>
      <c r="L35" t="str">
        <f>$A$9</f>
        <v>Kirkland</v>
      </c>
      <c r="M35" s="16">
        <f t="shared" si="35"/>
        <v>2.0077134173608858E-3</v>
      </c>
      <c r="N35" s="16">
        <f t="shared" si="35"/>
        <v>2.4852596079572969E-4</v>
      </c>
      <c r="O35" s="16">
        <f t="shared" si="35"/>
        <v>1.8621777162190097E-2</v>
      </c>
      <c r="P35" s="16">
        <f t="shared" si="35"/>
        <v>2.6525499361383562E-3</v>
      </c>
      <c r="Q35" s="16">
        <f t="shared" si="35"/>
        <v>3.5615170005075946E-3</v>
      </c>
      <c r="R35" s="16">
        <f t="shared" si="35"/>
        <v>2.4485429378489715E-4</v>
      </c>
      <c r="S35" s="16">
        <f t="shared" ref="S35" si="40">S22/$U$28</f>
        <v>1.2573394199407966E-2</v>
      </c>
      <c r="T35" s="16"/>
      <c r="U35" s="16">
        <f t="shared" si="30"/>
        <v>3.9910331970185522E-2</v>
      </c>
      <c r="W35" t="str">
        <f>$A$9</f>
        <v>Kirkland</v>
      </c>
      <c r="X35" s="16">
        <f t="shared" si="37"/>
        <v>2.0077134173608858E-3</v>
      </c>
      <c r="Y35" s="16">
        <f t="shared" si="38"/>
        <v>2.4852596079572969E-4</v>
      </c>
      <c r="Z35" s="16">
        <f t="shared" si="38"/>
        <v>-9.5293485716094507E-3</v>
      </c>
      <c r="AA35" s="16">
        <f t="shared" si="38"/>
        <v>-2.2401113118783486E-3</v>
      </c>
      <c r="AB35" s="16">
        <f t="shared" si="38"/>
        <v>1.8242806661966154E-3</v>
      </c>
      <c r="AC35" s="16">
        <f t="shared" si="38"/>
        <v>-3.2486176960655613E-4</v>
      </c>
      <c r="AD35" s="16">
        <f t="shared" si="38"/>
        <v>8.0138016087411158E-3</v>
      </c>
      <c r="AE35" s="16"/>
      <c r="AF35" s="16">
        <f t="shared" si="32"/>
        <v>0</v>
      </c>
    </row>
    <row r="36" spans="1:32" x14ac:dyDescent="0.25">
      <c r="A36" t="str">
        <f>$A$10</f>
        <v>Redmond</v>
      </c>
      <c r="B36" s="16">
        <f t="shared" si="33"/>
        <v>2.4716584170755081E-3</v>
      </c>
      <c r="C36" s="16">
        <f t="shared" si="33"/>
        <v>0</v>
      </c>
      <c r="D36" s="16">
        <f t="shared" si="33"/>
        <v>2.0157107922669859E-3</v>
      </c>
      <c r="E36" s="16">
        <f t="shared" si="33"/>
        <v>2.5645748879333422E-2</v>
      </c>
      <c r="F36" s="16">
        <f t="shared" si="33"/>
        <v>3.7097753051978043E-4</v>
      </c>
      <c r="G36" s="16">
        <f t="shared" si="33"/>
        <v>0</v>
      </c>
      <c r="H36" s="16">
        <f t="shared" ref="H36" si="41">H23/$J$28</f>
        <v>1.9438026306608171E-3</v>
      </c>
      <c r="I36" s="12"/>
      <c r="J36" s="16">
        <f t="shared" si="27"/>
        <v>3.2447898249856506E-2</v>
      </c>
      <c r="K36" s="13"/>
      <c r="L36" t="str">
        <f>$A$10</f>
        <v>Redmond</v>
      </c>
      <c r="M36" s="16">
        <f t="shared" si="35"/>
        <v>3.3779336499659661E-3</v>
      </c>
      <c r="N36" s="16">
        <f t="shared" si="35"/>
        <v>2.4049418920953346E-4</v>
      </c>
      <c r="O36" s="16">
        <f t="shared" si="35"/>
        <v>6.0823458826323321E-3</v>
      </c>
      <c r="P36" s="16">
        <f t="shared" si="35"/>
        <v>8.347305469939675E-3</v>
      </c>
      <c r="Q36" s="16">
        <f t="shared" si="35"/>
        <v>2.3273779264914966E-3</v>
      </c>
      <c r="R36" s="16">
        <f t="shared" si="35"/>
        <v>2.1548095769823657E-4</v>
      </c>
      <c r="S36" s="16">
        <f t="shared" ref="S36" si="42">S23/$U$28</f>
        <v>1.1856960173919261E-2</v>
      </c>
      <c r="T36" s="16"/>
      <c r="U36" s="16">
        <f t="shared" si="30"/>
        <v>3.2447898249856499E-2</v>
      </c>
      <c r="W36" t="str">
        <f>$A$10</f>
        <v>Redmond</v>
      </c>
      <c r="X36" s="16">
        <f t="shared" si="37"/>
        <v>9.0627523289045801E-4</v>
      </c>
      <c r="Y36" s="16">
        <f t="shared" si="38"/>
        <v>2.4049418920953346E-4</v>
      </c>
      <c r="Z36" s="16">
        <f t="shared" si="38"/>
        <v>4.0666350903653462E-3</v>
      </c>
      <c r="AA36" s="16">
        <f t="shared" si="38"/>
        <v>-1.7298443409393745E-2</v>
      </c>
      <c r="AB36" s="16">
        <f t="shared" si="38"/>
        <v>1.956400395971716E-3</v>
      </c>
      <c r="AC36" s="16">
        <f t="shared" si="38"/>
        <v>2.1548095769823657E-4</v>
      </c>
      <c r="AD36" s="16">
        <f t="shared" si="38"/>
        <v>9.913157543258444E-3</v>
      </c>
      <c r="AE36" s="16"/>
      <c r="AF36" s="16">
        <f t="shared" si="32"/>
        <v>0</v>
      </c>
    </row>
    <row r="37" spans="1:32" x14ac:dyDescent="0.25">
      <c r="A37" t="str">
        <f>$A$11</f>
        <v>Seattle</v>
      </c>
      <c r="B37" s="16">
        <f t="shared" si="33"/>
        <v>2.0556719282720541E-3</v>
      </c>
      <c r="C37" s="16">
        <f t="shared" si="33"/>
        <v>0</v>
      </c>
      <c r="D37" s="16">
        <f t="shared" si="33"/>
        <v>5.2744334004912682E-4</v>
      </c>
      <c r="E37" s="16">
        <f t="shared" si="33"/>
        <v>5.8780553203897749E-4</v>
      </c>
      <c r="F37" s="16">
        <f t="shared" si="33"/>
        <v>0.15632157204293337</v>
      </c>
      <c r="G37" s="16">
        <f t="shared" si="33"/>
        <v>1.0623752889274255E-2</v>
      </c>
      <c r="H37" s="16">
        <f t="shared" ref="H37" si="43">H24/$J$28</f>
        <v>1.0649440290589637E-2</v>
      </c>
      <c r="I37" s="12"/>
      <c r="J37" s="16">
        <f t="shared" si="27"/>
        <v>0.1807656860231574</v>
      </c>
      <c r="K37" s="13"/>
      <c r="L37" t="str">
        <f>$A$11</f>
        <v>Seattle</v>
      </c>
      <c r="M37" s="16">
        <f t="shared" si="35"/>
        <v>2.9569401099142343E-3</v>
      </c>
      <c r="N37" s="16">
        <f t="shared" si="35"/>
        <v>2.3847303058204173E-4</v>
      </c>
      <c r="O37" s="16">
        <f t="shared" si="35"/>
        <v>5.3756682605037636E-3</v>
      </c>
      <c r="P37" s="16">
        <f t="shared" si="35"/>
        <v>1.1720744230305899E-3</v>
      </c>
      <c r="Q37" s="16">
        <f t="shared" si="35"/>
        <v>0.13478645319638244</v>
      </c>
      <c r="R37" s="16">
        <f t="shared" si="35"/>
        <v>5.6726354645406478E-3</v>
      </c>
      <c r="S37" s="16">
        <f t="shared" ref="S37" si="44">S24/$U$28</f>
        <v>3.0563441538203673E-2</v>
      </c>
      <c r="T37" s="16"/>
      <c r="U37" s="16">
        <f t="shared" si="30"/>
        <v>0.18076568602315737</v>
      </c>
      <c r="W37" t="str">
        <f>$A$11</f>
        <v>Seattle</v>
      </c>
      <c r="X37" s="16">
        <f t="shared" si="37"/>
        <v>9.0126818164218024E-4</v>
      </c>
      <c r="Y37" s="16">
        <f t="shared" si="38"/>
        <v>2.3847303058204173E-4</v>
      </c>
      <c r="Z37" s="16">
        <f t="shared" si="38"/>
        <v>4.8482249204546369E-3</v>
      </c>
      <c r="AA37" s="16">
        <f t="shared" si="38"/>
        <v>5.842688909916124E-4</v>
      </c>
      <c r="AB37" s="16">
        <f t="shared" si="38"/>
        <v>-2.1535118846550932E-2</v>
      </c>
      <c r="AC37" s="16">
        <f t="shared" si="38"/>
        <v>-4.9511174247336073E-3</v>
      </c>
      <c r="AD37" s="16">
        <f t="shared" si="38"/>
        <v>1.9914001247614034E-2</v>
      </c>
      <c r="AE37" s="16"/>
      <c r="AF37" s="16">
        <f t="shared" si="32"/>
        <v>0</v>
      </c>
    </row>
    <row r="38" spans="1:32" x14ac:dyDescent="0.25">
      <c r="A38" t="str">
        <f>$A$12</f>
        <v>Seattle Downtown</v>
      </c>
      <c r="B38" s="16">
        <f t="shared" si="33"/>
        <v>0</v>
      </c>
      <c r="C38" s="16">
        <f t="shared" si="33"/>
        <v>0</v>
      </c>
      <c r="D38" s="16">
        <f t="shared" si="33"/>
        <v>4.9549631098862124E-5</v>
      </c>
      <c r="E38" s="16">
        <f t="shared" si="33"/>
        <v>1.9918391127228508E-4</v>
      </c>
      <c r="F38" s="16">
        <f t="shared" si="33"/>
        <v>6.4707988739326977E-3</v>
      </c>
      <c r="G38" s="16">
        <f t="shared" si="33"/>
        <v>1.0717397799688132E-2</v>
      </c>
      <c r="H38" s="16">
        <f t="shared" ref="H38:H39" si="45">H25/$J$28</f>
        <v>4.6323973917473802E-4</v>
      </c>
      <c r="I38" s="12"/>
      <c r="J38" s="16">
        <f t="shared" si="27"/>
        <v>1.7900169955166714E-2</v>
      </c>
      <c r="K38" s="13"/>
      <c r="L38" t="str">
        <f>$A$12</f>
        <v>Seattle Downtown</v>
      </c>
      <c r="M38" s="16">
        <f t="shared" si="35"/>
        <v>5.4522813677546664E-4</v>
      </c>
      <c r="N38" s="16">
        <f t="shared" si="35"/>
        <v>4.5746535425491953E-5</v>
      </c>
      <c r="O38" s="16">
        <f t="shared" si="35"/>
        <v>3.4255746503857363E-4</v>
      </c>
      <c r="P38" s="16">
        <f t="shared" si="35"/>
        <v>1.136995990778449E-4</v>
      </c>
      <c r="Q38" s="16">
        <f t="shared" si="35"/>
        <v>9.1288526379927348E-3</v>
      </c>
      <c r="R38" s="16">
        <f t="shared" si="35"/>
        <v>5.3316734667649898E-3</v>
      </c>
      <c r="S38" s="16">
        <f t="shared" ref="S38:S39" si="46">S25/$U$28</f>
        <v>2.3924121140916086E-3</v>
      </c>
      <c r="T38" s="16"/>
      <c r="U38" s="16">
        <f t="shared" si="30"/>
        <v>1.790016995516671E-2</v>
      </c>
      <c r="W38" t="str">
        <f>$A$12</f>
        <v>Seattle Downtown</v>
      </c>
      <c r="X38" s="16">
        <f t="shared" si="37"/>
        <v>5.4522813677546664E-4</v>
      </c>
      <c r="Y38" s="16">
        <f t="shared" si="38"/>
        <v>4.5746535425491953E-5</v>
      </c>
      <c r="Z38" s="16">
        <f t="shared" si="38"/>
        <v>2.9300783393971153E-4</v>
      </c>
      <c r="AA38" s="16">
        <f t="shared" si="38"/>
        <v>-8.5484312194440178E-5</v>
      </c>
      <c r="AB38" s="16">
        <f t="shared" si="38"/>
        <v>2.6580537640600371E-3</v>
      </c>
      <c r="AC38" s="16">
        <f t="shared" si="38"/>
        <v>-5.3857243329231419E-3</v>
      </c>
      <c r="AD38" s="16">
        <f t="shared" si="38"/>
        <v>1.9291723749168706E-3</v>
      </c>
      <c r="AE38" s="16"/>
      <c r="AF38" s="16">
        <f t="shared" si="32"/>
        <v>0</v>
      </c>
    </row>
    <row r="39" spans="1:32" x14ac:dyDescent="0.25">
      <c r="A39" t="str">
        <f>$A$13</f>
        <v>Rest</v>
      </c>
      <c r="B39" s="16">
        <f t="shared" si="33"/>
        <v>2.1692613150064359E-3</v>
      </c>
      <c r="C39" s="16">
        <f t="shared" si="33"/>
        <v>1.038494826051286E-3</v>
      </c>
      <c r="D39" s="16">
        <f t="shared" si="33"/>
        <v>8.9596273992280928E-3</v>
      </c>
      <c r="E39" s="16">
        <f t="shared" si="33"/>
        <v>2.8188007184191274E-3</v>
      </c>
      <c r="F39" s="16">
        <f t="shared" si="33"/>
        <v>2.6419651583706339E-2</v>
      </c>
      <c r="G39" s="16">
        <f t="shared" si="33"/>
        <v>2.6757712953641884E-3</v>
      </c>
      <c r="H39" s="16">
        <f t="shared" si="45"/>
        <v>0.63423884118647145</v>
      </c>
      <c r="I39" s="12"/>
      <c r="J39" s="16">
        <f t="shared" si="27"/>
        <v>0.67832044832424687</v>
      </c>
      <c r="K39" s="13"/>
      <c r="L39" t="str">
        <f>$A$13</f>
        <v>Rest</v>
      </c>
      <c r="M39" s="16">
        <f t="shared" si="35"/>
        <v>1.2554028217988476E-2</v>
      </c>
      <c r="N39" s="16">
        <f t="shared" si="35"/>
        <v>5.0054884319814029E-4</v>
      </c>
      <c r="O39" s="16">
        <f t="shared" si="35"/>
        <v>1.0002528308098578E-2</v>
      </c>
      <c r="P39" s="16">
        <f t="shared" si="35"/>
        <v>4.5423624053238347E-3</v>
      </c>
      <c r="Q39" s="16">
        <f t="shared" si="35"/>
        <v>2.713818565087496E-2</v>
      </c>
      <c r="R39" s="16">
        <f t="shared" si="35"/>
        <v>2.0567327540041667E-3</v>
      </c>
      <c r="S39" s="16">
        <f t="shared" si="46"/>
        <v>0.6215260621447587</v>
      </c>
      <c r="T39" s="16"/>
      <c r="U39" s="16">
        <f t="shared" si="30"/>
        <v>0.67832044832424687</v>
      </c>
      <c r="W39" t="str">
        <f>$A$13</f>
        <v>Rest</v>
      </c>
      <c r="X39" s="16">
        <f t="shared" ref="X39" si="47">M39-B39</f>
        <v>1.038476690298204E-2</v>
      </c>
      <c r="Y39" s="16">
        <f t="shared" ref="Y39" si="48">N39-C39</f>
        <v>-5.3794598285314573E-4</v>
      </c>
      <c r="Z39" s="16">
        <f t="shared" ref="Z39" si="49">O39-D39</f>
        <v>1.0429009088704852E-3</v>
      </c>
      <c r="AA39" s="16">
        <f t="shared" ref="AA39" si="50">P39-E39</f>
        <v>1.7235616869047073E-3</v>
      </c>
      <c r="AB39" s="16">
        <f t="shared" ref="AB39" si="51">Q39-F39</f>
        <v>7.185340671686212E-4</v>
      </c>
      <c r="AC39" s="16">
        <f t="shared" ref="AC39:AD39" si="52">R39-G39</f>
        <v>-6.1903854136002162E-4</v>
      </c>
      <c r="AD39" s="16">
        <f t="shared" si="52"/>
        <v>-1.2712779041712752E-2</v>
      </c>
      <c r="AE39" s="16"/>
      <c r="AF39" s="16">
        <f t="shared" si="32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5.75" thickBot="1" x14ac:dyDescent="0.3">
      <c r="A41" s="1" t="s">
        <v>4</v>
      </c>
      <c r="B41" s="18">
        <f t="shared" ref="B41:J41" si="53">B28/$J$28</f>
        <v>4.0841195321708171E-2</v>
      </c>
      <c r="C41" s="18">
        <f t="shared" si="53"/>
        <v>2.8891354456010362E-3</v>
      </c>
      <c r="D41" s="18">
        <f t="shared" si="53"/>
        <v>4.2870375730635818E-2</v>
      </c>
      <c r="E41" s="18">
        <f t="shared" si="53"/>
        <v>3.7803903378023418E-2</v>
      </c>
      <c r="F41" s="18">
        <f t="shared" si="53"/>
        <v>0.1952822170157783</v>
      </c>
      <c r="G41" s="18">
        <f t="shared" si="53"/>
        <v>2.5915218476360719E-2</v>
      </c>
      <c r="H41" s="18">
        <f t="shared" si="53"/>
        <v>0.65439795463189265</v>
      </c>
      <c r="I41" s="18">
        <f t="shared" si="53"/>
        <v>0</v>
      </c>
      <c r="J41" s="18">
        <f t="shared" si="53"/>
        <v>1</v>
      </c>
      <c r="K41" s="12"/>
      <c r="L41" s="15" t="s">
        <v>4</v>
      </c>
      <c r="M41" s="18">
        <f>M28/$U$28</f>
        <v>4.3572128002233826E-2</v>
      </c>
      <c r="N41" s="18">
        <f>N28/$U$28</f>
        <v>2.7470449473075069E-3</v>
      </c>
      <c r="O41" s="18">
        <f>O28/$U$28</f>
        <v>4.5487417448836935E-2</v>
      </c>
      <c r="P41" s="18">
        <f>P28/$U$28</f>
        <v>1.9689597310077935E-2</v>
      </c>
      <c r="Q41" s="18">
        <f t="shared" ref="Q41:S41" si="54">Q28/$U$28</f>
        <v>0.18309518240565192</v>
      </c>
      <c r="R41" s="18">
        <f t="shared" si="54"/>
        <v>1.4180900123613739E-2</v>
      </c>
      <c r="S41" s="18">
        <f t="shared" si="54"/>
        <v>0.6912277297622782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5">M41-B41</f>
        <v>2.7309326805256551E-3</v>
      </c>
      <c r="Y41" s="18">
        <f t="shared" si="55"/>
        <v>-1.4209049829352937E-4</v>
      </c>
      <c r="Z41" s="18">
        <f t="shared" si="55"/>
        <v>2.6170417182011171E-3</v>
      </c>
      <c r="AA41" s="18">
        <f t="shared" si="55"/>
        <v>-1.8114306067945483E-2</v>
      </c>
      <c r="AB41" s="18">
        <f t="shared" si="55"/>
        <v>-1.2187034610126379E-2</v>
      </c>
      <c r="AC41" s="18">
        <f t="shared" si="55"/>
        <v>-1.173431835274698E-2</v>
      </c>
      <c r="AD41" s="295">
        <f t="shared" si="55"/>
        <v>3.6829775130385545E-2</v>
      </c>
      <c r="AE41" s="18">
        <f t="shared" si="55"/>
        <v>0</v>
      </c>
      <c r="AF41" s="18">
        <f t="shared" si="5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4"/>
  <sheetViews>
    <sheetView topLeftCell="A68" workbookViewId="0">
      <selection activeCell="K98" sqref="K98"/>
    </sheetView>
  </sheetViews>
  <sheetFormatPr defaultRowHeight="15" x14ac:dyDescent="0.25"/>
  <cols>
    <col min="2" max="2" width="10.7109375" bestFit="1" customWidth="1" collapsed="1"/>
    <col min="3" max="3" width="13.7109375" bestFit="1" customWidth="1" collapsed="1"/>
  </cols>
  <sheetData>
    <row r="1" spans="1:4" x14ac:dyDescent="0.25">
      <c r="A1" s="298" t="s">
        <v>42</v>
      </c>
    </row>
    <row r="2" spans="1:4" x14ac:dyDescent="0.25">
      <c r="A2" t="s">
        <v>258</v>
      </c>
      <c r="B2" t="s">
        <v>259</v>
      </c>
      <c r="C2" t="s">
        <v>91</v>
      </c>
      <c r="D2" t="s">
        <v>260</v>
      </c>
    </row>
    <row r="3" spans="1:4" x14ac:dyDescent="0.25">
      <c r="A3">
        <v>1</v>
      </c>
      <c r="B3" t="s">
        <v>45</v>
      </c>
      <c r="C3" t="s">
        <v>277</v>
      </c>
      <c r="D3" t="s">
        <v>46</v>
      </c>
    </row>
    <row r="4" spans="1:4" x14ac:dyDescent="0.25">
      <c r="A4">
        <v>2</v>
      </c>
      <c r="B4" t="s">
        <v>48</v>
      </c>
      <c r="C4" t="s">
        <v>277</v>
      </c>
      <c r="D4" t="s">
        <v>49</v>
      </c>
    </row>
    <row r="5" spans="1:4" x14ac:dyDescent="0.25">
      <c r="A5">
        <v>3</v>
      </c>
      <c r="B5" t="s">
        <v>51</v>
      </c>
      <c r="C5" t="s">
        <v>277</v>
      </c>
      <c r="D5" t="s">
        <v>52</v>
      </c>
    </row>
    <row r="6" spans="1:4" x14ac:dyDescent="0.25">
      <c r="A6">
        <v>4</v>
      </c>
      <c r="B6" t="s">
        <v>54</v>
      </c>
      <c r="C6" t="s">
        <v>277</v>
      </c>
      <c r="D6" t="s">
        <v>55</v>
      </c>
    </row>
    <row r="7" spans="1:4" x14ac:dyDescent="0.25">
      <c r="A7">
        <v>5</v>
      </c>
      <c r="B7" t="s">
        <v>57</v>
      </c>
      <c r="C7" t="s">
        <v>277</v>
      </c>
      <c r="D7" t="s">
        <v>58</v>
      </c>
    </row>
    <row r="8" spans="1:4" x14ac:dyDescent="0.25">
      <c r="A8">
        <v>6</v>
      </c>
      <c r="B8" t="s">
        <v>59</v>
      </c>
      <c r="C8" t="s">
        <v>277</v>
      </c>
      <c r="D8" t="s">
        <v>60</v>
      </c>
    </row>
    <row r="9" spans="1:4" x14ac:dyDescent="0.25">
      <c r="A9">
        <v>7</v>
      </c>
      <c r="B9" t="s">
        <v>61</v>
      </c>
      <c r="C9" t="s">
        <v>277</v>
      </c>
      <c r="D9" t="s">
        <v>62</v>
      </c>
    </row>
    <row r="10" spans="1:4" x14ac:dyDescent="0.25">
      <c r="A10">
        <v>8</v>
      </c>
      <c r="B10" t="s">
        <v>64</v>
      </c>
      <c r="C10" t="s">
        <v>277</v>
      </c>
      <c r="D10" t="s">
        <v>65</v>
      </c>
    </row>
    <row r="11" spans="1:4" x14ac:dyDescent="0.25">
      <c r="A11">
        <v>9</v>
      </c>
      <c r="B11" t="s">
        <v>66</v>
      </c>
      <c r="C11" t="s">
        <v>277</v>
      </c>
      <c r="D11" t="s">
        <v>67</v>
      </c>
    </row>
    <row r="12" spans="1:4" x14ac:dyDescent="0.25">
      <c r="A12">
        <v>10</v>
      </c>
      <c r="B12" t="s">
        <v>68</v>
      </c>
      <c r="C12" t="s">
        <v>277</v>
      </c>
      <c r="D12" t="s">
        <v>69</v>
      </c>
    </row>
    <row r="13" spans="1:4" x14ac:dyDescent="0.25">
      <c r="A13">
        <v>11</v>
      </c>
      <c r="B13" t="s">
        <v>70</v>
      </c>
      <c r="C13" t="s">
        <v>277</v>
      </c>
      <c r="D13" t="s">
        <v>71</v>
      </c>
    </row>
    <row r="14" spans="1:4" x14ac:dyDescent="0.25">
      <c r="A14">
        <v>12</v>
      </c>
      <c r="B14" t="s">
        <v>72</v>
      </c>
      <c r="C14" t="s">
        <v>277</v>
      </c>
      <c r="D14" t="s">
        <v>73</v>
      </c>
    </row>
    <row r="15" spans="1:4" x14ac:dyDescent="0.25">
      <c r="A15">
        <v>13</v>
      </c>
      <c r="B15" t="s">
        <v>74</v>
      </c>
      <c r="C15" t="s">
        <v>277</v>
      </c>
      <c r="D15" t="s">
        <v>75</v>
      </c>
    </row>
    <row r="16" spans="1:4" x14ac:dyDescent="0.25">
      <c r="A16">
        <v>14</v>
      </c>
      <c r="B16" t="s">
        <v>76</v>
      </c>
      <c r="C16" t="s">
        <v>277</v>
      </c>
      <c r="D16" t="s">
        <v>77</v>
      </c>
    </row>
    <row r="17" spans="1:4" x14ac:dyDescent="0.25">
      <c r="A17">
        <v>15</v>
      </c>
      <c r="B17" t="s">
        <v>78</v>
      </c>
      <c r="C17" t="s">
        <v>277</v>
      </c>
      <c r="D17" t="s">
        <v>79</v>
      </c>
    </row>
    <row r="18" spans="1:4" x14ac:dyDescent="0.25">
      <c r="A18">
        <v>16</v>
      </c>
      <c r="B18" t="s">
        <v>80</v>
      </c>
      <c r="C18" t="s">
        <v>277</v>
      </c>
      <c r="D18" t="s">
        <v>81</v>
      </c>
    </row>
    <row r="19" spans="1:4" x14ac:dyDescent="0.25">
      <c r="A19">
        <v>17</v>
      </c>
      <c r="B19" t="s">
        <v>83</v>
      </c>
      <c r="C19" t="s">
        <v>277</v>
      </c>
      <c r="D19" t="s">
        <v>84</v>
      </c>
    </row>
    <row r="20" spans="1:4" x14ac:dyDescent="0.25">
      <c r="A20">
        <v>18</v>
      </c>
      <c r="B20" t="s">
        <v>86</v>
      </c>
      <c r="C20" t="s">
        <v>277</v>
      </c>
      <c r="D20" t="s">
        <v>87</v>
      </c>
    </row>
    <row r="21" spans="1:4" x14ac:dyDescent="0.25">
      <c r="A21">
        <v>19</v>
      </c>
      <c r="B21" t="s">
        <v>89</v>
      </c>
      <c r="C21" t="s">
        <v>277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256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sqref="A1:N1048576"/>
    </sheetView>
  </sheetViews>
  <sheetFormatPr defaultRowHeight="15" x14ac:dyDescent="0.25"/>
  <sheetData>
    <row r="1" spans="1:11" x14ac:dyDescent="0.25">
      <c r="A1" s="351" t="s">
        <v>227</v>
      </c>
      <c r="B1" s="352"/>
      <c r="C1" s="352"/>
      <c r="D1" s="352"/>
      <c r="E1" s="352"/>
      <c r="F1" s="352"/>
      <c r="G1" s="352"/>
      <c r="H1" s="352" t="s">
        <v>228</v>
      </c>
      <c r="I1" s="352"/>
      <c r="J1" s="352"/>
      <c r="K1" s="353"/>
    </row>
    <row r="2" spans="1:11" x14ac:dyDescent="0.25">
      <c r="A2" s="354">
        <v>1</v>
      </c>
      <c r="B2" s="355" t="s">
        <v>264</v>
      </c>
      <c r="C2" s="355"/>
      <c r="D2" s="355"/>
      <c r="E2" s="355"/>
      <c r="F2" s="355"/>
      <c r="G2" s="355"/>
      <c r="H2" s="355"/>
      <c r="I2" s="355"/>
      <c r="J2" s="355"/>
      <c r="K2" s="356"/>
    </row>
    <row r="3" spans="1:11" x14ac:dyDescent="0.25">
      <c r="A3" s="354">
        <v>2</v>
      </c>
      <c r="B3" s="355" t="s">
        <v>229</v>
      </c>
      <c r="C3" s="355"/>
      <c r="D3" s="355"/>
      <c r="E3" s="355"/>
      <c r="F3" s="355"/>
      <c r="G3" s="355"/>
      <c r="H3" s="355"/>
      <c r="I3" s="355"/>
      <c r="J3" s="355"/>
      <c r="K3" s="356"/>
    </row>
    <row r="4" spans="1:11" x14ac:dyDescent="0.25">
      <c r="A4" s="354">
        <v>3</v>
      </c>
      <c r="B4" s="355" t="s">
        <v>230</v>
      </c>
      <c r="C4" s="355"/>
      <c r="D4" s="355"/>
      <c r="E4" s="355"/>
      <c r="F4" s="355"/>
      <c r="G4" s="355"/>
      <c r="H4" s="355"/>
      <c r="I4" s="355"/>
      <c r="J4" s="355"/>
      <c r="K4" s="356"/>
    </row>
    <row r="5" spans="1:11" x14ac:dyDescent="0.25">
      <c r="A5" s="357">
        <v>4</v>
      </c>
      <c r="B5" s="358" t="s">
        <v>231</v>
      </c>
      <c r="C5" s="358"/>
      <c r="D5" s="358"/>
      <c r="E5" s="358"/>
      <c r="F5" s="358"/>
      <c r="G5" s="358"/>
      <c r="H5" s="358"/>
      <c r="I5" s="358"/>
      <c r="J5" s="358"/>
      <c r="K5" s="359"/>
    </row>
    <row r="8" spans="1:11" x14ac:dyDescent="0.25">
      <c r="A8" t="s">
        <v>232</v>
      </c>
      <c r="B8" t="s">
        <v>233</v>
      </c>
      <c r="C8" t="s">
        <v>234</v>
      </c>
      <c r="D8" t="s">
        <v>254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256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1:Y104"/>
  <sheetViews>
    <sheetView tabSelected="1" zoomScaleNormal="100" workbookViewId="0">
      <selection activeCell="K9" sqref="K9"/>
    </sheetView>
  </sheetViews>
  <sheetFormatPr defaultRowHeight="15" x14ac:dyDescent="0.25"/>
  <cols>
    <col min="1" max="2" width="9.140625" style="297" collapsed="1"/>
    <col min="3" max="3" width="12.7109375" style="297" bestFit="1" customWidth="1" collapsed="1"/>
    <col min="4" max="4" width="18.85546875" style="296" customWidth="1" collapsed="1"/>
    <col min="5" max="5" width="6.7109375" style="297" customWidth="1" collapsed="1"/>
    <col min="6" max="6" width="12.7109375" style="297" customWidth="1" collapsed="1"/>
    <col min="7" max="7" width="18.85546875" style="296" customWidth="1" collapsed="1"/>
    <col min="8" max="8" width="8.7109375" style="296" customWidth="1" collapsed="1"/>
    <col min="9" max="9" width="6.5703125" style="296" customWidth="1" collapsed="1"/>
    <col min="10" max="10" width="10.140625" style="296" customWidth="1" collapsed="1"/>
    <col min="11" max="11" width="9.85546875" style="296" customWidth="1" collapsed="1"/>
    <col min="12" max="14" width="9.140625" style="297" collapsed="1"/>
    <col min="15" max="15" width="13" style="297" customWidth="1" collapsed="1"/>
    <col min="16" max="16" width="19.5703125" style="299" bestFit="1" customWidth="1" collapsed="1"/>
    <col min="17" max="17" width="19.5703125" style="334" customWidth="1" collapsed="1"/>
    <col min="18" max="16384" width="9.140625" style="297" collapsed="1"/>
  </cols>
  <sheetData>
    <row r="1" spans="3:25" x14ac:dyDescent="0.2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r="2" spans="3:25" ht="15.75" thickBot="1" x14ac:dyDescent="0.3">
      <c r="C2" s="298" t="s">
        <v>43</v>
      </c>
      <c r="M2" s="10" t="s">
        <v>91</v>
      </c>
      <c r="N2" s="10" t="s">
        <v>258</v>
      </c>
      <c r="O2" s="10" t="s">
        <v>259</v>
      </c>
      <c r="P2" s="349" t="s">
        <v>261</v>
      </c>
      <c r="Q2" s="350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6"/>
      <c r="I3" s="366"/>
      <c r="J3" s="366"/>
      <c r="K3" s="366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7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25">
      <c r="C4" s="303" t="s">
        <v>47</v>
      </c>
      <c r="D4" s="304">
        <f>TLFD!B11</f>
        <v>52948.7990929593</v>
      </c>
      <c r="F4" s="303" t="s">
        <v>47</v>
      </c>
      <c r="G4" s="304">
        <f>TLFD!F11</f>
        <v>146896.26806665282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25">
      <c r="C5" s="306" t="s">
        <v>50</v>
      </c>
      <c r="D5" s="307">
        <f>TLFD!B12+TLFD!B13+(TLFD!B14/2)</f>
        <v>253789.43655732469</v>
      </c>
      <c r="F5" s="306" t="s">
        <v>50</v>
      </c>
      <c r="G5" s="307">
        <f>TLFD!F12+TLFD!F13+(TLFD!F14/2)</f>
        <v>164216.20093500917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7">
        <f t="shared" ref="Q5:Q68" si="0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25">
      <c r="C6" s="306" t="s">
        <v>53</v>
      </c>
      <c r="D6" s="307">
        <f>(TLFD!B14/2)+SUM(TLFD!B15:B20)</f>
        <v>572085.26195543422</v>
      </c>
      <c r="F6" s="306" t="s">
        <v>53</v>
      </c>
      <c r="G6" s="307">
        <f>(TLFD!F14/2)+SUM(TLFD!F15:F20)</f>
        <v>494172.14041829895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7">
        <f t="shared" si="0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25">
      <c r="C7" s="309" t="s">
        <v>56</v>
      </c>
      <c r="D7" s="310">
        <f>SUM(TLFD!B21:B101)</f>
        <v>205791.15966561608</v>
      </c>
      <c r="F7" s="309" t="s">
        <v>56</v>
      </c>
      <c r="G7" s="310">
        <f>SUM(TLFD!F21:F101)</f>
        <v>287893.21886399592</v>
      </c>
      <c r="H7" s="367"/>
      <c r="I7" s="367"/>
      <c r="J7" s="367"/>
      <c r="K7" s="367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7">
        <f t="shared" si="0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r="8" spans="3:25" ht="15.75" thickBot="1" x14ac:dyDescent="0.3">
      <c r="C8" s="312" t="s">
        <v>4</v>
      </c>
      <c r="D8" s="313">
        <f>SUM(D4:D7)</f>
        <v>1084614.6572713342</v>
      </c>
      <c r="E8" s="314"/>
      <c r="F8" s="312" t="s">
        <v>4</v>
      </c>
      <c r="G8" s="313">
        <f>SUM(G4:G7)</f>
        <v>1093177.828283957</v>
      </c>
      <c r="H8" s="368"/>
      <c r="I8" s="368"/>
      <c r="J8" s="368" t="s">
        <v>283</v>
      </c>
      <c r="K8" s="380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7">
        <f t="shared" si="0"/>
        <v>-8.2865473150899996E-2</v>
      </c>
      <c r="T8" s="322"/>
      <c r="U8" s="322"/>
      <c r="V8" s="322"/>
      <c r="W8" s="322"/>
      <c r="X8" s="322"/>
      <c r="Y8" s="322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7">
        <f t="shared" si="0"/>
        <v>-3.9895313632499998</v>
      </c>
      <c r="T9" s="322"/>
      <c r="U9" s="360" t="s">
        <v>268</v>
      </c>
      <c r="V9" s="322"/>
      <c r="W9" s="322"/>
      <c r="X9" s="322"/>
      <c r="Y9" s="322"/>
    </row>
    <row r="10" spans="3:25" ht="15.75" thickBot="1" x14ac:dyDescent="0.3">
      <c r="C10" s="315" t="s">
        <v>63</v>
      </c>
      <c r="I10" s="379" t="s">
        <v>282</v>
      </c>
      <c r="J10" s="370"/>
      <c r="K10" s="370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7">
        <f t="shared" si="0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6"/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7">
        <f t="shared" si="0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25">
      <c r="C12" s="303" t="s">
        <v>47</v>
      </c>
      <c r="D12" s="317">
        <f>D4/D$8</f>
        <v>4.8818074454357374E-2</v>
      </c>
      <c r="F12" s="303" t="s">
        <v>47</v>
      </c>
      <c r="G12" s="317">
        <f>G4/G$8</f>
        <v>0.13437545499550324</v>
      </c>
      <c r="H12" s="317"/>
      <c r="I12" s="371">
        <f>D12/G12</f>
        <v>0.36329606813975834</v>
      </c>
      <c r="J12" s="372">
        <f>LN(I12)</f>
        <v>-1.01253716244014</v>
      </c>
      <c r="K12" s="372">
        <f>K8*J12</f>
        <v>-1.01253716244014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7">
        <f t="shared" si="0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25">
      <c r="C13" s="306" t="s">
        <v>50</v>
      </c>
      <c r="D13" s="318">
        <f t="shared" ref="D13:D16" si="1">D5/D$8</f>
        <v>0.23399041756987346</v>
      </c>
      <c r="F13" s="306" t="s">
        <v>50</v>
      </c>
      <c r="G13" s="318">
        <f t="shared" ref="G13:G16" si="2">G5/G$8</f>
        <v>0.15021911045597369</v>
      </c>
      <c r="H13" s="318"/>
      <c r="I13" s="371">
        <f t="shared" ref="I13:I15" si="3">D13/G13</f>
        <v>1.5576607853662634</v>
      </c>
      <c r="J13" s="372">
        <f t="shared" ref="J13:J15" si="4">LN(I13)</f>
        <v>0.44318519933125816</v>
      </c>
      <c r="K13" s="372">
        <f>K8*(J13-J12)</f>
        <v>1.4557223617713981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7">
        <f t="shared" si="0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25">
      <c r="C14" s="306" t="s">
        <v>53</v>
      </c>
      <c r="D14" s="318">
        <f t="shared" si="1"/>
        <v>0.52745485055003982</v>
      </c>
      <c r="F14" s="306" t="s">
        <v>53</v>
      </c>
      <c r="G14" s="318">
        <f t="shared" si="2"/>
        <v>0.45205100911535862</v>
      </c>
      <c r="H14" s="318"/>
      <c r="I14" s="371">
        <f t="shared" si="3"/>
        <v>1.1668038338908762</v>
      </c>
      <c r="J14" s="372">
        <f t="shared" si="4"/>
        <v>0.15426824482268869</v>
      </c>
      <c r="K14" s="372">
        <f>K8*(J14-J13-J12)</f>
        <v>0.72362020793157056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7">
        <f t="shared" si="0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r="15" spans="3:25" ht="15.75" thickBot="1" x14ac:dyDescent="0.3">
      <c r="C15" s="309" t="s">
        <v>56</v>
      </c>
      <c r="D15" s="318">
        <f t="shared" si="1"/>
        <v>0.18973665742572943</v>
      </c>
      <c r="F15" s="309" t="s">
        <v>56</v>
      </c>
      <c r="G15" s="318">
        <f t="shared" si="2"/>
        <v>0.2633544254331644</v>
      </c>
      <c r="H15" s="318"/>
      <c r="I15" s="373">
        <f t="shared" si="3"/>
        <v>0.72046124576661763</v>
      </c>
      <c r="J15" s="374">
        <f t="shared" si="4"/>
        <v>-0.32786365296056935</v>
      </c>
      <c r="K15" s="374">
        <f>K8*(J15-J14-J13-J12)</f>
        <v>8.7220065325623874E-2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7">
        <f t="shared" si="0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r="16" spans="3:25" ht="15.75" thickBot="1" x14ac:dyDescent="0.3">
      <c r="C16" s="312" t="s">
        <v>4</v>
      </c>
      <c r="D16" s="320">
        <f t="shared" si="1"/>
        <v>1</v>
      </c>
      <c r="E16" s="314"/>
      <c r="F16" s="312" t="s">
        <v>4</v>
      </c>
      <c r="G16" s="320">
        <f t="shared" si="2"/>
        <v>1</v>
      </c>
      <c r="H16" s="369"/>
      <c r="I16" s="371"/>
      <c r="J16" s="371"/>
      <c r="K16" s="371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7">
        <f t="shared" si="0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7">
        <f t="shared" si="0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25">
      <c r="I18" s="375"/>
      <c r="J18" s="375"/>
      <c r="K18" s="372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7">
        <f t="shared" si="0"/>
        <v>-0.493022087256</v>
      </c>
    </row>
    <row r="19" spans="2:25" x14ac:dyDescent="0.25">
      <c r="C19" s="321" t="s">
        <v>82</v>
      </c>
      <c r="I19" s="375"/>
      <c r="J19" s="375"/>
      <c r="K19" s="372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7">
        <f t="shared" si="0"/>
        <v>0</v>
      </c>
    </row>
    <row r="20" spans="2:25" x14ac:dyDescent="0.25">
      <c r="C20" s="321" t="s">
        <v>85</v>
      </c>
      <c r="I20" s="375"/>
      <c r="J20" s="375"/>
      <c r="K20" s="372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7">
        <f t="shared" si="0"/>
        <v>0</v>
      </c>
    </row>
    <row r="21" spans="2:25" ht="15.75" thickBot="1" x14ac:dyDescent="0.3">
      <c r="C21" s="322"/>
      <c r="I21" s="375"/>
      <c r="J21" s="375"/>
      <c r="K21" s="372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7">
        <f t="shared" si="0"/>
        <v>0</v>
      </c>
    </row>
    <row r="22" spans="2:25" x14ac:dyDescent="0.25">
      <c r="B22" s="348" t="s">
        <v>258</v>
      </c>
      <c r="C22" s="323" t="s">
        <v>91</v>
      </c>
      <c r="D22" s="324"/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7">
        <f t="shared" si="0"/>
        <v>0.63771148688699997</v>
      </c>
    </row>
    <row r="23" spans="2:25" x14ac:dyDescent="0.25">
      <c r="B23" s="345">
        <v>50</v>
      </c>
      <c r="C23" s="303" t="s">
        <v>47</v>
      </c>
      <c r="D23" s="361">
        <f>VLOOKUP($B23,$N:$P,3,FALSE)</f>
        <v>-28.552058518999999</v>
      </c>
      <c r="I23" s="376"/>
      <c r="J23" s="376"/>
      <c r="K23" s="376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7">
        <f t="shared" si="0"/>
        <v>-12.0946718381</v>
      </c>
    </row>
    <row r="24" spans="2:25" x14ac:dyDescent="0.25">
      <c r="B24" s="345">
        <v>51</v>
      </c>
      <c r="C24" s="306" t="s">
        <v>50</v>
      </c>
      <c r="D24" s="361">
        <f t="shared" ref="D24:D26" si="5">VLOOKUP($B24,$N:$P,3,FALSE)</f>
        <v>-7.25833529236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7">
        <f t="shared" si="0"/>
        <v>-4.03623745316</v>
      </c>
    </row>
    <row r="25" spans="2:25" x14ac:dyDescent="0.25">
      <c r="B25" s="345">
        <v>52</v>
      </c>
      <c r="C25" s="306" t="s">
        <v>53</v>
      </c>
      <c r="D25" s="361">
        <f t="shared" si="5"/>
        <v>-2.64524710889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-2.16371815818</v>
      </c>
      <c r="Q25" s="337">
        <f t="shared" si="0"/>
        <v>-2.16371815818</v>
      </c>
    </row>
    <row r="26" spans="2:25" ht="15.75" thickBot="1" x14ac:dyDescent="0.3">
      <c r="B26" s="347">
        <v>53</v>
      </c>
      <c r="C26" s="326" t="s">
        <v>56</v>
      </c>
      <c r="D26" s="362">
        <f t="shared" si="5"/>
        <v>-0.76461618005800003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7">
        <f t="shared" si="0"/>
        <v>0.10429329553199999</v>
      </c>
    </row>
    <row r="27" spans="2:25" x14ac:dyDescent="0.2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7">
        <f t="shared" si="0"/>
        <v>0</v>
      </c>
    </row>
    <row r="28" spans="2:25" x14ac:dyDescent="0.2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7">
        <f t="shared" si="0"/>
        <v>0.417326479157</v>
      </c>
    </row>
    <row r="29" spans="2:25" x14ac:dyDescent="0.2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7">
        <f t="shared" si="0"/>
        <v>-14.8384910501</v>
      </c>
    </row>
    <row r="30" spans="2:25" x14ac:dyDescent="0.2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7">
        <f t="shared" si="0"/>
        <v>-5.1880432348000003</v>
      </c>
    </row>
    <row r="31" spans="2:25" ht="15.75" thickBot="1" x14ac:dyDescent="0.3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7">
        <f t="shared" si="0"/>
        <v>-2.6156308707</v>
      </c>
    </row>
    <row r="32" spans="2:25" x14ac:dyDescent="0.25">
      <c r="B32" s="348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7">
        <f t="shared" si="0"/>
        <v>-0.91046169190000004</v>
      </c>
    </row>
    <row r="33" spans="2:17" x14ac:dyDescent="0.25">
      <c r="B33" s="345">
        <f>B23</f>
        <v>50</v>
      </c>
      <c r="C33" s="303" t="s">
        <v>47</v>
      </c>
      <c r="D33" s="377">
        <f>K12</f>
        <v>-1.01253716244014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7">
        <f t="shared" si="0"/>
        <v>5.7553461640599997E-2</v>
      </c>
    </row>
    <row r="34" spans="2:17" x14ac:dyDescent="0.25">
      <c r="B34" s="345">
        <f t="shared" ref="B34:B36" si="6">B24</f>
        <v>51</v>
      </c>
      <c r="C34" s="306" t="s">
        <v>50</v>
      </c>
      <c r="D34" s="378">
        <f t="shared" ref="D34:D36" si="7">K13</f>
        <v>1.4557223617713981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7">
        <f t="shared" si="0"/>
        <v>0.237798002151</v>
      </c>
    </row>
    <row r="35" spans="2:17" x14ac:dyDescent="0.25">
      <c r="B35" s="345">
        <f t="shared" si="6"/>
        <v>52</v>
      </c>
      <c r="C35" s="306" t="s">
        <v>53</v>
      </c>
      <c r="D35" s="378">
        <f t="shared" si="7"/>
        <v>0.72362020793157056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7">
        <f t="shared" si="0"/>
        <v>0</v>
      </c>
    </row>
    <row r="36" spans="2:17" ht="15.75" thickBot="1" x14ac:dyDescent="0.3">
      <c r="B36" s="365">
        <f t="shared" si="6"/>
        <v>53</v>
      </c>
      <c r="C36" s="326" t="s">
        <v>56</v>
      </c>
      <c r="D36" s="327">
        <f t="shared" si="7"/>
        <v>8.7220065325623874E-2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7">
        <f t="shared" si="0"/>
        <v>0</v>
      </c>
    </row>
    <row r="37" spans="2:17" ht="15.75" thickTop="1" x14ac:dyDescent="0.2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7">
        <f t="shared" si="0"/>
        <v>0</v>
      </c>
    </row>
    <row r="38" spans="2:17" x14ac:dyDescent="0.2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7">
        <f t="shared" si="0"/>
        <v>0.61259135262599995</v>
      </c>
    </row>
    <row r="39" spans="2:17" x14ac:dyDescent="0.2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7">
        <f t="shared" si="0"/>
        <v>-20.810228388700001</v>
      </c>
    </row>
    <row r="40" spans="2:17" x14ac:dyDescent="0.2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7">
        <f t="shared" si="0"/>
        <v>-7.1836373472300004</v>
      </c>
    </row>
    <row r="41" spans="2:17" ht="15.75" thickBot="1" x14ac:dyDescent="0.3">
      <c r="B41" s="346"/>
      <c r="C41" s="322"/>
      <c r="D41" s="325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7">
        <f t="shared" si="0"/>
        <v>-3.6600975390500001</v>
      </c>
    </row>
    <row r="42" spans="2:17" x14ac:dyDescent="0.25">
      <c r="B42" s="348" t="s">
        <v>258</v>
      </c>
      <c r="C42" s="323" t="s">
        <v>91</v>
      </c>
      <c r="D42" s="333"/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7">
        <f t="shared" si="0"/>
        <v>-1.3605457273599999</v>
      </c>
    </row>
    <row r="43" spans="2:17" x14ac:dyDescent="0.25">
      <c r="B43" s="345">
        <f>B33</f>
        <v>50</v>
      </c>
      <c r="C43" s="303" t="s">
        <v>47</v>
      </c>
      <c r="D43" s="363">
        <f>D23+D33</f>
        <v>-29.564595681440139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7">
        <f t="shared" si="0"/>
        <v>-0.22141031751900001</v>
      </c>
    </row>
    <row r="44" spans="2:17" x14ac:dyDescent="0.25">
      <c r="B44" s="345">
        <f t="shared" ref="B44:B46" si="8">B34</f>
        <v>51</v>
      </c>
      <c r="C44" s="306" t="s">
        <v>50</v>
      </c>
      <c r="D44" s="363">
        <f t="shared" ref="D44:D46" si="9">D24+D34</f>
        <v>-5.8026129305886016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7">
        <f t="shared" si="0"/>
        <v>0.64228876129599999</v>
      </c>
    </row>
    <row r="45" spans="2:17" x14ac:dyDescent="0.25">
      <c r="B45" s="345">
        <f t="shared" si="8"/>
        <v>52</v>
      </c>
      <c r="C45" s="306" t="s">
        <v>53</v>
      </c>
      <c r="D45" s="363">
        <f t="shared" si="9"/>
        <v>-1.9216269009584295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7">
        <f t="shared" si="0"/>
        <v>0.74588429254199995</v>
      </c>
    </row>
    <row r="46" spans="2:17" ht="15.75" thickBot="1" x14ac:dyDescent="0.3">
      <c r="B46" s="365">
        <f t="shared" si="8"/>
        <v>53</v>
      </c>
      <c r="C46" s="326" t="s">
        <v>56</v>
      </c>
      <c r="D46" s="364">
        <f t="shared" si="9"/>
        <v>-0.67739611473237615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7">
        <f t="shared" si="0"/>
        <v>-32.156094092099998</v>
      </c>
    </row>
    <row r="47" spans="2:17" ht="15.75" thickTop="1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7">
        <f t="shared" si="0"/>
        <v>-7.5551873767200002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7">
        <f t="shared" si="0"/>
        <v>-3.4784098231399998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7">
        <f t="shared" si="0"/>
        <v>-0.79171784712299997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7">
        <f t="shared" si="0"/>
        <v>0.65760260093900003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7">
        <f t="shared" si="0"/>
        <v>0.201576719663</v>
      </c>
    </row>
    <row r="52" spans="13:18" x14ac:dyDescent="0.25">
      <c r="M52" s="297" t="str">
        <f>VLOOKUP(N52,Coeff_Descr!$A:$D,3,FALSE)</f>
        <v>SOCREC</v>
      </c>
      <c r="N52" s="338">
        <f>OtherTourDestination!B60</f>
        <v>50</v>
      </c>
      <c r="O52" s="338" t="str">
        <f>OtherTourDestination!C60</f>
        <v>Beta00050</v>
      </c>
      <c r="P52" s="339">
        <f>OtherTourDestination!E60</f>
        <v>-28.552058518999999</v>
      </c>
      <c r="Q52" s="340">
        <f t="shared" si="0"/>
        <v>-29.564595681440139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8">
        <f>OtherTourDestination!B61</f>
        <v>51</v>
      </c>
      <c r="O53" s="338" t="str">
        <f>OtherTourDestination!C61</f>
        <v>Beta00051</v>
      </c>
      <c r="P53" s="339">
        <f>OtherTourDestination!E61</f>
        <v>-7.25833529236</v>
      </c>
      <c r="Q53" s="340">
        <f t="shared" si="0"/>
        <v>-5.8026129305886016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8">
        <f>OtherTourDestination!B62</f>
        <v>52</v>
      </c>
      <c r="O54" s="338" t="str">
        <f>OtherTourDestination!C62</f>
        <v>Beta00052</v>
      </c>
      <c r="P54" s="339">
        <f>OtherTourDestination!E62</f>
        <v>-2.64524710889</v>
      </c>
      <c r="Q54" s="340">
        <f t="shared" si="0"/>
        <v>-1.9216269009584295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8">
        <f>OtherTourDestination!B63</f>
        <v>53</v>
      </c>
      <c r="O55" s="338" t="str">
        <f>OtherTourDestination!C63</f>
        <v>Beta00053</v>
      </c>
      <c r="P55" s="339">
        <f>OtherTourDestination!E63</f>
        <v>-0.76461618005800003</v>
      </c>
      <c r="Q55" s="340">
        <f t="shared" si="0"/>
        <v>-0.67739611473237615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7">
        <f t="shared" si="0"/>
        <v>0.20818008309700001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7">
        <f t="shared" si="0"/>
        <v>0.42522231451499998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7">
        <f t="shared" si="0"/>
        <v>-0.743588483327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7">
        <f t="shared" si="0"/>
        <v>6.2100000000000002E-2</v>
      </c>
    </row>
    <row r="60" spans="13:18" x14ac:dyDescent="0.2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7">
        <f t="shared" si="0"/>
        <v>-3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7">
        <f t="shared" si="0"/>
        <v>0.29394695214400002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7">
        <f t="shared" si="0"/>
        <v>0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7">
        <f t="shared" si="0"/>
        <v>-6.2798471793299999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7">
        <f t="shared" si="0"/>
        <v>3.2962256518299999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7">
        <f t="shared" si="0"/>
        <v>-5.4150639062700003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7">
        <f t="shared" si="0"/>
        <v>-5.94820877094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7">
        <f t="shared" si="0"/>
        <v>-4.8479831726300002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7">
        <f t="shared" si="0"/>
        <v>-5.4883496585599998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7">
        <f t="shared" ref="Q69:Q103" si="10">_xlfn.IFNA(VLOOKUP(N69,$B$43:$D$46,3,FALSE),P69)</f>
        <v>-6.9308352438999998</v>
      </c>
    </row>
    <row r="70" spans="13:17" x14ac:dyDescent="0.2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7">
        <f t="shared" si="10"/>
        <v>-22.404820174200001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7">
        <f t="shared" si="10"/>
        <v>-2.8929233973800002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7">
        <f t="shared" si="10"/>
        <v>-2.5610724948299999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7">
        <f t="shared" si="10"/>
        <v>-6.7871010869299999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7">
        <f t="shared" si="10"/>
        <v>-7.1983706387300002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7">
        <f t="shared" si="10"/>
        <v>-6.5584328775399996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7">
        <f t="shared" si="10"/>
        <v>-7.3832576457999997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7">
        <f t="shared" si="10"/>
        <v>-8.5452246906399996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7">
        <f t="shared" si="10"/>
        <v>-24.633851965200002</v>
      </c>
    </row>
    <row r="79" spans="13:17" x14ac:dyDescent="0.2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7">
        <f t="shared" si="10"/>
        <v>0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7">
        <f t="shared" si="10"/>
        <v>-0.55009338373399996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7">
        <f t="shared" si="10"/>
        <v>-9.9117567037699992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7">
        <f t="shared" si="10"/>
        <v>-9.3194311560499994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7">
        <f t="shared" si="10"/>
        <v>-0.20086270196799999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7">
        <f t="shared" si="10"/>
        <v>-2.1843835309699999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7">
        <f t="shared" si="10"/>
        <v>0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7">
        <f t="shared" si="10"/>
        <v>-9.9476357147400005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7">
        <f t="shared" si="10"/>
        <v>-12.800107987600001</v>
      </c>
    </row>
    <row r="88" spans="13:17" x14ac:dyDescent="0.2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7">
        <f t="shared" si="10"/>
        <v>-30</v>
      </c>
    </row>
    <row r="89" spans="13:17" x14ac:dyDescent="0.2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7">
        <f t="shared" si="10"/>
        <v>-21.699928591700001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7">
        <f t="shared" si="10"/>
        <v>-17.700475093400001</v>
      </c>
    </row>
    <row r="91" spans="13:17" x14ac:dyDescent="0.2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7">
        <f t="shared" si="10"/>
        <v>-0.7</v>
      </c>
    </row>
    <row r="92" spans="13:17" x14ac:dyDescent="0.2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7">
        <f t="shared" si="10"/>
        <v>-17.8758745875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7">
        <f t="shared" si="10"/>
        <v>0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7">
        <f t="shared" si="10"/>
        <v>5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7">
        <f t="shared" si="10"/>
        <v>-30</v>
      </c>
    </row>
    <row r="96" spans="13:17" x14ac:dyDescent="0.2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7">
        <f t="shared" si="10"/>
        <v>-24.158093970700001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7">
        <f t="shared" si="10"/>
        <v>-9.5803170794600003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7">
        <f t="shared" si="10"/>
        <v>0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7">
        <f t="shared" si="10"/>
        <v>-15.671349338700001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7">
        <f t="shared" si="10"/>
        <v>-18.208541213899998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7">
        <f t="shared" si="10"/>
        <v>-11.2471450075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7">
        <f t="shared" si="10"/>
        <v>-10.0807778908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7">
        <f t="shared" si="10"/>
        <v>-5.6623999999999999</v>
      </c>
    </row>
    <row r="104" spans="13:17" x14ac:dyDescent="0.2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7">
        <f t="shared" ref="Q104" si="11">_xlfn.IFNA(VLOOKUP(N104,$B$43:$D$46,3,FALSE),P104)</f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2017-06-23T18:05:43Z</dcterms:modified>
</cp:coreProperties>
</file>